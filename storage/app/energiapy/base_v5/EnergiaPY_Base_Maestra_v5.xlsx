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2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3.xml" ContentType="application/vnd.openxmlformats-officedocument.drawing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Source_Documents" sheetId="4" state="visible" r:id="rId4"/>
    <sheet xmlns:r="http://schemas.openxmlformats.org/officeDocument/2006/relationships" name="Assets" sheetId="5" state="visible" r:id="rId5"/>
    <sheet xmlns:r="http://schemas.openxmlformats.org/officeDocument/2006/relationships" name="Measurements" sheetId="6" state="visible" r:id="rId6"/>
    <sheet xmlns:r="http://schemas.openxmlformats.org/officeDocument/2006/relationships" name="Canonical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Retail_Tariff_History" sheetId="9" state="visible" r:id="rId9"/>
    <sheet xmlns:r="http://schemas.openxmlformats.org/officeDocument/2006/relationships" name="Retail_Tariff_Current" sheetId="10" state="visible" r:id="rId10"/>
    <sheet xmlns:r="http://schemas.openxmlformats.org/officeDocument/2006/relationships" name="Retail_Tariff_Summary" sheetId="11" state="visible" r:id="rId11"/>
    <sheet xmlns:r="http://schemas.openxmlformats.org/officeDocument/2006/relationships" name="Macro_Annual" sheetId="12" state="visible" r:id="rId12"/>
    <sheet xmlns:r="http://schemas.openxmlformats.org/officeDocument/2006/relationships" name="Macro_Current" sheetId="13" state="visible" r:id="rId13"/>
    <sheet xmlns:r="http://schemas.openxmlformats.org/officeDocument/2006/relationships" name="Tariff_Normalized" sheetId="14" state="visible" r:id="rId14"/>
    <sheet xmlns:r="http://schemas.openxmlformats.org/officeDocument/2006/relationships" name="Macro_Notes" sheetId="15" state="visible" r:id="rId15"/>
    <sheet xmlns:r="http://schemas.openxmlformats.org/officeDocument/2006/relationships" name="Economic_Terms" sheetId="16" state="visible" r:id="rId16"/>
    <sheet xmlns:r="http://schemas.openxmlformats.org/officeDocument/2006/relationships" name="Economic_Transactions" sheetId="17" state="visible" r:id="rId17"/>
    <sheet xmlns:r="http://schemas.openxmlformats.org/officeDocument/2006/relationships" name="Infrastructure" sheetId="18" state="visible" r:id="rId18"/>
    <sheet xmlns:r="http://schemas.openxmlformats.org/officeDocument/2006/relationships" name="Metric_Definitions" sheetId="19" state="visible" r:id="rId19"/>
    <sheet xmlns:r="http://schemas.openxmlformats.org/officeDocument/2006/relationships" name="Forecast_Scenarios" sheetId="20" state="visible" r:id="rId20"/>
    <sheet xmlns:r="http://schemas.openxmlformats.org/officeDocument/2006/relationships" name="Quality_Issues" sheetId="21" state="visible" r:id="rId21"/>
    <sheet xmlns:r="http://schemas.openxmlformats.org/officeDocument/2006/relationships" name="Import_Queue" sheetId="22" state="visible" r:id="rId22"/>
    <sheet xmlns:r="http://schemas.openxmlformats.org/officeDocument/2006/relationships" name="News_References" sheetId="23" state="visible" r:id="rId23"/>
    <sheet xmlns:r="http://schemas.openxmlformats.org/officeDocument/2006/relationships" name="KPI_Preview" sheetId="24" state="visible" r:id="rId24"/>
    <sheet xmlns:r="http://schemas.openxmlformats.org/officeDocument/2006/relationships" name="Chart_Data" sheetId="25" state="hidden" r:id="rId25"/>
    <sheet xmlns:r="http://schemas.openxmlformats.org/officeDocument/2006/relationships" name="Current_Baselines" sheetId="26" state="visible" r:id="rId26"/>
    <sheet xmlns:r="http://schemas.openxmlformats.org/officeDocument/2006/relationships" name="ANDE_Customers_2025" sheetId="27" state="visible" r:id="rId27"/>
    <sheet xmlns:r="http://schemas.openxmlformats.org/officeDocument/2006/relationships" name="Hydrology_Current" sheetId="28" state="visible" r:id="rId28"/>
    <sheet xmlns:r="http://schemas.openxmlformats.org/officeDocument/2006/relationships" name="ENSO_Outlook" sheetId="29" state="visible" r:id="rId29"/>
    <sheet xmlns:r="http://schemas.openxmlformats.org/officeDocument/2006/relationships" name="Climate_Snapshot" sheetId="30" state="visible" r:id="rId30"/>
    <sheet xmlns:r="http://schemas.openxmlformats.org/officeDocument/2006/relationships" name="Precip_Snapshot" sheetId="31" state="visible" r:id="rId31"/>
    <sheet xmlns:r="http://schemas.openxmlformats.org/officeDocument/2006/relationships" name="Household_Context" sheetId="32" state="visible" r:id="rId32"/>
    <sheet xmlns:r="http://schemas.openxmlformats.org/officeDocument/2006/relationships" name="Grid_Quality" sheetId="33" state="visible" r:id="rId33"/>
    <sheet xmlns:r="http://schemas.openxmlformats.org/officeDocument/2006/relationships" name="Planning_Baselines" sheetId="34" state="visible" r:id="rId34"/>
    <sheet xmlns:r="http://schemas.openxmlformats.org/officeDocument/2006/relationships" name="Source_Ingestion_Status" sheetId="35" state="visible" r:id="rId35"/>
    <sheet xmlns:r="http://schemas.openxmlformats.org/officeDocument/2006/relationships" name="V5_KPI_Preview" sheetId="36" state="visible" r:id="rId36"/>
  </sheets>
  <definedNames>
    <definedName name="_xlnm._FilterDatabase" localSheetId="1" hidden="1">'Coverage'!$A$1:$G$16</definedName>
    <definedName name="_xlnm._FilterDatabase" localSheetId="2" hidden="1">'Sources'!$A$1:$F$11</definedName>
    <definedName name="_xlnm._FilterDatabase" localSheetId="3" hidden="1">'Source_Documents'!$A$1:$J$39</definedName>
    <definedName name="_xlnm._FilterDatabase" localSheetId="4" hidden="1">'Assets'!$A$1:$G$12</definedName>
    <definedName name="_xlnm._FilterDatabase" localSheetId="5" hidden="1">'Measurements'!$A$1:$V$1459</definedName>
    <definedName name="_xlnm._FilterDatabase" localSheetId="6" hidden="1">'Canonical'!$A$1:$V$1341</definedName>
    <definedName name="_xlnm._FilterDatabase" localSheetId="7" hidden="1">'Prices'!$A$1:$P$369</definedName>
    <definedName name="_xlnm._FilterDatabase" localSheetId="8" hidden="1">'Retail_Tariff_History'!$A$1:$H$36</definedName>
    <definedName name="_xlnm._FilterDatabase" localSheetId="11" hidden="1">'Macro_Annual'!$A$2:$L$38</definedName>
    <definedName name="_xlnm._FilterDatabase" localSheetId="12" hidden="1">'Macro_Current'!$A$2:$I$16</definedName>
    <definedName name="_xlnm._FilterDatabase" localSheetId="13" hidden="1">'Tariff_Normalized'!$A$2:$L$320</definedName>
    <definedName name="_xlnm._FilterDatabase" localSheetId="15" hidden="1">'Economic_Terms'!$A$1:$M$7</definedName>
    <definedName name="_xlnm._FilterDatabase" localSheetId="16" hidden="1">'Economic_Transactions'!$A$1:$O$77</definedName>
    <definedName name="_xlnm._FilterDatabase" localSheetId="17" hidden="1">'Infrastructure'!$A$1:$I$150</definedName>
    <definedName name="_xlnm._FilterDatabase" localSheetId="18" hidden="1">'Metric_Definitions'!$A$1:$G$23</definedName>
    <definedName name="_xlnm._FilterDatabase" localSheetId="19" hidden="1">'Forecast_Scenarios'!$A$1:$I$7</definedName>
    <definedName name="_xlnm._FilterDatabase" localSheetId="20" hidden="1">'Quality_Issues'!$A$1:$H$10</definedName>
    <definedName name="_xlnm._FilterDatabase" localSheetId="21" hidden="1">'Import_Queue'!$A$1:$G$18</definedName>
    <definedName name="_xlnm._FilterDatabase" localSheetId="22" hidden="1">'News_References'!$A$1:$H$5</definedName>
    <definedName name="_xlnm._FilterDatabase" localSheetId="25" hidden="1">'Current_Baselines'!$A$2:$P$2</definedName>
    <definedName name="_xlnm._FilterDatabase" localSheetId="26" hidden="1">'ANDE_Customers_2025'!$A$2:$I$2</definedName>
    <definedName name="_xlnm._FilterDatabase" localSheetId="27" hidden="1">'Hydrology_Current'!$A$2:$I$2</definedName>
    <definedName name="_xlnm._FilterDatabase" localSheetId="28" hidden="1">'ENSO_Outlook'!$A$2:$L$2</definedName>
    <definedName name="_xlnm._FilterDatabase" localSheetId="29" hidden="1">'Climate_Snapshot'!$A$2:$I$2</definedName>
    <definedName name="_xlnm._FilterDatabase" localSheetId="30" hidden="1">'Precip_Snapshot'!$A$2:$T$2</definedName>
    <definedName name="_xlnm._FilterDatabase" localSheetId="31" hidden="1">'Household_Context'!$A$2:$H$2</definedName>
    <definedName name="_xlnm._FilterDatabase" localSheetId="32" hidden="1">'Grid_Quality'!$A$2:$I$2</definedName>
    <definedName name="_xlnm._FilterDatabase" localSheetId="33" hidden="1">'Planning_Baselines'!$A$2:$I$2</definedName>
    <definedName name="_xlnm._FilterDatabase" localSheetId="34" hidden="1">'Source_Ingestion_Status'!$A$2:$I$2</definedName>
    <definedName name="_xlnm._FilterDatabase" localSheetId="35" hidden="1">'V5_KPI_Preview'!$A$2:$F$2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#,##0.0000"/>
    <numFmt numFmtId="165" formatCode="0.0"/>
    <numFmt numFmtId="166" formatCode="0.0%"/>
    <numFmt numFmtId="167" formatCode="0.000"/>
    <numFmt numFmtId="168" formatCode="$#,##0.00"/>
    <numFmt numFmtId="169" formatCode="#,##0.0"/>
  </numFmts>
  <fonts count="16">
    <font>
      <name val="Calibri"/>
      <family val="2"/>
      <color theme="1"/>
      <sz val="11"/>
      <scheme val="minor"/>
    </font>
    <font>
      <b val="1"/>
      <color rgb="00FFFFFF"/>
      <sz val="20"/>
    </font>
    <font>
      <color rgb="00334155"/>
      <sz val="11"/>
    </font>
    <font>
      <b val="1"/>
      <color rgb="000B132B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8"/>
    </font>
    <font>
      <color rgb="00008000"/>
    </font>
    <font>
      <b val="1"/>
      <color rgb="00FFFFFF"/>
      <sz val="15"/>
    </font>
    <font>
      <b val="1"/>
    </font>
    <font>
      <color rgb="000000FF"/>
    </font>
    <font>
      <color rgb="00000000"/>
    </font>
    <font>
      <b val="1"/>
      <color rgb="00008000"/>
    </font>
    <font>
      <b val="1"/>
      <color rgb="007E22CE"/>
    </font>
    <font>
      <b val="1"/>
      <color rgb="00C65911"/>
    </font>
    <font>
      <b val="1"/>
      <color rgb="00FFFFFF"/>
      <sz val="14"/>
    </font>
  </fonts>
  <fills count="11">
    <fill>
      <patternFill/>
    </fill>
    <fill>
      <patternFill patternType="gray125"/>
    </fill>
    <fill>
      <patternFill patternType="solid">
        <fgColor rgb="000B132B"/>
      </patternFill>
    </fill>
    <fill>
      <patternFill patternType="solid">
        <fgColor rgb="001C2541"/>
      </patternFill>
    </fill>
    <fill>
      <patternFill patternType="solid">
        <fgColor rgb="00DDEFE2"/>
      </patternFill>
    </fill>
    <fill>
      <patternFill patternType="solid">
        <fgColor rgb="00E9EEF4"/>
      </patternFill>
    </fill>
    <fill>
      <patternFill patternType="solid">
        <fgColor rgb="00FCE8C3"/>
      </patternFill>
    </fill>
    <fill>
      <patternFill patternType="solid">
        <fgColor rgb="00155E75"/>
      </patternFill>
    </fill>
    <fill>
      <patternFill patternType="solid">
        <fgColor rgb="000B1F33"/>
      </patternFill>
    </fill>
    <fill>
      <patternFill patternType="solid">
        <fgColor rgb="0017365D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5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5" fillId="0" borderId="0" pivotButton="0" quotePrefix="0" xfId="1"/>
    <xf numFmtId="164" fontId="0" fillId="0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164" fontId="0" fillId="0" borderId="0" applyAlignment="1" pivotButton="0" quotePrefix="0" xfId="0">
      <alignment vertical="top" wrapText="1"/>
    </xf>
    <xf numFmtId="0" fontId="6" fillId="2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4" fillId="3" borderId="0" applyAlignment="1" pivotButton="0" quotePrefix="0" xfId="0">
      <alignment horizontal="center"/>
    </xf>
    <xf numFmtId="4" fontId="7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8" fillId="2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4" fillId="3" borderId="0" pivotButton="0" quotePrefix="0" xfId="0"/>
    <xf numFmtId="4" fontId="7" fillId="0" borderId="0" pivotButton="0" quotePrefix="0" xfId="0"/>
    <xf numFmtId="0" fontId="4" fillId="7" borderId="0" pivotButton="0" quotePrefix="0" xfId="0"/>
    <xf numFmtId="9" fontId="0" fillId="0" borderId="0" pivotButton="0" quotePrefix="0" xfId="0"/>
    <xf numFmtId="2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166" fontId="11" fillId="0" borderId="0" pivotButton="0" quotePrefix="0" xfId="0"/>
    <xf numFmtId="10" fontId="10" fillId="0" borderId="0" pivotButton="0" quotePrefix="0" xfId="0"/>
    <xf numFmtId="4" fontId="0" fillId="0" borderId="0" pivotButton="0" quotePrefix="0" xfId="0"/>
    <xf numFmtId="167" fontId="7" fillId="0" borderId="0" pivotButton="0" quotePrefix="0" xfId="0"/>
    <xf numFmtId="10" fontId="7" fillId="0" borderId="0" pivotButton="0" quotePrefix="0" xfId="0"/>
    <xf numFmtId="0" fontId="14" fillId="0" borderId="0" pivotButton="0" quotePrefix="0" xfId="0"/>
    <xf numFmtId="167" fontId="0" fillId="0" borderId="0" pivotButton="0" quotePrefix="0" xfId="0"/>
    <xf numFmtId="4" fontId="11" fillId="0" borderId="0" pivotButton="0" quotePrefix="0" xfId="0"/>
    <xf numFmtId="168" fontId="11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applyAlignment="1" pivotButton="0" quotePrefix="0" xfId="0">
      <alignment vertical="top" wrapText="1"/>
    </xf>
    <xf numFmtId="0" fontId="15" fillId="8" borderId="0" applyAlignment="1" pivotButton="0" quotePrefix="0" xfId="0">
      <alignment horizontal="left"/>
    </xf>
    <xf numFmtId="0" fontId="4" fillId="9" borderId="0" applyAlignment="1" pivotButton="0" quotePrefix="0" xfId="0">
      <alignment horizontal="center" vertical="center" wrapText="1"/>
    </xf>
    <xf numFmtId="4" fontId="7" fillId="0" borderId="0" applyAlignment="1" pivotButton="0" quotePrefix="0" xfId="0">
      <alignment vertical="top" wrapText="1"/>
    </xf>
    <xf numFmtId="3" fontId="7" fillId="0" borderId="0" applyAlignment="1" pivotButton="0" quotePrefix="0" xfId="0">
      <alignment vertical="top" wrapText="1"/>
    </xf>
    <xf numFmtId="169" fontId="11" fillId="0" borderId="0" applyAlignment="1" pivotButton="0" quotePrefix="0" xfId="0">
      <alignment vertical="top" wrapText="1"/>
    </xf>
    <xf numFmtId="166" fontId="11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9" fontId="7" fillId="0" borderId="0" applyAlignment="1" pivotButton="0" quotePrefix="0" xfId="0">
      <alignment vertical="top" wrapText="1"/>
    </xf>
    <xf numFmtId="0" fontId="0" fillId="10" borderId="0" applyAlignment="1" pivotButton="0" quotePrefix="0" xfId="0">
      <alignment wrapText="1"/>
    </xf>
    <xf numFmtId="165" fontId="0" fillId="10" borderId="0" applyAlignment="1" pivotButton="0" quotePrefix="0" xfId="0">
      <alignment wrapText="1"/>
    </xf>
    <xf numFmtId="0" fontId="9" fillId="0" borderId="0" applyAlignment="1" pivotButton="0" quotePrefix="0" xfId="0">
      <alignment vertical="top" wrapText="1"/>
    </xf>
    <xf numFmtId="3" fontId="11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Tarifa media residencial ANDE 1990-2024</a:t>
            </a:r>
          </a:p>
        </rich>
      </tx>
    </title>
    <plotArea>
      <lineChart>
        <grouping val="standard"/>
        <ser>
          <idx val="0"/>
          <order val="0"/>
          <tx>
            <strRef>
              <f>'Retail_Tariff_History'!B1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'Retail_Tariff_History'!$A$2:$A$36</f>
            </numRef>
          </cat>
          <val>
            <numRef>
              <f>'Retail_Tariff_History'!$B$2:$B$36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Gs/kWh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IPC anual Paraguay (2010=100)</a:t>
            </a:r>
          </a:p>
        </rich>
      </tx>
    </title>
    <plotArea>
      <lineChart>
        <grouping val="standard"/>
        <ser>
          <idx val="0"/>
          <order val="0"/>
          <tx>
            <strRef>
              <f>'Macro_Annual'!B2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'Macro_Annual'!$A$3:$A$38</f>
            </numRef>
          </cat>
          <val>
            <numRef>
              <f>'Macro_Annual'!$B$3:$B$38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USD/PYG promedio anual</a:t>
            </a:r>
          </a:p>
        </rich>
      </tx>
    </title>
    <plotArea>
      <lineChart>
        <grouping val="standard"/>
        <ser>
          <idx val="0"/>
          <order val="0"/>
          <tx>
            <strRef>
              <f>'Macro_Annual'!D2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'Macro_Annual'!$A$3:$A$38</f>
            </numRef>
          </cat>
          <val>
            <numRef>
              <f>'Macro_Annual'!$D$3:$D$38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Gs por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Consumo eléctrico del SIN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'Chart_Data'!$A$2:$A$24</f>
            </numRef>
          </cat>
          <val>
            <numRef>
              <f>'Chart_Data'!$B$2:$B$24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B2" authorId="0" shapeId="0">
      <text>
        <t>IPC anual homogéneo para normalización. BCP es la fuente primaria; esta capa usa WDI/IMF como backfill provisional auditable.</t>
      </text>
    </comment>
    <comment ref="D2" authorId="0" shapeId="0">
      <text>
        <t>Tipo de cambio oficial promedio anual (LCU/USD) de WDI/IMF. Reconciliar contra serie bruta BCP en producción.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F2" authorId="0" shapeId="0">
      <text>
        <t>Tarifa nominal ajustada por IPC para expresarla en guaraníes de 2025: nominal * IPC_2025 / IPC_año.</t>
      </text>
    </comment>
    <comment ref="G2" authorId="0" shapeId="0">
      <text>
        <t>Tarifa nominal Gs/kWh convertida a USD/MWh usando el tipo de cambio promedio anual del mismo año.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16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ande.gov.py/estadisticas/BalanceEnergia1983-2006/CompilacionEstadistica83-06.pdf" TargetMode="External" Id="rId1"/><Relationship Type="http://schemas.openxmlformats.org/officeDocument/2006/relationships/hyperlink" Target="https://www.ande.gov.py/documentos_contables/157/compilacion_estadistica_1990-2010.pdf" TargetMode="External" Id="rId2"/><Relationship Type="http://schemas.openxmlformats.org/officeDocument/2006/relationships/hyperlink" Target="https://www.ande.gov.py/documentos_contables/481/compilacion_estadistica_1995-2015.pdf" TargetMode="External" Id="rId3"/><Relationship Type="http://schemas.openxmlformats.org/officeDocument/2006/relationships/hyperlink" Target="https://www.ande.gov.py/documentos_contables/650/compilacion_estadistica_1998-2018.pdf" TargetMode="External" Id="rId4"/><Relationship Type="http://schemas.openxmlformats.org/officeDocument/2006/relationships/hyperlink" Target="https://www.ande.gov.py/finanzas/2.%20COMPILACION%20ESTADISTICA%202003-2023/ANDE%20-%20Compilacion%20Estadistica%202003-2023.pdf" TargetMode="External" Id="rId5"/><Relationship Type="http://schemas.openxmlformats.org/officeDocument/2006/relationships/hyperlink" Target="https://www.ande.gov.py/finanzas/ANDE%20-%20Resumen%20Estad%C3%ADstico%202020%20-%202024.pdf" TargetMode="External" Id="rId6"/><Relationship Type="http://schemas.openxmlformats.org/officeDocument/2006/relationships/hyperlink" Target="https://www.ande.gov.py/finanzas/BAGP%202025%20ANDE.pdf" TargetMode="External" Id="rId7"/><Relationship Type="http://schemas.openxmlformats.org/officeDocument/2006/relationships/hyperlink" Target="https://www.ande.gov.py/tarifas_vigentes.php" TargetMode="External" Id="rId8"/><Relationship Type="http://schemas.openxmlformats.org/officeDocument/2006/relationships/hyperlink" Target="https://www.ande.gov.py/interna_contrataciones.php?id=2844" TargetMode="External" Id="rId9"/><Relationship Type="http://schemas.openxmlformats.org/officeDocument/2006/relationships/hyperlink" Target="https://www.itaipu.gov.py/sites/default/files/af_df/Memoria%20Anual%202002.pdf" TargetMode="External" Id="rId10"/><Relationship Type="http://schemas.openxmlformats.org/officeDocument/2006/relationships/hyperlink" Target="https://www.itaipu.gov.py/sites/default/files/u62/Memoria%20Anual%20Itaipu%202023_Espa%C3%B1ol_internet.pdf" TargetMode="External" Id="rId11"/><Relationship Type="http://schemas.openxmlformats.org/officeDocument/2006/relationships/hyperlink" Target="https://www.itaipu.gov.py/wp-content/uploads/2026/04/03-Planillas-de-Royalties-31_03_26.pdf" TargetMode="External" Id="rId12"/><Relationship Type="http://schemas.openxmlformats.org/officeDocument/2006/relationships/hyperlink" Target="https://www.itaipu.gov.py/sites/default/files/COP_AVANZADA_y_REPORTE_SUSTENTABILIDAD_2015_0.pdf" TargetMode="External" Id="rId13"/><Relationship Type="http://schemas.openxmlformats.org/officeDocument/2006/relationships/hyperlink" Target="https://www.itaipu.gov.py/wp-content/uploads/2025/05/COP_Y_REPORTE_DE_SOSTENIBILIDAD_ITAIPU_2018.pdf" TargetMode="External" Id="rId14"/><Relationship Type="http://schemas.openxmlformats.org/officeDocument/2006/relationships/hyperlink" Target="https://www.itaipu.gov.py/noticias/institucional/cifras-publicadas-por-itaipu-corresponden-a-los-montos-efectivamente-transferidos-al-estado-paraguayo" TargetMode="External" Id="rId15"/><Relationship Type="http://schemas.openxmlformats.org/officeDocument/2006/relationships/hyperlink" Target="https://www.itaipu.gov.py/noticias/institucional/itaipu-transfirio-usd-445-millones-al-estado-en-el-2021-por-cumplimiento-del-anexo-c" TargetMode="External" Id="rId16"/><Relationship Type="http://schemas.openxmlformats.org/officeDocument/2006/relationships/hyperlink" Target="https://www.itaipu.gov.py/noticias/institucional/estado-paraguayo-recibio-usd-4293-millones-de-itaipu-por-anexo-c-en-el-2022" TargetMode="External" Id="rId17"/><Relationship Type="http://schemas.openxmlformats.org/officeDocument/2006/relationships/hyperlink" Target="https://www.itaipu.gov.py/noticias/institucional/itaipu-cierra-el-2023-con-un-aporte-de-usd-535-millones-al-estado-paraguayo-por-anexo-c" TargetMode="External" Id="rId18"/><Relationship Type="http://schemas.openxmlformats.org/officeDocument/2006/relationships/hyperlink" Target="https://www.itaipu.gov.py/noticias/institucional/estado-paraguayo-recibio-usd-549-millones-de-itaipu-por-anexo-c-en-el-2024" TargetMode="External" Id="rId19"/><Relationship Type="http://schemas.openxmlformats.org/officeDocument/2006/relationships/hyperlink" Target="https://www.itaipu.gov.py/noticias/institucional/itaipu-cerro-el-2025-con-una-transferencia-total-de-usd-462-millones-al-estado-paraguayo-por-anexo-c" TargetMode="External" Id="rId20"/><Relationship Type="http://schemas.openxmlformats.org/officeDocument/2006/relationships/hyperlink" Target="https://www.itaipu.gov.py/noticias/institucional/estado-paraguayo-recibio-usd-310-millones-de-itaipu-hasta-agosto-por-anexo-c" TargetMode="External" Id="rId21"/><Relationship Type="http://schemas.openxmlformats.org/officeDocument/2006/relationships/hyperlink" Target="https://www.eby.gov.py/wp-content/uploads/2019/12/YacyretaEnergiasMensualesDesdePuestaenMarcha.pdf" TargetMode="External" Id="rId22"/><Relationship Type="http://schemas.openxmlformats.org/officeDocument/2006/relationships/hyperlink" Target="https://www.eby.gov.py/wp-content/uploads/2025/05/Acuerdo-19-05-2025.pdf" TargetMode="External" Id="rId23"/><Relationship Type="http://schemas.openxmlformats.org/officeDocument/2006/relationships/hyperlink" Target="https://eby.gov.py/paraguay-recibe-historica-transferencia-record-de-usd-100-000-000-por-cesion-de-energia-de-yacyreta/" TargetMode="External" Id="rId24"/><Relationship Type="http://schemas.openxmlformats.org/officeDocument/2006/relationships/hyperlink" Target="https://www.bacn.gov.py/leyes-paraguayas/8397/ley-n-6135-aprueba-el-acuerdo-por-notas-reversales-n-r-n-2-17-para-el-ordenamiento-econ-mico-y-financiero-de-la-entidad-binacional-yacyret-entre-la-rep-blica-del-paraguay-y-la-rep-blica-argentina" TargetMode="External" Id="rId25"/><Relationship Type="http://schemas.openxmlformats.org/officeDocument/2006/relationships/hyperlink" Target="https://dados.ons.org.br/dataset/geracao_itaipu" TargetMode="External" Id="rId26"/><Relationship Type="http://schemas.openxmlformats.org/officeDocument/2006/relationships/hyperlink" Target="https://dados.ons.org.br/dataset/intercambio-internacional" TargetMode="External" Id="rId27"/><Relationship Type="http://schemas.openxmlformats.org/officeDocument/2006/relationships/hyperlink" Target="https://cammesaweb.cammesa.com/apiweb/" TargetMode="External" Id="rId28"/><Relationship Type="http://schemas.openxmlformats.org/officeDocument/2006/relationships/hyperlink" Target="https://cammesaweb.cammesa.com/variables-relevantes-mem/" TargetMode="External" Id="rId29"/><Relationship Type="http://schemas.openxmlformats.org/officeDocument/2006/relationships/hyperlink" Target="https://www.mef.gov.py/sites/default/files/2024-11/archivo%20%2813%29_1.pdf" TargetMode="External" Id="rId3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ande.gov.py/finanzas/2.%20COMPILACION%20ESTADISTICA%202003-2023/ANDE%20-%20Compilacion%20Estadistica%202003-2023.pdf" TargetMode="External" Id="rId1"/><Relationship Type="http://schemas.openxmlformats.org/officeDocument/2006/relationships/hyperlink" Target="https://www.ande.gov.py/finanzas/2.%20COMPILACION%20ESTADISTICA%202003-2023/ANDE%20-%20Compilacion%20Estadistica%202003-2023.pdf" TargetMode="External" Id="rId2"/><Relationship Type="http://schemas.openxmlformats.org/officeDocument/2006/relationships/hyperlink" Target="https://www.ande.gov.py/finanzas/2.%20COMPILACION%20ESTADISTICA%202003-2023/ANDE%20-%20Compilacion%20Estadistica%202003-2023.pdf" TargetMode="External" Id="rId3"/><Relationship Type="http://schemas.openxmlformats.org/officeDocument/2006/relationships/hyperlink" Target="https://www.ande.gov.py/finanzas/2.%20COMPILACION%20ESTADISTICA%202003-2023/ANDE%20-%20Compilacion%20Estadistica%202003-2023.pdf" TargetMode="External" Id="rId4"/><Relationship Type="http://schemas.openxmlformats.org/officeDocument/2006/relationships/hyperlink" Target="https://www.ande.gov.py/finanzas/2.%20COMPILACION%20ESTADISTICA%202003-2023/ANDE%20-%20Compilacion%20Estadistica%202003-2023.pdf" TargetMode="External" Id="rId5"/><Relationship Type="http://schemas.openxmlformats.org/officeDocument/2006/relationships/hyperlink" Target="https://www.ande.gov.py/finanzas/2.%20COMPILACION%20ESTADISTICA%202003-2023/ANDE%20-%20Compilacion%20Estadistica%202003-2023.pdf" TargetMode="External" Id="rId6"/><Relationship Type="http://schemas.openxmlformats.org/officeDocument/2006/relationships/hyperlink" Target="https://www.ande.gov.py/finanzas/2.%20COMPILACION%20ESTADISTICA%202003-2023/ANDE%20-%20Compilacion%20Estadistica%202003-2023.pdf" TargetMode="External" Id="rId7"/><Relationship Type="http://schemas.openxmlformats.org/officeDocument/2006/relationships/hyperlink" Target="https://www.ande.gov.py/finanzas/2.%20COMPILACION%20ESTADISTICA%202003-2023/ANDE%20-%20Compilacion%20Estadistica%202003-2023.pdf" TargetMode="External" Id="rId8"/><Relationship Type="http://schemas.openxmlformats.org/officeDocument/2006/relationships/hyperlink" Target="https://www.ande.gov.py/finanzas/2.%20COMPILACION%20ESTADISTICA%202003-2023/ANDE%20-%20Compilacion%20Estadistica%202003-2023.pdf" TargetMode="External" Id="rId9"/><Relationship Type="http://schemas.openxmlformats.org/officeDocument/2006/relationships/hyperlink" Target="https://www.ande.gov.py/finanzas/2.%20COMPILACION%20ESTADISTICA%202003-2023/ANDE%20-%20Compilacion%20Estadistica%202003-2023.pdf" TargetMode="External" Id="rId10"/><Relationship Type="http://schemas.openxmlformats.org/officeDocument/2006/relationships/hyperlink" Target="https://www.ande.gov.py/finanzas/2.%20COMPILACION%20ESTADISTICA%202003-2023/ANDE%20-%20Compilacion%20Estadistica%202003-2023.pdf" TargetMode="External" Id="rId11"/><Relationship Type="http://schemas.openxmlformats.org/officeDocument/2006/relationships/hyperlink" Target="https://www.ande.gov.py/finanzas/2.%20COMPILACION%20ESTADISTICA%202003-2023/ANDE%20-%20Compilacion%20Estadistica%202003-2023.pdf" TargetMode="External" Id="rId12"/><Relationship Type="http://schemas.openxmlformats.org/officeDocument/2006/relationships/hyperlink" Target="https://www.ande.gov.py/finanzas/2.%20COMPILACION%20ESTADISTICA%202003-2023/ANDE%20-%20Compilacion%20Estadistica%202003-2023.pdf" TargetMode="External" Id="rId13"/><Relationship Type="http://schemas.openxmlformats.org/officeDocument/2006/relationships/hyperlink" Target="https://www.ande.gov.py/finanzas/2.%20COMPILACION%20ESTADISTICA%202003-2023/ANDE%20-%20Compilacion%20Estadistica%202003-2023.pdf" TargetMode="External" Id="rId14"/><Relationship Type="http://schemas.openxmlformats.org/officeDocument/2006/relationships/hyperlink" Target="https://www.ande.gov.py/finanzas/2.%20COMPILACION%20ESTADISTICA%202003-2023/ANDE%20-%20Compilacion%20Estadistica%202003-2023.pdf" TargetMode="External" Id="rId15"/><Relationship Type="http://schemas.openxmlformats.org/officeDocument/2006/relationships/hyperlink" Target="https://www.ande.gov.py/finanzas/2.%20COMPILACION%20ESTADISTICA%202003-2023/ANDE%20-%20Compilacion%20Estadistica%202003-2023.pdf" TargetMode="External" Id="rId16"/><Relationship Type="http://schemas.openxmlformats.org/officeDocument/2006/relationships/hyperlink" Target="https://www.ande.gov.py/finanzas/2.%20COMPILACION%20ESTADISTICA%202003-2023/ANDE%20-%20Compilacion%20Estadistica%202003-2023.pdf" TargetMode="External" Id="rId17"/><Relationship Type="http://schemas.openxmlformats.org/officeDocument/2006/relationships/hyperlink" Target="https://www.ande.gov.py/finanzas/2.%20COMPILACION%20ESTADISTICA%202003-2023/ANDE%20-%20Compilacion%20Estadistica%202003-2023.pdf" TargetMode="External" Id="rId18"/><Relationship Type="http://schemas.openxmlformats.org/officeDocument/2006/relationships/hyperlink" Target="https://www.ande.gov.py/finanzas/2.%20COMPILACION%20ESTADISTICA%202003-2023/ANDE%20-%20Compilacion%20Estadistica%202003-2023.pdf" TargetMode="External" Id="rId19"/><Relationship Type="http://schemas.openxmlformats.org/officeDocument/2006/relationships/hyperlink" Target="https://www.ande.gov.py/finanzas/2.%20COMPILACION%20ESTADISTICA%202003-2023/ANDE%20-%20Compilacion%20Estadistica%202003-2023.pdf" TargetMode="External" Id="rId20"/><Relationship Type="http://schemas.openxmlformats.org/officeDocument/2006/relationships/hyperlink" Target="https://www.ande.gov.py/finanzas/2.%20COMPILACION%20ESTADISTICA%202003-2023/ANDE%20-%20Compilacion%20Estadistica%202003-2023.pdf" TargetMode="External" Id="rId21"/><Relationship Type="http://schemas.openxmlformats.org/officeDocument/2006/relationships/hyperlink" Target="https://www.ande.gov.py/finanzas/2.%20COMPILACION%20ESTADISTICA%202003-2023/ANDE%20-%20Compilacion%20Estadistica%202003-2023.pdf" TargetMode="External" Id="rId22"/><Relationship Type="http://schemas.openxmlformats.org/officeDocument/2006/relationships/hyperlink" Target="https://www.ande.gov.py/finanzas/2.%20COMPILACION%20ESTADISTICA%202003-2023/ANDE%20-%20Compilacion%20Estadistica%202003-2023.pdf" TargetMode="External" Id="rId23"/><Relationship Type="http://schemas.openxmlformats.org/officeDocument/2006/relationships/hyperlink" Target="https://www.ande.gov.py/finanzas/2.%20COMPILACION%20ESTADISTICA%202003-2023/ANDE%20-%20Compilacion%20Estadistica%202003-2023.pdf" TargetMode="External" Id="rId24"/><Relationship Type="http://schemas.openxmlformats.org/officeDocument/2006/relationships/hyperlink" Target="https://www.ande.gov.py/finanzas/2.%20COMPILACION%20ESTADISTICA%202003-2023/ANDE%20-%20Compilacion%20Estadistica%202003-2023.pdf" TargetMode="External" Id="rId25"/><Relationship Type="http://schemas.openxmlformats.org/officeDocument/2006/relationships/hyperlink" Target="https://www.ande.gov.py/finanzas/2.%20COMPILACION%20ESTADISTICA%202003-2023/ANDE%20-%20Compilacion%20Estadistica%202003-2023.pdf" TargetMode="External" Id="rId26"/><Relationship Type="http://schemas.openxmlformats.org/officeDocument/2006/relationships/hyperlink" Target="https://www.ande.gov.py/finanzas/2.%20COMPILACION%20ESTADISTICA%202003-2023/ANDE%20-%20Compilacion%20Estadistica%202003-2023.pdf" TargetMode="External" Id="rId27"/><Relationship Type="http://schemas.openxmlformats.org/officeDocument/2006/relationships/hyperlink" Target="https://www.ande.gov.py/finanzas/2.%20COMPILACION%20ESTADISTICA%202003-2023/ANDE%20-%20Compilacion%20Estadistica%202003-2023.pdf" TargetMode="External" Id="rId28"/><Relationship Type="http://schemas.openxmlformats.org/officeDocument/2006/relationships/hyperlink" Target="https://www.ande.gov.py/finanzas/2.%20COMPILACION%20ESTADISTICA%202003-2023/ANDE%20-%20Compilacion%20Estadistica%202003-2023.pdf" TargetMode="External" Id="rId29"/><Relationship Type="http://schemas.openxmlformats.org/officeDocument/2006/relationships/hyperlink" Target="https://www.ande.gov.py/finanzas/2.%20COMPILACION%20ESTADISTICA%202003-2023/ANDE%20-%20Compilacion%20Estadistica%202003-2023.pdf" TargetMode="External" Id="rId30"/><Relationship Type="http://schemas.openxmlformats.org/officeDocument/2006/relationships/hyperlink" Target="https://www.ande.gov.py/finanzas/2.%20COMPILACION%20ESTADISTICA%202003-2023/ANDE%20-%20Compilacion%20Estadistica%202003-2023.pdf" TargetMode="External" Id="rId31"/><Relationship Type="http://schemas.openxmlformats.org/officeDocument/2006/relationships/hyperlink" Target="https://www.ande.gov.py/finanzas/2.%20COMPILACION%20ESTADISTICA%202003-2023/ANDE%20-%20Compilacion%20Estadistica%202003-2023.pdf" TargetMode="External" Id="rId32"/><Relationship Type="http://schemas.openxmlformats.org/officeDocument/2006/relationships/hyperlink" Target="https://www.ande.gov.py/finanzas/2.%20COMPILACION%20ESTADISTICA%202003-2023/ANDE%20-%20Compilacion%20Estadistica%202003-2023.pdf" TargetMode="External" Id="rId33"/><Relationship Type="http://schemas.openxmlformats.org/officeDocument/2006/relationships/hyperlink" Target="https://www.ande.gov.py/finanzas/2.%20COMPILACION%20ESTADISTICA%202003-2023/ANDE%20-%20Compilacion%20Estadistica%202003-2023.pdf" TargetMode="External" Id="rId34"/><Relationship Type="http://schemas.openxmlformats.org/officeDocument/2006/relationships/hyperlink" Target="https://www.ande.gov.py/finanzas/2.%20COMPILACION%20ESTADISTICA%202003-2023/ANDE%20-%20Compilacion%20Estadistica%202003-2023.pdf" TargetMode="External" Id="rId35"/><Relationship Type="http://schemas.openxmlformats.org/officeDocument/2006/relationships/hyperlink" Target="https://www.ande.gov.py/finanzas/2.%20COMPILACION%20ESTADISTICA%202003-2023/ANDE%20-%20Compilacion%20Estadistica%202003-2023.pdf" TargetMode="External" Id="rId36"/><Relationship Type="http://schemas.openxmlformats.org/officeDocument/2006/relationships/hyperlink" Target="https://www.ande.gov.py/finanzas/2.%20COMPILACION%20ESTADISTICA%202003-2023/ANDE%20-%20Compilacion%20Estadistica%202003-2023.pdf" TargetMode="External" Id="rId37"/><Relationship Type="http://schemas.openxmlformats.org/officeDocument/2006/relationships/hyperlink" Target="https://www.ande.gov.py/finanzas/2.%20COMPILACION%20ESTADISTICA%202003-2023/ANDE%20-%20Compilacion%20Estadistica%202003-2023.pdf" TargetMode="External" Id="rId38"/><Relationship Type="http://schemas.openxmlformats.org/officeDocument/2006/relationships/hyperlink" Target="https://www.ande.gov.py/finanzas/2.%20COMPILACION%20ESTADISTICA%202003-2023/ANDE%20-%20Compilacion%20Estadistica%202003-2023.pdf" TargetMode="External" Id="rId39"/><Relationship Type="http://schemas.openxmlformats.org/officeDocument/2006/relationships/hyperlink" Target="https://www.ande.gov.py/finanzas/2.%20COMPILACION%20ESTADISTICA%202003-2023/ANDE%20-%20Compilacion%20Estadistica%202003-2023.pdf" TargetMode="External" Id="rId40"/><Relationship Type="http://schemas.openxmlformats.org/officeDocument/2006/relationships/hyperlink" Target="https://www.ande.gov.py/finanzas/2.%20COMPILACION%20ESTADISTICA%202003-2023/ANDE%20-%20Compilacion%20Estadistica%202003-2023.pdf" TargetMode="External" Id="rId41"/><Relationship Type="http://schemas.openxmlformats.org/officeDocument/2006/relationships/hyperlink" Target="https://www.ande.gov.py/finanzas/2.%20COMPILACION%20ESTADISTICA%202003-2023/ANDE%20-%20Compilacion%20Estadistica%202003-2023.pdf" TargetMode="External" Id="rId42"/><Relationship Type="http://schemas.openxmlformats.org/officeDocument/2006/relationships/hyperlink" Target="https://www.ande.gov.py/finanzas/2.%20COMPILACION%20ESTADISTICA%202003-2023/ANDE%20-%20Compilacion%20Estadistica%202003-2023.pdf" TargetMode="External" Id="rId43"/><Relationship Type="http://schemas.openxmlformats.org/officeDocument/2006/relationships/hyperlink" Target="https://www.ande.gov.py/finanzas/2.%20COMPILACION%20ESTADISTICA%202003-2023/ANDE%20-%20Compilacion%20Estadistica%202003-2023.pdf" TargetMode="External" Id="rId44"/><Relationship Type="http://schemas.openxmlformats.org/officeDocument/2006/relationships/hyperlink" Target="https://www.ande.gov.py/finanzas/2.%20COMPILACION%20ESTADISTICA%202003-2023/ANDE%20-%20Compilacion%20Estadistica%202003-2023.pdf" TargetMode="External" Id="rId45"/><Relationship Type="http://schemas.openxmlformats.org/officeDocument/2006/relationships/hyperlink" Target="https://www.ande.gov.py/finanzas/2.%20COMPILACION%20ESTADISTICA%202003-2023/ANDE%20-%20Compilacion%20Estadistica%202003-2023.pdf" TargetMode="External" Id="rId46"/><Relationship Type="http://schemas.openxmlformats.org/officeDocument/2006/relationships/hyperlink" Target="https://www.ande.gov.py/finanzas/ANDE%20-%20Resumen%20Estad%C3%ADstico%202020%20-%202024.pdf" TargetMode="External" Id="rId47"/><Relationship Type="http://schemas.openxmlformats.org/officeDocument/2006/relationships/hyperlink" Target="https://www.ande.gov.py/finanzas/ANDE%20-%20Resumen%20Estad%C3%ADstico%202020%20-%202024.pdf" TargetMode="External" Id="rId48"/><Relationship Type="http://schemas.openxmlformats.org/officeDocument/2006/relationships/hyperlink" Target="https://www.ande.gov.py/finanzas/ANDE%20-%20Resumen%20Estad%C3%ADstico%202020%20-%202024.pdf" TargetMode="External" Id="rId49"/><Relationship Type="http://schemas.openxmlformats.org/officeDocument/2006/relationships/hyperlink" Target="https://www.ande.gov.py/finanzas/BAGP%202025%20ANDE.pdf" TargetMode="External" Id="rId50"/><Relationship Type="http://schemas.openxmlformats.org/officeDocument/2006/relationships/hyperlink" Target="https://www.ande.gov.py/finanzas/BAGP%202025%20ANDE.pdf" TargetMode="External" Id="rId51"/><Relationship Type="http://schemas.openxmlformats.org/officeDocument/2006/relationships/hyperlink" Target="https://www.ande.gov.py/finanzas/BAGP%202025%20ANDE.pdf" TargetMode="External" Id="rId52"/><Relationship Type="http://schemas.openxmlformats.org/officeDocument/2006/relationships/hyperlink" Target="https://www.ande.gov.py/finanzas/ANDE%20-%20Resumen%20Estad%C3%ADstico%202020%20-%202024.pdf" TargetMode="External" Id="rId53"/><Relationship Type="http://schemas.openxmlformats.org/officeDocument/2006/relationships/hyperlink" Target="https://www.ande.gov.py/finanzas/ANDE%20-%20Resumen%20Estad%C3%ADstico%202020%20-%202024.pdf" TargetMode="External" Id="rId54"/><Relationship Type="http://schemas.openxmlformats.org/officeDocument/2006/relationships/hyperlink" Target="https://www.ande.gov.py/finanzas/ANDE%20-%20Resumen%20Estad%C3%ADstico%202020%20-%202024.pdf" TargetMode="External" Id="rId55"/><Relationship Type="http://schemas.openxmlformats.org/officeDocument/2006/relationships/hyperlink" Target="https://www.ande.gov.py/finanzas/ANDE%20-%20Resumen%20Estad%C3%ADstico%202020%20-%202024.pdf" TargetMode="External" Id="rId56"/><Relationship Type="http://schemas.openxmlformats.org/officeDocument/2006/relationships/hyperlink" Target="https://www.ande.gov.py/finanzas/ANDE%20-%20Resumen%20Estad%C3%ADstico%202020%20-%202024.pdf" TargetMode="External" Id="rId57"/><Relationship Type="http://schemas.openxmlformats.org/officeDocument/2006/relationships/hyperlink" Target="https://www.ande.gov.py/finanzas/ANDE%20-%20Resumen%20Estad%C3%ADstico%202020%20-%202024.pdf" TargetMode="External" Id="rId58"/><Relationship Type="http://schemas.openxmlformats.org/officeDocument/2006/relationships/hyperlink" Target="https://www.ande.gov.py/finanzas/ANDE%20-%20Resumen%20Estad%C3%ADstico%202020%20-%202024.pdf" TargetMode="External" Id="rId59"/><Relationship Type="http://schemas.openxmlformats.org/officeDocument/2006/relationships/hyperlink" Target="https://www.ande.gov.py/finanzas/ANDE%20-%20Resumen%20Estad%C3%ADstico%202020%20-%202024.pdf" TargetMode="External" Id="rId60"/><Relationship Type="http://schemas.openxmlformats.org/officeDocument/2006/relationships/hyperlink" Target="https://www.ande.gov.py/finanzas/ANDE%20-%20Resumen%20Estad%C3%ADstico%202020%20-%202024.pdf" TargetMode="External" Id="rId61"/><Relationship Type="http://schemas.openxmlformats.org/officeDocument/2006/relationships/hyperlink" Target="https://www.ande.gov.py/finanzas/ANDE%20-%20Resumen%20Estad%C3%ADstico%202020%20-%202024.pdf" TargetMode="External" Id="rId62"/><Relationship Type="http://schemas.openxmlformats.org/officeDocument/2006/relationships/hyperlink" Target="https://www.ande.gov.py/finanzas/ANDE%20-%20Resumen%20Estad%C3%ADstico%202020%20-%202024.pdf" TargetMode="External" Id="rId63"/><Relationship Type="http://schemas.openxmlformats.org/officeDocument/2006/relationships/hyperlink" Target="https://www.ande.gov.py/finanzas/ANDE%20-%20Resumen%20Estad%C3%ADstico%202020%20-%202024.pdf" TargetMode="External" Id="rId64"/><Relationship Type="http://schemas.openxmlformats.org/officeDocument/2006/relationships/hyperlink" Target="https://www.ande.gov.py/finanzas/ANDE%20-%20Resumen%20Estad%C3%ADstico%202020%20-%202024.pdf" TargetMode="External" Id="rId65"/><Relationship Type="http://schemas.openxmlformats.org/officeDocument/2006/relationships/hyperlink" Target="https://www.ande.gov.py/finanzas/ANDE%20-%20Resumen%20Estad%C3%ADstico%202020%20-%202024.pdf" TargetMode="External" Id="rId66"/><Relationship Type="http://schemas.openxmlformats.org/officeDocument/2006/relationships/hyperlink" Target="https://www.ande.gov.py/finanzas/ANDE%20-%20Resumen%20Estad%C3%ADstico%202020%20-%202024.pdf" TargetMode="External" Id="rId67"/><Relationship Type="http://schemas.openxmlformats.org/officeDocument/2006/relationships/hyperlink" Target="https://www.ande.gov.py/finanzas/ANDE%20-%20Resumen%20Estad%C3%ADstico%202020%20-%202024.pdf" TargetMode="External" Id="rId68"/><Relationship Type="http://schemas.openxmlformats.org/officeDocument/2006/relationships/hyperlink" Target="https://www.ande.gov.py/finanzas/ANDE%20-%20Resumen%20Estad%C3%ADstico%202020%20-%202024.pdf" TargetMode="External" Id="rId69"/><Relationship Type="http://schemas.openxmlformats.org/officeDocument/2006/relationships/hyperlink" Target="https://www.ande.gov.py/finanzas/ANDE%20-%20Resumen%20Estad%C3%ADstico%202020%20-%202024.pdf" TargetMode="External" Id="rId70"/><Relationship Type="http://schemas.openxmlformats.org/officeDocument/2006/relationships/hyperlink" Target="https://www.ande.gov.py/finanzas/ANDE%20-%20Resumen%20Estad%C3%ADstico%202020%20-%202024.pdf" TargetMode="External" Id="rId71"/><Relationship Type="http://schemas.openxmlformats.org/officeDocument/2006/relationships/hyperlink" Target="https://www.ande.gov.py/finanzas/ANDE%20-%20Resumen%20Estad%C3%ADstico%202020%20-%202024.pdf" TargetMode="External" Id="rId72"/><Relationship Type="http://schemas.openxmlformats.org/officeDocument/2006/relationships/hyperlink" Target="https://www.ande.gov.py/finanzas/ANDE%20-%20Resumen%20Estad%C3%ADstico%202020%20-%202024.pdf" TargetMode="External" Id="rId73"/><Relationship Type="http://schemas.openxmlformats.org/officeDocument/2006/relationships/hyperlink" Target="https://www.ande.gov.py/finanzas/ANDE%20-%20Resumen%20Estad%C3%ADstico%202020%20-%202024.pdf" TargetMode="External" Id="rId74"/><Relationship Type="http://schemas.openxmlformats.org/officeDocument/2006/relationships/hyperlink" Target="https://www.ande.gov.py/finanzas/ANDE%20-%20Resumen%20Estad%C3%ADstico%202020%20-%202024.pdf" TargetMode="External" Id="rId75"/><Relationship Type="http://schemas.openxmlformats.org/officeDocument/2006/relationships/hyperlink" Target="https://www.ande.gov.py/finanzas/ANDE%20-%20Resumen%20Estad%C3%ADstico%202020%20-%202024.pdf" TargetMode="External" Id="rId76"/><Relationship Type="http://schemas.openxmlformats.org/officeDocument/2006/relationships/hyperlink" Target="https://www.ande.gov.py/finanzas/ANDE%20-%20Resumen%20Estad%C3%ADstico%202020%20-%202024.pdf" TargetMode="External" Id="rId77"/><Relationship Type="http://schemas.openxmlformats.org/officeDocument/2006/relationships/hyperlink" Target="https://www.ande.gov.py/finanzas/ANDE%20-%20Resumen%20Estad%C3%ADstico%202020%20-%202024.pdf" TargetMode="External" Id="rId78"/><Relationship Type="http://schemas.openxmlformats.org/officeDocument/2006/relationships/hyperlink" Target="https://www.ande.gov.py/finanzas/ANDE%20-%20Resumen%20Estad%C3%ADstico%202020%20-%202024.pdf" TargetMode="External" Id="rId79"/><Relationship Type="http://schemas.openxmlformats.org/officeDocument/2006/relationships/hyperlink" Target="https://www.ande.gov.py/finanzas/ANDE%20-%20Resumen%20Estad%C3%ADstico%202020%20-%202024.pdf" TargetMode="External" Id="rId80"/><Relationship Type="http://schemas.openxmlformats.org/officeDocument/2006/relationships/hyperlink" Target="https://www.ande.gov.py/finanzas/ANDE%20-%20Resumen%20Estad%C3%ADstico%202020%20-%202024.pdf" TargetMode="External" Id="rId81"/><Relationship Type="http://schemas.openxmlformats.org/officeDocument/2006/relationships/hyperlink" Target="https://www.ande.gov.py/finanzas/ANDE%20-%20Resumen%20Estad%C3%ADstico%202020%20-%202024.pdf" TargetMode="External" Id="rId82"/><Relationship Type="http://schemas.openxmlformats.org/officeDocument/2006/relationships/hyperlink" Target="https://www.ande.gov.py/finanzas/ANDE%20-%20Resumen%20Estad%C3%ADstico%202020%20-%202024.pdf" TargetMode="External" Id="rId83"/><Relationship Type="http://schemas.openxmlformats.org/officeDocument/2006/relationships/hyperlink" Target="https://www.ande.gov.py/finanzas/ANDE%20-%20Resumen%20Estad%C3%ADstico%202020%20-%202024.pdf" TargetMode="External" Id="rId84"/><Relationship Type="http://schemas.openxmlformats.org/officeDocument/2006/relationships/hyperlink" Target="https://www.ande.gov.py/finanzas/ANDE%20-%20Resumen%20Estad%C3%ADstico%202020%20-%202024.pdf" TargetMode="External" Id="rId85"/><Relationship Type="http://schemas.openxmlformats.org/officeDocument/2006/relationships/hyperlink" Target="https://www.ande.gov.py/finanzas/ANDE%20-%20Resumen%20Estad%C3%ADstico%202020%20-%202024.pdf" TargetMode="External" Id="rId86"/><Relationship Type="http://schemas.openxmlformats.org/officeDocument/2006/relationships/hyperlink" Target="https://www.ande.gov.py/finanzas/ANDE%20-%20Resumen%20Estad%C3%ADstico%202020%20-%202024.pdf" TargetMode="External" Id="rId87"/><Relationship Type="http://schemas.openxmlformats.org/officeDocument/2006/relationships/hyperlink" Target="https://www.ande.gov.py/finanzas/ANDE%20-%20Resumen%20Estad%C3%ADstico%202020%20-%202024.pdf" TargetMode="External" Id="rId88"/><Relationship Type="http://schemas.openxmlformats.org/officeDocument/2006/relationships/hyperlink" Target="https://www.ande.gov.py/finanzas/ANDE%20-%20Resumen%20Estad%C3%ADstico%202020%20-%202024.pdf" TargetMode="External" Id="rId89"/><Relationship Type="http://schemas.openxmlformats.org/officeDocument/2006/relationships/hyperlink" Target="https://www.ande.gov.py/finanzas/ANDE%20-%20Resumen%20Estad%C3%ADstico%202020%20-%202024.pdf" TargetMode="External" Id="rId90"/><Relationship Type="http://schemas.openxmlformats.org/officeDocument/2006/relationships/hyperlink" Target="https://www.ande.gov.py/finanzas/ANDE%20-%20Resumen%20Estad%C3%ADstico%202020%20-%202024.pdf" TargetMode="External" Id="rId91"/><Relationship Type="http://schemas.openxmlformats.org/officeDocument/2006/relationships/hyperlink" Target="https://www.ande.gov.py/finanzas/ANDE%20-%20Resumen%20Estad%C3%ADstico%202020%20-%202024.pdf" TargetMode="External" Id="rId92"/><Relationship Type="http://schemas.openxmlformats.org/officeDocument/2006/relationships/hyperlink" Target="https://www.ande.gov.py/finanzas/ANDE%20-%20Resumen%20Estad%C3%ADstico%202020%20-%202024.pdf" TargetMode="External" Id="rId93"/><Relationship Type="http://schemas.openxmlformats.org/officeDocument/2006/relationships/hyperlink" Target="https://www.ande.gov.py/finanzas/ANDE%20-%20Resumen%20Estad%C3%ADstico%202020%20-%202024.pdf" TargetMode="External" Id="rId94"/><Relationship Type="http://schemas.openxmlformats.org/officeDocument/2006/relationships/hyperlink" Target="https://www.ande.gov.py/finanzas/ANDE%20-%20Resumen%20Estad%C3%ADstico%202020%20-%202024.pdf" TargetMode="External" Id="rId95"/><Relationship Type="http://schemas.openxmlformats.org/officeDocument/2006/relationships/hyperlink" Target="https://www.ande.gov.py/finanzas/ANDE%20-%20Resumen%20Estad%C3%ADstico%202020%20-%202024.pdf" TargetMode="External" Id="rId96"/><Relationship Type="http://schemas.openxmlformats.org/officeDocument/2006/relationships/hyperlink" Target="https://www.ande.gov.py/finanzas/ANDE%20-%20Resumen%20Estad%C3%ADstico%202020%20-%202024.pdf" TargetMode="External" Id="rId97"/><Relationship Type="http://schemas.openxmlformats.org/officeDocument/2006/relationships/hyperlink" Target="https://www.ande.gov.py/finanzas/ANDE%20-%20Resumen%20Estad%C3%ADstico%202020%20-%202024.pdf" TargetMode="External" Id="rId98"/><Relationship Type="http://schemas.openxmlformats.org/officeDocument/2006/relationships/hyperlink" Target="https://www.ande.gov.py/finanzas/ANDE%20-%20Resumen%20Estad%C3%ADstico%202020%20-%202024.pdf" TargetMode="External" Id="rId99"/><Relationship Type="http://schemas.openxmlformats.org/officeDocument/2006/relationships/hyperlink" Target="https://www.ande.gov.py/finanzas/ANDE%20-%20Resumen%20Estad%C3%ADstico%202020%20-%202024.pdf" TargetMode="External" Id="rId100"/><Relationship Type="http://schemas.openxmlformats.org/officeDocument/2006/relationships/hyperlink" Target="https://www.ande.gov.py/finanzas/ANDE%20-%20Resumen%20Estad%C3%ADstico%202020%20-%202024.pdf" TargetMode="External" Id="rId101"/><Relationship Type="http://schemas.openxmlformats.org/officeDocument/2006/relationships/hyperlink" Target="https://www.ande.gov.py/finanzas/ANDE%20-%20Resumen%20Estad%C3%ADstico%202020%20-%202024.pdf" TargetMode="External" Id="rId102"/><Relationship Type="http://schemas.openxmlformats.org/officeDocument/2006/relationships/hyperlink" Target="https://www.ande.gov.py/finanzas/BAGP%202025%20ANDE.pdf" TargetMode="External" Id="rId103"/><Relationship Type="http://schemas.openxmlformats.org/officeDocument/2006/relationships/hyperlink" Target="https://www.ande.gov.py/finanzas/BAGP%202025%20ANDE.pdf" TargetMode="External" Id="rId104"/><Relationship Type="http://schemas.openxmlformats.org/officeDocument/2006/relationships/hyperlink" Target="https://www.ande.gov.py/finanzas/BAGP%202025%20ANDE.pdf" TargetMode="External" Id="rId105"/><Relationship Type="http://schemas.openxmlformats.org/officeDocument/2006/relationships/hyperlink" Target="https://www.ande.gov.py/finanzas/BAGP%202025%20ANDE.pdf" TargetMode="External" Id="rId106"/><Relationship Type="http://schemas.openxmlformats.org/officeDocument/2006/relationships/hyperlink" Target="https://www.ande.gov.py/finanzas/BAGP%202025%20ANDE.pdf" TargetMode="External" Id="rId107"/><Relationship Type="http://schemas.openxmlformats.org/officeDocument/2006/relationships/hyperlink" Target="https://www.ande.gov.py/finanzas/BAGP%202025%20ANDE.pdf" TargetMode="External" Id="rId108"/><Relationship Type="http://schemas.openxmlformats.org/officeDocument/2006/relationships/hyperlink" Target="https://www.ande.gov.py/finanzas/BAGP%202025%20ANDE.pdf" TargetMode="External" Id="rId109"/><Relationship Type="http://schemas.openxmlformats.org/officeDocument/2006/relationships/hyperlink" Target="https://www.ande.gov.py/finanzas/BAGP%202025%20ANDE.pdf" TargetMode="External" Id="rId110"/><Relationship Type="http://schemas.openxmlformats.org/officeDocument/2006/relationships/hyperlink" Target="https://www.ande.gov.py/finanzas/BAGP%202025%20ANDE.pdf" TargetMode="External" Id="rId111"/><Relationship Type="http://schemas.openxmlformats.org/officeDocument/2006/relationships/hyperlink" Target="https://www.ande.gov.py/finanzas/BAGP%202025%20ANDE.pdf" TargetMode="External" Id="rId112"/><Relationship Type="http://schemas.openxmlformats.org/officeDocument/2006/relationships/hyperlink" Target="https://www.ande.gov.py/finanzas/BAGP%202025%20ANDE.pdf" TargetMode="External" Id="rId113"/><Relationship Type="http://schemas.openxmlformats.org/officeDocument/2006/relationships/hyperlink" Target="https://www.ande.gov.py/finanzas/BAGP%202025%20ANDE.pdf" TargetMode="External" Id="rId114"/><Relationship Type="http://schemas.openxmlformats.org/officeDocument/2006/relationships/hyperlink" Target="https://www.ande.gov.py/interna.php?id=14950" TargetMode="External" Id="rId115"/><Relationship Type="http://schemas.openxmlformats.org/officeDocument/2006/relationships/hyperlink" Target="https://www.ande.gov.py/interna.php?id=14950" TargetMode="External" Id="rId116"/><Relationship Type="http://schemas.openxmlformats.org/officeDocument/2006/relationships/hyperlink" Target="https://www.ande.gov.py/interna.php?id=14950" TargetMode="External" Id="rId117"/><Relationship Type="http://schemas.openxmlformats.org/officeDocument/2006/relationships/hyperlink" Target="https://www.ande.gov.py/interna.php?id=14950" TargetMode="External" Id="rId118"/><Relationship Type="http://schemas.openxmlformats.org/officeDocument/2006/relationships/hyperlink" Target="https://www.ande.gov.py/interna.php?id=14950" TargetMode="External" Id="rId119"/><Relationship Type="http://schemas.openxmlformats.org/officeDocument/2006/relationships/hyperlink" Target="https://www.ande.gov.py/interna.php?id=15049" TargetMode="External" Id="rId120"/><Relationship Type="http://schemas.openxmlformats.org/officeDocument/2006/relationships/hyperlink" Target="https://www.ande.gov.py/interna.php?id=15049" TargetMode="External" Id="rId121"/><Relationship Type="http://schemas.openxmlformats.org/officeDocument/2006/relationships/hyperlink" Target="https://www.ande.gov.py/interna.php?id=15049" TargetMode="External" Id="rId122"/><Relationship Type="http://schemas.openxmlformats.org/officeDocument/2006/relationships/hyperlink" Target="https://www.ande.gov.py/interna.php?id=15049" TargetMode="External" Id="rId123"/><Relationship Type="http://schemas.openxmlformats.org/officeDocument/2006/relationships/hyperlink" Target="https://www.ande.gov.py/interna.php?id=15049" TargetMode="External" Id="rId124"/><Relationship Type="http://schemas.openxmlformats.org/officeDocument/2006/relationships/hyperlink" Target="https://www.ande.gov.py/interna.php?id=15210" TargetMode="External" Id="rId125"/><Relationship Type="http://schemas.openxmlformats.org/officeDocument/2006/relationships/hyperlink" Target="https://www.ande.gov.py/interna.php?id=15210" TargetMode="External" Id="rId126"/><Relationship Type="http://schemas.openxmlformats.org/officeDocument/2006/relationships/hyperlink" Target="https://www.ande.gov.py/interna.php?id=15210" TargetMode="External" Id="rId127"/><Relationship Type="http://schemas.openxmlformats.org/officeDocument/2006/relationships/hyperlink" Target="https://www.ande.gov.py/interna.php?id=15210" TargetMode="External" Id="rId128"/><Relationship Type="http://schemas.openxmlformats.org/officeDocument/2006/relationships/hyperlink" Target="https://www.ande.gov.py/interna.php?id=15210" TargetMode="External" Id="rId129"/><Relationship Type="http://schemas.openxmlformats.org/officeDocument/2006/relationships/hyperlink" Target="https://www.ande.gov.py/interna.php?id=15297" TargetMode="External" Id="rId130"/><Relationship Type="http://schemas.openxmlformats.org/officeDocument/2006/relationships/hyperlink" Target="https://www.ande.gov.py/interna.php?id=15297" TargetMode="External" Id="rId131"/><Relationship Type="http://schemas.openxmlformats.org/officeDocument/2006/relationships/hyperlink" Target="https://www.ande.gov.py/interna.php?id=15297" TargetMode="External" Id="rId132"/><Relationship Type="http://schemas.openxmlformats.org/officeDocument/2006/relationships/hyperlink" Target="https://www.ande.gov.py/interna.php?id=15297" TargetMode="External" Id="rId133"/><Relationship Type="http://schemas.openxmlformats.org/officeDocument/2006/relationships/hyperlink" Target="https://www.ande.gov.py/interna.php?id=15297" TargetMode="External" Id="rId134"/><Relationship Type="http://schemas.openxmlformats.org/officeDocument/2006/relationships/hyperlink" Target="https://www.ande.gov.py/interna.php?id=15361" TargetMode="External" Id="rId135"/><Relationship Type="http://schemas.openxmlformats.org/officeDocument/2006/relationships/hyperlink" Target="https://www.ande.gov.py/interna.php?id=15361" TargetMode="External" Id="rId136"/><Relationship Type="http://schemas.openxmlformats.org/officeDocument/2006/relationships/hyperlink" Target="https://www.ande.gov.py/interna.php?id=15361" TargetMode="External" Id="rId137"/><Relationship Type="http://schemas.openxmlformats.org/officeDocument/2006/relationships/hyperlink" Target="https://www.ande.gov.py/interna.php?id=15361" TargetMode="External" Id="rId138"/><Relationship Type="http://schemas.openxmlformats.org/officeDocument/2006/relationships/hyperlink" Target="https://www.ande.gov.py/interna.php?id=15361" TargetMode="External" Id="rId139"/><Relationship Type="http://schemas.openxmlformats.org/officeDocument/2006/relationships/hyperlink" Target="https://www.ande.gov.py/interna.php?id=15297" TargetMode="External" Id="rId140"/><Relationship Type="http://schemas.openxmlformats.org/officeDocument/2006/relationships/hyperlink" Target="https://www.ande.gov.py/interna.php?id=15361" TargetMode="External" Id="rId141"/><Relationship Type="http://schemas.openxmlformats.org/officeDocument/2006/relationships/hyperlink" Target="https://www.ande.gov.py/interna.php?id=14173" TargetMode="External" Id="rId142"/><Relationship Type="http://schemas.openxmlformats.org/officeDocument/2006/relationships/hyperlink" Target="https://www.ande.gov.py/interna.php?id=14816" TargetMode="External" Id="rId143"/><Relationship Type="http://schemas.openxmlformats.org/officeDocument/2006/relationships/hyperlink" Target="https://www.ande.gov.py/interna.php?id=14816" TargetMode="External" Id="rId144"/><Relationship Type="http://schemas.openxmlformats.org/officeDocument/2006/relationships/hyperlink" Target="https://www.ande.gov.py/interna.php?id=14816" TargetMode="External" Id="rId145"/><Relationship Type="http://schemas.openxmlformats.org/officeDocument/2006/relationships/hyperlink" Target="https://www.ande.gov.py/interna.php?id=14816" TargetMode="External" Id="rId146"/><Relationship Type="http://schemas.openxmlformats.org/officeDocument/2006/relationships/hyperlink" Target="https://www.ande.gov.py/interna.php?id=14816" TargetMode="External" Id="rId147"/><Relationship Type="http://schemas.openxmlformats.org/officeDocument/2006/relationships/hyperlink" Target="https://www.ande.gov.py/interna.php?id=14950" TargetMode="External" Id="rId148"/><Relationship Type="http://schemas.openxmlformats.org/officeDocument/2006/relationships/hyperlink" Target="https://www.ande.gov.py/interna.php?id=14999" TargetMode="External" Id="rId149"/><Relationship Type="http://schemas.openxmlformats.org/officeDocument/2006/relationships/hyperlink" Target="https://www.ande.gov.py/interna.php?id=14999" TargetMode="External" Id="rId150"/><Relationship Type="http://schemas.openxmlformats.org/officeDocument/2006/relationships/hyperlink" Target="https://www.ande.gov.py/interna.php?id=14999" TargetMode="External" Id="rId151"/><Relationship Type="http://schemas.openxmlformats.org/officeDocument/2006/relationships/hyperlink" Target="https://www.ande.gov.py/interna.php?id=14999" TargetMode="External" Id="rId152"/><Relationship Type="http://schemas.openxmlformats.org/officeDocument/2006/relationships/hyperlink" Target="https://www.ande.gov.py/interna.php?id=14999" TargetMode="External" Id="rId153"/><Relationship Type="http://schemas.openxmlformats.org/officeDocument/2006/relationships/hyperlink" Target="https://www.ande.gov.py/interna.php?id=10223" TargetMode="External" Id="rId154"/><Relationship Type="http://schemas.openxmlformats.org/officeDocument/2006/relationships/hyperlink" Target="https://www.ande.gov.py/interna.php?id=10223" TargetMode="External" Id="rId155"/><Relationship Type="http://schemas.openxmlformats.org/officeDocument/2006/relationships/hyperlink" Target="https://www.ande.gov.py/interna.php?id=10223" TargetMode="External" Id="rId156"/><Relationship Type="http://schemas.openxmlformats.org/officeDocument/2006/relationships/hyperlink" Target="https://www.ande.gov.py/interna.php?id=10223" TargetMode="External" Id="rId157"/><Relationship Type="http://schemas.openxmlformats.org/officeDocument/2006/relationships/hyperlink" Target="https://www.eby.gov.py/wp-content/uploads/2019/12/YacyretaEnergiasMensualesDesdePuestaenMarcha.pdf" TargetMode="External" Id="rId158"/><Relationship Type="http://schemas.openxmlformats.org/officeDocument/2006/relationships/hyperlink" Target="https://www.eby.gov.py/wp-content/uploads/2019/12/YacyretaEnergiasMensualesDesdePuestaenMarcha.pdf" TargetMode="External" Id="rId159"/><Relationship Type="http://schemas.openxmlformats.org/officeDocument/2006/relationships/hyperlink" Target="https://www.eby.gov.py/wp-content/uploads/2019/12/YacyretaEnergiasMensualesDesdePuestaenMarcha.pdf" TargetMode="External" Id="rId160"/><Relationship Type="http://schemas.openxmlformats.org/officeDocument/2006/relationships/hyperlink" Target="https://www.eby.gov.py/wp-content/uploads/2019/12/YacyretaEnergiasMensualesDesdePuestaenMarcha.pdf" TargetMode="External" Id="rId161"/><Relationship Type="http://schemas.openxmlformats.org/officeDocument/2006/relationships/hyperlink" Target="https://www.eby.gov.py/wp-content/uploads/2019/12/YacyretaEnergiasMensualesDesdePuestaenMarcha.pdf" TargetMode="External" Id="rId162"/><Relationship Type="http://schemas.openxmlformats.org/officeDocument/2006/relationships/hyperlink" Target="https://www.eby.gov.py/wp-content/uploads/2019/12/YacyretaEnergiasMensualesDesdePuestaenMarcha.pdf" TargetMode="External" Id="rId163"/><Relationship Type="http://schemas.openxmlformats.org/officeDocument/2006/relationships/hyperlink" Target="https://www.eby.gov.py/wp-content/uploads/2019/12/YacyretaEnergiasMensualesDesdePuestaenMarcha.pdf" TargetMode="External" Id="rId164"/><Relationship Type="http://schemas.openxmlformats.org/officeDocument/2006/relationships/hyperlink" Target="https://www.eby.gov.py/wp-content/uploads/2019/12/YacyretaEnergiasMensualesDesdePuestaenMarcha.pdf" TargetMode="External" Id="rId165"/><Relationship Type="http://schemas.openxmlformats.org/officeDocument/2006/relationships/hyperlink" Target="https://www.eby.gov.py/wp-content/uploads/2019/12/YacyretaEnergiasMensualesDesdePuestaenMarcha.pdf" TargetMode="External" Id="rId166"/><Relationship Type="http://schemas.openxmlformats.org/officeDocument/2006/relationships/hyperlink" Target="https://www.eby.gov.py/wp-content/uploads/2019/12/YacyretaEnergiasMensualesDesdePuestaenMarcha.pdf" TargetMode="External" Id="rId167"/><Relationship Type="http://schemas.openxmlformats.org/officeDocument/2006/relationships/hyperlink" Target="https://www.eby.gov.py/wp-content/uploads/2019/12/YacyretaEnergiasMensualesDesdePuestaenMarcha.pdf" TargetMode="External" Id="rId168"/><Relationship Type="http://schemas.openxmlformats.org/officeDocument/2006/relationships/hyperlink" Target="https://www.eby.gov.py/wp-content/uploads/2019/12/YacyretaEnergiasMensualesDesdePuestaenMarcha.pdf" TargetMode="External" Id="rId169"/><Relationship Type="http://schemas.openxmlformats.org/officeDocument/2006/relationships/hyperlink" Target="https://www.eby.gov.py/wp-content/uploads/2019/12/YacyretaEnergiasMensualesDesdePuestaenMarcha.pdf" TargetMode="External" Id="rId170"/><Relationship Type="http://schemas.openxmlformats.org/officeDocument/2006/relationships/hyperlink" Target="https://www.eby.gov.py/wp-content/uploads/2019/12/YacyretaEnergiasMensualesDesdePuestaenMarcha.pdf" TargetMode="External" Id="rId171"/><Relationship Type="http://schemas.openxmlformats.org/officeDocument/2006/relationships/hyperlink" Target="https://www.eby.gov.py/wp-content/uploads/2019/12/YacyretaEnergiasMensualesDesdePuestaenMarcha.pdf" TargetMode="External" Id="rId172"/><Relationship Type="http://schemas.openxmlformats.org/officeDocument/2006/relationships/hyperlink" Target="https://www.eby.gov.py/wp-content/uploads/2019/12/YacyretaEnergiasMensualesDesdePuestaenMarcha.pdf" TargetMode="External" Id="rId173"/><Relationship Type="http://schemas.openxmlformats.org/officeDocument/2006/relationships/hyperlink" Target="https://www.eby.gov.py/wp-content/uploads/2019/12/YacyretaEnergiasMensualesDesdePuestaenMarcha.pdf" TargetMode="External" Id="rId174"/><Relationship Type="http://schemas.openxmlformats.org/officeDocument/2006/relationships/hyperlink" Target="https://www.eby.gov.py/wp-content/uploads/2019/12/YacyretaEnergiasMensualesDesdePuestaenMarcha.pdf" TargetMode="External" Id="rId175"/><Relationship Type="http://schemas.openxmlformats.org/officeDocument/2006/relationships/hyperlink" Target="https://www.eby.gov.py/wp-content/uploads/2019/12/YacyretaEnergiasMensualesDesdePuestaenMarcha.pdf" TargetMode="External" Id="rId176"/><Relationship Type="http://schemas.openxmlformats.org/officeDocument/2006/relationships/hyperlink" Target="https://www.eby.gov.py/wp-content/uploads/2019/12/YacyretaEnergiasMensualesDesdePuestaenMarcha.pdf" TargetMode="External" Id="rId177"/><Relationship Type="http://schemas.openxmlformats.org/officeDocument/2006/relationships/hyperlink" Target="https://www.eby.gov.py/wp-content/uploads/2019/12/YacyretaEnergiasMensualesDesdePuestaenMarcha.pdf" TargetMode="External" Id="rId178"/><Relationship Type="http://schemas.openxmlformats.org/officeDocument/2006/relationships/hyperlink" Target="https://www.eby.gov.py/wp-content/uploads/2019/12/YacyretaEnergiasMensualesDesdePuestaenMarcha.pdf" TargetMode="External" Id="rId179"/><Relationship Type="http://schemas.openxmlformats.org/officeDocument/2006/relationships/hyperlink" Target="https://www.eby.gov.py/wp-content/uploads/2019/12/YacyretaEnergiasMensualesDesdePuestaenMarcha.pdf" TargetMode="External" Id="rId180"/><Relationship Type="http://schemas.openxmlformats.org/officeDocument/2006/relationships/hyperlink" Target="https://www.eby.gov.py/wp-content/uploads/2019/12/YacyretaEnergiasMensualesDesdePuestaenMarcha.pdf" TargetMode="External" Id="rId181"/><Relationship Type="http://schemas.openxmlformats.org/officeDocument/2006/relationships/hyperlink" Target="https://www.eby.gov.py/wp-content/uploads/2019/12/YacyretaEnergiasMensualesDesdePuestaenMarcha.pdf" TargetMode="External" Id="rId182"/><Relationship Type="http://schemas.openxmlformats.org/officeDocument/2006/relationships/hyperlink" Target="https://www.eby.gov.py/wp-content/uploads/2019/12/YacyretaEnergiasMensualesDesdePuestaenMarcha.pdf" TargetMode="External" Id="rId183"/><Relationship Type="http://schemas.openxmlformats.org/officeDocument/2006/relationships/hyperlink" Target="https://www.eby.gov.py/wp-content/uploads/2019/12/YacyretaEnergiasMensualesDesdePuestaenMarcha.pdf" TargetMode="External" Id="rId184"/><Relationship Type="http://schemas.openxmlformats.org/officeDocument/2006/relationships/hyperlink" Target="https://www.eby.gov.py/wp-content/uploads/2019/12/YacyretaEnergiasMensualesDesdePuestaenMarcha.pdf" TargetMode="External" Id="rId185"/><Relationship Type="http://schemas.openxmlformats.org/officeDocument/2006/relationships/hyperlink" Target="https://www.eby.gov.py/wp-content/uploads/2019/12/YacyretaEnergiasMensualesDesdePuestaenMarcha.pdf" TargetMode="External" Id="rId186"/><Relationship Type="http://schemas.openxmlformats.org/officeDocument/2006/relationships/hyperlink" Target="https://www.eby.gov.py/wp-content/uploads/2019/12/YacyretaEnergiasMensualesDesdePuestaenMarcha.pdf" TargetMode="External" Id="rId187"/><Relationship Type="http://schemas.openxmlformats.org/officeDocument/2006/relationships/hyperlink" Target="https://www.eby.gov.py/wp-content/uploads/2019/12/YacyretaEnergiasMensualesDesdePuestaenMarcha.pdf" TargetMode="External" Id="rId188"/><Relationship Type="http://schemas.openxmlformats.org/officeDocument/2006/relationships/hyperlink" Target="https://www.eby.gov.py/wp-content/uploads/2019/12/YacyretaEnergiasMensualesDesdePuestaenMarcha.pdf" TargetMode="External" Id="rId189"/><Relationship Type="http://schemas.openxmlformats.org/officeDocument/2006/relationships/hyperlink" Target="https://www.eby.gov.py/wp-content/uploads/2019/12/YacyretaEnergiasMensualesDesdePuestaenMarcha.pdf" TargetMode="External" Id="rId190"/><Relationship Type="http://schemas.openxmlformats.org/officeDocument/2006/relationships/hyperlink" Target="https://www.eby.gov.py/wp-content/uploads/2019/12/YacyretaEnergiasMensualesDesdePuestaenMarcha.pdf" TargetMode="External" Id="rId191"/><Relationship Type="http://schemas.openxmlformats.org/officeDocument/2006/relationships/hyperlink" Target="https://www.eby.gov.py/wp-content/uploads/2019/12/YacyretaEnergiasMensualesDesdePuestaenMarcha.pdf" TargetMode="External" Id="rId192"/><Relationship Type="http://schemas.openxmlformats.org/officeDocument/2006/relationships/hyperlink" Target="https://www.eby.gov.py/wp-content/uploads/2019/12/YacyretaEnergiasMensualesDesdePuestaenMarcha.pdf" TargetMode="External" Id="rId193"/><Relationship Type="http://schemas.openxmlformats.org/officeDocument/2006/relationships/hyperlink" Target="https://www.eby.gov.py/wp-content/uploads/2019/12/YacyretaEnergiasMensualesDesdePuestaenMarcha.pdf" TargetMode="External" Id="rId194"/><Relationship Type="http://schemas.openxmlformats.org/officeDocument/2006/relationships/hyperlink" Target="https://www.eby.gov.py/wp-content/uploads/2019/12/YacyretaEnergiasMensualesDesdePuestaenMarcha.pdf" TargetMode="External" Id="rId195"/><Relationship Type="http://schemas.openxmlformats.org/officeDocument/2006/relationships/hyperlink" Target="https://www.eby.gov.py/wp-content/uploads/2019/12/YacyretaEnergiasMensualesDesdePuestaenMarcha.pdf" TargetMode="External" Id="rId196"/><Relationship Type="http://schemas.openxmlformats.org/officeDocument/2006/relationships/hyperlink" Target="https://www.eby.gov.py/wp-content/uploads/2019/12/YacyretaEnergiasMensualesDesdePuestaenMarcha.pdf" TargetMode="External" Id="rId197"/><Relationship Type="http://schemas.openxmlformats.org/officeDocument/2006/relationships/hyperlink" Target="https://www.eby.gov.py/wp-content/uploads/2019/12/YacyretaEnergiasMensualesDesdePuestaenMarcha.pdf" TargetMode="External" Id="rId198"/><Relationship Type="http://schemas.openxmlformats.org/officeDocument/2006/relationships/hyperlink" Target="https://www.eby.gov.py/wp-content/uploads/2019/12/YacyretaEnergiasMensualesDesdePuestaenMarcha.pdf" TargetMode="External" Id="rId199"/><Relationship Type="http://schemas.openxmlformats.org/officeDocument/2006/relationships/hyperlink" Target="https://www.eby.gov.py/wp-content/uploads/2019/12/YacyretaEnergiasMensualesDesdePuestaenMarcha.pdf" TargetMode="External" Id="rId200"/><Relationship Type="http://schemas.openxmlformats.org/officeDocument/2006/relationships/hyperlink" Target="https://www.eby.gov.py/wp-content/uploads/2019/12/YacyretaEnergiasMensualesDesdePuestaenMarcha.pdf" TargetMode="External" Id="rId201"/><Relationship Type="http://schemas.openxmlformats.org/officeDocument/2006/relationships/hyperlink" Target="https://www.eby.gov.py/wp-content/uploads/2019/12/YacyretaEnergiasMensualesDesdePuestaenMarcha.pdf" TargetMode="External" Id="rId202"/><Relationship Type="http://schemas.openxmlformats.org/officeDocument/2006/relationships/hyperlink" Target="https://www.eby.gov.py/wp-content/uploads/2019/12/YacyretaEnergiasMensualesDesdePuestaenMarcha.pdf" TargetMode="External" Id="rId203"/><Relationship Type="http://schemas.openxmlformats.org/officeDocument/2006/relationships/hyperlink" Target="https://www.eby.gov.py/wp-content/uploads/2019/12/YacyretaEnergiasMensualesDesdePuestaenMarcha.pdf" TargetMode="External" Id="rId204"/><Relationship Type="http://schemas.openxmlformats.org/officeDocument/2006/relationships/hyperlink" Target="https://www.eby.gov.py/wp-content/uploads/2019/12/YacyretaEnergiasMensualesDesdePuestaenMarcha.pdf" TargetMode="External" Id="rId205"/><Relationship Type="http://schemas.openxmlformats.org/officeDocument/2006/relationships/hyperlink" Target="https://www.eby.gov.py/wp-content/uploads/2019/12/YacyretaEnergiasMensualesDesdePuestaenMarcha.pdf" TargetMode="External" Id="rId206"/><Relationship Type="http://schemas.openxmlformats.org/officeDocument/2006/relationships/hyperlink" Target="https://www.eby.gov.py/wp-content/uploads/2019/12/YacyretaEnergiasMensualesDesdePuestaenMarcha.pdf" TargetMode="External" Id="rId207"/><Relationship Type="http://schemas.openxmlformats.org/officeDocument/2006/relationships/hyperlink" Target="https://www.eby.gov.py/wp-content/uploads/2019/12/YacyretaEnergiasMensualesDesdePuestaenMarcha.pdf" TargetMode="External" Id="rId208"/><Relationship Type="http://schemas.openxmlformats.org/officeDocument/2006/relationships/hyperlink" Target="https://www.eby.gov.py/wp-content/uploads/2019/12/YacyretaEnergiasMensualesDesdePuestaenMarcha.pdf" TargetMode="External" Id="rId209"/><Relationship Type="http://schemas.openxmlformats.org/officeDocument/2006/relationships/hyperlink" Target="https://www.eby.gov.py/wp-content/uploads/2019/12/YacyretaEnergiasMensualesDesdePuestaenMarcha.pdf" TargetMode="External" Id="rId210"/><Relationship Type="http://schemas.openxmlformats.org/officeDocument/2006/relationships/hyperlink" Target="https://www.eby.gov.py/wp-content/uploads/2019/12/YacyretaEnergiasMensualesDesdePuestaenMarcha.pdf" TargetMode="External" Id="rId211"/><Relationship Type="http://schemas.openxmlformats.org/officeDocument/2006/relationships/hyperlink" Target="https://www.eby.gov.py/wp-content/uploads/2019/12/YacyretaEnergiasMensualesDesdePuestaenMarcha.pdf" TargetMode="External" Id="rId212"/><Relationship Type="http://schemas.openxmlformats.org/officeDocument/2006/relationships/hyperlink" Target="https://www.eby.gov.py/wp-content/uploads/2019/12/YacyretaEnergiasMensualesDesdePuestaenMarcha.pdf" TargetMode="External" Id="rId213"/><Relationship Type="http://schemas.openxmlformats.org/officeDocument/2006/relationships/hyperlink" Target="https://www.eby.gov.py/wp-content/uploads/2019/12/YacyretaEnergiasMensualesDesdePuestaenMarcha.pdf" TargetMode="External" Id="rId214"/><Relationship Type="http://schemas.openxmlformats.org/officeDocument/2006/relationships/hyperlink" Target="https://www.eby.gov.py/wp-content/uploads/2019/12/YacyretaEnergiasMensualesDesdePuestaenMarcha.pdf" TargetMode="External" Id="rId215"/><Relationship Type="http://schemas.openxmlformats.org/officeDocument/2006/relationships/hyperlink" Target="https://www.eby.gov.py/wp-content/uploads/2019/12/YacyretaEnergiasMensualesDesdePuestaenMarcha.pdf" TargetMode="External" Id="rId216"/><Relationship Type="http://schemas.openxmlformats.org/officeDocument/2006/relationships/hyperlink" Target="https://www.eby.gov.py/wp-content/uploads/2019/12/YacyretaEnergiasMensualesDesdePuestaenMarcha.pdf" TargetMode="External" Id="rId217"/><Relationship Type="http://schemas.openxmlformats.org/officeDocument/2006/relationships/hyperlink" Target="https://www.eby.gov.py/wp-content/uploads/2019/12/YacyretaEnergiasMensualesDesdePuestaenMarcha.pdf" TargetMode="External" Id="rId218"/><Relationship Type="http://schemas.openxmlformats.org/officeDocument/2006/relationships/hyperlink" Target="https://www.eby.gov.py/wp-content/uploads/2019/12/YacyretaEnergiasMensualesDesdePuestaenMarcha.pdf" TargetMode="External" Id="rId219"/><Relationship Type="http://schemas.openxmlformats.org/officeDocument/2006/relationships/hyperlink" Target="https://www.eby.gov.py/wp-content/uploads/2019/12/YacyretaEnergiasMensualesDesdePuestaenMarcha.pdf" TargetMode="External" Id="rId220"/><Relationship Type="http://schemas.openxmlformats.org/officeDocument/2006/relationships/hyperlink" Target="https://www.eby.gov.py/wp-content/uploads/2019/12/YacyretaEnergiasMensualesDesdePuestaenMarcha.pdf" TargetMode="External" Id="rId221"/><Relationship Type="http://schemas.openxmlformats.org/officeDocument/2006/relationships/hyperlink" Target="https://www.eby.gov.py/wp-content/uploads/2019/12/YacyretaEnergiasMensualesDesdePuestaenMarcha.pdf" TargetMode="External" Id="rId222"/><Relationship Type="http://schemas.openxmlformats.org/officeDocument/2006/relationships/hyperlink" Target="https://www.eby.gov.py/wp-content/uploads/2019/12/YacyretaEnergiasMensualesDesdePuestaenMarcha.pdf" TargetMode="External" Id="rId223"/><Relationship Type="http://schemas.openxmlformats.org/officeDocument/2006/relationships/hyperlink" Target="https://www.eby.gov.py/wp-content/uploads/2019/12/YacyretaEnergiasMensualesDesdePuestaenMarcha.pdf" TargetMode="External" Id="rId224"/><Relationship Type="http://schemas.openxmlformats.org/officeDocument/2006/relationships/hyperlink" Target="https://www.eby.gov.py/wp-content/uploads/2019/12/YacyretaEnergiasMensualesDesdePuestaenMarcha.pdf" TargetMode="External" Id="rId225"/><Relationship Type="http://schemas.openxmlformats.org/officeDocument/2006/relationships/hyperlink" Target="https://www.eby.gov.py/wp-content/uploads/2019/12/YacyretaEnergiasMensualesDesdePuestaenMarcha.pdf" TargetMode="External" Id="rId226"/><Relationship Type="http://schemas.openxmlformats.org/officeDocument/2006/relationships/hyperlink" Target="https://www.eby.gov.py/wp-content/uploads/2019/12/YacyretaEnergiasMensualesDesdePuestaenMarcha.pdf" TargetMode="External" Id="rId227"/><Relationship Type="http://schemas.openxmlformats.org/officeDocument/2006/relationships/hyperlink" Target="https://www.eby.gov.py/wp-content/uploads/2019/12/YacyretaEnergiasMensualesDesdePuestaenMarcha.pdf" TargetMode="External" Id="rId228"/><Relationship Type="http://schemas.openxmlformats.org/officeDocument/2006/relationships/hyperlink" Target="https://www.eby.gov.py/wp-content/uploads/2019/12/YacyretaEnergiasMensualesDesdePuestaenMarcha.pdf" TargetMode="External" Id="rId229"/><Relationship Type="http://schemas.openxmlformats.org/officeDocument/2006/relationships/hyperlink" Target="https://www.eby.gov.py/wp-content/uploads/2019/12/YacyretaEnergiasMensualesDesdePuestaenMarcha.pdf" TargetMode="External" Id="rId230"/><Relationship Type="http://schemas.openxmlformats.org/officeDocument/2006/relationships/hyperlink" Target="https://www.eby.gov.py/wp-content/uploads/2019/12/YacyretaEnergiasMensualesDesdePuestaenMarcha.pdf" TargetMode="External" Id="rId231"/><Relationship Type="http://schemas.openxmlformats.org/officeDocument/2006/relationships/hyperlink" Target="https://www.eby.gov.py/wp-content/uploads/2019/12/YacyretaEnergiasMensualesDesdePuestaenMarcha.pdf" TargetMode="External" Id="rId232"/><Relationship Type="http://schemas.openxmlformats.org/officeDocument/2006/relationships/hyperlink" Target="https://www.eby.gov.py/wp-content/uploads/2019/12/YacyretaEnergiasMensualesDesdePuestaenMarcha.pdf" TargetMode="External" Id="rId233"/><Relationship Type="http://schemas.openxmlformats.org/officeDocument/2006/relationships/hyperlink" Target="https://www.eby.gov.py/wp-content/uploads/2019/12/YacyretaEnergiasMensualesDesdePuestaenMarcha.pdf" TargetMode="External" Id="rId234"/><Relationship Type="http://schemas.openxmlformats.org/officeDocument/2006/relationships/hyperlink" Target="https://www.eby.gov.py/wp-content/uploads/2019/12/YacyretaEnergiasMensualesDesdePuestaenMarcha.pdf" TargetMode="External" Id="rId235"/><Relationship Type="http://schemas.openxmlformats.org/officeDocument/2006/relationships/hyperlink" Target="https://www.eby.gov.py/wp-content/uploads/2019/12/YacyretaEnergiasMensualesDesdePuestaenMarcha.pdf" TargetMode="External" Id="rId236"/><Relationship Type="http://schemas.openxmlformats.org/officeDocument/2006/relationships/hyperlink" Target="https://www.eby.gov.py/wp-content/uploads/2019/12/YacyretaEnergiasMensualesDesdePuestaenMarcha.pdf" TargetMode="External" Id="rId237"/><Relationship Type="http://schemas.openxmlformats.org/officeDocument/2006/relationships/hyperlink" Target="https://www.eby.gov.py/wp-content/uploads/2019/12/YacyretaEnergiasMensualesDesdePuestaenMarcha.pdf" TargetMode="External" Id="rId238"/><Relationship Type="http://schemas.openxmlformats.org/officeDocument/2006/relationships/hyperlink" Target="https://www.eby.gov.py/wp-content/uploads/2019/12/YacyretaEnergiasMensualesDesdePuestaenMarcha.pdf" TargetMode="External" Id="rId239"/><Relationship Type="http://schemas.openxmlformats.org/officeDocument/2006/relationships/hyperlink" Target="https://www.eby.gov.py/wp-content/uploads/2019/12/YacyretaEnergiasMensualesDesdePuestaenMarcha.pdf" TargetMode="External" Id="rId240"/><Relationship Type="http://schemas.openxmlformats.org/officeDocument/2006/relationships/hyperlink" Target="https://www.eby.gov.py/wp-content/uploads/2019/12/YacyretaEnergiasMensualesDesdePuestaenMarcha.pdf" TargetMode="External" Id="rId241"/><Relationship Type="http://schemas.openxmlformats.org/officeDocument/2006/relationships/hyperlink" Target="https://www.eby.gov.py/wp-content/uploads/2019/12/YacyretaEnergiasMensualesDesdePuestaenMarcha.pdf" TargetMode="External" Id="rId242"/><Relationship Type="http://schemas.openxmlformats.org/officeDocument/2006/relationships/hyperlink" Target="https://www.eby.gov.py/wp-content/uploads/2019/12/YacyretaEnergiasMensualesDesdePuestaenMarcha.pdf" TargetMode="External" Id="rId243"/><Relationship Type="http://schemas.openxmlformats.org/officeDocument/2006/relationships/hyperlink" Target="https://www.eby.gov.py/wp-content/uploads/2019/12/YacyretaEnergiasMensualesDesdePuestaenMarcha.pdf" TargetMode="External" Id="rId244"/><Relationship Type="http://schemas.openxmlformats.org/officeDocument/2006/relationships/hyperlink" Target="https://www.eby.gov.py/wp-content/uploads/2019/12/YacyretaEnergiasMensualesDesdePuestaenMarcha.pdf" TargetMode="External" Id="rId245"/><Relationship Type="http://schemas.openxmlformats.org/officeDocument/2006/relationships/hyperlink" Target="https://www.eby.gov.py/wp-content/uploads/2019/12/YacyretaEnergiasMensualesDesdePuestaenMarcha.pdf" TargetMode="External" Id="rId246"/><Relationship Type="http://schemas.openxmlformats.org/officeDocument/2006/relationships/hyperlink" Target="https://www.eby.gov.py/wp-content/uploads/2019/12/YacyretaEnergiasMensualesDesdePuestaenMarcha.pdf" TargetMode="External" Id="rId247"/><Relationship Type="http://schemas.openxmlformats.org/officeDocument/2006/relationships/hyperlink" Target="https://www.eby.gov.py/wp-content/uploads/2019/12/YacyretaEnergiasMensualesDesdePuestaenMarcha.pdf" TargetMode="External" Id="rId248"/><Relationship Type="http://schemas.openxmlformats.org/officeDocument/2006/relationships/hyperlink" Target="https://www.eby.gov.py/wp-content/uploads/2019/12/YacyretaEnergiasMensualesDesdePuestaenMarcha.pdf" TargetMode="External" Id="rId249"/><Relationship Type="http://schemas.openxmlformats.org/officeDocument/2006/relationships/hyperlink" Target="https://www.eby.gov.py/wp-content/uploads/2019/12/YacyretaEnergiasMensualesDesdePuestaenMarcha.pdf" TargetMode="External" Id="rId250"/><Relationship Type="http://schemas.openxmlformats.org/officeDocument/2006/relationships/hyperlink" Target="https://www.eby.gov.py/wp-content/uploads/2019/12/YacyretaEnergiasMensualesDesdePuestaenMarcha.pdf" TargetMode="External" Id="rId251"/><Relationship Type="http://schemas.openxmlformats.org/officeDocument/2006/relationships/hyperlink" Target="https://www.eby.gov.py/wp-content/uploads/2019/12/YacyretaEnergiasMensualesDesdePuestaenMarcha.pdf" TargetMode="External" Id="rId252"/><Relationship Type="http://schemas.openxmlformats.org/officeDocument/2006/relationships/hyperlink" Target="https://www.eby.gov.py/wp-content/uploads/2019/12/YacyretaEnergiasMensualesDesdePuestaenMarcha.pdf" TargetMode="External" Id="rId253"/><Relationship Type="http://schemas.openxmlformats.org/officeDocument/2006/relationships/hyperlink" Target="https://www.eby.gov.py/wp-content/uploads/2019/12/YacyretaEnergiasMensualesDesdePuestaenMarcha.pdf" TargetMode="External" Id="rId254"/><Relationship Type="http://schemas.openxmlformats.org/officeDocument/2006/relationships/hyperlink" Target="https://www.eby.gov.py/wp-content/uploads/2019/12/YacyretaEnergiasMensualesDesdePuestaenMarcha.pdf" TargetMode="External" Id="rId255"/><Relationship Type="http://schemas.openxmlformats.org/officeDocument/2006/relationships/hyperlink" Target="https://www.eby.gov.py/wp-content/uploads/2019/12/YacyretaEnergiasMensualesDesdePuestaenMarcha.pdf" TargetMode="External" Id="rId256"/><Relationship Type="http://schemas.openxmlformats.org/officeDocument/2006/relationships/hyperlink" Target="https://www.eby.gov.py/wp-content/uploads/2019/12/YacyretaEnergiasMensualesDesdePuestaenMarcha.pdf" TargetMode="External" Id="rId257"/><Relationship Type="http://schemas.openxmlformats.org/officeDocument/2006/relationships/hyperlink" Target="https://www.eby.gov.py/wp-content/uploads/2019/12/YacyretaEnergiasMensualesDesdePuestaenMarcha.pdf" TargetMode="External" Id="rId258"/><Relationship Type="http://schemas.openxmlformats.org/officeDocument/2006/relationships/hyperlink" Target="https://www.eby.gov.py/wp-content/uploads/2019/12/YacyretaEnergiasMensualesDesdePuestaenMarcha.pdf" TargetMode="External" Id="rId259"/><Relationship Type="http://schemas.openxmlformats.org/officeDocument/2006/relationships/hyperlink" Target="https://www.eby.gov.py/wp-content/uploads/2019/12/YacyretaEnergiasMensualesDesdePuestaenMarcha.pdf" TargetMode="External" Id="rId260"/><Relationship Type="http://schemas.openxmlformats.org/officeDocument/2006/relationships/hyperlink" Target="https://www.eby.gov.py/wp-content/uploads/2019/12/YacyretaEnergiasMensualesDesdePuestaenMarcha.pdf" TargetMode="External" Id="rId261"/><Relationship Type="http://schemas.openxmlformats.org/officeDocument/2006/relationships/hyperlink" Target="https://www.eby.gov.py/wp-content/uploads/2019/12/YacyretaEnergiasMensualesDesdePuestaenMarcha.pdf" TargetMode="External" Id="rId262"/><Relationship Type="http://schemas.openxmlformats.org/officeDocument/2006/relationships/hyperlink" Target="https://www.eby.gov.py/wp-content/uploads/2019/12/YacyretaEnergiasMensualesDesdePuestaenMarcha.pdf" TargetMode="External" Id="rId263"/><Relationship Type="http://schemas.openxmlformats.org/officeDocument/2006/relationships/hyperlink" Target="https://www.eby.gov.py/wp-content/uploads/2019/12/YacyretaEnergiasMensualesDesdePuestaenMarcha.pdf" TargetMode="External" Id="rId264"/><Relationship Type="http://schemas.openxmlformats.org/officeDocument/2006/relationships/hyperlink" Target="https://www.eby.gov.py/wp-content/uploads/2019/12/YacyretaEnergiasMensualesDesdePuestaenMarcha.pdf" TargetMode="External" Id="rId265"/><Relationship Type="http://schemas.openxmlformats.org/officeDocument/2006/relationships/hyperlink" Target="https://www.eby.gov.py/wp-content/uploads/2019/12/YacyretaEnergiasMensualesDesdePuestaenMarcha.pdf" TargetMode="External" Id="rId266"/><Relationship Type="http://schemas.openxmlformats.org/officeDocument/2006/relationships/hyperlink" Target="https://www.eby.gov.py/wp-content/uploads/2019/12/YacyretaEnergiasMensualesDesdePuestaenMarcha.pdf" TargetMode="External" Id="rId267"/><Relationship Type="http://schemas.openxmlformats.org/officeDocument/2006/relationships/hyperlink" Target="https://www.eby.gov.py/wp-content/uploads/2019/12/YacyretaEnergiasMensualesDesdePuestaenMarcha.pdf" TargetMode="External" Id="rId268"/><Relationship Type="http://schemas.openxmlformats.org/officeDocument/2006/relationships/hyperlink" Target="https://www.eby.gov.py/wp-content/uploads/2019/12/YacyretaEnergiasMensualesDesdePuestaenMarcha.pdf" TargetMode="External" Id="rId269"/><Relationship Type="http://schemas.openxmlformats.org/officeDocument/2006/relationships/hyperlink" Target="https://www.eby.gov.py/wp-content/uploads/2019/12/YacyretaEnergiasMensualesDesdePuestaenMarcha.pdf" TargetMode="External" Id="rId270"/><Relationship Type="http://schemas.openxmlformats.org/officeDocument/2006/relationships/hyperlink" Target="https://www.eby.gov.py/wp-content/uploads/2019/12/YacyretaEnergiasMensualesDesdePuestaenMarcha.pdf" TargetMode="External" Id="rId271"/><Relationship Type="http://schemas.openxmlformats.org/officeDocument/2006/relationships/hyperlink" Target="https://www.eby.gov.py/wp-content/uploads/2019/12/YacyretaEnergiasMensualesDesdePuestaenMarcha.pdf" TargetMode="External" Id="rId272"/><Relationship Type="http://schemas.openxmlformats.org/officeDocument/2006/relationships/hyperlink" Target="https://www.eby.gov.py/wp-content/uploads/2019/12/YacyretaEnergiasMensualesDesdePuestaenMarcha.pdf" TargetMode="External" Id="rId273"/><Relationship Type="http://schemas.openxmlformats.org/officeDocument/2006/relationships/hyperlink" Target="https://www.eby.gov.py/wp-content/uploads/2019/12/YacyretaEnergiasMensualesDesdePuestaenMarcha.pdf" TargetMode="External" Id="rId274"/><Relationship Type="http://schemas.openxmlformats.org/officeDocument/2006/relationships/hyperlink" Target="https://www.eby.gov.py/wp-content/uploads/2019/12/YacyretaEnergiasMensualesDesdePuestaenMarcha.pdf" TargetMode="External" Id="rId275"/><Relationship Type="http://schemas.openxmlformats.org/officeDocument/2006/relationships/hyperlink" Target="https://www.eby.gov.py/wp-content/uploads/2019/12/YacyretaEnergiasMensualesDesdePuestaenMarcha.pdf" TargetMode="External" Id="rId276"/><Relationship Type="http://schemas.openxmlformats.org/officeDocument/2006/relationships/hyperlink" Target="https://www.eby.gov.py/wp-content/uploads/2019/12/YacyretaEnergiasMensualesDesdePuestaenMarcha.pdf" TargetMode="External" Id="rId277"/><Relationship Type="http://schemas.openxmlformats.org/officeDocument/2006/relationships/hyperlink" Target="https://www.eby.gov.py/wp-content/uploads/2019/12/YacyretaEnergiasMensualesDesdePuestaenMarcha.pdf" TargetMode="External" Id="rId278"/><Relationship Type="http://schemas.openxmlformats.org/officeDocument/2006/relationships/hyperlink" Target="https://www.eby.gov.py/wp-content/uploads/2019/12/YacyretaEnergiasMensualesDesdePuestaenMarcha.pdf" TargetMode="External" Id="rId279"/><Relationship Type="http://schemas.openxmlformats.org/officeDocument/2006/relationships/hyperlink" Target="https://www.eby.gov.py/wp-content/uploads/2019/12/YacyretaEnergiasMensualesDesdePuestaenMarcha.pdf" TargetMode="External" Id="rId280"/><Relationship Type="http://schemas.openxmlformats.org/officeDocument/2006/relationships/hyperlink" Target="https://www.eby.gov.py/wp-content/uploads/2019/12/YacyretaEnergiasMensualesDesdePuestaenMarcha.pdf" TargetMode="External" Id="rId281"/><Relationship Type="http://schemas.openxmlformats.org/officeDocument/2006/relationships/hyperlink" Target="https://www.eby.gov.py/wp-content/uploads/2019/12/YacyretaEnergiasMensualesDesdePuestaenMarcha.pdf" TargetMode="External" Id="rId282"/><Relationship Type="http://schemas.openxmlformats.org/officeDocument/2006/relationships/hyperlink" Target="https://www.eby.gov.py/wp-content/uploads/2019/12/YacyretaEnergiasMensualesDesdePuestaenMarcha.pdf" TargetMode="External" Id="rId283"/><Relationship Type="http://schemas.openxmlformats.org/officeDocument/2006/relationships/hyperlink" Target="https://www.eby.gov.py/wp-content/uploads/2019/12/YacyretaEnergiasMensualesDesdePuestaenMarcha.pdf" TargetMode="External" Id="rId284"/><Relationship Type="http://schemas.openxmlformats.org/officeDocument/2006/relationships/hyperlink" Target="https://www.eby.gov.py/wp-content/uploads/2019/12/YacyretaEnergiasMensualesDesdePuestaenMarcha.pdf" TargetMode="External" Id="rId285"/><Relationship Type="http://schemas.openxmlformats.org/officeDocument/2006/relationships/hyperlink" Target="https://www.eby.gov.py/wp-content/uploads/2019/12/YacyretaEnergiasMensualesDesdePuestaenMarcha.pdf" TargetMode="External" Id="rId286"/><Relationship Type="http://schemas.openxmlformats.org/officeDocument/2006/relationships/hyperlink" Target="https://www.eby.gov.py/wp-content/uploads/2019/12/YacyretaEnergiasMensualesDesdePuestaenMarcha.pdf" TargetMode="External" Id="rId287"/><Relationship Type="http://schemas.openxmlformats.org/officeDocument/2006/relationships/hyperlink" Target="https://www.eby.gov.py/wp-content/uploads/2019/12/YacyretaEnergiasMensualesDesdePuestaenMarcha.pdf" TargetMode="External" Id="rId288"/><Relationship Type="http://schemas.openxmlformats.org/officeDocument/2006/relationships/hyperlink" Target="https://www.eby.gov.py/wp-content/uploads/2019/12/YacyretaEnergiasMensualesDesdePuestaenMarcha.pdf" TargetMode="External" Id="rId289"/><Relationship Type="http://schemas.openxmlformats.org/officeDocument/2006/relationships/hyperlink" Target="https://www.eby.gov.py/wp-content/uploads/2019/12/YacyretaEnergiasMensualesDesdePuestaenMarcha.pdf" TargetMode="External" Id="rId290"/><Relationship Type="http://schemas.openxmlformats.org/officeDocument/2006/relationships/hyperlink" Target="https://www.eby.gov.py/wp-content/uploads/2019/12/YacyretaEnergiasMensualesDesdePuestaenMarcha.pdf" TargetMode="External" Id="rId291"/><Relationship Type="http://schemas.openxmlformats.org/officeDocument/2006/relationships/hyperlink" Target="https://www.eby.gov.py/wp-content/uploads/2019/12/YacyretaEnergiasMensualesDesdePuestaenMarcha.pdf" TargetMode="External" Id="rId292"/><Relationship Type="http://schemas.openxmlformats.org/officeDocument/2006/relationships/hyperlink" Target="https://www.eby.gov.py/wp-content/uploads/2019/12/YacyretaEnergiasMensualesDesdePuestaenMarcha.pdf" TargetMode="External" Id="rId293"/><Relationship Type="http://schemas.openxmlformats.org/officeDocument/2006/relationships/hyperlink" Target="https://www.eby.gov.py/wp-content/uploads/2019/12/YacyretaEnergiasMensualesDesdePuestaenMarcha.pdf" TargetMode="External" Id="rId294"/><Relationship Type="http://schemas.openxmlformats.org/officeDocument/2006/relationships/hyperlink" Target="https://www.eby.gov.py/wp-content/uploads/2019/12/YacyretaEnergiasMensualesDesdePuestaenMarcha.pdf" TargetMode="External" Id="rId295"/><Relationship Type="http://schemas.openxmlformats.org/officeDocument/2006/relationships/hyperlink" Target="https://www.eby.gov.py/wp-content/uploads/2019/12/YacyretaEnergiasMensualesDesdePuestaenMarcha.pdf" TargetMode="External" Id="rId296"/><Relationship Type="http://schemas.openxmlformats.org/officeDocument/2006/relationships/hyperlink" Target="https://www.eby.gov.py/wp-content/uploads/2019/12/YacyretaEnergiasMensualesDesdePuestaenMarcha.pdf" TargetMode="External" Id="rId297"/><Relationship Type="http://schemas.openxmlformats.org/officeDocument/2006/relationships/hyperlink" Target="https://www.eby.gov.py/wp-content/uploads/2019/12/YacyretaEnergiasMensualesDesdePuestaenMarcha.pdf" TargetMode="External" Id="rId298"/><Relationship Type="http://schemas.openxmlformats.org/officeDocument/2006/relationships/hyperlink" Target="https://www.eby.gov.py/wp-content/uploads/2019/12/YacyretaEnergiasMensualesDesdePuestaenMarcha.pdf" TargetMode="External" Id="rId299"/><Relationship Type="http://schemas.openxmlformats.org/officeDocument/2006/relationships/hyperlink" Target="https://www.eby.gov.py/wp-content/uploads/2019/12/YacyretaEnergiasMensualesDesdePuestaenMarcha.pdf" TargetMode="External" Id="rId300"/><Relationship Type="http://schemas.openxmlformats.org/officeDocument/2006/relationships/hyperlink" Target="https://www.eby.gov.py/wp-content/uploads/2019/12/YacyretaEnergiasMensualesDesdePuestaenMarcha.pdf" TargetMode="External" Id="rId301"/><Relationship Type="http://schemas.openxmlformats.org/officeDocument/2006/relationships/hyperlink" Target="https://www.eby.gov.py/wp-content/uploads/2019/12/YacyretaEnergiasMensualesDesdePuestaenMarcha.pdf" TargetMode="External" Id="rId302"/><Relationship Type="http://schemas.openxmlformats.org/officeDocument/2006/relationships/hyperlink" Target="https://www.eby.gov.py/wp-content/uploads/2019/12/YacyretaEnergiasMensualesDesdePuestaenMarcha.pdf" TargetMode="External" Id="rId303"/><Relationship Type="http://schemas.openxmlformats.org/officeDocument/2006/relationships/hyperlink" Target="https://www.eby.gov.py/wp-content/uploads/2019/12/YacyretaEnergiasMensualesDesdePuestaenMarcha.pdf" TargetMode="External" Id="rId304"/><Relationship Type="http://schemas.openxmlformats.org/officeDocument/2006/relationships/hyperlink" Target="https://www.eby.gov.py/wp-content/uploads/2019/12/YacyretaEnergiasMensualesDesdePuestaenMarcha.pdf" TargetMode="External" Id="rId305"/><Relationship Type="http://schemas.openxmlformats.org/officeDocument/2006/relationships/hyperlink" Target="https://www.eby.gov.py/wp-content/uploads/2019/12/YacyretaEnergiasMensualesDesdePuestaenMarcha.pdf" TargetMode="External" Id="rId306"/><Relationship Type="http://schemas.openxmlformats.org/officeDocument/2006/relationships/hyperlink" Target="https://www.eby.gov.py/wp-content/uploads/2019/12/YacyretaEnergiasMensualesDesdePuestaenMarcha.pdf" TargetMode="External" Id="rId307"/><Relationship Type="http://schemas.openxmlformats.org/officeDocument/2006/relationships/hyperlink" Target="https://www.eby.gov.py/wp-content/uploads/2019/12/YacyretaEnergiasMensualesDesdePuestaenMarcha.pdf" TargetMode="External" Id="rId308"/><Relationship Type="http://schemas.openxmlformats.org/officeDocument/2006/relationships/hyperlink" Target="https://www.eby.gov.py/wp-content/uploads/2019/12/YacyretaEnergiasMensualesDesdePuestaenMarcha.pdf" TargetMode="External" Id="rId309"/><Relationship Type="http://schemas.openxmlformats.org/officeDocument/2006/relationships/hyperlink" Target="https://www.eby.gov.py/wp-content/uploads/2019/12/YacyretaEnergiasMensualesDesdePuestaenMarcha.pdf" TargetMode="External" Id="rId310"/><Relationship Type="http://schemas.openxmlformats.org/officeDocument/2006/relationships/hyperlink" Target="https://www.eby.gov.py/wp-content/uploads/2019/12/YacyretaEnergiasMensualesDesdePuestaenMarcha.pdf" TargetMode="External" Id="rId311"/><Relationship Type="http://schemas.openxmlformats.org/officeDocument/2006/relationships/hyperlink" Target="https://www.eby.gov.py/wp-content/uploads/2019/12/YacyretaEnergiasMensualesDesdePuestaenMarcha.pdf" TargetMode="External" Id="rId312"/><Relationship Type="http://schemas.openxmlformats.org/officeDocument/2006/relationships/hyperlink" Target="https://www.eby.gov.py/wp-content/uploads/2019/12/YacyretaEnergiasMensualesDesdePuestaenMarcha.pdf" TargetMode="External" Id="rId313"/><Relationship Type="http://schemas.openxmlformats.org/officeDocument/2006/relationships/hyperlink" Target="https://www.eby.gov.py/wp-content/uploads/2019/12/YacyretaEnergiasMensualesDesdePuestaenMarcha.pdf" TargetMode="External" Id="rId314"/><Relationship Type="http://schemas.openxmlformats.org/officeDocument/2006/relationships/hyperlink" Target="https://www.eby.gov.py/wp-content/uploads/2019/12/YacyretaEnergiasMensualesDesdePuestaenMarcha.pdf" TargetMode="External" Id="rId315"/><Relationship Type="http://schemas.openxmlformats.org/officeDocument/2006/relationships/hyperlink" Target="https://www.eby.gov.py/wp-content/uploads/2019/12/YacyretaEnergiasMensualesDesdePuestaenMarcha.pdf" TargetMode="External" Id="rId316"/><Relationship Type="http://schemas.openxmlformats.org/officeDocument/2006/relationships/hyperlink" Target="https://www.eby.gov.py/wp-content/uploads/2019/12/YacyretaEnergiasMensualesDesdePuestaenMarcha.pdf" TargetMode="External" Id="rId317"/><Relationship Type="http://schemas.openxmlformats.org/officeDocument/2006/relationships/hyperlink" Target="https://www.eby.gov.py/wp-content/uploads/2019/12/YacyretaEnergiasMensualesDesdePuestaenMarcha.pdf" TargetMode="External" Id="rId318"/><Relationship Type="http://schemas.openxmlformats.org/officeDocument/2006/relationships/hyperlink" Target="https://www.eby.gov.py/wp-content/uploads/2019/12/YacyretaEnergiasMensualesDesdePuestaenMarcha.pdf" TargetMode="External" Id="rId319"/><Relationship Type="http://schemas.openxmlformats.org/officeDocument/2006/relationships/hyperlink" Target="https://www.eby.gov.py/wp-content/uploads/2019/12/YacyretaEnergiasMensualesDesdePuestaenMarcha.pdf" TargetMode="External" Id="rId320"/><Relationship Type="http://schemas.openxmlformats.org/officeDocument/2006/relationships/hyperlink" Target="https://www.eby.gov.py/wp-content/uploads/2019/12/YacyretaEnergiasMensualesDesdePuestaenMarcha.pdf" TargetMode="External" Id="rId321"/><Relationship Type="http://schemas.openxmlformats.org/officeDocument/2006/relationships/hyperlink" Target="https://www.eby.gov.py/wp-content/uploads/2019/12/YacyretaEnergiasMensualesDesdePuestaenMarcha.pdf" TargetMode="External" Id="rId322"/><Relationship Type="http://schemas.openxmlformats.org/officeDocument/2006/relationships/hyperlink" Target="https://www.eby.gov.py/wp-content/uploads/2019/12/YacyretaEnergiasMensualesDesdePuestaenMarcha.pdf" TargetMode="External" Id="rId323"/><Relationship Type="http://schemas.openxmlformats.org/officeDocument/2006/relationships/hyperlink" Target="https://www.eby.gov.py/wp-content/uploads/2019/12/YacyretaEnergiasMensualesDesdePuestaenMarcha.pdf" TargetMode="External" Id="rId324"/><Relationship Type="http://schemas.openxmlformats.org/officeDocument/2006/relationships/hyperlink" Target="https://www.eby.gov.py/wp-content/uploads/2019/12/YacyretaEnergiasMensualesDesdePuestaenMarcha.pdf" TargetMode="External" Id="rId325"/><Relationship Type="http://schemas.openxmlformats.org/officeDocument/2006/relationships/hyperlink" Target="https://www.eby.gov.py/wp-content/uploads/2019/12/YacyretaEnergiasMensualesDesdePuestaenMarcha.pdf" TargetMode="External" Id="rId326"/><Relationship Type="http://schemas.openxmlformats.org/officeDocument/2006/relationships/hyperlink" Target="https://www.eby.gov.py/wp-content/uploads/2019/12/YacyretaEnergiasMensualesDesdePuestaenMarcha.pdf" TargetMode="External" Id="rId327"/><Relationship Type="http://schemas.openxmlformats.org/officeDocument/2006/relationships/hyperlink" Target="https://www.eby.gov.py/wp-content/uploads/2019/12/YacyretaEnergiasMensualesDesdePuestaenMarcha.pdf" TargetMode="External" Id="rId328"/><Relationship Type="http://schemas.openxmlformats.org/officeDocument/2006/relationships/hyperlink" Target="https://www.eby.gov.py/wp-content/uploads/2019/12/YacyretaEnergiasMensualesDesdePuestaenMarcha.pdf" TargetMode="External" Id="rId329"/><Relationship Type="http://schemas.openxmlformats.org/officeDocument/2006/relationships/hyperlink" Target="https://www.eby.gov.py/wp-content/uploads/2019/12/YacyretaEnergiasMensualesDesdePuestaenMarcha.pdf" TargetMode="External" Id="rId330"/><Relationship Type="http://schemas.openxmlformats.org/officeDocument/2006/relationships/hyperlink" Target="https://www.eby.gov.py/wp-content/uploads/2019/12/YacyretaEnergiasMensualesDesdePuestaenMarcha.pdf" TargetMode="External" Id="rId331"/><Relationship Type="http://schemas.openxmlformats.org/officeDocument/2006/relationships/hyperlink" Target="https://www.eby.gov.py/wp-content/uploads/2019/12/YacyretaEnergiasMensualesDesdePuestaenMarcha.pdf" TargetMode="External" Id="rId332"/><Relationship Type="http://schemas.openxmlformats.org/officeDocument/2006/relationships/hyperlink" Target="https://www.eby.gov.py/wp-content/uploads/2019/12/YacyretaEnergiasMensualesDesdePuestaenMarcha.pdf" TargetMode="External" Id="rId333"/><Relationship Type="http://schemas.openxmlformats.org/officeDocument/2006/relationships/hyperlink" Target="https://www.eby.gov.py/wp-content/uploads/2019/12/YacyretaEnergiasMensualesDesdePuestaenMarcha.pdf" TargetMode="External" Id="rId334"/><Relationship Type="http://schemas.openxmlformats.org/officeDocument/2006/relationships/hyperlink" Target="https://www.eby.gov.py/wp-content/uploads/2019/12/YacyretaEnergiasMensualesDesdePuestaenMarcha.pdf" TargetMode="External" Id="rId335"/><Relationship Type="http://schemas.openxmlformats.org/officeDocument/2006/relationships/hyperlink" Target="https://www.eby.gov.py/wp-content/uploads/2019/12/YacyretaEnergiasMensualesDesdePuestaenMarcha.pdf" TargetMode="External" Id="rId336"/><Relationship Type="http://schemas.openxmlformats.org/officeDocument/2006/relationships/hyperlink" Target="https://www.eby.gov.py/wp-content/uploads/2019/12/YacyretaEnergiasMensualesDesdePuestaenMarcha.pdf" TargetMode="External" Id="rId337"/><Relationship Type="http://schemas.openxmlformats.org/officeDocument/2006/relationships/hyperlink" Target="https://www.eby.gov.py/wp-content/uploads/2019/12/YacyretaEnergiasMensualesDesdePuestaenMarcha.pdf" TargetMode="External" Id="rId338"/><Relationship Type="http://schemas.openxmlformats.org/officeDocument/2006/relationships/hyperlink" Target="https://www.eby.gov.py/wp-content/uploads/2019/12/YacyretaEnergiasMensualesDesdePuestaenMarcha.pdf" TargetMode="External" Id="rId339"/><Relationship Type="http://schemas.openxmlformats.org/officeDocument/2006/relationships/hyperlink" Target="https://www.eby.gov.py/wp-content/uploads/2019/12/YacyretaEnergiasMensualesDesdePuestaenMarcha.pdf" TargetMode="External" Id="rId340"/><Relationship Type="http://schemas.openxmlformats.org/officeDocument/2006/relationships/hyperlink" Target="https://www.eby.gov.py/wp-content/uploads/2019/12/YacyretaEnergiasMensualesDesdePuestaenMarcha.pdf" TargetMode="External" Id="rId341"/><Relationship Type="http://schemas.openxmlformats.org/officeDocument/2006/relationships/hyperlink" Target="https://www.eby.gov.py/wp-content/uploads/2019/12/YacyretaEnergiasMensualesDesdePuestaenMarcha.pdf" TargetMode="External" Id="rId342"/><Relationship Type="http://schemas.openxmlformats.org/officeDocument/2006/relationships/hyperlink" Target="https://www.eby.gov.py/wp-content/uploads/2019/12/YacyretaEnergiasMensualesDesdePuestaenMarcha.pdf" TargetMode="External" Id="rId343"/><Relationship Type="http://schemas.openxmlformats.org/officeDocument/2006/relationships/hyperlink" Target="https://www.eby.gov.py/wp-content/uploads/2019/12/YacyretaEnergiasMensualesDesdePuestaenMarcha.pdf" TargetMode="External" Id="rId344"/><Relationship Type="http://schemas.openxmlformats.org/officeDocument/2006/relationships/hyperlink" Target="https://www.eby.gov.py/wp-content/uploads/2019/12/YacyretaEnergiasMensualesDesdePuestaenMarcha.pdf" TargetMode="External" Id="rId345"/><Relationship Type="http://schemas.openxmlformats.org/officeDocument/2006/relationships/hyperlink" Target="https://www.eby.gov.py/wp-content/uploads/2019/12/YacyretaEnergiasMensualesDesdePuestaenMarcha.pdf" TargetMode="External" Id="rId346"/><Relationship Type="http://schemas.openxmlformats.org/officeDocument/2006/relationships/hyperlink" Target="https://www.eby.gov.py/wp-content/uploads/2019/12/YacyretaEnergiasMensualesDesdePuestaenMarcha.pdf" TargetMode="External" Id="rId347"/><Relationship Type="http://schemas.openxmlformats.org/officeDocument/2006/relationships/hyperlink" Target="https://www.eby.gov.py/wp-content/uploads/2019/12/YacyretaEnergiasMensualesDesdePuestaenMarcha.pdf" TargetMode="External" Id="rId348"/><Relationship Type="http://schemas.openxmlformats.org/officeDocument/2006/relationships/hyperlink" Target="https://www.eby.gov.py/wp-content/uploads/2019/12/YacyretaEnergiasMensualesDesdePuestaenMarcha.pdf" TargetMode="External" Id="rId349"/><Relationship Type="http://schemas.openxmlformats.org/officeDocument/2006/relationships/hyperlink" Target="https://www.eby.gov.py/wp-content/uploads/2019/12/YacyretaEnergiasMensualesDesdePuestaenMarcha.pdf" TargetMode="External" Id="rId350"/><Relationship Type="http://schemas.openxmlformats.org/officeDocument/2006/relationships/hyperlink" Target="https://www.eby.gov.py/wp-content/uploads/2019/12/YacyretaEnergiasMensualesDesdePuestaenMarcha.pdf" TargetMode="External" Id="rId351"/><Relationship Type="http://schemas.openxmlformats.org/officeDocument/2006/relationships/hyperlink" Target="https://www.eby.gov.py/wp-content/uploads/2019/12/YacyretaEnergiasMensualesDesdePuestaenMarcha.pdf" TargetMode="External" Id="rId352"/><Relationship Type="http://schemas.openxmlformats.org/officeDocument/2006/relationships/hyperlink" Target="https://www.eby.gov.py/wp-content/uploads/2019/12/YacyretaEnergiasMensualesDesdePuestaenMarcha.pdf" TargetMode="External" Id="rId353"/><Relationship Type="http://schemas.openxmlformats.org/officeDocument/2006/relationships/hyperlink" Target="https://www.eby.gov.py/wp-content/uploads/2019/12/YacyretaEnergiasMensualesDesdePuestaenMarcha.pdf" TargetMode="External" Id="rId354"/><Relationship Type="http://schemas.openxmlformats.org/officeDocument/2006/relationships/hyperlink" Target="https://www.eby.gov.py/wp-content/uploads/2019/12/YacyretaEnergiasMensualesDesdePuestaenMarcha.pdf" TargetMode="External" Id="rId355"/><Relationship Type="http://schemas.openxmlformats.org/officeDocument/2006/relationships/hyperlink" Target="https://www.eby.gov.py/wp-content/uploads/2019/12/YacyretaEnergiasMensualesDesdePuestaenMarcha.pdf" TargetMode="External" Id="rId356"/><Relationship Type="http://schemas.openxmlformats.org/officeDocument/2006/relationships/hyperlink" Target="https://www.eby.gov.py/wp-content/uploads/2019/12/YacyretaEnergiasMensualesDesdePuestaenMarcha.pdf" TargetMode="External" Id="rId357"/><Relationship Type="http://schemas.openxmlformats.org/officeDocument/2006/relationships/hyperlink" Target="https://www.eby.gov.py/wp-content/uploads/2019/12/YacyretaEnergiasMensualesDesdePuestaenMarcha.pdf" TargetMode="External" Id="rId358"/><Relationship Type="http://schemas.openxmlformats.org/officeDocument/2006/relationships/hyperlink" Target="https://www.eby.gov.py/wp-content/uploads/2019/12/YacyretaEnergiasMensualesDesdePuestaenMarcha.pdf" TargetMode="External" Id="rId359"/><Relationship Type="http://schemas.openxmlformats.org/officeDocument/2006/relationships/hyperlink" Target="https://www.eby.gov.py/wp-content/uploads/2019/12/YacyretaEnergiasMensualesDesdePuestaenMarcha.pdf" TargetMode="External" Id="rId360"/><Relationship Type="http://schemas.openxmlformats.org/officeDocument/2006/relationships/hyperlink" Target="https://www.eby.gov.py/wp-content/uploads/2019/12/YacyretaEnergiasMensualesDesdePuestaenMarcha.pdf" TargetMode="External" Id="rId361"/><Relationship Type="http://schemas.openxmlformats.org/officeDocument/2006/relationships/hyperlink" Target="https://www.eby.gov.py/wp-content/uploads/2019/12/YacyretaEnergiasMensualesDesdePuestaenMarcha.pdf" TargetMode="External" Id="rId362"/><Relationship Type="http://schemas.openxmlformats.org/officeDocument/2006/relationships/hyperlink" Target="https://www.eby.gov.py/wp-content/uploads/2019/12/YacyretaEnergiasMensualesDesdePuestaenMarcha.pdf" TargetMode="External" Id="rId363"/><Relationship Type="http://schemas.openxmlformats.org/officeDocument/2006/relationships/hyperlink" Target="https://www.eby.gov.py/wp-content/uploads/2019/12/YacyretaEnergiasMensualesDesdePuestaenMarcha.pdf" TargetMode="External" Id="rId364"/><Relationship Type="http://schemas.openxmlformats.org/officeDocument/2006/relationships/hyperlink" Target="https://www.eby.gov.py/wp-content/uploads/2019/12/YacyretaEnergiasMensualesDesdePuestaenMarcha.pdf" TargetMode="External" Id="rId365"/><Relationship Type="http://schemas.openxmlformats.org/officeDocument/2006/relationships/hyperlink" Target="https://www.eby.gov.py/wp-content/uploads/2019/12/YacyretaEnergiasMensualesDesdePuestaenMarcha.pdf" TargetMode="External" Id="rId366"/><Relationship Type="http://schemas.openxmlformats.org/officeDocument/2006/relationships/hyperlink" Target="https://www.eby.gov.py/wp-content/uploads/2019/12/YacyretaEnergiasMensualesDesdePuestaenMarcha.pdf" TargetMode="External" Id="rId367"/><Relationship Type="http://schemas.openxmlformats.org/officeDocument/2006/relationships/hyperlink" Target="https://www.eby.gov.py/wp-content/uploads/2019/12/YacyretaEnergiasMensualesDesdePuestaenMarcha.pdf" TargetMode="External" Id="rId368"/><Relationship Type="http://schemas.openxmlformats.org/officeDocument/2006/relationships/hyperlink" Target="https://www.eby.gov.py/wp-content/uploads/2019/12/YacyretaEnergiasMensualesDesdePuestaenMarcha.pdf" TargetMode="External" Id="rId369"/><Relationship Type="http://schemas.openxmlformats.org/officeDocument/2006/relationships/hyperlink" Target="https://www.eby.gov.py/wp-content/uploads/2019/12/YacyretaEnergiasMensualesDesdePuestaenMarcha.pdf" TargetMode="External" Id="rId370"/><Relationship Type="http://schemas.openxmlformats.org/officeDocument/2006/relationships/hyperlink" Target="https://www.eby.gov.py/wp-content/uploads/2019/12/YacyretaEnergiasMensualesDesdePuestaenMarcha.pdf" TargetMode="External" Id="rId371"/><Relationship Type="http://schemas.openxmlformats.org/officeDocument/2006/relationships/hyperlink" Target="https://www.eby.gov.py/wp-content/uploads/2019/12/YacyretaEnergiasMensualesDesdePuestaenMarcha.pdf" TargetMode="External" Id="rId372"/><Relationship Type="http://schemas.openxmlformats.org/officeDocument/2006/relationships/hyperlink" Target="https://www.eby.gov.py/wp-content/uploads/2019/12/YacyretaEnergiasMensualesDesdePuestaenMarcha.pdf" TargetMode="External" Id="rId373"/><Relationship Type="http://schemas.openxmlformats.org/officeDocument/2006/relationships/hyperlink" Target="https://www.eby.gov.py/wp-content/uploads/2019/12/YacyretaEnergiasMensualesDesdePuestaenMarcha.pdf" TargetMode="External" Id="rId374"/><Relationship Type="http://schemas.openxmlformats.org/officeDocument/2006/relationships/hyperlink" Target="https://www.eby.gov.py/wp-content/uploads/2019/12/YacyretaEnergiasMensualesDesdePuestaenMarcha.pdf" TargetMode="External" Id="rId375"/><Relationship Type="http://schemas.openxmlformats.org/officeDocument/2006/relationships/hyperlink" Target="https://www.eby.gov.py/wp-content/uploads/2019/12/YacyretaEnergiasMensualesDesdePuestaenMarcha.pdf" TargetMode="External" Id="rId376"/><Relationship Type="http://schemas.openxmlformats.org/officeDocument/2006/relationships/hyperlink" Target="https://www.eby.gov.py/wp-content/uploads/2019/12/YacyretaEnergiasMensualesDesdePuestaenMarcha.pdf" TargetMode="External" Id="rId377"/><Relationship Type="http://schemas.openxmlformats.org/officeDocument/2006/relationships/hyperlink" Target="https://www.eby.gov.py/wp-content/uploads/2019/12/YacyretaEnergiasMensualesDesdePuestaenMarcha.pdf" TargetMode="External" Id="rId378"/><Relationship Type="http://schemas.openxmlformats.org/officeDocument/2006/relationships/hyperlink" Target="https://www.eby.gov.py/wp-content/uploads/2019/12/YacyretaEnergiasMensualesDesdePuestaenMarcha.pdf" TargetMode="External" Id="rId379"/><Relationship Type="http://schemas.openxmlformats.org/officeDocument/2006/relationships/hyperlink" Target="https://www.eby.gov.py/wp-content/uploads/2019/12/YacyretaEnergiasMensualesDesdePuestaenMarcha.pdf" TargetMode="External" Id="rId380"/><Relationship Type="http://schemas.openxmlformats.org/officeDocument/2006/relationships/hyperlink" Target="https://www.eby.gov.py/wp-content/uploads/2019/12/YacyretaEnergiasMensualesDesdePuestaenMarcha.pdf" TargetMode="External" Id="rId381"/><Relationship Type="http://schemas.openxmlformats.org/officeDocument/2006/relationships/hyperlink" Target="https://www.eby.gov.py/wp-content/uploads/2019/12/YacyretaEnergiasMensualesDesdePuestaenMarcha.pdf" TargetMode="External" Id="rId382"/><Relationship Type="http://schemas.openxmlformats.org/officeDocument/2006/relationships/hyperlink" Target="https://www.eby.gov.py/wp-content/uploads/2019/12/YacyretaEnergiasMensualesDesdePuestaenMarcha.pdf" TargetMode="External" Id="rId383"/><Relationship Type="http://schemas.openxmlformats.org/officeDocument/2006/relationships/hyperlink" Target="https://www.eby.gov.py/wp-content/uploads/2019/12/YacyretaEnergiasMensualesDesdePuestaenMarcha.pdf" TargetMode="External" Id="rId384"/><Relationship Type="http://schemas.openxmlformats.org/officeDocument/2006/relationships/hyperlink" Target="https://www.eby.gov.py/wp-content/uploads/2019/12/YacyretaEnergiasMensualesDesdePuestaenMarcha.pdf" TargetMode="External" Id="rId385"/><Relationship Type="http://schemas.openxmlformats.org/officeDocument/2006/relationships/hyperlink" Target="https://www.eby.gov.py/wp-content/uploads/2019/12/YacyretaEnergiasMensualesDesdePuestaenMarcha.pdf" TargetMode="External" Id="rId386"/><Relationship Type="http://schemas.openxmlformats.org/officeDocument/2006/relationships/hyperlink" Target="https://www.eby.gov.py/wp-content/uploads/2019/12/YacyretaEnergiasMensualesDesdePuestaenMarcha.pdf" TargetMode="External" Id="rId387"/><Relationship Type="http://schemas.openxmlformats.org/officeDocument/2006/relationships/hyperlink" Target="https://www.eby.gov.py/wp-content/uploads/2019/12/YacyretaEnergiasMensualesDesdePuestaenMarcha.pdf" TargetMode="External" Id="rId388"/><Relationship Type="http://schemas.openxmlformats.org/officeDocument/2006/relationships/hyperlink" Target="https://www.eby.gov.py/wp-content/uploads/2019/12/YacyretaEnergiasMensualesDesdePuestaenMarcha.pdf" TargetMode="External" Id="rId389"/><Relationship Type="http://schemas.openxmlformats.org/officeDocument/2006/relationships/hyperlink" Target="https://www.eby.gov.py/wp-content/uploads/2019/12/YacyretaEnergiasMensualesDesdePuestaenMarcha.pdf" TargetMode="External" Id="rId390"/><Relationship Type="http://schemas.openxmlformats.org/officeDocument/2006/relationships/hyperlink" Target="https://www.eby.gov.py/wp-content/uploads/2019/12/YacyretaEnergiasMensualesDesdePuestaenMarcha.pdf" TargetMode="External" Id="rId391"/><Relationship Type="http://schemas.openxmlformats.org/officeDocument/2006/relationships/hyperlink" Target="https://www.eby.gov.py/wp-content/uploads/2019/12/YacyretaEnergiasMensualesDesdePuestaenMarcha.pdf" TargetMode="External" Id="rId392"/><Relationship Type="http://schemas.openxmlformats.org/officeDocument/2006/relationships/hyperlink" Target="https://www.eby.gov.py/wp-content/uploads/2019/12/YacyretaEnergiasMensualesDesdePuestaenMarcha.pdf" TargetMode="External" Id="rId393"/><Relationship Type="http://schemas.openxmlformats.org/officeDocument/2006/relationships/hyperlink" Target="https://www.eby.gov.py/wp-content/uploads/2019/12/YacyretaEnergiasMensualesDesdePuestaenMarcha.pdf" TargetMode="External" Id="rId394"/><Relationship Type="http://schemas.openxmlformats.org/officeDocument/2006/relationships/hyperlink" Target="https://www.eby.gov.py/wp-content/uploads/2019/12/YacyretaEnergiasMensualesDesdePuestaenMarcha.pdf" TargetMode="External" Id="rId395"/><Relationship Type="http://schemas.openxmlformats.org/officeDocument/2006/relationships/hyperlink" Target="https://www.eby.gov.py/wp-content/uploads/2019/12/YacyretaEnergiasMensualesDesdePuestaenMarcha.pdf" TargetMode="External" Id="rId396"/><Relationship Type="http://schemas.openxmlformats.org/officeDocument/2006/relationships/hyperlink" Target="https://www.eby.gov.py/wp-content/uploads/2019/12/YacyretaEnergiasMensualesDesdePuestaenMarcha.pdf" TargetMode="External" Id="rId397"/><Relationship Type="http://schemas.openxmlformats.org/officeDocument/2006/relationships/hyperlink" Target="https://www.eby.gov.py/wp-content/uploads/2019/12/YacyretaEnergiasMensualesDesdePuestaenMarcha.pdf" TargetMode="External" Id="rId398"/><Relationship Type="http://schemas.openxmlformats.org/officeDocument/2006/relationships/hyperlink" Target="https://www.eby.gov.py/wp-content/uploads/2019/12/YacyretaEnergiasMensualesDesdePuestaenMarcha.pdf" TargetMode="External" Id="rId399"/><Relationship Type="http://schemas.openxmlformats.org/officeDocument/2006/relationships/hyperlink" Target="https://www.eby.gov.py/wp-content/uploads/2019/12/YacyretaEnergiasMensualesDesdePuestaenMarcha.pdf" TargetMode="External" Id="rId400"/><Relationship Type="http://schemas.openxmlformats.org/officeDocument/2006/relationships/hyperlink" Target="https://www.eby.gov.py/wp-content/uploads/2019/12/YacyretaEnergiasMensualesDesdePuestaenMarcha.pdf" TargetMode="External" Id="rId401"/><Relationship Type="http://schemas.openxmlformats.org/officeDocument/2006/relationships/hyperlink" Target="https://www.eby.gov.py/wp-content/uploads/2019/12/YacyretaEnergiasMensualesDesdePuestaenMarcha.pdf" TargetMode="External" Id="rId402"/><Relationship Type="http://schemas.openxmlformats.org/officeDocument/2006/relationships/hyperlink" Target="https://www.eby.gov.py/wp-content/uploads/2019/12/YacyretaEnergiasMensualesDesdePuestaenMarcha.pdf" TargetMode="External" Id="rId403"/><Relationship Type="http://schemas.openxmlformats.org/officeDocument/2006/relationships/hyperlink" Target="https://www.eby.gov.py/wp-content/uploads/2019/12/YacyretaEnergiasMensualesDesdePuestaenMarcha.pdf" TargetMode="External" Id="rId404"/><Relationship Type="http://schemas.openxmlformats.org/officeDocument/2006/relationships/hyperlink" Target="https://www.eby.gov.py/wp-content/uploads/2019/12/YacyretaEnergiasMensualesDesdePuestaenMarcha.pdf" TargetMode="External" Id="rId405"/><Relationship Type="http://schemas.openxmlformats.org/officeDocument/2006/relationships/hyperlink" Target="https://www.eby.gov.py/wp-content/uploads/2019/12/YacyretaEnergiasMensualesDesdePuestaenMarcha.pdf" TargetMode="External" Id="rId406"/><Relationship Type="http://schemas.openxmlformats.org/officeDocument/2006/relationships/hyperlink" Target="https://www.eby.gov.py/wp-content/uploads/2019/12/YacyretaEnergiasMensualesDesdePuestaenMarcha.pdf" TargetMode="External" Id="rId407"/><Relationship Type="http://schemas.openxmlformats.org/officeDocument/2006/relationships/hyperlink" Target="https://www.eby.gov.py/wp-content/uploads/2019/12/YacyretaEnergiasMensualesDesdePuestaenMarcha.pdf" TargetMode="External" Id="rId408"/><Relationship Type="http://schemas.openxmlformats.org/officeDocument/2006/relationships/hyperlink" Target="https://www.eby.gov.py/wp-content/uploads/2019/12/YacyretaEnergiasMensualesDesdePuestaenMarcha.pdf" TargetMode="External" Id="rId409"/><Relationship Type="http://schemas.openxmlformats.org/officeDocument/2006/relationships/hyperlink" Target="https://www.eby.gov.py/wp-content/uploads/2019/12/YacyretaEnergiasMensualesDesdePuestaenMarcha.pdf" TargetMode="External" Id="rId410"/><Relationship Type="http://schemas.openxmlformats.org/officeDocument/2006/relationships/hyperlink" Target="https://www.eby.gov.py/wp-content/uploads/2019/12/YacyretaEnergiasMensualesDesdePuestaenMarcha.pdf" TargetMode="External" Id="rId411"/><Relationship Type="http://schemas.openxmlformats.org/officeDocument/2006/relationships/hyperlink" Target="https://www.eby.gov.py/wp-content/uploads/2019/12/YacyretaEnergiasMensualesDesdePuestaenMarcha.pdf" TargetMode="External" Id="rId412"/><Relationship Type="http://schemas.openxmlformats.org/officeDocument/2006/relationships/hyperlink" Target="https://www.eby.gov.py/wp-content/uploads/2019/12/YacyretaEnergiasMensualesDesdePuestaenMarcha.pdf" TargetMode="External" Id="rId413"/><Relationship Type="http://schemas.openxmlformats.org/officeDocument/2006/relationships/hyperlink" Target="https://www.eby.gov.py/wp-content/uploads/2019/12/YacyretaEnergiasMensualesDesdePuestaenMarcha.pdf" TargetMode="External" Id="rId414"/><Relationship Type="http://schemas.openxmlformats.org/officeDocument/2006/relationships/hyperlink" Target="https://www.eby.gov.py/wp-content/uploads/2019/12/YacyretaEnergiasMensualesDesdePuestaenMarcha.pdf" TargetMode="External" Id="rId415"/><Relationship Type="http://schemas.openxmlformats.org/officeDocument/2006/relationships/hyperlink" Target="https://www.eby.gov.py/wp-content/uploads/2019/12/YacyretaEnergiasMensualesDesdePuestaenMarcha.pdf" TargetMode="External" Id="rId416"/><Relationship Type="http://schemas.openxmlformats.org/officeDocument/2006/relationships/hyperlink" Target="https://www.eby.gov.py/wp-content/uploads/2019/12/YacyretaEnergiasMensualesDesdePuestaenMarcha.pdf" TargetMode="External" Id="rId417"/><Relationship Type="http://schemas.openxmlformats.org/officeDocument/2006/relationships/hyperlink" Target="https://www.eby.gov.py/wp-content/uploads/2019/12/YacyretaEnergiasMensualesDesdePuestaenMarcha.pdf" TargetMode="External" Id="rId418"/><Relationship Type="http://schemas.openxmlformats.org/officeDocument/2006/relationships/hyperlink" Target="https://www.eby.gov.py/wp-content/uploads/2019/12/YacyretaEnergiasMensualesDesdePuestaenMarcha.pdf" TargetMode="External" Id="rId419"/><Relationship Type="http://schemas.openxmlformats.org/officeDocument/2006/relationships/hyperlink" Target="https://www.eby.gov.py/wp-content/uploads/2019/12/YacyretaEnergiasMensualesDesdePuestaenMarcha.pdf" TargetMode="External" Id="rId420"/><Relationship Type="http://schemas.openxmlformats.org/officeDocument/2006/relationships/hyperlink" Target="https://www.eby.gov.py/wp-content/uploads/2019/12/YacyretaEnergiasMensualesDesdePuestaenMarcha.pdf" TargetMode="External" Id="rId421"/><Relationship Type="http://schemas.openxmlformats.org/officeDocument/2006/relationships/hyperlink" Target="https://www.eby.gov.py/wp-content/uploads/2019/12/YacyretaEnergiasMensualesDesdePuestaenMarcha.pdf" TargetMode="External" Id="rId422"/><Relationship Type="http://schemas.openxmlformats.org/officeDocument/2006/relationships/hyperlink" Target="https://www.eby.gov.py/wp-content/uploads/2019/12/YacyretaEnergiasMensualesDesdePuestaenMarcha.pdf" TargetMode="External" Id="rId423"/><Relationship Type="http://schemas.openxmlformats.org/officeDocument/2006/relationships/hyperlink" Target="https://www.eby.gov.py/wp-content/uploads/2019/12/YacyretaEnergiasMensualesDesdePuestaenMarcha.pdf" TargetMode="External" Id="rId424"/><Relationship Type="http://schemas.openxmlformats.org/officeDocument/2006/relationships/hyperlink" Target="https://www.eby.gov.py/wp-content/uploads/2019/12/YacyretaEnergiasMensualesDesdePuestaenMarcha.pdf" TargetMode="External" Id="rId425"/><Relationship Type="http://schemas.openxmlformats.org/officeDocument/2006/relationships/hyperlink" Target="https://www.eby.gov.py/wp-content/uploads/2019/12/YacyretaEnergiasMensualesDesdePuestaenMarcha.pdf" TargetMode="External" Id="rId426"/><Relationship Type="http://schemas.openxmlformats.org/officeDocument/2006/relationships/hyperlink" Target="https://www.eby.gov.py/wp-content/uploads/2019/12/YacyretaEnergiasMensualesDesdePuestaenMarcha.pdf" TargetMode="External" Id="rId427"/><Relationship Type="http://schemas.openxmlformats.org/officeDocument/2006/relationships/hyperlink" Target="https://www.eby.gov.py/wp-content/uploads/2019/12/YacyretaEnergiasMensualesDesdePuestaenMarcha.pdf" TargetMode="External" Id="rId428"/><Relationship Type="http://schemas.openxmlformats.org/officeDocument/2006/relationships/hyperlink" Target="https://www.eby.gov.py/wp-content/uploads/2019/12/YacyretaEnergiasMensualesDesdePuestaenMarcha.pdf" TargetMode="External" Id="rId429"/><Relationship Type="http://schemas.openxmlformats.org/officeDocument/2006/relationships/hyperlink" Target="https://www.eby.gov.py/wp-content/uploads/2019/12/YacyretaEnergiasMensualesDesdePuestaenMarcha.pdf" TargetMode="External" Id="rId430"/><Relationship Type="http://schemas.openxmlformats.org/officeDocument/2006/relationships/hyperlink" Target="https://www.eby.gov.py/wp-content/uploads/2019/12/YacyretaEnergiasMensualesDesdePuestaenMarcha.pdf" TargetMode="External" Id="rId431"/><Relationship Type="http://schemas.openxmlformats.org/officeDocument/2006/relationships/hyperlink" Target="https://www.eby.gov.py/wp-content/uploads/2019/12/YacyretaEnergiasMensualesDesdePuestaenMarcha.pdf" TargetMode="External" Id="rId432"/><Relationship Type="http://schemas.openxmlformats.org/officeDocument/2006/relationships/hyperlink" Target="https://www.eby.gov.py/wp-content/uploads/2019/12/YacyretaEnergiasMensualesDesdePuestaenMarcha.pdf" TargetMode="External" Id="rId433"/><Relationship Type="http://schemas.openxmlformats.org/officeDocument/2006/relationships/hyperlink" Target="https://www.eby.gov.py/wp-content/uploads/2019/12/YacyretaEnergiasMensualesDesdePuestaenMarcha.pdf" TargetMode="External" Id="rId434"/><Relationship Type="http://schemas.openxmlformats.org/officeDocument/2006/relationships/hyperlink" Target="https://www.eby.gov.py/wp-content/uploads/2019/12/YacyretaEnergiasMensualesDesdePuestaenMarcha.pdf" TargetMode="External" Id="rId435"/><Relationship Type="http://schemas.openxmlformats.org/officeDocument/2006/relationships/hyperlink" Target="https://www.eby.gov.py/wp-content/uploads/2019/12/YacyretaEnergiasMensualesDesdePuestaenMarcha.pdf" TargetMode="External" Id="rId436"/><Relationship Type="http://schemas.openxmlformats.org/officeDocument/2006/relationships/hyperlink" Target="https://www.eby.gov.py/wp-content/uploads/2019/12/YacyretaEnergiasMensualesDesdePuestaenMarcha.pdf" TargetMode="External" Id="rId437"/><Relationship Type="http://schemas.openxmlformats.org/officeDocument/2006/relationships/hyperlink" Target="https://www.eby.gov.py/wp-content/uploads/2019/12/YacyretaEnergiasMensualesDesdePuestaenMarcha.pdf" TargetMode="External" Id="rId438"/><Relationship Type="http://schemas.openxmlformats.org/officeDocument/2006/relationships/hyperlink" Target="https://www.eby.gov.py/wp-content/uploads/2019/12/YacyretaEnergiasMensualesDesdePuestaenMarcha.pdf" TargetMode="External" Id="rId439"/><Relationship Type="http://schemas.openxmlformats.org/officeDocument/2006/relationships/hyperlink" Target="https://www.eby.gov.py/wp-content/uploads/2019/12/YacyretaEnergiasMensualesDesdePuestaenMarcha.pdf" TargetMode="External" Id="rId440"/><Relationship Type="http://schemas.openxmlformats.org/officeDocument/2006/relationships/hyperlink" Target="https://www.eby.gov.py/wp-content/uploads/2019/12/YacyretaEnergiasMensualesDesdePuestaenMarcha.pdf" TargetMode="External" Id="rId441"/><Relationship Type="http://schemas.openxmlformats.org/officeDocument/2006/relationships/hyperlink" Target="https://www.eby.gov.py/wp-content/uploads/2019/12/YacyretaEnergiasMensualesDesdePuestaenMarcha.pdf" TargetMode="External" Id="rId442"/><Relationship Type="http://schemas.openxmlformats.org/officeDocument/2006/relationships/hyperlink" Target="https://www.eby.gov.py/wp-content/uploads/2019/12/YacyretaEnergiasMensualesDesdePuestaenMarcha.pdf" TargetMode="External" Id="rId443"/><Relationship Type="http://schemas.openxmlformats.org/officeDocument/2006/relationships/hyperlink" Target="https://www.eby.gov.py/wp-content/uploads/2019/12/YacyretaEnergiasMensualesDesdePuestaenMarcha.pdf" TargetMode="External" Id="rId444"/><Relationship Type="http://schemas.openxmlformats.org/officeDocument/2006/relationships/hyperlink" Target="https://www.eby.gov.py/wp-content/uploads/2019/12/YacyretaEnergiasMensualesDesdePuestaenMarcha.pdf" TargetMode="External" Id="rId445"/><Relationship Type="http://schemas.openxmlformats.org/officeDocument/2006/relationships/hyperlink" Target="https://www.eby.gov.py/wp-content/uploads/2019/12/YacyretaEnergiasMensualesDesdePuestaenMarcha.pdf" TargetMode="External" Id="rId446"/><Relationship Type="http://schemas.openxmlformats.org/officeDocument/2006/relationships/hyperlink" Target="https://www.eby.gov.py/wp-content/uploads/2019/12/YacyretaEnergiasMensualesDesdePuestaenMarcha.pdf" TargetMode="External" Id="rId447"/><Relationship Type="http://schemas.openxmlformats.org/officeDocument/2006/relationships/hyperlink" Target="https://www.eby.gov.py/wp-content/uploads/2019/12/YacyretaEnergiasMensualesDesdePuestaenMarcha.pdf" TargetMode="External" Id="rId448"/><Relationship Type="http://schemas.openxmlformats.org/officeDocument/2006/relationships/hyperlink" Target="https://www.eby.gov.py/wp-content/uploads/2019/12/YacyretaEnergiasMensualesDesdePuestaenMarcha.pdf" TargetMode="External" Id="rId449"/><Relationship Type="http://schemas.openxmlformats.org/officeDocument/2006/relationships/hyperlink" Target="https://www.eby.gov.py/wp-content/uploads/2019/12/YacyretaEnergiasMensualesDesdePuestaenMarcha.pdf" TargetMode="External" Id="rId450"/><Relationship Type="http://schemas.openxmlformats.org/officeDocument/2006/relationships/hyperlink" Target="https://www.eby.gov.py/wp-content/uploads/2019/12/YacyretaEnergiasMensualesDesdePuestaenMarcha.pdf" TargetMode="External" Id="rId451"/><Relationship Type="http://schemas.openxmlformats.org/officeDocument/2006/relationships/hyperlink" Target="https://www.eby.gov.py/wp-content/uploads/2019/12/YacyretaEnergiasMensualesDesdePuestaenMarcha.pdf" TargetMode="External" Id="rId452"/><Relationship Type="http://schemas.openxmlformats.org/officeDocument/2006/relationships/hyperlink" Target="https://www.eby.gov.py/wp-content/uploads/2019/12/YacyretaEnergiasMensualesDesdePuestaenMarcha.pdf" TargetMode="External" Id="rId453"/><Relationship Type="http://schemas.openxmlformats.org/officeDocument/2006/relationships/hyperlink" Target="https://www.eby.gov.py/wp-content/uploads/2019/12/YacyretaEnergiasMensualesDesdePuestaenMarcha.pdf" TargetMode="External" Id="rId454"/><Relationship Type="http://schemas.openxmlformats.org/officeDocument/2006/relationships/hyperlink" Target="https://www.eby.gov.py/wp-content/uploads/2019/12/YacyretaEnergiasMensualesDesdePuestaenMarcha.pdf" TargetMode="External" Id="rId455"/><Relationship Type="http://schemas.openxmlformats.org/officeDocument/2006/relationships/hyperlink" Target="https://www.eby.gov.py/wp-content/uploads/2019/12/YacyretaEnergiasMensualesDesdePuestaenMarcha.pdf" TargetMode="External" Id="rId456"/><Relationship Type="http://schemas.openxmlformats.org/officeDocument/2006/relationships/hyperlink" Target="https://www.eby.gov.py/wp-content/uploads/2019/12/YacyretaEnergiasMensualesDesdePuestaenMarcha.pdf" TargetMode="External" Id="rId457"/><Relationship Type="http://schemas.openxmlformats.org/officeDocument/2006/relationships/hyperlink" Target="https://www.eby.gov.py/wp-content/uploads/2019/12/YacyretaEnergiasMensualesDesdePuestaenMarcha.pdf" TargetMode="External" Id="rId458"/><Relationship Type="http://schemas.openxmlformats.org/officeDocument/2006/relationships/hyperlink" Target="https://www.eby.gov.py/wp-content/uploads/2019/12/YacyretaEnergiasMensualesDesdePuestaenMarcha.pdf" TargetMode="External" Id="rId459"/><Relationship Type="http://schemas.openxmlformats.org/officeDocument/2006/relationships/hyperlink" Target="https://www.eby.gov.py/wp-content/uploads/2019/12/YacyretaEnergiasMensualesDesdePuestaenMarcha.pdf" TargetMode="External" Id="rId460"/><Relationship Type="http://schemas.openxmlformats.org/officeDocument/2006/relationships/hyperlink" Target="https://www.eby.gov.py/wp-content/uploads/2019/12/YacyretaEnergiasMensualesDesdePuestaenMarcha.pdf" TargetMode="External" Id="rId461"/><Relationship Type="http://schemas.openxmlformats.org/officeDocument/2006/relationships/hyperlink" Target="https://www.eby.gov.py/wp-content/uploads/2019/12/YacyretaEnergiasMensualesDesdePuestaenMarcha.pdf" TargetMode="External" Id="rId462"/><Relationship Type="http://schemas.openxmlformats.org/officeDocument/2006/relationships/hyperlink" Target="https://www.eby.gov.py/wp-content/uploads/2019/12/YacyretaEnergiasMensualesDesdePuestaenMarcha.pdf" TargetMode="External" Id="rId463"/><Relationship Type="http://schemas.openxmlformats.org/officeDocument/2006/relationships/hyperlink" Target="https://www.eby.gov.py/wp-content/uploads/2019/12/YacyretaEnergiasMensualesDesdePuestaenMarcha.pdf" TargetMode="External" Id="rId464"/><Relationship Type="http://schemas.openxmlformats.org/officeDocument/2006/relationships/hyperlink" Target="https://www.eby.gov.py/wp-content/uploads/2019/12/YacyretaEnergiasMensualesDesdePuestaenMarcha.pdf" TargetMode="External" Id="rId465"/><Relationship Type="http://schemas.openxmlformats.org/officeDocument/2006/relationships/hyperlink" Target="https://www.eby.gov.py/wp-content/uploads/2019/12/YacyretaEnergiasMensualesDesdePuestaenMarcha.pdf" TargetMode="External" Id="rId466"/><Relationship Type="http://schemas.openxmlformats.org/officeDocument/2006/relationships/hyperlink" Target="https://www.eby.gov.py/wp-content/uploads/2019/12/YacyretaEnergiasMensualesDesdePuestaenMarcha.pdf" TargetMode="External" Id="rId467"/><Relationship Type="http://schemas.openxmlformats.org/officeDocument/2006/relationships/hyperlink" Target="https://www.eby.gov.py/wp-content/uploads/2019/12/YacyretaEnergiasMensualesDesdePuestaenMarcha.pdf" TargetMode="External" Id="rId468"/><Relationship Type="http://schemas.openxmlformats.org/officeDocument/2006/relationships/hyperlink" Target="https://www.eby.gov.py/wp-content/uploads/2019/12/YacyretaEnergiasMensualesDesdePuestaenMarcha.pdf" TargetMode="External" Id="rId469"/><Relationship Type="http://schemas.openxmlformats.org/officeDocument/2006/relationships/hyperlink" Target="https://www.eby.gov.py/wp-content/uploads/2019/12/YacyretaEnergiasMensualesDesdePuestaenMarcha.pdf" TargetMode="External" Id="rId470"/><Relationship Type="http://schemas.openxmlformats.org/officeDocument/2006/relationships/hyperlink" Target="https://www.eby.gov.py/wp-content/uploads/2019/12/YacyretaEnergiasMensualesDesdePuestaenMarcha.pdf" TargetMode="External" Id="rId471"/><Relationship Type="http://schemas.openxmlformats.org/officeDocument/2006/relationships/hyperlink" Target="https://www.eby.gov.py/wp-content/uploads/2019/12/YacyretaEnergiasMensualesDesdePuestaenMarcha.pdf" TargetMode="External" Id="rId472"/><Relationship Type="http://schemas.openxmlformats.org/officeDocument/2006/relationships/hyperlink" Target="https://www.eby.gov.py/wp-content/uploads/2019/12/YacyretaEnergiasMensualesDesdePuestaenMarcha.pdf" TargetMode="External" Id="rId473"/><Relationship Type="http://schemas.openxmlformats.org/officeDocument/2006/relationships/hyperlink" Target="https://www.eby.gov.py/wp-content/uploads/2019/12/YacyretaEnergiasMensualesDesdePuestaenMarcha.pdf" TargetMode="External" Id="rId474"/><Relationship Type="http://schemas.openxmlformats.org/officeDocument/2006/relationships/hyperlink" Target="https://www.eby.gov.py/wp-content/uploads/2019/12/YacyretaEnergiasMensualesDesdePuestaenMarcha.pdf" TargetMode="External" Id="rId475"/><Relationship Type="http://schemas.openxmlformats.org/officeDocument/2006/relationships/hyperlink" Target="https://www.eby.gov.py/wp-content/uploads/2019/12/YacyretaEnergiasMensualesDesdePuestaenMarcha.pdf" TargetMode="External" Id="rId476"/><Relationship Type="http://schemas.openxmlformats.org/officeDocument/2006/relationships/hyperlink" Target="https://www.eby.gov.py/wp-content/uploads/2019/12/YacyretaEnergiasMensualesDesdePuestaenMarcha.pdf" TargetMode="External" Id="rId477"/><Relationship Type="http://schemas.openxmlformats.org/officeDocument/2006/relationships/hyperlink" Target="https://www.eby.gov.py/wp-content/uploads/2019/12/YacyretaEnergiasMensualesDesdePuestaenMarcha.pdf" TargetMode="External" Id="rId478"/><Relationship Type="http://schemas.openxmlformats.org/officeDocument/2006/relationships/hyperlink" Target="https://www.eby.gov.py/wp-content/uploads/2019/12/YacyretaEnergiasMensualesDesdePuestaenMarcha.pdf" TargetMode="External" Id="rId479"/><Relationship Type="http://schemas.openxmlformats.org/officeDocument/2006/relationships/hyperlink" Target="https://www.eby.gov.py/wp-content/uploads/2019/12/YacyretaEnergiasMensualesDesdePuestaenMarcha.pdf" TargetMode="External" Id="rId480"/><Relationship Type="http://schemas.openxmlformats.org/officeDocument/2006/relationships/hyperlink" Target="https://www.eby.gov.py/wp-content/uploads/2019/12/YacyretaEnergiasMensualesDesdePuestaenMarcha.pdf" TargetMode="External" Id="rId481"/><Relationship Type="http://schemas.openxmlformats.org/officeDocument/2006/relationships/hyperlink" Target="https://www.eby.gov.py/wp-content/uploads/2019/12/YacyretaEnergiasMensualesDesdePuestaenMarcha.pdf" TargetMode="External" Id="rId482"/><Relationship Type="http://schemas.openxmlformats.org/officeDocument/2006/relationships/hyperlink" Target="https://www.eby.gov.py/wp-content/uploads/2019/12/YacyretaEnergiasMensualesDesdePuestaenMarcha.pdf" TargetMode="External" Id="rId483"/><Relationship Type="http://schemas.openxmlformats.org/officeDocument/2006/relationships/hyperlink" Target="https://www.eby.gov.py/wp-content/uploads/2019/12/YacyretaEnergiasMensualesDesdePuestaenMarcha.pdf" TargetMode="External" Id="rId484"/><Relationship Type="http://schemas.openxmlformats.org/officeDocument/2006/relationships/hyperlink" Target="https://www.eby.gov.py/wp-content/uploads/2019/12/YacyretaEnergiasMensualesDesdePuestaenMarcha.pdf" TargetMode="External" Id="rId485"/><Relationship Type="http://schemas.openxmlformats.org/officeDocument/2006/relationships/hyperlink" Target="https://www.eby.gov.py/wp-content/uploads/2019/12/YacyretaEnergiasMensualesDesdePuestaenMarcha.pdf" TargetMode="External" Id="rId486"/><Relationship Type="http://schemas.openxmlformats.org/officeDocument/2006/relationships/hyperlink" Target="https://www.eby.gov.py/wp-content/uploads/2019/12/YacyretaEnergiasMensualesDesdePuestaenMarcha.pdf" TargetMode="External" Id="rId487"/><Relationship Type="http://schemas.openxmlformats.org/officeDocument/2006/relationships/hyperlink" Target="https://www.eby.gov.py/wp-content/uploads/2019/12/YacyretaEnergiasMensualesDesdePuestaenMarcha.pdf" TargetMode="External" Id="rId488"/><Relationship Type="http://schemas.openxmlformats.org/officeDocument/2006/relationships/hyperlink" Target="https://www.eby.gov.py/wp-content/uploads/2019/12/YacyretaEnergiasMensualesDesdePuestaenMarcha.pdf" TargetMode="External" Id="rId489"/><Relationship Type="http://schemas.openxmlformats.org/officeDocument/2006/relationships/hyperlink" Target="https://www.eby.gov.py/wp-content/uploads/2019/12/YacyretaEnergiasMensualesDesdePuestaenMarcha.pdf" TargetMode="External" Id="rId490"/><Relationship Type="http://schemas.openxmlformats.org/officeDocument/2006/relationships/hyperlink" Target="https://www.eby.gov.py/wp-content/uploads/2019/12/YacyretaEnergiasMensualesDesdePuestaenMarcha.pdf" TargetMode="External" Id="rId491"/><Relationship Type="http://schemas.openxmlformats.org/officeDocument/2006/relationships/hyperlink" Target="https://www.eby.gov.py/wp-content/uploads/2019/12/YacyretaEnergiasMensualesDesdePuestaenMarcha.pdf" TargetMode="External" Id="rId492"/><Relationship Type="http://schemas.openxmlformats.org/officeDocument/2006/relationships/hyperlink" Target="https://www.eby.gov.py/wp-content/uploads/2019/12/YacyretaEnergiasMensualesDesdePuestaenMarcha.pdf" TargetMode="External" Id="rId493"/><Relationship Type="http://schemas.openxmlformats.org/officeDocument/2006/relationships/hyperlink" Target="https://www.eby.gov.py/wp-content/uploads/2019/12/YacyretaEnergiasMensualesDesdePuestaenMarcha.pdf" TargetMode="External" Id="rId494"/><Relationship Type="http://schemas.openxmlformats.org/officeDocument/2006/relationships/hyperlink" Target="https://www.eby.gov.py/wp-content/uploads/2019/12/YacyretaEnergiasMensualesDesdePuestaenMarcha.pdf" TargetMode="External" Id="rId495"/><Relationship Type="http://schemas.openxmlformats.org/officeDocument/2006/relationships/hyperlink" Target="https://www.eby.gov.py/wp-content/uploads/2019/12/YacyretaEnergiasMensualesDesdePuestaenMarcha.pdf" TargetMode="External" Id="rId496"/><Relationship Type="http://schemas.openxmlformats.org/officeDocument/2006/relationships/hyperlink" Target="https://www.eby.gov.py/wp-content/uploads/2019/12/YacyretaEnergiasMensualesDesdePuestaenMarcha.pdf" TargetMode="External" Id="rId497"/><Relationship Type="http://schemas.openxmlformats.org/officeDocument/2006/relationships/hyperlink" Target="https://www.eby.gov.py/wp-content/uploads/2019/12/YacyretaEnergiasMensualesDesdePuestaenMarcha.pdf" TargetMode="External" Id="rId498"/><Relationship Type="http://schemas.openxmlformats.org/officeDocument/2006/relationships/hyperlink" Target="https://www.eby.gov.py/wp-content/uploads/2019/12/YacyretaEnergiasMensualesDesdePuestaenMarcha.pdf" TargetMode="External" Id="rId499"/><Relationship Type="http://schemas.openxmlformats.org/officeDocument/2006/relationships/hyperlink" Target="https://www.eby.gov.py/wp-content/uploads/2019/12/YacyretaEnergiasMensualesDesdePuestaenMarcha.pdf" TargetMode="External" Id="rId500"/><Relationship Type="http://schemas.openxmlformats.org/officeDocument/2006/relationships/hyperlink" Target="https://www.eby.gov.py/wp-content/uploads/2019/12/YacyretaEnergiasMensualesDesdePuestaenMarcha.pdf" TargetMode="External" Id="rId501"/><Relationship Type="http://schemas.openxmlformats.org/officeDocument/2006/relationships/hyperlink" Target="https://www.eby.gov.py/wp-content/uploads/2019/12/YacyretaEnergiasMensualesDesdePuestaenMarcha.pdf" TargetMode="External" Id="rId502"/><Relationship Type="http://schemas.openxmlformats.org/officeDocument/2006/relationships/hyperlink" Target="https://www.eby.gov.py/wp-content/uploads/2019/12/YacyretaEnergiasMensualesDesdePuestaenMarcha.pdf" TargetMode="External" Id="rId503"/><Relationship Type="http://schemas.openxmlformats.org/officeDocument/2006/relationships/hyperlink" Target="https://www.eby.gov.py/wp-content/uploads/2019/12/YacyretaEnergiasMensualesDesdePuestaenMarcha.pdf" TargetMode="External" Id="rId504"/><Relationship Type="http://schemas.openxmlformats.org/officeDocument/2006/relationships/hyperlink" Target="https://www.eby.gov.py/wp-content/uploads/2019/12/YacyretaEnergiasMensualesDesdePuestaenMarcha.pdf" TargetMode="External" Id="rId505"/><Relationship Type="http://schemas.openxmlformats.org/officeDocument/2006/relationships/hyperlink" Target="https://www.eby.gov.py/wp-content/uploads/2019/12/YacyretaEnergiasMensualesDesdePuestaenMarcha.pdf" TargetMode="External" Id="rId506"/><Relationship Type="http://schemas.openxmlformats.org/officeDocument/2006/relationships/hyperlink" Target="https://www.eby.gov.py/wp-content/uploads/2019/12/YacyretaEnergiasMensualesDesdePuestaenMarcha.pdf" TargetMode="External" Id="rId507"/><Relationship Type="http://schemas.openxmlformats.org/officeDocument/2006/relationships/hyperlink" Target="https://www.eby.gov.py/wp-content/uploads/2019/12/YacyretaEnergiasMensualesDesdePuestaenMarcha.pdf" TargetMode="External" Id="rId508"/><Relationship Type="http://schemas.openxmlformats.org/officeDocument/2006/relationships/hyperlink" Target="https://www.eby.gov.py/wp-content/uploads/2019/12/YacyretaEnergiasMensualesDesdePuestaenMarcha.pdf" TargetMode="External" Id="rId509"/><Relationship Type="http://schemas.openxmlformats.org/officeDocument/2006/relationships/hyperlink" Target="https://www.eby.gov.py/wp-content/uploads/2019/12/YacyretaEnergiasMensualesDesdePuestaenMarcha.pdf" TargetMode="External" Id="rId510"/><Relationship Type="http://schemas.openxmlformats.org/officeDocument/2006/relationships/hyperlink" Target="https://www.eby.gov.py/wp-content/uploads/2019/12/YacyretaEnergiasMensualesDesdePuestaenMarcha.pdf" TargetMode="External" Id="rId511"/><Relationship Type="http://schemas.openxmlformats.org/officeDocument/2006/relationships/hyperlink" Target="https://www.eby.gov.py/wp-content/uploads/2019/12/YacyretaEnergiasMensualesDesdePuestaenMarcha.pdf" TargetMode="External" Id="rId512"/><Relationship Type="http://schemas.openxmlformats.org/officeDocument/2006/relationships/hyperlink" Target="https://www.eby.gov.py/wp-content/uploads/2019/12/YacyretaEnergiasMensualesDesdePuestaenMarcha.pdf" TargetMode="External" Id="rId513"/><Relationship Type="http://schemas.openxmlformats.org/officeDocument/2006/relationships/hyperlink" Target="https://www.eby.gov.py/wp-content/uploads/2019/12/YacyretaEnergiasMensualesDesdePuestaenMarcha.pdf" TargetMode="External" Id="rId514"/><Relationship Type="http://schemas.openxmlformats.org/officeDocument/2006/relationships/hyperlink" Target="https://www.eby.gov.py/wp-content/uploads/2019/12/YacyretaEnergiasMensualesDesdePuestaenMarcha.pdf" TargetMode="External" Id="rId515"/><Relationship Type="http://schemas.openxmlformats.org/officeDocument/2006/relationships/hyperlink" Target="https://www.eby.gov.py/wp-content/uploads/2019/12/YacyretaEnergiasMensualesDesdePuestaenMarcha.pdf" TargetMode="External" Id="rId516"/><Relationship Type="http://schemas.openxmlformats.org/officeDocument/2006/relationships/hyperlink" Target="https://www.eby.gov.py/wp-content/uploads/2019/12/YacyretaEnergiasMensualesDesdePuestaenMarcha.pdf" TargetMode="External" Id="rId517"/><Relationship Type="http://schemas.openxmlformats.org/officeDocument/2006/relationships/hyperlink" Target="https://www.eby.gov.py/wp-content/uploads/2019/12/YacyretaEnergiasMensualesDesdePuestaenMarcha.pdf" TargetMode="External" Id="rId518"/><Relationship Type="http://schemas.openxmlformats.org/officeDocument/2006/relationships/hyperlink" Target="https://www.eby.gov.py/wp-content/uploads/2019/12/YacyretaEnergiasMensualesDesdePuestaenMarcha.pdf" TargetMode="External" Id="rId519"/><Relationship Type="http://schemas.openxmlformats.org/officeDocument/2006/relationships/hyperlink" Target="https://www.eby.gov.py/wp-content/uploads/2019/12/YacyretaEnergiasMensualesDesdePuestaenMarcha.pdf" TargetMode="External" Id="rId520"/><Relationship Type="http://schemas.openxmlformats.org/officeDocument/2006/relationships/hyperlink" Target="https://www.eby.gov.py/wp-content/uploads/2019/12/YacyretaEnergiasMensualesDesdePuestaenMarcha.pdf" TargetMode="External" Id="rId521"/><Relationship Type="http://schemas.openxmlformats.org/officeDocument/2006/relationships/hyperlink" Target="https://www.eby.gov.py/wp-content/uploads/2019/12/YacyretaEnergiasMensualesDesdePuestaenMarcha.pdf" TargetMode="External" Id="rId522"/><Relationship Type="http://schemas.openxmlformats.org/officeDocument/2006/relationships/hyperlink" Target="https://www.eby.gov.py/wp-content/uploads/2019/12/YacyretaEnergiasMensualesDesdePuestaenMarcha.pdf" TargetMode="External" Id="rId523"/><Relationship Type="http://schemas.openxmlformats.org/officeDocument/2006/relationships/hyperlink" Target="https://www.eby.gov.py/wp-content/uploads/2019/12/YacyretaEnergiasMensualesDesdePuestaenMarcha.pdf" TargetMode="External" Id="rId524"/><Relationship Type="http://schemas.openxmlformats.org/officeDocument/2006/relationships/hyperlink" Target="https://www.eby.gov.py/wp-content/uploads/2019/12/YacyretaEnergiasMensualesDesdePuestaenMarcha.pdf" TargetMode="External" Id="rId525"/><Relationship Type="http://schemas.openxmlformats.org/officeDocument/2006/relationships/hyperlink" Target="https://www.eby.gov.py/wp-content/uploads/2019/12/YacyretaEnergiasMensualesDesdePuestaenMarcha.pdf" TargetMode="External" Id="rId526"/><Relationship Type="http://schemas.openxmlformats.org/officeDocument/2006/relationships/hyperlink" Target="https://www.eby.gov.py/wp-content/uploads/2019/12/YacyretaEnergiasMensualesDesdePuestaenMarcha.pdf" TargetMode="External" Id="rId527"/><Relationship Type="http://schemas.openxmlformats.org/officeDocument/2006/relationships/hyperlink" Target="https://www.eby.gov.py/wp-content/uploads/2019/12/YacyretaEnergiasMensualesDesdePuestaenMarcha.pdf" TargetMode="External" Id="rId528"/><Relationship Type="http://schemas.openxmlformats.org/officeDocument/2006/relationships/hyperlink" Target="https://www.eby.gov.py/wp-content/uploads/2019/12/YacyretaEnergiasMensualesDesdePuestaenMarcha.pdf" TargetMode="External" Id="rId529"/><Relationship Type="http://schemas.openxmlformats.org/officeDocument/2006/relationships/hyperlink" Target="https://www.eby.gov.py/wp-content/uploads/2019/12/YacyretaEnergiasMensualesDesdePuestaenMarcha.pdf" TargetMode="External" Id="rId530"/><Relationship Type="http://schemas.openxmlformats.org/officeDocument/2006/relationships/hyperlink" Target="https://www.eby.gov.py/wp-content/uploads/2019/12/YacyretaEnergiasMensualesDesdePuestaenMarcha.pdf" TargetMode="External" Id="rId531"/><Relationship Type="http://schemas.openxmlformats.org/officeDocument/2006/relationships/hyperlink" Target="https://www.eby.gov.py/wp-content/uploads/2019/12/YacyretaEnergiasMensualesDesdePuestaenMarcha.pdf" TargetMode="External" Id="rId532"/><Relationship Type="http://schemas.openxmlformats.org/officeDocument/2006/relationships/hyperlink" Target="https://www.eby.gov.py/wp-content/uploads/2019/12/YacyretaEnergiasMensualesDesdePuestaenMarcha.pdf" TargetMode="External" Id="rId533"/><Relationship Type="http://schemas.openxmlformats.org/officeDocument/2006/relationships/hyperlink" Target="https://www.eby.gov.py/wp-content/uploads/2019/12/YacyretaEnergiasMensualesDesdePuestaenMarcha.pdf" TargetMode="External" Id="rId534"/><Relationship Type="http://schemas.openxmlformats.org/officeDocument/2006/relationships/hyperlink" Target="https://www.eby.gov.py/wp-content/uploads/2019/12/YacyretaEnergiasMensualesDesdePuestaenMarcha.pdf" TargetMode="External" Id="rId535"/><Relationship Type="http://schemas.openxmlformats.org/officeDocument/2006/relationships/hyperlink" Target="https://www.eby.gov.py/wp-content/uploads/2019/12/YacyretaEnergiasMensualesDesdePuestaenMarcha.pdf" TargetMode="External" Id="rId536"/><Relationship Type="http://schemas.openxmlformats.org/officeDocument/2006/relationships/hyperlink" Target="https://www.eby.gov.py/wp-content/uploads/2019/12/YacyretaEnergiasMensualesDesdePuestaenMarcha.pdf" TargetMode="External" Id="rId537"/><Relationship Type="http://schemas.openxmlformats.org/officeDocument/2006/relationships/hyperlink" Target="https://www.eby.gov.py/wp-content/uploads/2019/12/YacyretaEnergiasMensualesDesdePuestaenMarcha.pdf" TargetMode="External" Id="rId538"/><Relationship Type="http://schemas.openxmlformats.org/officeDocument/2006/relationships/hyperlink" Target="https://www.eby.gov.py/wp-content/uploads/2019/12/YacyretaEnergiasMensualesDesdePuestaenMarcha.pdf" TargetMode="External" Id="rId539"/><Relationship Type="http://schemas.openxmlformats.org/officeDocument/2006/relationships/hyperlink" Target="https://www.eby.gov.py/wp-content/uploads/2019/12/YacyretaEnergiasMensualesDesdePuestaenMarcha.pdf" TargetMode="External" Id="rId540"/><Relationship Type="http://schemas.openxmlformats.org/officeDocument/2006/relationships/hyperlink" Target="https://www.eby.gov.py/wp-content/uploads/2019/12/YacyretaEnergiasMensualesDesdePuestaenMarcha.pdf" TargetMode="External" Id="rId541"/><Relationship Type="http://schemas.openxmlformats.org/officeDocument/2006/relationships/hyperlink" Target="https://www.eby.gov.py/wp-content/uploads/2019/12/YacyretaEnergiasMensualesDesdePuestaenMarcha.pdf" TargetMode="External" Id="rId542"/><Relationship Type="http://schemas.openxmlformats.org/officeDocument/2006/relationships/hyperlink" Target="https://www.eby.gov.py/wp-content/uploads/2019/12/YacyretaEnergiasMensualesDesdePuestaenMarcha.pdf" TargetMode="External" Id="rId543"/><Relationship Type="http://schemas.openxmlformats.org/officeDocument/2006/relationships/hyperlink" Target="https://www.eby.gov.py/wp-content/uploads/2019/12/YacyretaEnergiasMensualesDesdePuestaenMarcha.pdf" TargetMode="External" Id="rId544"/><Relationship Type="http://schemas.openxmlformats.org/officeDocument/2006/relationships/hyperlink" Target="https://www.eby.gov.py/wp-content/uploads/2019/12/YacyretaEnergiasMensualesDesdePuestaenMarcha.pdf" TargetMode="External" Id="rId545"/><Relationship Type="http://schemas.openxmlformats.org/officeDocument/2006/relationships/hyperlink" Target="https://www.eby.gov.py/wp-content/uploads/2019/12/YacyretaEnergiasMensualesDesdePuestaenMarcha.pdf" TargetMode="External" Id="rId546"/><Relationship Type="http://schemas.openxmlformats.org/officeDocument/2006/relationships/hyperlink" Target="https://www.eby.gov.py/wp-content/uploads/2019/12/YacyretaEnergiasMensualesDesdePuestaenMarcha.pdf" TargetMode="External" Id="rId547"/><Relationship Type="http://schemas.openxmlformats.org/officeDocument/2006/relationships/hyperlink" Target="https://www.eby.gov.py/wp-content/uploads/2019/12/YacyretaEnergiasMensualesDesdePuestaenMarcha.pdf" TargetMode="External" Id="rId548"/><Relationship Type="http://schemas.openxmlformats.org/officeDocument/2006/relationships/hyperlink" Target="https://www.eby.gov.py/wp-content/uploads/2019/12/YacyretaEnergiasMensualesDesdePuestaenMarcha.pdf" TargetMode="External" Id="rId549"/><Relationship Type="http://schemas.openxmlformats.org/officeDocument/2006/relationships/hyperlink" Target="https://www.eby.gov.py/wp-content/uploads/2019/12/YacyretaEnergiasMensualesDesdePuestaenMarcha.pdf" TargetMode="External" Id="rId550"/><Relationship Type="http://schemas.openxmlformats.org/officeDocument/2006/relationships/hyperlink" Target="https://www.eby.gov.py/wp-content/uploads/2019/12/YacyretaEnergiasMensualesDesdePuestaenMarcha.pdf" TargetMode="External" Id="rId551"/><Relationship Type="http://schemas.openxmlformats.org/officeDocument/2006/relationships/hyperlink" Target="https://www.eby.gov.py/wp-content/uploads/2019/12/YacyretaEnergiasMensualesDesdePuestaenMarcha.pdf" TargetMode="External" Id="rId552"/><Relationship Type="http://schemas.openxmlformats.org/officeDocument/2006/relationships/hyperlink" Target="https://www.eby.gov.py/wp-content/uploads/2019/12/YacyretaEnergiasMensualesDesdePuestaenMarcha.pdf" TargetMode="External" Id="rId553"/><Relationship Type="http://schemas.openxmlformats.org/officeDocument/2006/relationships/hyperlink" Target="https://www.eby.gov.py/wp-content/uploads/2019/12/YacyretaEnergiasMensualesDesdePuestaenMarcha.pdf" TargetMode="External" Id="rId554"/><Relationship Type="http://schemas.openxmlformats.org/officeDocument/2006/relationships/hyperlink" Target="https://www.eby.gov.py/wp-content/uploads/2019/12/YacyretaEnergiasMensualesDesdePuestaenMarcha.pdf" TargetMode="External" Id="rId555"/><Relationship Type="http://schemas.openxmlformats.org/officeDocument/2006/relationships/hyperlink" Target="https://www.eby.gov.py/wp-content/uploads/2019/12/YacyretaEnergiasMensualesDesdePuestaenMarcha.pdf" TargetMode="External" Id="rId556"/><Relationship Type="http://schemas.openxmlformats.org/officeDocument/2006/relationships/hyperlink" Target="https://www.eby.gov.py/wp-content/uploads/2019/12/YacyretaEnergiasMensualesDesdePuestaenMarcha.pdf" TargetMode="External" Id="rId557"/><Relationship Type="http://schemas.openxmlformats.org/officeDocument/2006/relationships/hyperlink" Target="https://www.eby.gov.py/wp-content/uploads/2019/12/YacyretaEnergiasMensualesDesdePuestaenMarcha.pdf" TargetMode="External" Id="rId558"/><Relationship Type="http://schemas.openxmlformats.org/officeDocument/2006/relationships/hyperlink" Target="https://www.eby.gov.py/wp-content/uploads/2019/12/YacyretaEnergiasMensualesDesdePuestaenMarcha.pdf" TargetMode="External" Id="rId559"/><Relationship Type="http://schemas.openxmlformats.org/officeDocument/2006/relationships/hyperlink" Target="https://www.eby.gov.py/wp-content/uploads/2019/12/YacyretaEnergiasMensualesDesdePuestaenMarcha.pdf" TargetMode="External" Id="rId560"/><Relationship Type="http://schemas.openxmlformats.org/officeDocument/2006/relationships/hyperlink" Target="https://www.eby.gov.py/wp-content/uploads/2019/12/YacyretaEnergiasMensualesDesdePuestaenMarcha.pdf" TargetMode="External" Id="rId561"/><Relationship Type="http://schemas.openxmlformats.org/officeDocument/2006/relationships/hyperlink" Target="https://www.eby.gov.py/wp-content/uploads/2019/12/YacyretaEnergiasMensualesDesdePuestaenMarcha.pdf" TargetMode="External" Id="rId562"/><Relationship Type="http://schemas.openxmlformats.org/officeDocument/2006/relationships/hyperlink" Target="https://www.eby.gov.py/wp-content/uploads/2019/12/YacyretaEnergiasMensualesDesdePuestaenMarcha.pdf" TargetMode="External" Id="rId563"/><Relationship Type="http://schemas.openxmlformats.org/officeDocument/2006/relationships/hyperlink" Target="https://www.eby.gov.py/wp-content/uploads/2019/12/YacyretaEnergiasMensualesDesdePuestaenMarcha.pdf" TargetMode="External" Id="rId564"/><Relationship Type="http://schemas.openxmlformats.org/officeDocument/2006/relationships/hyperlink" Target="https://www.eby.gov.py/wp-content/uploads/2019/12/YacyretaEnergiasMensualesDesdePuestaenMarcha.pdf" TargetMode="External" Id="rId565"/><Relationship Type="http://schemas.openxmlformats.org/officeDocument/2006/relationships/hyperlink" Target="https://www.eby.gov.py/wp-content/uploads/2019/12/YacyretaEnergiasMensualesDesdePuestaenMarcha.pdf" TargetMode="External" Id="rId566"/><Relationship Type="http://schemas.openxmlformats.org/officeDocument/2006/relationships/hyperlink" Target="https://www.eby.gov.py/wp-content/uploads/2019/12/YacyretaEnergiasMensualesDesdePuestaenMarcha.pdf" TargetMode="External" Id="rId567"/><Relationship Type="http://schemas.openxmlformats.org/officeDocument/2006/relationships/hyperlink" Target="https://www.eby.gov.py/wp-content/uploads/2019/12/YacyretaEnergiasMensualesDesdePuestaenMarcha.pdf" TargetMode="External" Id="rId568"/><Relationship Type="http://schemas.openxmlformats.org/officeDocument/2006/relationships/hyperlink" Target="https://www.eby.gov.py/wp-content/uploads/2019/12/YacyretaEnergiasMensualesDesdePuestaenMarcha.pdf" TargetMode="External" Id="rId569"/><Relationship Type="http://schemas.openxmlformats.org/officeDocument/2006/relationships/hyperlink" Target="https://www.eby.gov.py/wp-content/uploads/2019/12/YacyretaEnergiasMensualesDesdePuestaenMarcha.pdf" TargetMode="External" Id="rId570"/><Relationship Type="http://schemas.openxmlformats.org/officeDocument/2006/relationships/hyperlink" Target="https://www.eby.gov.py/wp-content/uploads/2019/12/YacyretaEnergiasMensualesDesdePuestaenMarcha.pdf" TargetMode="External" Id="rId571"/><Relationship Type="http://schemas.openxmlformats.org/officeDocument/2006/relationships/hyperlink" Target="https://www.eby.gov.py/wp-content/uploads/2019/12/YacyretaEnergiasMensualesDesdePuestaenMarcha.pdf" TargetMode="External" Id="rId572"/><Relationship Type="http://schemas.openxmlformats.org/officeDocument/2006/relationships/hyperlink" Target="https://www.eby.gov.py/wp-content/uploads/2019/12/YacyretaEnergiasMensualesDesdePuestaenMarcha.pdf" TargetMode="External" Id="rId573"/><Relationship Type="http://schemas.openxmlformats.org/officeDocument/2006/relationships/hyperlink" Target="https://www.eby.gov.py/wp-content/uploads/2019/12/YacyretaEnergiasMensualesDesdePuestaenMarcha.pdf" TargetMode="External" Id="rId574"/><Relationship Type="http://schemas.openxmlformats.org/officeDocument/2006/relationships/hyperlink" Target="https://www.eby.gov.py/wp-content/uploads/2019/12/YacyretaEnergiasMensualesDesdePuestaenMarcha.pdf" TargetMode="External" Id="rId575"/><Relationship Type="http://schemas.openxmlformats.org/officeDocument/2006/relationships/hyperlink" Target="https://www.eby.gov.py/wp-content/uploads/2019/12/YacyretaEnergiasMensualesDesdePuestaenMarcha.pdf" TargetMode="External" Id="rId576"/><Relationship Type="http://schemas.openxmlformats.org/officeDocument/2006/relationships/hyperlink" Target="https://www.eby.gov.py/wp-content/uploads/2019/12/YacyretaEnergiasMensualesDesdePuestaenMarcha.pdf" TargetMode="External" Id="rId577"/><Relationship Type="http://schemas.openxmlformats.org/officeDocument/2006/relationships/hyperlink" Target="https://www.eby.gov.py/wp-content/uploads/2019/12/YacyretaEnergiasMensualesDesdePuestaenMarcha.pdf" TargetMode="External" Id="rId578"/><Relationship Type="http://schemas.openxmlformats.org/officeDocument/2006/relationships/hyperlink" Target="https://www.eby.gov.py/wp-content/uploads/2019/12/YacyretaEnergiasMensualesDesdePuestaenMarcha.pdf" TargetMode="External" Id="rId579"/><Relationship Type="http://schemas.openxmlformats.org/officeDocument/2006/relationships/hyperlink" Target="https://www.eby.gov.py/wp-content/uploads/2019/12/YacyretaEnergiasMensualesDesdePuestaenMarcha.pdf" TargetMode="External" Id="rId580"/><Relationship Type="http://schemas.openxmlformats.org/officeDocument/2006/relationships/hyperlink" Target="https://www.eby.gov.py/wp-content/uploads/2019/12/YacyretaEnergiasMensualesDesdePuestaenMarcha.pdf" TargetMode="External" Id="rId581"/><Relationship Type="http://schemas.openxmlformats.org/officeDocument/2006/relationships/hyperlink" Target="https://www.eby.gov.py/wp-content/uploads/2019/12/YacyretaEnergiasMensualesDesdePuestaenMarcha.pdf" TargetMode="External" Id="rId582"/><Relationship Type="http://schemas.openxmlformats.org/officeDocument/2006/relationships/hyperlink" Target="https://www.eby.gov.py/wp-content/uploads/2019/12/YacyretaEnergiasMensualesDesdePuestaenMarcha.pdf" TargetMode="External" Id="rId583"/><Relationship Type="http://schemas.openxmlformats.org/officeDocument/2006/relationships/hyperlink" Target="https://www.eby.gov.py/wp-content/uploads/2019/12/YacyretaEnergiasMensualesDesdePuestaenMarcha.pdf" TargetMode="External" Id="rId584"/><Relationship Type="http://schemas.openxmlformats.org/officeDocument/2006/relationships/hyperlink" Target="https://www.eby.gov.py/wp-content/uploads/2019/12/YacyretaEnergiasMensualesDesdePuestaenMarcha.pdf" TargetMode="External" Id="rId585"/><Relationship Type="http://schemas.openxmlformats.org/officeDocument/2006/relationships/hyperlink" Target="https://www.eby.gov.py/wp-content/uploads/2019/12/YacyretaEnergiasMensualesDesdePuestaenMarcha.pdf" TargetMode="External" Id="rId586"/><Relationship Type="http://schemas.openxmlformats.org/officeDocument/2006/relationships/hyperlink" Target="https://www.eby.gov.py/wp-content/uploads/2019/12/YacyretaEnergiasMensualesDesdePuestaenMarcha.pdf" TargetMode="External" Id="rId587"/><Relationship Type="http://schemas.openxmlformats.org/officeDocument/2006/relationships/hyperlink" Target="https://www.eby.gov.py/wp-content/uploads/2019/12/YacyretaEnergiasMensualesDesdePuestaenMarcha.pdf" TargetMode="External" Id="rId588"/><Relationship Type="http://schemas.openxmlformats.org/officeDocument/2006/relationships/hyperlink" Target="https://www.eby.gov.py/wp-content/uploads/2019/12/YacyretaEnergiasMensualesDesdePuestaenMarcha.pdf" TargetMode="External" Id="rId589"/><Relationship Type="http://schemas.openxmlformats.org/officeDocument/2006/relationships/hyperlink" Target="https://www.eby.gov.py/wp-content/uploads/2019/12/YacyretaEnergiasMensualesDesdePuestaenMarcha.pdf" TargetMode="External" Id="rId590"/><Relationship Type="http://schemas.openxmlformats.org/officeDocument/2006/relationships/hyperlink" Target="https://www.eby.gov.py/wp-content/uploads/2019/12/YacyretaEnergiasMensualesDesdePuestaenMarcha.pdf" TargetMode="External" Id="rId591"/><Relationship Type="http://schemas.openxmlformats.org/officeDocument/2006/relationships/hyperlink" Target="https://www.eby.gov.py/wp-content/uploads/2019/12/YacyretaEnergiasMensualesDesdePuestaenMarcha.pdf" TargetMode="External" Id="rId592"/><Relationship Type="http://schemas.openxmlformats.org/officeDocument/2006/relationships/hyperlink" Target="https://www.eby.gov.py/wp-content/uploads/2019/12/YacyretaEnergiasMensualesDesdePuestaenMarcha.pdf" TargetMode="External" Id="rId593"/><Relationship Type="http://schemas.openxmlformats.org/officeDocument/2006/relationships/hyperlink" Target="https://www.eby.gov.py/wp-content/uploads/2019/12/YacyretaEnergiasMensualesDesdePuestaenMarcha.pdf" TargetMode="External" Id="rId594"/><Relationship Type="http://schemas.openxmlformats.org/officeDocument/2006/relationships/hyperlink" Target="https://www.eby.gov.py/wp-content/uploads/2019/12/YacyretaEnergiasMensualesDesdePuestaenMarcha.pdf" TargetMode="External" Id="rId595"/><Relationship Type="http://schemas.openxmlformats.org/officeDocument/2006/relationships/hyperlink" Target="https://www.eby.gov.py/wp-content/uploads/2019/12/YacyretaEnergiasMensualesDesdePuestaenMarcha.pdf" TargetMode="External" Id="rId596"/><Relationship Type="http://schemas.openxmlformats.org/officeDocument/2006/relationships/hyperlink" Target="https://www.eby.gov.py/wp-content/uploads/2019/12/YacyretaEnergiasMensualesDesdePuestaenMarcha.pdf" TargetMode="External" Id="rId597"/><Relationship Type="http://schemas.openxmlformats.org/officeDocument/2006/relationships/hyperlink" Target="https://www.eby.gov.py/wp-content/uploads/2019/12/YacyretaEnergiasMensualesDesdePuestaenMarcha.pdf" TargetMode="External" Id="rId598"/><Relationship Type="http://schemas.openxmlformats.org/officeDocument/2006/relationships/hyperlink" Target="https://www.eby.gov.py/wp-content/uploads/2019/12/YacyretaEnergiasMensualesDesdePuestaenMarcha.pdf" TargetMode="External" Id="rId599"/><Relationship Type="http://schemas.openxmlformats.org/officeDocument/2006/relationships/hyperlink" Target="https://www.eby.gov.py/wp-content/uploads/2019/12/YacyretaEnergiasMensualesDesdePuestaenMarcha.pdf" TargetMode="External" Id="rId600"/><Relationship Type="http://schemas.openxmlformats.org/officeDocument/2006/relationships/hyperlink" Target="https://www.eby.gov.py/wp-content/uploads/2019/12/YacyretaEnergiasMensualesDesdePuestaenMarcha.pdf" TargetMode="External" Id="rId601"/><Relationship Type="http://schemas.openxmlformats.org/officeDocument/2006/relationships/hyperlink" Target="https://www.eby.gov.py/wp-content/uploads/2019/12/YacyretaEnergiasMensualesDesdePuestaenMarcha.pdf" TargetMode="External" Id="rId602"/><Relationship Type="http://schemas.openxmlformats.org/officeDocument/2006/relationships/hyperlink" Target="https://www.eby.gov.py/wp-content/uploads/2019/12/YacyretaEnergiasMensualesDesdePuestaenMarcha.pdf" TargetMode="External" Id="rId603"/><Relationship Type="http://schemas.openxmlformats.org/officeDocument/2006/relationships/hyperlink" Target="https://www.eby.gov.py/wp-content/uploads/2019/12/YacyretaEnergiasMensualesDesdePuestaenMarcha.pdf" TargetMode="External" Id="rId604"/><Relationship Type="http://schemas.openxmlformats.org/officeDocument/2006/relationships/hyperlink" Target="https://www.eby.gov.py/wp-content/uploads/2019/12/YacyretaEnergiasMensualesDesdePuestaenMarcha.pdf" TargetMode="External" Id="rId605"/><Relationship Type="http://schemas.openxmlformats.org/officeDocument/2006/relationships/hyperlink" Target="https://www.eby.gov.py/wp-content/uploads/2019/12/YacyretaEnergiasMensualesDesdePuestaenMarcha.pdf" TargetMode="External" Id="rId606"/><Relationship Type="http://schemas.openxmlformats.org/officeDocument/2006/relationships/hyperlink" Target="https://www.eby.gov.py/wp-content/uploads/2019/12/YacyretaEnergiasMensualesDesdePuestaenMarcha.pdf" TargetMode="External" Id="rId607"/><Relationship Type="http://schemas.openxmlformats.org/officeDocument/2006/relationships/hyperlink" Target="https://www.eby.gov.py/wp-content/uploads/2019/12/YacyretaEnergiasMensualesDesdePuestaenMarcha.pdf" TargetMode="External" Id="rId608"/><Relationship Type="http://schemas.openxmlformats.org/officeDocument/2006/relationships/hyperlink" Target="https://www.eby.gov.py/wp-content/uploads/2019/12/YacyretaEnergiasMensualesDesdePuestaenMarcha.pdf" TargetMode="External" Id="rId609"/><Relationship Type="http://schemas.openxmlformats.org/officeDocument/2006/relationships/hyperlink" Target="https://www.eby.gov.py/wp-content/uploads/2019/12/YacyretaEnergiasMensualesDesdePuestaenMarcha.pdf" TargetMode="External" Id="rId610"/><Relationship Type="http://schemas.openxmlformats.org/officeDocument/2006/relationships/hyperlink" Target="https://www.eby.gov.py/wp-content/uploads/2019/12/YacyretaEnergiasMensualesDesdePuestaenMarcha.pdf" TargetMode="External" Id="rId611"/><Relationship Type="http://schemas.openxmlformats.org/officeDocument/2006/relationships/hyperlink" Target="https://www.eby.gov.py/wp-content/uploads/2019/12/YacyretaEnergiasMensualesDesdePuestaenMarcha.pdf" TargetMode="External" Id="rId612"/><Relationship Type="http://schemas.openxmlformats.org/officeDocument/2006/relationships/hyperlink" Target="https://www.eby.gov.py/wp-content/uploads/2019/12/YacyretaEnergiasMensualesDesdePuestaenMarcha.pdf" TargetMode="External" Id="rId613"/><Relationship Type="http://schemas.openxmlformats.org/officeDocument/2006/relationships/hyperlink" Target="https://www.eby.gov.py/wp-content/uploads/2019/12/YacyretaEnergiasMensualesDesdePuestaenMarcha.pdf" TargetMode="External" Id="rId614"/><Relationship Type="http://schemas.openxmlformats.org/officeDocument/2006/relationships/hyperlink" Target="https://www.eby.gov.py/wp-content/uploads/2019/12/YacyretaEnergiasMensualesDesdePuestaenMarcha.pdf" TargetMode="External" Id="rId615"/><Relationship Type="http://schemas.openxmlformats.org/officeDocument/2006/relationships/hyperlink" Target="https://www.eby.gov.py/wp-content/uploads/2019/12/YacyretaEnergiasMensualesDesdePuestaenMarcha.pdf" TargetMode="External" Id="rId616"/><Relationship Type="http://schemas.openxmlformats.org/officeDocument/2006/relationships/hyperlink" Target="https://www.eby.gov.py/wp-content/uploads/2019/12/YacyretaEnergiasMensualesDesdePuestaenMarcha.pdf" TargetMode="External" Id="rId617"/><Relationship Type="http://schemas.openxmlformats.org/officeDocument/2006/relationships/hyperlink" Target="https://www.eby.gov.py/wp-content/uploads/2019/12/YacyretaEnergiasMensualesDesdePuestaenMarcha.pdf" TargetMode="External" Id="rId618"/><Relationship Type="http://schemas.openxmlformats.org/officeDocument/2006/relationships/hyperlink" Target="https://www.eby.gov.py/wp-content/uploads/2019/12/YacyretaEnergiasMensualesDesdePuestaenMarcha.pdf" TargetMode="External" Id="rId619"/><Relationship Type="http://schemas.openxmlformats.org/officeDocument/2006/relationships/hyperlink" Target="https://www.eby.gov.py/wp-content/uploads/2019/12/YacyretaEnergiasMensualesDesdePuestaenMarcha.pdf" TargetMode="External" Id="rId620"/><Relationship Type="http://schemas.openxmlformats.org/officeDocument/2006/relationships/hyperlink" Target="https://www.eby.gov.py/wp-content/uploads/2019/12/YacyretaEnergiasMensualesDesdePuestaenMarcha.pdf" TargetMode="External" Id="rId621"/><Relationship Type="http://schemas.openxmlformats.org/officeDocument/2006/relationships/hyperlink" Target="https://www.eby.gov.py/wp-content/uploads/2019/12/YacyretaEnergiasMensualesDesdePuestaenMarcha.pdf" TargetMode="External" Id="rId622"/><Relationship Type="http://schemas.openxmlformats.org/officeDocument/2006/relationships/hyperlink" Target="https://www.eby.gov.py/wp-content/uploads/2019/12/YacyretaEnergiasMensualesDesdePuestaenMarcha.pdf" TargetMode="External" Id="rId623"/><Relationship Type="http://schemas.openxmlformats.org/officeDocument/2006/relationships/hyperlink" Target="https://www.eby.gov.py/wp-content/uploads/2019/12/YacyretaEnergiasMensualesDesdePuestaenMarcha.pdf" TargetMode="External" Id="rId624"/><Relationship Type="http://schemas.openxmlformats.org/officeDocument/2006/relationships/hyperlink" Target="https://www.eby.gov.py/wp-content/uploads/2019/12/YacyretaEnergiasMensualesDesdePuestaenMarcha.pdf" TargetMode="External" Id="rId625"/><Relationship Type="http://schemas.openxmlformats.org/officeDocument/2006/relationships/hyperlink" Target="https://www.eby.gov.py/wp-content/uploads/2019/12/YacyretaEnergiasMensualesDesdePuestaenMarcha.pdf" TargetMode="External" Id="rId626"/><Relationship Type="http://schemas.openxmlformats.org/officeDocument/2006/relationships/hyperlink" Target="https://www.eby.gov.py/wp-content/uploads/2019/12/YacyretaEnergiasMensualesDesdePuestaenMarcha.pdf" TargetMode="External" Id="rId627"/><Relationship Type="http://schemas.openxmlformats.org/officeDocument/2006/relationships/hyperlink" Target="https://www.eby.gov.py/wp-content/uploads/2019/12/YacyretaEnergiasMensualesDesdePuestaenMarcha.pdf" TargetMode="External" Id="rId628"/><Relationship Type="http://schemas.openxmlformats.org/officeDocument/2006/relationships/hyperlink" Target="https://www.eby.gov.py/wp-content/uploads/2019/12/YacyretaEnergiasMensualesDesdePuestaenMarcha.pdf" TargetMode="External" Id="rId629"/><Relationship Type="http://schemas.openxmlformats.org/officeDocument/2006/relationships/hyperlink" Target="https://www.eby.gov.py/wp-content/uploads/2019/12/YacyretaEnergiasMensualesDesdePuestaenMarcha.pdf" TargetMode="External" Id="rId630"/><Relationship Type="http://schemas.openxmlformats.org/officeDocument/2006/relationships/hyperlink" Target="https://www.eby.gov.py/wp-content/uploads/2019/12/YacyretaEnergiasMensualesDesdePuestaenMarcha.pdf" TargetMode="External" Id="rId631"/><Relationship Type="http://schemas.openxmlformats.org/officeDocument/2006/relationships/hyperlink" Target="https://www.eby.gov.py/wp-content/uploads/2019/12/YacyretaEnergiasMensualesDesdePuestaenMarcha.pdf" TargetMode="External" Id="rId632"/><Relationship Type="http://schemas.openxmlformats.org/officeDocument/2006/relationships/hyperlink" Target="https://www.eby.gov.py/wp-content/uploads/2019/12/YacyretaEnergiasMensualesDesdePuestaenMarcha.pdf" TargetMode="External" Id="rId633"/><Relationship Type="http://schemas.openxmlformats.org/officeDocument/2006/relationships/hyperlink" Target="https://www.eby.gov.py/wp-content/uploads/2019/12/YacyretaEnergiasMensualesDesdePuestaenMarcha.pdf" TargetMode="External" Id="rId634"/><Relationship Type="http://schemas.openxmlformats.org/officeDocument/2006/relationships/hyperlink" Target="https://www.eby.gov.py/wp-content/uploads/2019/12/YacyretaEnergiasMensualesDesdePuestaenMarcha.pdf" TargetMode="External" Id="rId635"/><Relationship Type="http://schemas.openxmlformats.org/officeDocument/2006/relationships/hyperlink" Target="https://www.eby.gov.py/wp-content/uploads/2019/12/YacyretaEnergiasMensualesDesdePuestaenMarcha.pdf" TargetMode="External" Id="rId636"/><Relationship Type="http://schemas.openxmlformats.org/officeDocument/2006/relationships/hyperlink" Target="https://www.eby.gov.py/wp-content/uploads/2019/12/YacyretaEnergiasMensualesDesdePuestaenMarcha.pdf" TargetMode="External" Id="rId637"/><Relationship Type="http://schemas.openxmlformats.org/officeDocument/2006/relationships/hyperlink" Target="https://www.eby.gov.py/wp-content/uploads/2019/12/YacyretaEnergiasMensualesDesdePuestaenMarcha.pdf" TargetMode="External" Id="rId638"/><Relationship Type="http://schemas.openxmlformats.org/officeDocument/2006/relationships/hyperlink" Target="https://www.eby.gov.py/wp-content/uploads/2019/12/YacyretaEnergiasMensualesDesdePuestaenMarcha.pdf" TargetMode="External" Id="rId639"/><Relationship Type="http://schemas.openxmlformats.org/officeDocument/2006/relationships/hyperlink" Target="https://www.eby.gov.py/wp-content/uploads/2019/12/YacyretaEnergiasMensualesDesdePuestaenMarcha.pdf" TargetMode="External" Id="rId640"/><Relationship Type="http://schemas.openxmlformats.org/officeDocument/2006/relationships/hyperlink" Target="https://www.eby.gov.py/wp-content/uploads/2019/12/YacyretaEnergiasMensualesDesdePuestaenMarcha.pdf" TargetMode="External" Id="rId641"/><Relationship Type="http://schemas.openxmlformats.org/officeDocument/2006/relationships/hyperlink" Target="https://www.eby.gov.py/wp-content/uploads/2019/12/YacyretaEnergiasMensualesDesdePuestaenMarcha.pdf" TargetMode="External" Id="rId642"/><Relationship Type="http://schemas.openxmlformats.org/officeDocument/2006/relationships/hyperlink" Target="https://www.eby.gov.py/wp-content/uploads/2019/12/YacyretaEnergiasMensualesDesdePuestaenMarcha.pdf" TargetMode="External" Id="rId643"/><Relationship Type="http://schemas.openxmlformats.org/officeDocument/2006/relationships/hyperlink" Target="https://www.eby.gov.py/wp-content/uploads/2019/12/YacyretaEnergiasMensualesDesdePuestaenMarcha.pdf" TargetMode="External" Id="rId644"/><Relationship Type="http://schemas.openxmlformats.org/officeDocument/2006/relationships/hyperlink" Target="https://www.eby.gov.py/wp-content/uploads/2019/12/YacyretaEnergiasMensualesDesdePuestaenMarcha.pdf" TargetMode="External" Id="rId645"/><Relationship Type="http://schemas.openxmlformats.org/officeDocument/2006/relationships/hyperlink" Target="https://www.eby.gov.py/wp-content/uploads/2019/12/YacyretaEnergiasMensualesDesdePuestaenMarcha.pdf" TargetMode="External" Id="rId646"/><Relationship Type="http://schemas.openxmlformats.org/officeDocument/2006/relationships/hyperlink" Target="https://www.eby.gov.py/wp-content/uploads/2019/12/YacyretaEnergiasMensualesDesdePuestaenMarcha.pdf" TargetMode="External" Id="rId647"/><Relationship Type="http://schemas.openxmlformats.org/officeDocument/2006/relationships/hyperlink" Target="https://www.eby.gov.py/wp-content/uploads/2019/12/YacyretaEnergiasMensualesDesdePuestaenMarcha.pdf" TargetMode="External" Id="rId648"/><Relationship Type="http://schemas.openxmlformats.org/officeDocument/2006/relationships/hyperlink" Target="https://www.eby.gov.py/wp-content/uploads/2019/12/YacyretaEnergiasMensualesDesdePuestaenMarcha.pdf" TargetMode="External" Id="rId649"/><Relationship Type="http://schemas.openxmlformats.org/officeDocument/2006/relationships/hyperlink" Target="https://www.eby.gov.py/wp-content/uploads/2019/12/YacyretaEnergiasMensualesDesdePuestaenMarcha.pdf" TargetMode="External" Id="rId650"/><Relationship Type="http://schemas.openxmlformats.org/officeDocument/2006/relationships/hyperlink" Target="https://www.eby.gov.py/wp-content/uploads/2019/12/YacyretaEnergiasMensualesDesdePuestaenMarcha.pdf" TargetMode="External" Id="rId651"/><Relationship Type="http://schemas.openxmlformats.org/officeDocument/2006/relationships/hyperlink" Target="https://www.eby.gov.py/wp-content/uploads/2019/12/YacyretaEnergiasMensualesDesdePuestaenMarcha.pdf" TargetMode="External" Id="rId652"/><Relationship Type="http://schemas.openxmlformats.org/officeDocument/2006/relationships/hyperlink" Target="https://www.eby.gov.py/wp-content/uploads/2019/12/YacyretaEnergiasMensualesDesdePuestaenMarcha.pdf" TargetMode="External" Id="rId653"/><Relationship Type="http://schemas.openxmlformats.org/officeDocument/2006/relationships/hyperlink" Target="https://www.eby.gov.py/wp-content/uploads/2019/12/YacyretaEnergiasMensualesDesdePuestaenMarcha.pdf" TargetMode="External" Id="rId654"/><Relationship Type="http://schemas.openxmlformats.org/officeDocument/2006/relationships/hyperlink" Target="https://www.eby.gov.py/wp-content/uploads/2019/12/YacyretaEnergiasMensualesDesdePuestaenMarcha.pdf" TargetMode="External" Id="rId655"/><Relationship Type="http://schemas.openxmlformats.org/officeDocument/2006/relationships/hyperlink" Target="https://www.eby.gov.py/wp-content/uploads/2019/12/YacyretaEnergiasMensualesDesdePuestaenMarcha.pdf" TargetMode="External" Id="rId656"/><Relationship Type="http://schemas.openxmlformats.org/officeDocument/2006/relationships/hyperlink" Target="https://www.eby.gov.py/wp-content/uploads/2019/12/YacyretaEnergiasMensualesDesdePuestaenMarcha.pdf" TargetMode="External" Id="rId657"/><Relationship Type="http://schemas.openxmlformats.org/officeDocument/2006/relationships/hyperlink" Target="https://www.eby.gov.py/wp-content/uploads/2019/12/YacyretaEnergiasMensualesDesdePuestaenMarcha.pdf" TargetMode="External" Id="rId658"/><Relationship Type="http://schemas.openxmlformats.org/officeDocument/2006/relationships/hyperlink" Target="https://www.eby.gov.py/wp-content/uploads/2019/12/YacyretaEnergiasMensualesDesdePuestaenMarcha.pdf" TargetMode="External" Id="rId659"/><Relationship Type="http://schemas.openxmlformats.org/officeDocument/2006/relationships/hyperlink" Target="https://www.eby.gov.py/wp-content/uploads/2019/12/YacyretaEnergiasMensualesDesdePuestaenMarcha.pdf" TargetMode="External" Id="rId660"/><Relationship Type="http://schemas.openxmlformats.org/officeDocument/2006/relationships/hyperlink" Target="https://www.eby.gov.py/wp-content/uploads/2019/12/YacyretaEnergiasMensualesDesdePuestaenMarcha.pdf" TargetMode="External" Id="rId661"/><Relationship Type="http://schemas.openxmlformats.org/officeDocument/2006/relationships/hyperlink" Target="https://www.eby.gov.py/wp-content/uploads/2019/12/YacyretaEnergiasMensualesDesdePuestaenMarcha.pdf" TargetMode="External" Id="rId662"/><Relationship Type="http://schemas.openxmlformats.org/officeDocument/2006/relationships/hyperlink" Target="https://www.eby.gov.py/wp-content/uploads/2019/12/YacyretaEnergiasMensualesDesdePuestaenMarcha.pdf" TargetMode="External" Id="rId663"/><Relationship Type="http://schemas.openxmlformats.org/officeDocument/2006/relationships/hyperlink" Target="https://www.eby.gov.py/wp-content/uploads/2019/12/YacyretaEnergiasMensualesDesdePuestaenMarcha.pdf" TargetMode="External" Id="rId664"/><Relationship Type="http://schemas.openxmlformats.org/officeDocument/2006/relationships/hyperlink" Target="https://www.eby.gov.py/wp-content/uploads/2019/12/YacyretaEnergiasMensualesDesdePuestaenMarcha.pdf" TargetMode="External" Id="rId665"/><Relationship Type="http://schemas.openxmlformats.org/officeDocument/2006/relationships/hyperlink" Target="https://www.eby.gov.py/wp-content/uploads/2019/12/YacyretaEnergiasMensualesDesdePuestaenMarcha.pdf" TargetMode="External" Id="rId666"/><Relationship Type="http://schemas.openxmlformats.org/officeDocument/2006/relationships/hyperlink" Target="https://www.eby.gov.py/wp-content/uploads/2019/12/YacyretaEnergiasMensualesDesdePuestaenMarcha.pdf" TargetMode="External" Id="rId667"/><Relationship Type="http://schemas.openxmlformats.org/officeDocument/2006/relationships/hyperlink" Target="https://www.eby.gov.py/wp-content/uploads/2019/12/YacyretaEnergiasMensualesDesdePuestaenMarcha.pdf" TargetMode="External" Id="rId668"/><Relationship Type="http://schemas.openxmlformats.org/officeDocument/2006/relationships/hyperlink" Target="https://www.eby.gov.py/wp-content/uploads/2019/12/YacyretaEnergiasMensualesDesdePuestaenMarcha.pdf" TargetMode="External" Id="rId669"/><Relationship Type="http://schemas.openxmlformats.org/officeDocument/2006/relationships/hyperlink" Target="https://www.eby.gov.py/wp-content/uploads/2019/12/YacyretaEnergiasMensualesDesdePuestaenMarcha.pdf" TargetMode="External" Id="rId670"/><Relationship Type="http://schemas.openxmlformats.org/officeDocument/2006/relationships/hyperlink" Target="https://www.eby.gov.py/wp-content/uploads/2019/12/YacyretaEnergiasMensualesDesdePuestaenMarcha.pdf" TargetMode="External" Id="rId671"/><Relationship Type="http://schemas.openxmlformats.org/officeDocument/2006/relationships/hyperlink" Target="https://www.eby.gov.py/wp-content/uploads/2019/12/YacyretaEnergiasMensualesDesdePuestaenMarcha.pdf" TargetMode="External" Id="rId672"/><Relationship Type="http://schemas.openxmlformats.org/officeDocument/2006/relationships/hyperlink" Target="https://www.eby.gov.py/wp-content/uploads/2019/12/YacyretaEnergiasMensualesDesdePuestaenMarcha.pdf" TargetMode="External" Id="rId673"/><Relationship Type="http://schemas.openxmlformats.org/officeDocument/2006/relationships/hyperlink" Target="https://www.eby.gov.py/wp-content/uploads/2019/12/YacyretaEnergiasMensualesDesdePuestaenMarcha.pdf" TargetMode="External" Id="rId674"/><Relationship Type="http://schemas.openxmlformats.org/officeDocument/2006/relationships/hyperlink" Target="https://www.eby.gov.py/wp-content/uploads/2019/12/YacyretaEnergiasMensualesDesdePuestaenMarcha.pdf" TargetMode="External" Id="rId675"/><Relationship Type="http://schemas.openxmlformats.org/officeDocument/2006/relationships/hyperlink" Target="https://www.eby.gov.py/wp-content/uploads/2019/12/YacyretaEnergiasMensualesDesdePuestaenMarcha.pdf" TargetMode="External" Id="rId676"/><Relationship Type="http://schemas.openxmlformats.org/officeDocument/2006/relationships/hyperlink" Target="https://www.eby.gov.py/wp-content/uploads/2019/12/YacyretaEnergiasMensualesDesdePuestaenMarcha.pdf" TargetMode="External" Id="rId677"/><Relationship Type="http://schemas.openxmlformats.org/officeDocument/2006/relationships/hyperlink" Target="https://www.eby.gov.py/wp-content/uploads/2019/12/YacyretaEnergiasMensualesDesdePuestaenMarcha.pdf" TargetMode="External" Id="rId678"/><Relationship Type="http://schemas.openxmlformats.org/officeDocument/2006/relationships/hyperlink" Target="https://www.eby.gov.py/wp-content/uploads/2019/12/YacyretaEnergiasMensualesDesdePuestaenMarcha.pdf" TargetMode="External" Id="rId679"/><Relationship Type="http://schemas.openxmlformats.org/officeDocument/2006/relationships/hyperlink" Target="https://www.eby.gov.py/wp-content/uploads/2019/12/YacyretaEnergiasMensualesDesdePuestaenMarcha.pdf" TargetMode="External" Id="rId680"/><Relationship Type="http://schemas.openxmlformats.org/officeDocument/2006/relationships/hyperlink" Target="https://www.eby.gov.py/wp-content/uploads/2019/12/YacyretaEnergiasMensualesDesdePuestaenMarcha.pdf" TargetMode="External" Id="rId681"/><Relationship Type="http://schemas.openxmlformats.org/officeDocument/2006/relationships/hyperlink" Target="https://www.eby.gov.py/wp-content/uploads/2019/12/YacyretaEnergiasMensualesDesdePuestaenMarcha.pdf" TargetMode="External" Id="rId682"/><Relationship Type="http://schemas.openxmlformats.org/officeDocument/2006/relationships/hyperlink" Target="https://www.eby.gov.py/wp-content/uploads/2019/12/YacyretaEnergiasMensualesDesdePuestaenMarcha.pdf" TargetMode="External" Id="rId683"/><Relationship Type="http://schemas.openxmlformats.org/officeDocument/2006/relationships/hyperlink" Target="https://www.eby.gov.py/wp-content/uploads/2019/12/YacyretaEnergiasMensualesDesdePuestaenMarcha.pdf" TargetMode="External" Id="rId684"/><Relationship Type="http://schemas.openxmlformats.org/officeDocument/2006/relationships/hyperlink" Target="https://www.eby.gov.py/wp-content/uploads/2019/12/YacyretaEnergiasMensualesDesdePuestaenMarcha.pdf" TargetMode="External" Id="rId685"/><Relationship Type="http://schemas.openxmlformats.org/officeDocument/2006/relationships/hyperlink" Target="https://www.eby.gov.py/wp-content/uploads/2019/12/YacyretaEnergiasMensualesDesdePuestaenMarcha.pdf" TargetMode="External" Id="rId686"/><Relationship Type="http://schemas.openxmlformats.org/officeDocument/2006/relationships/hyperlink" Target="https://www.eby.gov.py/wp-content/uploads/2019/12/YacyretaEnergiasMensualesDesdePuestaenMarcha.pdf" TargetMode="External" Id="rId687"/><Relationship Type="http://schemas.openxmlformats.org/officeDocument/2006/relationships/hyperlink" Target="https://www.eby.gov.py/wp-content/uploads/2019/12/YacyretaEnergiasMensualesDesdePuestaenMarcha.pdf" TargetMode="External" Id="rId688"/><Relationship Type="http://schemas.openxmlformats.org/officeDocument/2006/relationships/hyperlink" Target="https://www.eby.gov.py/wp-content/uploads/2019/12/YacyretaEnergiasMensualesDesdePuestaenMarcha.pdf" TargetMode="External" Id="rId689"/><Relationship Type="http://schemas.openxmlformats.org/officeDocument/2006/relationships/hyperlink" Target="https://www.eby.gov.py/wp-content/uploads/2019/12/YacyretaEnergiasMensualesDesdePuestaenMarcha.pdf" TargetMode="External" Id="rId690"/><Relationship Type="http://schemas.openxmlformats.org/officeDocument/2006/relationships/hyperlink" Target="https://www.eby.gov.py/wp-content/uploads/2019/12/YacyretaEnergiasMensualesDesdePuestaenMarcha.pdf" TargetMode="External" Id="rId691"/><Relationship Type="http://schemas.openxmlformats.org/officeDocument/2006/relationships/hyperlink" Target="https://www.eby.gov.py/wp-content/uploads/2019/12/YacyretaEnergiasMensualesDesdePuestaenMarcha.pdf" TargetMode="External" Id="rId692"/><Relationship Type="http://schemas.openxmlformats.org/officeDocument/2006/relationships/hyperlink" Target="https://www.eby.gov.py/wp-content/uploads/2019/12/YacyretaEnergiasMensualesDesdePuestaenMarcha.pdf" TargetMode="External" Id="rId693"/><Relationship Type="http://schemas.openxmlformats.org/officeDocument/2006/relationships/hyperlink" Target="https://www.eby.gov.py/wp-content/uploads/2019/12/YacyretaEnergiasMensualesDesdePuestaenMarcha.pdf" TargetMode="External" Id="rId694"/><Relationship Type="http://schemas.openxmlformats.org/officeDocument/2006/relationships/hyperlink" Target="https://www.eby.gov.py/wp-content/uploads/2019/12/YacyretaEnergiasMensualesDesdePuestaenMarcha.pdf" TargetMode="External" Id="rId695"/><Relationship Type="http://schemas.openxmlformats.org/officeDocument/2006/relationships/hyperlink" Target="https://www.eby.gov.py/wp-content/uploads/2019/12/YacyretaEnergiasMensualesDesdePuestaenMarcha.pdf" TargetMode="External" Id="rId696"/><Relationship Type="http://schemas.openxmlformats.org/officeDocument/2006/relationships/hyperlink" Target="https://www.eby.gov.py/wp-content/uploads/2019/12/YacyretaEnergiasMensualesDesdePuestaenMarcha.pdf" TargetMode="External" Id="rId697"/><Relationship Type="http://schemas.openxmlformats.org/officeDocument/2006/relationships/hyperlink" Target="https://www.eby.gov.py/wp-content/uploads/2019/12/YacyretaEnergiasMensualesDesdePuestaenMarcha.pdf" TargetMode="External" Id="rId698"/><Relationship Type="http://schemas.openxmlformats.org/officeDocument/2006/relationships/hyperlink" Target="https://www.eby.gov.py/wp-content/uploads/2019/12/YacyretaEnergiasMensualesDesdePuestaenMarcha.pdf" TargetMode="External" Id="rId699"/><Relationship Type="http://schemas.openxmlformats.org/officeDocument/2006/relationships/hyperlink" Target="https://www.eby.gov.py/wp-content/uploads/2019/12/YacyretaEnergiasMensualesDesdePuestaenMarcha.pdf" TargetMode="External" Id="rId700"/><Relationship Type="http://schemas.openxmlformats.org/officeDocument/2006/relationships/hyperlink" Target="https://www.eby.gov.py/wp-content/uploads/2019/12/YacyretaEnergiasMensualesDesdePuestaenMarcha.pdf" TargetMode="External" Id="rId701"/><Relationship Type="http://schemas.openxmlformats.org/officeDocument/2006/relationships/hyperlink" Target="https://www.eby.gov.py/wp-content/uploads/2019/12/YacyretaEnergiasMensualesDesdePuestaenMarcha.pdf" TargetMode="External" Id="rId702"/><Relationship Type="http://schemas.openxmlformats.org/officeDocument/2006/relationships/hyperlink" Target="https://www.eby.gov.py/wp-content/uploads/2019/12/YacyretaEnergiasMensualesDesdePuestaenMarcha.pdf" TargetMode="External" Id="rId703"/><Relationship Type="http://schemas.openxmlformats.org/officeDocument/2006/relationships/hyperlink" Target="https://www.eby.gov.py/wp-content/uploads/2019/12/YacyretaEnergiasMensualesDesdePuestaenMarcha.pdf" TargetMode="External" Id="rId704"/><Relationship Type="http://schemas.openxmlformats.org/officeDocument/2006/relationships/hyperlink" Target="https://www.eby.gov.py/wp-content/uploads/2019/12/YacyretaEnergiasMensualesDesdePuestaenMarcha.pdf" TargetMode="External" Id="rId705"/><Relationship Type="http://schemas.openxmlformats.org/officeDocument/2006/relationships/hyperlink" Target="https://www.eby.gov.py/wp-content/uploads/2019/12/YacyretaEnergiasMensualesDesdePuestaenMarcha.pdf" TargetMode="External" Id="rId706"/><Relationship Type="http://schemas.openxmlformats.org/officeDocument/2006/relationships/hyperlink" Target="https://www.eby.gov.py/wp-content/uploads/2019/12/YacyretaEnergiasMensualesDesdePuestaenMarcha.pdf" TargetMode="External" Id="rId707"/><Relationship Type="http://schemas.openxmlformats.org/officeDocument/2006/relationships/hyperlink" Target="https://www.eby.gov.py/wp-content/uploads/2019/12/YacyretaEnergiasMensualesDesdePuestaenMarcha.pdf" TargetMode="External" Id="rId708"/><Relationship Type="http://schemas.openxmlformats.org/officeDocument/2006/relationships/hyperlink" Target="https://www.eby.gov.py/wp-content/uploads/2019/12/YacyretaEnergiasMensualesDesdePuestaenMarcha.pdf" TargetMode="External" Id="rId709"/><Relationship Type="http://schemas.openxmlformats.org/officeDocument/2006/relationships/hyperlink" Target="https://www.eby.gov.py/wp-content/uploads/2019/12/YacyretaEnergiasMensualesDesdePuestaenMarcha.pdf" TargetMode="External" Id="rId710"/><Relationship Type="http://schemas.openxmlformats.org/officeDocument/2006/relationships/hyperlink" Target="https://www.eby.gov.py/wp-content/uploads/2019/12/YacyretaEnergiasMensualesDesdePuestaenMarcha.pdf" TargetMode="External" Id="rId711"/><Relationship Type="http://schemas.openxmlformats.org/officeDocument/2006/relationships/hyperlink" Target="https://www.eby.gov.py/wp-content/uploads/2019/12/YacyretaEnergiasMensualesDesdePuestaenMarcha.pdf" TargetMode="External" Id="rId712"/><Relationship Type="http://schemas.openxmlformats.org/officeDocument/2006/relationships/hyperlink" Target="https://www.eby.gov.py/wp-content/uploads/2019/12/YacyretaEnergiasMensualesDesdePuestaenMarcha.pdf" TargetMode="External" Id="rId713"/><Relationship Type="http://schemas.openxmlformats.org/officeDocument/2006/relationships/hyperlink" Target="https://www.eby.gov.py/wp-content/uploads/2019/12/YacyretaEnergiasMensualesDesdePuestaenMarcha.pdf" TargetMode="External" Id="rId714"/><Relationship Type="http://schemas.openxmlformats.org/officeDocument/2006/relationships/hyperlink" Target="https://www.eby.gov.py/wp-content/uploads/2019/12/YacyretaEnergiasMensualesDesdePuestaenMarcha.pdf" TargetMode="External" Id="rId715"/><Relationship Type="http://schemas.openxmlformats.org/officeDocument/2006/relationships/hyperlink" Target="https://www.eby.gov.py/wp-content/uploads/2019/12/YacyretaEnergiasMensualesDesdePuestaenMarcha.pdf" TargetMode="External" Id="rId716"/><Relationship Type="http://schemas.openxmlformats.org/officeDocument/2006/relationships/hyperlink" Target="https://www.eby.gov.py/wp-content/uploads/2019/12/YacyretaEnergiasMensualesDesdePuestaenMarcha.pdf" TargetMode="External" Id="rId717"/><Relationship Type="http://schemas.openxmlformats.org/officeDocument/2006/relationships/hyperlink" Target="https://www.eby.gov.py/wp-content/uploads/2019/12/YacyretaEnergiasMensualesDesdePuestaenMarcha.pdf" TargetMode="External" Id="rId718"/><Relationship Type="http://schemas.openxmlformats.org/officeDocument/2006/relationships/hyperlink" Target="https://www.eby.gov.py/wp-content/uploads/2019/12/YacyretaEnergiasMensualesDesdePuestaenMarcha.pdf" TargetMode="External" Id="rId719"/><Relationship Type="http://schemas.openxmlformats.org/officeDocument/2006/relationships/hyperlink" Target="https://www.eby.gov.py/wp-content/uploads/2019/12/YacyretaEnergiasMensualesDesdePuestaenMarcha.pdf" TargetMode="External" Id="rId720"/><Relationship Type="http://schemas.openxmlformats.org/officeDocument/2006/relationships/hyperlink" Target="https://www.eby.gov.py/wp-content/uploads/2019/12/YacyretaEnergiasMensualesDesdePuestaenMarcha.pdf" TargetMode="External" Id="rId721"/><Relationship Type="http://schemas.openxmlformats.org/officeDocument/2006/relationships/hyperlink" Target="https://www.eby.gov.py/wp-content/uploads/2019/12/YacyretaEnergiasMensualesDesdePuestaenMarcha.pdf" TargetMode="External" Id="rId722"/><Relationship Type="http://schemas.openxmlformats.org/officeDocument/2006/relationships/hyperlink" Target="https://www.eby.gov.py/wp-content/uploads/2019/12/YacyretaEnergiasMensualesDesdePuestaenMarcha.pdf" TargetMode="External" Id="rId723"/><Relationship Type="http://schemas.openxmlformats.org/officeDocument/2006/relationships/hyperlink" Target="https://www.eby.gov.py/wp-content/uploads/2019/12/YacyretaEnergiasMensualesDesdePuestaenMarcha.pdf" TargetMode="External" Id="rId724"/><Relationship Type="http://schemas.openxmlformats.org/officeDocument/2006/relationships/hyperlink" Target="https://www.eby.gov.py/wp-content/uploads/2019/12/YacyretaEnergiasMensualesDesdePuestaenMarcha.pdf" TargetMode="External" Id="rId725"/><Relationship Type="http://schemas.openxmlformats.org/officeDocument/2006/relationships/hyperlink" Target="https://www.eby.gov.py/wp-content/uploads/2019/12/YacyretaEnergiasMensualesDesdePuestaenMarcha.pdf" TargetMode="External" Id="rId726"/><Relationship Type="http://schemas.openxmlformats.org/officeDocument/2006/relationships/hyperlink" Target="https://www.eby.gov.py/wp-content/uploads/2019/12/YacyretaEnergiasMensualesDesdePuestaenMarcha.pdf" TargetMode="External" Id="rId727"/><Relationship Type="http://schemas.openxmlformats.org/officeDocument/2006/relationships/hyperlink" Target="https://www.eby.gov.py/wp-content/uploads/2019/12/YacyretaEnergiasMensualesDesdePuestaenMarcha.pdf" TargetMode="External" Id="rId728"/><Relationship Type="http://schemas.openxmlformats.org/officeDocument/2006/relationships/hyperlink" Target="https://www.eby.gov.py/wp-content/uploads/2019/12/YacyretaEnergiasMensualesDesdePuestaenMarcha.pdf" TargetMode="External" Id="rId729"/><Relationship Type="http://schemas.openxmlformats.org/officeDocument/2006/relationships/hyperlink" Target="https://www.eby.gov.py/wp-content/uploads/2019/12/YacyretaEnergiasMensualesDesdePuestaenMarcha.pdf" TargetMode="External" Id="rId730"/><Relationship Type="http://schemas.openxmlformats.org/officeDocument/2006/relationships/hyperlink" Target="https://www.eby.gov.py/wp-content/uploads/2019/12/YacyretaEnergiasMensualesDesdePuestaenMarcha.pdf" TargetMode="External" Id="rId731"/><Relationship Type="http://schemas.openxmlformats.org/officeDocument/2006/relationships/hyperlink" Target="https://www.eby.gov.py/wp-content/uploads/2019/12/YacyretaEnergiasMensualesDesdePuestaenMarcha.pdf" TargetMode="External" Id="rId732"/><Relationship Type="http://schemas.openxmlformats.org/officeDocument/2006/relationships/hyperlink" Target="https://www.eby.gov.py/wp-content/uploads/2019/12/YacyretaEnergiasMensualesDesdePuestaenMarcha.pdf" TargetMode="External" Id="rId733"/><Relationship Type="http://schemas.openxmlformats.org/officeDocument/2006/relationships/hyperlink" Target="https://www.eby.gov.py/wp-content/uploads/2019/12/YacyretaEnergiasMensualesDesdePuestaenMarcha.pdf" TargetMode="External" Id="rId734"/><Relationship Type="http://schemas.openxmlformats.org/officeDocument/2006/relationships/hyperlink" Target="https://www.eby.gov.py/wp-content/uploads/2019/12/YacyretaEnergiasMensualesDesdePuestaenMarcha.pdf" TargetMode="External" Id="rId735"/><Relationship Type="http://schemas.openxmlformats.org/officeDocument/2006/relationships/hyperlink" Target="https://www.eby.gov.py/wp-content/uploads/2019/12/YacyretaEnergiasMensualesDesdePuestaenMarcha.pdf" TargetMode="External" Id="rId736"/><Relationship Type="http://schemas.openxmlformats.org/officeDocument/2006/relationships/hyperlink" Target="https://www.eby.gov.py/wp-content/uploads/2019/12/YacyretaEnergiasMensualesDesdePuestaenMarcha.pdf" TargetMode="External" Id="rId737"/><Relationship Type="http://schemas.openxmlformats.org/officeDocument/2006/relationships/hyperlink" Target="https://www.eby.gov.py/wp-content/uploads/2019/12/YacyretaEnergiasMensualesDesdePuestaenMarcha.pdf" TargetMode="External" Id="rId738"/><Relationship Type="http://schemas.openxmlformats.org/officeDocument/2006/relationships/hyperlink" Target="https://www.eby.gov.py/wp-content/uploads/2019/12/YacyretaEnergiasMensualesDesdePuestaenMarcha.pdf" TargetMode="External" Id="rId739"/><Relationship Type="http://schemas.openxmlformats.org/officeDocument/2006/relationships/hyperlink" Target="https://www.eby.gov.py/wp-content/uploads/2019/12/YacyretaEnergiasMensualesDesdePuestaenMarcha.pdf" TargetMode="External" Id="rId740"/><Relationship Type="http://schemas.openxmlformats.org/officeDocument/2006/relationships/hyperlink" Target="https://www.eby.gov.py/wp-content/uploads/2019/12/YacyretaEnergiasMensualesDesdePuestaenMarcha.pdf" TargetMode="External" Id="rId741"/><Relationship Type="http://schemas.openxmlformats.org/officeDocument/2006/relationships/hyperlink" Target="https://www.eby.gov.py/wp-content/uploads/2019/12/YacyretaEnergiasMensualesDesdePuestaenMarcha.pdf" TargetMode="External" Id="rId742"/><Relationship Type="http://schemas.openxmlformats.org/officeDocument/2006/relationships/hyperlink" Target="https://www.eby.gov.py/wp-content/uploads/2019/12/YacyretaEnergiasMensualesDesdePuestaenMarcha.pdf" TargetMode="External" Id="rId743"/><Relationship Type="http://schemas.openxmlformats.org/officeDocument/2006/relationships/hyperlink" Target="https://www.eby.gov.py/wp-content/uploads/2019/12/YacyretaEnergiasMensualesDesdePuestaenMarcha.pdf" TargetMode="External" Id="rId744"/><Relationship Type="http://schemas.openxmlformats.org/officeDocument/2006/relationships/hyperlink" Target="https://www.eby.gov.py/wp-content/uploads/2019/12/YacyretaEnergiasMensualesDesdePuestaenMarcha.pdf" TargetMode="External" Id="rId745"/><Relationship Type="http://schemas.openxmlformats.org/officeDocument/2006/relationships/hyperlink" Target="https://www.eby.gov.py/wp-content/uploads/2019/12/YacyretaEnergiasMensualesDesdePuestaenMarcha.pdf" TargetMode="External" Id="rId746"/><Relationship Type="http://schemas.openxmlformats.org/officeDocument/2006/relationships/hyperlink" Target="https://www.eby.gov.py/wp-content/uploads/2019/12/YacyretaEnergiasMensualesDesdePuestaenMarcha.pdf" TargetMode="External" Id="rId747"/><Relationship Type="http://schemas.openxmlformats.org/officeDocument/2006/relationships/hyperlink" Target="https://www.eby.gov.py/wp-content/uploads/2019/12/YacyretaEnergiasMensualesDesdePuestaenMarcha.pdf" TargetMode="External" Id="rId748"/><Relationship Type="http://schemas.openxmlformats.org/officeDocument/2006/relationships/hyperlink" Target="https://www.eby.gov.py/wp-content/uploads/2019/12/YacyretaEnergiasMensualesDesdePuestaenMarcha.pdf" TargetMode="External" Id="rId749"/><Relationship Type="http://schemas.openxmlformats.org/officeDocument/2006/relationships/hyperlink" Target="https://www.eby.gov.py/wp-content/uploads/2019/12/YacyretaEnergiasMensualesDesdePuestaenMarcha.pdf" TargetMode="External" Id="rId750"/><Relationship Type="http://schemas.openxmlformats.org/officeDocument/2006/relationships/hyperlink" Target="https://www.eby.gov.py/wp-content/uploads/2019/12/YacyretaEnergiasMensualesDesdePuestaenMarcha.pdf" TargetMode="External" Id="rId751"/><Relationship Type="http://schemas.openxmlformats.org/officeDocument/2006/relationships/hyperlink" Target="https://www.eby.gov.py/wp-content/uploads/2019/12/YacyretaEnergiasMensualesDesdePuestaenMarcha.pdf" TargetMode="External" Id="rId752"/><Relationship Type="http://schemas.openxmlformats.org/officeDocument/2006/relationships/hyperlink" Target="https://www.eby.gov.py/wp-content/uploads/2019/12/YacyretaEnergiasMensualesDesdePuestaenMarcha.pdf" TargetMode="External" Id="rId753"/><Relationship Type="http://schemas.openxmlformats.org/officeDocument/2006/relationships/hyperlink" Target="https://www.eby.gov.py/wp-content/uploads/2019/12/YacyretaEnergiasMensualesDesdePuestaenMarcha.pdf" TargetMode="External" Id="rId754"/><Relationship Type="http://schemas.openxmlformats.org/officeDocument/2006/relationships/hyperlink" Target="https://www.eby.gov.py/wp-content/uploads/2019/12/YacyretaEnergiasMensualesDesdePuestaenMarcha.pdf" TargetMode="External" Id="rId755"/><Relationship Type="http://schemas.openxmlformats.org/officeDocument/2006/relationships/hyperlink" Target="https://www.eby.gov.py/wp-content/uploads/2019/12/YacyretaEnergiasMensualesDesdePuestaenMarcha.pdf" TargetMode="External" Id="rId756"/><Relationship Type="http://schemas.openxmlformats.org/officeDocument/2006/relationships/hyperlink" Target="https://www.eby.gov.py/wp-content/uploads/2019/12/YacyretaEnergiasMensualesDesdePuestaenMarcha.pdf" TargetMode="External" Id="rId757"/><Relationship Type="http://schemas.openxmlformats.org/officeDocument/2006/relationships/hyperlink" Target="https://www.eby.gov.py/wp-content/uploads/2019/12/YacyretaEnergiasMensualesDesdePuestaenMarcha.pdf" TargetMode="External" Id="rId758"/><Relationship Type="http://schemas.openxmlformats.org/officeDocument/2006/relationships/hyperlink" Target="https://www.eby.gov.py/wp-content/uploads/2019/12/YacyretaEnergiasMensualesDesdePuestaenMarcha.pdf" TargetMode="External" Id="rId759"/><Relationship Type="http://schemas.openxmlformats.org/officeDocument/2006/relationships/hyperlink" Target="https://www.eby.gov.py/wp-content/uploads/2019/12/YacyretaEnergiasMensualesDesdePuestaenMarcha.pdf" TargetMode="External" Id="rId760"/><Relationship Type="http://schemas.openxmlformats.org/officeDocument/2006/relationships/hyperlink" Target="https://www.eby.gov.py/wp-content/uploads/2019/12/YacyretaEnergiasMensualesDesdePuestaenMarcha.pdf" TargetMode="External" Id="rId761"/><Relationship Type="http://schemas.openxmlformats.org/officeDocument/2006/relationships/hyperlink" Target="https://www.eby.gov.py/wp-content/uploads/2019/12/YacyretaEnergiasMensualesDesdePuestaenMarcha.pdf" TargetMode="External" Id="rId762"/><Relationship Type="http://schemas.openxmlformats.org/officeDocument/2006/relationships/hyperlink" Target="https://www.eby.gov.py/wp-content/uploads/2019/12/YacyretaEnergiasMensualesDesdePuestaenMarcha.pdf" TargetMode="External" Id="rId763"/><Relationship Type="http://schemas.openxmlformats.org/officeDocument/2006/relationships/hyperlink" Target="https://www.eby.gov.py/wp-content/uploads/2019/12/YacyretaEnergiasMensualesDesdePuestaenMarcha.pdf" TargetMode="External" Id="rId764"/><Relationship Type="http://schemas.openxmlformats.org/officeDocument/2006/relationships/hyperlink" Target="https://www.eby.gov.py/wp-content/uploads/2019/12/YacyretaEnergiasMensualesDesdePuestaenMarcha.pdf" TargetMode="External" Id="rId765"/><Relationship Type="http://schemas.openxmlformats.org/officeDocument/2006/relationships/hyperlink" Target="https://www.eby.gov.py/wp-content/uploads/2019/12/YacyretaEnergiasMensualesDesdePuestaenMarcha.pdf" TargetMode="External" Id="rId766"/><Relationship Type="http://schemas.openxmlformats.org/officeDocument/2006/relationships/hyperlink" Target="https://www.eby.gov.py/wp-content/uploads/2019/12/YacyretaEnergiasMensualesDesdePuestaenMarcha.pdf" TargetMode="External" Id="rId767"/><Relationship Type="http://schemas.openxmlformats.org/officeDocument/2006/relationships/hyperlink" Target="https://www.eby.gov.py/wp-content/uploads/2019/12/YacyretaEnergiasMensualesDesdePuestaenMarcha.pdf" TargetMode="External" Id="rId768"/><Relationship Type="http://schemas.openxmlformats.org/officeDocument/2006/relationships/hyperlink" Target="https://www.eby.gov.py/wp-content/uploads/2019/12/YacyretaEnergiasMensualesDesdePuestaenMarcha.pdf" TargetMode="External" Id="rId769"/><Relationship Type="http://schemas.openxmlformats.org/officeDocument/2006/relationships/hyperlink" Target="https://www.eby.gov.py/wp-content/uploads/2019/12/YacyretaEnergiasMensualesDesdePuestaenMarcha.pdf" TargetMode="External" Id="rId770"/><Relationship Type="http://schemas.openxmlformats.org/officeDocument/2006/relationships/hyperlink" Target="https://www.eby.gov.py/wp-content/uploads/2019/12/YacyretaEnergiasMensualesDesdePuestaenMarcha.pdf" TargetMode="External" Id="rId771"/><Relationship Type="http://schemas.openxmlformats.org/officeDocument/2006/relationships/hyperlink" Target="https://www.eby.gov.py/wp-content/uploads/2019/12/YacyretaEnergiasMensualesDesdePuestaenMarcha.pdf" TargetMode="External" Id="rId772"/><Relationship Type="http://schemas.openxmlformats.org/officeDocument/2006/relationships/hyperlink" Target="https://www.eby.gov.py/wp-content/uploads/2019/12/YacyretaEnergiasMensualesDesdePuestaenMarcha.pdf" TargetMode="External" Id="rId773"/><Relationship Type="http://schemas.openxmlformats.org/officeDocument/2006/relationships/hyperlink" Target="https://www.eby.gov.py/wp-content/uploads/2019/12/YacyretaEnergiasMensualesDesdePuestaenMarcha.pdf" TargetMode="External" Id="rId774"/><Relationship Type="http://schemas.openxmlformats.org/officeDocument/2006/relationships/hyperlink" Target="https://www.eby.gov.py/wp-content/uploads/2019/12/YacyretaEnergiasMensualesDesdePuestaenMarcha.pdf" TargetMode="External" Id="rId775"/><Relationship Type="http://schemas.openxmlformats.org/officeDocument/2006/relationships/hyperlink" Target="https://www.eby.gov.py/wp-content/uploads/2019/12/YacyretaEnergiasMensualesDesdePuestaenMarcha.pdf" TargetMode="External" Id="rId776"/><Relationship Type="http://schemas.openxmlformats.org/officeDocument/2006/relationships/hyperlink" Target="https://www.eby.gov.py/wp-content/uploads/2019/12/YacyretaEnergiasMensualesDesdePuestaenMarcha.pdf" TargetMode="External" Id="rId777"/><Relationship Type="http://schemas.openxmlformats.org/officeDocument/2006/relationships/hyperlink" Target="https://www.eby.gov.py/wp-content/uploads/2019/12/YacyretaEnergiasMensualesDesdePuestaenMarcha.pdf" TargetMode="External" Id="rId778"/><Relationship Type="http://schemas.openxmlformats.org/officeDocument/2006/relationships/hyperlink" Target="https://www.eby.gov.py/wp-content/uploads/2019/12/YacyretaEnergiasMensualesDesdePuestaenMarcha.pdf" TargetMode="External" Id="rId779"/><Relationship Type="http://schemas.openxmlformats.org/officeDocument/2006/relationships/hyperlink" Target="https://www.eby.gov.py/wp-content/uploads/2019/12/YacyretaEnergiasMensualesDesdePuestaenMarcha.pdf" TargetMode="External" Id="rId780"/><Relationship Type="http://schemas.openxmlformats.org/officeDocument/2006/relationships/hyperlink" Target="https://www.eby.gov.py/wp-content/uploads/2019/12/YacyretaEnergiasMensualesDesdePuestaenMarcha.pdf" TargetMode="External" Id="rId781"/><Relationship Type="http://schemas.openxmlformats.org/officeDocument/2006/relationships/hyperlink" Target="https://www.eby.gov.py/wp-content/uploads/2019/12/YacyretaEnergiasMensualesDesdePuestaenMarcha.pdf" TargetMode="External" Id="rId782"/><Relationship Type="http://schemas.openxmlformats.org/officeDocument/2006/relationships/hyperlink" Target="https://www.eby.gov.py/wp-content/uploads/2019/12/YacyretaEnergiasMensualesDesdePuestaenMarcha.pdf" TargetMode="External" Id="rId783"/><Relationship Type="http://schemas.openxmlformats.org/officeDocument/2006/relationships/hyperlink" Target="https://www.eby.gov.py/wp-content/uploads/2019/12/YacyretaEnergiasMensualesDesdePuestaenMarcha.pdf" TargetMode="External" Id="rId784"/><Relationship Type="http://schemas.openxmlformats.org/officeDocument/2006/relationships/hyperlink" Target="https://www.eby.gov.py/wp-content/uploads/2019/12/YacyretaEnergiasMensualesDesdePuestaenMarcha.pdf" TargetMode="External" Id="rId785"/><Relationship Type="http://schemas.openxmlformats.org/officeDocument/2006/relationships/hyperlink" Target="https://www.eby.gov.py/wp-content/uploads/2019/12/YacyretaEnergiasMensualesDesdePuestaenMarcha.pdf" TargetMode="External" Id="rId786"/><Relationship Type="http://schemas.openxmlformats.org/officeDocument/2006/relationships/hyperlink" Target="https://www.eby.gov.py/wp-content/uploads/2019/12/YacyretaEnergiasMensualesDesdePuestaenMarcha.pdf" TargetMode="External" Id="rId787"/><Relationship Type="http://schemas.openxmlformats.org/officeDocument/2006/relationships/hyperlink" Target="https://www.eby.gov.py/wp-content/uploads/2019/12/YacyretaEnergiasMensualesDesdePuestaenMarcha.pdf" TargetMode="External" Id="rId788"/><Relationship Type="http://schemas.openxmlformats.org/officeDocument/2006/relationships/hyperlink" Target="https://www.eby.gov.py/wp-content/uploads/2019/12/YacyretaEnergiasMensualesDesdePuestaenMarcha.pdf" TargetMode="External" Id="rId789"/><Relationship Type="http://schemas.openxmlformats.org/officeDocument/2006/relationships/hyperlink" Target="https://www.eby.gov.py/wp-content/uploads/2019/12/YacyretaEnergiasMensualesDesdePuestaenMarcha.pdf" TargetMode="External" Id="rId790"/><Relationship Type="http://schemas.openxmlformats.org/officeDocument/2006/relationships/hyperlink" Target="https://www.eby.gov.py/wp-content/uploads/2019/12/YacyretaEnergiasMensualesDesdePuestaenMarcha.pdf" TargetMode="External" Id="rId791"/><Relationship Type="http://schemas.openxmlformats.org/officeDocument/2006/relationships/hyperlink" Target="https://www.eby.gov.py/wp-content/uploads/2019/12/YacyretaEnergiasMensualesDesdePuestaenMarcha.pdf" TargetMode="External" Id="rId792"/><Relationship Type="http://schemas.openxmlformats.org/officeDocument/2006/relationships/hyperlink" Target="https://www.eby.gov.py/wp-content/uploads/2019/12/YacyretaEnergiasMensualesDesdePuestaenMarcha.pdf" TargetMode="External" Id="rId793"/><Relationship Type="http://schemas.openxmlformats.org/officeDocument/2006/relationships/hyperlink" Target="https://www.eby.gov.py/wp-content/uploads/2019/12/YacyretaEnergiasMensualesDesdePuestaenMarcha.pdf" TargetMode="External" Id="rId794"/><Relationship Type="http://schemas.openxmlformats.org/officeDocument/2006/relationships/hyperlink" Target="https://www.eby.gov.py/wp-content/uploads/2019/12/YacyretaEnergiasMensualesDesdePuestaenMarcha.pdf" TargetMode="External" Id="rId795"/><Relationship Type="http://schemas.openxmlformats.org/officeDocument/2006/relationships/hyperlink" Target="https://www.eby.gov.py/wp-content/uploads/2019/12/YacyretaEnergiasMensualesDesdePuestaenMarcha.pdf" TargetMode="External" Id="rId796"/><Relationship Type="http://schemas.openxmlformats.org/officeDocument/2006/relationships/hyperlink" Target="https://www.eby.gov.py/wp-content/uploads/2019/12/YacyretaEnergiasMensualesDesdePuestaenMarcha.pdf" TargetMode="External" Id="rId797"/><Relationship Type="http://schemas.openxmlformats.org/officeDocument/2006/relationships/hyperlink" Target="https://www.eby.gov.py/wp-content/uploads/2019/12/YacyretaEnergiasMensualesDesdePuestaenMarcha.pdf" TargetMode="External" Id="rId798"/><Relationship Type="http://schemas.openxmlformats.org/officeDocument/2006/relationships/hyperlink" Target="https://www.eby.gov.py/wp-content/uploads/2019/12/YacyretaEnergiasMensualesDesdePuestaenMarcha.pdf" TargetMode="External" Id="rId799"/><Relationship Type="http://schemas.openxmlformats.org/officeDocument/2006/relationships/hyperlink" Target="https://www.eby.gov.py/wp-content/uploads/2019/12/YacyretaEnergiasMensualesDesdePuestaenMarcha.pdf" TargetMode="External" Id="rId800"/><Relationship Type="http://schemas.openxmlformats.org/officeDocument/2006/relationships/hyperlink" Target="https://www.eby.gov.py/wp-content/uploads/2019/12/YacyretaEnergiasMensualesDesdePuestaenMarcha.pdf" TargetMode="External" Id="rId801"/><Relationship Type="http://schemas.openxmlformats.org/officeDocument/2006/relationships/hyperlink" Target="https://www.eby.gov.py/wp-content/uploads/2019/12/YacyretaEnergiasMensualesDesdePuestaenMarcha.pdf" TargetMode="External" Id="rId802"/><Relationship Type="http://schemas.openxmlformats.org/officeDocument/2006/relationships/hyperlink" Target="https://www.eby.gov.py/wp-content/uploads/2019/12/YacyretaEnergiasMensualesDesdePuestaenMarcha.pdf" TargetMode="External" Id="rId803"/><Relationship Type="http://schemas.openxmlformats.org/officeDocument/2006/relationships/hyperlink" Target="https://www.eby.gov.py/wp-content/uploads/2019/12/YacyretaEnergiasMensualesDesdePuestaenMarcha.pdf" TargetMode="External" Id="rId804"/><Relationship Type="http://schemas.openxmlformats.org/officeDocument/2006/relationships/hyperlink" Target="https://www.eby.gov.py/wp-content/uploads/2019/12/YacyretaEnergiasMensualesDesdePuestaenMarcha.pdf" TargetMode="External" Id="rId805"/><Relationship Type="http://schemas.openxmlformats.org/officeDocument/2006/relationships/hyperlink" Target="https://www.eby.gov.py/wp-content/uploads/2019/12/YacyretaEnergiasMensualesDesdePuestaenMarcha.pdf" TargetMode="External" Id="rId806"/><Relationship Type="http://schemas.openxmlformats.org/officeDocument/2006/relationships/hyperlink" Target="https://www.eby.gov.py/wp-content/uploads/2019/12/YacyretaEnergiasMensualesDesdePuestaenMarcha.pdf" TargetMode="External" Id="rId807"/><Relationship Type="http://schemas.openxmlformats.org/officeDocument/2006/relationships/hyperlink" Target="https://www.eby.gov.py/wp-content/uploads/2019/12/YacyretaEnergiasMensualesDesdePuestaenMarcha.pdf" TargetMode="External" Id="rId808"/><Relationship Type="http://schemas.openxmlformats.org/officeDocument/2006/relationships/hyperlink" Target="https://www.eby.gov.py/wp-content/uploads/2019/12/YacyretaEnergiasMensualesDesdePuestaenMarcha.pdf" TargetMode="External" Id="rId809"/><Relationship Type="http://schemas.openxmlformats.org/officeDocument/2006/relationships/hyperlink" Target="https://www.eby.gov.py/wp-content/uploads/2019/12/YacyretaEnergiasMensualesDesdePuestaenMarcha.pdf" TargetMode="External" Id="rId810"/><Relationship Type="http://schemas.openxmlformats.org/officeDocument/2006/relationships/hyperlink" Target="https://www.eby.gov.py/wp-content/uploads/2019/12/YacyretaEnergiasMensualesDesdePuestaenMarcha.pdf" TargetMode="External" Id="rId811"/><Relationship Type="http://schemas.openxmlformats.org/officeDocument/2006/relationships/hyperlink" Target="https://www.eby.gov.py/wp-content/uploads/2019/12/YacyretaEnergiasMensualesDesdePuestaenMarcha.pdf" TargetMode="External" Id="rId812"/><Relationship Type="http://schemas.openxmlformats.org/officeDocument/2006/relationships/hyperlink" Target="https://www.eby.gov.py/wp-content/uploads/2019/12/YacyretaEnergiasMensualesDesdePuestaenMarcha.pdf" TargetMode="External" Id="rId813"/><Relationship Type="http://schemas.openxmlformats.org/officeDocument/2006/relationships/hyperlink" Target="https://www.eby.gov.py/wp-content/uploads/2019/12/YacyretaEnergiasMensualesDesdePuestaenMarcha.pdf" TargetMode="External" Id="rId814"/><Relationship Type="http://schemas.openxmlformats.org/officeDocument/2006/relationships/hyperlink" Target="https://www.eby.gov.py/wp-content/uploads/2019/12/YacyretaEnergiasMensualesDesdePuestaenMarcha.pdf" TargetMode="External" Id="rId815"/><Relationship Type="http://schemas.openxmlformats.org/officeDocument/2006/relationships/hyperlink" Target="https://www.eby.gov.py/wp-content/uploads/2019/12/YacyretaEnergiasMensualesDesdePuestaenMarcha.pdf" TargetMode="External" Id="rId816"/><Relationship Type="http://schemas.openxmlformats.org/officeDocument/2006/relationships/hyperlink" Target="https://www.eby.gov.py/wp-content/uploads/2019/12/YacyretaEnergiasMensualesDesdePuestaenMarcha.pdf" TargetMode="External" Id="rId817"/><Relationship Type="http://schemas.openxmlformats.org/officeDocument/2006/relationships/hyperlink" Target="https://www.eby.gov.py/wp-content/uploads/2019/12/YacyretaEnergiasMensualesDesdePuestaenMarcha.pdf" TargetMode="External" Id="rId818"/><Relationship Type="http://schemas.openxmlformats.org/officeDocument/2006/relationships/hyperlink" Target="https://www.eby.gov.py/wp-content/uploads/2019/12/YacyretaEnergiasMensualesDesdePuestaenMarcha.pdf" TargetMode="External" Id="rId819"/><Relationship Type="http://schemas.openxmlformats.org/officeDocument/2006/relationships/hyperlink" Target="https://www.eby.gov.py/wp-content/uploads/2019/12/YacyretaEnergiasMensualesDesdePuestaenMarcha.pdf" TargetMode="External" Id="rId820"/><Relationship Type="http://schemas.openxmlformats.org/officeDocument/2006/relationships/hyperlink" Target="https://www.eby.gov.py/wp-content/uploads/2019/12/YacyretaEnergiasMensualesDesdePuestaenMarcha.pdf" TargetMode="External" Id="rId821"/><Relationship Type="http://schemas.openxmlformats.org/officeDocument/2006/relationships/hyperlink" Target="https://www.eby.gov.py/wp-content/uploads/2019/12/YacyretaEnergiasMensualesDesdePuestaenMarcha.pdf" TargetMode="External" Id="rId822"/><Relationship Type="http://schemas.openxmlformats.org/officeDocument/2006/relationships/hyperlink" Target="https://www.eby.gov.py/wp-content/uploads/2019/12/YacyretaEnergiasMensualesDesdePuestaenMarcha.pdf" TargetMode="External" Id="rId823"/><Relationship Type="http://schemas.openxmlformats.org/officeDocument/2006/relationships/hyperlink" Target="https://www.eby.gov.py/wp-content/uploads/2019/12/YacyretaEnergiasMensualesDesdePuestaenMarcha.pdf" TargetMode="External" Id="rId824"/><Relationship Type="http://schemas.openxmlformats.org/officeDocument/2006/relationships/hyperlink" Target="https://www.eby.gov.py/wp-content/uploads/2019/12/YacyretaEnergiasMensualesDesdePuestaenMarcha.pdf" TargetMode="External" Id="rId825"/><Relationship Type="http://schemas.openxmlformats.org/officeDocument/2006/relationships/hyperlink" Target="https://www.eby.gov.py/wp-content/uploads/2019/12/YacyretaEnergiasMensualesDesdePuestaenMarcha.pdf" TargetMode="External" Id="rId826"/><Relationship Type="http://schemas.openxmlformats.org/officeDocument/2006/relationships/hyperlink" Target="https://www.eby.gov.py/wp-content/uploads/2019/12/YacyretaEnergiasMensualesDesdePuestaenMarcha.pdf" TargetMode="External" Id="rId827"/><Relationship Type="http://schemas.openxmlformats.org/officeDocument/2006/relationships/hyperlink" Target="https://www.eby.gov.py/wp-content/uploads/2019/12/YacyretaEnergiasMensualesDesdePuestaenMarcha.pdf" TargetMode="External" Id="rId828"/><Relationship Type="http://schemas.openxmlformats.org/officeDocument/2006/relationships/hyperlink" Target="https://www.eby.gov.py/wp-content/uploads/2019/12/YacyretaEnergiasMensualesDesdePuestaenMarcha.pdf" TargetMode="External" Id="rId829"/><Relationship Type="http://schemas.openxmlformats.org/officeDocument/2006/relationships/hyperlink" Target="https://www.eby.gov.py/wp-content/uploads/2019/12/YacyretaEnergiasMensualesDesdePuestaenMarcha.pdf" TargetMode="External" Id="rId830"/><Relationship Type="http://schemas.openxmlformats.org/officeDocument/2006/relationships/hyperlink" Target="https://www.eby.gov.py/wp-content/uploads/2019/12/YacyretaEnergiasMensualesDesdePuestaenMarcha.pdf" TargetMode="External" Id="rId831"/><Relationship Type="http://schemas.openxmlformats.org/officeDocument/2006/relationships/hyperlink" Target="https://www.eby.gov.py/wp-content/uploads/2019/12/YacyretaEnergiasMensualesDesdePuestaenMarcha.pdf" TargetMode="External" Id="rId832"/><Relationship Type="http://schemas.openxmlformats.org/officeDocument/2006/relationships/hyperlink" Target="https://www.eby.gov.py/wp-content/uploads/2019/12/YacyretaEnergiasMensualesDesdePuestaenMarcha.pdf" TargetMode="External" Id="rId833"/><Relationship Type="http://schemas.openxmlformats.org/officeDocument/2006/relationships/hyperlink" Target="https://www.eby.gov.py/wp-content/uploads/2019/12/YacyretaEnergiasMensualesDesdePuestaenMarcha.pdf" TargetMode="External" Id="rId834"/><Relationship Type="http://schemas.openxmlformats.org/officeDocument/2006/relationships/hyperlink" Target="https://www.eby.gov.py/wp-content/uploads/2019/12/YacyretaEnergiasMensualesDesdePuestaenMarcha.pdf" TargetMode="External" Id="rId835"/><Relationship Type="http://schemas.openxmlformats.org/officeDocument/2006/relationships/hyperlink" Target="https://www.eby.gov.py/wp-content/uploads/2019/12/YacyretaEnergiasMensualesDesdePuestaenMarcha.pdf" TargetMode="External" Id="rId836"/><Relationship Type="http://schemas.openxmlformats.org/officeDocument/2006/relationships/hyperlink" Target="https://www.eby.gov.py/wp-content/uploads/2019/12/YacyretaEnergiasMensualesDesdePuestaenMarcha.pdf" TargetMode="External" Id="rId837"/><Relationship Type="http://schemas.openxmlformats.org/officeDocument/2006/relationships/hyperlink" Target="https://www.eby.gov.py/wp-content/uploads/2019/12/YacyretaEnergiasMensualesDesdePuestaenMarcha.pdf" TargetMode="External" Id="rId838"/><Relationship Type="http://schemas.openxmlformats.org/officeDocument/2006/relationships/hyperlink" Target="https://www.eby.gov.py/wp-content/uploads/2019/12/YacyretaEnergiasMensualesDesdePuestaenMarcha.pdf" TargetMode="External" Id="rId839"/><Relationship Type="http://schemas.openxmlformats.org/officeDocument/2006/relationships/hyperlink" Target="https://www.eby.gov.py/wp-content/uploads/2019/12/YacyretaEnergiasMensualesDesdePuestaenMarcha.pdf" TargetMode="External" Id="rId840"/><Relationship Type="http://schemas.openxmlformats.org/officeDocument/2006/relationships/hyperlink" Target="https://www.eby.gov.py/wp-content/uploads/2019/12/YacyretaEnergiasMensualesDesdePuestaenMarcha.pdf" TargetMode="External" Id="rId841"/><Relationship Type="http://schemas.openxmlformats.org/officeDocument/2006/relationships/hyperlink" Target="https://www.eby.gov.py/wp-content/uploads/2019/12/YacyretaEnergiasMensualesDesdePuestaenMarcha.pdf" TargetMode="External" Id="rId842"/><Relationship Type="http://schemas.openxmlformats.org/officeDocument/2006/relationships/hyperlink" Target="https://www.eby.gov.py/wp-content/uploads/2019/12/YacyretaEnergiasMensualesDesdePuestaenMarcha.pdf" TargetMode="External" Id="rId843"/><Relationship Type="http://schemas.openxmlformats.org/officeDocument/2006/relationships/hyperlink" Target="https://www.eby.gov.py/wp-content/uploads/2019/12/YacyretaEnergiasMensualesDesdePuestaenMarcha.pdf" TargetMode="External" Id="rId844"/><Relationship Type="http://schemas.openxmlformats.org/officeDocument/2006/relationships/hyperlink" Target="https://www.eby.gov.py/wp-content/uploads/2019/12/YacyretaEnergiasMensualesDesdePuestaenMarcha.pdf" TargetMode="External" Id="rId845"/><Relationship Type="http://schemas.openxmlformats.org/officeDocument/2006/relationships/hyperlink" Target="https://www.eby.gov.py/wp-content/uploads/2019/12/YacyretaEnergiasMensualesDesdePuestaenMarcha.pdf" TargetMode="External" Id="rId846"/><Relationship Type="http://schemas.openxmlformats.org/officeDocument/2006/relationships/hyperlink" Target="https://www.eby.gov.py/wp-content/uploads/2019/12/YacyretaEnergiasMensualesDesdePuestaenMarcha.pdf" TargetMode="External" Id="rId847"/><Relationship Type="http://schemas.openxmlformats.org/officeDocument/2006/relationships/hyperlink" Target="https://www.eby.gov.py/wp-content/uploads/2019/12/YacyretaEnergiasMensualesDesdePuestaenMarcha.pdf" TargetMode="External" Id="rId848"/><Relationship Type="http://schemas.openxmlformats.org/officeDocument/2006/relationships/hyperlink" Target="https://www.eby.gov.py/wp-content/uploads/2019/12/YacyretaEnergiasMensualesDesdePuestaenMarcha.pdf" TargetMode="External" Id="rId849"/><Relationship Type="http://schemas.openxmlformats.org/officeDocument/2006/relationships/hyperlink" Target="https://www.eby.gov.py/wp-content/uploads/2019/12/YacyretaEnergiasMensualesDesdePuestaenMarcha.pdf" TargetMode="External" Id="rId850"/><Relationship Type="http://schemas.openxmlformats.org/officeDocument/2006/relationships/hyperlink" Target="https://www.eby.gov.py/wp-content/uploads/2019/12/YacyretaEnergiasMensualesDesdePuestaenMarcha.pdf" TargetMode="External" Id="rId851"/><Relationship Type="http://schemas.openxmlformats.org/officeDocument/2006/relationships/hyperlink" Target="https://www.eby.gov.py/wp-content/uploads/2019/12/YacyretaEnergiasMensualesDesdePuestaenMarcha.pdf" TargetMode="External" Id="rId852"/><Relationship Type="http://schemas.openxmlformats.org/officeDocument/2006/relationships/hyperlink" Target="https://www.eby.gov.py/wp-content/uploads/2019/12/YacyretaEnergiasMensualesDesdePuestaenMarcha.pdf" TargetMode="External" Id="rId853"/><Relationship Type="http://schemas.openxmlformats.org/officeDocument/2006/relationships/hyperlink" Target="https://www.eby.gov.py/wp-content/uploads/2019/12/YacyretaEnergiasMensualesDesdePuestaenMarcha.pdf" TargetMode="External" Id="rId854"/><Relationship Type="http://schemas.openxmlformats.org/officeDocument/2006/relationships/hyperlink" Target="https://www.eby.gov.py/wp-content/uploads/2019/12/YacyretaEnergiasMensualesDesdePuestaenMarcha.pdf" TargetMode="External" Id="rId855"/><Relationship Type="http://schemas.openxmlformats.org/officeDocument/2006/relationships/hyperlink" Target="https://www.eby.gov.py/wp-content/uploads/2019/12/YacyretaEnergiasMensualesDesdePuestaenMarcha.pdf" TargetMode="External" Id="rId856"/><Relationship Type="http://schemas.openxmlformats.org/officeDocument/2006/relationships/hyperlink" Target="https://www.eby.gov.py/wp-content/uploads/2019/12/YacyretaEnergiasMensualesDesdePuestaenMarcha.pdf" TargetMode="External" Id="rId857"/><Relationship Type="http://schemas.openxmlformats.org/officeDocument/2006/relationships/hyperlink" Target="https://www.eby.gov.py/wp-content/uploads/2019/12/YacyretaEnergiasMensualesDesdePuestaenMarcha.pdf" TargetMode="External" Id="rId858"/><Relationship Type="http://schemas.openxmlformats.org/officeDocument/2006/relationships/hyperlink" Target="https://www.eby.gov.py/wp-content/uploads/2019/12/YacyretaEnergiasMensualesDesdePuestaenMarcha.pdf" TargetMode="External" Id="rId859"/><Relationship Type="http://schemas.openxmlformats.org/officeDocument/2006/relationships/hyperlink" Target="https://www.eby.gov.py/informe-de-produccion-anual-de-la-central-hidroelectrica-yacyreta/" TargetMode="External" Id="rId860"/><Relationship Type="http://schemas.openxmlformats.org/officeDocument/2006/relationships/hyperlink" Target="https://www.eby.gov.py/informe-de-produccion-anual-de-la-central-hidroelectrica-yacyreta/" TargetMode="External" Id="rId861"/><Relationship Type="http://schemas.openxmlformats.org/officeDocument/2006/relationships/hyperlink" Target="https://www.eby.gov.py/informe-de-produccion-anual-de-la-central-hidroelectrica-yacyreta/" TargetMode="External" Id="rId862"/><Relationship Type="http://schemas.openxmlformats.org/officeDocument/2006/relationships/hyperlink" Target="https://www.eby.gov.py/informe-de-produccion-anual-de-la-central-hidroelectrica-yacyreta/" TargetMode="External" Id="rId863"/><Relationship Type="http://schemas.openxmlformats.org/officeDocument/2006/relationships/hyperlink" Target="https://www.ande.gov.py/estadisticas/BalanceEnergia1983-2006/CompilacionEstadistica83-06.pdf" TargetMode="External" Id="rId864"/><Relationship Type="http://schemas.openxmlformats.org/officeDocument/2006/relationships/hyperlink" Target="https://www.ande.gov.py/estadisticas/BalanceEnergia1983-2006/CompilacionEstadistica83-06.pdf" TargetMode="External" Id="rId865"/><Relationship Type="http://schemas.openxmlformats.org/officeDocument/2006/relationships/hyperlink" Target="https://www.ande.gov.py/estadisticas/BalanceEnergia1983-2006/CompilacionEstadistica83-06.pdf" TargetMode="External" Id="rId866"/><Relationship Type="http://schemas.openxmlformats.org/officeDocument/2006/relationships/hyperlink" Target="https://www.ande.gov.py/estadisticas/BalanceEnergia1983-2006/CompilacionEstadistica83-06.pdf" TargetMode="External" Id="rId867"/><Relationship Type="http://schemas.openxmlformats.org/officeDocument/2006/relationships/hyperlink" Target="https://www.ande.gov.py/estadisticas/BalanceEnergia1983-2006/CompilacionEstadistica83-06.pdf" TargetMode="External" Id="rId868"/><Relationship Type="http://schemas.openxmlformats.org/officeDocument/2006/relationships/hyperlink" Target="https://www.ande.gov.py/estadisticas/BalanceEnergia1983-2006/CompilacionEstadistica83-06.pdf" TargetMode="External" Id="rId869"/><Relationship Type="http://schemas.openxmlformats.org/officeDocument/2006/relationships/hyperlink" Target="https://www.ande.gov.py/estadisticas/BalanceEnergia1983-2006/CompilacionEstadistica83-06.pdf" TargetMode="External" Id="rId870"/><Relationship Type="http://schemas.openxmlformats.org/officeDocument/2006/relationships/hyperlink" Target="https://www.ande.gov.py/estadisticas/BalanceEnergia1983-2006/CompilacionEstadistica83-06.pdf" TargetMode="External" Id="rId871"/><Relationship Type="http://schemas.openxmlformats.org/officeDocument/2006/relationships/hyperlink" Target="https://www.ande.gov.py/estadisticas/BalanceEnergia1983-2006/CompilacionEstadistica83-06.pdf" TargetMode="External" Id="rId872"/><Relationship Type="http://schemas.openxmlformats.org/officeDocument/2006/relationships/hyperlink" Target="https://www.ande.gov.py/estadisticas/BalanceEnergia1983-2006/CompilacionEstadistica83-06.pdf" TargetMode="External" Id="rId873"/><Relationship Type="http://schemas.openxmlformats.org/officeDocument/2006/relationships/hyperlink" Target="https://www.ande.gov.py/estadisticas/BalanceEnergia1983-2006/CompilacionEstadistica83-06.pdf" TargetMode="External" Id="rId874"/><Relationship Type="http://schemas.openxmlformats.org/officeDocument/2006/relationships/hyperlink" Target="https://www.ande.gov.py/estadisticas/BalanceEnergia1983-2006/CompilacionEstadistica83-06.pdf" TargetMode="External" Id="rId875"/><Relationship Type="http://schemas.openxmlformats.org/officeDocument/2006/relationships/hyperlink" Target="https://www.ande.gov.py/estadisticas/BalanceEnergia1983-2006/CompilacionEstadistica83-06.pdf" TargetMode="External" Id="rId876"/><Relationship Type="http://schemas.openxmlformats.org/officeDocument/2006/relationships/hyperlink" Target="https://www.ande.gov.py/estadisticas/BalanceEnergia1983-2006/CompilacionEstadistica83-06.pdf" TargetMode="External" Id="rId877"/><Relationship Type="http://schemas.openxmlformats.org/officeDocument/2006/relationships/hyperlink" Target="https://www.ande.gov.py/estadisticas/BalanceEnergia1983-2006/CompilacionEstadistica83-06.pdf" TargetMode="External" Id="rId878"/><Relationship Type="http://schemas.openxmlformats.org/officeDocument/2006/relationships/hyperlink" Target="https://www.ande.gov.py/estadisticas/BalanceEnergia1983-2006/CompilacionEstadistica83-06.pdf" TargetMode="External" Id="rId879"/><Relationship Type="http://schemas.openxmlformats.org/officeDocument/2006/relationships/hyperlink" Target="https://www.ande.gov.py/estadisticas/BalanceEnergia1983-2006/CompilacionEstadistica83-06.pdf" TargetMode="External" Id="rId880"/><Relationship Type="http://schemas.openxmlformats.org/officeDocument/2006/relationships/hyperlink" Target="https://www.ande.gov.py/estadisticas/BalanceEnergia1983-2006/CompilacionEstadistica83-06.pdf" TargetMode="External" Id="rId881"/><Relationship Type="http://schemas.openxmlformats.org/officeDocument/2006/relationships/hyperlink" Target="https://www.ande.gov.py/estadisticas/BalanceEnergia1983-2006/CompilacionEstadistica83-06.pdf" TargetMode="External" Id="rId882"/><Relationship Type="http://schemas.openxmlformats.org/officeDocument/2006/relationships/hyperlink" Target="https://www.ande.gov.py/estadisticas/BalanceEnergia1983-2006/CompilacionEstadistica83-06.pdf" TargetMode="External" Id="rId883"/><Relationship Type="http://schemas.openxmlformats.org/officeDocument/2006/relationships/hyperlink" Target="https://www.ande.gov.py/estadisticas/BalanceEnergia1983-2006/CompilacionEstadistica83-06.pdf" TargetMode="External" Id="rId884"/><Relationship Type="http://schemas.openxmlformats.org/officeDocument/2006/relationships/hyperlink" Target="https://www.ande.gov.py/estadisticas/BalanceEnergia1983-2006/CompilacionEstadistica83-06.pdf" TargetMode="External" Id="rId885"/><Relationship Type="http://schemas.openxmlformats.org/officeDocument/2006/relationships/hyperlink" Target="https://www.ande.gov.py/estadisticas/BalanceEnergia1983-2006/CompilacionEstadistica83-06.pdf" TargetMode="External" Id="rId886"/><Relationship Type="http://schemas.openxmlformats.org/officeDocument/2006/relationships/hyperlink" Target="https://www.ande.gov.py/estadisticas/BalanceEnergia1983-2006/CompilacionEstadistica83-06.pdf" TargetMode="External" Id="rId887"/><Relationship Type="http://schemas.openxmlformats.org/officeDocument/2006/relationships/hyperlink" Target="https://www.ande.gov.py/estadisticas/BalanceEnergia1983-2006/CompilacionEstadistica83-06.pdf" TargetMode="External" Id="rId888"/><Relationship Type="http://schemas.openxmlformats.org/officeDocument/2006/relationships/hyperlink" Target="https://www.ande.gov.py/estadisticas/BalanceEnergia1983-2006/CompilacionEstadistica83-06.pdf" TargetMode="External" Id="rId889"/><Relationship Type="http://schemas.openxmlformats.org/officeDocument/2006/relationships/hyperlink" Target="https://www.ande.gov.py/estadisticas/BalanceEnergia1983-2006/CompilacionEstadistica83-06.pdf" TargetMode="External" Id="rId890"/><Relationship Type="http://schemas.openxmlformats.org/officeDocument/2006/relationships/hyperlink" Target="https://www.ande.gov.py/estadisticas/BalanceEnergia1983-2006/CompilacionEstadistica83-06.pdf" TargetMode="External" Id="rId891"/><Relationship Type="http://schemas.openxmlformats.org/officeDocument/2006/relationships/hyperlink" Target="https://www.ande.gov.py/estadisticas/BalanceEnergia1983-2006/CompilacionEstadistica83-06.pdf" TargetMode="External" Id="rId892"/><Relationship Type="http://schemas.openxmlformats.org/officeDocument/2006/relationships/hyperlink" Target="https://www.ande.gov.py/estadisticas/BalanceEnergia1983-2006/CompilacionEstadistica83-06.pdf" TargetMode="External" Id="rId893"/><Relationship Type="http://schemas.openxmlformats.org/officeDocument/2006/relationships/hyperlink" Target="https://www.ande.gov.py/estadisticas/BalanceEnergia1983-2006/CompilacionEstadistica83-06.pdf" TargetMode="External" Id="rId894"/><Relationship Type="http://schemas.openxmlformats.org/officeDocument/2006/relationships/hyperlink" Target="https://www.ande.gov.py/estadisticas/BalanceEnergia1983-2006/CompilacionEstadistica83-06.pdf" TargetMode="External" Id="rId895"/><Relationship Type="http://schemas.openxmlformats.org/officeDocument/2006/relationships/hyperlink" Target="https://www.ande.gov.py/estadisticas/BalanceEnergia1983-2006/CompilacionEstadistica83-06.pdf" TargetMode="External" Id="rId896"/><Relationship Type="http://schemas.openxmlformats.org/officeDocument/2006/relationships/hyperlink" Target="https://www.ande.gov.py/estadisticas/BalanceEnergia1983-2006/CompilacionEstadistica83-06.pdf" TargetMode="External" Id="rId897"/><Relationship Type="http://schemas.openxmlformats.org/officeDocument/2006/relationships/hyperlink" Target="https://www.ande.gov.py/estadisticas/BalanceEnergia1983-2006/CompilacionEstadistica83-06.pdf" TargetMode="External" Id="rId898"/><Relationship Type="http://schemas.openxmlformats.org/officeDocument/2006/relationships/hyperlink" Target="https://www.ande.gov.py/estadisticas/BalanceEnergia1983-2006/CompilacionEstadistica83-06.pdf" TargetMode="External" Id="rId899"/><Relationship Type="http://schemas.openxmlformats.org/officeDocument/2006/relationships/hyperlink" Target="https://www.ande.gov.py/estadisticas/BalanceEnergia1983-2006/CompilacionEstadistica83-06.pdf" TargetMode="External" Id="rId900"/><Relationship Type="http://schemas.openxmlformats.org/officeDocument/2006/relationships/hyperlink" Target="https://www.ande.gov.py/estadisticas/BalanceEnergia1983-2006/CompilacionEstadistica83-06.pdf" TargetMode="External" Id="rId901"/><Relationship Type="http://schemas.openxmlformats.org/officeDocument/2006/relationships/hyperlink" Target="https://www.ande.gov.py/estadisticas/BalanceEnergia1983-2006/CompilacionEstadistica83-06.pdf" TargetMode="External" Id="rId902"/><Relationship Type="http://schemas.openxmlformats.org/officeDocument/2006/relationships/hyperlink" Target="https://www.ande.gov.py/estadisticas/BalanceEnergia1983-2006/CompilacionEstadistica83-06.pdf" TargetMode="External" Id="rId903"/><Relationship Type="http://schemas.openxmlformats.org/officeDocument/2006/relationships/hyperlink" Target="https://www.ande.gov.py/estadisticas/BalanceEnergia1983-2006/CompilacionEstadistica83-06.pdf" TargetMode="External" Id="rId904"/><Relationship Type="http://schemas.openxmlformats.org/officeDocument/2006/relationships/hyperlink" Target="https://www.ande.gov.py/estadisticas/BalanceEnergia1983-2006/CompilacionEstadistica83-06.pdf" TargetMode="External" Id="rId905"/><Relationship Type="http://schemas.openxmlformats.org/officeDocument/2006/relationships/hyperlink" Target="https://www.ande.gov.py/estadisticas/BalanceEnergia1983-2006/CompilacionEstadistica83-06.pdf" TargetMode="External" Id="rId906"/><Relationship Type="http://schemas.openxmlformats.org/officeDocument/2006/relationships/hyperlink" Target="https://www.ande.gov.py/estadisticas/BalanceEnergia1983-2006/CompilacionEstadistica83-06.pdf" TargetMode="External" Id="rId907"/><Relationship Type="http://schemas.openxmlformats.org/officeDocument/2006/relationships/hyperlink" Target="https://www.ande.gov.py/estadisticas/BalanceEnergia1983-2006/CompilacionEstadistica83-06.pdf" TargetMode="External" Id="rId908"/><Relationship Type="http://schemas.openxmlformats.org/officeDocument/2006/relationships/hyperlink" Target="https://www.ande.gov.py/estadisticas/BalanceEnergia1983-2006/CompilacionEstadistica83-06.pdf" TargetMode="External" Id="rId909"/><Relationship Type="http://schemas.openxmlformats.org/officeDocument/2006/relationships/hyperlink" Target="https://www.ande.gov.py/estadisticas/BalanceEnergia1983-2006/CompilacionEstadistica83-06.pdf" TargetMode="External" Id="rId910"/><Relationship Type="http://schemas.openxmlformats.org/officeDocument/2006/relationships/hyperlink" Target="https://www.ande.gov.py/estadisticas/BalanceEnergia1983-2006/CompilacionEstadistica83-06.pdf" TargetMode="External" Id="rId911"/><Relationship Type="http://schemas.openxmlformats.org/officeDocument/2006/relationships/hyperlink" Target="https://www.ande.gov.py/estadisticas/BalanceEnergia1983-2006/CompilacionEstadistica83-06.pdf" TargetMode="External" Id="rId912"/><Relationship Type="http://schemas.openxmlformats.org/officeDocument/2006/relationships/hyperlink" Target="https://www.ande.gov.py/estadisticas/BalanceEnergia1983-2006/CompilacionEstadistica83-06.pdf" TargetMode="External" Id="rId913"/><Relationship Type="http://schemas.openxmlformats.org/officeDocument/2006/relationships/hyperlink" Target="https://www.ande.gov.py/estadisticas/BalanceEnergia1983-2006/CompilacionEstadistica83-06.pdf" TargetMode="External" Id="rId914"/><Relationship Type="http://schemas.openxmlformats.org/officeDocument/2006/relationships/hyperlink" Target="https://www.ande.gov.py/estadisticas/BalanceEnergia1983-2006/CompilacionEstadistica83-06.pdf" TargetMode="External" Id="rId915"/><Relationship Type="http://schemas.openxmlformats.org/officeDocument/2006/relationships/hyperlink" Target="https://www.ande.gov.py/estadisticas/BalanceEnergia1983-2006/CompilacionEstadistica83-06.pdf" TargetMode="External" Id="rId916"/><Relationship Type="http://schemas.openxmlformats.org/officeDocument/2006/relationships/hyperlink" Target="https://www.ande.gov.py/estadisticas/BalanceEnergia1983-2006/CompilacionEstadistica83-06.pdf" TargetMode="External" Id="rId917"/><Relationship Type="http://schemas.openxmlformats.org/officeDocument/2006/relationships/hyperlink" Target="https://www.ande.gov.py/estadisticas/BalanceEnergia1983-2006/CompilacionEstadistica83-06.pdf" TargetMode="External" Id="rId918"/><Relationship Type="http://schemas.openxmlformats.org/officeDocument/2006/relationships/hyperlink" Target="https://www.ande.gov.py/estadisticas/BalanceEnergia1983-2006/CompilacionEstadistica83-06.pdf" TargetMode="External" Id="rId919"/><Relationship Type="http://schemas.openxmlformats.org/officeDocument/2006/relationships/hyperlink" Target="https://www.ande.gov.py/estadisticas/BalanceEnergia1983-2006/CompilacionEstadistica83-06.pdf" TargetMode="External" Id="rId920"/><Relationship Type="http://schemas.openxmlformats.org/officeDocument/2006/relationships/hyperlink" Target="https://www.ande.gov.py/estadisticas/BalanceEnergia1983-2006/CompilacionEstadistica83-06.pdf" TargetMode="External" Id="rId921"/><Relationship Type="http://schemas.openxmlformats.org/officeDocument/2006/relationships/hyperlink" Target="https://www.ande.gov.py/estadisticas/BalanceEnergia1983-2006/CompilacionEstadistica83-06.pdf" TargetMode="External" Id="rId922"/><Relationship Type="http://schemas.openxmlformats.org/officeDocument/2006/relationships/hyperlink" Target="https://www.ande.gov.py/estadisticas/BalanceEnergia1983-2006/CompilacionEstadistica83-06.pdf" TargetMode="External" Id="rId923"/><Relationship Type="http://schemas.openxmlformats.org/officeDocument/2006/relationships/hyperlink" Target="https://www.ande.gov.py/estadisticas/BalanceEnergia1983-2006/CompilacionEstadistica83-06.pdf" TargetMode="External" Id="rId924"/><Relationship Type="http://schemas.openxmlformats.org/officeDocument/2006/relationships/hyperlink" Target="https://www.ande.gov.py/estadisticas/BalanceEnergia1983-2006/CompilacionEstadistica83-06.pdf" TargetMode="External" Id="rId925"/><Relationship Type="http://schemas.openxmlformats.org/officeDocument/2006/relationships/hyperlink" Target="https://www.ande.gov.py/estadisticas/BalanceEnergia1983-2006/CompilacionEstadistica83-06.pdf" TargetMode="External" Id="rId926"/><Relationship Type="http://schemas.openxmlformats.org/officeDocument/2006/relationships/hyperlink" Target="https://www.ande.gov.py/estadisticas/BalanceEnergia1983-2006/CompilacionEstadistica83-06.pdf" TargetMode="External" Id="rId927"/><Relationship Type="http://schemas.openxmlformats.org/officeDocument/2006/relationships/hyperlink" Target="https://www.ande.gov.py/estadisticas/BalanceEnergia1983-2006/CompilacionEstadistica83-06.pdf" TargetMode="External" Id="rId928"/><Relationship Type="http://schemas.openxmlformats.org/officeDocument/2006/relationships/hyperlink" Target="https://www.ande.gov.py/estadisticas/BalanceEnergia1983-2006/CompilacionEstadistica83-06.pdf" TargetMode="External" Id="rId929"/><Relationship Type="http://schemas.openxmlformats.org/officeDocument/2006/relationships/hyperlink" Target="https://www.ande.gov.py/estadisticas/BalanceEnergia1983-2006/CompilacionEstadistica83-06.pdf" TargetMode="External" Id="rId930"/><Relationship Type="http://schemas.openxmlformats.org/officeDocument/2006/relationships/hyperlink" Target="https://www.ande.gov.py/estadisticas/BalanceEnergia1983-2006/CompilacionEstadistica83-06.pdf" TargetMode="External" Id="rId931"/><Relationship Type="http://schemas.openxmlformats.org/officeDocument/2006/relationships/hyperlink" Target="https://www.ande.gov.py/estadisticas/BalanceEnergia1983-2006/CompilacionEstadistica83-06.pdf" TargetMode="External" Id="rId932"/><Relationship Type="http://schemas.openxmlformats.org/officeDocument/2006/relationships/hyperlink" Target="https://www.ande.gov.py/estadisticas/BalanceEnergia1983-2006/CompilacionEstadistica83-06.pdf" TargetMode="External" Id="rId933"/><Relationship Type="http://schemas.openxmlformats.org/officeDocument/2006/relationships/hyperlink" Target="https://www.ande.gov.py/estadisticas/BalanceEnergia1983-2006/CompilacionEstadistica83-06.pdf" TargetMode="External" Id="rId934"/><Relationship Type="http://schemas.openxmlformats.org/officeDocument/2006/relationships/hyperlink" Target="https://www.ande.gov.py/estadisticas/BalanceEnergia1983-2006/CompilacionEstadistica83-06.pdf" TargetMode="External" Id="rId935"/><Relationship Type="http://schemas.openxmlformats.org/officeDocument/2006/relationships/hyperlink" Target="https://www.ande.gov.py/estadisticas/BalanceEnergia1983-2006/CompilacionEstadistica83-06.pdf" TargetMode="External" Id="rId936"/><Relationship Type="http://schemas.openxmlformats.org/officeDocument/2006/relationships/hyperlink" Target="https://www.ande.gov.py/estadisticas/BalanceEnergia1983-2006/CompilacionEstadistica83-06.pdf" TargetMode="External" Id="rId937"/><Relationship Type="http://schemas.openxmlformats.org/officeDocument/2006/relationships/hyperlink" Target="https://www.ande.gov.py/estadisticas/BalanceEnergia1983-2006/CompilacionEstadistica83-06.pdf" TargetMode="External" Id="rId938"/><Relationship Type="http://schemas.openxmlformats.org/officeDocument/2006/relationships/hyperlink" Target="https://www.ande.gov.py/estadisticas/BalanceEnergia1983-2006/CompilacionEstadistica83-06.pdf" TargetMode="External" Id="rId939"/><Relationship Type="http://schemas.openxmlformats.org/officeDocument/2006/relationships/hyperlink" Target="https://www.ande.gov.py/estadisticas/BalanceEnergia1983-2006/CompilacionEstadistica83-06.pdf" TargetMode="External" Id="rId940"/><Relationship Type="http://schemas.openxmlformats.org/officeDocument/2006/relationships/hyperlink" Target="https://www.ande.gov.py/estadisticas/BalanceEnergia1983-2006/CompilacionEstadistica83-06.pdf" TargetMode="External" Id="rId941"/><Relationship Type="http://schemas.openxmlformats.org/officeDocument/2006/relationships/hyperlink" Target="https://www.ande.gov.py/estadisticas/BalanceEnergia1983-2006/CompilacionEstadistica83-06.pdf" TargetMode="External" Id="rId942"/><Relationship Type="http://schemas.openxmlformats.org/officeDocument/2006/relationships/hyperlink" Target="https://www.ande.gov.py/estadisticas/BalanceEnergia1983-2006/CompilacionEstadistica83-06.pdf" TargetMode="External" Id="rId943"/><Relationship Type="http://schemas.openxmlformats.org/officeDocument/2006/relationships/hyperlink" Target="https://www.ande.gov.py/estadisticas/BalanceEnergia1983-2006/CompilacionEstadistica83-06.pdf" TargetMode="External" Id="rId944"/><Relationship Type="http://schemas.openxmlformats.org/officeDocument/2006/relationships/hyperlink" Target="https://www.ande.gov.py/estadisticas/BalanceEnergia1983-2006/CompilacionEstadistica83-06.pdf" TargetMode="External" Id="rId945"/><Relationship Type="http://schemas.openxmlformats.org/officeDocument/2006/relationships/hyperlink" Target="https://www.ande.gov.py/estadisticas/BalanceEnergia1983-2006/CompilacionEstadistica83-06.pdf" TargetMode="External" Id="rId946"/><Relationship Type="http://schemas.openxmlformats.org/officeDocument/2006/relationships/hyperlink" Target="https://www.ande.gov.py/estadisticas/BalanceEnergia1983-2006/CompilacionEstadistica83-06.pdf" TargetMode="External" Id="rId947"/><Relationship Type="http://schemas.openxmlformats.org/officeDocument/2006/relationships/hyperlink" Target="https://www.ande.gov.py/estadisticas/BalanceEnergia1983-2006/CompilacionEstadistica83-06.pdf" TargetMode="External" Id="rId948"/><Relationship Type="http://schemas.openxmlformats.org/officeDocument/2006/relationships/hyperlink" Target="https://www.ande.gov.py/estadisticas/BalanceEnergia1983-2006/CompilacionEstadistica83-06.pdf" TargetMode="External" Id="rId949"/><Relationship Type="http://schemas.openxmlformats.org/officeDocument/2006/relationships/hyperlink" Target="https://www.ande.gov.py/estadisticas/BalanceEnergia1983-2006/CompilacionEstadistica83-06.pdf" TargetMode="External" Id="rId950"/><Relationship Type="http://schemas.openxmlformats.org/officeDocument/2006/relationships/hyperlink" Target="https://www.ande.gov.py/estadisticas/BalanceEnergia1983-2006/CompilacionEstadistica83-06.pdf" TargetMode="External" Id="rId951"/><Relationship Type="http://schemas.openxmlformats.org/officeDocument/2006/relationships/hyperlink" Target="https://www.ande.gov.py/estadisticas/BalanceEnergia1983-2006/CompilacionEstadistica83-06.pdf" TargetMode="External" Id="rId952"/><Relationship Type="http://schemas.openxmlformats.org/officeDocument/2006/relationships/hyperlink" Target="https://www.ande.gov.py/estadisticas/BalanceEnergia1983-2006/CompilacionEstadistica83-06.pdf" TargetMode="External" Id="rId953"/><Relationship Type="http://schemas.openxmlformats.org/officeDocument/2006/relationships/hyperlink" Target="https://www.ande.gov.py/documentos_contables/650/compilacion_estadistica_1998-2018.pdf" TargetMode="External" Id="rId954"/><Relationship Type="http://schemas.openxmlformats.org/officeDocument/2006/relationships/hyperlink" Target="https://www.ande.gov.py/documentos_contables/650/compilacion_estadistica_1998-2018.pdf" TargetMode="External" Id="rId955"/><Relationship Type="http://schemas.openxmlformats.org/officeDocument/2006/relationships/hyperlink" Target="https://www.ande.gov.py/documentos_contables/650/compilacion_estadistica_1998-2018.pdf" TargetMode="External" Id="rId956"/><Relationship Type="http://schemas.openxmlformats.org/officeDocument/2006/relationships/hyperlink" Target="https://www.ande.gov.py/documentos_contables/650/compilacion_estadistica_1998-2018.pdf" TargetMode="External" Id="rId957"/><Relationship Type="http://schemas.openxmlformats.org/officeDocument/2006/relationships/hyperlink" Target="https://www.ande.gov.py/documentos_contables/650/compilacion_estadistica_1998-2018.pdf" TargetMode="External" Id="rId958"/><Relationship Type="http://schemas.openxmlformats.org/officeDocument/2006/relationships/hyperlink" Target="https://www.ande.gov.py/documentos_contables/650/compilacion_estadistica_1998-2018.pdf" TargetMode="External" Id="rId959"/><Relationship Type="http://schemas.openxmlformats.org/officeDocument/2006/relationships/hyperlink" Target="https://www.ande.gov.py/documentos_contables/650/compilacion_estadistica_1998-2018.pdf" TargetMode="External" Id="rId960"/><Relationship Type="http://schemas.openxmlformats.org/officeDocument/2006/relationships/hyperlink" Target="https://www.ande.gov.py/documentos_contables/650/compilacion_estadistica_1998-2018.pdf" TargetMode="External" Id="rId961"/><Relationship Type="http://schemas.openxmlformats.org/officeDocument/2006/relationships/hyperlink" Target="https://www.ande.gov.py/documentos_contables/650/compilacion_estadistica_1998-2018.pdf" TargetMode="External" Id="rId962"/><Relationship Type="http://schemas.openxmlformats.org/officeDocument/2006/relationships/hyperlink" Target="https://www.ande.gov.py/documentos_contables/650/compilacion_estadistica_1998-2018.pdf" TargetMode="External" Id="rId963"/><Relationship Type="http://schemas.openxmlformats.org/officeDocument/2006/relationships/hyperlink" Target="https://www.ande.gov.py/documentos_contables/650/compilacion_estadistica_1998-2018.pdf" TargetMode="External" Id="rId964"/><Relationship Type="http://schemas.openxmlformats.org/officeDocument/2006/relationships/hyperlink" Target="https://www.ande.gov.py/documentos_contables/650/compilacion_estadistica_1998-2018.pdf" TargetMode="External" Id="rId965"/><Relationship Type="http://schemas.openxmlformats.org/officeDocument/2006/relationships/hyperlink" Target="https://www.ande.gov.py/documentos_contables/650/compilacion_estadistica_1998-2018.pdf" TargetMode="External" Id="rId966"/><Relationship Type="http://schemas.openxmlformats.org/officeDocument/2006/relationships/hyperlink" Target="https://www.ande.gov.py/documentos_contables/650/compilacion_estadistica_1998-2018.pdf" TargetMode="External" Id="rId967"/><Relationship Type="http://schemas.openxmlformats.org/officeDocument/2006/relationships/hyperlink" Target="https://www.ande.gov.py/documentos_contables/650/compilacion_estadistica_1998-2018.pdf" TargetMode="External" Id="rId968"/><Relationship Type="http://schemas.openxmlformats.org/officeDocument/2006/relationships/hyperlink" Target="https://www.ande.gov.py/documentos_contables/650/compilacion_estadistica_1998-2018.pdf" TargetMode="External" Id="rId969"/><Relationship Type="http://schemas.openxmlformats.org/officeDocument/2006/relationships/hyperlink" Target="https://www.ande.gov.py/documentos_contables/650/compilacion_estadistica_1998-2018.pdf" TargetMode="External" Id="rId970"/><Relationship Type="http://schemas.openxmlformats.org/officeDocument/2006/relationships/hyperlink" Target="https://www.ande.gov.py/documentos_contables/650/compilacion_estadistica_1998-2018.pdf" TargetMode="External" Id="rId971"/><Relationship Type="http://schemas.openxmlformats.org/officeDocument/2006/relationships/hyperlink" Target="https://www.ande.gov.py/documentos_contables/650/compilacion_estadistica_1998-2018.pdf" TargetMode="External" Id="rId972"/><Relationship Type="http://schemas.openxmlformats.org/officeDocument/2006/relationships/hyperlink" Target="https://www.ande.gov.py/documentos_contables/650/compilacion_estadistica_1998-2018.pdf" TargetMode="External" Id="rId973"/><Relationship Type="http://schemas.openxmlformats.org/officeDocument/2006/relationships/hyperlink" Target="https://www.ande.gov.py/documentos_contables/650/compilacion_estadistica_1998-2018.pdf" TargetMode="External" Id="rId974"/><Relationship Type="http://schemas.openxmlformats.org/officeDocument/2006/relationships/hyperlink" Target="https://www.ande.gov.py/documentos_contables/650/compilacion_estadistica_1998-2018.pdf" TargetMode="External" Id="rId975"/><Relationship Type="http://schemas.openxmlformats.org/officeDocument/2006/relationships/hyperlink" Target="https://www.ande.gov.py/documentos_contables/650/compilacion_estadistica_1998-2018.pdf" TargetMode="External" Id="rId976"/><Relationship Type="http://schemas.openxmlformats.org/officeDocument/2006/relationships/hyperlink" Target="https://www.ande.gov.py/documentos_contables/650/compilacion_estadistica_1998-2018.pdf" TargetMode="External" Id="rId977"/><Relationship Type="http://schemas.openxmlformats.org/officeDocument/2006/relationships/hyperlink" Target="https://www.ande.gov.py/documentos_contables/650/compilacion_estadistica_1998-2018.pdf" TargetMode="External" Id="rId978"/><Relationship Type="http://schemas.openxmlformats.org/officeDocument/2006/relationships/hyperlink" Target="https://www.ande.gov.py/documentos_contables/650/compilacion_estadistica_1998-2018.pdf" TargetMode="External" Id="rId979"/><Relationship Type="http://schemas.openxmlformats.org/officeDocument/2006/relationships/hyperlink" Target="https://www.ande.gov.py/documentos_contables/650/compilacion_estadistica_1998-2018.pdf" TargetMode="External" Id="rId980"/><Relationship Type="http://schemas.openxmlformats.org/officeDocument/2006/relationships/hyperlink" Target="https://www.ande.gov.py/documentos_contables/650/compilacion_estadistica_1998-2018.pdf" TargetMode="External" Id="rId981"/><Relationship Type="http://schemas.openxmlformats.org/officeDocument/2006/relationships/hyperlink" Target="https://www.ande.gov.py/documentos_contables/650/compilacion_estadistica_1998-2018.pdf" TargetMode="External" Id="rId982"/><Relationship Type="http://schemas.openxmlformats.org/officeDocument/2006/relationships/hyperlink" Target="https://www.ande.gov.py/documentos_contables/650/compilacion_estadistica_1998-2018.pdf" TargetMode="External" Id="rId983"/><Relationship Type="http://schemas.openxmlformats.org/officeDocument/2006/relationships/hyperlink" Target="https://www.ande.gov.py/documentos_contables/650/compilacion_estadistica_1998-2018.pdf" TargetMode="External" Id="rId984"/><Relationship Type="http://schemas.openxmlformats.org/officeDocument/2006/relationships/hyperlink" Target="https://www.ande.gov.py/documentos_contables/650/compilacion_estadistica_1998-2018.pdf" TargetMode="External" Id="rId985"/><Relationship Type="http://schemas.openxmlformats.org/officeDocument/2006/relationships/hyperlink" Target="https://www.ande.gov.py/documentos_contables/650/compilacion_estadistica_1998-2018.pdf" TargetMode="External" Id="rId986"/><Relationship Type="http://schemas.openxmlformats.org/officeDocument/2006/relationships/hyperlink" Target="https://www.ande.gov.py/documentos_contables/650/compilacion_estadistica_1998-2018.pdf" TargetMode="External" Id="rId987"/><Relationship Type="http://schemas.openxmlformats.org/officeDocument/2006/relationships/hyperlink" Target="https://www.ande.gov.py/documentos_contables/650/compilacion_estadistica_1998-2018.pdf" TargetMode="External" Id="rId988"/><Relationship Type="http://schemas.openxmlformats.org/officeDocument/2006/relationships/hyperlink" Target="https://www.ande.gov.py/documentos_contables/650/compilacion_estadistica_1998-2018.pdf" TargetMode="External" Id="rId989"/><Relationship Type="http://schemas.openxmlformats.org/officeDocument/2006/relationships/hyperlink" Target="https://www.ande.gov.py/documentos_contables/650/compilacion_estadistica_1998-2018.pdf" TargetMode="External" Id="rId990"/><Relationship Type="http://schemas.openxmlformats.org/officeDocument/2006/relationships/hyperlink" Target="https://www.ande.gov.py/documentos_contables/650/compilacion_estadistica_1998-2018.pdf" TargetMode="External" Id="rId991"/><Relationship Type="http://schemas.openxmlformats.org/officeDocument/2006/relationships/hyperlink" Target="https://www.ande.gov.py/documentos_contables/650/compilacion_estadistica_1998-2018.pdf" TargetMode="External" Id="rId992"/><Relationship Type="http://schemas.openxmlformats.org/officeDocument/2006/relationships/hyperlink" Target="https://www.ande.gov.py/documentos_contables/650/compilacion_estadistica_1998-2018.pdf" TargetMode="External" Id="rId993"/><Relationship Type="http://schemas.openxmlformats.org/officeDocument/2006/relationships/hyperlink" Target="https://www.ande.gov.py/documentos_contables/650/compilacion_estadistica_1998-2018.pdf" TargetMode="External" Id="rId994"/><Relationship Type="http://schemas.openxmlformats.org/officeDocument/2006/relationships/hyperlink" Target="https://www.ande.gov.py/documentos_contables/650/compilacion_estadistica_1998-2018.pdf" TargetMode="External" Id="rId995"/><Relationship Type="http://schemas.openxmlformats.org/officeDocument/2006/relationships/hyperlink" Target="https://www.ande.gov.py/documentos_contables/650/compilacion_estadistica_1998-2018.pdf" TargetMode="External" Id="rId996"/><Relationship Type="http://schemas.openxmlformats.org/officeDocument/2006/relationships/hyperlink" Target="https://www.ande.gov.py/documentos_contables/650/compilacion_estadistica_1998-2018.pdf" TargetMode="External" Id="rId997"/><Relationship Type="http://schemas.openxmlformats.org/officeDocument/2006/relationships/hyperlink" Target="https://www.ande.gov.py/documentos_contables/650/compilacion_estadistica_1998-2018.pdf" TargetMode="External" Id="rId998"/><Relationship Type="http://schemas.openxmlformats.org/officeDocument/2006/relationships/hyperlink" Target="https://www.ande.gov.py/documentos_contables/650/compilacion_estadistica_1998-2018.pdf" TargetMode="External" Id="rId999"/><Relationship Type="http://schemas.openxmlformats.org/officeDocument/2006/relationships/hyperlink" Target="https://www.ande.gov.py/documentos_contables/650/compilacion_estadistica_1998-2018.pdf" TargetMode="External" Id="rId1000"/><Relationship Type="http://schemas.openxmlformats.org/officeDocument/2006/relationships/hyperlink" Target="https://www.ande.gov.py/documentos_contables/650/compilacion_estadistica_1998-2018.pdf" TargetMode="External" Id="rId1001"/><Relationship Type="http://schemas.openxmlformats.org/officeDocument/2006/relationships/hyperlink" Target="https://www.ande.gov.py/documentos_contables/650/compilacion_estadistica_1998-2018.pdf" TargetMode="External" Id="rId1002"/><Relationship Type="http://schemas.openxmlformats.org/officeDocument/2006/relationships/hyperlink" Target="https://www.ande.gov.py/documentos_contables/650/compilacion_estadistica_1998-2018.pdf" TargetMode="External" Id="rId1003"/><Relationship Type="http://schemas.openxmlformats.org/officeDocument/2006/relationships/hyperlink" Target="https://www.ande.gov.py/documentos_contables/650/compilacion_estadistica_1998-2018.pdf" TargetMode="External" Id="rId1004"/><Relationship Type="http://schemas.openxmlformats.org/officeDocument/2006/relationships/hyperlink" Target="https://www.ande.gov.py/documentos_contables/650/compilacion_estadistica_1998-2018.pdf" TargetMode="External" Id="rId1005"/><Relationship Type="http://schemas.openxmlformats.org/officeDocument/2006/relationships/hyperlink" Target="https://www.ande.gov.py/documentos_contables/650/compilacion_estadistica_1998-2018.pdf" TargetMode="External" Id="rId1006"/><Relationship Type="http://schemas.openxmlformats.org/officeDocument/2006/relationships/hyperlink" Target="https://www.ande.gov.py/documentos_contables/650/compilacion_estadistica_1998-2018.pdf" TargetMode="External" Id="rId1007"/><Relationship Type="http://schemas.openxmlformats.org/officeDocument/2006/relationships/hyperlink" Target="https://www.ande.gov.py/documentos_contables/650/compilacion_estadistica_1998-2018.pdf" TargetMode="External" Id="rId1008"/><Relationship Type="http://schemas.openxmlformats.org/officeDocument/2006/relationships/hyperlink" Target="https://www.ande.gov.py/documentos_contables/650/compilacion_estadistica_1998-2018.pdf" TargetMode="External" Id="rId1009"/><Relationship Type="http://schemas.openxmlformats.org/officeDocument/2006/relationships/hyperlink" Target="https://www.ande.gov.py/documentos_contables/650/compilacion_estadistica_1998-2018.pdf" TargetMode="External" Id="rId1010"/><Relationship Type="http://schemas.openxmlformats.org/officeDocument/2006/relationships/hyperlink" Target="https://www.ande.gov.py/documentos_contables/650/compilacion_estadistica_1998-2018.pdf" TargetMode="External" Id="rId1011"/><Relationship Type="http://schemas.openxmlformats.org/officeDocument/2006/relationships/hyperlink" Target="https://www.ande.gov.py/documentos_contables/650/compilacion_estadistica_1998-2018.pdf" TargetMode="External" Id="rId1012"/><Relationship Type="http://schemas.openxmlformats.org/officeDocument/2006/relationships/hyperlink" Target="https://www.ande.gov.py/documentos_contables/650/compilacion_estadistica_1998-2018.pdf" TargetMode="External" Id="rId1013"/><Relationship Type="http://schemas.openxmlformats.org/officeDocument/2006/relationships/hyperlink" Target="https://www.ande.gov.py/documentos_contables/650/compilacion_estadistica_1998-2018.pdf" TargetMode="External" Id="rId1014"/><Relationship Type="http://schemas.openxmlformats.org/officeDocument/2006/relationships/hyperlink" Target="https://www.ande.gov.py/documentos_contables/650/compilacion_estadistica_1998-2018.pdf" TargetMode="External" Id="rId1015"/><Relationship Type="http://schemas.openxmlformats.org/officeDocument/2006/relationships/hyperlink" Target="https://www.ande.gov.py/documentos_contables/650/compilacion_estadistica_1998-2018.pdf" TargetMode="External" Id="rId1016"/><Relationship Type="http://schemas.openxmlformats.org/officeDocument/2006/relationships/hyperlink" Target="https://www.ande.gov.py/documentos_contables/650/compilacion_estadistica_1998-2018.pdf" TargetMode="External" Id="rId1017"/><Relationship Type="http://schemas.openxmlformats.org/officeDocument/2006/relationships/hyperlink" Target="https://www.ande.gov.py/documentos_contables/650/compilacion_estadistica_1998-2018.pdf" TargetMode="External" Id="rId1018"/><Relationship Type="http://schemas.openxmlformats.org/officeDocument/2006/relationships/hyperlink" Target="https://www.ande.gov.py/documentos_contables/650/compilacion_estadistica_1998-2018.pdf" TargetMode="External" Id="rId1019"/><Relationship Type="http://schemas.openxmlformats.org/officeDocument/2006/relationships/hyperlink" Target="https://www.ande.gov.py/documentos_contables/650/compilacion_estadistica_1998-2018.pdf" TargetMode="External" Id="rId1020"/><Relationship Type="http://schemas.openxmlformats.org/officeDocument/2006/relationships/hyperlink" Target="https://www.ande.gov.py/documentos_contables/650/compilacion_estadistica_1998-2018.pdf" TargetMode="External" Id="rId1021"/><Relationship Type="http://schemas.openxmlformats.org/officeDocument/2006/relationships/hyperlink" Target="https://www.ande.gov.py/documentos_contables/650/compilacion_estadistica_1998-2018.pdf" TargetMode="External" Id="rId1022"/><Relationship Type="http://schemas.openxmlformats.org/officeDocument/2006/relationships/hyperlink" Target="https://www.ande.gov.py/documentos_contables/650/compilacion_estadistica_1998-2018.pdf" TargetMode="External" Id="rId1023"/><Relationship Type="http://schemas.openxmlformats.org/officeDocument/2006/relationships/hyperlink" Target="https://www.ande.gov.py/documentos_contables/650/compilacion_estadistica_1998-2018.pdf" TargetMode="External" Id="rId1024"/><Relationship Type="http://schemas.openxmlformats.org/officeDocument/2006/relationships/hyperlink" Target="https://www.ande.gov.py/documentos_contables/650/compilacion_estadistica_1998-2018.pdf" TargetMode="External" Id="rId1025"/><Relationship Type="http://schemas.openxmlformats.org/officeDocument/2006/relationships/hyperlink" Target="https://www.ande.gov.py/documentos_contables/650/compilacion_estadistica_1998-2018.pdf" TargetMode="External" Id="rId1026"/><Relationship Type="http://schemas.openxmlformats.org/officeDocument/2006/relationships/hyperlink" Target="https://www.ande.gov.py/documentos_contables/650/compilacion_estadistica_1998-2018.pdf" TargetMode="External" Id="rId1027"/><Relationship Type="http://schemas.openxmlformats.org/officeDocument/2006/relationships/hyperlink" Target="https://www.ande.gov.py/documentos_contables/650/compilacion_estadistica_1998-2018.pdf" TargetMode="External" Id="rId1028"/><Relationship Type="http://schemas.openxmlformats.org/officeDocument/2006/relationships/hyperlink" Target="https://www.ande.gov.py/documentos_contables/650/compilacion_estadistica_1998-2018.pdf" TargetMode="External" Id="rId1029"/><Relationship Type="http://schemas.openxmlformats.org/officeDocument/2006/relationships/hyperlink" Target="https://www.ande.gov.py/documentos_contables/650/compilacion_estadistica_1998-2018.pdf" TargetMode="External" Id="rId1030"/><Relationship Type="http://schemas.openxmlformats.org/officeDocument/2006/relationships/hyperlink" Target="https://www.ande.gov.py/documentos_contables/650/compilacion_estadistica_1998-2018.pdf" TargetMode="External" Id="rId1031"/><Relationship Type="http://schemas.openxmlformats.org/officeDocument/2006/relationships/hyperlink" Target="https://www.ande.gov.py/documentos_contables/650/compilacion_estadistica_1998-2018.pdf" TargetMode="External" Id="rId1032"/><Relationship Type="http://schemas.openxmlformats.org/officeDocument/2006/relationships/hyperlink" Target="https://www.ande.gov.py/documentos_contables/650/compilacion_estadistica_1998-2018.pdf" TargetMode="External" Id="rId1033"/><Relationship Type="http://schemas.openxmlformats.org/officeDocument/2006/relationships/hyperlink" Target="https://www.ande.gov.py/documentos_contables/650/compilacion_estadistica_1998-2018.pdf" TargetMode="External" Id="rId1034"/><Relationship Type="http://schemas.openxmlformats.org/officeDocument/2006/relationships/hyperlink" Target="https://www.ande.gov.py/documentos_contables/650/compilacion_estadistica_1998-2018.pdf" TargetMode="External" Id="rId1035"/><Relationship Type="http://schemas.openxmlformats.org/officeDocument/2006/relationships/hyperlink" Target="https://www.ande.gov.py/documentos_contables/650/compilacion_estadistica_1998-2018.pdf" TargetMode="External" Id="rId1036"/><Relationship Type="http://schemas.openxmlformats.org/officeDocument/2006/relationships/hyperlink" Target="https://www.ande.gov.py/documentos_contables/650/compilacion_estadistica_1998-2018.pdf" TargetMode="External" Id="rId1037"/><Relationship Type="http://schemas.openxmlformats.org/officeDocument/2006/relationships/hyperlink" Target="https://www.ande.gov.py/documentos_contables/650/compilacion_estadistica_1998-2018.pdf" TargetMode="External" Id="rId1038"/><Relationship Type="http://schemas.openxmlformats.org/officeDocument/2006/relationships/hyperlink" Target="https://www.ande.gov.py/documentos_contables/650/compilacion_estadistica_1998-2018.pdf" TargetMode="External" Id="rId1039"/><Relationship Type="http://schemas.openxmlformats.org/officeDocument/2006/relationships/hyperlink" Target="https://www.ande.gov.py/documentos_contables/650/compilacion_estadistica_1998-2018.pdf" TargetMode="External" Id="rId1040"/><Relationship Type="http://schemas.openxmlformats.org/officeDocument/2006/relationships/hyperlink" Target="https://www.ande.gov.py/documentos_contables/650/compilacion_estadistica_1998-2018.pdf" TargetMode="External" Id="rId1041"/><Relationship Type="http://schemas.openxmlformats.org/officeDocument/2006/relationships/hyperlink" Target="https://www.ande.gov.py/documentos_contables/650/compilacion_estadistica_1998-2018.pdf" TargetMode="External" Id="rId1042"/><Relationship Type="http://schemas.openxmlformats.org/officeDocument/2006/relationships/hyperlink" Target="https://www.ande.gov.py/documentos_contables/650/compilacion_estadistica_1998-2018.pdf" TargetMode="External" Id="rId1043"/><Relationship Type="http://schemas.openxmlformats.org/officeDocument/2006/relationships/hyperlink" Target="https://www.ande.gov.py/documentos_contables/650/compilacion_estadistica_1998-2018.pdf" TargetMode="External" Id="rId1044"/><Relationship Type="http://schemas.openxmlformats.org/officeDocument/2006/relationships/hyperlink" Target="https://www.ande.gov.py/documentos_contables/650/compilacion_estadistica_1998-2018.pdf" TargetMode="External" Id="rId1045"/><Relationship Type="http://schemas.openxmlformats.org/officeDocument/2006/relationships/hyperlink" Target="https://www.ande.gov.py/documentos_contables/650/compilacion_estadistica_1998-2018.pdf" TargetMode="External" Id="rId1046"/><Relationship Type="http://schemas.openxmlformats.org/officeDocument/2006/relationships/hyperlink" Target="https://www.ande.gov.py/documentos_contables/650/compilacion_estadistica_1998-2018.pdf" TargetMode="External" Id="rId1047"/><Relationship Type="http://schemas.openxmlformats.org/officeDocument/2006/relationships/hyperlink" Target="https://www.ande.gov.py/documentos_contables/650/compilacion_estadistica_1998-2018.pdf" TargetMode="External" Id="rId1048"/><Relationship Type="http://schemas.openxmlformats.org/officeDocument/2006/relationships/hyperlink" Target="https://www.ande.gov.py/documentos_contables/650/compilacion_estadistica_1998-2018.pdf" TargetMode="External" Id="rId1049"/><Relationship Type="http://schemas.openxmlformats.org/officeDocument/2006/relationships/hyperlink" Target="https://www.ande.gov.py/documentos_contables/650/compilacion_estadistica_1998-2018.pdf" TargetMode="External" Id="rId1050"/><Relationship Type="http://schemas.openxmlformats.org/officeDocument/2006/relationships/hyperlink" Target="https://www.ande.gov.py/documentos_contables/650/compilacion_estadistica_1998-2018.pdf" TargetMode="External" Id="rId1051"/><Relationship Type="http://schemas.openxmlformats.org/officeDocument/2006/relationships/hyperlink" Target="https://www.ande.gov.py/documentos_contables/650/compilacion_estadistica_1998-2018.pdf" TargetMode="External" Id="rId1052"/><Relationship Type="http://schemas.openxmlformats.org/officeDocument/2006/relationships/hyperlink" Target="https://www.ande.gov.py/documentos_contables/650/compilacion_estadistica_1998-2018.pdf" TargetMode="External" Id="rId1053"/><Relationship Type="http://schemas.openxmlformats.org/officeDocument/2006/relationships/hyperlink" Target="https://www.ande.gov.py/documentos_contables/650/compilacion_estadistica_1998-2018.pdf" TargetMode="External" Id="rId1054"/><Relationship Type="http://schemas.openxmlformats.org/officeDocument/2006/relationships/hyperlink" Target="https://www.ande.gov.py/documentos_contables/650/compilacion_estadistica_1998-2018.pdf" TargetMode="External" Id="rId1055"/><Relationship Type="http://schemas.openxmlformats.org/officeDocument/2006/relationships/hyperlink" Target="https://www.ande.gov.py/documentos_contables/650/compilacion_estadistica_1998-2018.pdf" TargetMode="External" Id="rId1056"/><Relationship Type="http://schemas.openxmlformats.org/officeDocument/2006/relationships/hyperlink" Target="https://www.ande.gov.py/documentos_contables/650/compilacion_estadistica_1998-2018.pdf" TargetMode="External" Id="rId1057"/><Relationship Type="http://schemas.openxmlformats.org/officeDocument/2006/relationships/hyperlink" Target="https://www.ande.gov.py/documentos_contables/650/compilacion_estadistica_1998-2018.pdf" TargetMode="External" Id="rId1058"/><Relationship Type="http://schemas.openxmlformats.org/officeDocument/2006/relationships/hyperlink" Target="https://www.ande.gov.py/documentos_contables/650/compilacion_estadistica_1998-2018.pdf" TargetMode="External" Id="rId1059"/><Relationship Type="http://schemas.openxmlformats.org/officeDocument/2006/relationships/hyperlink" Target="https://www.ande.gov.py/documentos_contables/650/compilacion_estadistica_1998-2018.pdf" TargetMode="External" Id="rId1060"/><Relationship Type="http://schemas.openxmlformats.org/officeDocument/2006/relationships/hyperlink" Target="https://www.ande.gov.py/documentos_contables/650/compilacion_estadistica_1998-2018.pdf" TargetMode="External" Id="rId1061"/><Relationship Type="http://schemas.openxmlformats.org/officeDocument/2006/relationships/hyperlink" Target="https://www.ande.gov.py/documentos_contables/650/compilacion_estadistica_1998-2018.pdf" TargetMode="External" Id="rId1062"/><Relationship Type="http://schemas.openxmlformats.org/officeDocument/2006/relationships/hyperlink" Target="https://www.ande.gov.py/documentos_contables/650/compilacion_estadistica_1998-2018.pdf" TargetMode="External" Id="rId1063"/><Relationship Type="http://schemas.openxmlformats.org/officeDocument/2006/relationships/hyperlink" Target="https://www.ande.gov.py/documentos_contables/650/compilacion_estadistica_1998-2018.pdf" TargetMode="External" Id="rId1064"/><Relationship Type="http://schemas.openxmlformats.org/officeDocument/2006/relationships/hyperlink" Target="https://www.ande.gov.py/documentos_contables/650/compilacion_estadistica_1998-2018.pdf" TargetMode="External" Id="rId1065"/><Relationship Type="http://schemas.openxmlformats.org/officeDocument/2006/relationships/hyperlink" Target="https://www.ande.gov.py/documentos_contables/650/compilacion_estadistica_1998-2018.pdf" TargetMode="External" Id="rId1066"/><Relationship Type="http://schemas.openxmlformats.org/officeDocument/2006/relationships/hyperlink" Target="https://www.ande.gov.py/documentos_contables/650/compilacion_estadistica_1998-2018.pdf" TargetMode="External" Id="rId1067"/><Relationship Type="http://schemas.openxmlformats.org/officeDocument/2006/relationships/hyperlink" Target="https://www.ande.gov.py/documentos_contables/650/compilacion_estadistica_1998-2018.pdf" TargetMode="External" Id="rId1068"/><Relationship Type="http://schemas.openxmlformats.org/officeDocument/2006/relationships/hyperlink" Target="https://www.ande.gov.py/documentos_contables/650/compilacion_estadistica_1998-2018.pdf" TargetMode="External" Id="rId1069"/><Relationship Type="http://schemas.openxmlformats.org/officeDocument/2006/relationships/hyperlink" Target="https://www.ande.gov.py/documentos_contables/650/compilacion_estadistica_1998-2018.pdf" TargetMode="External" Id="rId1070"/><Relationship Type="http://schemas.openxmlformats.org/officeDocument/2006/relationships/hyperlink" Target="https://www.ande.gov.py/documentos_contables/650/compilacion_estadistica_1998-2018.pdf" TargetMode="External" Id="rId1071"/><Relationship Type="http://schemas.openxmlformats.org/officeDocument/2006/relationships/hyperlink" Target="https://www.ande.gov.py/documentos_contables/650/compilacion_estadistica_1998-2018.pdf" TargetMode="External" Id="rId1072"/><Relationship Type="http://schemas.openxmlformats.org/officeDocument/2006/relationships/hyperlink" Target="https://www.ande.gov.py/documentos_contables/650/compilacion_estadistica_1998-2018.pdf" TargetMode="External" Id="rId1073"/><Relationship Type="http://schemas.openxmlformats.org/officeDocument/2006/relationships/hyperlink" Target="https://www.ande.gov.py/documentos_contables/650/compilacion_estadistica_1998-2018.pdf" TargetMode="External" Id="rId1074"/><Relationship Type="http://schemas.openxmlformats.org/officeDocument/2006/relationships/hyperlink" Target="https://www.ande.gov.py/documentos_contables/650/compilacion_estadistica_1998-2018.pdf" TargetMode="External" Id="rId1075"/><Relationship Type="http://schemas.openxmlformats.org/officeDocument/2006/relationships/hyperlink" Target="https://www.ande.gov.py/documentos_contables/650/compilacion_estadistica_1998-2018.pdf" TargetMode="External" Id="rId1076"/><Relationship Type="http://schemas.openxmlformats.org/officeDocument/2006/relationships/hyperlink" Target="https://www.ande.gov.py/documentos_contables/650/compilacion_estadistica_1998-2018.pdf" TargetMode="External" Id="rId1077"/><Relationship Type="http://schemas.openxmlformats.org/officeDocument/2006/relationships/hyperlink" Target="https://www.ande.gov.py/documentos_contables/650/compilacion_estadistica_1998-2018.pdf" TargetMode="External" Id="rId1078"/><Relationship Type="http://schemas.openxmlformats.org/officeDocument/2006/relationships/hyperlink" Target="https://www.ande.gov.py/documentos_contables/650/compilacion_estadistica_1998-2018.pdf" TargetMode="External" Id="rId1079"/><Relationship Type="http://schemas.openxmlformats.org/officeDocument/2006/relationships/hyperlink" Target="https://www.ande.gov.py/documentos_contables/650/compilacion_estadistica_1998-2018.pdf" TargetMode="External" Id="rId1080"/><Relationship Type="http://schemas.openxmlformats.org/officeDocument/2006/relationships/hyperlink" Target="https://www.ande.gov.py/documentos_contables/650/compilacion_estadistica_1998-2018.pdf" TargetMode="External" Id="rId1081"/><Relationship Type="http://schemas.openxmlformats.org/officeDocument/2006/relationships/hyperlink" Target="https://www.ande.gov.py/documentos_contables/650/compilacion_estadistica_1998-2018.pdf" TargetMode="External" Id="rId1082"/><Relationship Type="http://schemas.openxmlformats.org/officeDocument/2006/relationships/hyperlink" Target="https://www.ande.gov.py/documentos_contables/650/compilacion_estadistica_1998-2018.pdf" TargetMode="External" Id="rId1083"/><Relationship Type="http://schemas.openxmlformats.org/officeDocument/2006/relationships/hyperlink" Target="https://www.ande.gov.py/documentos_contables/650/compilacion_estadistica_1998-2018.pdf" TargetMode="External" Id="rId1084"/><Relationship Type="http://schemas.openxmlformats.org/officeDocument/2006/relationships/hyperlink" Target="https://www.ande.gov.py/documentos_contables/650/compilacion_estadistica_1998-2018.pdf" TargetMode="External" Id="rId1085"/><Relationship Type="http://schemas.openxmlformats.org/officeDocument/2006/relationships/hyperlink" Target="https://www.ande.gov.py/documentos_contables/650/compilacion_estadistica_1998-2018.pdf" TargetMode="External" Id="rId1086"/><Relationship Type="http://schemas.openxmlformats.org/officeDocument/2006/relationships/hyperlink" Target="https://www.ande.gov.py/documentos_contables/650/compilacion_estadistica_1998-2018.pdf" TargetMode="External" Id="rId1087"/><Relationship Type="http://schemas.openxmlformats.org/officeDocument/2006/relationships/hyperlink" Target="https://www.ande.gov.py/documentos_contables/650/compilacion_estadistica_1998-2018.pdf" TargetMode="External" Id="rId1088"/><Relationship Type="http://schemas.openxmlformats.org/officeDocument/2006/relationships/hyperlink" Target="https://www.ande.gov.py/documentos_contables/650/compilacion_estadistica_1998-2018.pdf" TargetMode="External" Id="rId1089"/><Relationship Type="http://schemas.openxmlformats.org/officeDocument/2006/relationships/hyperlink" Target="https://www.ande.gov.py/documentos_contables/650/compilacion_estadistica_1998-2018.pdf" TargetMode="External" Id="rId1090"/><Relationship Type="http://schemas.openxmlformats.org/officeDocument/2006/relationships/hyperlink" Target="https://www.ande.gov.py/documentos_contables/650/compilacion_estadistica_1998-2018.pdf" TargetMode="External" Id="rId1091"/><Relationship Type="http://schemas.openxmlformats.org/officeDocument/2006/relationships/hyperlink" Target="https://www.ande.gov.py/documentos_contables/650/compilacion_estadistica_1998-2018.pdf" TargetMode="External" Id="rId1092"/><Relationship Type="http://schemas.openxmlformats.org/officeDocument/2006/relationships/hyperlink" Target="https://www.ande.gov.py/documentos_contables/650/compilacion_estadistica_1998-2018.pdf" TargetMode="External" Id="rId1093"/><Relationship Type="http://schemas.openxmlformats.org/officeDocument/2006/relationships/hyperlink" Target="https://www.ande.gov.py/documentos_contables/650/compilacion_estadistica_1998-2018.pdf" TargetMode="External" Id="rId1094"/><Relationship Type="http://schemas.openxmlformats.org/officeDocument/2006/relationships/hyperlink" Target="https://www.ande.gov.py/documentos_contables/650/compilacion_estadistica_1998-2018.pdf" TargetMode="External" Id="rId1095"/><Relationship Type="http://schemas.openxmlformats.org/officeDocument/2006/relationships/hyperlink" Target="https://www.ande.gov.py/documentos_contables/650/compilacion_estadistica_1998-2018.pdf" TargetMode="External" Id="rId1096"/><Relationship Type="http://schemas.openxmlformats.org/officeDocument/2006/relationships/hyperlink" Target="https://www.ande.gov.py/documentos_contables/650/compilacion_estadistica_1998-2018.pdf" TargetMode="External" Id="rId1097"/><Relationship Type="http://schemas.openxmlformats.org/officeDocument/2006/relationships/hyperlink" Target="https://www.ande.gov.py/documentos_contables/650/compilacion_estadistica_1998-2018.pdf" TargetMode="External" Id="rId1098"/><Relationship Type="http://schemas.openxmlformats.org/officeDocument/2006/relationships/hyperlink" Target="https://www.ande.gov.py/documentos_contables/650/compilacion_estadistica_1998-2018.pdf" TargetMode="External" Id="rId1099"/><Relationship Type="http://schemas.openxmlformats.org/officeDocument/2006/relationships/hyperlink" Target="https://www.ande.gov.py/documentos_contables/650/compilacion_estadistica_1998-2018.pdf" TargetMode="External" Id="rId1100"/><Relationship Type="http://schemas.openxmlformats.org/officeDocument/2006/relationships/hyperlink" Target="https://www.ande.gov.py/finanzas/2.%20COMPILACION%20ESTADISTICA%202003-2023/ANDE%20-%20Compilacion%20Estadistica%202003-2023.pdf" TargetMode="External" Id="rId1101"/><Relationship Type="http://schemas.openxmlformats.org/officeDocument/2006/relationships/hyperlink" Target="https://www.ande.gov.py/finanzas/2.%20COMPILACION%20ESTADISTICA%202003-2023/ANDE%20-%20Compilacion%20Estadistica%202003-2023.pdf" TargetMode="External" Id="rId1102"/><Relationship Type="http://schemas.openxmlformats.org/officeDocument/2006/relationships/hyperlink" Target="https://www.ande.gov.py/finanzas/2.%20COMPILACION%20ESTADISTICA%202003-2023/ANDE%20-%20Compilacion%20Estadistica%202003-2023.pdf" TargetMode="External" Id="rId1103"/><Relationship Type="http://schemas.openxmlformats.org/officeDocument/2006/relationships/hyperlink" Target="https://www.ande.gov.py/finanzas/2.%20COMPILACION%20ESTADISTICA%202003-2023/ANDE%20-%20Compilacion%20Estadistica%202003-2023.pdf" TargetMode="External" Id="rId1104"/><Relationship Type="http://schemas.openxmlformats.org/officeDocument/2006/relationships/hyperlink" Target="https://www.ande.gov.py/finanzas/2.%20COMPILACION%20ESTADISTICA%202003-2023/ANDE%20-%20Compilacion%20Estadistica%202003-2023.pdf" TargetMode="External" Id="rId1105"/><Relationship Type="http://schemas.openxmlformats.org/officeDocument/2006/relationships/hyperlink" Target="https://www.ande.gov.py/finanzas/2.%20COMPILACION%20ESTADISTICA%202003-2023/ANDE%20-%20Compilacion%20Estadistica%202003-2023.pdf" TargetMode="External" Id="rId1106"/><Relationship Type="http://schemas.openxmlformats.org/officeDocument/2006/relationships/hyperlink" Target="https://www.ande.gov.py/finanzas/2.%20COMPILACION%20ESTADISTICA%202003-2023/ANDE%20-%20Compilacion%20Estadistica%202003-2023.pdf" TargetMode="External" Id="rId1107"/><Relationship Type="http://schemas.openxmlformats.org/officeDocument/2006/relationships/hyperlink" Target="https://www.ande.gov.py/finanzas/2.%20COMPILACION%20ESTADISTICA%202003-2023/ANDE%20-%20Compilacion%20Estadistica%202003-2023.pdf" TargetMode="External" Id="rId1108"/><Relationship Type="http://schemas.openxmlformats.org/officeDocument/2006/relationships/hyperlink" Target="https://www.ande.gov.py/finanzas/2.%20COMPILACION%20ESTADISTICA%202003-2023/ANDE%20-%20Compilacion%20Estadistica%202003-2023.pdf" TargetMode="External" Id="rId1109"/><Relationship Type="http://schemas.openxmlformats.org/officeDocument/2006/relationships/hyperlink" Target="https://www.ande.gov.py/finanzas/2.%20COMPILACION%20ESTADISTICA%202003-2023/ANDE%20-%20Compilacion%20Estadistica%202003-2023.pdf" TargetMode="External" Id="rId1110"/><Relationship Type="http://schemas.openxmlformats.org/officeDocument/2006/relationships/hyperlink" Target="https://www.ande.gov.py/finanzas/2.%20COMPILACION%20ESTADISTICA%202003-2023/ANDE%20-%20Compilacion%20Estadistica%202003-2023.pdf" TargetMode="External" Id="rId1111"/><Relationship Type="http://schemas.openxmlformats.org/officeDocument/2006/relationships/hyperlink" Target="https://www.ande.gov.py/finanzas/2.%20COMPILACION%20ESTADISTICA%202003-2023/ANDE%20-%20Compilacion%20Estadistica%202003-2023.pdf" TargetMode="External" Id="rId1112"/><Relationship Type="http://schemas.openxmlformats.org/officeDocument/2006/relationships/hyperlink" Target="https://www.ande.gov.py/finanzas/2.%20COMPILACION%20ESTADISTICA%202003-2023/ANDE%20-%20Compilacion%20Estadistica%202003-2023.pdf" TargetMode="External" Id="rId1113"/><Relationship Type="http://schemas.openxmlformats.org/officeDocument/2006/relationships/hyperlink" Target="https://www.ande.gov.py/finanzas/2.%20COMPILACION%20ESTADISTICA%202003-2023/ANDE%20-%20Compilacion%20Estadistica%202003-2023.pdf" TargetMode="External" Id="rId1114"/><Relationship Type="http://schemas.openxmlformats.org/officeDocument/2006/relationships/hyperlink" Target="https://www.ande.gov.py/finanzas/2.%20COMPILACION%20ESTADISTICA%202003-2023/ANDE%20-%20Compilacion%20Estadistica%202003-2023.pdf" TargetMode="External" Id="rId1115"/><Relationship Type="http://schemas.openxmlformats.org/officeDocument/2006/relationships/hyperlink" Target="https://www.ande.gov.py/finanzas/2.%20COMPILACION%20ESTADISTICA%202003-2023/ANDE%20-%20Compilacion%20Estadistica%202003-2023.pdf" TargetMode="External" Id="rId1116"/><Relationship Type="http://schemas.openxmlformats.org/officeDocument/2006/relationships/hyperlink" Target="https://www.ande.gov.py/finanzas/2.%20COMPILACION%20ESTADISTICA%202003-2023/ANDE%20-%20Compilacion%20Estadistica%202003-2023.pdf" TargetMode="External" Id="rId1117"/><Relationship Type="http://schemas.openxmlformats.org/officeDocument/2006/relationships/hyperlink" Target="https://www.ande.gov.py/finanzas/2.%20COMPILACION%20ESTADISTICA%202003-2023/ANDE%20-%20Compilacion%20Estadistica%202003-2023.pdf" TargetMode="External" Id="rId1118"/><Relationship Type="http://schemas.openxmlformats.org/officeDocument/2006/relationships/hyperlink" Target="https://www.ande.gov.py/finanzas/2.%20COMPILACION%20ESTADISTICA%202003-2023/ANDE%20-%20Compilacion%20Estadistica%202003-2023.pdf" TargetMode="External" Id="rId1119"/><Relationship Type="http://schemas.openxmlformats.org/officeDocument/2006/relationships/hyperlink" Target="https://www.ande.gov.py/finanzas/2.%20COMPILACION%20ESTADISTICA%202003-2023/ANDE%20-%20Compilacion%20Estadistica%202003-2023.pdf" TargetMode="External" Id="rId1120"/><Relationship Type="http://schemas.openxmlformats.org/officeDocument/2006/relationships/hyperlink" Target="https://www.ande.gov.py/finanzas/2.%20COMPILACION%20ESTADISTICA%202003-2023/ANDE%20-%20Compilacion%20Estadistica%202003-2023.pdf" TargetMode="External" Id="rId1121"/><Relationship Type="http://schemas.openxmlformats.org/officeDocument/2006/relationships/hyperlink" Target="https://www.ande.gov.py/finanzas/2.%20COMPILACION%20ESTADISTICA%202003-2023/ANDE%20-%20Compilacion%20Estadistica%202003-2023.pdf" TargetMode="External" Id="rId1122"/><Relationship Type="http://schemas.openxmlformats.org/officeDocument/2006/relationships/hyperlink" Target="https://www.ande.gov.py/finanzas/2.%20COMPILACION%20ESTADISTICA%202003-2023/ANDE%20-%20Compilacion%20Estadistica%202003-2023.pdf" TargetMode="External" Id="rId1123"/><Relationship Type="http://schemas.openxmlformats.org/officeDocument/2006/relationships/hyperlink" Target="https://www.ande.gov.py/finanzas/2.%20COMPILACION%20ESTADISTICA%202003-2023/ANDE%20-%20Compilacion%20Estadistica%202003-2023.pdf" TargetMode="External" Id="rId1124"/><Relationship Type="http://schemas.openxmlformats.org/officeDocument/2006/relationships/hyperlink" Target="https://www.ande.gov.py/finanzas/2.%20COMPILACION%20ESTADISTICA%202003-2023/ANDE%20-%20Compilacion%20Estadistica%202003-2023.pdf" TargetMode="External" Id="rId1125"/><Relationship Type="http://schemas.openxmlformats.org/officeDocument/2006/relationships/hyperlink" Target="https://www.ande.gov.py/finanzas/2.%20COMPILACION%20ESTADISTICA%202003-2023/ANDE%20-%20Compilacion%20Estadistica%202003-2023.pdf" TargetMode="External" Id="rId1126"/><Relationship Type="http://schemas.openxmlformats.org/officeDocument/2006/relationships/hyperlink" Target="https://www.ande.gov.py/finanzas/2.%20COMPILACION%20ESTADISTICA%202003-2023/ANDE%20-%20Compilacion%20Estadistica%202003-2023.pdf" TargetMode="External" Id="rId1127"/><Relationship Type="http://schemas.openxmlformats.org/officeDocument/2006/relationships/hyperlink" Target="https://www.ande.gov.py/finanzas/2.%20COMPILACION%20ESTADISTICA%202003-2023/ANDE%20-%20Compilacion%20Estadistica%202003-2023.pdf" TargetMode="External" Id="rId1128"/><Relationship Type="http://schemas.openxmlformats.org/officeDocument/2006/relationships/hyperlink" Target="https://www.ande.gov.py/finanzas/2.%20COMPILACION%20ESTADISTICA%202003-2023/ANDE%20-%20Compilacion%20Estadistica%202003-2023.pdf" TargetMode="External" Id="rId1129"/><Relationship Type="http://schemas.openxmlformats.org/officeDocument/2006/relationships/hyperlink" Target="https://www.ande.gov.py/finanzas/2.%20COMPILACION%20ESTADISTICA%202003-2023/ANDE%20-%20Compilacion%20Estadistica%202003-2023.pdf" TargetMode="External" Id="rId1130"/><Relationship Type="http://schemas.openxmlformats.org/officeDocument/2006/relationships/hyperlink" Target="https://www.ande.gov.py/finanzas/2.%20COMPILACION%20ESTADISTICA%202003-2023/ANDE%20-%20Compilacion%20Estadistica%202003-2023.pdf" TargetMode="External" Id="rId1131"/><Relationship Type="http://schemas.openxmlformats.org/officeDocument/2006/relationships/hyperlink" Target="https://www.ande.gov.py/finanzas/2.%20COMPILACION%20ESTADISTICA%202003-2023/ANDE%20-%20Compilacion%20Estadistica%202003-2023.pdf" TargetMode="External" Id="rId1132"/><Relationship Type="http://schemas.openxmlformats.org/officeDocument/2006/relationships/hyperlink" Target="https://www.ande.gov.py/finanzas/2.%20COMPILACION%20ESTADISTICA%202003-2023/ANDE%20-%20Compilacion%20Estadistica%202003-2023.pdf" TargetMode="External" Id="rId1133"/><Relationship Type="http://schemas.openxmlformats.org/officeDocument/2006/relationships/hyperlink" Target="https://www.ande.gov.py/finanzas/2.%20COMPILACION%20ESTADISTICA%202003-2023/ANDE%20-%20Compilacion%20Estadistica%202003-2023.pdf" TargetMode="External" Id="rId1134"/><Relationship Type="http://schemas.openxmlformats.org/officeDocument/2006/relationships/hyperlink" Target="https://www.ande.gov.py/finanzas/2.%20COMPILACION%20ESTADISTICA%202003-2023/ANDE%20-%20Compilacion%20Estadistica%202003-2023.pdf" TargetMode="External" Id="rId1135"/><Relationship Type="http://schemas.openxmlformats.org/officeDocument/2006/relationships/hyperlink" Target="https://www.ande.gov.py/finanzas/2.%20COMPILACION%20ESTADISTICA%202003-2023/ANDE%20-%20Compilacion%20Estadistica%202003-2023.pdf" TargetMode="External" Id="rId1136"/><Relationship Type="http://schemas.openxmlformats.org/officeDocument/2006/relationships/hyperlink" Target="https://www.ande.gov.py/finanzas/2.%20COMPILACION%20ESTADISTICA%202003-2023/ANDE%20-%20Compilacion%20Estadistica%202003-2023.pdf" TargetMode="External" Id="rId1137"/><Relationship Type="http://schemas.openxmlformats.org/officeDocument/2006/relationships/hyperlink" Target="https://www.ande.gov.py/finanzas/2.%20COMPILACION%20ESTADISTICA%202003-2023/ANDE%20-%20Compilacion%20Estadistica%202003-2023.pdf" TargetMode="External" Id="rId1138"/><Relationship Type="http://schemas.openxmlformats.org/officeDocument/2006/relationships/hyperlink" Target="https://www.ande.gov.py/finanzas/2.%20COMPILACION%20ESTADISTICA%202003-2023/ANDE%20-%20Compilacion%20Estadistica%202003-2023.pdf" TargetMode="External" Id="rId1139"/><Relationship Type="http://schemas.openxmlformats.org/officeDocument/2006/relationships/hyperlink" Target="https://www.ande.gov.py/finanzas/2.%20COMPILACION%20ESTADISTICA%202003-2023/ANDE%20-%20Compilacion%20Estadistica%202003-2023.pdf" TargetMode="External" Id="rId1140"/><Relationship Type="http://schemas.openxmlformats.org/officeDocument/2006/relationships/hyperlink" Target="https://www.ande.gov.py/finanzas/2.%20COMPILACION%20ESTADISTICA%202003-2023/ANDE%20-%20Compilacion%20Estadistica%202003-2023.pdf" TargetMode="External" Id="rId1141"/><Relationship Type="http://schemas.openxmlformats.org/officeDocument/2006/relationships/hyperlink" Target="https://www.ande.gov.py/finanzas/2.%20COMPILACION%20ESTADISTICA%202003-2023/ANDE%20-%20Compilacion%20Estadistica%202003-2023.pdf" TargetMode="External" Id="rId1142"/><Relationship Type="http://schemas.openxmlformats.org/officeDocument/2006/relationships/hyperlink" Target="https://www.ande.gov.py/finanzas/2.%20COMPILACION%20ESTADISTICA%202003-2023/ANDE%20-%20Compilacion%20Estadistica%202003-2023.pdf" TargetMode="External" Id="rId1143"/><Relationship Type="http://schemas.openxmlformats.org/officeDocument/2006/relationships/hyperlink" Target="https://www.ande.gov.py/finanzas/2.%20COMPILACION%20ESTADISTICA%202003-2023/ANDE%20-%20Compilacion%20Estadistica%202003-2023.pdf" TargetMode="External" Id="rId1144"/><Relationship Type="http://schemas.openxmlformats.org/officeDocument/2006/relationships/hyperlink" Target="https://www.ande.gov.py/finanzas/2.%20COMPILACION%20ESTADISTICA%202003-2023/ANDE%20-%20Compilacion%20Estadistica%202003-2023.pdf" TargetMode="External" Id="rId1145"/><Relationship Type="http://schemas.openxmlformats.org/officeDocument/2006/relationships/hyperlink" Target="https://www.ande.gov.py/finanzas/2.%20COMPILACION%20ESTADISTICA%202003-2023/ANDE%20-%20Compilacion%20Estadistica%202003-2023.pdf" TargetMode="External" Id="rId1146"/><Relationship Type="http://schemas.openxmlformats.org/officeDocument/2006/relationships/hyperlink" Target="https://www.ande.gov.py/finanzas/2.%20COMPILACION%20ESTADISTICA%202003-2023/ANDE%20-%20Compilacion%20Estadistica%202003-2023.pdf" TargetMode="External" Id="rId1147"/><Relationship Type="http://schemas.openxmlformats.org/officeDocument/2006/relationships/hyperlink" Target="https://www.ande.gov.py/finanzas/2.%20COMPILACION%20ESTADISTICA%202003-2023/ANDE%20-%20Compilacion%20Estadistica%202003-2023.pdf" TargetMode="External" Id="rId1148"/><Relationship Type="http://schemas.openxmlformats.org/officeDocument/2006/relationships/hyperlink" Target="https://www.ande.gov.py/finanzas/2.%20COMPILACION%20ESTADISTICA%202003-2023/ANDE%20-%20Compilacion%20Estadistica%202003-2023.pdf" TargetMode="External" Id="rId1149"/><Relationship Type="http://schemas.openxmlformats.org/officeDocument/2006/relationships/hyperlink" Target="https://www.ande.gov.py/finanzas/2.%20COMPILACION%20ESTADISTICA%202003-2023/ANDE%20-%20Compilacion%20Estadistica%202003-2023.pdf" TargetMode="External" Id="rId1150"/><Relationship Type="http://schemas.openxmlformats.org/officeDocument/2006/relationships/hyperlink" Target="https://www.ande.gov.py/finanzas/2.%20COMPILACION%20ESTADISTICA%202003-2023/ANDE%20-%20Compilacion%20Estadistica%202003-2023.pdf" TargetMode="External" Id="rId1151"/><Relationship Type="http://schemas.openxmlformats.org/officeDocument/2006/relationships/hyperlink" Target="https://www.ande.gov.py/finanzas/2.%20COMPILACION%20ESTADISTICA%202003-2023/ANDE%20-%20Compilacion%20Estadistica%202003-2023.pdf" TargetMode="External" Id="rId1152"/><Relationship Type="http://schemas.openxmlformats.org/officeDocument/2006/relationships/hyperlink" Target="https://www.ande.gov.py/finanzas/2.%20COMPILACION%20ESTADISTICA%202003-2023/ANDE%20-%20Compilacion%20Estadistica%202003-2023.pdf" TargetMode="External" Id="rId1153"/><Relationship Type="http://schemas.openxmlformats.org/officeDocument/2006/relationships/hyperlink" Target="https://www.ande.gov.py/finanzas/2.%20COMPILACION%20ESTADISTICA%202003-2023/ANDE%20-%20Compilacion%20Estadistica%202003-2023.pdf" TargetMode="External" Id="rId1154"/><Relationship Type="http://schemas.openxmlformats.org/officeDocument/2006/relationships/hyperlink" Target="https://www.ande.gov.py/finanzas/2.%20COMPILACION%20ESTADISTICA%202003-2023/ANDE%20-%20Compilacion%20Estadistica%202003-2023.pdf" TargetMode="External" Id="rId1155"/><Relationship Type="http://schemas.openxmlformats.org/officeDocument/2006/relationships/hyperlink" Target="https://www.ande.gov.py/finanzas/2.%20COMPILACION%20ESTADISTICA%202003-2023/ANDE%20-%20Compilacion%20Estadistica%202003-2023.pdf" TargetMode="External" Id="rId1156"/><Relationship Type="http://schemas.openxmlformats.org/officeDocument/2006/relationships/hyperlink" Target="https://www.ande.gov.py/finanzas/2.%20COMPILACION%20ESTADISTICA%202003-2023/ANDE%20-%20Compilacion%20Estadistica%202003-2023.pdf" TargetMode="External" Id="rId1157"/><Relationship Type="http://schemas.openxmlformats.org/officeDocument/2006/relationships/hyperlink" Target="https://www.ande.gov.py/finanzas/2.%20COMPILACION%20ESTADISTICA%202003-2023/ANDE%20-%20Compilacion%20Estadistica%202003-2023.pdf" TargetMode="External" Id="rId1158"/><Relationship Type="http://schemas.openxmlformats.org/officeDocument/2006/relationships/hyperlink" Target="https://www.ande.gov.py/finanzas/2.%20COMPILACION%20ESTADISTICA%202003-2023/ANDE%20-%20Compilacion%20Estadistica%202003-2023.pdf" TargetMode="External" Id="rId1159"/><Relationship Type="http://schemas.openxmlformats.org/officeDocument/2006/relationships/hyperlink" Target="https://www.ande.gov.py/finanzas/2.%20COMPILACION%20ESTADISTICA%202003-2023/ANDE%20-%20Compilacion%20Estadistica%202003-2023.pdf" TargetMode="External" Id="rId1160"/><Relationship Type="http://schemas.openxmlformats.org/officeDocument/2006/relationships/hyperlink" Target="https://www.ande.gov.py/finanzas/2.%20COMPILACION%20ESTADISTICA%202003-2023/ANDE%20-%20Compilacion%20Estadistica%202003-2023.pdf" TargetMode="External" Id="rId1161"/><Relationship Type="http://schemas.openxmlformats.org/officeDocument/2006/relationships/hyperlink" Target="https://www.ande.gov.py/finanzas/2.%20COMPILACION%20ESTADISTICA%202003-2023/ANDE%20-%20Compilacion%20Estadistica%202003-2023.pdf" TargetMode="External" Id="rId1162"/><Relationship Type="http://schemas.openxmlformats.org/officeDocument/2006/relationships/hyperlink" Target="https://www.ande.gov.py/finanzas/2.%20COMPILACION%20ESTADISTICA%202003-2023/ANDE%20-%20Compilacion%20Estadistica%202003-2023.pdf" TargetMode="External" Id="rId1163"/><Relationship Type="http://schemas.openxmlformats.org/officeDocument/2006/relationships/hyperlink" Target="https://www.ande.gov.py/finanzas/2.%20COMPILACION%20ESTADISTICA%202003-2023/ANDE%20-%20Compilacion%20Estadistica%202003-2023.pdf" TargetMode="External" Id="rId1164"/><Relationship Type="http://schemas.openxmlformats.org/officeDocument/2006/relationships/hyperlink" Target="https://www.ande.gov.py/finanzas/2.%20COMPILACION%20ESTADISTICA%202003-2023/ANDE%20-%20Compilacion%20Estadistica%202003-2023.pdf" TargetMode="External" Id="rId1165"/><Relationship Type="http://schemas.openxmlformats.org/officeDocument/2006/relationships/hyperlink" Target="https://www.ande.gov.py/finanzas/2.%20COMPILACION%20ESTADISTICA%202003-2023/ANDE%20-%20Compilacion%20Estadistica%202003-2023.pdf" TargetMode="External" Id="rId1166"/><Relationship Type="http://schemas.openxmlformats.org/officeDocument/2006/relationships/hyperlink" Target="https://www.ande.gov.py/finanzas/2.%20COMPILACION%20ESTADISTICA%202003-2023/ANDE%20-%20Compilacion%20Estadistica%202003-2023.pdf" TargetMode="External" Id="rId1167"/><Relationship Type="http://schemas.openxmlformats.org/officeDocument/2006/relationships/hyperlink" Target="https://www.ande.gov.py/finanzas/2.%20COMPILACION%20ESTADISTICA%202003-2023/ANDE%20-%20Compilacion%20Estadistica%202003-2023.pdf" TargetMode="External" Id="rId1168"/><Relationship Type="http://schemas.openxmlformats.org/officeDocument/2006/relationships/hyperlink" Target="https://www.ande.gov.py/finanzas/2.%20COMPILACION%20ESTADISTICA%202003-2023/ANDE%20-%20Compilacion%20Estadistica%202003-2023.pdf" TargetMode="External" Id="rId1169"/><Relationship Type="http://schemas.openxmlformats.org/officeDocument/2006/relationships/hyperlink" Target="https://www.ande.gov.py/finanzas/2.%20COMPILACION%20ESTADISTICA%202003-2023/ANDE%20-%20Compilacion%20Estadistica%202003-2023.pdf" TargetMode="External" Id="rId1170"/><Relationship Type="http://schemas.openxmlformats.org/officeDocument/2006/relationships/hyperlink" Target="https://www.ande.gov.py/finanzas/2.%20COMPILACION%20ESTADISTICA%202003-2023/ANDE%20-%20Compilacion%20Estadistica%202003-2023.pdf" TargetMode="External" Id="rId1171"/><Relationship Type="http://schemas.openxmlformats.org/officeDocument/2006/relationships/hyperlink" Target="https://www.ande.gov.py/finanzas/2.%20COMPILACION%20ESTADISTICA%202003-2023/ANDE%20-%20Compilacion%20Estadistica%202003-2023.pdf" TargetMode="External" Id="rId1172"/><Relationship Type="http://schemas.openxmlformats.org/officeDocument/2006/relationships/hyperlink" Target="https://www.ande.gov.py/finanzas/2.%20COMPILACION%20ESTADISTICA%202003-2023/ANDE%20-%20Compilacion%20Estadistica%202003-2023.pdf" TargetMode="External" Id="rId1173"/><Relationship Type="http://schemas.openxmlformats.org/officeDocument/2006/relationships/hyperlink" Target="https://www.ande.gov.py/finanzas/2.%20COMPILACION%20ESTADISTICA%202003-2023/ANDE%20-%20Compilacion%20Estadistica%202003-2023.pdf" TargetMode="External" Id="rId1174"/><Relationship Type="http://schemas.openxmlformats.org/officeDocument/2006/relationships/hyperlink" Target="https://www.ande.gov.py/finanzas/2.%20COMPILACION%20ESTADISTICA%202003-2023/ANDE%20-%20Compilacion%20Estadistica%202003-2023.pdf" TargetMode="External" Id="rId1175"/><Relationship Type="http://schemas.openxmlformats.org/officeDocument/2006/relationships/hyperlink" Target="https://www.ande.gov.py/finanzas/2.%20COMPILACION%20ESTADISTICA%202003-2023/ANDE%20-%20Compilacion%20Estadistica%202003-2023.pdf" TargetMode="External" Id="rId1176"/><Relationship Type="http://schemas.openxmlformats.org/officeDocument/2006/relationships/hyperlink" Target="https://www.ande.gov.py/finanzas/2.%20COMPILACION%20ESTADISTICA%202003-2023/ANDE%20-%20Compilacion%20Estadistica%202003-2023.pdf" TargetMode="External" Id="rId1177"/><Relationship Type="http://schemas.openxmlformats.org/officeDocument/2006/relationships/hyperlink" Target="https://www.ande.gov.py/finanzas/2.%20COMPILACION%20ESTADISTICA%202003-2023/ANDE%20-%20Compilacion%20Estadistica%202003-2023.pdf" TargetMode="External" Id="rId1178"/><Relationship Type="http://schemas.openxmlformats.org/officeDocument/2006/relationships/hyperlink" Target="https://www.ande.gov.py/finanzas/2.%20COMPILACION%20ESTADISTICA%202003-2023/ANDE%20-%20Compilacion%20Estadistica%202003-2023.pdf" TargetMode="External" Id="rId1179"/><Relationship Type="http://schemas.openxmlformats.org/officeDocument/2006/relationships/hyperlink" Target="https://www.ande.gov.py/finanzas/2.%20COMPILACION%20ESTADISTICA%202003-2023/ANDE%20-%20Compilacion%20Estadistica%202003-2023.pdf" TargetMode="External" Id="rId1180"/><Relationship Type="http://schemas.openxmlformats.org/officeDocument/2006/relationships/hyperlink" Target="https://www.ande.gov.py/finanzas/2.%20COMPILACION%20ESTADISTICA%202003-2023/ANDE%20-%20Compilacion%20Estadistica%202003-2023.pdf" TargetMode="External" Id="rId1181"/><Relationship Type="http://schemas.openxmlformats.org/officeDocument/2006/relationships/hyperlink" Target="https://www.ande.gov.py/finanzas/2.%20COMPILACION%20ESTADISTICA%202003-2023/ANDE%20-%20Compilacion%20Estadistica%202003-2023.pdf" TargetMode="External" Id="rId1182"/><Relationship Type="http://schemas.openxmlformats.org/officeDocument/2006/relationships/hyperlink" Target="https://www.ande.gov.py/finanzas/2.%20COMPILACION%20ESTADISTICA%202003-2023/ANDE%20-%20Compilacion%20Estadistica%202003-2023.pdf" TargetMode="External" Id="rId1183"/><Relationship Type="http://schemas.openxmlformats.org/officeDocument/2006/relationships/hyperlink" Target="https://www.ande.gov.py/finanzas/2.%20COMPILACION%20ESTADISTICA%202003-2023/ANDE%20-%20Compilacion%20Estadistica%202003-2023.pdf" TargetMode="External" Id="rId1184"/><Relationship Type="http://schemas.openxmlformats.org/officeDocument/2006/relationships/hyperlink" Target="https://www.ande.gov.py/finanzas/2.%20COMPILACION%20ESTADISTICA%202003-2023/ANDE%20-%20Compilacion%20Estadistica%202003-2023.pdf" TargetMode="External" Id="rId1185"/><Relationship Type="http://schemas.openxmlformats.org/officeDocument/2006/relationships/hyperlink" Target="https://www.ande.gov.py/finanzas/2.%20COMPILACION%20ESTADISTICA%202003-2023/ANDE%20-%20Compilacion%20Estadistica%202003-2023.pdf" TargetMode="External" Id="rId1186"/><Relationship Type="http://schemas.openxmlformats.org/officeDocument/2006/relationships/hyperlink" Target="https://www.ande.gov.py/finanzas/2.%20COMPILACION%20ESTADISTICA%202003-2023/ANDE%20-%20Compilacion%20Estadistica%202003-2023.pdf" TargetMode="External" Id="rId1187"/><Relationship Type="http://schemas.openxmlformats.org/officeDocument/2006/relationships/hyperlink" Target="https://www.ande.gov.py/finanzas/2.%20COMPILACION%20ESTADISTICA%202003-2023/ANDE%20-%20Compilacion%20Estadistica%202003-2023.pdf" TargetMode="External" Id="rId1188"/><Relationship Type="http://schemas.openxmlformats.org/officeDocument/2006/relationships/hyperlink" Target="https://www.ande.gov.py/finanzas/2.%20COMPILACION%20ESTADISTICA%202003-2023/ANDE%20-%20Compilacion%20Estadistica%202003-2023.pdf" TargetMode="External" Id="rId1189"/><Relationship Type="http://schemas.openxmlformats.org/officeDocument/2006/relationships/hyperlink" Target="https://www.ande.gov.py/finanzas/2.%20COMPILACION%20ESTADISTICA%202003-2023/ANDE%20-%20Compilacion%20Estadistica%202003-2023.pdf" TargetMode="External" Id="rId1190"/><Relationship Type="http://schemas.openxmlformats.org/officeDocument/2006/relationships/hyperlink" Target="https://www.ande.gov.py/finanzas/2.%20COMPILACION%20ESTADISTICA%202003-2023/ANDE%20-%20Compilacion%20Estadistica%202003-2023.pdf" TargetMode="External" Id="rId1191"/><Relationship Type="http://schemas.openxmlformats.org/officeDocument/2006/relationships/hyperlink" Target="https://www.ande.gov.py/finanzas/2.%20COMPILACION%20ESTADISTICA%202003-2023/ANDE%20-%20Compilacion%20Estadistica%202003-2023.pdf" TargetMode="External" Id="rId1192"/><Relationship Type="http://schemas.openxmlformats.org/officeDocument/2006/relationships/hyperlink" Target="https://www.ande.gov.py/finanzas/2.%20COMPILACION%20ESTADISTICA%202003-2023/ANDE%20-%20Compilacion%20Estadistica%202003-2023.pdf" TargetMode="External" Id="rId1193"/><Relationship Type="http://schemas.openxmlformats.org/officeDocument/2006/relationships/hyperlink" Target="https://www.ande.gov.py/finanzas/2.%20COMPILACION%20ESTADISTICA%202003-2023/ANDE%20-%20Compilacion%20Estadistica%202003-2023.pdf" TargetMode="External" Id="rId1194"/><Relationship Type="http://schemas.openxmlformats.org/officeDocument/2006/relationships/hyperlink" Target="https://www.ande.gov.py/finanzas/2.%20COMPILACION%20ESTADISTICA%202003-2023/ANDE%20-%20Compilacion%20Estadistica%202003-2023.pdf" TargetMode="External" Id="rId1195"/><Relationship Type="http://schemas.openxmlformats.org/officeDocument/2006/relationships/hyperlink" Target="https://www.ande.gov.py/finanzas/2.%20COMPILACION%20ESTADISTICA%202003-2023/ANDE%20-%20Compilacion%20Estadistica%202003-2023.pdf" TargetMode="External" Id="rId1196"/><Relationship Type="http://schemas.openxmlformats.org/officeDocument/2006/relationships/hyperlink" Target="https://www.ande.gov.py/finanzas/2.%20COMPILACION%20ESTADISTICA%202003-2023/ANDE%20-%20Compilacion%20Estadistica%202003-2023.pdf" TargetMode="External" Id="rId1197"/><Relationship Type="http://schemas.openxmlformats.org/officeDocument/2006/relationships/hyperlink" Target="https://www.ande.gov.py/finanzas/2.%20COMPILACION%20ESTADISTICA%202003-2023/ANDE%20-%20Compilacion%20Estadistica%202003-2023.pdf" TargetMode="External" Id="rId1198"/><Relationship Type="http://schemas.openxmlformats.org/officeDocument/2006/relationships/hyperlink" Target="https://www.ande.gov.py/finanzas/2.%20COMPILACION%20ESTADISTICA%202003-2023/ANDE%20-%20Compilacion%20Estadistica%202003-2023.pdf" TargetMode="External" Id="rId1199"/><Relationship Type="http://schemas.openxmlformats.org/officeDocument/2006/relationships/hyperlink" Target="https://www.ande.gov.py/finanzas/2.%20COMPILACION%20ESTADISTICA%202003-2023/ANDE%20-%20Compilacion%20Estadistica%202003-2023.pdf" TargetMode="External" Id="rId1200"/><Relationship Type="http://schemas.openxmlformats.org/officeDocument/2006/relationships/hyperlink" Target="https://www.ande.gov.py/finanzas/2.%20COMPILACION%20ESTADISTICA%202003-2023/ANDE%20-%20Compilacion%20Estadistica%202003-2023.pdf" TargetMode="External" Id="rId1201"/><Relationship Type="http://schemas.openxmlformats.org/officeDocument/2006/relationships/hyperlink" Target="https://www.ande.gov.py/finanzas/2.%20COMPILACION%20ESTADISTICA%202003-2023/ANDE%20-%20Compilacion%20Estadistica%202003-2023.pdf" TargetMode="External" Id="rId1202"/><Relationship Type="http://schemas.openxmlformats.org/officeDocument/2006/relationships/hyperlink" Target="https://www.ande.gov.py/finanzas/2.%20COMPILACION%20ESTADISTICA%202003-2023/ANDE%20-%20Compilacion%20Estadistica%202003-2023.pdf" TargetMode="External" Id="rId1203"/><Relationship Type="http://schemas.openxmlformats.org/officeDocument/2006/relationships/hyperlink" Target="https://www.ande.gov.py/finanzas/2.%20COMPILACION%20ESTADISTICA%202003-2023/ANDE%20-%20Compilacion%20Estadistica%202003-2023.pdf" TargetMode="External" Id="rId1204"/><Relationship Type="http://schemas.openxmlformats.org/officeDocument/2006/relationships/hyperlink" Target="https://www.ande.gov.py/finanzas/2.%20COMPILACION%20ESTADISTICA%202003-2023/ANDE%20-%20Compilacion%20Estadistica%202003-2023.pdf" TargetMode="External" Id="rId1205"/><Relationship Type="http://schemas.openxmlformats.org/officeDocument/2006/relationships/hyperlink" Target="https://www.ande.gov.py/finanzas/2.%20COMPILACION%20ESTADISTICA%202003-2023/ANDE%20-%20Compilacion%20Estadistica%202003-2023.pdf" TargetMode="External" Id="rId1206"/><Relationship Type="http://schemas.openxmlformats.org/officeDocument/2006/relationships/hyperlink" Target="https://www.ande.gov.py/finanzas/2.%20COMPILACION%20ESTADISTICA%202003-2023/ANDE%20-%20Compilacion%20Estadistica%202003-2023.pdf" TargetMode="External" Id="rId1207"/><Relationship Type="http://schemas.openxmlformats.org/officeDocument/2006/relationships/hyperlink" Target="https://www.ande.gov.py/finanzas/2.%20COMPILACION%20ESTADISTICA%202003-2023/ANDE%20-%20Compilacion%20Estadistica%202003-2023.pdf" TargetMode="External" Id="rId1208"/><Relationship Type="http://schemas.openxmlformats.org/officeDocument/2006/relationships/hyperlink" Target="https://www.ande.gov.py/finanzas/2.%20COMPILACION%20ESTADISTICA%202003-2023/ANDE%20-%20Compilacion%20Estadistica%202003-2023.pdf" TargetMode="External" Id="rId1209"/><Relationship Type="http://schemas.openxmlformats.org/officeDocument/2006/relationships/hyperlink" Target="https://www.ande.gov.py/finanzas/2.%20COMPILACION%20ESTADISTICA%202003-2023/ANDE%20-%20Compilacion%20Estadistica%202003-2023.pdf" TargetMode="External" Id="rId1210"/><Relationship Type="http://schemas.openxmlformats.org/officeDocument/2006/relationships/hyperlink" Target="https://www.ande.gov.py/finanzas/2.%20COMPILACION%20ESTADISTICA%202003-2023/ANDE%20-%20Compilacion%20Estadistica%202003-2023.pdf" TargetMode="External" Id="rId1211"/><Relationship Type="http://schemas.openxmlformats.org/officeDocument/2006/relationships/hyperlink" Target="https://www.ande.gov.py/finanzas/2.%20COMPILACION%20ESTADISTICA%202003-2023/ANDE%20-%20Compilacion%20Estadistica%202003-2023.pdf" TargetMode="External" Id="rId1212"/><Relationship Type="http://schemas.openxmlformats.org/officeDocument/2006/relationships/hyperlink" Target="https://www.ande.gov.py/finanzas/2.%20COMPILACION%20ESTADISTICA%202003-2023/ANDE%20-%20Compilacion%20Estadistica%202003-2023.pdf" TargetMode="External" Id="rId1213"/><Relationship Type="http://schemas.openxmlformats.org/officeDocument/2006/relationships/hyperlink" Target="https://www.ande.gov.py/finanzas/2.%20COMPILACION%20ESTADISTICA%202003-2023/ANDE%20-%20Compilacion%20Estadistica%202003-2023.pdf" TargetMode="External" Id="rId1214"/><Relationship Type="http://schemas.openxmlformats.org/officeDocument/2006/relationships/hyperlink" Target="https://www.ande.gov.py/finanzas/2.%20COMPILACION%20ESTADISTICA%202003-2023/ANDE%20-%20Compilacion%20Estadistica%202003-2023.pdf" TargetMode="External" Id="rId1215"/><Relationship Type="http://schemas.openxmlformats.org/officeDocument/2006/relationships/hyperlink" Target="https://www.ande.gov.py/finanzas/2.%20COMPILACION%20ESTADISTICA%202003-2023/ANDE%20-%20Compilacion%20Estadistica%202003-2023.pdf" TargetMode="External" Id="rId1216"/><Relationship Type="http://schemas.openxmlformats.org/officeDocument/2006/relationships/hyperlink" Target="https://www.ande.gov.py/finanzas/2.%20COMPILACION%20ESTADISTICA%202003-2023/ANDE%20-%20Compilacion%20Estadistica%202003-2023.pdf" TargetMode="External" Id="rId1217"/><Relationship Type="http://schemas.openxmlformats.org/officeDocument/2006/relationships/hyperlink" Target="https://www.ande.gov.py/finanzas/2.%20COMPILACION%20ESTADISTICA%202003-2023/ANDE%20-%20Compilacion%20Estadistica%202003-2023.pdf" TargetMode="External" Id="rId1218"/><Relationship Type="http://schemas.openxmlformats.org/officeDocument/2006/relationships/hyperlink" Target="https://www.ande.gov.py/finanzas/2.%20COMPILACION%20ESTADISTICA%202003-2023/ANDE%20-%20Compilacion%20Estadistica%202003-2023.pdf" TargetMode="External" Id="rId1219"/><Relationship Type="http://schemas.openxmlformats.org/officeDocument/2006/relationships/hyperlink" Target="https://www.ande.gov.py/finanzas/2.%20COMPILACION%20ESTADISTICA%202003-2023/ANDE%20-%20Compilacion%20Estadistica%202003-2023.pdf" TargetMode="External" Id="rId1220"/><Relationship Type="http://schemas.openxmlformats.org/officeDocument/2006/relationships/hyperlink" Target="https://www.ande.gov.py/finanzas/2.%20COMPILACION%20ESTADISTICA%202003-2023/ANDE%20-%20Compilacion%20Estadistica%202003-2023.pdf" TargetMode="External" Id="rId1221"/><Relationship Type="http://schemas.openxmlformats.org/officeDocument/2006/relationships/hyperlink" Target="https://www.ande.gov.py/finanzas/2.%20COMPILACION%20ESTADISTICA%202003-2023/ANDE%20-%20Compilacion%20Estadistica%202003-2023.pdf" TargetMode="External" Id="rId1222"/><Relationship Type="http://schemas.openxmlformats.org/officeDocument/2006/relationships/hyperlink" Target="https://www.ande.gov.py/finanzas/2.%20COMPILACION%20ESTADISTICA%202003-2023/ANDE%20-%20Compilacion%20Estadistica%202003-2023.pdf" TargetMode="External" Id="rId1223"/><Relationship Type="http://schemas.openxmlformats.org/officeDocument/2006/relationships/hyperlink" Target="https://www.ande.gov.py/finanzas/2.%20COMPILACION%20ESTADISTICA%202003-2023/ANDE%20-%20Compilacion%20Estadistica%202003-2023.pdf" TargetMode="External" Id="rId1224"/><Relationship Type="http://schemas.openxmlformats.org/officeDocument/2006/relationships/hyperlink" Target="https://www.ande.gov.py/finanzas/2.%20COMPILACION%20ESTADISTICA%202003-2023/ANDE%20-%20Compilacion%20Estadistica%202003-2023.pdf" TargetMode="External" Id="rId1225"/><Relationship Type="http://schemas.openxmlformats.org/officeDocument/2006/relationships/hyperlink" Target="https://www.ande.gov.py/finanzas/2.%20COMPILACION%20ESTADISTICA%202003-2023/ANDE%20-%20Compilacion%20Estadistica%202003-2023.pdf" TargetMode="External" Id="rId1226"/><Relationship Type="http://schemas.openxmlformats.org/officeDocument/2006/relationships/hyperlink" Target="https://www.ande.gov.py/finanzas/2.%20COMPILACION%20ESTADISTICA%202003-2023/ANDE%20-%20Compilacion%20Estadistica%202003-2023.pdf" TargetMode="External" Id="rId1227"/><Relationship Type="http://schemas.openxmlformats.org/officeDocument/2006/relationships/hyperlink" Target="https://www.ande.gov.py/finanzas/2.%20COMPILACION%20ESTADISTICA%202003-2023/ANDE%20-%20Compilacion%20Estadistica%202003-2023.pdf" TargetMode="External" Id="rId1228"/><Relationship Type="http://schemas.openxmlformats.org/officeDocument/2006/relationships/hyperlink" Target="https://www.ande.gov.py/finanzas/2.%20COMPILACION%20ESTADISTICA%202003-2023/ANDE%20-%20Compilacion%20Estadistica%202003-2023.pdf" TargetMode="External" Id="rId1229"/><Relationship Type="http://schemas.openxmlformats.org/officeDocument/2006/relationships/hyperlink" Target="https://www.ande.gov.py/finanzas/2.%20COMPILACION%20ESTADISTICA%202003-2023/ANDE%20-%20Compilacion%20Estadistica%202003-2023.pdf" TargetMode="External" Id="rId1230"/><Relationship Type="http://schemas.openxmlformats.org/officeDocument/2006/relationships/hyperlink" Target="https://www.ande.gov.py/finanzas/2.%20COMPILACION%20ESTADISTICA%202003-2023/ANDE%20-%20Compilacion%20Estadistica%202003-2023.pdf" TargetMode="External" Id="rId1231"/><Relationship Type="http://schemas.openxmlformats.org/officeDocument/2006/relationships/hyperlink" Target="https://www.ande.gov.py/finanzas/2.%20COMPILACION%20ESTADISTICA%202003-2023/ANDE%20-%20Compilacion%20Estadistica%202003-2023.pdf" TargetMode="External" Id="rId1232"/><Relationship Type="http://schemas.openxmlformats.org/officeDocument/2006/relationships/hyperlink" Target="https://www.ande.gov.py/finanzas/2.%20COMPILACION%20ESTADISTICA%202003-2023/ANDE%20-%20Compilacion%20Estadistica%202003-2023.pdf" TargetMode="External" Id="rId1233"/><Relationship Type="http://schemas.openxmlformats.org/officeDocument/2006/relationships/hyperlink" Target="https://www.ande.gov.py/finanzas/2.%20COMPILACION%20ESTADISTICA%202003-2023/ANDE%20-%20Compilacion%20Estadistica%202003-2023.pdf" TargetMode="External" Id="rId1234"/><Relationship Type="http://schemas.openxmlformats.org/officeDocument/2006/relationships/hyperlink" Target="https://www.ande.gov.py/finanzas/2.%20COMPILACION%20ESTADISTICA%202003-2023/ANDE%20-%20Compilacion%20Estadistica%202003-2023.pdf" TargetMode="External" Id="rId1235"/><Relationship Type="http://schemas.openxmlformats.org/officeDocument/2006/relationships/hyperlink" Target="https://www.ande.gov.py/finanzas/2.%20COMPILACION%20ESTADISTICA%202003-2023/ANDE%20-%20Compilacion%20Estadistica%202003-2023.pdf" TargetMode="External" Id="rId1236"/><Relationship Type="http://schemas.openxmlformats.org/officeDocument/2006/relationships/hyperlink" Target="https://www.ande.gov.py/finanzas/2.%20COMPILACION%20ESTADISTICA%202003-2023/ANDE%20-%20Compilacion%20Estadistica%202003-2023.pdf" TargetMode="External" Id="rId1237"/><Relationship Type="http://schemas.openxmlformats.org/officeDocument/2006/relationships/hyperlink" Target="https://www.ande.gov.py/finanzas/2.%20COMPILACION%20ESTADISTICA%202003-2023/ANDE%20-%20Compilacion%20Estadistica%202003-2023.pdf" TargetMode="External" Id="rId1238"/><Relationship Type="http://schemas.openxmlformats.org/officeDocument/2006/relationships/hyperlink" Target="https://www.ande.gov.py/finanzas/2.%20COMPILACION%20ESTADISTICA%202003-2023/ANDE%20-%20Compilacion%20Estadistica%202003-2023.pdf" TargetMode="External" Id="rId1239"/><Relationship Type="http://schemas.openxmlformats.org/officeDocument/2006/relationships/hyperlink" Target="https://www.ande.gov.py/finanzas/2.%20COMPILACION%20ESTADISTICA%202003-2023/ANDE%20-%20Compilacion%20Estadistica%202003-2023.pdf" TargetMode="External" Id="rId1240"/><Relationship Type="http://schemas.openxmlformats.org/officeDocument/2006/relationships/hyperlink" Target="https://www.ande.gov.py/finanzas/2.%20COMPILACION%20ESTADISTICA%202003-2023/ANDE%20-%20Compilacion%20Estadistica%202003-2023.pdf" TargetMode="External" Id="rId1241"/><Relationship Type="http://schemas.openxmlformats.org/officeDocument/2006/relationships/hyperlink" Target="https://www.ande.gov.py/finanzas/2.%20COMPILACION%20ESTADISTICA%202003-2023/ANDE%20-%20Compilacion%20Estadistica%202003-2023.pdf" TargetMode="External" Id="rId1242"/><Relationship Type="http://schemas.openxmlformats.org/officeDocument/2006/relationships/hyperlink" Target="https://www.ande.gov.py/finanzas/2.%20COMPILACION%20ESTADISTICA%202003-2023/ANDE%20-%20Compilacion%20Estadistica%202003-2023.pdf" TargetMode="External" Id="rId1243"/><Relationship Type="http://schemas.openxmlformats.org/officeDocument/2006/relationships/hyperlink" Target="https://www.ande.gov.py/finanzas/2.%20COMPILACION%20ESTADISTICA%202003-2023/ANDE%20-%20Compilacion%20Estadistica%202003-2023.pdf" TargetMode="External" Id="rId1244"/><Relationship Type="http://schemas.openxmlformats.org/officeDocument/2006/relationships/hyperlink" Target="https://www.ande.gov.py/finanzas/2.%20COMPILACION%20ESTADISTICA%202003-2023/ANDE%20-%20Compilacion%20Estadistica%202003-2023.pdf" TargetMode="External" Id="rId1245"/><Relationship Type="http://schemas.openxmlformats.org/officeDocument/2006/relationships/hyperlink" Target="https://www.ande.gov.py/finanzas/2.%20COMPILACION%20ESTADISTICA%202003-2023/ANDE%20-%20Compilacion%20Estadistica%202003-2023.pdf" TargetMode="External" Id="rId1246"/><Relationship Type="http://schemas.openxmlformats.org/officeDocument/2006/relationships/hyperlink" Target="https://www.ande.gov.py/finanzas/2.%20COMPILACION%20ESTADISTICA%202003-2023/ANDE%20-%20Compilacion%20Estadistica%202003-2023.pdf" TargetMode="External" Id="rId1247"/><Relationship Type="http://schemas.openxmlformats.org/officeDocument/2006/relationships/hyperlink" Target="https://www.ande.gov.py/finanzas/2.%20COMPILACION%20ESTADISTICA%202003-2023/ANDE%20-%20Compilacion%20Estadistica%202003-2023.pdf" TargetMode="External" Id="rId1248"/><Relationship Type="http://schemas.openxmlformats.org/officeDocument/2006/relationships/hyperlink" Target="https://www.ande.gov.py/finanzas/2.%20COMPILACION%20ESTADISTICA%202003-2023/ANDE%20-%20Compilacion%20Estadistica%202003-2023.pdf" TargetMode="External" Id="rId1249"/><Relationship Type="http://schemas.openxmlformats.org/officeDocument/2006/relationships/hyperlink" Target="https://www.ande.gov.py/finanzas/2.%20COMPILACION%20ESTADISTICA%202003-2023/ANDE%20-%20Compilacion%20Estadistica%202003-2023.pdf" TargetMode="External" Id="rId1250"/><Relationship Type="http://schemas.openxmlformats.org/officeDocument/2006/relationships/hyperlink" Target="https://www.ande.gov.py/finanzas/2.%20COMPILACION%20ESTADISTICA%202003-2023/ANDE%20-%20Compilacion%20Estadistica%202003-2023.pdf" TargetMode="External" Id="rId1251"/><Relationship Type="http://schemas.openxmlformats.org/officeDocument/2006/relationships/hyperlink" Target="https://www.ande.gov.py/finanzas/2.%20COMPILACION%20ESTADISTICA%202003-2023/ANDE%20-%20Compilacion%20Estadistica%202003-2023.pdf" TargetMode="External" Id="rId1252"/><Relationship Type="http://schemas.openxmlformats.org/officeDocument/2006/relationships/hyperlink" Target="https://www.ande.gov.py/finanzas/2.%20COMPILACION%20ESTADISTICA%202003-2023/ANDE%20-%20Compilacion%20Estadistica%202003-2023.pdf" TargetMode="External" Id="rId1253"/><Relationship Type="http://schemas.openxmlformats.org/officeDocument/2006/relationships/hyperlink" Target="https://www.ande.gov.py/finanzas/2.%20COMPILACION%20ESTADISTICA%202003-2023/ANDE%20-%20Compilacion%20Estadistica%202003-2023.pdf" TargetMode="External" Id="rId1254"/><Relationship Type="http://schemas.openxmlformats.org/officeDocument/2006/relationships/hyperlink" Target="https://www.ande.gov.py/finanzas/2.%20COMPILACION%20ESTADISTICA%202003-2023/ANDE%20-%20Compilacion%20Estadistica%202003-2023.pdf" TargetMode="External" Id="rId1255"/><Relationship Type="http://schemas.openxmlformats.org/officeDocument/2006/relationships/hyperlink" Target="https://www.ande.gov.py/finanzas/2.%20COMPILACION%20ESTADISTICA%202003-2023/ANDE%20-%20Compilacion%20Estadistica%202003-2023.pdf" TargetMode="External" Id="rId1256"/><Relationship Type="http://schemas.openxmlformats.org/officeDocument/2006/relationships/hyperlink" Target="https://www.ande.gov.py/finanzas/2.%20COMPILACION%20ESTADISTICA%202003-2023/ANDE%20-%20Compilacion%20Estadistica%202003-2023.pdf" TargetMode="External" Id="rId1257"/><Relationship Type="http://schemas.openxmlformats.org/officeDocument/2006/relationships/hyperlink" Target="https://www.ande.gov.py/finanzas/2.%20COMPILACION%20ESTADISTICA%202003-2023/ANDE%20-%20Compilacion%20Estadistica%202003-2023.pdf" TargetMode="External" Id="rId1258"/><Relationship Type="http://schemas.openxmlformats.org/officeDocument/2006/relationships/hyperlink" Target="https://www.ande.gov.py/finanzas/2.%20COMPILACION%20ESTADISTICA%202003-2023/ANDE%20-%20Compilacion%20Estadistica%202003-2023.pdf" TargetMode="External" Id="rId1259"/><Relationship Type="http://schemas.openxmlformats.org/officeDocument/2006/relationships/hyperlink" Target="https://www.ande.gov.py/finanzas/2.%20COMPILACION%20ESTADISTICA%202003-2023/ANDE%20-%20Compilacion%20Estadistica%202003-2023.pdf" TargetMode="External" Id="rId1260"/><Relationship Type="http://schemas.openxmlformats.org/officeDocument/2006/relationships/hyperlink" Target="https://www.ande.gov.py/finanzas/2.%20COMPILACION%20ESTADISTICA%202003-2023/ANDE%20-%20Compilacion%20Estadistica%202003-2023.pdf" TargetMode="External" Id="rId1261"/><Relationship Type="http://schemas.openxmlformats.org/officeDocument/2006/relationships/hyperlink" Target="https://www.ande.gov.py/finanzas/2.%20COMPILACION%20ESTADISTICA%202003-2023/ANDE%20-%20Compilacion%20Estadistica%202003-2023.pdf" TargetMode="External" Id="rId1262"/><Relationship Type="http://schemas.openxmlformats.org/officeDocument/2006/relationships/hyperlink" Target="https://www.ande.gov.py/finanzas/2.%20COMPILACION%20ESTADISTICA%202003-2023/ANDE%20-%20Compilacion%20Estadistica%202003-2023.pdf" TargetMode="External" Id="rId1263"/><Relationship Type="http://schemas.openxmlformats.org/officeDocument/2006/relationships/hyperlink" Target="https://www.ande.gov.py/finanzas/2.%20COMPILACION%20ESTADISTICA%202003-2023/ANDE%20-%20Compilacion%20Estadistica%202003-2023.pdf" TargetMode="External" Id="rId1264"/><Relationship Type="http://schemas.openxmlformats.org/officeDocument/2006/relationships/hyperlink" Target="https://www.ande.gov.py/finanzas/2.%20COMPILACION%20ESTADISTICA%202003-2023/ANDE%20-%20Compilacion%20Estadistica%202003-2023.pdf" TargetMode="External" Id="rId1265"/><Relationship Type="http://schemas.openxmlformats.org/officeDocument/2006/relationships/hyperlink" Target="https://www.ande.gov.py/finanzas/2.%20COMPILACION%20ESTADISTICA%202003-2023/ANDE%20-%20Compilacion%20Estadistica%202003-2023.pdf" TargetMode="External" Id="rId1266"/><Relationship Type="http://schemas.openxmlformats.org/officeDocument/2006/relationships/hyperlink" Target="https://www.ande.gov.py/finanzas/2.%20COMPILACION%20ESTADISTICA%202003-2023/ANDE%20-%20Compilacion%20Estadistica%202003-2023.pdf" TargetMode="External" Id="rId1267"/><Relationship Type="http://schemas.openxmlformats.org/officeDocument/2006/relationships/hyperlink" Target="https://www.ande.gov.py/finanzas/2.%20COMPILACION%20ESTADISTICA%202003-2023/ANDE%20-%20Compilacion%20Estadistica%202003-2023.pdf" TargetMode="External" Id="rId1268"/><Relationship Type="http://schemas.openxmlformats.org/officeDocument/2006/relationships/hyperlink" Target="https://www.ande.gov.py/finanzas/2.%20COMPILACION%20ESTADISTICA%202003-2023/ANDE%20-%20Compilacion%20Estadistica%202003-2023.pdf" TargetMode="External" Id="rId1269"/><Relationship Type="http://schemas.openxmlformats.org/officeDocument/2006/relationships/hyperlink" Target="https://www.ande.gov.py/finanzas/2.%20COMPILACION%20ESTADISTICA%202003-2023/ANDE%20-%20Compilacion%20Estadistica%202003-2023.pdf" TargetMode="External" Id="rId1270"/><Relationship Type="http://schemas.openxmlformats.org/officeDocument/2006/relationships/hyperlink" Target="https://www.ande.gov.py/finanzas/2.%20COMPILACION%20ESTADISTICA%202003-2023/ANDE%20-%20Compilacion%20Estadistica%202003-2023.pdf" TargetMode="External" Id="rId1271"/><Relationship Type="http://schemas.openxmlformats.org/officeDocument/2006/relationships/hyperlink" Target="https://www.ande.gov.py/finanzas/2.%20COMPILACION%20ESTADISTICA%202003-2023/ANDE%20-%20Compilacion%20Estadistica%202003-2023.pdf" TargetMode="External" Id="rId1272"/><Relationship Type="http://schemas.openxmlformats.org/officeDocument/2006/relationships/hyperlink" Target="https://www.ande.gov.py/finanzas/2.%20COMPILACION%20ESTADISTICA%202003-2023/ANDE%20-%20Compilacion%20Estadistica%202003-2023.pdf" TargetMode="External" Id="rId1273"/><Relationship Type="http://schemas.openxmlformats.org/officeDocument/2006/relationships/hyperlink" Target="https://www.ande.gov.py/finanzas/2.%20COMPILACION%20ESTADISTICA%202003-2023/ANDE%20-%20Compilacion%20Estadistica%202003-2023.pdf" TargetMode="External" Id="rId1274"/><Relationship Type="http://schemas.openxmlformats.org/officeDocument/2006/relationships/hyperlink" Target="https://www.ande.gov.py/finanzas/2.%20COMPILACION%20ESTADISTICA%202003-2023/ANDE%20-%20Compilacion%20Estadistica%202003-2023.pdf" TargetMode="External" Id="rId1275"/><Relationship Type="http://schemas.openxmlformats.org/officeDocument/2006/relationships/hyperlink" Target="https://www.ande.gov.py/finanzas/2.%20COMPILACION%20ESTADISTICA%202003-2023/ANDE%20-%20Compilacion%20Estadistica%202003-2023.pdf" TargetMode="External" Id="rId1276"/><Relationship Type="http://schemas.openxmlformats.org/officeDocument/2006/relationships/hyperlink" Target="https://www.ande.gov.py/finanzas/2.%20COMPILACION%20ESTADISTICA%202003-2023/ANDE%20-%20Compilacion%20Estadistica%202003-2023.pdf" TargetMode="External" Id="rId1277"/><Relationship Type="http://schemas.openxmlformats.org/officeDocument/2006/relationships/hyperlink" Target="https://www.ande.gov.py/finanzas/2.%20COMPILACION%20ESTADISTICA%202003-2023/ANDE%20-%20Compilacion%20Estadistica%202003-2023.pdf" TargetMode="External" Id="rId1278"/><Relationship Type="http://schemas.openxmlformats.org/officeDocument/2006/relationships/hyperlink" Target="https://www.ande.gov.py/finanzas/2.%20COMPILACION%20ESTADISTICA%202003-2023/ANDE%20-%20Compilacion%20Estadistica%202003-2023.pdf" TargetMode="External" Id="rId1279"/><Relationship Type="http://schemas.openxmlformats.org/officeDocument/2006/relationships/hyperlink" Target="https://www.ande.gov.py/finanzas/2.%20COMPILACION%20ESTADISTICA%202003-2023/ANDE%20-%20Compilacion%20Estadistica%202003-2023.pdf" TargetMode="External" Id="rId1280"/><Relationship Type="http://schemas.openxmlformats.org/officeDocument/2006/relationships/hyperlink" Target="https://www.ande.gov.py/finanzas/2.%20COMPILACION%20ESTADISTICA%202003-2023/ANDE%20-%20Compilacion%20Estadistica%202003-2023.pdf" TargetMode="External" Id="rId1281"/><Relationship Type="http://schemas.openxmlformats.org/officeDocument/2006/relationships/hyperlink" Target="https://www.ande.gov.py/finanzas/2.%20COMPILACION%20ESTADISTICA%202003-2023/ANDE%20-%20Compilacion%20Estadistica%202003-2023.pdf" TargetMode="External" Id="rId1282"/><Relationship Type="http://schemas.openxmlformats.org/officeDocument/2006/relationships/hyperlink" Target="https://www.ande.gov.py/finanzas/2.%20COMPILACION%20ESTADISTICA%202003-2023/ANDE%20-%20Compilacion%20Estadistica%202003-2023.pdf" TargetMode="External" Id="rId1283"/><Relationship Type="http://schemas.openxmlformats.org/officeDocument/2006/relationships/hyperlink" Target="https://www.ande.gov.py/finanzas/2.%20COMPILACION%20ESTADISTICA%202003-2023/ANDE%20-%20Compilacion%20Estadistica%202003-2023.pdf" TargetMode="External" Id="rId1284"/><Relationship Type="http://schemas.openxmlformats.org/officeDocument/2006/relationships/hyperlink" Target="https://www.ande.gov.py/finanzas/2.%20COMPILACION%20ESTADISTICA%202003-2023/ANDE%20-%20Compilacion%20Estadistica%202003-2023.pdf" TargetMode="External" Id="rId1285"/><Relationship Type="http://schemas.openxmlformats.org/officeDocument/2006/relationships/hyperlink" Target="https://www.ande.gov.py/finanzas/2.%20COMPILACION%20ESTADISTICA%202003-2023/ANDE%20-%20Compilacion%20Estadistica%202003-2023.pdf" TargetMode="External" Id="rId1286"/><Relationship Type="http://schemas.openxmlformats.org/officeDocument/2006/relationships/hyperlink" Target="https://www.ande.gov.py/finanzas/2.%20COMPILACION%20ESTADISTICA%202003-2023/ANDE%20-%20Compilacion%20Estadistica%202003-2023.pdf" TargetMode="External" Id="rId1287"/><Relationship Type="http://schemas.openxmlformats.org/officeDocument/2006/relationships/hyperlink" Target="https://www.ande.gov.py/finanzas/2.%20COMPILACION%20ESTADISTICA%202003-2023/ANDE%20-%20Compilacion%20Estadistica%202003-2023.pdf" TargetMode="External" Id="rId1288"/><Relationship Type="http://schemas.openxmlformats.org/officeDocument/2006/relationships/hyperlink" Target="https://www.ande.gov.py/finanzas/2.%20COMPILACION%20ESTADISTICA%202003-2023/ANDE%20-%20Compilacion%20Estadistica%202003-2023.pdf" TargetMode="External" Id="rId1289"/><Relationship Type="http://schemas.openxmlformats.org/officeDocument/2006/relationships/hyperlink" Target="https://www.ande.gov.py/finanzas/2.%20COMPILACION%20ESTADISTICA%202003-2023/ANDE%20-%20Compilacion%20Estadistica%202003-2023.pdf" TargetMode="External" Id="rId1290"/><Relationship Type="http://schemas.openxmlformats.org/officeDocument/2006/relationships/hyperlink" Target="https://www.ande.gov.py/finanzas/2.%20COMPILACION%20ESTADISTICA%202003-2023/ANDE%20-%20Compilacion%20Estadistica%202003-2023.pdf" TargetMode="External" Id="rId1291"/><Relationship Type="http://schemas.openxmlformats.org/officeDocument/2006/relationships/hyperlink" Target="https://www.ande.gov.py/finanzas/2.%20COMPILACION%20ESTADISTICA%202003-2023/ANDE%20-%20Compilacion%20Estadistica%202003-2023.pdf" TargetMode="External" Id="rId1292"/><Relationship Type="http://schemas.openxmlformats.org/officeDocument/2006/relationships/hyperlink" Target="https://www.ande.gov.py/finanzas/2.%20COMPILACION%20ESTADISTICA%202003-2023/ANDE%20-%20Compilacion%20Estadistica%202003-2023.pdf" TargetMode="External" Id="rId1293"/><Relationship Type="http://schemas.openxmlformats.org/officeDocument/2006/relationships/hyperlink" Target="https://www.ande.gov.py/finanzas/2.%20COMPILACION%20ESTADISTICA%202003-2023/ANDE%20-%20Compilacion%20Estadistica%202003-2023.pdf" TargetMode="External" Id="rId1294"/><Relationship Type="http://schemas.openxmlformats.org/officeDocument/2006/relationships/hyperlink" Target="https://www.ande.gov.py/finanzas/2.%20COMPILACION%20ESTADISTICA%202003-2023/ANDE%20-%20Compilacion%20Estadistica%202003-2023.pdf" TargetMode="External" Id="rId1295"/><Relationship Type="http://schemas.openxmlformats.org/officeDocument/2006/relationships/hyperlink" Target="https://www.ande.gov.py/finanzas/2.%20COMPILACION%20ESTADISTICA%202003-2023/ANDE%20-%20Compilacion%20Estadistica%202003-2023.pdf" TargetMode="External" Id="rId1296"/><Relationship Type="http://schemas.openxmlformats.org/officeDocument/2006/relationships/hyperlink" Target="https://www.ande.gov.py/finanzas/2.%20COMPILACION%20ESTADISTICA%202003-2023/ANDE%20-%20Compilacion%20Estadistica%202003-2023.pdf" TargetMode="External" Id="rId1297"/><Relationship Type="http://schemas.openxmlformats.org/officeDocument/2006/relationships/hyperlink" Target="https://www.ande.gov.py/finanzas/2.%20COMPILACION%20ESTADISTICA%202003-2023/ANDE%20-%20Compilacion%20Estadistica%202003-2023.pdf" TargetMode="External" Id="rId1298"/><Relationship Type="http://schemas.openxmlformats.org/officeDocument/2006/relationships/hyperlink" Target="https://www.ande.gov.py/finanzas/2.%20COMPILACION%20ESTADISTICA%202003-2023/ANDE%20-%20Compilacion%20Estadistica%202003-2023.pdf" TargetMode="External" Id="rId1299"/><Relationship Type="http://schemas.openxmlformats.org/officeDocument/2006/relationships/hyperlink" Target="https://www.ande.gov.py/finanzas/2.%20COMPILACION%20ESTADISTICA%202003-2023/ANDE%20-%20Compilacion%20Estadistica%202003-2023.pdf" TargetMode="External" Id="rId1300"/><Relationship Type="http://schemas.openxmlformats.org/officeDocument/2006/relationships/hyperlink" Target="https://www.ande.gov.py/finanzas/2.%20COMPILACION%20ESTADISTICA%202003-2023/ANDE%20-%20Compilacion%20Estadistica%202003-2023.pdf" TargetMode="External" Id="rId1301"/><Relationship Type="http://schemas.openxmlformats.org/officeDocument/2006/relationships/hyperlink" Target="https://www.ande.gov.py/finanzas/2.%20COMPILACION%20ESTADISTICA%202003-2023/ANDE%20-%20Compilacion%20Estadistica%202003-2023.pdf" TargetMode="External" Id="rId1302"/><Relationship Type="http://schemas.openxmlformats.org/officeDocument/2006/relationships/hyperlink" Target="https://www.ande.gov.py/finanzas/2.%20COMPILACION%20ESTADISTICA%202003-2023/ANDE%20-%20Compilacion%20Estadistica%202003-2023.pdf" TargetMode="External" Id="rId1303"/><Relationship Type="http://schemas.openxmlformats.org/officeDocument/2006/relationships/hyperlink" Target="https://www.ande.gov.py/finanzas/2.%20COMPILACION%20ESTADISTICA%202003-2023/ANDE%20-%20Compilacion%20Estadistica%202003-2023.pdf" TargetMode="External" Id="rId1304"/><Relationship Type="http://schemas.openxmlformats.org/officeDocument/2006/relationships/hyperlink" Target="https://www.ande.gov.py/finanzas/2.%20COMPILACION%20ESTADISTICA%202003-2023/ANDE%20-%20Compilacion%20Estadistica%202003-2023.pdf" TargetMode="External" Id="rId1305"/><Relationship Type="http://schemas.openxmlformats.org/officeDocument/2006/relationships/hyperlink" Target="https://www.ande.gov.py/finanzas/2.%20COMPILACION%20ESTADISTICA%202003-2023/ANDE%20-%20Compilacion%20Estadistica%202003-2023.pdf" TargetMode="External" Id="rId1306"/><Relationship Type="http://schemas.openxmlformats.org/officeDocument/2006/relationships/hyperlink" Target="https://www.ande.gov.py/finanzas/2.%20COMPILACION%20ESTADISTICA%202003-2023/ANDE%20-%20Compilacion%20Estadistica%202003-2023.pdf" TargetMode="External" Id="rId1307"/><Relationship Type="http://schemas.openxmlformats.org/officeDocument/2006/relationships/hyperlink" Target="https://www.ande.gov.py/finanzas/2.%20COMPILACION%20ESTADISTICA%202003-2023/ANDE%20-%20Compilacion%20Estadistica%202003-2023.pdf" TargetMode="External" Id="rId1308"/><Relationship Type="http://schemas.openxmlformats.org/officeDocument/2006/relationships/hyperlink" Target="https://www.ande.gov.py/finanzas/2.%20COMPILACION%20ESTADISTICA%202003-2023/ANDE%20-%20Compilacion%20Estadistica%202003-2023.pdf" TargetMode="External" Id="rId1309"/><Relationship Type="http://schemas.openxmlformats.org/officeDocument/2006/relationships/hyperlink" Target="https://www.ande.gov.py/finanzas/2.%20COMPILACION%20ESTADISTICA%202003-2023/ANDE%20-%20Compilacion%20Estadistica%202003-2023.pdf" TargetMode="External" Id="rId1310"/><Relationship Type="http://schemas.openxmlformats.org/officeDocument/2006/relationships/hyperlink" Target="https://www.ande.gov.py/finanzas/2.%20COMPILACION%20ESTADISTICA%202003-2023/ANDE%20-%20Compilacion%20Estadistica%202003-2023.pdf" TargetMode="External" Id="rId1311"/><Relationship Type="http://schemas.openxmlformats.org/officeDocument/2006/relationships/hyperlink" Target="https://www.ande.gov.py/finanzas/2.%20COMPILACION%20ESTADISTICA%202003-2023/ANDE%20-%20Compilacion%20Estadistica%202003-2023.pdf" TargetMode="External" Id="rId1312"/><Relationship Type="http://schemas.openxmlformats.org/officeDocument/2006/relationships/hyperlink" Target="https://www.ande.gov.py/finanzas/2.%20COMPILACION%20ESTADISTICA%202003-2023/ANDE%20-%20Compilacion%20Estadistica%202003-2023.pdf" TargetMode="External" Id="rId1313"/><Relationship Type="http://schemas.openxmlformats.org/officeDocument/2006/relationships/hyperlink" Target="https://www.ande.gov.py/finanzas/2.%20COMPILACION%20ESTADISTICA%202003-2023/ANDE%20-%20Compilacion%20Estadistica%202003-2023.pdf" TargetMode="External" Id="rId1314"/><Relationship Type="http://schemas.openxmlformats.org/officeDocument/2006/relationships/hyperlink" Target="https://www.ande.gov.py/finanzas/2.%20COMPILACION%20ESTADISTICA%202003-2023/ANDE%20-%20Compilacion%20Estadistica%202003-2023.pdf" TargetMode="External" Id="rId1315"/><Relationship Type="http://schemas.openxmlformats.org/officeDocument/2006/relationships/hyperlink" Target="https://www.ande.gov.py/finanzas/2.%20COMPILACION%20ESTADISTICA%202003-2023/ANDE%20-%20Compilacion%20Estadistica%202003-2023.pdf" TargetMode="External" Id="rId1316"/><Relationship Type="http://schemas.openxmlformats.org/officeDocument/2006/relationships/hyperlink" Target="https://www.ande.gov.py/finanzas/2.%20COMPILACION%20ESTADISTICA%202003-2023/ANDE%20-%20Compilacion%20Estadistica%202003-2023.pdf" TargetMode="External" Id="rId1317"/><Relationship Type="http://schemas.openxmlformats.org/officeDocument/2006/relationships/hyperlink" Target="https://www.ande.gov.py/finanzas/2.%20COMPILACION%20ESTADISTICA%202003-2023/ANDE%20-%20Compilacion%20Estadistica%202003-2023.pdf" TargetMode="External" Id="rId1318"/><Relationship Type="http://schemas.openxmlformats.org/officeDocument/2006/relationships/hyperlink" Target="https://www.ande.gov.py/finanzas/2.%20COMPILACION%20ESTADISTICA%202003-2023/ANDE%20-%20Compilacion%20Estadistica%202003-2023.pdf" TargetMode="External" Id="rId1319"/><Relationship Type="http://schemas.openxmlformats.org/officeDocument/2006/relationships/hyperlink" Target="https://www.ande.gov.py/finanzas/2.%20COMPILACION%20ESTADISTICA%202003-2023/ANDE%20-%20Compilacion%20Estadistica%202003-2023.pdf" TargetMode="External" Id="rId1320"/><Relationship Type="http://schemas.openxmlformats.org/officeDocument/2006/relationships/hyperlink" Target="https://www.ande.gov.py/finanzas/2.%20COMPILACION%20ESTADISTICA%202003-2023/ANDE%20-%20Compilacion%20Estadistica%202003-2023.pdf" TargetMode="External" Id="rId1321"/><Relationship Type="http://schemas.openxmlformats.org/officeDocument/2006/relationships/hyperlink" Target="https://www.ande.gov.py/finanzas/2.%20COMPILACION%20ESTADISTICA%202003-2023/ANDE%20-%20Compilacion%20Estadistica%202003-2023.pdf" TargetMode="External" Id="rId1322"/><Relationship Type="http://schemas.openxmlformats.org/officeDocument/2006/relationships/hyperlink" Target="https://www.ande.gov.py/finanzas/2.%20COMPILACION%20ESTADISTICA%202003-2023/ANDE%20-%20Compilacion%20Estadistica%202003-2023.pdf" TargetMode="External" Id="rId1323"/><Relationship Type="http://schemas.openxmlformats.org/officeDocument/2006/relationships/hyperlink" Target="https://www.ande.gov.py/finanzas/2.%20COMPILACION%20ESTADISTICA%202003-2023/ANDE%20-%20Compilacion%20Estadistica%202003-2023.pdf" TargetMode="External" Id="rId1324"/><Relationship Type="http://schemas.openxmlformats.org/officeDocument/2006/relationships/hyperlink" Target="https://www.ande.gov.py/finanzas/2.%20COMPILACION%20ESTADISTICA%202003-2023/ANDE%20-%20Compilacion%20Estadistica%202003-2023.pdf" TargetMode="External" Id="rId1325"/><Relationship Type="http://schemas.openxmlformats.org/officeDocument/2006/relationships/hyperlink" Target="https://www.ande.gov.py/finanzas/2.%20COMPILACION%20ESTADISTICA%202003-2023/ANDE%20-%20Compilacion%20Estadistica%202003-2023.pdf" TargetMode="External" Id="rId1326"/><Relationship Type="http://schemas.openxmlformats.org/officeDocument/2006/relationships/hyperlink" Target="https://www.ande.gov.py/finanzas/2.%20COMPILACION%20ESTADISTICA%202003-2023/ANDE%20-%20Compilacion%20Estadistica%202003-2023.pdf" TargetMode="External" Id="rId1327"/><Relationship Type="http://schemas.openxmlformats.org/officeDocument/2006/relationships/hyperlink" Target="https://www.ande.gov.py/finanzas/2.%20COMPILACION%20ESTADISTICA%202003-2023/ANDE%20-%20Compilacion%20Estadistica%202003-2023.pdf" TargetMode="External" Id="rId1328"/><Relationship Type="http://schemas.openxmlformats.org/officeDocument/2006/relationships/hyperlink" Target="https://www.ande.gov.py/finanzas/2.%20COMPILACION%20ESTADISTICA%202003-2023/ANDE%20-%20Compilacion%20Estadistica%202003-2023.pdf" TargetMode="External" Id="rId1329"/><Relationship Type="http://schemas.openxmlformats.org/officeDocument/2006/relationships/hyperlink" Target="https://www.ande.gov.py/finanzas/2.%20COMPILACION%20ESTADISTICA%202003-2023/ANDE%20-%20Compilacion%20Estadistica%202003-2023.pdf" TargetMode="External" Id="rId1330"/><Relationship Type="http://schemas.openxmlformats.org/officeDocument/2006/relationships/hyperlink" Target="https://www.ande.gov.py/finanzas/2.%20COMPILACION%20ESTADISTICA%202003-2023/ANDE%20-%20Compilacion%20Estadistica%202003-2023.pdf" TargetMode="External" Id="rId1331"/><Relationship Type="http://schemas.openxmlformats.org/officeDocument/2006/relationships/hyperlink" Target="https://www.ande.gov.py/finanzas/2.%20COMPILACION%20ESTADISTICA%202003-2023/ANDE%20-%20Compilacion%20Estadistica%202003-2023.pdf" TargetMode="External" Id="rId1332"/><Relationship Type="http://schemas.openxmlformats.org/officeDocument/2006/relationships/hyperlink" Target="https://www.ande.gov.py/finanzas/2.%20COMPILACION%20ESTADISTICA%202003-2023/ANDE%20-%20Compilacion%20Estadistica%202003-2023.pdf" TargetMode="External" Id="rId1333"/><Relationship Type="http://schemas.openxmlformats.org/officeDocument/2006/relationships/hyperlink" Target="https://www.ande.gov.py/finanzas/2.%20COMPILACION%20ESTADISTICA%202003-2023/ANDE%20-%20Compilacion%20Estadistica%202003-2023.pdf" TargetMode="External" Id="rId1334"/><Relationship Type="http://schemas.openxmlformats.org/officeDocument/2006/relationships/hyperlink" Target="https://www.ande.gov.py/finanzas/2.%20COMPILACION%20ESTADISTICA%202003-2023/ANDE%20-%20Compilacion%20Estadistica%202003-2023.pdf" TargetMode="External" Id="rId1335"/><Relationship Type="http://schemas.openxmlformats.org/officeDocument/2006/relationships/hyperlink" Target="https://www.ande.gov.py/finanzas/2.%20COMPILACION%20ESTADISTICA%202003-2023/ANDE%20-%20Compilacion%20Estadistica%202003-2023.pdf" TargetMode="External" Id="rId1336"/><Relationship Type="http://schemas.openxmlformats.org/officeDocument/2006/relationships/hyperlink" Target="https://www.ande.gov.py/finanzas/2.%20COMPILACION%20ESTADISTICA%202003-2023/ANDE%20-%20Compilacion%20Estadistica%202003-2023.pdf" TargetMode="External" Id="rId1337"/><Relationship Type="http://schemas.openxmlformats.org/officeDocument/2006/relationships/hyperlink" Target="https://www.ande.gov.py/finanzas/2.%20COMPILACION%20ESTADISTICA%202003-2023/ANDE%20-%20Compilacion%20Estadistica%202003-2023.pdf" TargetMode="External" Id="rId1338"/><Relationship Type="http://schemas.openxmlformats.org/officeDocument/2006/relationships/hyperlink" Target="https://www.ande.gov.py/finanzas/2.%20COMPILACION%20ESTADISTICA%202003-2023/ANDE%20-%20Compilacion%20Estadistica%202003-2023.pdf" TargetMode="External" Id="rId1339"/><Relationship Type="http://schemas.openxmlformats.org/officeDocument/2006/relationships/hyperlink" Target="https://www.ande.gov.py/finanzas/2.%20COMPILACION%20ESTADISTICA%202003-2023/ANDE%20-%20Compilacion%20Estadistica%202003-2023.pdf" TargetMode="External" Id="rId1340"/><Relationship Type="http://schemas.openxmlformats.org/officeDocument/2006/relationships/hyperlink" Target="https://www.ande.gov.py/finanzas/2.%20COMPILACION%20ESTADISTICA%202003-2023/ANDE%20-%20Compilacion%20Estadistica%202003-2023.pdf" TargetMode="External" Id="rId1341"/><Relationship Type="http://schemas.openxmlformats.org/officeDocument/2006/relationships/hyperlink" Target="https://www.ande.gov.py/finanzas/2.%20COMPILACION%20ESTADISTICA%202003-2023/ANDE%20-%20Compilacion%20Estadistica%202003-2023.pdf" TargetMode="External" Id="rId1342"/><Relationship Type="http://schemas.openxmlformats.org/officeDocument/2006/relationships/hyperlink" Target="https://www.ande.gov.py/finanzas/2.%20COMPILACION%20ESTADISTICA%202003-2023/ANDE%20-%20Compilacion%20Estadistica%202003-2023.pdf" TargetMode="External" Id="rId1343"/><Relationship Type="http://schemas.openxmlformats.org/officeDocument/2006/relationships/hyperlink" Target="https://www.ande.gov.py/finanzas/2.%20COMPILACION%20ESTADISTICA%202003-2023/ANDE%20-%20Compilacion%20Estadistica%202003-2023.pdf" TargetMode="External" Id="rId1344"/><Relationship Type="http://schemas.openxmlformats.org/officeDocument/2006/relationships/hyperlink" Target="https://www.ande.gov.py/finanzas/2.%20COMPILACION%20ESTADISTICA%202003-2023/ANDE%20-%20Compilacion%20Estadistica%202003-2023.pdf" TargetMode="External" Id="rId1345"/><Relationship Type="http://schemas.openxmlformats.org/officeDocument/2006/relationships/hyperlink" Target="https://www.ande.gov.py/finanzas/2.%20COMPILACION%20ESTADISTICA%202003-2023/ANDE%20-%20Compilacion%20Estadistica%202003-2023.pdf" TargetMode="External" Id="rId1346"/><Relationship Type="http://schemas.openxmlformats.org/officeDocument/2006/relationships/hyperlink" Target="https://www.ande.gov.py/finanzas/2.%20COMPILACION%20ESTADISTICA%202003-2023/ANDE%20-%20Compilacion%20Estadistica%202003-2023.pdf" TargetMode="External" Id="rId1347"/><Relationship Type="http://schemas.openxmlformats.org/officeDocument/2006/relationships/hyperlink" Target="https://www.ande.gov.py/finanzas/2.%20COMPILACION%20ESTADISTICA%202003-2023/ANDE%20-%20Compilacion%20Estadistica%202003-2023.pdf" TargetMode="External" Id="rId1348"/><Relationship Type="http://schemas.openxmlformats.org/officeDocument/2006/relationships/hyperlink" Target="https://www.ande.gov.py/finanzas/2.%20COMPILACION%20ESTADISTICA%202003-2023/ANDE%20-%20Compilacion%20Estadistica%202003-2023.pdf" TargetMode="External" Id="rId1349"/><Relationship Type="http://schemas.openxmlformats.org/officeDocument/2006/relationships/hyperlink" Target="https://www.ande.gov.py/finanzas/2.%20COMPILACION%20ESTADISTICA%202003-2023/ANDE%20-%20Compilacion%20Estadistica%202003-2023.pdf" TargetMode="External" Id="rId1350"/><Relationship Type="http://schemas.openxmlformats.org/officeDocument/2006/relationships/hyperlink" Target="https://www.ande.gov.py/finanzas/2.%20COMPILACION%20ESTADISTICA%202003-2023/ANDE%20-%20Compilacion%20Estadistica%202003-2023.pdf" TargetMode="External" Id="rId1351"/><Relationship Type="http://schemas.openxmlformats.org/officeDocument/2006/relationships/hyperlink" Target="https://www.ande.gov.py/finanzas/2.%20COMPILACION%20ESTADISTICA%202003-2023/ANDE%20-%20Compilacion%20Estadistica%202003-2023.pdf" TargetMode="External" Id="rId1352"/><Relationship Type="http://schemas.openxmlformats.org/officeDocument/2006/relationships/hyperlink" Target="https://www.ande.gov.py/finanzas/ANDE%20-%20Resumen%20Estad%C3%ADstico%202020%20-%202024.pdf" TargetMode="External" Id="rId1353"/><Relationship Type="http://schemas.openxmlformats.org/officeDocument/2006/relationships/hyperlink" Target="https://www.ande.gov.py/finanzas/BAGP%202025%20ANDE.pdf" TargetMode="External" Id="rId1354"/><Relationship Type="http://schemas.openxmlformats.org/officeDocument/2006/relationships/hyperlink" Target="https://www.ande.gov.py/estadisticas/BalanceEnergia1983-2006/CompilacionEstadistica83-06.pdf" TargetMode="External" Id="rId1355"/><Relationship Type="http://schemas.openxmlformats.org/officeDocument/2006/relationships/hyperlink" Target="https://www.ande.gov.py/estadisticas/BalanceEnergia1983-2006/CompilacionEstadistica83-06.pdf" TargetMode="External" Id="rId1356"/><Relationship Type="http://schemas.openxmlformats.org/officeDocument/2006/relationships/hyperlink" Target="https://www.ande.gov.py/estadisticas/BalanceEnergia1983-2006/CompilacionEstadistica83-06.pdf" TargetMode="External" Id="rId1357"/><Relationship Type="http://schemas.openxmlformats.org/officeDocument/2006/relationships/hyperlink" Target="https://www.ande.gov.py/estadisticas/BalanceEnergia1983-2006/CompilacionEstadistica83-06.pdf" TargetMode="External" Id="rId1358"/><Relationship Type="http://schemas.openxmlformats.org/officeDocument/2006/relationships/hyperlink" Target="https://www.ande.gov.py/estadisticas/BalanceEnergia1983-2006/CompilacionEstadistica83-06.pdf" TargetMode="External" Id="rId1359"/><Relationship Type="http://schemas.openxmlformats.org/officeDocument/2006/relationships/hyperlink" Target="https://www.ande.gov.py/estadisticas/BalanceEnergia1983-2006/CompilacionEstadistica83-06.pdf" TargetMode="External" Id="rId1360"/><Relationship Type="http://schemas.openxmlformats.org/officeDocument/2006/relationships/hyperlink" Target="https://www.ande.gov.py/estadisticas/BalanceEnergia1983-2006/CompilacionEstadistica83-06.pdf" TargetMode="External" Id="rId1361"/><Relationship Type="http://schemas.openxmlformats.org/officeDocument/2006/relationships/hyperlink" Target="https://www.ande.gov.py/estadisticas/BalanceEnergia1983-2006/CompilacionEstadistica83-06.pdf" TargetMode="External" Id="rId1362"/><Relationship Type="http://schemas.openxmlformats.org/officeDocument/2006/relationships/hyperlink" Target="https://www.ande.gov.py/estadisticas/BalanceEnergia1983-2006/CompilacionEstadistica83-06.pdf" TargetMode="External" Id="rId1363"/><Relationship Type="http://schemas.openxmlformats.org/officeDocument/2006/relationships/hyperlink" Target="https://www.ande.gov.py/estadisticas/BalanceEnergia1983-2006/CompilacionEstadistica83-06.pdf" TargetMode="External" Id="rId1364"/><Relationship Type="http://schemas.openxmlformats.org/officeDocument/2006/relationships/hyperlink" Target="https://www.ande.gov.py/estadisticas/BalanceEnergia1983-2006/CompilacionEstadistica83-06.pdf" TargetMode="External" Id="rId1365"/><Relationship Type="http://schemas.openxmlformats.org/officeDocument/2006/relationships/hyperlink" Target="https://www.ande.gov.py/estadisticas/BalanceEnergia1983-2006/CompilacionEstadistica83-06.pdf" TargetMode="External" Id="rId1366"/><Relationship Type="http://schemas.openxmlformats.org/officeDocument/2006/relationships/hyperlink" Target="https://www.ande.gov.py/estadisticas/BalanceEnergia1983-2006/CompilacionEstadistica83-06.pdf" TargetMode="External" Id="rId1367"/><Relationship Type="http://schemas.openxmlformats.org/officeDocument/2006/relationships/hyperlink" Target="https://www.ande.gov.py/estadisticas/BalanceEnergia1983-2006/CompilacionEstadistica83-06.pdf" TargetMode="External" Id="rId1368"/><Relationship Type="http://schemas.openxmlformats.org/officeDocument/2006/relationships/hyperlink" Target="https://www.ande.gov.py/estadisticas/BalanceEnergia1983-2006/CompilacionEstadistica83-06.pdf" TargetMode="External" Id="rId1369"/><Relationship Type="http://schemas.openxmlformats.org/officeDocument/2006/relationships/hyperlink" Target="https://www.ande.gov.py/estadisticas/BalanceEnergia1983-2006/CompilacionEstadistica83-06.pdf" TargetMode="External" Id="rId1370"/><Relationship Type="http://schemas.openxmlformats.org/officeDocument/2006/relationships/hyperlink" Target="https://www.ande.gov.py/estadisticas/BalanceEnergia1983-2006/CompilacionEstadistica83-06.pdf" TargetMode="External" Id="rId1371"/><Relationship Type="http://schemas.openxmlformats.org/officeDocument/2006/relationships/hyperlink" Target="https://www.ande.gov.py/estadisticas/BalanceEnergia1983-2006/CompilacionEstadistica83-06.pdf" TargetMode="External" Id="rId1372"/><Relationship Type="http://schemas.openxmlformats.org/officeDocument/2006/relationships/hyperlink" Target="https://www.ande.gov.py/estadisticas/BalanceEnergia1983-2006/CompilacionEstadistica83-06.pdf" TargetMode="External" Id="rId1373"/><Relationship Type="http://schemas.openxmlformats.org/officeDocument/2006/relationships/hyperlink" Target="https://www.ande.gov.py/estadisticas/BalanceEnergia1983-2006/CompilacionEstadistica83-06.pdf" TargetMode="External" Id="rId1374"/><Relationship Type="http://schemas.openxmlformats.org/officeDocument/2006/relationships/hyperlink" Target="https://www.ande.gov.py/estadisticas/BalanceEnergia1983-2006/CompilacionEstadistica83-06.pdf" TargetMode="External" Id="rId1375"/><Relationship Type="http://schemas.openxmlformats.org/officeDocument/2006/relationships/hyperlink" Target="https://www.ande.gov.py/estadisticas/BalanceEnergia1983-2006/CompilacionEstadistica83-06.pdf" TargetMode="External" Id="rId1376"/><Relationship Type="http://schemas.openxmlformats.org/officeDocument/2006/relationships/hyperlink" Target="https://www.ande.gov.py/estadisticas/BalanceEnergia1983-2006/CompilacionEstadistica83-06.pdf" TargetMode="External" Id="rId1377"/><Relationship Type="http://schemas.openxmlformats.org/officeDocument/2006/relationships/hyperlink" Target="https://www.ande.gov.py/estadisticas/BalanceEnergia1983-2006/CompilacionEstadistica83-06.pdf" TargetMode="External" Id="rId1378"/><Relationship Type="http://schemas.openxmlformats.org/officeDocument/2006/relationships/hyperlink" Target="https://www.ande.gov.py/estadisticas/BalanceEnergia1983-2006/CompilacionEstadistica83-06.pdf" TargetMode="External" Id="rId1379"/><Relationship Type="http://schemas.openxmlformats.org/officeDocument/2006/relationships/hyperlink" Target="https://www.ande.gov.py/estadisticas/BalanceEnergia1983-2006/CompilacionEstadistica83-06.pdf" TargetMode="External" Id="rId1380"/><Relationship Type="http://schemas.openxmlformats.org/officeDocument/2006/relationships/hyperlink" Target="https://www.ande.gov.py/estadisticas/BalanceEnergia1983-2006/CompilacionEstadistica83-06.pdf" TargetMode="External" Id="rId1381"/><Relationship Type="http://schemas.openxmlformats.org/officeDocument/2006/relationships/hyperlink" Target="https://www.ande.gov.py/estadisticas/BalanceEnergia1983-2006/CompilacionEstadistica83-06.pdf" TargetMode="External" Id="rId1382"/><Relationship Type="http://schemas.openxmlformats.org/officeDocument/2006/relationships/hyperlink" Target="https://www.ande.gov.py/estadisticas/BalanceEnergia1983-2006/CompilacionEstadistica83-06.pdf" TargetMode="External" Id="rId1383"/><Relationship Type="http://schemas.openxmlformats.org/officeDocument/2006/relationships/hyperlink" Target="https://www.ande.gov.py/estadisticas/BalanceEnergia1983-2006/CompilacionEstadistica83-06.pdf" TargetMode="External" Id="rId1384"/><Relationship Type="http://schemas.openxmlformats.org/officeDocument/2006/relationships/hyperlink" Target="https://www.ande.gov.py/estadisticas/BalanceEnergia1983-2006/CompilacionEstadistica83-06.pdf" TargetMode="External" Id="rId1385"/><Relationship Type="http://schemas.openxmlformats.org/officeDocument/2006/relationships/hyperlink" Target="https://www.ande.gov.py/estadisticas/BalanceEnergia1983-2006/CompilacionEstadistica83-06.pdf" TargetMode="External" Id="rId1386"/><Relationship Type="http://schemas.openxmlformats.org/officeDocument/2006/relationships/hyperlink" Target="https://www.ande.gov.py/estadisticas/BalanceEnergia1983-2006/CompilacionEstadistica83-06.pdf" TargetMode="External" Id="rId1387"/><Relationship Type="http://schemas.openxmlformats.org/officeDocument/2006/relationships/hyperlink" Target="https://www.ande.gov.py/estadisticas/BalanceEnergia1983-2006/CompilacionEstadistica83-06.pdf" TargetMode="External" Id="rId1388"/><Relationship Type="http://schemas.openxmlformats.org/officeDocument/2006/relationships/hyperlink" Target="https://www.ande.gov.py/estadisticas/BalanceEnergia1983-2006/CompilacionEstadistica83-06.pdf" TargetMode="External" Id="rId1389"/><Relationship Type="http://schemas.openxmlformats.org/officeDocument/2006/relationships/hyperlink" Target="https://www.ande.gov.py/estadisticas/BalanceEnergia1983-2006/CompilacionEstadistica83-06.pdf" TargetMode="External" Id="rId1390"/><Relationship Type="http://schemas.openxmlformats.org/officeDocument/2006/relationships/hyperlink" Target="https://www.ande.gov.py/estadisticas/BalanceEnergia1983-2006/CompilacionEstadistica83-06.pdf" TargetMode="External" Id="rId1391"/><Relationship Type="http://schemas.openxmlformats.org/officeDocument/2006/relationships/hyperlink" Target="https://www.ande.gov.py/estadisticas/BalanceEnergia1983-2006/CompilacionEstadistica83-06.pdf" TargetMode="External" Id="rId1392"/><Relationship Type="http://schemas.openxmlformats.org/officeDocument/2006/relationships/hyperlink" Target="https://www.ande.gov.py/estadisticas/BalanceEnergia1983-2006/CompilacionEstadistica83-06.pdf" TargetMode="External" Id="rId1393"/><Relationship Type="http://schemas.openxmlformats.org/officeDocument/2006/relationships/hyperlink" Target="https://www.ande.gov.py/estadisticas/BalanceEnergia1983-2006/CompilacionEstadistica83-06.pdf" TargetMode="External" Id="rId1394"/><Relationship Type="http://schemas.openxmlformats.org/officeDocument/2006/relationships/hyperlink" Target="https://www.ande.gov.py/estadisticas/BalanceEnergia1983-2006/CompilacionEstadistica83-06.pdf" TargetMode="External" Id="rId1395"/><Relationship Type="http://schemas.openxmlformats.org/officeDocument/2006/relationships/hyperlink" Target="https://www.ande.gov.py/estadisticas/BalanceEnergia1983-2006/CompilacionEstadistica83-06.pdf" TargetMode="External" Id="rId1396"/><Relationship Type="http://schemas.openxmlformats.org/officeDocument/2006/relationships/hyperlink" Target="https://www.ande.gov.py/estadisticas/BalanceEnergia1983-2006/CompilacionEstadistica83-06.pdf" TargetMode="External" Id="rId1397"/><Relationship Type="http://schemas.openxmlformats.org/officeDocument/2006/relationships/hyperlink" Target="https://www.ande.gov.py/estadisticas/BalanceEnergia1983-2006/CompilacionEstadistica83-06.pdf" TargetMode="External" Id="rId1398"/><Relationship Type="http://schemas.openxmlformats.org/officeDocument/2006/relationships/hyperlink" Target="https://www.ande.gov.py/estadisticas/BalanceEnergia1983-2006/CompilacionEstadistica83-06.pdf" TargetMode="External" Id="rId1399"/><Relationship Type="http://schemas.openxmlformats.org/officeDocument/2006/relationships/hyperlink" Target="https://www.ande.gov.py/estadisticas/BalanceEnergia1983-2006/CompilacionEstadistica83-06.pdf" TargetMode="External" Id="rId1400"/><Relationship Type="http://schemas.openxmlformats.org/officeDocument/2006/relationships/hyperlink" Target="https://www.itaipu.gov.py/sites/default/files/af_df/Memoria%20Anual%202002.pdf" TargetMode="External" Id="rId1401"/><Relationship Type="http://schemas.openxmlformats.org/officeDocument/2006/relationships/hyperlink" Target="https://www.itaipu.gov.py/sites/default/files/af_df/Memoria%20Anual%202002.pdf" TargetMode="External" Id="rId1402"/><Relationship Type="http://schemas.openxmlformats.org/officeDocument/2006/relationships/hyperlink" Target="https://www.itaipu.gov.py/sites/default/files/af_df/Memoria%20Anual%202002.pdf" TargetMode="External" Id="rId1403"/><Relationship Type="http://schemas.openxmlformats.org/officeDocument/2006/relationships/hyperlink" Target="https://www.itaipu.gov.py/sites/default/files/af_df/Memoria%20Anual%202002.pdf" TargetMode="External" Id="rId1404"/><Relationship Type="http://schemas.openxmlformats.org/officeDocument/2006/relationships/hyperlink" Target="https://www.itaipu.gov.py/sites/default/files/af_df/Memoria%20Anual%202002.pdf" TargetMode="External" Id="rId1405"/><Relationship Type="http://schemas.openxmlformats.org/officeDocument/2006/relationships/hyperlink" Target="https://www.itaipu.gov.py/sites/default/files/af_df/Memoria%20Anual%202002.pdf" TargetMode="External" Id="rId1406"/><Relationship Type="http://schemas.openxmlformats.org/officeDocument/2006/relationships/hyperlink" Target="https://www.itaipu.gov.py/sites/default/files/af_df/Memoria%20Anual%202002.pdf" TargetMode="External" Id="rId1407"/><Relationship Type="http://schemas.openxmlformats.org/officeDocument/2006/relationships/hyperlink" Target="https://www.itaipu.gov.py/sites/default/files/af_df/Memoria%20Anual%202002.pdf" TargetMode="External" Id="rId1408"/><Relationship Type="http://schemas.openxmlformats.org/officeDocument/2006/relationships/hyperlink" Target="https://www.itaipu.gov.py/sites/default/files/af_df/Memoria%20Anual%202002.pdf" TargetMode="External" Id="rId1409"/><Relationship Type="http://schemas.openxmlformats.org/officeDocument/2006/relationships/hyperlink" Target="https://www.itaipu.gov.py/sites/default/files/af_df/Memoria%20Anual%202002.pdf" TargetMode="External" Id="rId1410"/><Relationship Type="http://schemas.openxmlformats.org/officeDocument/2006/relationships/hyperlink" Target="https://www.itaipu.gov.py/sites/default/files/af_df/Memoria%20Anual%202002.pdf" TargetMode="External" Id="rId1411"/><Relationship Type="http://schemas.openxmlformats.org/officeDocument/2006/relationships/hyperlink" Target="https://www.itaipu.gov.py/sites/default/files/af_df/Memoria%20Anual%202002.pdf" TargetMode="External" Id="rId1412"/><Relationship Type="http://schemas.openxmlformats.org/officeDocument/2006/relationships/hyperlink" Target="https://www.itaipu.gov.py/sites/default/files/af_df/Memoria%20Anual%202002.pdf" TargetMode="External" Id="rId1413"/><Relationship Type="http://schemas.openxmlformats.org/officeDocument/2006/relationships/hyperlink" Target="https://www.itaipu.gov.py/sites/default/files/af_df/Memoria%20Anual%202002.pdf" TargetMode="External" Id="rId1414"/><Relationship Type="http://schemas.openxmlformats.org/officeDocument/2006/relationships/hyperlink" Target="https://www.itaipu.gov.py/sites/default/files/af_df/Memoria%20Anual%202002.pdf" TargetMode="External" Id="rId1415"/><Relationship Type="http://schemas.openxmlformats.org/officeDocument/2006/relationships/hyperlink" Target="https://www.itaipu.gov.py/sites/default/files/af_df/Memoria%20Anual%202002.pdf" TargetMode="External" Id="rId1416"/><Relationship Type="http://schemas.openxmlformats.org/officeDocument/2006/relationships/hyperlink" Target="https://www.itaipu.gov.py/sites/default/files/af_df/Memoria%20Anual%202002.pdf" TargetMode="External" Id="rId1417"/><Relationship Type="http://schemas.openxmlformats.org/officeDocument/2006/relationships/hyperlink" Target="https://www.itaipu.gov.py/sites/default/files/af_df/Memoria%20Anual%202002.pdf" TargetMode="External" Id="rId1418"/><Relationship Type="http://schemas.openxmlformats.org/officeDocument/2006/relationships/hyperlink" Target="https://www.itaipu.gov.py/sites/default/files/af_df/Memoria%20Anual%202002.pdf" TargetMode="External" Id="rId1419"/><Relationship Type="http://schemas.openxmlformats.org/officeDocument/2006/relationships/hyperlink" Target="https://www.itaipu.gov.py/" TargetMode="External" Id="rId1420"/><Relationship Type="http://schemas.openxmlformats.org/officeDocument/2006/relationships/hyperlink" Target="https://www.itaipu.gov.py/" TargetMode="External" Id="rId1421"/><Relationship Type="http://schemas.openxmlformats.org/officeDocument/2006/relationships/hyperlink" Target="https://www.itaipu.gov.py/" TargetMode="External" Id="rId1422"/><Relationship Type="http://schemas.openxmlformats.org/officeDocument/2006/relationships/hyperlink" Target="https://www.itaipu.gov.py/" TargetMode="External" Id="rId1423"/><Relationship Type="http://schemas.openxmlformats.org/officeDocument/2006/relationships/hyperlink" Target="https://www.itaipu.gov.py/" TargetMode="External" Id="rId1424"/><Relationship Type="http://schemas.openxmlformats.org/officeDocument/2006/relationships/hyperlink" Target="https://www.itaipu.gov.py/" TargetMode="External" Id="rId1425"/><Relationship Type="http://schemas.openxmlformats.org/officeDocument/2006/relationships/hyperlink" Target="https://www.itaipu.gov.py/" TargetMode="External" Id="rId1426"/><Relationship Type="http://schemas.openxmlformats.org/officeDocument/2006/relationships/hyperlink" Target="https://www.itaipu.gov.py/" TargetMode="External" Id="rId1427"/><Relationship Type="http://schemas.openxmlformats.org/officeDocument/2006/relationships/hyperlink" Target="https://www.itaipu.gov.py/" TargetMode="External" Id="rId1428"/><Relationship Type="http://schemas.openxmlformats.org/officeDocument/2006/relationships/hyperlink" Target="https://www.itaipu.gov.py/noticias/institucional/itaipu-produjo-en-2016-un-total-de-103-098-366-de-mwh-y-usd-100-millones-adicionales-para-el-paraguay" TargetMode="External" Id="rId1429"/><Relationship Type="http://schemas.openxmlformats.org/officeDocument/2006/relationships/hyperlink" Target="https://www.itaipu.gov.py/sites/default/files/u62/Memoria%20Anual%20Itaipu%202023_Espa%C3%B1ol_internet.pdf" TargetMode="External" Id="rId1430"/><Relationship Type="http://schemas.openxmlformats.org/officeDocument/2006/relationships/hyperlink" Target="https://www.itaipu.gov.py/sites/default/files/u62/Memoria%20Anual%20Itaipu%202023_Espa%C3%B1ol_internet.pdf" TargetMode="External" Id="rId1431"/><Relationship Type="http://schemas.openxmlformats.org/officeDocument/2006/relationships/hyperlink" Target="https://www.itaipu.gov.py/sites/default/files/u62/Memoria%20Anual%20Itaipu%202023_Espa%C3%B1ol_internet.pdf" TargetMode="External" Id="rId1432"/><Relationship Type="http://schemas.openxmlformats.org/officeDocument/2006/relationships/hyperlink" Target="https://www.itaipu.gov.py/sites/default/files/u62/Memoria%20Anual%20Itaipu%202023_Espa%C3%B1ol_internet.pdf" TargetMode="External" Id="rId1433"/><Relationship Type="http://schemas.openxmlformats.org/officeDocument/2006/relationships/hyperlink" Target="https://www.itaipu.gov.py/sites/default/files/u62/Memoria%20Anual%20Itaipu%202023_Espa%C3%B1ol_internet.pdf" TargetMode="External" Id="rId1434"/><Relationship Type="http://schemas.openxmlformats.org/officeDocument/2006/relationships/hyperlink" Target="https://www.itaipu.gov.py/sites/default/files/u62/Memoria%20Anual%20Itaipu%202023_Espa%C3%B1ol_internet.pdf" TargetMode="External" Id="rId1435"/><Relationship Type="http://schemas.openxmlformats.org/officeDocument/2006/relationships/hyperlink" Target="https://www.itaipu.gov.py/sites/default/files/u62/Memoria%20Anual%20Itaipu%202023_Espa%C3%B1ol_internet.pdf" TargetMode="External" Id="rId1436"/><Relationship Type="http://schemas.openxmlformats.org/officeDocument/2006/relationships/hyperlink" Target="https://www.itaipu.gov.py/sites/default/files/u62/Memoria%20Anual%20Itaipu%202023_Espa%C3%B1ol_internet.pdf" TargetMode="External" Id="rId1437"/><Relationship Type="http://schemas.openxmlformats.org/officeDocument/2006/relationships/hyperlink" Target="https://www.itaipu.gov.py/sites/default/files/u62/Memoria%20Anual%20Itaipu%202023_Espa%C3%B1ol_internet.pdf" TargetMode="External" Id="rId1438"/><Relationship Type="http://schemas.openxmlformats.org/officeDocument/2006/relationships/hyperlink" Target="https://www.itaipu.gov.py/sites/default/files/u62/Memoria%20Anual%20Itaipu%202023_Espa%C3%B1ol_internet.pdf" TargetMode="External" Id="rId1439"/><Relationship Type="http://schemas.openxmlformats.org/officeDocument/2006/relationships/hyperlink" Target="https://www.itaipu.gov.py/sites/default/files/u62/Memoria%20Anual%20Itaipu%202023_Espa%C3%B1ol_internet.pdf" TargetMode="External" Id="rId1440"/><Relationship Type="http://schemas.openxmlformats.org/officeDocument/2006/relationships/hyperlink" Target="https://www.itaipu.gov.py/sites/default/files/u62/Memoria%20Anual%20Itaipu%202023_Espa%C3%B1ol_internet.pdf" TargetMode="External" Id="rId1441"/><Relationship Type="http://schemas.openxmlformats.org/officeDocument/2006/relationships/hyperlink" Target="https://www.itaipu.gov.py/sites/default/files/u62/Memoria%20Anual%20Itaipu%202023_Espa%C3%B1ol_internet.pdf" TargetMode="External" Id="rId1442"/><Relationship Type="http://schemas.openxmlformats.org/officeDocument/2006/relationships/hyperlink" Target="https://www.itaipu.gov.py/sites/default/files/u62/Memoria%20Anual%20Itaipu%202023_Espa%C3%B1ol_internet.pdf" TargetMode="External" Id="rId1443"/><Relationship Type="http://schemas.openxmlformats.org/officeDocument/2006/relationships/hyperlink" Target="https://www.itaipu.gov.py/sites/default/files/u62/Memoria%20Anual%20Itaipu%202023_Espa%C3%B1ol_internet.pdf" TargetMode="External" Id="rId1444"/><Relationship Type="http://schemas.openxmlformats.org/officeDocument/2006/relationships/hyperlink" Target="https://www.itaipu.gov.py/sites/default/files/u62/Memoria%20Anual%20Itaipu%202023_Espa%C3%B1ol_internet.pdf" TargetMode="External" Id="rId1445"/><Relationship Type="http://schemas.openxmlformats.org/officeDocument/2006/relationships/hyperlink" Target="https://www.itaipu.gov.py/sites/default/files/u62/Memoria%20Anual%20Itaipu%202023_Espa%C3%B1ol_internet.pdf" TargetMode="External" Id="rId1446"/><Relationship Type="http://schemas.openxmlformats.org/officeDocument/2006/relationships/hyperlink" Target="https://www.itaipu.gov.py/sites/default/files/u62/Memoria%20Anual%20Itaipu%202023_Espa%C3%B1ol_internet.pdf" TargetMode="External" Id="rId1447"/><Relationship Type="http://schemas.openxmlformats.org/officeDocument/2006/relationships/hyperlink" Target="https://www.itaipu.gov.py/sites/default/files/u62/Memoria%20Anual%20Itaipu%202023_Espa%C3%B1ol_internet.pdf" TargetMode="External" Id="rId1448"/><Relationship Type="http://schemas.openxmlformats.org/officeDocument/2006/relationships/hyperlink" Target="https://www.itaipu.gov.py/sites/default/files/u62/Memoria%20Anual%20Itaipu%202023_Espa%C3%B1ol_internet.pdf" TargetMode="External" Id="rId1449"/><Relationship Type="http://schemas.openxmlformats.org/officeDocument/2006/relationships/hyperlink" Target="https://www.itaipu.gov.py/sites/default/files/u62/Memoria%20Anual%20Itaipu%202023_Espa%C3%B1ol_internet.pdf" TargetMode="External" Id="rId1450"/><Relationship Type="http://schemas.openxmlformats.org/officeDocument/2006/relationships/hyperlink" Target="https://www.itaipu.gov.py/sites/default/files/u62/Memoria%20Anual%20Itaipu%202023_Espa%C3%B1ol_internet.pdf" TargetMode="External" Id="rId1451"/><Relationship Type="http://schemas.openxmlformats.org/officeDocument/2006/relationships/hyperlink" Target="https://www.itaipu.gov.py/sites/default/files/u62/Memoria%20Anual%20Itaipu%202023_Espa%C3%B1ol_internet.pdf" TargetMode="External" Id="rId1452"/><Relationship Type="http://schemas.openxmlformats.org/officeDocument/2006/relationships/hyperlink" Target="https://www.itaipu.gov.py/sites/default/files/u62/Memoria%20Anual%20Itaipu%202023_Espa%C3%B1ol_internet.pdf" TargetMode="External" Id="rId1453"/><Relationship Type="http://schemas.openxmlformats.org/officeDocument/2006/relationships/hyperlink" Target="https://www.itaipu.gov.py/sites/default/files/u62/Memoria%20Anual%20Itaipu%202023_Espa%C3%B1ol_internet.pdf" TargetMode="External" Id="rId1454"/><Relationship Type="http://schemas.openxmlformats.org/officeDocument/2006/relationships/hyperlink" Target="https://www.itaipu.gov.py/sites/default/files/u62/Memoria%20Anual%20Itaipu%202023_Espa%C3%B1ol_internet.pdf" TargetMode="External" Id="rId1455"/><Relationship Type="http://schemas.openxmlformats.org/officeDocument/2006/relationships/hyperlink" Target="https://www.itaipu.gov.py/sites/default/files/u62/Memoria%20Anual%20Itaipu%202023_Espa%C3%B1ol_internet.pdf" TargetMode="External" Id="rId1456"/><Relationship Type="http://schemas.openxmlformats.org/officeDocument/2006/relationships/hyperlink" Target="https://www.itaipu.gov.py/sites/default/files/u62/Memoria%20Anual%20Itaipu%202023_Espa%C3%B1ol_internet.pdf" TargetMode="External" Id="rId1457"/><Relationship Type="http://schemas.openxmlformats.org/officeDocument/2006/relationships/hyperlink" Target="https://www.abc.com.py/economia/2026/01/20/en-2025-pagaron-al-paraguay-us-15-por-cada-1000-kwh-que-cedio-al-brasil/" TargetMode="External" Id="rId1458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nde.gov.py/finanzas/2.%20COMPILACION%20ESTADISTICA%202003-2023/ANDE%20-%20Compilacion%20Estadistica%202003-2023.pdf" TargetMode="External" Id="rId1"/><Relationship Type="http://schemas.openxmlformats.org/officeDocument/2006/relationships/hyperlink" Target="https://www.ande.gov.py/finanzas/2.%20COMPILACION%20ESTADISTICA%202003-2023/ANDE%20-%20Compilacion%20Estadistica%202003-2023.pdf" TargetMode="External" Id="rId2"/><Relationship Type="http://schemas.openxmlformats.org/officeDocument/2006/relationships/hyperlink" Target="https://www.ande.gov.py/finanzas/2.%20COMPILACION%20ESTADISTICA%202003-2023/ANDE%20-%20Compilacion%20Estadistica%202003-2023.pdf" TargetMode="External" Id="rId3"/><Relationship Type="http://schemas.openxmlformats.org/officeDocument/2006/relationships/hyperlink" Target="https://www.ande.gov.py/finanzas/2.%20COMPILACION%20ESTADISTICA%202003-2023/ANDE%20-%20Compilacion%20Estadistica%202003-2023.pdf" TargetMode="External" Id="rId4"/><Relationship Type="http://schemas.openxmlformats.org/officeDocument/2006/relationships/hyperlink" Target="https://www.ande.gov.py/finanzas/2.%20COMPILACION%20ESTADISTICA%202003-2023/ANDE%20-%20Compilacion%20Estadistica%202003-2023.pdf" TargetMode="External" Id="rId5"/><Relationship Type="http://schemas.openxmlformats.org/officeDocument/2006/relationships/hyperlink" Target="https://www.ande.gov.py/finanzas/2.%20COMPILACION%20ESTADISTICA%202003-2023/ANDE%20-%20Compilacion%20Estadistica%202003-2023.pdf" TargetMode="External" Id="rId6"/><Relationship Type="http://schemas.openxmlformats.org/officeDocument/2006/relationships/hyperlink" Target="https://www.ande.gov.py/finanzas/2.%20COMPILACION%20ESTADISTICA%202003-2023/ANDE%20-%20Compilacion%20Estadistica%202003-2023.pdf" TargetMode="External" Id="rId7"/><Relationship Type="http://schemas.openxmlformats.org/officeDocument/2006/relationships/hyperlink" Target="https://www.ande.gov.py/finanzas/2.%20COMPILACION%20ESTADISTICA%202003-2023/ANDE%20-%20Compilacion%20Estadistica%202003-2023.pdf" TargetMode="External" Id="rId8"/><Relationship Type="http://schemas.openxmlformats.org/officeDocument/2006/relationships/hyperlink" Target="https://www.ande.gov.py/finanzas/2.%20COMPILACION%20ESTADISTICA%202003-2023/ANDE%20-%20Compilacion%20Estadistica%202003-2023.pdf" TargetMode="External" Id="rId9"/><Relationship Type="http://schemas.openxmlformats.org/officeDocument/2006/relationships/hyperlink" Target="https://www.ande.gov.py/finanzas/2.%20COMPILACION%20ESTADISTICA%202003-2023/ANDE%20-%20Compilacion%20Estadistica%202003-2023.pdf" TargetMode="External" Id="rId10"/><Relationship Type="http://schemas.openxmlformats.org/officeDocument/2006/relationships/hyperlink" Target="https://www.ande.gov.py/finanzas/2.%20COMPILACION%20ESTADISTICA%202003-2023/ANDE%20-%20Compilacion%20Estadistica%202003-2023.pdf" TargetMode="External" Id="rId11"/><Relationship Type="http://schemas.openxmlformats.org/officeDocument/2006/relationships/hyperlink" Target="https://www.ande.gov.py/finanzas/2.%20COMPILACION%20ESTADISTICA%202003-2023/ANDE%20-%20Compilacion%20Estadistica%202003-2023.pdf" TargetMode="External" Id="rId12"/><Relationship Type="http://schemas.openxmlformats.org/officeDocument/2006/relationships/hyperlink" Target="https://www.ande.gov.py/finanzas/2.%20COMPILACION%20ESTADISTICA%202003-2023/ANDE%20-%20Compilacion%20Estadistica%202003-2023.pdf" TargetMode="External" Id="rId13"/><Relationship Type="http://schemas.openxmlformats.org/officeDocument/2006/relationships/hyperlink" Target="https://www.ande.gov.py/finanzas/2.%20COMPILACION%20ESTADISTICA%202003-2023/ANDE%20-%20Compilacion%20Estadistica%202003-2023.pdf" TargetMode="External" Id="rId14"/><Relationship Type="http://schemas.openxmlformats.org/officeDocument/2006/relationships/hyperlink" Target="https://www.ande.gov.py/finanzas/2.%20COMPILACION%20ESTADISTICA%202003-2023/ANDE%20-%20Compilacion%20Estadistica%202003-2023.pdf" TargetMode="External" Id="rId15"/><Relationship Type="http://schemas.openxmlformats.org/officeDocument/2006/relationships/hyperlink" Target="https://www.ande.gov.py/finanzas/2.%20COMPILACION%20ESTADISTICA%202003-2023/ANDE%20-%20Compilacion%20Estadistica%202003-2023.pdf" TargetMode="External" Id="rId16"/><Relationship Type="http://schemas.openxmlformats.org/officeDocument/2006/relationships/hyperlink" Target="https://www.ande.gov.py/finanzas/2.%20COMPILACION%20ESTADISTICA%202003-2023/ANDE%20-%20Compilacion%20Estadistica%202003-2023.pdf" TargetMode="External" Id="rId17"/><Relationship Type="http://schemas.openxmlformats.org/officeDocument/2006/relationships/hyperlink" Target="https://www.ande.gov.py/finanzas/2.%20COMPILACION%20ESTADISTICA%202003-2023/ANDE%20-%20Compilacion%20Estadistica%202003-2023.pdf" TargetMode="External" Id="rId18"/><Relationship Type="http://schemas.openxmlformats.org/officeDocument/2006/relationships/hyperlink" Target="https://www.ande.gov.py/finanzas/2.%20COMPILACION%20ESTADISTICA%202003-2023/ANDE%20-%20Compilacion%20Estadistica%202003-2023.pdf" TargetMode="External" Id="rId19"/><Relationship Type="http://schemas.openxmlformats.org/officeDocument/2006/relationships/hyperlink" Target="https://www.ande.gov.py/finanzas/2.%20COMPILACION%20ESTADISTICA%202003-2023/ANDE%20-%20Compilacion%20Estadistica%202003-2023.pdf" TargetMode="External" Id="rId20"/><Relationship Type="http://schemas.openxmlformats.org/officeDocument/2006/relationships/hyperlink" Target="https://www.ande.gov.py/finanzas/2.%20COMPILACION%20ESTADISTICA%202003-2023/ANDE%20-%20Compilacion%20Estadistica%202003-2023.pdf" TargetMode="External" Id="rId21"/><Relationship Type="http://schemas.openxmlformats.org/officeDocument/2006/relationships/hyperlink" Target="https://www.ande.gov.py/finanzas/2.%20COMPILACION%20ESTADISTICA%202003-2023/ANDE%20-%20Compilacion%20Estadistica%202003-2023.pdf" TargetMode="External" Id="rId22"/><Relationship Type="http://schemas.openxmlformats.org/officeDocument/2006/relationships/hyperlink" Target="https://www.ande.gov.py/finanzas/2.%20COMPILACION%20ESTADISTICA%202003-2023/ANDE%20-%20Compilacion%20Estadistica%202003-2023.pdf" TargetMode="External" Id="rId23"/><Relationship Type="http://schemas.openxmlformats.org/officeDocument/2006/relationships/hyperlink" Target="https://www.ande.gov.py/finanzas/2.%20COMPILACION%20ESTADISTICA%202003-2023/ANDE%20-%20Compilacion%20Estadistica%202003-2023.pdf" TargetMode="External" Id="rId24"/><Relationship Type="http://schemas.openxmlformats.org/officeDocument/2006/relationships/hyperlink" Target="https://www.ande.gov.py/finanzas/2.%20COMPILACION%20ESTADISTICA%202003-2023/ANDE%20-%20Compilacion%20Estadistica%202003-2023.pdf" TargetMode="External" Id="rId25"/><Relationship Type="http://schemas.openxmlformats.org/officeDocument/2006/relationships/hyperlink" Target="https://www.ande.gov.py/finanzas/2.%20COMPILACION%20ESTADISTICA%202003-2023/ANDE%20-%20Compilacion%20Estadistica%202003-2023.pdf" TargetMode="External" Id="rId26"/><Relationship Type="http://schemas.openxmlformats.org/officeDocument/2006/relationships/hyperlink" Target="https://www.ande.gov.py/finanzas/2.%20COMPILACION%20ESTADISTICA%202003-2023/ANDE%20-%20Compilacion%20Estadistica%202003-2023.pdf" TargetMode="External" Id="rId27"/><Relationship Type="http://schemas.openxmlformats.org/officeDocument/2006/relationships/hyperlink" Target="https://www.ande.gov.py/finanzas/2.%20COMPILACION%20ESTADISTICA%202003-2023/ANDE%20-%20Compilacion%20Estadistica%202003-2023.pdf" TargetMode="External" Id="rId28"/><Relationship Type="http://schemas.openxmlformats.org/officeDocument/2006/relationships/hyperlink" Target="https://www.ande.gov.py/finanzas/2.%20COMPILACION%20ESTADISTICA%202003-2023/ANDE%20-%20Compilacion%20Estadistica%202003-2023.pdf" TargetMode="External" Id="rId29"/><Relationship Type="http://schemas.openxmlformats.org/officeDocument/2006/relationships/hyperlink" Target="https://www.ande.gov.py/finanzas/2.%20COMPILACION%20ESTADISTICA%202003-2023/ANDE%20-%20Compilacion%20Estadistica%202003-2023.pdf" TargetMode="External" Id="rId30"/><Relationship Type="http://schemas.openxmlformats.org/officeDocument/2006/relationships/hyperlink" Target="https://www.ande.gov.py/finanzas/2.%20COMPILACION%20ESTADISTICA%202003-2023/ANDE%20-%20Compilacion%20Estadistica%202003-2023.pdf" TargetMode="External" Id="rId31"/><Relationship Type="http://schemas.openxmlformats.org/officeDocument/2006/relationships/hyperlink" Target="https://www.ande.gov.py/finanzas/2.%20COMPILACION%20ESTADISTICA%202003-2023/ANDE%20-%20Compilacion%20Estadistica%202003-2023.pdf" TargetMode="External" Id="rId32"/><Relationship Type="http://schemas.openxmlformats.org/officeDocument/2006/relationships/hyperlink" Target="https://www.ande.gov.py/finanzas/2.%20COMPILACION%20ESTADISTICA%202003-2023/ANDE%20-%20Compilacion%20Estadistica%202003-2023.pdf" TargetMode="External" Id="rId33"/><Relationship Type="http://schemas.openxmlformats.org/officeDocument/2006/relationships/hyperlink" Target="https://www.ande.gov.py/finanzas/2.%20COMPILACION%20ESTADISTICA%202003-2023/ANDE%20-%20Compilacion%20Estadistica%202003-2023.pdf" TargetMode="External" Id="rId34"/><Relationship Type="http://schemas.openxmlformats.org/officeDocument/2006/relationships/hyperlink" Target="https://www.ande.gov.py/finanzas/2.%20COMPILACION%20ESTADISTICA%202003-2023/ANDE%20-%20Compilacion%20Estadistica%202003-2023.pdf" TargetMode="External" Id="rId35"/><Relationship Type="http://schemas.openxmlformats.org/officeDocument/2006/relationships/hyperlink" Target="https://www.ande.gov.py/finanzas/2.%20COMPILACION%20ESTADISTICA%202003-2023/ANDE%20-%20Compilacion%20Estadistica%202003-2023.pdf" TargetMode="External" Id="rId36"/><Relationship Type="http://schemas.openxmlformats.org/officeDocument/2006/relationships/hyperlink" Target="https://www.ande.gov.py/finanzas/2.%20COMPILACION%20ESTADISTICA%202003-2023/ANDE%20-%20Compilacion%20Estadistica%202003-2023.pdf" TargetMode="External" Id="rId37"/><Relationship Type="http://schemas.openxmlformats.org/officeDocument/2006/relationships/hyperlink" Target="https://www.ande.gov.py/finanzas/2.%20COMPILACION%20ESTADISTICA%202003-2023/ANDE%20-%20Compilacion%20Estadistica%202003-2023.pdf" TargetMode="External" Id="rId38"/><Relationship Type="http://schemas.openxmlformats.org/officeDocument/2006/relationships/hyperlink" Target="https://www.ande.gov.py/finanzas/2.%20COMPILACION%20ESTADISTICA%202003-2023/ANDE%20-%20Compilacion%20Estadistica%202003-2023.pdf" TargetMode="External" Id="rId39"/><Relationship Type="http://schemas.openxmlformats.org/officeDocument/2006/relationships/hyperlink" Target="https://www.ande.gov.py/finanzas/2.%20COMPILACION%20ESTADISTICA%202003-2023/ANDE%20-%20Compilacion%20Estadistica%202003-2023.pdf" TargetMode="External" Id="rId40"/><Relationship Type="http://schemas.openxmlformats.org/officeDocument/2006/relationships/hyperlink" Target="https://www.ande.gov.py/finanzas/2.%20COMPILACION%20ESTADISTICA%202003-2023/ANDE%20-%20Compilacion%20Estadistica%202003-2023.pdf" TargetMode="External" Id="rId41"/><Relationship Type="http://schemas.openxmlformats.org/officeDocument/2006/relationships/hyperlink" Target="https://www.ande.gov.py/finanzas/2.%20COMPILACION%20ESTADISTICA%202003-2023/ANDE%20-%20Compilacion%20Estadistica%202003-2023.pdf" TargetMode="External" Id="rId42"/><Relationship Type="http://schemas.openxmlformats.org/officeDocument/2006/relationships/hyperlink" Target="https://www.ande.gov.py/finanzas/ANDE%20-%20Resumen%20Estad%C3%ADstico%202020%20-%202024.pdf" TargetMode="External" Id="rId43"/><Relationship Type="http://schemas.openxmlformats.org/officeDocument/2006/relationships/hyperlink" Target="https://www.ande.gov.py/finanzas/ANDE%20-%20Resumen%20Estad%C3%ADstico%202020%20-%202024.pdf" TargetMode="External" Id="rId44"/><Relationship Type="http://schemas.openxmlformats.org/officeDocument/2006/relationships/hyperlink" Target="https://www.ande.gov.py/finanzas/ANDE%20-%20Resumen%20Estad%C3%ADstico%202020%20-%202024.pdf" TargetMode="External" Id="rId45"/><Relationship Type="http://schemas.openxmlformats.org/officeDocument/2006/relationships/hyperlink" Target="https://www.ande.gov.py/finanzas/BAGP%202025%20ANDE.pdf" TargetMode="External" Id="rId46"/><Relationship Type="http://schemas.openxmlformats.org/officeDocument/2006/relationships/hyperlink" Target="https://www.ande.gov.py/finanzas/BAGP%202025%20ANDE.pdf" TargetMode="External" Id="rId47"/><Relationship Type="http://schemas.openxmlformats.org/officeDocument/2006/relationships/hyperlink" Target="https://www.ande.gov.py/finanzas/BAGP%202025%20ANDE.pdf" TargetMode="External" Id="rId48"/><Relationship Type="http://schemas.openxmlformats.org/officeDocument/2006/relationships/hyperlink" Target="https://www.ande.gov.py/finanzas/ANDE%20-%20Resumen%20Estad%C3%ADstico%202020%20-%202024.pdf" TargetMode="External" Id="rId49"/><Relationship Type="http://schemas.openxmlformats.org/officeDocument/2006/relationships/hyperlink" Target="https://www.ande.gov.py/finanzas/ANDE%20-%20Resumen%20Estad%C3%ADstico%202020%20-%202024.pdf" TargetMode="External" Id="rId50"/><Relationship Type="http://schemas.openxmlformats.org/officeDocument/2006/relationships/hyperlink" Target="https://www.ande.gov.py/finanzas/ANDE%20-%20Resumen%20Estad%C3%ADstico%202020%20-%202024.pdf" TargetMode="External" Id="rId51"/><Relationship Type="http://schemas.openxmlformats.org/officeDocument/2006/relationships/hyperlink" Target="https://www.ande.gov.py/finanzas/ANDE%20-%20Resumen%20Estad%C3%ADstico%202020%20-%202024.pdf" TargetMode="External" Id="rId52"/><Relationship Type="http://schemas.openxmlformats.org/officeDocument/2006/relationships/hyperlink" Target="https://www.ande.gov.py/finanzas/ANDE%20-%20Resumen%20Estad%C3%ADstico%202020%20-%202024.pdf" TargetMode="External" Id="rId53"/><Relationship Type="http://schemas.openxmlformats.org/officeDocument/2006/relationships/hyperlink" Target="https://www.ande.gov.py/finanzas/ANDE%20-%20Resumen%20Estad%C3%ADstico%202020%20-%202024.pdf" TargetMode="External" Id="rId54"/><Relationship Type="http://schemas.openxmlformats.org/officeDocument/2006/relationships/hyperlink" Target="https://www.ande.gov.py/finanzas/ANDE%20-%20Resumen%20Estad%C3%ADstico%202020%20-%202024.pdf" TargetMode="External" Id="rId55"/><Relationship Type="http://schemas.openxmlformats.org/officeDocument/2006/relationships/hyperlink" Target="https://www.ande.gov.py/finanzas/ANDE%20-%20Resumen%20Estad%C3%ADstico%202020%20-%202024.pdf" TargetMode="External" Id="rId56"/><Relationship Type="http://schemas.openxmlformats.org/officeDocument/2006/relationships/hyperlink" Target="https://www.ande.gov.py/finanzas/ANDE%20-%20Resumen%20Estad%C3%ADstico%202020%20-%202024.pdf" TargetMode="External" Id="rId57"/><Relationship Type="http://schemas.openxmlformats.org/officeDocument/2006/relationships/hyperlink" Target="https://www.ande.gov.py/finanzas/ANDE%20-%20Resumen%20Estad%C3%ADstico%202020%20-%202024.pdf" TargetMode="External" Id="rId58"/><Relationship Type="http://schemas.openxmlformats.org/officeDocument/2006/relationships/hyperlink" Target="https://www.ande.gov.py/finanzas/ANDE%20-%20Resumen%20Estad%C3%ADstico%202020%20-%202024.pdf" TargetMode="External" Id="rId59"/><Relationship Type="http://schemas.openxmlformats.org/officeDocument/2006/relationships/hyperlink" Target="https://www.ande.gov.py/finanzas/ANDE%20-%20Resumen%20Estad%C3%ADstico%202020%20-%202024.pdf" TargetMode="External" Id="rId60"/><Relationship Type="http://schemas.openxmlformats.org/officeDocument/2006/relationships/hyperlink" Target="https://www.ande.gov.py/finanzas/ANDE%20-%20Resumen%20Estad%C3%ADstico%202020%20-%202024.pdf" TargetMode="External" Id="rId61"/><Relationship Type="http://schemas.openxmlformats.org/officeDocument/2006/relationships/hyperlink" Target="https://www.ande.gov.py/finanzas/ANDE%20-%20Resumen%20Estad%C3%ADstico%202020%20-%202024.pdf" TargetMode="External" Id="rId62"/><Relationship Type="http://schemas.openxmlformats.org/officeDocument/2006/relationships/hyperlink" Target="https://www.ande.gov.py/finanzas/ANDE%20-%20Resumen%20Estad%C3%ADstico%202020%20-%202024.pdf" TargetMode="External" Id="rId63"/><Relationship Type="http://schemas.openxmlformats.org/officeDocument/2006/relationships/hyperlink" Target="https://www.ande.gov.py/finanzas/ANDE%20-%20Resumen%20Estad%C3%ADstico%202020%20-%202024.pdf" TargetMode="External" Id="rId64"/><Relationship Type="http://schemas.openxmlformats.org/officeDocument/2006/relationships/hyperlink" Target="https://www.ande.gov.py/finanzas/ANDE%20-%20Resumen%20Estad%C3%ADstico%202020%20-%202024.pdf" TargetMode="External" Id="rId65"/><Relationship Type="http://schemas.openxmlformats.org/officeDocument/2006/relationships/hyperlink" Target="https://www.ande.gov.py/finanzas/ANDE%20-%20Resumen%20Estad%C3%ADstico%202020%20-%202024.pdf" TargetMode="External" Id="rId66"/><Relationship Type="http://schemas.openxmlformats.org/officeDocument/2006/relationships/hyperlink" Target="https://www.ande.gov.py/finanzas/ANDE%20-%20Resumen%20Estad%C3%ADstico%202020%20-%202024.pdf" TargetMode="External" Id="rId67"/><Relationship Type="http://schemas.openxmlformats.org/officeDocument/2006/relationships/hyperlink" Target="https://www.ande.gov.py/finanzas/ANDE%20-%20Resumen%20Estad%C3%ADstico%202020%20-%202024.pdf" TargetMode="External" Id="rId68"/><Relationship Type="http://schemas.openxmlformats.org/officeDocument/2006/relationships/hyperlink" Target="https://www.ande.gov.py/finanzas/ANDE%20-%20Resumen%20Estad%C3%ADstico%202020%20-%202024.pdf" TargetMode="External" Id="rId69"/><Relationship Type="http://schemas.openxmlformats.org/officeDocument/2006/relationships/hyperlink" Target="https://www.ande.gov.py/finanzas/ANDE%20-%20Resumen%20Estad%C3%ADstico%202020%20-%202024.pdf" TargetMode="External" Id="rId70"/><Relationship Type="http://schemas.openxmlformats.org/officeDocument/2006/relationships/hyperlink" Target="https://www.ande.gov.py/finanzas/ANDE%20-%20Resumen%20Estad%C3%ADstico%202020%20-%202024.pdf" TargetMode="External" Id="rId71"/><Relationship Type="http://schemas.openxmlformats.org/officeDocument/2006/relationships/hyperlink" Target="https://www.ande.gov.py/finanzas/ANDE%20-%20Resumen%20Estad%C3%ADstico%202020%20-%202024.pdf" TargetMode="External" Id="rId72"/><Relationship Type="http://schemas.openxmlformats.org/officeDocument/2006/relationships/hyperlink" Target="https://www.ande.gov.py/finanzas/ANDE%20-%20Resumen%20Estad%C3%ADstico%202020%20-%202024.pdf" TargetMode="External" Id="rId73"/><Relationship Type="http://schemas.openxmlformats.org/officeDocument/2006/relationships/hyperlink" Target="https://www.ande.gov.py/finanzas/ANDE%20-%20Resumen%20Estad%C3%ADstico%202020%20-%202024.pdf" TargetMode="External" Id="rId74"/><Relationship Type="http://schemas.openxmlformats.org/officeDocument/2006/relationships/hyperlink" Target="https://www.ande.gov.py/finanzas/ANDE%20-%20Resumen%20Estad%C3%ADstico%202020%20-%202024.pdf" TargetMode="External" Id="rId75"/><Relationship Type="http://schemas.openxmlformats.org/officeDocument/2006/relationships/hyperlink" Target="https://www.ande.gov.py/finanzas/ANDE%20-%20Resumen%20Estad%C3%ADstico%202020%20-%202024.pdf" TargetMode="External" Id="rId76"/><Relationship Type="http://schemas.openxmlformats.org/officeDocument/2006/relationships/hyperlink" Target="https://www.ande.gov.py/finanzas/ANDE%20-%20Resumen%20Estad%C3%ADstico%202020%20-%202024.pdf" TargetMode="External" Id="rId77"/><Relationship Type="http://schemas.openxmlformats.org/officeDocument/2006/relationships/hyperlink" Target="https://www.ande.gov.py/finanzas/ANDE%20-%20Resumen%20Estad%C3%ADstico%202020%20-%202024.pdf" TargetMode="External" Id="rId78"/><Relationship Type="http://schemas.openxmlformats.org/officeDocument/2006/relationships/hyperlink" Target="https://www.ande.gov.py/finanzas/ANDE%20-%20Resumen%20Estad%C3%ADstico%202020%20-%202024.pdf" TargetMode="External" Id="rId79"/><Relationship Type="http://schemas.openxmlformats.org/officeDocument/2006/relationships/hyperlink" Target="https://www.ande.gov.py/finanzas/ANDE%20-%20Resumen%20Estad%C3%ADstico%202020%20-%202024.pdf" TargetMode="External" Id="rId80"/><Relationship Type="http://schemas.openxmlformats.org/officeDocument/2006/relationships/hyperlink" Target="https://www.ande.gov.py/finanzas/ANDE%20-%20Resumen%20Estad%C3%ADstico%202020%20-%202024.pdf" TargetMode="External" Id="rId81"/><Relationship Type="http://schemas.openxmlformats.org/officeDocument/2006/relationships/hyperlink" Target="https://www.ande.gov.py/finanzas/ANDE%20-%20Resumen%20Estad%C3%ADstico%202020%20-%202024.pdf" TargetMode="External" Id="rId82"/><Relationship Type="http://schemas.openxmlformats.org/officeDocument/2006/relationships/hyperlink" Target="https://www.ande.gov.py/finanzas/ANDE%20-%20Resumen%20Estad%C3%ADstico%202020%20-%202024.pdf" TargetMode="External" Id="rId83"/><Relationship Type="http://schemas.openxmlformats.org/officeDocument/2006/relationships/hyperlink" Target="https://www.ande.gov.py/finanzas/ANDE%20-%20Resumen%20Estad%C3%ADstico%202020%20-%202024.pdf" TargetMode="External" Id="rId84"/><Relationship Type="http://schemas.openxmlformats.org/officeDocument/2006/relationships/hyperlink" Target="https://www.ande.gov.py/finanzas/ANDE%20-%20Resumen%20Estad%C3%ADstico%202020%20-%202024.pdf" TargetMode="External" Id="rId85"/><Relationship Type="http://schemas.openxmlformats.org/officeDocument/2006/relationships/hyperlink" Target="https://www.ande.gov.py/finanzas/ANDE%20-%20Resumen%20Estad%C3%ADstico%202020%20-%202024.pdf" TargetMode="External" Id="rId86"/><Relationship Type="http://schemas.openxmlformats.org/officeDocument/2006/relationships/hyperlink" Target="https://www.ande.gov.py/finanzas/ANDE%20-%20Resumen%20Estad%C3%ADstico%202020%20-%202024.pdf" TargetMode="External" Id="rId87"/><Relationship Type="http://schemas.openxmlformats.org/officeDocument/2006/relationships/hyperlink" Target="https://www.ande.gov.py/finanzas/ANDE%20-%20Resumen%20Estad%C3%ADstico%202020%20-%202024.pdf" TargetMode="External" Id="rId88"/><Relationship Type="http://schemas.openxmlformats.org/officeDocument/2006/relationships/hyperlink" Target="https://www.ande.gov.py/finanzas/ANDE%20-%20Resumen%20Estad%C3%ADstico%202020%20-%202024.pdf" TargetMode="External" Id="rId89"/><Relationship Type="http://schemas.openxmlformats.org/officeDocument/2006/relationships/hyperlink" Target="https://www.ande.gov.py/finanzas/ANDE%20-%20Resumen%20Estad%C3%ADstico%202020%20-%202024.pdf" TargetMode="External" Id="rId90"/><Relationship Type="http://schemas.openxmlformats.org/officeDocument/2006/relationships/hyperlink" Target="https://www.ande.gov.py/finanzas/ANDE%20-%20Resumen%20Estad%C3%ADstico%202020%20-%202024.pdf" TargetMode="External" Id="rId91"/><Relationship Type="http://schemas.openxmlformats.org/officeDocument/2006/relationships/hyperlink" Target="https://www.ande.gov.py/finanzas/ANDE%20-%20Resumen%20Estad%C3%ADstico%202020%20-%202024.pdf" TargetMode="External" Id="rId92"/><Relationship Type="http://schemas.openxmlformats.org/officeDocument/2006/relationships/hyperlink" Target="https://www.ande.gov.py/finanzas/ANDE%20-%20Resumen%20Estad%C3%ADstico%202020%20-%202024.pdf" TargetMode="External" Id="rId93"/><Relationship Type="http://schemas.openxmlformats.org/officeDocument/2006/relationships/hyperlink" Target="https://www.ande.gov.py/finanzas/ANDE%20-%20Resumen%20Estad%C3%ADstico%202020%20-%202024.pdf" TargetMode="External" Id="rId94"/><Relationship Type="http://schemas.openxmlformats.org/officeDocument/2006/relationships/hyperlink" Target="https://www.ande.gov.py/finanzas/ANDE%20-%20Resumen%20Estad%C3%ADstico%202020%20-%202024.pdf" TargetMode="External" Id="rId95"/><Relationship Type="http://schemas.openxmlformats.org/officeDocument/2006/relationships/hyperlink" Target="https://www.ande.gov.py/finanzas/ANDE%20-%20Resumen%20Estad%C3%ADstico%202020%20-%202024.pdf" TargetMode="External" Id="rId96"/><Relationship Type="http://schemas.openxmlformats.org/officeDocument/2006/relationships/hyperlink" Target="https://www.ande.gov.py/finanzas/ANDE%20-%20Resumen%20Estad%C3%ADstico%202020%20-%202024.pdf" TargetMode="External" Id="rId97"/><Relationship Type="http://schemas.openxmlformats.org/officeDocument/2006/relationships/hyperlink" Target="https://www.ande.gov.py/finanzas/BAGP%202025%20ANDE.pdf" TargetMode="External" Id="rId98"/><Relationship Type="http://schemas.openxmlformats.org/officeDocument/2006/relationships/hyperlink" Target="https://www.ande.gov.py/finanzas/BAGP%202025%20ANDE.pdf" TargetMode="External" Id="rId99"/><Relationship Type="http://schemas.openxmlformats.org/officeDocument/2006/relationships/hyperlink" Target="https://www.ande.gov.py/finanzas/BAGP%202025%20ANDE.pdf" TargetMode="External" Id="rId100"/><Relationship Type="http://schemas.openxmlformats.org/officeDocument/2006/relationships/hyperlink" Target="https://www.ande.gov.py/finanzas/BAGP%202025%20ANDE.pdf" TargetMode="External" Id="rId101"/><Relationship Type="http://schemas.openxmlformats.org/officeDocument/2006/relationships/hyperlink" Target="https://www.ande.gov.py/finanzas/BAGP%202025%20ANDE.pdf" TargetMode="External" Id="rId102"/><Relationship Type="http://schemas.openxmlformats.org/officeDocument/2006/relationships/hyperlink" Target="https://www.ande.gov.py/finanzas/BAGP%202025%20ANDE.pdf" TargetMode="External" Id="rId103"/><Relationship Type="http://schemas.openxmlformats.org/officeDocument/2006/relationships/hyperlink" Target="https://www.ande.gov.py/finanzas/BAGP%202025%20ANDE.pdf" TargetMode="External" Id="rId104"/><Relationship Type="http://schemas.openxmlformats.org/officeDocument/2006/relationships/hyperlink" Target="https://www.ande.gov.py/finanzas/BAGP%202025%20ANDE.pdf" TargetMode="External" Id="rId105"/><Relationship Type="http://schemas.openxmlformats.org/officeDocument/2006/relationships/hyperlink" Target="https://www.ande.gov.py/finanzas/BAGP%202025%20ANDE.pdf" TargetMode="External" Id="rId106"/><Relationship Type="http://schemas.openxmlformats.org/officeDocument/2006/relationships/hyperlink" Target="https://www.ande.gov.py/finanzas/BAGP%202025%20ANDE.pdf" TargetMode="External" Id="rId107"/><Relationship Type="http://schemas.openxmlformats.org/officeDocument/2006/relationships/hyperlink" Target="https://www.ande.gov.py/finanzas/BAGP%202025%20ANDE.pdf" TargetMode="External" Id="rId108"/><Relationship Type="http://schemas.openxmlformats.org/officeDocument/2006/relationships/hyperlink" Target="https://www.ande.gov.py/finanzas/BAGP%202025%20ANDE.pdf" TargetMode="External" Id="rId109"/><Relationship Type="http://schemas.openxmlformats.org/officeDocument/2006/relationships/hyperlink" Target="https://www.ande.gov.py/interna.php?id=14950" TargetMode="External" Id="rId110"/><Relationship Type="http://schemas.openxmlformats.org/officeDocument/2006/relationships/hyperlink" Target="https://www.ande.gov.py/interna.php?id=14950" TargetMode="External" Id="rId111"/><Relationship Type="http://schemas.openxmlformats.org/officeDocument/2006/relationships/hyperlink" Target="https://www.ande.gov.py/interna.php?id=14950" TargetMode="External" Id="rId112"/><Relationship Type="http://schemas.openxmlformats.org/officeDocument/2006/relationships/hyperlink" Target="https://www.ande.gov.py/interna.php?id=14950" TargetMode="External" Id="rId113"/><Relationship Type="http://schemas.openxmlformats.org/officeDocument/2006/relationships/hyperlink" Target="https://www.ande.gov.py/interna.php?id=14950" TargetMode="External" Id="rId114"/><Relationship Type="http://schemas.openxmlformats.org/officeDocument/2006/relationships/hyperlink" Target="https://www.ande.gov.py/interna.php?id=15049" TargetMode="External" Id="rId115"/><Relationship Type="http://schemas.openxmlformats.org/officeDocument/2006/relationships/hyperlink" Target="https://www.ande.gov.py/interna.php?id=15049" TargetMode="External" Id="rId116"/><Relationship Type="http://schemas.openxmlformats.org/officeDocument/2006/relationships/hyperlink" Target="https://www.ande.gov.py/interna.php?id=15049" TargetMode="External" Id="rId117"/><Relationship Type="http://schemas.openxmlformats.org/officeDocument/2006/relationships/hyperlink" Target="https://www.ande.gov.py/interna.php?id=15049" TargetMode="External" Id="rId118"/><Relationship Type="http://schemas.openxmlformats.org/officeDocument/2006/relationships/hyperlink" Target="https://www.ande.gov.py/interna.php?id=15049" TargetMode="External" Id="rId119"/><Relationship Type="http://schemas.openxmlformats.org/officeDocument/2006/relationships/hyperlink" Target="https://www.ande.gov.py/interna.php?id=15210" TargetMode="External" Id="rId120"/><Relationship Type="http://schemas.openxmlformats.org/officeDocument/2006/relationships/hyperlink" Target="https://www.ande.gov.py/interna.php?id=15210" TargetMode="External" Id="rId121"/><Relationship Type="http://schemas.openxmlformats.org/officeDocument/2006/relationships/hyperlink" Target="https://www.ande.gov.py/interna.php?id=15210" TargetMode="External" Id="rId122"/><Relationship Type="http://schemas.openxmlformats.org/officeDocument/2006/relationships/hyperlink" Target="https://www.ande.gov.py/interna.php?id=15210" TargetMode="External" Id="rId123"/><Relationship Type="http://schemas.openxmlformats.org/officeDocument/2006/relationships/hyperlink" Target="https://www.ande.gov.py/interna.php?id=15210" TargetMode="External" Id="rId124"/><Relationship Type="http://schemas.openxmlformats.org/officeDocument/2006/relationships/hyperlink" Target="https://www.ande.gov.py/interna.php?id=15297" TargetMode="External" Id="rId125"/><Relationship Type="http://schemas.openxmlformats.org/officeDocument/2006/relationships/hyperlink" Target="https://www.ande.gov.py/interna.php?id=15297" TargetMode="External" Id="rId126"/><Relationship Type="http://schemas.openxmlformats.org/officeDocument/2006/relationships/hyperlink" Target="https://www.ande.gov.py/interna.php?id=15297" TargetMode="External" Id="rId127"/><Relationship Type="http://schemas.openxmlformats.org/officeDocument/2006/relationships/hyperlink" Target="https://www.ande.gov.py/interna.php?id=15297" TargetMode="External" Id="rId128"/><Relationship Type="http://schemas.openxmlformats.org/officeDocument/2006/relationships/hyperlink" Target="https://www.ande.gov.py/interna.php?id=15297" TargetMode="External" Id="rId129"/><Relationship Type="http://schemas.openxmlformats.org/officeDocument/2006/relationships/hyperlink" Target="https://www.ande.gov.py/interna.php?id=15361" TargetMode="External" Id="rId130"/><Relationship Type="http://schemas.openxmlformats.org/officeDocument/2006/relationships/hyperlink" Target="https://www.ande.gov.py/interna.php?id=15361" TargetMode="External" Id="rId131"/><Relationship Type="http://schemas.openxmlformats.org/officeDocument/2006/relationships/hyperlink" Target="https://www.ande.gov.py/interna.php?id=15361" TargetMode="External" Id="rId132"/><Relationship Type="http://schemas.openxmlformats.org/officeDocument/2006/relationships/hyperlink" Target="https://www.ande.gov.py/interna.php?id=15361" TargetMode="External" Id="rId133"/><Relationship Type="http://schemas.openxmlformats.org/officeDocument/2006/relationships/hyperlink" Target="https://www.ande.gov.py/interna.php?id=15361" TargetMode="External" Id="rId134"/><Relationship Type="http://schemas.openxmlformats.org/officeDocument/2006/relationships/hyperlink" Target="https://www.ande.gov.py/interna.php?id=15297" TargetMode="External" Id="rId135"/><Relationship Type="http://schemas.openxmlformats.org/officeDocument/2006/relationships/hyperlink" Target="https://www.ande.gov.py/interna.php?id=15361" TargetMode="External" Id="rId136"/><Relationship Type="http://schemas.openxmlformats.org/officeDocument/2006/relationships/hyperlink" Target="https://www.ande.gov.py/interna.php?id=14173" TargetMode="External" Id="rId137"/><Relationship Type="http://schemas.openxmlformats.org/officeDocument/2006/relationships/hyperlink" Target="https://www.ande.gov.py/interna.php?id=14816" TargetMode="External" Id="rId138"/><Relationship Type="http://schemas.openxmlformats.org/officeDocument/2006/relationships/hyperlink" Target="https://www.ande.gov.py/interna.php?id=14816" TargetMode="External" Id="rId139"/><Relationship Type="http://schemas.openxmlformats.org/officeDocument/2006/relationships/hyperlink" Target="https://www.ande.gov.py/interna.php?id=14816" TargetMode="External" Id="rId140"/><Relationship Type="http://schemas.openxmlformats.org/officeDocument/2006/relationships/hyperlink" Target="https://www.ande.gov.py/interna.php?id=14816" TargetMode="External" Id="rId141"/><Relationship Type="http://schemas.openxmlformats.org/officeDocument/2006/relationships/hyperlink" Target="https://www.ande.gov.py/interna.php?id=14816" TargetMode="External" Id="rId142"/><Relationship Type="http://schemas.openxmlformats.org/officeDocument/2006/relationships/hyperlink" Target="https://www.ande.gov.py/interna.php?id=14950" TargetMode="External" Id="rId143"/><Relationship Type="http://schemas.openxmlformats.org/officeDocument/2006/relationships/hyperlink" Target="https://www.ande.gov.py/interna.php?id=14999" TargetMode="External" Id="rId144"/><Relationship Type="http://schemas.openxmlformats.org/officeDocument/2006/relationships/hyperlink" Target="https://www.ande.gov.py/interna.php?id=14999" TargetMode="External" Id="rId145"/><Relationship Type="http://schemas.openxmlformats.org/officeDocument/2006/relationships/hyperlink" Target="https://www.ande.gov.py/interna.php?id=14999" TargetMode="External" Id="rId146"/><Relationship Type="http://schemas.openxmlformats.org/officeDocument/2006/relationships/hyperlink" Target="https://www.ande.gov.py/interna.php?id=14999" TargetMode="External" Id="rId147"/><Relationship Type="http://schemas.openxmlformats.org/officeDocument/2006/relationships/hyperlink" Target="https://www.ande.gov.py/interna.php?id=14999" TargetMode="External" Id="rId148"/><Relationship Type="http://schemas.openxmlformats.org/officeDocument/2006/relationships/hyperlink" Target="https://www.ande.gov.py/interna.php?id=10223" TargetMode="External" Id="rId149"/><Relationship Type="http://schemas.openxmlformats.org/officeDocument/2006/relationships/hyperlink" Target="https://www.ande.gov.py/interna.php?id=10223" TargetMode="External" Id="rId150"/><Relationship Type="http://schemas.openxmlformats.org/officeDocument/2006/relationships/hyperlink" Target="https://www.ande.gov.py/interna.php?id=10223" TargetMode="External" Id="rId151"/><Relationship Type="http://schemas.openxmlformats.org/officeDocument/2006/relationships/hyperlink" Target="https://www.ande.gov.py/interna.php?id=10223" TargetMode="External" Id="rId152"/><Relationship Type="http://schemas.openxmlformats.org/officeDocument/2006/relationships/hyperlink" Target="https://www.eby.gov.py/wp-content/uploads/2019/12/YacyretaEnergiasMensualesDesdePuestaenMarcha.pdf" TargetMode="External" Id="rId153"/><Relationship Type="http://schemas.openxmlformats.org/officeDocument/2006/relationships/hyperlink" Target="https://www.eby.gov.py/wp-content/uploads/2019/12/YacyretaEnergiasMensualesDesdePuestaenMarcha.pdf" TargetMode="External" Id="rId154"/><Relationship Type="http://schemas.openxmlformats.org/officeDocument/2006/relationships/hyperlink" Target="https://www.eby.gov.py/wp-content/uploads/2019/12/YacyretaEnergiasMensualesDesdePuestaenMarcha.pdf" TargetMode="External" Id="rId155"/><Relationship Type="http://schemas.openxmlformats.org/officeDocument/2006/relationships/hyperlink" Target="https://www.eby.gov.py/wp-content/uploads/2019/12/YacyretaEnergiasMensualesDesdePuestaenMarcha.pdf" TargetMode="External" Id="rId156"/><Relationship Type="http://schemas.openxmlformats.org/officeDocument/2006/relationships/hyperlink" Target="https://www.eby.gov.py/wp-content/uploads/2019/12/YacyretaEnergiasMensualesDesdePuestaenMarcha.pdf" TargetMode="External" Id="rId157"/><Relationship Type="http://schemas.openxmlformats.org/officeDocument/2006/relationships/hyperlink" Target="https://www.eby.gov.py/wp-content/uploads/2019/12/YacyretaEnergiasMensualesDesdePuestaenMarcha.pdf" TargetMode="External" Id="rId158"/><Relationship Type="http://schemas.openxmlformats.org/officeDocument/2006/relationships/hyperlink" Target="https://www.eby.gov.py/wp-content/uploads/2019/12/YacyretaEnergiasMensualesDesdePuestaenMarcha.pdf" TargetMode="External" Id="rId159"/><Relationship Type="http://schemas.openxmlformats.org/officeDocument/2006/relationships/hyperlink" Target="https://www.eby.gov.py/wp-content/uploads/2019/12/YacyretaEnergiasMensualesDesdePuestaenMarcha.pdf" TargetMode="External" Id="rId160"/><Relationship Type="http://schemas.openxmlformats.org/officeDocument/2006/relationships/hyperlink" Target="https://www.eby.gov.py/wp-content/uploads/2019/12/YacyretaEnergiasMensualesDesdePuestaenMarcha.pdf" TargetMode="External" Id="rId161"/><Relationship Type="http://schemas.openxmlformats.org/officeDocument/2006/relationships/hyperlink" Target="https://www.eby.gov.py/wp-content/uploads/2019/12/YacyretaEnergiasMensualesDesdePuestaenMarcha.pdf" TargetMode="External" Id="rId162"/><Relationship Type="http://schemas.openxmlformats.org/officeDocument/2006/relationships/hyperlink" Target="https://www.eby.gov.py/wp-content/uploads/2019/12/YacyretaEnergiasMensualesDesdePuestaenMarcha.pdf" TargetMode="External" Id="rId163"/><Relationship Type="http://schemas.openxmlformats.org/officeDocument/2006/relationships/hyperlink" Target="https://www.eby.gov.py/wp-content/uploads/2019/12/YacyretaEnergiasMensualesDesdePuestaenMarcha.pdf" TargetMode="External" Id="rId164"/><Relationship Type="http://schemas.openxmlformats.org/officeDocument/2006/relationships/hyperlink" Target="https://www.eby.gov.py/wp-content/uploads/2019/12/YacyretaEnergiasMensualesDesdePuestaenMarcha.pdf" TargetMode="External" Id="rId165"/><Relationship Type="http://schemas.openxmlformats.org/officeDocument/2006/relationships/hyperlink" Target="https://www.eby.gov.py/wp-content/uploads/2019/12/YacyretaEnergiasMensualesDesdePuestaenMarcha.pdf" TargetMode="External" Id="rId166"/><Relationship Type="http://schemas.openxmlformats.org/officeDocument/2006/relationships/hyperlink" Target="https://www.eby.gov.py/wp-content/uploads/2019/12/YacyretaEnergiasMensualesDesdePuestaenMarcha.pdf" TargetMode="External" Id="rId167"/><Relationship Type="http://schemas.openxmlformats.org/officeDocument/2006/relationships/hyperlink" Target="https://www.eby.gov.py/wp-content/uploads/2019/12/YacyretaEnergiasMensualesDesdePuestaenMarcha.pdf" TargetMode="External" Id="rId168"/><Relationship Type="http://schemas.openxmlformats.org/officeDocument/2006/relationships/hyperlink" Target="https://www.eby.gov.py/wp-content/uploads/2019/12/YacyretaEnergiasMensualesDesdePuestaenMarcha.pdf" TargetMode="External" Id="rId169"/><Relationship Type="http://schemas.openxmlformats.org/officeDocument/2006/relationships/hyperlink" Target="https://www.eby.gov.py/wp-content/uploads/2019/12/YacyretaEnergiasMensualesDesdePuestaenMarcha.pdf" TargetMode="External" Id="rId170"/><Relationship Type="http://schemas.openxmlformats.org/officeDocument/2006/relationships/hyperlink" Target="https://www.eby.gov.py/wp-content/uploads/2019/12/YacyretaEnergiasMensualesDesdePuestaenMarcha.pdf" TargetMode="External" Id="rId171"/><Relationship Type="http://schemas.openxmlformats.org/officeDocument/2006/relationships/hyperlink" Target="https://www.eby.gov.py/wp-content/uploads/2019/12/YacyretaEnergiasMensualesDesdePuestaenMarcha.pdf" TargetMode="External" Id="rId172"/><Relationship Type="http://schemas.openxmlformats.org/officeDocument/2006/relationships/hyperlink" Target="https://www.eby.gov.py/wp-content/uploads/2019/12/YacyretaEnergiasMensualesDesdePuestaenMarcha.pdf" TargetMode="External" Id="rId173"/><Relationship Type="http://schemas.openxmlformats.org/officeDocument/2006/relationships/hyperlink" Target="https://www.eby.gov.py/wp-content/uploads/2019/12/YacyretaEnergiasMensualesDesdePuestaenMarcha.pdf" TargetMode="External" Id="rId174"/><Relationship Type="http://schemas.openxmlformats.org/officeDocument/2006/relationships/hyperlink" Target="https://www.eby.gov.py/wp-content/uploads/2019/12/YacyretaEnergiasMensualesDesdePuestaenMarcha.pdf" TargetMode="External" Id="rId175"/><Relationship Type="http://schemas.openxmlformats.org/officeDocument/2006/relationships/hyperlink" Target="https://www.eby.gov.py/wp-content/uploads/2019/12/YacyretaEnergiasMensualesDesdePuestaenMarcha.pdf" TargetMode="External" Id="rId176"/><Relationship Type="http://schemas.openxmlformats.org/officeDocument/2006/relationships/hyperlink" Target="https://www.eby.gov.py/wp-content/uploads/2019/12/YacyretaEnergiasMensualesDesdePuestaenMarcha.pdf" TargetMode="External" Id="rId177"/><Relationship Type="http://schemas.openxmlformats.org/officeDocument/2006/relationships/hyperlink" Target="https://www.eby.gov.py/wp-content/uploads/2019/12/YacyretaEnergiasMensualesDesdePuestaenMarcha.pdf" TargetMode="External" Id="rId178"/><Relationship Type="http://schemas.openxmlformats.org/officeDocument/2006/relationships/hyperlink" Target="https://www.eby.gov.py/wp-content/uploads/2019/12/YacyretaEnergiasMensualesDesdePuestaenMarcha.pdf" TargetMode="External" Id="rId179"/><Relationship Type="http://schemas.openxmlformats.org/officeDocument/2006/relationships/hyperlink" Target="https://www.eby.gov.py/wp-content/uploads/2019/12/YacyretaEnergiasMensualesDesdePuestaenMarcha.pdf" TargetMode="External" Id="rId180"/><Relationship Type="http://schemas.openxmlformats.org/officeDocument/2006/relationships/hyperlink" Target="https://www.eby.gov.py/wp-content/uploads/2019/12/YacyretaEnergiasMensualesDesdePuestaenMarcha.pdf" TargetMode="External" Id="rId181"/><Relationship Type="http://schemas.openxmlformats.org/officeDocument/2006/relationships/hyperlink" Target="https://www.eby.gov.py/wp-content/uploads/2019/12/YacyretaEnergiasMensualesDesdePuestaenMarcha.pdf" TargetMode="External" Id="rId182"/><Relationship Type="http://schemas.openxmlformats.org/officeDocument/2006/relationships/hyperlink" Target="https://www.eby.gov.py/wp-content/uploads/2019/12/YacyretaEnergiasMensualesDesdePuestaenMarcha.pdf" TargetMode="External" Id="rId183"/><Relationship Type="http://schemas.openxmlformats.org/officeDocument/2006/relationships/hyperlink" Target="https://www.eby.gov.py/wp-content/uploads/2019/12/YacyretaEnergiasMensualesDesdePuestaenMarcha.pdf" TargetMode="External" Id="rId184"/><Relationship Type="http://schemas.openxmlformats.org/officeDocument/2006/relationships/hyperlink" Target="https://www.eby.gov.py/wp-content/uploads/2019/12/YacyretaEnergiasMensualesDesdePuestaenMarcha.pdf" TargetMode="External" Id="rId185"/><Relationship Type="http://schemas.openxmlformats.org/officeDocument/2006/relationships/hyperlink" Target="https://www.eby.gov.py/wp-content/uploads/2019/12/YacyretaEnergiasMensualesDesdePuestaenMarcha.pdf" TargetMode="External" Id="rId186"/><Relationship Type="http://schemas.openxmlformats.org/officeDocument/2006/relationships/hyperlink" Target="https://www.eby.gov.py/wp-content/uploads/2019/12/YacyretaEnergiasMensualesDesdePuestaenMarcha.pdf" TargetMode="External" Id="rId187"/><Relationship Type="http://schemas.openxmlformats.org/officeDocument/2006/relationships/hyperlink" Target="https://www.eby.gov.py/wp-content/uploads/2019/12/YacyretaEnergiasMensualesDesdePuestaenMarcha.pdf" TargetMode="External" Id="rId188"/><Relationship Type="http://schemas.openxmlformats.org/officeDocument/2006/relationships/hyperlink" Target="https://www.eby.gov.py/wp-content/uploads/2019/12/YacyretaEnergiasMensualesDesdePuestaenMarcha.pdf" TargetMode="External" Id="rId189"/><Relationship Type="http://schemas.openxmlformats.org/officeDocument/2006/relationships/hyperlink" Target="https://www.eby.gov.py/wp-content/uploads/2019/12/YacyretaEnergiasMensualesDesdePuestaenMarcha.pdf" TargetMode="External" Id="rId190"/><Relationship Type="http://schemas.openxmlformats.org/officeDocument/2006/relationships/hyperlink" Target="https://www.eby.gov.py/wp-content/uploads/2019/12/YacyretaEnergiasMensualesDesdePuestaenMarcha.pdf" TargetMode="External" Id="rId191"/><Relationship Type="http://schemas.openxmlformats.org/officeDocument/2006/relationships/hyperlink" Target="https://www.eby.gov.py/wp-content/uploads/2019/12/YacyretaEnergiasMensualesDesdePuestaenMarcha.pdf" TargetMode="External" Id="rId192"/><Relationship Type="http://schemas.openxmlformats.org/officeDocument/2006/relationships/hyperlink" Target="https://www.eby.gov.py/wp-content/uploads/2019/12/YacyretaEnergiasMensualesDesdePuestaenMarcha.pdf" TargetMode="External" Id="rId193"/><Relationship Type="http://schemas.openxmlformats.org/officeDocument/2006/relationships/hyperlink" Target="https://www.eby.gov.py/wp-content/uploads/2019/12/YacyretaEnergiasMensualesDesdePuestaenMarcha.pdf" TargetMode="External" Id="rId194"/><Relationship Type="http://schemas.openxmlformats.org/officeDocument/2006/relationships/hyperlink" Target="https://www.eby.gov.py/wp-content/uploads/2019/12/YacyretaEnergiasMensualesDesdePuestaenMarcha.pdf" TargetMode="External" Id="rId195"/><Relationship Type="http://schemas.openxmlformats.org/officeDocument/2006/relationships/hyperlink" Target="https://www.eby.gov.py/wp-content/uploads/2019/12/YacyretaEnergiasMensualesDesdePuestaenMarcha.pdf" TargetMode="External" Id="rId196"/><Relationship Type="http://schemas.openxmlformats.org/officeDocument/2006/relationships/hyperlink" Target="https://www.eby.gov.py/wp-content/uploads/2019/12/YacyretaEnergiasMensualesDesdePuestaenMarcha.pdf" TargetMode="External" Id="rId197"/><Relationship Type="http://schemas.openxmlformats.org/officeDocument/2006/relationships/hyperlink" Target="https://www.eby.gov.py/wp-content/uploads/2019/12/YacyretaEnergiasMensualesDesdePuestaenMarcha.pdf" TargetMode="External" Id="rId198"/><Relationship Type="http://schemas.openxmlformats.org/officeDocument/2006/relationships/hyperlink" Target="https://www.eby.gov.py/wp-content/uploads/2019/12/YacyretaEnergiasMensualesDesdePuestaenMarcha.pdf" TargetMode="External" Id="rId199"/><Relationship Type="http://schemas.openxmlformats.org/officeDocument/2006/relationships/hyperlink" Target="https://www.eby.gov.py/wp-content/uploads/2019/12/YacyretaEnergiasMensualesDesdePuestaenMarcha.pdf" TargetMode="External" Id="rId200"/><Relationship Type="http://schemas.openxmlformats.org/officeDocument/2006/relationships/hyperlink" Target="https://www.eby.gov.py/wp-content/uploads/2019/12/YacyretaEnergiasMensualesDesdePuestaenMarcha.pdf" TargetMode="External" Id="rId201"/><Relationship Type="http://schemas.openxmlformats.org/officeDocument/2006/relationships/hyperlink" Target="https://www.eby.gov.py/wp-content/uploads/2019/12/YacyretaEnergiasMensualesDesdePuestaenMarcha.pdf" TargetMode="External" Id="rId202"/><Relationship Type="http://schemas.openxmlformats.org/officeDocument/2006/relationships/hyperlink" Target="https://www.eby.gov.py/wp-content/uploads/2019/12/YacyretaEnergiasMensualesDesdePuestaenMarcha.pdf" TargetMode="External" Id="rId203"/><Relationship Type="http://schemas.openxmlformats.org/officeDocument/2006/relationships/hyperlink" Target="https://www.eby.gov.py/wp-content/uploads/2019/12/YacyretaEnergiasMensualesDesdePuestaenMarcha.pdf" TargetMode="External" Id="rId204"/><Relationship Type="http://schemas.openxmlformats.org/officeDocument/2006/relationships/hyperlink" Target="https://www.eby.gov.py/wp-content/uploads/2019/12/YacyretaEnergiasMensualesDesdePuestaenMarcha.pdf" TargetMode="External" Id="rId205"/><Relationship Type="http://schemas.openxmlformats.org/officeDocument/2006/relationships/hyperlink" Target="https://www.eby.gov.py/wp-content/uploads/2019/12/YacyretaEnergiasMensualesDesdePuestaenMarcha.pdf" TargetMode="External" Id="rId206"/><Relationship Type="http://schemas.openxmlformats.org/officeDocument/2006/relationships/hyperlink" Target="https://www.eby.gov.py/wp-content/uploads/2019/12/YacyretaEnergiasMensualesDesdePuestaenMarcha.pdf" TargetMode="External" Id="rId207"/><Relationship Type="http://schemas.openxmlformats.org/officeDocument/2006/relationships/hyperlink" Target="https://www.eby.gov.py/wp-content/uploads/2019/12/YacyretaEnergiasMensualesDesdePuestaenMarcha.pdf" TargetMode="External" Id="rId208"/><Relationship Type="http://schemas.openxmlformats.org/officeDocument/2006/relationships/hyperlink" Target="https://www.eby.gov.py/wp-content/uploads/2019/12/YacyretaEnergiasMensualesDesdePuestaenMarcha.pdf" TargetMode="External" Id="rId209"/><Relationship Type="http://schemas.openxmlformats.org/officeDocument/2006/relationships/hyperlink" Target="https://www.eby.gov.py/wp-content/uploads/2019/12/YacyretaEnergiasMensualesDesdePuestaenMarcha.pdf" TargetMode="External" Id="rId210"/><Relationship Type="http://schemas.openxmlformats.org/officeDocument/2006/relationships/hyperlink" Target="https://www.eby.gov.py/wp-content/uploads/2019/12/YacyretaEnergiasMensualesDesdePuestaenMarcha.pdf" TargetMode="External" Id="rId211"/><Relationship Type="http://schemas.openxmlformats.org/officeDocument/2006/relationships/hyperlink" Target="https://www.eby.gov.py/wp-content/uploads/2019/12/YacyretaEnergiasMensualesDesdePuestaenMarcha.pdf" TargetMode="External" Id="rId212"/><Relationship Type="http://schemas.openxmlformats.org/officeDocument/2006/relationships/hyperlink" Target="https://www.eby.gov.py/wp-content/uploads/2019/12/YacyretaEnergiasMensualesDesdePuestaenMarcha.pdf" TargetMode="External" Id="rId213"/><Relationship Type="http://schemas.openxmlformats.org/officeDocument/2006/relationships/hyperlink" Target="https://www.eby.gov.py/wp-content/uploads/2019/12/YacyretaEnergiasMensualesDesdePuestaenMarcha.pdf" TargetMode="External" Id="rId214"/><Relationship Type="http://schemas.openxmlformats.org/officeDocument/2006/relationships/hyperlink" Target="https://www.eby.gov.py/wp-content/uploads/2019/12/YacyretaEnergiasMensualesDesdePuestaenMarcha.pdf" TargetMode="External" Id="rId215"/><Relationship Type="http://schemas.openxmlformats.org/officeDocument/2006/relationships/hyperlink" Target="https://www.eby.gov.py/wp-content/uploads/2019/12/YacyretaEnergiasMensualesDesdePuestaenMarcha.pdf" TargetMode="External" Id="rId216"/><Relationship Type="http://schemas.openxmlformats.org/officeDocument/2006/relationships/hyperlink" Target="https://www.eby.gov.py/wp-content/uploads/2019/12/YacyretaEnergiasMensualesDesdePuestaenMarcha.pdf" TargetMode="External" Id="rId217"/><Relationship Type="http://schemas.openxmlformats.org/officeDocument/2006/relationships/hyperlink" Target="https://www.eby.gov.py/wp-content/uploads/2019/12/YacyretaEnergiasMensualesDesdePuestaenMarcha.pdf" TargetMode="External" Id="rId218"/><Relationship Type="http://schemas.openxmlformats.org/officeDocument/2006/relationships/hyperlink" Target="https://www.eby.gov.py/wp-content/uploads/2019/12/YacyretaEnergiasMensualesDesdePuestaenMarcha.pdf" TargetMode="External" Id="rId219"/><Relationship Type="http://schemas.openxmlformats.org/officeDocument/2006/relationships/hyperlink" Target="https://www.eby.gov.py/wp-content/uploads/2019/12/YacyretaEnergiasMensualesDesdePuestaenMarcha.pdf" TargetMode="External" Id="rId220"/><Relationship Type="http://schemas.openxmlformats.org/officeDocument/2006/relationships/hyperlink" Target="https://www.eby.gov.py/wp-content/uploads/2019/12/YacyretaEnergiasMensualesDesdePuestaenMarcha.pdf" TargetMode="External" Id="rId221"/><Relationship Type="http://schemas.openxmlformats.org/officeDocument/2006/relationships/hyperlink" Target="https://www.eby.gov.py/wp-content/uploads/2019/12/YacyretaEnergiasMensualesDesdePuestaenMarcha.pdf" TargetMode="External" Id="rId222"/><Relationship Type="http://schemas.openxmlformats.org/officeDocument/2006/relationships/hyperlink" Target="https://www.eby.gov.py/wp-content/uploads/2019/12/YacyretaEnergiasMensualesDesdePuestaenMarcha.pdf" TargetMode="External" Id="rId223"/><Relationship Type="http://schemas.openxmlformats.org/officeDocument/2006/relationships/hyperlink" Target="https://www.eby.gov.py/wp-content/uploads/2019/12/YacyretaEnergiasMensualesDesdePuestaenMarcha.pdf" TargetMode="External" Id="rId224"/><Relationship Type="http://schemas.openxmlformats.org/officeDocument/2006/relationships/hyperlink" Target="https://www.eby.gov.py/wp-content/uploads/2019/12/YacyretaEnergiasMensualesDesdePuestaenMarcha.pdf" TargetMode="External" Id="rId225"/><Relationship Type="http://schemas.openxmlformats.org/officeDocument/2006/relationships/hyperlink" Target="https://www.eby.gov.py/wp-content/uploads/2019/12/YacyretaEnergiasMensualesDesdePuestaenMarcha.pdf" TargetMode="External" Id="rId226"/><Relationship Type="http://schemas.openxmlformats.org/officeDocument/2006/relationships/hyperlink" Target="https://www.eby.gov.py/wp-content/uploads/2019/12/YacyretaEnergiasMensualesDesdePuestaenMarcha.pdf" TargetMode="External" Id="rId227"/><Relationship Type="http://schemas.openxmlformats.org/officeDocument/2006/relationships/hyperlink" Target="https://www.eby.gov.py/wp-content/uploads/2019/12/YacyretaEnergiasMensualesDesdePuestaenMarcha.pdf" TargetMode="External" Id="rId228"/><Relationship Type="http://schemas.openxmlformats.org/officeDocument/2006/relationships/hyperlink" Target="https://www.eby.gov.py/wp-content/uploads/2019/12/YacyretaEnergiasMensualesDesdePuestaenMarcha.pdf" TargetMode="External" Id="rId229"/><Relationship Type="http://schemas.openxmlformats.org/officeDocument/2006/relationships/hyperlink" Target="https://www.eby.gov.py/wp-content/uploads/2019/12/YacyretaEnergiasMensualesDesdePuestaenMarcha.pdf" TargetMode="External" Id="rId230"/><Relationship Type="http://schemas.openxmlformats.org/officeDocument/2006/relationships/hyperlink" Target="https://www.eby.gov.py/wp-content/uploads/2019/12/YacyretaEnergiasMensualesDesdePuestaenMarcha.pdf" TargetMode="External" Id="rId231"/><Relationship Type="http://schemas.openxmlformats.org/officeDocument/2006/relationships/hyperlink" Target="https://www.eby.gov.py/wp-content/uploads/2019/12/YacyretaEnergiasMensualesDesdePuestaenMarcha.pdf" TargetMode="External" Id="rId232"/><Relationship Type="http://schemas.openxmlformats.org/officeDocument/2006/relationships/hyperlink" Target="https://www.eby.gov.py/wp-content/uploads/2019/12/YacyretaEnergiasMensualesDesdePuestaenMarcha.pdf" TargetMode="External" Id="rId233"/><Relationship Type="http://schemas.openxmlformats.org/officeDocument/2006/relationships/hyperlink" Target="https://www.eby.gov.py/wp-content/uploads/2019/12/YacyretaEnergiasMensualesDesdePuestaenMarcha.pdf" TargetMode="External" Id="rId234"/><Relationship Type="http://schemas.openxmlformats.org/officeDocument/2006/relationships/hyperlink" Target="https://www.eby.gov.py/wp-content/uploads/2019/12/YacyretaEnergiasMensualesDesdePuestaenMarcha.pdf" TargetMode="External" Id="rId235"/><Relationship Type="http://schemas.openxmlformats.org/officeDocument/2006/relationships/hyperlink" Target="https://www.eby.gov.py/wp-content/uploads/2019/12/YacyretaEnergiasMensualesDesdePuestaenMarcha.pdf" TargetMode="External" Id="rId236"/><Relationship Type="http://schemas.openxmlformats.org/officeDocument/2006/relationships/hyperlink" Target="https://www.eby.gov.py/wp-content/uploads/2019/12/YacyretaEnergiasMensualesDesdePuestaenMarcha.pdf" TargetMode="External" Id="rId237"/><Relationship Type="http://schemas.openxmlformats.org/officeDocument/2006/relationships/hyperlink" Target="https://www.eby.gov.py/wp-content/uploads/2019/12/YacyretaEnergiasMensualesDesdePuestaenMarcha.pdf" TargetMode="External" Id="rId238"/><Relationship Type="http://schemas.openxmlformats.org/officeDocument/2006/relationships/hyperlink" Target="https://www.eby.gov.py/wp-content/uploads/2019/12/YacyretaEnergiasMensualesDesdePuestaenMarcha.pdf" TargetMode="External" Id="rId239"/><Relationship Type="http://schemas.openxmlformats.org/officeDocument/2006/relationships/hyperlink" Target="https://www.eby.gov.py/wp-content/uploads/2019/12/YacyretaEnergiasMensualesDesdePuestaenMarcha.pdf" TargetMode="External" Id="rId240"/><Relationship Type="http://schemas.openxmlformats.org/officeDocument/2006/relationships/hyperlink" Target="https://www.eby.gov.py/wp-content/uploads/2019/12/YacyretaEnergiasMensualesDesdePuestaenMarcha.pdf" TargetMode="External" Id="rId241"/><Relationship Type="http://schemas.openxmlformats.org/officeDocument/2006/relationships/hyperlink" Target="https://www.eby.gov.py/wp-content/uploads/2019/12/YacyretaEnergiasMensualesDesdePuestaenMarcha.pdf" TargetMode="External" Id="rId242"/><Relationship Type="http://schemas.openxmlformats.org/officeDocument/2006/relationships/hyperlink" Target="https://www.eby.gov.py/wp-content/uploads/2019/12/YacyretaEnergiasMensualesDesdePuestaenMarcha.pdf" TargetMode="External" Id="rId243"/><Relationship Type="http://schemas.openxmlformats.org/officeDocument/2006/relationships/hyperlink" Target="https://www.eby.gov.py/wp-content/uploads/2019/12/YacyretaEnergiasMensualesDesdePuestaenMarcha.pdf" TargetMode="External" Id="rId244"/><Relationship Type="http://schemas.openxmlformats.org/officeDocument/2006/relationships/hyperlink" Target="https://www.eby.gov.py/wp-content/uploads/2019/12/YacyretaEnergiasMensualesDesdePuestaenMarcha.pdf" TargetMode="External" Id="rId245"/><Relationship Type="http://schemas.openxmlformats.org/officeDocument/2006/relationships/hyperlink" Target="https://www.eby.gov.py/wp-content/uploads/2019/12/YacyretaEnergiasMensualesDesdePuestaenMarcha.pdf" TargetMode="External" Id="rId246"/><Relationship Type="http://schemas.openxmlformats.org/officeDocument/2006/relationships/hyperlink" Target="https://www.eby.gov.py/wp-content/uploads/2019/12/YacyretaEnergiasMensualesDesdePuestaenMarcha.pdf" TargetMode="External" Id="rId247"/><Relationship Type="http://schemas.openxmlformats.org/officeDocument/2006/relationships/hyperlink" Target="https://www.eby.gov.py/wp-content/uploads/2019/12/YacyretaEnergiasMensualesDesdePuestaenMarcha.pdf" TargetMode="External" Id="rId248"/><Relationship Type="http://schemas.openxmlformats.org/officeDocument/2006/relationships/hyperlink" Target="https://www.eby.gov.py/wp-content/uploads/2019/12/YacyretaEnergiasMensualesDesdePuestaenMarcha.pdf" TargetMode="External" Id="rId249"/><Relationship Type="http://schemas.openxmlformats.org/officeDocument/2006/relationships/hyperlink" Target="https://www.eby.gov.py/wp-content/uploads/2019/12/YacyretaEnergiasMensualesDesdePuestaenMarcha.pdf" TargetMode="External" Id="rId250"/><Relationship Type="http://schemas.openxmlformats.org/officeDocument/2006/relationships/hyperlink" Target="https://www.eby.gov.py/wp-content/uploads/2019/12/YacyretaEnergiasMensualesDesdePuestaenMarcha.pdf" TargetMode="External" Id="rId251"/><Relationship Type="http://schemas.openxmlformats.org/officeDocument/2006/relationships/hyperlink" Target="https://www.eby.gov.py/wp-content/uploads/2019/12/YacyretaEnergiasMensualesDesdePuestaenMarcha.pdf" TargetMode="External" Id="rId252"/><Relationship Type="http://schemas.openxmlformats.org/officeDocument/2006/relationships/hyperlink" Target="https://www.eby.gov.py/wp-content/uploads/2019/12/YacyretaEnergiasMensualesDesdePuestaenMarcha.pdf" TargetMode="External" Id="rId253"/><Relationship Type="http://schemas.openxmlformats.org/officeDocument/2006/relationships/hyperlink" Target="https://www.eby.gov.py/wp-content/uploads/2019/12/YacyretaEnergiasMensualesDesdePuestaenMarcha.pdf" TargetMode="External" Id="rId254"/><Relationship Type="http://schemas.openxmlformats.org/officeDocument/2006/relationships/hyperlink" Target="https://www.eby.gov.py/wp-content/uploads/2019/12/YacyretaEnergiasMensualesDesdePuestaenMarcha.pdf" TargetMode="External" Id="rId255"/><Relationship Type="http://schemas.openxmlformats.org/officeDocument/2006/relationships/hyperlink" Target="https://www.eby.gov.py/wp-content/uploads/2019/12/YacyretaEnergiasMensualesDesdePuestaenMarcha.pdf" TargetMode="External" Id="rId256"/><Relationship Type="http://schemas.openxmlformats.org/officeDocument/2006/relationships/hyperlink" Target="https://www.eby.gov.py/wp-content/uploads/2019/12/YacyretaEnergiasMensualesDesdePuestaenMarcha.pdf" TargetMode="External" Id="rId257"/><Relationship Type="http://schemas.openxmlformats.org/officeDocument/2006/relationships/hyperlink" Target="https://www.eby.gov.py/wp-content/uploads/2019/12/YacyretaEnergiasMensualesDesdePuestaenMarcha.pdf" TargetMode="External" Id="rId258"/><Relationship Type="http://schemas.openxmlformats.org/officeDocument/2006/relationships/hyperlink" Target="https://www.eby.gov.py/wp-content/uploads/2019/12/YacyretaEnergiasMensualesDesdePuestaenMarcha.pdf" TargetMode="External" Id="rId259"/><Relationship Type="http://schemas.openxmlformats.org/officeDocument/2006/relationships/hyperlink" Target="https://www.eby.gov.py/wp-content/uploads/2019/12/YacyretaEnergiasMensualesDesdePuestaenMarcha.pdf" TargetMode="External" Id="rId260"/><Relationship Type="http://schemas.openxmlformats.org/officeDocument/2006/relationships/hyperlink" Target="https://www.eby.gov.py/wp-content/uploads/2019/12/YacyretaEnergiasMensualesDesdePuestaenMarcha.pdf" TargetMode="External" Id="rId261"/><Relationship Type="http://schemas.openxmlformats.org/officeDocument/2006/relationships/hyperlink" Target="https://www.eby.gov.py/wp-content/uploads/2019/12/YacyretaEnergiasMensualesDesdePuestaenMarcha.pdf" TargetMode="External" Id="rId262"/><Relationship Type="http://schemas.openxmlformats.org/officeDocument/2006/relationships/hyperlink" Target="https://www.eby.gov.py/wp-content/uploads/2019/12/YacyretaEnergiasMensualesDesdePuestaenMarcha.pdf" TargetMode="External" Id="rId263"/><Relationship Type="http://schemas.openxmlformats.org/officeDocument/2006/relationships/hyperlink" Target="https://www.eby.gov.py/wp-content/uploads/2019/12/YacyretaEnergiasMensualesDesdePuestaenMarcha.pdf" TargetMode="External" Id="rId264"/><Relationship Type="http://schemas.openxmlformats.org/officeDocument/2006/relationships/hyperlink" Target="https://www.eby.gov.py/wp-content/uploads/2019/12/YacyretaEnergiasMensualesDesdePuestaenMarcha.pdf" TargetMode="External" Id="rId265"/><Relationship Type="http://schemas.openxmlformats.org/officeDocument/2006/relationships/hyperlink" Target="https://www.eby.gov.py/wp-content/uploads/2019/12/YacyretaEnergiasMensualesDesdePuestaenMarcha.pdf" TargetMode="External" Id="rId266"/><Relationship Type="http://schemas.openxmlformats.org/officeDocument/2006/relationships/hyperlink" Target="https://www.eby.gov.py/wp-content/uploads/2019/12/YacyretaEnergiasMensualesDesdePuestaenMarcha.pdf" TargetMode="External" Id="rId267"/><Relationship Type="http://schemas.openxmlformats.org/officeDocument/2006/relationships/hyperlink" Target="https://www.eby.gov.py/wp-content/uploads/2019/12/YacyretaEnergiasMensualesDesdePuestaenMarcha.pdf" TargetMode="External" Id="rId268"/><Relationship Type="http://schemas.openxmlformats.org/officeDocument/2006/relationships/hyperlink" Target="https://www.eby.gov.py/wp-content/uploads/2019/12/YacyretaEnergiasMensualesDesdePuestaenMarcha.pdf" TargetMode="External" Id="rId269"/><Relationship Type="http://schemas.openxmlformats.org/officeDocument/2006/relationships/hyperlink" Target="https://www.eby.gov.py/wp-content/uploads/2019/12/YacyretaEnergiasMensualesDesdePuestaenMarcha.pdf" TargetMode="External" Id="rId270"/><Relationship Type="http://schemas.openxmlformats.org/officeDocument/2006/relationships/hyperlink" Target="https://www.eby.gov.py/wp-content/uploads/2019/12/YacyretaEnergiasMensualesDesdePuestaenMarcha.pdf" TargetMode="External" Id="rId271"/><Relationship Type="http://schemas.openxmlformats.org/officeDocument/2006/relationships/hyperlink" Target="https://www.eby.gov.py/wp-content/uploads/2019/12/YacyretaEnergiasMensualesDesdePuestaenMarcha.pdf" TargetMode="External" Id="rId272"/><Relationship Type="http://schemas.openxmlformats.org/officeDocument/2006/relationships/hyperlink" Target="https://www.eby.gov.py/wp-content/uploads/2019/12/YacyretaEnergiasMensualesDesdePuestaenMarcha.pdf" TargetMode="External" Id="rId273"/><Relationship Type="http://schemas.openxmlformats.org/officeDocument/2006/relationships/hyperlink" Target="https://www.eby.gov.py/wp-content/uploads/2019/12/YacyretaEnergiasMensualesDesdePuestaenMarcha.pdf" TargetMode="External" Id="rId274"/><Relationship Type="http://schemas.openxmlformats.org/officeDocument/2006/relationships/hyperlink" Target="https://www.eby.gov.py/wp-content/uploads/2019/12/YacyretaEnergiasMensualesDesdePuestaenMarcha.pdf" TargetMode="External" Id="rId275"/><Relationship Type="http://schemas.openxmlformats.org/officeDocument/2006/relationships/hyperlink" Target="https://www.eby.gov.py/wp-content/uploads/2019/12/YacyretaEnergiasMensualesDesdePuestaenMarcha.pdf" TargetMode="External" Id="rId276"/><Relationship Type="http://schemas.openxmlformats.org/officeDocument/2006/relationships/hyperlink" Target="https://www.eby.gov.py/wp-content/uploads/2019/12/YacyretaEnergiasMensualesDesdePuestaenMarcha.pdf" TargetMode="External" Id="rId277"/><Relationship Type="http://schemas.openxmlformats.org/officeDocument/2006/relationships/hyperlink" Target="https://www.eby.gov.py/wp-content/uploads/2019/12/YacyretaEnergiasMensualesDesdePuestaenMarcha.pdf" TargetMode="External" Id="rId278"/><Relationship Type="http://schemas.openxmlformats.org/officeDocument/2006/relationships/hyperlink" Target="https://www.eby.gov.py/wp-content/uploads/2019/12/YacyretaEnergiasMensualesDesdePuestaenMarcha.pdf" TargetMode="External" Id="rId279"/><Relationship Type="http://schemas.openxmlformats.org/officeDocument/2006/relationships/hyperlink" Target="https://www.eby.gov.py/wp-content/uploads/2019/12/YacyretaEnergiasMensualesDesdePuestaenMarcha.pdf" TargetMode="External" Id="rId280"/><Relationship Type="http://schemas.openxmlformats.org/officeDocument/2006/relationships/hyperlink" Target="https://www.eby.gov.py/wp-content/uploads/2019/12/YacyretaEnergiasMensualesDesdePuestaenMarcha.pdf" TargetMode="External" Id="rId281"/><Relationship Type="http://schemas.openxmlformats.org/officeDocument/2006/relationships/hyperlink" Target="https://www.eby.gov.py/wp-content/uploads/2019/12/YacyretaEnergiasMensualesDesdePuestaenMarcha.pdf" TargetMode="External" Id="rId282"/><Relationship Type="http://schemas.openxmlformats.org/officeDocument/2006/relationships/hyperlink" Target="https://www.eby.gov.py/wp-content/uploads/2019/12/YacyretaEnergiasMensualesDesdePuestaenMarcha.pdf" TargetMode="External" Id="rId283"/><Relationship Type="http://schemas.openxmlformats.org/officeDocument/2006/relationships/hyperlink" Target="https://www.eby.gov.py/wp-content/uploads/2019/12/YacyretaEnergiasMensualesDesdePuestaenMarcha.pdf" TargetMode="External" Id="rId284"/><Relationship Type="http://schemas.openxmlformats.org/officeDocument/2006/relationships/hyperlink" Target="https://www.eby.gov.py/wp-content/uploads/2019/12/YacyretaEnergiasMensualesDesdePuestaenMarcha.pdf" TargetMode="External" Id="rId285"/><Relationship Type="http://schemas.openxmlformats.org/officeDocument/2006/relationships/hyperlink" Target="https://www.eby.gov.py/wp-content/uploads/2019/12/YacyretaEnergiasMensualesDesdePuestaenMarcha.pdf" TargetMode="External" Id="rId286"/><Relationship Type="http://schemas.openxmlformats.org/officeDocument/2006/relationships/hyperlink" Target="https://www.eby.gov.py/wp-content/uploads/2019/12/YacyretaEnergiasMensualesDesdePuestaenMarcha.pdf" TargetMode="External" Id="rId287"/><Relationship Type="http://schemas.openxmlformats.org/officeDocument/2006/relationships/hyperlink" Target="https://www.eby.gov.py/wp-content/uploads/2019/12/YacyretaEnergiasMensualesDesdePuestaenMarcha.pdf" TargetMode="External" Id="rId288"/><Relationship Type="http://schemas.openxmlformats.org/officeDocument/2006/relationships/hyperlink" Target="https://www.eby.gov.py/wp-content/uploads/2019/12/YacyretaEnergiasMensualesDesdePuestaenMarcha.pdf" TargetMode="External" Id="rId289"/><Relationship Type="http://schemas.openxmlformats.org/officeDocument/2006/relationships/hyperlink" Target="https://www.eby.gov.py/wp-content/uploads/2019/12/YacyretaEnergiasMensualesDesdePuestaenMarcha.pdf" TargetMode="External" Id="rId290"/><Relationship Type="http://schemas.openxmlformats.org/officeDocument/2006/relationships/hyperlink" Target="https://www.eby.gov.py/wp-content/uploads/2019/12/YacyretaEnergiasMensualesDesdePuestaenMarcha.pdf" TargetMode="External" Id="rId291"/><Relationship Type="http://schemas.openxmlformats.org/officeDocument/2006/relationships/hyperlink" Target="https://www.eby.gov.py/wp-content/uploads/2019/12/YacyretaEnergiasMensualesDesdePuestaenMarcha.pdf" TargetMode="External" Id="rId292"/><Relationship Type="http://schemas.openxmlformats.org/officeDocument/2006/relationships/hyperlink" Target="https://www.eby.gov.py/wp-content/uploads/2019/12/YacyretaEnergiasMensualesDesdePuestaenMarcha.pdf" TargetMode="External" Id="rId293"/><Relationship Type="http://schemas.openxmlformats.org/officeDocument/2006/relationships/hyperlink" Target="https://www.eby.gov.py/wp-content/uploads/2019/12/YacyretaEnergiasMensualesDesdePuestaenMarcha.pdf" TargetMode="External" Id="rId294"/><Relationship Type="http://schemas.openxmlformats.org/officeDocument/2006/relationships/hyperlink" Target="https://www.eby.gov.py/wp-content/uploads/2019/12/YacyretaEnergiasMensualesDesdePuestaenMarcha.pdf" TargetMode="External" Id="rId295"/><Relationship Type="http://schemas.openxmlformats.org/officeDocument/2006/relationships/hyperlink" Target="https://www.eby.gov.py/wp-content/uploads/2019/12/YacyretaEnergiasMensualesDesdePuestaenMarcha.pdf" TargetMode="External" Id="rId296"/><Relationship Type="http://schemas.openxmlformats.org/officeDocument/2006/relationships/hyperlink" Target="https://www.eby.gov.py/wp-content/uploads/2019/12/YacyretaEnergiasMensualesDesdePuestaenMarcha.pdf" TargetMode="External" Id="rId297"/><Relationship Type="http://schemas.openxmlformats.org/officeDocument/2006/relationships/hyperlink" Target="https://www.eby.gov.py/wp-content/uploads/2019/12/YacyretaEnergiasMensualesDesdePuestaenMarcha.pdf" TargetMode="External" Id="rId298"/><Relationship Type="http://schemas.openxmlformats.org/officeDocument/2006/relationships/hyperlink" Target="https://www.eby.gov.py/wp-content/uploads/2019/12/YacyretaEnergiasMensualesDesdePuestaenMarcha.pdf" TargetMode="External" Id="rId299"/><Relationship Type="http://schemas.openxmlformats.org/officeDocument/2006/relationships/hyperlink" Target="https://www.eby.gov.py/wp-content/uploads/2019/12/YacyretaEnergiasMensualesDesdePuestaenMarcha.pdf" TargetMode="External" Id="rId300"/><Relationship Type="http://schemas.openxmlformats.org/officeDocument/2006/relationships/hyperlink" Target="https://www.eby.gov.py/wp-content/uploads/2019/12/YacyretaEnergiasMensualesDesdePuestaenMarcha.pdf" TargetMode="External" Id="rId301"/><Relationship Type="http://schemas.openxmlformats.org/officeDocument/2006/relationships/hyperlink" Target="https://www.eby.gov.py/wp-content/uploads/2019/12/YacyretaEnergiasMensualesDesdePuestaenMarcha.pdf" TargetMode="External" Id="rId302"/><Relationship Type="http://schemas.openxmlformats.org/officeDocument/2006/relationships/hyperlink" Target="https://www.eby.gov.py/wp-content/uploads/2019/12/YacyretaEnergiasMensualesDesdePuestaenMarcha.pdf" TargetMode="External" Id="rId303"/><Relationship Type="http://schemas.openxmlformats.org/officeDocument/2006/relationships/hyperlink" Target="https://www.eby.gov.py/wp-content/uploads/2019/12/YacyretaEnergiasMensualesDesdePuestaenMarcha.pdf" TargetMode="External" Id="rId304"/><Relationship Type="http://schemas.openxmlformats.org/officeDocument/2006/relationships/hyperlink" Target="https://www.eby.gov.py/wp-content/uploads/2019/12/YacyretaEnergiasMensualesDesdePuestaenMarcha.pdf" TargetMode="External" Id="rId305"/><Relationship Type="http://schemas.openxmlformats.org/officeDocument/2006/relationships/hyperlink" Target="https://www.eby.gov.py/wp-content/uploads/2019/12/YacyretaEnergiasMensualesDesdePuestaenMarcha.pdf" TargetMode="External" Id="rId306"/><Relationship Type="http://schemas.openxmlformats.org/officeDocument/2006/relationships/hyperlink" Target="https://www.eby.gov.py/wp-content/uploads/2019/12/YacyretaEnergiasMensualesDesdePuestaenMarcha.pdf" TargetMode="External" Id="rId307"/><Relationship Type="http://schemas.openxmlformats.org/officeDocument/2006/relationships/hyperlink" Target="https://www.eby.gov.py/wp-content/uploads/2019/12/YacyretaEnergiasMensualesDesdePuestaenMarcha.pdf" TargetMode="External" Id="rId308"/><Relationship Type="http://schemas.openxmlformats.org/officeDocument/2006/relationships/hyperlink" Target="https://www.eby.gov.py/wp-content/uploads/2019/12/YacyretaEnergiasMensualesDesdePuestaenMarcha.pdf" TargetMode="External" Id="rId309"/><Relationship Type="http://schemas.openxmlformats.org/officeDocument/2006/relationships/hyperlink" Target="https://www.eby.gov.py/wp-content/uploads/2019/12/YacyretaEnergiasMensualesDesdePuestaenMarcha.pdf" TargetMode="External" Id="rId310"/><Relationship Type="http://schemas.openxmlformats.org/officeDocument/2006/relationships/hyperlink" Target="https://www.eby.gov.py/wp-content/uploads/2019/12/YacyretaEnergiasMensualesDesdePuestaenMarcha.pdf" TargetMode="External" Id="rId311"/><Relationship Type="http://schemas.openxmlformats.org/officeDocument/2006/relationships/hyperlink" Target="https://www.eby.gov.py/wp-content/uploads/2019/12/YacyretaEnergiasMensualesDesdePuestaenMarcha.pdf" TargetMode="External" Id="rId312"/><Relationship Type="http://schemas.openxmlformats.org/officeDocument/2006/relationships/hyperlink" Target="https://www.eby.gov.py/wp-content/uploads/2019/12/YacyretaEnergiasMensualesDesdePuestaenMarcha.pdf" TargetMode="External" Id="rId313"/><Relationship Type="http://schemas.openxmlformats.org/officeDocument/2006/relationships/hyperlink" Target="https://www.eby.gov.py/wp-content/uploads/2019/12/YacyretaEnergiasMensualesDesdePuestaenMarcha.pdf" TargetMode="External" Id="rId314"/><Relationship Type="http://schemas.openxmlformats.org/officeDocument/2006/relationships/hyperlink" Target="https://www.eby.gov.py/wp-content/uploads/2019/12/YacyretaEnergiasMensualesDesdePuestaenMarcha.pdf" TargetMode="External" Id="rId315"/><Relationship Type="http://schemas.openxmlformats.org/officeDocument/2006/relationships/hyperlink" Target="https://www.eby.gov.py/wp-content/uploads/2019/12/YacyretaEnergiasMensualesDesdePuestaenMarcha.pdf" TargetMode="External" Id="rId316"/><Relationship Type="http://schemas.openxmlformats.org/officeDocument/2006/relationships/hyperlink" Target="https://www.eby.gov.py/wp-content/uploads/2019/12/YacyretaEnergiasMensualesDesdePuestaenMarcha.pdf" TargetMode="External" Id="rId317"/><Relationship Type="http://schemas.openxmlformats.org/officeDocument/2006/relationships/hyperlink" Target="https://www.eby.gov.py/wp-content/uploads/2019/12/YacyretaEnergiasMensualesDesdePuestaenMarcha.pdf" TargetMode="External" Id="rId318"/><Relationship Type="http://schemas.openxmlformats.org/officeDocument/2006/relationships/hyperlink" Target="https://www.eby.gov.py/wp-content/uploads/2019/12/YacyretaEnergiasMensualesDesdePuestaenMarcha.pdf" TargetMode="External" Id="rId319"/><Relationship Type="http://schemas.openxmlformats.org/officeDocument/2006/relationships/hyperlink" Target="https://www.eby.gov.py/wp-content/uploads/2019/12/YacyretaEnergiasMensualesDesdePuestaenMarcha.pdf" TargetMode="External" Id="rId320"/><Relationship Type="http://schemas.openxmlformats.org/officeDocument/2006/relationships/hyperlink" Target="https://www.eby.gov.py/wp-content/uploads/2019/12/YacyretaEnergiasMensualesDesdePuestaenMarcha.pdf" TargetMode="External" Id="rId321"/><Relationship Type="http://schemas.openxmlformats.org/officeDocument/2006/relationships/hyperlink" Target="https://www.eby.gov.py/wp-content/uploads/2019/12/YacyretaEnergiasMensualesDesdePuestaenMarcha.pdf" TargetMode="External" Id="rId322"/><Relationship Type="http://schemas.openxmlformats.org/officeDocument/2006/relationships/hyperlink" Target="https://www.eby.gov.py/wp-content/uploads/2019/12/YacyretaEnergiasMensualesDesdePuestaenMarcha.pdf" TargetMode="External" Id="rId323"/><Relationship Type="http://schemas.openxmlformats.org/officeDocument/2006/relationships/hyperlink" Target="https://www.eby.gov.py/wp-content/uploads/2019/12/YacyretaEnergiasMensualesDesdePuestaenMarcha.pdf" TargetMode="External" Id="rId324"/><Relationship Type="http://schemas.openxmlformats.org/officeDocument/2006/relationships/hyperlink" Target="https://www.eby.gov.py/wp-content/uploads/2019/12/YacyretaEnergiasMensualesDesdePuestaenMarcha.pdf" TargetMode="External" Id="rId325"/><Relationship Type="http://schemas.openxmlformats.org/officeDocument/2006/relationships/hyperlink" Target="https://www.eby.gov.py/wp-content/uploads/2019/12/YacyretaEnergiasMensualesDesdePuestaenMarcha.pdf" TargetMode="External" Id="rId326"/><Relationship Type="http://schemas.openxmlformats.org/officeDocument/2006/relationships/hyperlink" Target="https://www.eby.gov.py/wp-content/uploads/2019/12/YacyretaEnergiasMensualesDesdePuestaenMarcha.pdf" TargetMode="External" Id="rId327"/><Relationship Type="http://schemas.openxmlformats.org/officeDocument/2006/relationships/hyperlink" Target="https://www.eby.gov.py/wp-content/uploads/2019/12/YacyretaEnergiasMensualesDesdePuestaenMarcha.pdf" TargetMode="External" Id="rId328"/><Relationship Type="http://schemas.openxmlformats.org/officeDocument/2006/relationships/hyperlink" Target="https://www.eby.gov.py/wp-content/uploads/2019/12/YacyretaEnergiasMensualesDesdePuestaenMarcha.pdf" TargetMode="External" Id="rId329"/><Relationship Type="http://schemas.openxmlformats.org/officeDocument/2006/relationships/hyperlink" Target="https://www.eby.gov.py/wp-content/uploads/2019/12/YacyretaEnergiasMensualesDesdePuestaenMarcha.pdf" TargetMode="External" Id="rId330"/><Relationship Type="http://schemas.openxmlformats.org/officeDocument/2006/relationships/hyperlink" Target="https://www.eby.gov.py/wp-content/uploads/2019/12/YacyretaEnergiasMensualesDesdePuestaenMarcha.pdf" TargetMode="External" Id="rId331"/><Relationship Type="http://schemas.openxmlformats.org/officeDocument/2006/relationships/hyperlink" Target="https://www.eby.gov.py/wp-content/uploads/2019/12/YacyretaEnergiasMensualesDesdePuestaenMarcha.pdf" TargetMode="External" Id="rId332"/><Relationship Type="http://schemas.openxmlformats.org/officeDocument/2006/relationships/hyperlink" Target="https://www.eby.gov.py/wp-content/uploads/2019/12/YacyretaEnergiasMensualesDesdePuestaenMarcha.pdf" TargetMode="External" Id="rId333"/><Relationship Type="http://schemas.openxmlformats.org/officeDocument/2006/relationships/hyperlink" Target="https://www.eby.gov.py/wp-content/uploads/2019/12/YacyretaEnergiasMensualesDesdePuestaenMarcha.pdf" TargetMode="External" Id="rId334"/><Relationship Type="http://schemas.openxmlformats.org/officeDocument/2006/relationships/hyperlink" Target="https://www.eby.gov.py/wp-content/uploads/2019/12/YacyretaEnergiasMensualesDesdePuestaenMarcha.pdf" TargetMode="External" Id="rId335"/><Relationship Type="http://schemas.openxmlformats.org/officeDocument/2006/relationships/hyperlink" Target="https://www.eby.gov.py/wp-content/uploads/2019/12/YacyretaEnergiasMensualesDesdePuestaenMarcha.pdf" TargetMode="External" Id="rId336"/><Relationship Type="http://schemas.openxmlformats.org/officeDocument/2006/relationships/hyperlink" Target="https://www.eby.gov.py/wp-content/uploads/2019/12/YacyretaEnergiasMensualesDesdePuestaenMarcha.pdf" TargetMode="External" Id="rId337"/><Relationship Type="http://schemas.openxmlformats.org/officeDocument/2006/relationships/hyperlink" Target="https://www.eby.gov.py/wp-content/uploads/2019/12/YacyretaEnergiasMensualesDesdePuestaenMarcha.pdf" TargetMode="External" Id="rId338"/><Relationship Type="http://schemas.openxmlformats.org/officeDocument/2006/relationships/hyperlink" Target="https://www.eby.gov.py/wp-content/uploads/2019/12/YacyretaEnergiasMensualesDesdePuestaenMarcha.pdf" TargetMode="External" Id="rId339"/><Relationship Type="http://schemas.openxmlformats.org/officeDocument/2006/relationships/hyperlink" Target="https://www.eby.gov.py/wp-content/uploads/2019/12/YacyretaEnergiasMensualesDesdePuestaenMarcha.pdf" TargetMode="External" Id="rId340"/><Relationship Type="http://schemas.openxmlformats.org/officeDocument/2006/relationships/hyperlink" Target="https://www.eby.gov.py/wp-content/uploads/2019/12/YacyretaEnergiasMensualesDesdePuestaenMarcha.pdf" TargetMode="External" Id="rId341"/><Relationship Type="http://schemas.openxmlformats.org/officeDocument/2006/relationships/hyperlink" Target="https://www.eby.gov.py/wp-content/uploads/2019/12/YacyretaEnergiasMensualesDesdePuestaenMarcha.pdf" TargetMode="External" Id="rId342"/><Relationship Type="http://schemas.openxmlformats.org/officeDocument/2006/relationships/hyperlink" Target="https://www.eby.gov.py/wp-content/uploads/2019/12/YacyretaEnergiasMensualesDesdePuestaenMarcha.pdf" TargetMode="External" Id="rId343"/><Relationship Type="http://schemas.openxmlformats.org/officeDocument/2006/relationships/hyperlink" Target="https://www.eby.gov.py/wp-content/uploads/2019/12/YacyretaEnergiasMensualesDesdePuestaenMarcha.pdf" TargetMode="External" Id="rId344"/><Relationship Type="http://schemas.openxmlformats.org/officeDocument/2006/relationships/hyperlink" Target="https://www.eby.gov.py/wp-content/uploads/2019/12/YacyretaEnergiasMensualesDesdePuestaenMarcha.pdf" TargetMode="External" Id="rId345"/><Relationship Type="http://schemas.openxmlformats.org/officeDocument/2006/relationships/hyperlink" Target="https://www.eby.gov.py/wp-content/uploads/2019/12/YacyretaEnergiasMensualesDesdePuestaenMarcha.pdf" TargetMode="External" Id="rId346"/><Relationship Type="http://schemas.openxmlformats.org/officeDocument/2006/relationships/hyperlink" Target="https://www.eby.gov.py/wp-content/uploads/2019/12/YacyretaEnergiasMensualesDesdePuestaenMarcha.pdf" TargetMode="External" Id="rId347"/><Relationship Type="http://schemas.openxmlformats.org/officeDocument/2006/relationships/hyperlink" Target="https://www.eby.gov.py/wp-content/uploads/2019/12/YacyretaEnergiasMensualesDesdePuestaenMarcha.pdf" TargetMode="External" Id="rId348"/><Relationship Type="http://schemas.openxmlformats.org/officeDocument/2006/relationships/hyperlink" Target="https://www.eby.gov.py/wp-content/uploads/2019/12/YacyretaEnergiasMensualesDesdePuestaenMarcha.pdf" TargetMode="External" Id="rId349"/><Relationship Type="http://schemas.openxmlformats.org/officeDocument/2006/relationships/hyperlink" Target="https://www.eby.gov.py/wp-content/uploads/2019/12/YacyretaEnergiasMensualesDesdePuestaenMarcha.pdf" TargetMode="External" Id="rId350"/><Relationship Type="http://schemas.openxmlformats.org/officeDocument/2006/relationships/hyperlink" Target="https://www.eby.gov.py/wp-content/uploads/2019/12/YacyretaEnergiasMensualesDesdePuestaenMarcha.pdf" TargetMode="External" Id="rId351"/><Relationship Type="http://schemas.openxmlformats.org/officeDocument/2006/relationships/hyperlink" Target="https://www.eby.gov.py/wp-content/uploads/2019/12/YacyretaEnergiasMensualesDesdePuestaenMarcha.pdf" TargetMode="External" Id="rId352"/><Relationship Type="http://schemas.openxmlformats.org/officeDocument/2006/relationships/hyperlink" Target="https://www.eby.gov.py/wp-content/uploads/2019/12/YacyretaEnergiasMensualesDesdePuestaenMarcha.pdf" TargetMode="External" Id="rId353"/><Relationship Type="http://schemas.openxmlformats.org/officeDocument/2006/relationships/hyperlink" Target="https://www.eby.gov.py/wp-content/uploads/2019/12/YacyretaEnergiasMensualesDesdePuestaenMarcha.pdf" TargetMode="External" Id="rId354"/><Relationship Type="http://schemas.openxmlformats.org/officeDocument/2006/relationships/hyperlink" Target="https://www.eby.gov.py/wp-content/uploads/2019/12/YacyretaEnergiasMensualesDesdePuestaenMarcha.pdf" TargetMode="External" Id="rId355"/><Relationship Type="http://schemas.openxmlformats.org/officeDocument/2006/relationships/hyperlink" Target="https://www.eby.gov.py/wp-content/uploads/2019/12/YacyretaEnergiasMensualesDesdePuestaenMarcha.pdf" TargetMode="External" Id="rId356"/><Relationship Type="http://schemas.openxmlformats.org/officeDocument/2006/relationships/hyperlink" Target="https://www.eby.gov.py/wp-content/uploads/2019/12/YacyretaEnergiasMensualesDesdePuestaenMarcha.pdf" TargetMode="External" Id="rId357"/><Relationship Type="http://schemas.openxmlformats.org/officeDocument/2006/relationships/hyperlink" Target="https://www.eby.gov.py/wp-content/uploads/2019/12/YacyretaEnergiasMensualesDesdePuestaenMarcha.pdf" TargetMode="External" Id="rId358"/><Relationship Type="http://schemas.openxmlformats.org/officeDocument/2006/relationships/hyperlink" Target="https://www.eby.gov.py/wp-content/uploads/2019/12/YacyretaEnergiasMensualesDesdePuestaenMarcha.pdf" TargetMode="External" Id="rId359"/><Relationship Type="http://schemas.openxmlformats.org/officeDocument/2006/relationships/hyperlink" Target="https://www.eby.gov.py/wp-content/uploads/2019/12/YacyretaEnergiasMensualesDesdePuestaenMarcha.pdf" TargetMode="External" Id="rId360"/><Relationship Type="http://schemas.openxmlformats.org/officeDocument/2006/relationships/hyperlink" Target="https://www.eby.gov.py/wp-content/uploads/2019/12/YacyretaEnergiasMensualesDesdePuestaenMarcha.pdf" TargetMode="External" Id="rId361"/><Relationship Type="http://schemas.openxmlformats.org/officeDocument/2006/relationships/hyperlink" Target="https://www.eby.gov.py/wp-content/uploads/2019/12/YacyretaEnergiasMensualesDesdePuestaenMarcha.pdf" TargetMode="External" Id="rId362"/><Relationship Type="http://schemas.openxmlformats.org/officeDocument/2006/relationships/hyperlink" Target="https://www.eby.gov.py/wp-content/uploads/2019/12/YacyretaEnergiasMensualesDesdePuestaenMarcha.pdf" TargetMode="External" Id="rId363"/><Relationship Type="http://schemas.openxmlformats.org/officeDocument/2006/relationships/hyperlink" Target="https://www.eby.gov.py/wp-content/uploads/2019/12/YacyretaEnergiasMensualesDesdePuestaenMarcha.pdf" TargetMode="External" Id="rId364"/><Relationship Type="http://schemas.openxmlformats.org/officeDocument/2006/relationships/hyperlink" Target="https://www.eby.gov.py/wp-content/uploads/2019/12/YacyretaEnergiasMensualesDesdePuestaenMarcha.pdf" TargetMode="External" Id="rId365"/><Relationship Type="http://schemas.openxmlformats.org/officeDocument/2006/relationships/hyperlink" Target="https://www.eby.gov.py/wp-content/uploads/2019/12/YacyretaEnergiasMensualesDesdePuestaenMarcha.pdf" TargetMode="External" Id="rId366"/><Relationship Type="http://schemas.openxmlformats.org/officeDocument/2006/relationships/hyperlink" Target="https://www.eby.gov.py/wp-content/uploads/2019/12/YacyretaEnergiasMensualesDesdePuestaenMarcha.pdf" TargetMode="External" Id="rId367"/><Relationship Type="http://schemas.openxmlformats.org/officeDocument/2006/relationships/hyperlink" Target="https://www.eby.gov.py/wp-content/uploads/2019/12/YacyretaEnergiasMensualesDesdePuestaenMarcha.pdf" TargetMode="External" Id="rId368"/><Relationship Type="http://schemas.openxmlformats.org/officeDocument/2006/relationships/hyperlink" Target="https://www.eby.gov.py/wp-content/uploads/2019/12/YacyretaEnergiasMensualesDesdePuestaenMarcha.pdf" TargetMode="External" Id="rId369"/><Relationship Type="http://schemas.openxmlformats.org/officeDocument/2006/relationships/hyperlink" Target="https://www.eby.gov.py/wp-content/uploads/2019/12/YacyretaEnergiasMensualesDesdePuestaenMarcha.pdf" TargetMode="External" Id="rId370"/><Relationship Type="http://schemas.openxmlformats.org/officeDocument/2006/relationships/hyperlink" Target="https://www.eby.gov.py/wp-content/uploads/2019/12/YacyretaEnergiasMensualesDesdePuestaenMarcha.pdf" TargetMode="External" Id="rId371"/><Relationship Type="http://schemas.openxmlformats.org/officeDocument/2006/relationships/hyperlink" Target="https://www.eby.gov.py/wp-content/uploads/2019/12/YacyretaEnergiasMensualesDesdePuestaenMarcha.pdf" TargetMode="External" Id="rId372"/><Relationship Type="http://schemas.openxmlformats.org/officeDocument/2006/relationships/hyperlink" Target="https://www.eby.gov.py/wp-content/uploads/2019/12/YacyretaEnergiasMensualesDesdePuestaenMarcha.pdf" TargetMode="External" Id="rId373"/><Relationship Type="http://schemas.openxmlformats.org/officeDocument/2006/relationships/hyperlink" Target="https://www.eby.gov.py/wp-content/uploads/2019/12/YacyretaEnergiasMensualesDesdePuestaenMarcha.pdf" TargetMode="External" Id="rId374"/><Relationship Type="http://schemas.openxmlformats.org/officeDocument/2006/relationships/hyperlink" Target="https://www.eby.gov.py/wp-content/uploads/2019/12/YacyretaEnergiasMensualesDesdePuestaenMarcha.pdf" TargetMode="External" Id="rId375"/><Relationship Type="http://schemas.openxmlformats.org/officeDocument/2006/relationships/hyperlink" Target="https://www.eby.gov.py/wp-content/uploads/2019/12/YacyretaEnergiasMensualesDesdePuestaenMarcha.pdf" TargetMode="External" Id="rId376"/><Relationship Type="http://schemas.openxmlformats.org/officeDocument/2006/relationships/hyperlink" Target="https://www.eby.gov.py/wp-content/uploads/2019/12/YacyretaEnergiasMensualesDesdePuestaenMarcha.pdf" TargetMode="External" Id="rId377"/><Relationship Type="http://schemas.openxmlformats.org/officeDocument/2006/relationships/hyperlink" Target="https://www.eby.gov.py/wp-content/uploads/2019/12/YacyretaEnergiasMensualesDesdePuestaenMarcha.pdf" TargetMode="External" Id="rId378"/><Relationship Type="http://schemas.openxmlformats.org/officeDocument/2006/relationships/hyperlink" Target="https://www.eby.gov.py/wp-content/uploads/2019/12/YacyretaEnergiasMensualesDesdePuestaenMarcha.pdf" TargetMode="External" Id="rId379"/><Relationship Type="http://schemas.openxmlformats.org/officeDocument/2006/relationships/hyperlink" Target="https://www.eby.gov.py/wp-content/uploads/2019/12/YacyretaEnergiasMensualesDesdePuestaenMarcha.pdf" TargetMode="External" Id="rId380"/><Relationship Type="http://schemas.openxmlformats.org/officeDocument/2006/relationships/hyperlink" Target="https://www.eby.gov.py/wp-content/uploads/2019/12/YacyretaEnergiasMensualesDesdePuestaenMarcha.pdf" TargetMode="External" Id="rId381"/><Relationship Type="http://schemas.openxmlformats.org/officeDocument/2006/relationships/hyperlink" Target="https://www.eby.gov.py/wp-content/uploads/2019/12/YacyretaEnergiasMensualesDesdePuestaenMarcha.pdf" TargetMode="External" Id="rId382"/><Relationship Type="http://schemas.openxmlformats.org/officeDocument/2006/relationships/hyperlink" Target="https://www.eby.gov.py/wp-content/uploads/2019/12/YacyretaEnergiasMensualesDesdePuestaenMarcha.pdf" TargetMode="External" Id="rId383"/><Relationship Type="http://schemas.openxmlformats.org/officeDocument/2006/relationships/hyperlink" Target="https://www.eby.gov.py/wp-content/uploads/2019/12/YacyretaEnergiasMensualesDesdePuestaenMarcha.pdf" TargetMode="External" Id="rId384"/><Relationship Type="http://schemas.openxmlformats.org/officeDocument/2006/relationships/hyperlink" Target="https://www.eby.gov.py/wp-content/uploads/2019/12/YacyretaEnergiasMensualesDesdePuestaenMarcha.pdf" TargetMode="External" Id="rId385"/><Relationship Type="http://schemas.openxmlformats.org/officeDocument/2006/relationships/hyperlink" Target="https://www.eby.gov.py/wp-content/uploads/2019/12/YacyretaEnergiasMensualesDesdePuestaenMarcha.pdf" TargetMode="External" Id="rId386"/><Relationship Type="http://schemas.openxmlformats.org/officeDocument/2006/relationships/hyperlink" Target="https://www.eby.gov.py/wp-content/uploads/2019/12/YacyretaEnergiasMensualesDesdePuestaenMarcha.pdf" TargetMode="External" Id="rId387"/><Relationship Type="http://schemas.openxmlformats.org/officeDocument/2006/relationships/hyperlink" Target="https://www.eby.gov.py/wp-content/uploads/2019/12/YacyretaEnergiasMensualesDesdePuestaenMarcha.pdf" TargetMode="External" Id="rId388"/><Relationship Type="http://schemas.openxmlformats.org/officeDocument/2006/relationships/hyperlink" Target="https://www.eby.gov.py/wp-content/uploads/2019/12/YacyretaEnergiasMensualesDesdePuestaenMarcha.pdf" TargetMode="External" Id="rId389"/><Relationship Type="http://schemas.openxmlformats.org/officeDocument/2006/relationships/hyperlink" Target="https://www.eby.gov.py/wp-content/uploads/2019/12/YacyretaEnergiasMensualesDesdePuestaenMarcha.pdf" TargetMode="External" Id="rId390"/><Relationship Type="http://schemas.openxmlformats.org/officeDocument/2006/relationships/hyperlink" Target="https://www.eby.gov.py/wp-content/uploads/2019/12/YacyretaEnergiasMensualesDesdePuestaenMarcha.pdf" TargetMode="External" Id="rId391"/><Relationship Type="http://schemas.openxmlformats.org/officeDocument/2006/relationships/hyperlink" Target="https://www.eby.gov.py/wp-content/uploads/2019/12/YacyretaEnergiasMensualesDesdePuestaenMarcha.pdf" TargetMode="External" Id="rId392"/><Relationship Type="http://schemas.openxmlformats.org/officeDocument/2006/relationships/hyperlink" Target="https://www.eby.gov.py/wp-content/uploads/2019/12/YacyretaEnergiasMensualesDesdePuestaenMarcha.pdf" TargetMode="External" Id="rId393"/><Relationship Type="http://schemas.openxmlformats.org/officeDocument/2006/relationships/hyperlink" Target="https://www.eby.gov.py/wp-content/uploads/2019/12/YacyretaEnergiasMensualesDesdePuestaenMarcha.pdf" TargetMode="External" Id="rId394"/><Relationship Type="http://schemas.openxmlformats.org/officeDocument/2006/relationships/hyperlink" Target="https://www.eby.gov.py/wp-content/uploads/2019/12/YacyretaEnergiasMensualesDesdePuestaenMarcha.pdf" TargetMode="External" Id="rId395"/><Relationship Type="http://schemas.openxmlformats.org/officeDocument/2006/relationships/hyperlink" Target="https://www.eby.gov.py/wp-content/uploads/2019/12/YacyretaEnergiasMensualesDesdePuestaenMarcha.pdf" TargetMode="External" Id="rId396"/><Relationship Type="http://schemas.openxmlformats.org/officeDocument/2006/relationships/hyperlink" Target="https://www.eby.gov.py/wp-content/uploads/2019/12/YacyretaEnergiasMensualesDesdePuestaenMarcha.pdf" TargetMode="External" Id="rId397"/><Relationship Type="http://schemas.openxmlformats.org/officeDocument/2006/relationships/hyperlink" Target="https://www.eby.gov.py/wp-content/uploads/2019/12/YacyretaEnergiasMensualesDesdePuestaenMarcha.pdf" TargetMode="External" Id="rId398"/><Relationship Type="http://schemas.openxmlformats.org/officeDocument/2006/relationships/hyperlink" Target="https://www.eby.gov.py/wp-content/uploads/2019/12/YacyretaEnergiasMensualesDesdePuestaenMarcha.pdf" TargetMode="External" Id="rId399"/><Relationship Type="http://schemas.openxmlformats.org/officeDocument/2006/relationships/hyperlink" Target="https://www.eby.gov.py/wp-content/uploads/2019/12/YacyretaEnergiasMensualesDesdePuestaenMarcha.pdf" TargetMode="External" Id="rId400"/><Relationship Type="http://schemas.openxmlformats.org/officeDocument/2006/relationships/hyperlink" Target="https://www.eby.gov.py/wp-content/uploads/2019/12/YacyretaEnergiasMensualesDesdePuestaenMarcha.pdf" TargetMode="External" Id="rId401"/><Relationship Type="http://schemas.openxmlformats.org/officeDocument/2006/relationships/hyperlink" Target="https://www.eby.gov.py/wp-content/uploads/2019/12/YacyretaEnergiasMensualesDesdePuestaenMarcha.pdf" TargetMode="External" Id="rId402"/><Relationship Type="http://schemas.openxmlformats.org/officeDocument/2006/relationships/hyperlink" Target="https://www.eby.gov.py/wp-content/uploads/2019/12/YacyretaEnergiasMensualesDesdePuestaenMarcha.pdf" TargetMode="External" Id="rId403"/><Relationship Type="http://schemas.openxmlformats.org/officeDocument/2006/relationships/hyperlink" Target="https://www.eby.gov.py/wp-content/uploads/2019/12/YacyretaEnergiasMensualesDesdePuestaenMarcha.pdf" TargetMode="External" Id="rId404"/><Relationship Type="http://schemas.openxmlformats.org/officeDocument/2006/relationships/hyperlink" Target="https://www.eby.gov.py/wp-content/uploads/2019/12/YacyretaEnergiasMensualesDesdePuestaenMarcha.pdf" TargetMode="External" Id="rId405"/><Relationship Type="http://schemas.openxmlformats.org/officeDocument/2006/relationships/hyperlink" Target="https://www.eby.gov.py/wp-content/uploads/2019/12/YacyretaEnergiasMensualesDesdePuestaenMarcha.pdf" TargetMode="External" Id="rId406"/><Relationship Type="http://schemas.openxmlformats.org/officeDocument/2006/relationships/hyperlink" Target="https://www.eby.gov.py/wp-content/uploads/2019/12/YacyretaEnergiasMensualesDesdePuestaenMarcha.pdf" TargetMode="External" Id="rId407"/><Relationship Type="http://schemas.openxmlformats.org/officeDocument/2006/relationships/hyperlink" Target="https://www.eby.gov.py/wp-content/uploads/2019/12/YacyretaEnergiasMensualesDesdePuestaenMarcha.pdf" TargetMode="External" Id="rId408"/><Relationship Type="http://schemas.openxmlformats.org/officeDocument/2006/relationships/hyperlink" Target="https://www.eby.gov.py/wp-content/uploads/2019/12/YacyretaEnergiasMensualesDesdePuestaenMarcha.pdf" TargetMode="External" Id="rId409"/><Relationship Type="http://schemas.openxmlformats.org/officeDocument/2006/relationships/hyperlink" Target="https://www.eby.gov.py/wp-content/uploads/2019/12/YacyretaEnergiasMensualesDesdePuestaenMarcha.pdf" TargetMode="External" Id="rId410"/><Relationship Type="http://schemas.openxmlformats.org/officeDocument/2006/relationships/hyperlink" Target="https://www.eby.gov.py/wp-content/uploads/2019/12/YacyretaEnergiasMensualesDesdePuestaenMarcha.pdf" TargetMode="External" Id="rId411"/><Relationship Type="http://schemas.openxmlformats.org/officeDocument/2006/relationships/hyperlink" Target="https://www.eby.gov.py/wp-content/uploads/2019/12/YacyretaEnergiasMensualesDesdePuestaenMarcha.pdf" TargetMode="External" Id="rId412"/><Relationship Type="http://schemas.openxmlformats.org/officeDocument/2006/relationships/hyperlink" Target="https://www.eby.gov.py/wp-content/uploads/2019/12/YacyretaEnergiasMensualesDesdePuestaenMarcha.pdf" TargetMode="External" Id="rId413"/><Relationship Type="http://schemas.openxmlformats.org/officeDocument/2006/relationships/hyperlink" Target="https://www.eby.gov.py/wp-content/uploads/2019/12/YacyretaEnergiasMensualesDesdePuestaenMarcha.pdf" TargetMode="External" Id="rId414"/><Relationship Type="http://schemas.openxmlformats.org/officeDocument/2006/relationships/hyperlink" Target="https://www.eby.gov.py/wp-content/uploads/2019/12/YacyretaEnergiasMensualesDesdePuestaenMarcha.pdf" TargetMode="External" Id="rId415"/><Relationship Type="http://schemas.openxmlformats.org/officeDocument/2006/relationships/hyperlink" Target="https://www.eby.gov.py/wp-content/uploads/2019/12/YacyretaEnergiasMensualesDesdePuestaenMarcha.pdf" TargetMode="External" Id="rId416"/><Relationship Type="http://schemas.openxmlformats.org/officeDocument/2006/relationships/hyperlink" Target="https://www.eby.gov.py/wp-content/uploads/2019/12/YacyretaEnergiasMensualesDesdePuestaenMarcha.pdf" TargetMode="External" Id="rId417"/><Relationship Type="http://schemas.openxmlformats.org/officeDocument/2006/relationships/hyperlink" Target="https://www.eby.gov.py/wp-content/uploads/2019/12/YacyretaEnergiasMensualesDesdePuestaenMarcha.pdf" TargetMode="External" Id="rId418"/><Relationship Type="http://schemas.openxmlformats.org/officeDocument/2006/relationships/hyperlink" Target="https://www.eby.gov.py/wp-content/uploads/2019/12/YacyretaEnergiasMensualesDesdePuestaenMarcha.pdf" TargetMode="External" Id="rId419"/><Relationship Type="http://schemas.openxmlformats.org/officeDocument/2006/relationships/hyperlink" Target="https://www.eby.gov.py/wp-content/uploads/2019/12/YacyretaEnergiasMensualesDesdePuestaenMarcha.pdf" TargetMode="External" Id="rId420"/><Relationship Type="http://schemas.openxmlformats.org/officeDocument/2006/relationships/hyperlink" Target="https://www.eby.gov.py/wp-content/uploads/2019/12/YacyretaEnergiasMensualesDesdePuestaenMarcha.pdf" TargetMode="External" Id="rId421"/><Relationship Type="http://schemas.openxmlformats.org/officeDocument/2006/relationships/hyperlink" Target="https://www.eby.gov.py/wp-content/uploads/2019/12/YacyretaEnergiasMensualesDesdePuestaenMarcha.pdf" TargetMode="External" Id="rId422"/><Relationship Type="http://schemas.openxmlformats.org/officeDocument/2006/relationships/hyperlink" Target="https://www.eby.gov.py/wp-content/uploads/2019/12/YacyretaEnergiasMensualesDesdePuestaenMarcha.pdf" TargetMode="External" Id="rId423"/><Relationship Type="http://schemas.openxmlformats.org/officeDocument/2006/relationships/hyperlink" Target="https://www.eby.gov.py/wp-content/uploads/2019/12/YacyretaEnergiasMensualesDesdePuestaenMarcha.pdf" TargetMode="External" Id="rId424"/><Relationship Type="http://schemas.openxmlformats.org/officeDocument/2006/relationships/hyperlink" Target="https://www.eby.gov.py/wp-content/uploads/2019/12/YacyretaEnergiasMensualesDesdePuestaenMarcha.pdf" TargetMode="External" Id="rId425"/><Relationship Type="http://schemas.openxmlformats.org/officeDocument/2006/relationships/hyperlink" Target="https://www.eby.gov.py/wp-content/uploads/2019/12/YacyretaEnergiasMensualesDesdePuestaenMarcha.pdf" TargetMode="External" Id="rId426"/><Relationship Type="http://schemas.openxmlformats.org/officeDocument/2006/relationships/hyperlink" Target="https://www.eby.gov.py/wp-content/uploads/2019/12/YacyretaEnergiasMensualesDesdePuestaenMarcha.pdf" TargetMode="External" Id="rId427"/><Relationship Type="http://schemas.openxmlformats.org/officeDocument/2006/relationships/hyperlink" Target="https://www.eby.gov.py/wp-content/uploads/2019/12/YacyretaEnergiasMensualesDesdePuestaenMarcha.pdf" TargetMode="External" Id="rId428"/><Relationship Type="http://schemas.openxmlformats.org/officeDocument/2006/relationships/hyperlink" Target="https://www.eby.gov.py/wp-content/uploads/2019/12/YacyretaEnergiasMensualesDesdePuestaenMarcha.pdf" TargetMode="External" Id="rId429"/><Relationship Type="http://schemas.openxmlformats.org/officeDocument/2006/relationships/hyperlink" Target="https://www.eby.gov.py/wp-content/uploads/2019/12/YacyretaEnergiasMensualesDesdePuestaenMarcha.pdf" TargetMode="External" Id="rId430"/><Relationship Type="http://schemas.openxmlformats.org/officeDocument/2006/relationships/hyperlink" Target="https://www.eby.gov.py/wp-content/uploads/2019/12/YacyretaEnergiasMensualesDesdePuestaenMarcha.pdf" TargetMode="External" Id="rId431"/><Relationship Type="http://schemas.openxmlformats.org/officeDocument/2006/relationships/hyperlink" Target="https://www.eby.gov.py/wp-content/uploads/2019/12/YacyretaEnergiasMensualesDesdePuestaenMarcha.pdf" TargetMode="External" Id="rId432"/><Relationship Type="http://schemas.openxmlformats.org/officeDocument/2006/relationships/hyperlink" Target="https://www.eby.gov.py/wp-content/uploads/2019/12/YacyretaEnergiasMensualesDesdePuestaenMarcha.pdf" TargetMode="External" Id="rId433"/><Relationship Type="http://schemas.openxmlformats.org/officeDocument/2006/relationships/hyperlink" Target="https://www.eby.gov.py/wp-content/uploads/2019/12/YacyretaEnergiasMensualesDesdePuestaenMarcha.pdf" TargetMode="External" Id="rId434"/><Relationship Type="http://schemas.openxmlformats.org/officeDocument/2006/relationships/hyperlink" Target="https://www.eby.gov.py/wp-content/uploads/2019/12/YacyretaEnergiasMensualesDesdePuestaenMarcha.pdf" TargetMode="External" Id="rId435"/><Relationship Type="http://schemas.openxmlformats.org/officeDocument/2006/relationships/hyperlink" Target="https://www.eby.gov.py/wp-content/uploads/2019/12/YacyretaEnergiasMensualesDesdePuestaenMarcha.pdf" TargetMode="External" Id="rId436"/><Relationship Type="http://schemas.openxmlformats.org/officeDocument/2006/relationships/hyperlink" Target="https://www.eby.gov.py/wp-content/uploads/2019/12/YacyretaEnergiasMensualesDesdePuestaenMarcha.pdf" TargetMode="External" Id="rId437"/><Relationship Type="http://schemas.openxmlformats.org/officeDocument/2006/relationships/hyperlink" Target="https://www.eby.gov.py/wp-content/uploads/2019/12/YacyretaEnergiasMensualesDesdePuestaenMarcha.pdf" TargetMode="External" Id="rId438"/><Relationship Type="http://schemas.openxmlformats.org/officeDocument/2006/relationships/hyperlink" Target="https://www.eby.gov.py/wp-content/uploads/2019/12/YacyretaEnergiasMensualesDesdePuestaenMarcha.pdf" TargetMode="External" Id="rId439"/><Relationship Type="http://schemas.openxmlformats.org/officeDocument/2006/relationships/hyperlink" Target="https://www.eby.gov.py/wp-content/uploads/2019/12/YacyretaEnergiasMensualesDesdePuestaenMarcha.pdf" TargetMode="External" Id="rId440"/><Relationship Type="http://schemas.openxmlformats.org/officeDocument/2006/relationships/hyperlink" Target="https://www.eby.gov.py/wp-content/uploads/2019/12/YacyretaEnergiasMensualesDesdePuestaenMarcha.pdf" TargetMode="External" Id="rId441"/><Relationship Type="http://schemas.openxmlformats.org/officeDocument/2006/relationships/hyperlink" Target="https://www.eby.gov.py/wp-content/uploads/2019/12/YacyretaEnergiasMensualesDesdePuestaenMarcha.pdf" TargetMode="External" Id="rId442"/><Relationship Type="http://schemas.openxmlformats.org/officeDocument/2006/relationships/hyperlink" Target="https://www.eby.gov.py/wp-content/uploads/2019/12/YacyretaEnergiasMensualesDesdePuestaenMarcha.pdf" TargetMode="External" Id="rId443"/><Relationship Type="http://schemas.openxmlformats.org/officeDocument/2006/relationships/hyperlink" Target="https://www.eby.gov.py/wp-content/uploads/2019/12/YacyretaEnergiasMensualesDesdePuestaenMarcha.pdf" TargetMode="External" Id="rId444"/><Relationship Type="http://schemas.openxmlformats.org/officeDocument/2006/relationships/hyperlink" Target="https://www.eby.gov.py/wp-content/uploads/2019/12/YacyretaEnergiasMensualesDesdePuestaenMarcha.pdf" TargetMode="External" Id="rId445"/><Relationship Type="http://schemas.openxmlformats.org/officeDocument/2006/relationships/hyperlink" Target="https://www.eby.gov.py/wp-content/uploads/2019/12/YacyretaEnergiasMensualesDesdePuestaenMarcha.pdf" TargetMode="External" Id="rId446"/><Relationship Type="http://schemas.openxmlformats.org/officeDocument/2006/relationships/hyperlink" Target="https://www.eby.gov.py/wp-content/uploads/2019/12/YacyretaEnergiasMensualesDesdePuestaenMarcha.pdf" TargetMode="External" Id="rId447"/><Relationship Type="http://schemas.openxmlformats.org/officeDocument/2006/relationships/hyperlink" Target="https://www.eby.gov.py/wp-content/uploads/2019/12/YacyretaEnergiasMensualesDesdePuestaenMarcha.pdf" TargetMode="External" Id="rId448"/><Relationship Type="http://schemas.openxmlformats.org/officeDocument/2006/relationships/hyperlink" Target="https://www.eby.gov.py/wp-content/uploads/2019/12/YacyretaEnergiasMensualesDesdePuestaenMarcha.pdf" TargetMode="External" Id="rId449"/><Relationship Type="http://schemas.openxmlformats.org/officeDocument/2006/relationships/hyperlink" Target="https://www.eby.gov.py/wp-content/uploads/2019/12/YacyretaEnergiasMensualesDesdePuestaenMarcha.pdf" TargetMode="External" Id="rId450"/><Relationship Type="http://schemas.openxmlformats.org/officeDocument/2006/relationships/hyperlink" Target="https://www.eby.gov.py/wp-content/uploads/2019/12/YacyretaEnergiasMensualesDesdePuestaenMarcha.pdf" TargetMode="External" Id="rId451"/><Relationship Type="http://schemas.openxmlformats.org/officeDocument/2006/relationships/hyperlink" Target="https://www.eby.gov.py/wp-content/uploads/2019/12/YacyretaEnergiasMensualesDesdePuestaenMarcha.pdf" TargetMode="External" Id="rId452"/><Relationship Type="http://schemas.openxmlformats.org/officeDocument/2006/relationships/hyperlink" Target="https://www.eby.gov.py/wp-content/uploads/2019/12/YacyretaEnergiasMensualesDesdePuestaenMarcha.pdf" TargetMode="External" Id="rId453"/><Relationship Type="http://schemas.openxmlformats.org/officeDocument/2006/relationships/hyperlink" Target="https://www.eby.gov.py/wp-content/uploads/2019/12/YacyretaEnergiasMensualesDesdePuestaenMarcha.pdf" TargetMode="External" Id="rId454"/><Relationship Type="http://schemas.openxmlformats.org/officeDocument/2006/relationships/hyperlink" Target="https://www.eby.gov.py/wp-content/uploads/2019/12/YacyretaEnergiasMensualesDesdePuestaenMarcha.pdf" TargetMode="External" Id="rId455"/><Relationship Type="http://schemas.openxmlformats.org/officeDocument/2006/relationships/hyperlink" Target="https://www.eby.gov.py/wp-content/uploads/2019/12/YacyretaEnergiasMensualesDesdePuestaenMarcha.pdf" TargetMode="External" Id="rId456"/><Relationship Type="http://schemas.openxmlformats.org/officeDocument/2006/relationships/hyperlink" Target="https://www.eby.gov.py/wp-content/uploads/2019/12/YacyretaEnergiasMensualesDesdePuestaenMarcha.pdf" TargetMode="External" Id="rId457"/><Relationship Type="http://schemas.openxmlformats.org/officeDocument/2006/relationships/hyperlink" Target="https://www.eby.gov.py/wp-content/uploads/2019/12/YacyretaEnergiasMensualesDesdePuestaenMarcha.pdf" TargetMode="External" Id="rId458"/><Relationship Type="http://schemas.openxmlformats.org/officeDocument/2006/relationships/hyperlink" Target="https://www.eby.gov.py/wp-content/uploads/2019/12/YacyretaEnergiasMensualesDesdePuestaenMarcha.pdf" TargetMode="External" Id="rId459"/><Relationship Type="http://schemas.openxmlformats.org/officeDocument/2006/relationships/hyperlink" Target="https://www.eby.gov.py/wp-content/uploads/2019/12/YacyretaEnergiasMensualesDesdePuestaenMarcha.pdf" TargetMode="External" Id="rId460"/><Relationship Type="http://schemas.openxmlformats.org/officeDocument/2006/relationships/hyperlink" Target="https://www.eby.gov.py/wp-content/uploads/2019/12/YacyretaEnergiasMensualesDesdePuestaenMarcha.pdf" TargetMode="External" Id="rId461"/><Relationship Type="http://schemas.openxmlformats.org/officeDocument/2006/relationships/hyperlink" Target="https://www.eby.gov.py/wp-content/uploads/2019/12/YacyretaEnergiasMensualesDesdePuestaenMarcha.pdf" TargetMode="External" Id="rId462"/><Relationship Type="http://schemas.openxmlformats.org/officeDocument/2006/relationships/hyperlink" Target="https://www.eby.gov.py/wp-content/uploads/2019/12/YacyretaEnergiasMensualesDesdePuestaenMarcha.pdf" TargetMode="External" Id="rId463"/><Relationship Type="http://schemas.openxmlformats.org/officeDocument/2006/relationships/hyperlink" Target="https://www.eby.gov.py/wp-content/uploads/2019/12/YacyretaEnergiasMensualesDesdePuestaenMarcha.pdf" TargetMode="External" Id="rId464"/><Relationship Type="http://schemas.openxmlformats.org/officeDocument/2006/relationships/hyperlink" Target="https://www.eby.gov.py/wp-content/uploads/2019/12/YacyretaEnergiasMensualesDesdePuestaenMarcha.pdf" TargetMode="External" Id="rId465"/><Relationship Type="http://schemas.openxmlformats.org/officeDocument/2006/relationships/hyperlink" Target="https://www.eby.gov.py/wp-content/uploads/2019/12/YacyretaEnergiasMensualesDesdePuestaenMarcha.pdf" TargetMode="External" Id="rId466"/><Relationship Type="http://schemas.openxmlformats.org/officeDocument/2006/relationships/hyperlink" Target="https://www.eby.gov.py/wp-content/uploads/2019/12/YacyretaEnergiasMensualesDesdePuestaenMarcha.pdf" TargetMode="External" Id="rId467"/><Relationship Type="http://schemas.openxmlformats.org/officeDocument/2006/relationships/hyperlink" Target="https://www.eby.gov.py/wp-content/uploads/2019/12/YacyretaEnergiasMensualesDesdePuestaenMarcha.pdf" TargetMode="External" Id="rId468"/><Relationship Type="http://schemas.openxmlformats.org/officeDocument/2006/relationships/hyperlink" Target="https://www.eby.gov.py/wp-content/uploads/2019/12/YacyretaEnergiasMensualesDesdePuestaenMarcha.pdf" TargetMode="External" Id="rId469"/><Relationship Type="http://schemas.openxmlformats.org/officeDocument/2006/relationships/hyperlink" Target="https://www.eby.gov.py/wp-content/uploads/2019/12/YacyretaEnergiasMensualesDesdePuestaenMarcha.pdf" TargetMode="External" Id="rId470"/><Relationship Type="http://schemas.openxmlformats.org/officeDocument/2006/relationships/hyperlink" Target="https://www.eby.gov.py/wp-content/uploads/2019/12/YacyretaEnergiasMensualesDesdePuestaenMarcha.pdf" TargetMode="External" Id="rId471"/><Relationship Type="http://schemas.openxmlformats.org/officeDocument/2006/relationships/hyperlink" Target="https://www.eby.gov.py/wp-content/uploads/2019/12/YacyretaEnergiasMensualesDesdePuestaenMarcha.pdf" TargetMode="External" Id="rId472"/><Relationship Type="http://schemas.openxmlformats.org/officeDocument/2006/relationships/hyperlink" Target="https://www.eby.gov.py/wp-content/uploads/2019/12/YacyretaEnergiasMensualesDesdePuestaenMarcha.pdf" TargetMode="External" Id="rId473"/><Relationship Type="http://schemas.openxmlformats.org/officeDocument/2006/relationships/hyperlink" Target="https://www.eby.gov.py/wp-content/uploads/2019/12/YacyretaEnergiasMensualesDesdePuestaenMarcha.pdf" TargetMode="External" Id="rId474"/><Relationship Type="http://schemas.openxmlformats.org/officeDocument/2006/relationships/hyperlink" Target="https://www.eby.gov.py/wp-content/uploads/2019/12/YacyretaEnergiasMensualesDesdePuestaenMarcha.pdf" TargetMode="External" Id="rId475"/><Relationship Type="http://schemas.openxmlformats.org/officeDocument/2006/relationships/hyperlink" Target="https://www.eby.gov.py/wp-content/uploads/2019/12/YacyretaEnergiasMensualesDesdePuestaenMarcha.pdf" TargetMode="External" Id="rId476"/><Relationship Type="http://schemas.openxmlformats.org/officeDocument/2006/relationships/hyperlink" Target="https://www.eby.gov.py/wp-content/uploads/2019/12/YacyretaEnergiasMensualesDesdePuestaenMarcha.pdf" TargetMode="External" Id="rId477"/><Relationship Type="http://schemas.openxmlformats.org/officeDocument/2006/relationships/hyperlink" Target="https://www.eby.gov.py/wp-content/uploads/2019/12/YacyretaEnergiasMensualesDesdePuestaenMarcha.pdf" TargetMode="External" Id="rId478"/><Relationship Type="http://schemas.openxmlformats.org/officeDocument/2006/relationships/hyperlink" Target="https://www.eby.gov.py/wp-content/uploads/2019/12/YacyretaEnergiasMensualesDesdePuestaenMarcha.pdf" TargetMode="External" Id="rId479"/><Relationship Type="http://schemas.openxmlformats.org/officeDocument/2006/relationships/hyperlink" Target="https://www.eby.gov.py/wp-content/uploads/2019/12/YacyretaEnergiasMensualesDesdePuestaenMarcha.pdf" TargetMode="External" Id="rId480"/><Relationship Type="http://schemas.openxmlformats.org/officeDocument/2006/relationships/hyperlink" Target="https://www.eby.gov.py/wp-content/uploads/2019/12/YacyretaEnergiasMensualesDesdePuestaenMarcha.pdf" TargetMode="External" Id="rId481"/><Relationship Type="http://schemas.openxmlformats.org/officeDocument/2006/relationships/hyperlink" Target="https://www.eby.gov.py/wp-content/uploads/2019/12/YacyretaEnergiasMensualesDesdePuestaenMarcha.pdf" TargetMode="External" Id="rId482"/><Relationship Type="http://schemas.openxmlformats.org/officeDocument/2006/relationships/hyperlink" Target="https://www.eby.gov.py/wp-content/uploads/2019/12/YacyretaEnergiasMensualesDesdePuestaenMarcha.pdf" TargetMode="External" Id="rId483"/><Relationship Type="http://schemas.openxmlformats.org/officeDocument/2006/relationships/hyperlink" Target="https://www.eby.gov.py/wp-content/uploads/2019/12/YacyretaEnergiasMensualesDesdePuestaenMarcha.pdf" TargetMode="External" Id="rId484"/><Relationship Type="http://schemas.openxmlformats.org/officeDocument/2006/relationships/hyperlink" Target="https://www.eby.gov.py/wp-content/uploads/2019/12/YacyretaEnergiasMensualesDesdePuestaenMarcha.pdf" TargetMode="External" Id="rId485"/><Relationship Type="http://schemas.openxmlformats.org/officeDocument/2006/relationships/hyperlink" Target="https://www.eby.gov.py/wp-content/uploads/2019/12/YacyretaEnergiasMensualesDesdePuestaenMarcha.pdf" TargetMode="External" Id="rId486"/><Relationship Type="http://schemas.openxmlformats.org/officeDocument/2006/relationships/hyperlink" Target="https://www.eby.gov.py/wp-content/uploads/2019/12/YacyretaEnergiasMensualesDesdePuestaenMarcha.pdf" TargetMode="External" Id="rId487"/><Relationship Type="http://schemas.openxmlformats.org/officeDocument/2006/relationships/hyperlink" Target="https://www.eby.gov.py/wp-content/uploads/2019/12/YacyretaEnergiasMensualesDesdePuestaenMarcha.pdf" TargetMode="External" Id="rId488"/><Relationship Type="http://schemas.openxmlformats.org/officeDocument/2006/relationships/hyperlink" Target="https://www.eby.gov.py/wp-content/uploads/2019/12/YacyretaEnergiasMensualesDesdePuestaenMarcha.pdf" TargetMode="External" Id="rId489"/><Relationship Type="http://schemas.openxmlformats.org/officeDocument/2006/relationships/hyperlink" Target="https://www.eby.gov.py/wp-content/uploads/2019/12/YacyretaEnergiasMensualesDesdePuestaenMarcha.pdf" TargetMode="External" Id="rId490"/><Relationship Type="http://schemas.openxmlformats.org/officeDocument/2006/relationships/hyperlink" Target="https://www.eby.gov.py/wp-content/uploads/2019/12/YacyretaEnergiasMensualesDesdePuestaenMarcha.pdf" TargetMode="External" Id="rId491"/><Relationship Type="http://schemas.openxmlformats.org/officeDocument/2006/relationships/hyperlink" Target="https://www.eby.gov.py/wp-content/uploads/2019/12/YacyretaEnergiasMensualesDesdePuestaenMarcha.pdf" TargetMode="External" Id="rId492"/><Relationship Type="http://schemas.openxmlformats.org/officeDocument/2006/relationships/hyperlink" Target="https://www.eby.gov.py/wp-content/uploads/2019/12/YacyretaEnergiasMensualesDesdePuestaenMarcha.pdf" TargetMode="External" Id="rId493"/><Relationship Type="http://schemas.openxmlformats.org/officeDocument/2006/relationships/hyperlink" Target="https://www.eby.gov.py/wp-content/uploads/2019/12/YacyretaEnergiasMensualesDesdePuestaenMarcha.pdf" TargetMode="External" Id="rId494"/><Relationship Type="http://schemas.openxmlformats.org/officeDocument/2006/relationships/hyperlink" Target="https://www.eby.gov.py/wp-content/uploads/2019/12/YacyretaEnergiasMensualesDesdePuestaenMarcha.pdf" TargetMode="External" Id="rId495"/><Relationship Type="http://schemas.openxmlformats.org/officeDocument/2006/relationships/hyperlink" Target="https://www.eby.gov.py/wp-content/uploads/2019/12/YacyretaEnergiasMensualesDesdePuestaenMarcha.pdf" TargetMode="External" Id="rId496"/><Relationship Type="http://schemas.openxmlformats.org/officeDocument/2006/relationships/hyperlink" Target="https://www.eby.gov.py/wp-content/uploads/2019/12/YacyretaEnergiasMensualesDesdePuestaenMarcha.pdf" TargetMode="External" Id="rId497"/><Relationship Type="http://schemas.openxmlformats.org/officeDocument/2006/relationships/hyperlink" Target="https://www.eby.gov.py/wp-content/uploads/2019/12/YacyretaEnergiasMensualesDesdePuestaenMarcha.pdf" TargetMode="External" Id="rId498"/><Relationship Type="http://schemas.openxmlformats.org/officeDocument/2006/relationships/hyperlink" Target="https://www.eby.gov.py/wp-content/uploads/2019/12/YacyretaEnergiasMensualesDesdePuestaenMarcha.pdf" TargetMode="External" Id="rId499"/><Relationship Type="http://schemas.openxmlformats.org/officeDocument/2006/relationships/hyperlink" Target="https://www.eby.gov.py/wp-content/uploads/2019/12/YacyretaEnergiasMensualesDesdePuestaenMarcha.pdf" TargetMode="External" Id="rId500"/><Relationship Type="http://schemas.openxmlformats.org/officeDocument/2006/relationships/hyperlink" Target="https://www.eby.gov.py/wp-content/uploads/2019/12/YacyretaEnergiasMensualesDesdePuestaenMarcha.pdf" TargetMode="External" Id="rId501"/><Relationship Type="http://schemas.openxmlformats.org/officeDocument/2006/relationships/hyperlink" Target="https://www.eby.gov.py/wp-content/uploads/2019/12/YacyretaEnergiasMensualesDesdePuestaenMarcha.pdf" TargetMode="External" Id="rId502"/><Relationship Type="http://schemas.openxmlformats.org/officeDocument/2006/relationships/hyperlink" Target="https://www.eby.gov.py/wp-content/uploads/2019/12/YacyretaEnergiasMensualesDesdePuestaenMarcha.pdf" TargetMode="External" Id="rId503"/><Relationship Type="http://schemas.openxmlformats.org/officeDocument/2006/relationships/hyperlink" Target="https://www.eby.gov.py/wp-content/uploads/2019/12/YacyretaEnergiasMensualesDesdePuestaenMarcha.pdf" TargetMode="External" Id="rId504"/><Relationship Type="http://schemas.openxmlformats.org/officeDocument/2006/relationships/hyperlink" Target="https://www.eby.gov.py/wp-content/uploads/2019/12/YacyretaEnergiasMensualesDesdePuestaenMarcha.pdf" TargetMode="External" Id="rId505"/><Relationship Type="http://schemas.openxmlformats.org/officeDocument/2006/relationships/hyperlink" Target="https://www.eby.gov.py/wp-content/uploads/2019/12/YacyretaEnergiasMensualesDesdePuestaenMarcha.pdf" TargetMode="External" Id="rId506"/><Relationship Type="http://schemas.openxmlformats.org/officeDocument/2006/relationships/hyperlink" Target="https://www.eby.gov.py/wp-content/uploads/2019/12/YacyretaEnergiasMensualesDesdePuestaenMarcha.pdf" TargetMode="External" Id="rId507"/><Relationship Type="http://schemas.openxmlformats.org/officeDocument/2006/relationships/hyperlink" Target="https://www.eby.gov.py/wp-content/uploads/2019/12/YacyretaEnergiasMensualesDesdePuestaenMarcha.pdf" TargetMode="External" Id="rId508"/><Relationship Type="http://schemas.openxmlformats.org/officeDocument/2006/relationships/hyperlink" Target="https://www.eby.gov.py/wp-content/uploads/2019/12/YacyretaEnergiasMensualesDesdePuestaenMarcha.pdf" TargetMode="External" Id="rId509"/><Relationship Type="http://schemas.openxmlformats.org/officeDocument/2006/relationships/hyperlink" Target="https://www.eby.gov.py/wp-content/uploads/2019/12/YacyretaEnergiasMensualesDesdePuestaenMarcha.pdf" TargetMode="External" Id="rId510"/><Relationship Type="http://schemas.openxmlformats.org/officeDocument/2006/relationships/hyperlink" Target="https://www.eby.gov.py/wp-content/uploads/2019/12/YacyretaEnergiasMensualesDesdePuestaenMarcha.pdf" TargetMode="External" Id="rId511"/><Relationship Type="http://schemas.openxmlformats.org/officeDocument/2006/relationships/hyperlink" Target="https://www.eby.gov.py/wp-content/uploads/2019/12/YacyretaEnergiasMensualesDesdePuestaenMarcha.pdf" TargetMode="External" Id="rId512"/><Relationship Type="http://schemas.openxmlformats.org/officeDocument/2006/relationships/hyperlink" Target="https://www.eby.gov.py/wp-content/uploads/2019/12/YacyretaEnergiasMensualesDesdePuestaenMarcha.pdf" TargetMode="External" Id="rId513"/><Relationship Type="http://schemas.openxmlformats.org/officeDocument/2006/relationships/hyperlink" Target="https://www.eby.gov.py/wp-content/uploads/2019/12/YacyretaEnergiasMensualesDesdePuestaenMarcha.pdf" TargetMode="External" Id="rId514"/><Relationship Type="http://schemas.openxmlformats.org/officeDocument/2006/relationships/hyperlink" Target="https://www.eby.gov.py/wp-content/uploads/2019/12/YacyretaEnergiasMensualesDesdePuestaenMarcha.pdf" TargetMode="External" Id="rId515"/><Relationship Type="http://schemas.openxmlformats.org/officeDocument/2006/relationships/hyperlink" Target="https://www.eby.gov.py/wp-content/uploads/2019/12/YacyretaEnergiasMensualesDesdePuestaenMarcha.pdf" TargetMode="External" Id="rId516"/><Relationship Type="http://schemas.openxmlformats.org/officeDocument/2006/relationships/hyperlink" Target="https://www.eby.gov.py/wp-content/uploads/2019/12/YacyretaEnergiasMensualesDesdePuestaenMarcha.pdf" TargetMode="External" Id="rId517"/><Relationship Type="http://schemas.openxmlformats.org/officeDocument/2006/relationships/hyperlink" Target="https://www.eby.gov.py/wp-content/uploads/2019/12/YacyretaEnergiasMensualesDesdePuestaenMarcha.pdf" TargetMode="External" Id="rId518"/><Relationship Type="http://schemas.openxmlformats.org/officeDocument/2006/relationships/hyperlink" Target="https://www.eby.gov.py/wp-content/uploads/2019/12/YacyretaEnergiasMensualesDesdePuestaenMarcha.pdf" TargetMode="External" Id="rId519"/><Relationship Type="http://schemas.openxmlformats.org/officeDocument/2006/relationships/hyperlink" Target="https://www.eby.gov.py/wp-content/uploads/2019/12/YacyretaEnergiasMensualesDesdePuestaenMarcha.pdf" TargetMode="External" Id="rId520"/><Relationship Type="http://schemas.openxmlformats.org/officeDocument/2006/relationships/hyperlink" Target="https://www.eby.gov.py/wp-content/uploads/2019/12/YacyretaEnergiasMensualesDesdePuestaenMarcha.pdf" TargetMode="External" Id="rId521"/><Relationship Type="http://schemas.openxmlformats.org/officeDocument/2006/relationships/hyperlink" Target="https://www.eby.gov.py/wp-content/uploads/2019/12/YacyretaEnergiasMensualesDesdePuestaenMarcha.pdf" TargetMode="External" Id="rId522"/><Relationship Type="http://schemas.openxmlformats.org/officeDocument/2006/relationships/hyperlink" Target="https://www.eby.gov.py/wp-content/uploads/2019/12/YacyretaEnergiasMensualesDesdePuestaenMarcha.pdf" TargetMode="External" Id="rId523"/><Relationship Type="http://schemas.openxmlformats.org/officeDocument/2006/relationships/hyperlink" Target="https://www.eby.gov.py/wp-content/uploads/2019/12/YacyretaEnergiasMensualesDesdePuestaenMarcha.pdf" TargetMode="External" Id="rId524"/><Relationship Type="http://schemas.openxmlformats.org/officeDocument/2006/relationships/hyperlink" Target="https://www.eby.gov.py/wp-content/uploads/2019/12/YacyretaEnergiasMensualesDesdePuestaenMarcha.pdf" TargetMode="External" Id="rId525"/><Relationship Type="http://schemas.openxmlformats.org/officeDocument/2006/relationships/hyperlink" Target="https://www.eby.gov.py/wp-content/uploads/2019/12/YacyretaEnergiasMensualesDesdePuestaenMarcha.pdf" TargetMode="External" Id="rId526"/><Relationship Type="http://schemas.openxmlformats.org/officeDocument/2006/relationships/hyperlink" Target="https://www.eby.gov.py/wp-content/uploads/2019/12/YacyretaEnergiasMensualesDesdePuestaenMarcha.pdf" TargetMode="External" Id="rId527"/><Relationship Type="http://schemas.openxmlformats.org/officeDocument/2006/relationships/hyperlink" Target="https://www.eby.gov.py/wp-content/uploads/2019/12/YacyretaEnergiasMensualesDesdePuestaenMarcha.pdf" TargetMode="External" Id="rId528"/><Relationship Type="http://schemas.openxmlformats.org/officeDocument/2006/relationships/hyperlink" Target="https://www.eby.gov.py/wp-content/uploads/2019/12/YacyretaEnergiasMensualesDesdePuestaenMarcha.pdf" TargetMode="External" Id="rId529"/><Relationship Type="http://schemas.openxmlformats.org/officeDocument/2006/relationships/hyperlink" Target="https://www.eby.gov.py/wp-content/uploads/2019/12/YacyretaEnergiasMensualesDesdePuestaenMarcha.pdf" TargetMode="External" Id="rId530"/><Relationship Type="http://schemas.openxmlformats.org/officeDocument/2006/relationships/hyperlink" Target="https://www.eby.gov.py/wp-content/uploads/2019/12/YacyretaEnergiasMensualesDesdePuestaenMarcha.pdf" TargetMode="External" Id="rId531"/><Relationship Type="http://schemas.openxmlformats.org/officeDocument/2006/relationships/hyperlink" Target="https://www.eby.gov.py/wp-content/uploads/2019/12/YacyretaEnergiasMensualesDesdePuestaenMarcha.pdf" TargetMode="External" Id="rId532"/><Relationship Type="http://schemas.openxmlformats.org/officeDocument/2006/relationships/hyperlink" Target="https://www.eby.gov.py/wp-content/uploads/2019/12/YacyretaEnergiasMensualesDesdePuestaenMarcha.pdf" TargetMode="External" Id="rId533"/><Relationship Type="http://schemas.openxmlformats.org/officeDocument/2006/relationships/hyperlink" Target="https://www.eby.gov.py/wp-content/uploads/2019/12/YacyretaEnergiasMensualesDesdePuestaenMarcha.pdf" TargetMode="External" Id="rId534"/><Relationship Type="http://schemas.openxmlformats.org/officeDocument/2006/relationships/hyperlink" Target="https://www.eby.gov.py/wp-content/uploads/2019/12/YacyretaEnergiasMensualesDesdePuestaenMarcha.pdf" TargetMode="External" Id="rId535"/><Relationship Type="http://schemas.openxmlformats.org/officeDocument/2006/relationships/hyperlink" Target="https://www.eby.gov.py/wp-content/uploads/2019/12/YacyretaEnergiasMensualesDesdePuestaenMarcha.pdf" TargetMode="External" Id="rId536"/><Relationship Type="http://schemas.openxmlformats.org/officeDocument/2006/relationships/hyperlink" Target="https://www.eby.gov.py/wp-content/uploads/2019/12/YacyretaEnergiasMensualesDesdePuestaenMarcha.pdf" TargetMode="External" Id="rId537"/><Relationship Type="http://schemas.openxmlformats.org/officeDocument/2006/relationships/hyperlink" Target="https://www.eby.gov.py/wp-content/uploads/2019/12/YacyretaEnergiasMensualesDesdePuestaenMarcha.pdf" TargetMode="External" Id="rId538"/><Relationship Type="http://schemas.openxmlformats.org/officeDocument/2006/relationships/hyperlink" Target="https://www.eby.gov.py/wp-content/uploads/2019/12/YacyretaEnergiasMensualesDesdePuestaenMarcha.pdf" TargetMode="External" Id="rId539"/><Relationship Type="http://schemas.openxmlformats.org/officeDocument/2006/relationships/hyperlink" Target="https://www.eby.gov.py/wp-content/uploads/2019/12/YacyretaEnergiasMensualesDesdePuestaenMarcha.pdf" TargetMode="External" Id="rId540"/><Relationship Type="http://schemas.openxmlformats.org/officeDocument/2006/relationships/hyperlink" Target="https://www.eby.gov.py/wp-content/uploads/2019/12/YacyretaEnergiasMensualesDesdePuestaenMarcha.pdf" TargetMode="External" Id="rId541"/><Relationship Type="http://schemas.openxmlformats.org/officeDocument/2006/relationships/hyperlink" Target="https://www.eby.gov.py/wp-content/uploads/2019/12/YacyretaEnergiasMensualesDesdePuestaenMarcha.pdf" TargetMode="External" Id="rId542"/><Relationship Type="http://schemas.openxmlformats.org/officeDocument/2006/relationships/hyperlink" Target="https://www.eby.gov.py/wp-content/uploads/2019/12/YacyretaEnergiasMensualesDesdePuestaenMarcha.pdf" TargetMode="External" Id="rId543"/><Relationship Type="http://schemas.openxmlformats.org/officeDocument/2006/relationships/hyperlink" Target="https://www.eby.gov.py/wp-content/uploads/2019/12/YacyretaEnergiasMensualesDesdePuestaenMarcha.pdf" TargetMode="External" Id="rId544"/><Relationship Type="http://schemas.openxmlformats.org/officeDocument/2006/relationships/hyperlink" Target="https://www.eby.gov.py/wp-content/uploads/2019/12/YacyretaEnergiasMensualesDesdePuestaenMarcha.pdf" TargetMode="External" Id="rId545"/><Relationship Type="http://schemas.openxmlformats.org/officeDocument/2006/relationships/hyperlink" Target="https://www.eby.gov.py/wp-content/uploads/2019/12/YacyretaEnergiasMensualesDesdePuestaenMarcha.pdf" TargetMode="External" Id="rId546"/><Relationship Type="http://schemas.openxmlformats.org/officeDocument/2006/relationships/hyperlink" Target="https://www.eby.gov.py/wp-content/uploads/2019/12/YacyretaEnergiasMensualesDesdePuestaenMarcha.pdf" TargetMode="External" Id="rId547"/><Relationship Type="http://schemas.openxmlformats.org/officeDocument/2006/relationships/hyperlink" Target="https://www.eby.gov.py/wp-content/uploads/2019/12/YacyretaEnergiasMensualesDesdePuestaenMarcha.pdf" TargetMode="External" Id="rId548"/><Relationship Type="http://schemas.openxmlformats.org/officeDocument/2006/relationships/hyperlink" Target="https://www.eby.gov.py/wp-content/uploads/2019/12/YacyretaEnergiasMensualesDesdePuestaenMarcha.pdf" TargetMode="External" Id="rId549"/><Relationship Type="http://schemas.openxmlformats.org/officeDocument/2006/relationships/hyperlink" Target="https://www.eby.gov.py/wp-content/uploads/2019/12/YacyretaEnergiasMensualesDesdePuestaenMarcha.pdf" TargetMode="External" Id="rId550"/><Relationship Type="http://schemas.openxmlformats.org/officeDocument/2006/relationships/hyperlink" Target="https://www.eby.gov.py/wp-content/uploads/2019/12/YacyretaEnergiasMensualesDesdePuestaenMarcha.pdf" TargetMode="External" Id="rId551"/><Relationship Type="http://schemas.openxmlformats.org/officeDocument/2006/relationships/hyperlink" Target="https://www.eby.gov.py/wp-content/uploads/2019/12/YacyretaEnergiasMensualesDesdePuestaenMarcha.pdf" TargetMode="External" Id="rId552"/><Relationship Type="http://schemas.openxmlformats.org/officeDocument/2006/relationships/hyperlink" Target="https://www.eby.gov.py/wp-content/uploads/2019/12/YacyretaEnergiasMensualesDesdePuestaenMarcha.pdf" TargetMode="External" Id="rId553"/><Relationship Type="http://schemas.openxmlformats.org/officeDocument/2006/relationships/hyperlink" Target="https://www.eby.gov.py/wp-content/uploads/2019/12/YacyretaEnergiasMensualesDesdePuestaenMarcha.pdf" TargetMode="External" Id="rId554"/><Relationship Type="http://schemas.openxmlformats.org/officeDocument/2006/relationships/hyperlink" Target="https://www.eby.gov.py/wp-content/uploads/2019/12/YacyretaEnergiasMensualesDesdePuestaenMarcha.pdf" TargetMode="External" Id="rId555"/><Relationship Type="http://schemas.openxmlformats.org/officeDocument/2006/relationships/hyperlink" Target="https://www.eby.gov.py/wp-content/uploads/2019/12/YacyretaEnergiasMensualesDesdePuestaenMarcha.pdf" TargetMode="External" Id="rId556"/><Relationship Type="http://schemas.openxmlformats.org/officeDocument/2006/relationships/hyperlink" Target="https://www.eby.gov.py/wp-content/uploads/2019/12/YacyretaEnergiasMensualesDesdePuestaenMarcha.pdf" TargetMode="External" Id="rId557"/><Relationship Type="http://schemas.openxmlformats.org/officeDocument/2006/relationships/hyperlink" Target="https://www.eby.gov.py/wp-content/uploads/2019/12/YacyretaEnergiasMensualesDesdePuestaenMarcha.pdf" TargetMode="External" Id="rId558"/><Relationship Type="http://schemas.openxmlformats.org/officeDocument/2006/relationships/hyperlink" Target="https://www.eby.gov.py/wp-content/uploads/2019/12/YacyretaEnergiasMensualesDesdePuestaenMarcha.pdf" TargetMode="External" Id="rId559"/><Relationship Type="http://schemas.openxmlformats.org/officeDocument/2006/relationships/hyperlink" Target="https://www.eby.gov.py/wp-content/uploads/2019/12/YacyretaEnergiasMensualesDesdePuestaenMarcha.pdf" TargetMode="External" Id="rId560"/><Relationship Type="http://schemas.openxmlformats.org/officeDocument/2006/relationships/hyperlink" Target="https://www.eby.gov.py/wp-content/uploads/2019/12/YacyretaEnergiasMensualesDesdePuestaenMarcha.pdf" TargetMode="External" Id="rId561"/><Relationship Type="http://schemas.openxmlformats.org/officeDocument/2006/relationships/hyperlink" Target="https://www.eby.gov.py/wp-content/uploads/2019/12/YacyretaEnergiasMensualesDesdePuestaenMarcha.pdf" TargetMode="External" Id="rId562"/><Relationship Type="http://schemas.openxmlformats.org/officeDocument/2006/relationships/hyperlink" Target="https://www.eby.gov.py/wp-content/uploads/2019/12/YacyretaEnergiasMensualesDesdePuestaenMarcha.pdf" TargetMode="External" Id="rId563"/><Relationship Type="http://schemas.openxmlformats.org/officeDocument/2006/relationships/hyperlink" Target="https://www.eby.gov.py/wp-content/uploads/2019/12/YacyretaEnergiasMensualesDesdePuestaenMarcha.pdf" TargetMode="External" Id="rId564"/><Relationship Type="http://schemas.openxmlformats.org/officeDocument/2006/relationships/hyperlink" Target="https://www.eby.gov.py/wp-content/uploads/2019/12/YacyretaEnergiasMensualesDesdePuestaenMarcha.pdf" TargetMode="External" Id="rId565"/><Relationship Type="http://schemas.openxmlformats.org/officeDocument/2006/relationships/hyperlink" Target="https://www.eby.gov.py/wp-content/uploads/2019/12/YacyretaEnergiasMensualesDesdePuestaenMarcha.pdf" TargetMode="External" Id="rId566"/><Relationship Type="http://schemas.openxmlformats.org/officeDocument/2006/relationships/hyperlink" Target="https://www.eby.gov.py/wp-content/uploads/2019/12/YacyretaEnergiasMensualesDesdePuestaenMarcha.pdf" TargetMode="External" Id="rId567"/><Relationship Type="http://schemas.openxmlformats.org/officeDocument/2006/relationships/hyperlink" Target="https://www.eby.gov.py/wp-content/uploads/2019/12/YacyretaEnergiasMensualesDesdePuestaenMarcha.pdf" TargetMode="External" Id="rId568"/><Relationship Type="http://schemas.openxmlformats.org/officeDocument/2006/relationships/hyperlink" Target="https://www.eby.gov.py/wp-content/uploads/2019/12/YacyretaEnergiasMensualesDesdePuestaenMarcha.pdf" TargetMode="External" Id="rId569"/><Relationship Type="http://schemas.openxmlformats.org/officeDocument/2006/relationships/hyperlink" Target="https://www.eby.gov.py/wp-content/uploads/2019/12/YacyretaEnergiasMensualesDesdePuestaenMarcha.pdf" TargetMode="External" Id="rId570"/><Relationship Type="http://schemas.openxmlformats.org/officeDocument/2006/relationships/hyperlink" Target="https://www.eby.gov.py/wp-content/uploads/2019/12/YacyretaEnergiasMensualesDesdePuestaenMarcha.pdf" TargetMode="External" Id="rId571"/><Relationship Type="http://schemas.openxmlformats.org/officeDocument/2006/relationships/hyperlink" Target="https://www.eby.gov.py/wp-content/uploads/2019/12/YacyretaEnergiasMensualesDesdePuestaenMarcha.pdf" TargetMode="External" Id="rId572"/><Relationship Type="http://schemas.openxmlformats.org/officeDocument/2006/relationships/hyperlink" Target="https://www.eby.gov.py/wp-content/uploads/2019/12/YacyretaEnergiasMensualesDesdePuestaenMarcha.pdf" TargetMode="External" Id="rId573"/><Relationship Type="http://schemas.openxmlformats.org/officeDocument/2006/relationships/hyperlink" Target="https://www.eby.gov.py/wp-content/uploads/2019/12/YacyretaEnergiasMensualesDesdePuestaenMarcha.pdf" TargetMode="External" Id="rId574"/><Relationship Type="http://schemas.openxmlformats.org/officeDocument/2006/relationships/hyperlink" Target="https://www.eby.gov.py/wp-content/uploads/2019/12/YacyretaEnergiasMensualesDesdePuestaenMarcha.pdf" TargetMode="External" Id="rId575"/><Relationship Type="http://schemas.openxmlformats.org/officeDocument/2006/relationships/hyperlink" Target="https://www.eby.gov.py/wp-content/uploads/2019/12/YacyretaEnergiasMensualesDesdePuestaenMarcha.pdf" TargetMode="External" Id="rId576"/><Relationship Type="http://schemas.openxmlformats.org/officeDocument/2006/relationships/hyperlink" Target="https://www.eby.gov.py/wp-content/uploads/2019/12/YacyretaEnergiasMensualesDesdePuestaenMarcha.pdf" TargetMode="External" Id="rId577"/><Relationship Type="http://schemas.openxmlformats.org/officeDocument/2006/relationships/hyperlink" Target="https://www.eby.gov.py/wp-content/uploads/2019/12/YacyretaEnergiasMensualesDesdePuestaenMarcha.pdf" TargetMode="External" Id="rId578"/><Relationship Type="http://schemas.openxmlformats.org/officeDocument/2006/relationships/hyperlink" Target="https://www.eby.gov.py/wp-content/uploads/2019/12/YacyretaEnergiasMensualesDesdePuestaenMarcha.pdf" TargetMode="External" Id="rId579"/><Relationship Type="http://schemas.openxmlformats.org/officeDocument/2006/relationships/hyperlink" Target="https://www.eby.gov.py/wp-content/uploads/2019/12/YacyretaEnergiasMensualesDesdePuestaenMarcha.pdf" TargetMode="External" Id="rId580"/><Relationship Type="http://schemas.openxmlformats.org/officeDocument/2006/relationships/hyperlink" Target="https://www.eby.gov.py/wp-content/uploads/2019/12/YacyretaEnergiasMensualesDesdePuestaenMarcha.pdf" TargetMode="External" Id="rId581"/><Relationship Type="http://schemas.openxmlformats.org/officeDocument/2006/relationships/hyperlink" Target="https://www.eby.gov.py/wp-content/uploads/2019/12/YacyretaEnergiasMensualesDesdePuestaenMarcha.pdf" TargetMode="External" Id="rId582"/><Relationship Type="http://schemas.openxmlformats.org/officeDocument/2006/relationships/hyperlink" Target="https://www.eby.gov.py/wp-content/uploads/2019/12/YacyretaEnergiasMensualesDesdePuestaenMarcha.pdf" TargetMode="External" Id="rId583"/><Relationship Type="http://schemas.openxmlformats.org/officeDocument/2006/relationships/hyperlink" Target="https://www.eby.gov.py/wp-content/uploads/2019/12/YacyretaEnergiasMensualesDesdePuestaenMarcha.pdf" TargetMode="External" Id="rId584"/><Relationship Type="http://schemas.openxmlformats.org/officeDocument/2006/relationships/hyperlink" Target="https://www.eby.gov.py/wp-content/uploads/2019/12/YacyretaEnergiasMensualesDesdePuestaenMarcha.pdf" TargetMode="External" Id="rId585"/><Relationship Type="http://schemas.openxmlformats.org/officeDocument/2006/relationships/hyperlink" Target="https://www.eby.gov.py/wp-content/uploads/2019/12/YacyretaEnergiasMensualesDesdePuestaenMarcha.pdf" TargetMode="External" Id="rId586"/><Relationship Type="http://schemas.openxmlformats.org/officeDocument/2006/relationships/hyperlink" Target="https://www.eby.gov.py/wp-content/uploads/2019/12/YacyretaEnergiasMensualesDesdePuestaenMarcha.pdf" TargetMode="External" Id="rId587"/><Relationship Type="http://schemas.openxmlformats.org/officeDocument/2006/relationships/hyperlink" Target="https://www.eby.gov.py/wp-content/uploads/2019/12/YacyretaEnergiasMensualesDesdePuestaenMarcha.pdf" TargetMode="External" Id="rId588"/><Relationship Type="http://schemas.openxmlformats.org/officeDocument/2006/relationships/hyperlink" Target="https://www.eby.gov.py/wp-content/uploads/2019/12/YacyretaEnergiasMensualesDesdePuestaenMarcha.pdf" TargetMode="External" Id="rId589"/><Relationship Type="http://schemas.openxmlformats.org/officeDocument/2006/relationships/hyperlink" Target="https://www.eby.gov.py/wp-content/uploads/2019/12/YacyretaEnergiasMensualesDesdePuestaenMarcha.pdf" TargetMode="External" Id="rId590"/><Relationship Type="http://schemas.openxmlformats.org/officeDocument/2006/relationships/hyperlink" Target="https://www.eby.gov.py/wp-content/uploads/2019/12/YacyretaEnergiasMensualesDesdePuestaenMarcha.pdf" TargetMode="External" Id="rId591"/><Relationship Type="http://schemas.openxmlformats.org/officeDocument/2006/relationships/hyperlink" Target="https://www.eby.gov.py/wp-content/uploads/2019/12/YacyretaEnergiasMensualesDesdePuestaenMarcha.pdf" TargetMode="External" Id="rId592"/><Relationship Type="http://schemas.openxmlformats.org/officeDocument/2006/relationships/hyperlink" Target="https://www.eby.gov.py/wp-content/uploads/2019/12/YacyretaEnergiasMensualesDesdePuestaenMarcha.pdf" TargetMode="External" Id="rId593"/><Relationship Type="http://schemas.openxmlformats.org/officeDocument/2006/relationships/hyperlink" Target="https://www.eby.gov.py/wp-content/uploads/2019/12/YacyretaEnergiasMensualesDesdePuestaenMarcha.pdf" TargetMode="External" Id="rId594"/><Relationship Type="http://schemas.openxmlformats.org/officeDocument/2006/relationships/hyperlink" Target="https://www.eby.gov.py/wp-content/uploads/2019/12/YacyretaEnergiasMensualesDesdePuestaenMarcha.pdf" TargetMode="External" Id="rId595"/><Relationship Type="http://schemas.openxmlformats.org/officeDocument/2006/relationships/hyperlink" Target="https://www.eby.gov.py/wp-content/uploads/2019/12/YacyretaEnergiasMensualesDesdePuestaenMarcha.pdf" TargetMode="External" Id="rId596"/><Relationship Type="http://schemas.openxmlformats.org/officeDocument/2006/relationships/hyperlink" Target="https://www.eby.gov.py/wp-content/uploads/2019/12/YacyretaEnergiasMensualesDesdePuestaenMarcha.pdf" TargetMode="External" Id="rId597"/><Relationship Type="http://schemas.openxmlformats.org/officeDocument/2006/relationships/hyperlink" Target="https://www.eby.gov.py/wp-content/uploads/2019/12/YacyretaEnergiasMensualesDesdePuestaenMarcha.pdf" TargetMode="External" Id="rId598"/><Relationship Type="http://schemas.openxmlformats.org/officeDocument/2006/relationships/hyperlink" Target="https://www.eby.gov.py/wp-content/uploads/2019/12/YacyretaEnergiasMensualesDesdePuestaenMarcha.pdf" TargetMode="External" Id="rId599"/><Relationship Type="http://schemas.openxmlformats.org/officeDocument/2006/relationships/hyperlink" Target="https://www.eby.gov.py/wp-content/uploads/2019/12/YacyretaEnergiasMensualesDesdePuestaenMarcha.pdf" TargetMode="External" Id="rId600"/><Relationship Type="http://schemas.openxmlformats.org/officeDocument/2006/relationships/hyperlink" Target="https://www.eby.gov.py/wp-content/uploads/2019/12/YacyretaEnergiasMensualesDesdePuestaenMarcha.pdf" TargetMode="External" Id="rId601"/><Relationship Type="http://schemas.openxmlformats.org/officeDocument/2006/relationships/hyperlink" Target="https://www.eby.gov.py/wp-content/uploads/2019/12/YacyretaEnergiasMensualesDesdePuestaenMarcha.pdf" TargetMode="External" Id="rId602"/><Relationship Type="http://schemas.openxmlformats.org/officeDocument/2006/relationships/hyperlink" Target="https://www.eby.gov.py/wp-content/uploads/2019/12/YacyretaEnergiasMensualesDesdePuestaenMarcha.pdf" TargetMode="External" Id="rId603"/><Relationship Type="http://schemas.openxmlformats.org/officeDocument/2006/relationships/hyperlink" Target="https://www.eby.gov.py/wp-content/uploads/2019/12/YacyretaEnergiasMensualesDesdePuestaenMarcha.pdf" TargetMode="External" Id="rId604"/><Relationship Type="http://schemas.openxmlformats.org/officeDocument/2006/relationships/hyperlink" Target="https://www.eby.gov.py/wp-content/uploads/2019/12/YacyretaEnergiasMensualesDesdePuestaenMarcha.pdf" TargetMode="External" Id="rId605"/><Relationship Type="http://schemas.openxmlformats.org/officeDocument/2006/relationships/hyperlink" Target="https://www.eby.gov.py/wp-content/uploads/2019/12/YacyretaEnergiasMensualesDesdePuestaenMarcha.pdf" TargetMode="External" Id="rId606"/><Relationship Type="http://schemas.openxmlformats.org/officeDocument/2006/relationships/hyperlink" Target="https://www.eby.gov.py/wp-content/uploads/2019/12/YacyretaEnergiasMensualesDesdePuestaenMarcha.pdf" TargetMode="External" Id="rId607"/><Relationship Type="http://schemas.openxmlformats.org/officeDocument/2006/relationships/hyperlink" Target="https://www.eby.gov.py/wp-content/uploads/2019/12/YacyretaEnergiasMensualesDesdePuestaenMarcha.pdf" TargetMode="External" Id="rId608"/><Relationship Type="http://schemas.openxmlformats.org/officeDocument/2006/relationships/hyperlink" Target="https://www.eby.gov.py/wp-content/uploads/2019/12/YacyretaEnergiasMensualesDesdePuestaenMarcha.pdf" TargetMode="External" Id="rId609"/><Relationship Type="http://schemas.openxmlformats.org/officeDocument/2006/relationships/hyperlink" Target="https://www.eby.gov.py/wp-content/uploads/2019/12/YacyretaEnergiasMensualesDesdePuestaenMarcha.pdf" TargetMode="External" Id="rId610"/><Relationship Type="http://schemas.openxmlformats.org/officeDocument/2006/relationships/hyperlink" Target="https://www.eby.gov.py/wp-content/uploads/2019/12/YacyretaEnergiasMensualesDesdePuestaenMarcha.pdf" TargetMode="External" Id="rId611"/><Relationship Type="http://schemas.openxmlformats.org/officeDocument/2006/relationships/hyperlink" Target="https://www.eby.gov.py/wp-content/uploads/2019/12/YacyretaEnergiasMensualesDesdePuestaenMarcha.pdf" TargetMode="External" Id="rId612"/><Relationship Type="http://schemas.openxmlformats.org/officeDocument/2006/relationships/hyperlink" Target="https://www.eby.gov.py/wp-content/uploads/2019/12/YacyretaEnergiasMensualesDesdePuestaenMarcha.pdf" TargetMode="External" Id="rId613"/><Relationship Type="http://schemas.openxmlformats.org/officeDocument/2006/relationships/hyperlink" Target="https://www.eby.gov.py/wp-content/uploads/2019/12/YacyretaEnergiasMensualesDesdePuestaenMarcha.pdf" TargetMode="External" Id="rId614"/><Relationship Type="http://schemas.openxmlformats.org/officeDocument/2006/relationships/hyperlink" Target="https://www.eby.gov.py/wp-content/uploads/2019/12/YacyretaEnergiasMensualesDesdePuestaenMarcha.pdf" TargetMode="External" Id="rId615"/><Relationship Type="http://schemas.openxmlformats.org/officeDocument/2006/relationships/hyperlink" Target="https://www.eby.gov.py/wp-content/uploads/2019/12/YacyretaEnergiasMensualesDesdePuestaenMarcha.pdf" TargetMode="External" Id="rId616"/><Relationship Type="http://schemas.openxmlformats.org/officeDocument/2006/relationships/hyperlink" Target="https://www.eby.gov.py/wp-content/uploads/2019/12/YacyretaEnergiasMensualesDesdePuestaenMarcha.pdf" TargetMode="External" Id="rId617"/><Relationship Type="http://schemas.openxmlformats.org/officeDocument/2006/relationships/hyperlink" Target="https://www.eby.gov.py/wp-content/uploads/2019/12/YacyretaEnergiasMensualesDesdePuestaenMarcha.pdf" TargetMode="External" Id="rId618"/><Relationship Type="http://schemas.openxmlformats.org/officeDocument/2006/relationships/hyperlink" Target="https://www.eby.gov.py/wp-content/uploads/2019/12/YacyretaEnergiasMensualesDesdePuestaenMarcha.pdf" TargetMode="External" Id="rId619"/><Relationship Type="http://schemas.openxmlformats.org/officeDocument/2006/relationships/hyperlink" Target="https://www.eby.gov.py/wp-content/uploads/2019/12/YacyretaEnergiasMensualesDesdePuestaenMarcha.pdf" TargetMode="External" Id="rId620"/><Relationship Type="http://schemas.openxmlformats.org/officeDocument/2006/relationships/hyperlink" Target="https://www.eby.gov.py/wp-content/uploads/2019/12/YacyretaEnergiasMensualesDesdePuestaenMarcha.pdf" TargetMode="External" Id="rId621"/><Relationship Type="http://schemas.openxmlformats.org/officeDocument/2006/relationships/hyperlink" Target="https://www.eby.gov.py/wp-content/uploads/2019/12/YacyretaEnergiasMensualesDesdePuestaenMarcha.pdf" TargetMode="External" Id="rId622"/><Relationship Type="http://schemas.openxmlformats.org/officeDocument/2006/relationships/hyperlink" Target="https://www.eby.gov.py/wp-content/uploads/2019/12/YacyretaEnergiasMensualesDesdePuestaenMarcha.pdf" TargetMode="External" Id="rId623"/><Relationship Type="http://schemas.openxmlformats.org/officeDocument/2006/relationships/hyperlink" Target="https://www.eby.gov.py/wp-content/uploads/2019/12/YacyretaEnergiasMensualesDesdePuestaenMarcha.pdf" TargetMode="External" Id="rId624"/><Relationship Type="http://schemas.openxmlformats.org/officeDocument/2006/relationships/hyperlink" Target="https://www.eby.gov.py/wp-content/uploads/2019/12/YacyretaEnergiasMensualesDesdePuestaenMarcha.pdf" TargetMode="External" Id="rId625"/><Relationship Type="http://schemas.openxmlformats.org/officeDocument/2006/relationships/hyperlink" Target="https://www.eby.gov.py/wp-content/uploads/2019/12/YacyretaEnergiasMensualesDesdePuestaenMarcha.pdf" TargetMode="External" Id="rId626"/><Relationship Type="http://schemas.openxmlformats.org/officeDocument/2006/relationships/hyperlink" Target="https://www.eby.gov.py/wp-content/uploads/2019/12/YacyretaEnergiasMensualesDesdePuestaenMarcha.pdf" TargetMode="External" Id="rId627"/><Relationship Type="http://schemas.openxmlformats.org/officeDocument/2006/relationships/hyperlink" Target="https://www.eby.gov.py/wp-content/uploads/2019/12/YacyretaEnergiasMensualesDesdePuestaenMarcha.pdf" TargetMode="External" Id="rId628"/><Relationship Type="http://schemas.openxmlformats.org/officeDocument/2006/relationships/hyperlink" Target="https://www.eby.gov.py/wp-content/uploads/2019/12/YacyretaEnergiasMensualesDesdePuestaenMarcha.pdf" TargetMode="External" Id="rId629"/><Relationship Type="http://schemas.openxmlformats.org/officeDocument/2006/relationships/hyperlink" Target="https://www.eby.gov.py/wp-content/uploads/2019/12/YacyretaEnergiasMensualesDesdePuestaenMarcha.pdf" TargetMode="External" Id="rId630"/><Relationship Type="http://schemas.openxmlformats.org/officeDocument/2006/relationships/hyperlink" Target="https://www.eby.gov.py/wp-content/uploads/2019/12/YacyretaEnergiasMensualesDesdePuestaenMarcha.pdf" TargetMode="External" Id="rId631"/><Relationship Type="http://schemas.openxmlformats.org/officeDocument/2006/relationships/hyperlink" Target="https://www.eby.gov.py/wp-content/uploads/2019/12/YacyretaEnergiasMensualesDesdePuestaenMarcha.pdf" TargetMode="External" Id="rId632"/><Relationship Type="http://schemas.openxmlformats.org/officeDocument/2006/relationships/hyperlink" Target="https://www.eby.gov.py/wp-content/uploads/2019/12/YacyretaEnergiasMensualesDesdePuestaenMarcha.pdf" TargetMode="External" Id="rId633"/><Relationship Type="http://schemas.openxmlformats.org/officeDocument/2006/relationships/hyperlink" Target="https://www.eby.gov.py/wp-content/uploads/2019/12/YacyretaEnergiasMensualesDesdePuestaenMarcha.pdf" TargetMode="External" Id="rId634"/><Relationship Type="http://schemas.openxmlformats.org/officeDocument/2006/relationships/hyperlink" Target="https://www.eby.gov.py/wp-content/uploads/2019/12/YacyretaEnergiasMensualesDesdePuestaenMarcha.pdf" TargetMode="External" Id="rId635"/><Relationship Type="http://schemas.openxmlformats.org/officeDocument/2006/relationships/hyperlink" Target="https://www.eby.gov.py/wp-content/uploads/2019/12/YacyretaEnergiasMensualesDesdePuestaenMarcha.pdf" TargetMode="External" Id="rId636"/><Relationship Type="http://schemas.openxmlformats.org/officeDocument/2006/relationships/hyperlink" Target="https://www.eby.gov.py/wp-content/uploads/2019/12/YacyretaEnergiasMensualesDesdePuestaenMarcha.pdf" TargetMode="External" Id="rId637"/><Relationship Type="http://schemas.openxmlformats.org/officeDocument/2006/relationships/hyperlink" Target="https://www.eby.gov.py/wp-content/uploads/2019/12/YacyretaEnergiasMensualesDesdePuestaenMarcha.pdf" TargetMode="External" Id="rId638"/><Relationship Type="http://schemas.openxmlformats.org/officeDocument/2006/relationships/hyperlink" Target="https://www.eby.gov.py/wp-content/uploads/2019/12/YacyretaEnergiasMensualesDesdePuestaenMarcha.pdf" TargetMode="External" Id="rId639"/><Relationship Type="http://schemas.openxmlformats.org/officeDocument/2006/relationships/hyperlink" Target="https://www.eby.gov.py/wp-content/uploads/2019/12/YacyretaEnergiasMensualesDesdePuestaenMarcha.pdf" TargetMode="External" Id="rId640"/><Relationship Type="http://schemas.openxmlformats.org/officeDocument/2006/relationships/hyperlink" Target="https://www.eby.gov.py/wp-content/uploads/2019/12/YacyretaEnergiasMensualesDesdePuestaenMarcha.pdf" TargetMode="External" Id="rId641"/><Relationship Type="http://schemas.openxmlformats.org/officeDocument/2006/relationships/hyperlink" Target="https://www.eby.gov.py/wp-content/uploads/2019/12/YacyretaEnergiasMensualesDesdePuestaenMarcha.pdf" TargetMode="External" Id="rId642"/><Relationship Type="http://schemas.openxmlformats.org/officeDocument/2006/relationships/hyperlink" Target="https://www.eby.gov.py/wp-content/uploads/2019/12/YacyretaEnergiasMensualesDesdePuestaenMarcha.pdf" TargetMode="External" Id="rId643"/><Relationship Type="http://schemas.openxmlformats.org/officeDocument/2006/relationships/hyperlink" Target="https://www.eby.gov.py/wp-content/uploads/2019/12/YacyretaEnergiasMensualesDesdePuestaenMarcha.pdf" TargetMode="External" Id="rId644"/><Relationship Type="http://schemas.openxmlformats.org/officeDocument/2006/relationships/hyperlink" Target="https://www.eby.gov.py/wp-content/uploads/2019/12/YacyretaEnergiasMensualesDesdePuestaenMarcha.pdf" TargetMode="External" Id="rId645"/><Relationship Type="http://schemas.openxmlformats.org/officeDocument/2006/relationships/hyperlink" Target="https://www.eby.gov.py/wp-content/uploads/2019/12/YacyretaEnergiasMensualesDesdePuestaenMarcha.pdf" TargetMode="External" Id="rId646"/><Relationship Type="http://schemas.openxmlformats.org/officeDocument/2006/relationships/hyperlink" Target="https://www.eby.gov.py/wp-content/uploads/2019/12/YacyretaEnergiasMensualesDesdePuestaenMarcha.pdf" TargetMode="External" Id="rId647"/><Relationship Type="http://schemas.openxmlformats.org/officeDocument/2006/relationships/hyperlink" Target="https://www.eby.gov.py/wp-content/uploads/2019/12/YacyretaEnergiasMensualesDesdePuestaenMarcha.pdf" TargetMode="External" Id="rId648"/><Relationship Type="http://schemas.openxmlformats.org/officeDocument/2006/relationships/hyperlink" Target="https://www.eby.gov.py/wp-content/uploads/2019/12/YacyretaEnergiasMensualesDesdePuestaenMarcha.pdf" TargetMode="External" Id="rId649"/><Relationship Type="http://schemas.openxmlformats.org/officeDocument/2006/relationships/hyperlink" Target="https://www.eby.gov.py/wp-content/uploads/2019/12/YacyretaEnergiasMensualesDesdePuestaenMarcha.pdf" TargetMode="External" Id="rId650"/><Relationship Type="http://schemas.openxmlformats.org/officeDocument/2006/relationships/hyperlink" Target="https://www.eby.gov.py/wp-content/uploads/2019/12/YacyretaEnergiasMensualesDesdePuestaenMarcha.pdf" TargetMode="External" Id="rId651"/><Relationship Type="http://schemas.openxmlformats.org/officeDocument/2006/relationships/hyperlink" Target="https://www.eby.gov.py/wp-content/uploads/2019/12/YacyretaEnergiasMensualesDesdePuestaenMarcha.pdf" TargetMode="External" Id="rId652"/><Relationship Type="http://schemas.openxmlformats.org/officeDocument/2006/relationships/hyperlink" Target="https://www.eby.gov.py/wp-content/uploads/2019/12/YacyretaEnergiasMensualesDesdePuestaenMarcha.pdf" TargetMode="External" Id="rId653"/><Relationship Type="http://schemas.openxmlformats.org/officeDocument/2006/relationships/hyperlink" Target="https://www.eby.gov.py/wp-content/uploads/2019/12/YacyretaEnergiasMensualesDesdePuestaenMarcha.pdf" TargetMode="External" Id="rId654"/><Relationship Type="http://schemas.openxmlformats.org/officeDocument/2006/relationships/hyperlink" Target="https://www.eby.gov.py/wp-content/uploads/2019/12/YacyretaEnergiasMensualesDesdePuestaenMarcha.pdf" TargetMode="External" Id="rId655"/><Relationship Type="http://schemas.openxmlformats.org/officeDocument/2006/relationships/hyperlink" Target="https://www.eby.gov.py/wp-content/uploads/2019/12/YacyretaEnergiasMensualesDesdePuestaenMarcha.pdf" TargetMode="External" Id="rId656"/><Relationship Type="http://schemas.openxmlformats.org/officeDocument/2006/relationships/hyperlink" Target="https://www.eby.gov.py/wp-content/uploads/2019/12/YacyretaEnergiasMensualesDesdePuestaenMarcha.pdf" TargetMode="External" Id="rId657"/><Relationship Type="http://schemas.openxmlformats.org/officeDocument/2006/relationships/hyperlink" Target="https://www.eby.gov.py/wp-content/uploads/2019/12/YacyretaEnergiasMensualesDesdePuestaenMarcha.pdf" TargetMode="External" Id="rId658"/><Relationship Type="http://schemas.openxmlformats.org/officeDocument/2006/relationships/hyperlink" Target="https://www.eby.gov.py/wp-content/uploads/2019/12/YacyretaEnergiasMensualesDesdePuestaenMarcha.pdf" TargetMode="External" Id="rId659"/><Relationship Type="http://schemas.openxmlformats.org/officeDocument/2006/relationships/hyperlink" Target="https://www.eby.gov.py/wp-content/uploads/2019/12/YacyretaEnergiasMensualesDesdePuestaenMarcha.pdf" TargetMode="External" Id="rId660"/><Relationship Type="http://schemas.openxmlformats.org/officeDocument/2006/relationships/hyperlink" Target="https://www.eby.gov.py/wp-content/uploads/2019/12/YacyretaEnergiasMensualesDesdePuestaenMarcha.pdf" TargetMode="External" Id="rId661"/><Relationship Type="http://schemas.openxmlformats.org/officeDocument/2006/relationships/hyperlink" Target="https://www.eby.gov.py/wp-content/uploads/2019/12/YacyretaEnergiasMensualesDesdePuestaenMarcha.pdf" TargetMode="External" Id="rId662"/><Relationship Type="http://schemas.openxmlformats.org/officeDocument/2006/relationships/hyperlink" Target="https://www.eby.gov.py/wp-content/uploads/2019/12/YacyretaEnergiasMensualesDesdePuestaenMarcha.pdf" TargetMode="External" Id="rId663"/><Relationship Type="http://schemas.openxmlformats.org/officeDocument/2006/relationships/hyperlink" Target="https://www.eby.gov.py/wp-content/uploads/2019/12/YacyretaEnergiasMensualesDesdePuestaenMarcha.pdf" TargetMode="External" Id="rId664"/><Relationship Type="http://schemas.openxmlformats.org/officeDocument/2006/relationships/hyperlink" Target="https://www.eby.gov.py/wp-content/uploads/2019/12/YacyretaEnergiasMensualesDesdePuestaenMarcha.pdf" TargetMode="External" Id="rId665"/><Relationship Type="http://schemas.openxmlformats.org/officeDocument/2006/relationships/hyperlink" Target="https://www.eby.gov.py/wp-content/uploads/2019/12/YacyretaEnergiasMensualesDesdePuestaenMarcha.pdf" TargetMode="External" Id="rId666"/><Relationship Type="http://schemas.openxmlformats.org/officeDocument/2006/relationships/hyperlink" Target="https://www.eby.gov.py/wp-content/uploads/2019/12/YacyretaEnergiasMensualesDesdePuestaenMarcha.pdf" TargetMode="External" Id="rId667"/><Relationship Type="http://schemas.openxmlformats.org/officeDocument/2006/relationships/hyperlink" Target="https://www.eby.gov.py/wp-content/uploads/2019/12/YacyretaEnergiasMensualesDesdePuestaenMarcha.pdf" TargetMode="External" Id="rId668"/><Relationship Type="http://schemas.openxmlformats.org/officeDocument/2006/relationships/hyperlink" Target="https://www.eby.gov.py/wp-content/uploads/2019/12/YacyretaEnergiasMensualesDesdePuestaenMarcha.pdf" TargetMode="External" Id="rId669"/><Relationship Type="http://schemas.openxmlformats.org/officeDocument/2006/relationships/hyperlink" Target="https://www.eby.gov.py/wp-content/uploads/2019/12/YacyretaEnergiasMensualesDesdePuestaenMarcha.pdf" TargetMode="External" Id="rId670"/><Relationship Type="http://schemas.openxmlformats.org/officeDocument/2006/relationships/hyperlink" Target="https://www.eby.gov.py/wp-content/uploads/2019/12/YacyretaEnergiasMensualesDesdePuestaenMarcha.pdf" TargetMode="External" Id="rId671"/><Relationship Type="http://schemas.openxmlformats.org/officeDocument/2006/relationships/hyperlink" Target="https://www.eby.gov.py/wp-content/uploads/2019/12/YacyretaEnergiasMensualesDesdePuestaenMarcha.pdf" TargetMode="External" Id="rId672"/><Relationship Type="http://schemas.openxmlformats.org/officeDocument/2006/relationships/hyperlink" Target="https://www.eby.gov.py/wp-content/uploads/2019/12/YacyretaEnergiasMensualesDesdePuestaenMarcha.pdf" TargetMode="External" Id="rId673"/><Relationship Type="http://schemas.openxmlformats.org/officeDocument/2006/relationships/hyperlink" Target="https://www.eby.gov.py/wp-content/uploads/2019/12/YacyretaEnergiasMensualesDesdePuestaenMarcha.pdf" TargetMode="External" Id="rId674"/><Relationship Type="http://schemas.openxmlformats.org/officeDocument/2006/relationships/hyperlink" Target="https://www.eby.gov.py/wp-content/uploads/2019/12/YacyretaEnergiasMensualesDesdePuestaenMarcha.pdf" TargetMode="External" Id="rId675"/><Relationship Type="http://schemas.openxmlformats.org/officeDocument/2006/relationships/hyperlink" Target="https://www.eby.gov.py/wp-content/uploads/2019/12/YacyretaEnergiasMensualesDesdePuestaenMarcha.pdf" TargetMode="External" Id="rId676"/><Relationship Type="http://schemas.openxmlformats.org/officeDocument/2006/relationships/hyperlink" Target="https://www.eby.gov.py/wp-content/uploads/2019/12/YacyretaEnergiasMensualesDesdePuestaenMarcha.pdf" TargetMode="External" Id="rId677"/><Relationship Type="http://schemas.openxmlformats.org/officeDocument/2006/relationships/hyperlink" Target="https://www.eby.gov.py/wp-content/uploads/2019/12/YacyretaEnergiasMensualesDesdePuestaenMarcha.pdf" TargetMode="External" Id="rId678"/><Relationship Type="http://schemas.openxmlformats.org/officeDocument/2006/relationships/hyperlink" Target="https://www.eby.gov.py/wp-content/uploads/2019/12/YacyretaEnergiasMensualesDesdePuestaenMarcha.pdf" TargetMode="External" Id="rId679"/><Relationship Type="http://schemas.openxmlformats.org/officeDocument/2006/relationships/hyperlink" Target="https://www.eby.gov.py/wp-content/uploads/2019/12/YacyretaEnergiasMensualesDesdePuestaenMarcha.pdf" TargetMode="External" Id="rId680"/><Relationship Type="http://schemas.openxmlformats.org/officeDocument/2006/relationships/hyperlink" Target="https://www.eby.gov.py/wp-content/uploads/2019/12/YacyretaEnergiasMensualesDesdePuestaenMarcha.pdf" TargetMode="External" Id="rId681"/><Relationship Type="http://schemas.openxmlformats.org/officeDocument/2006/relationships/hyperlink" Target="https://www.eby.gov.py/wp-content/uploads/2019/12/YacyretaEnergiasMensualesDesdePuestaenMarcha.pdf" TargetMode="External" Id="rId682"/><Relationship Type="http://schemas.openxmlformats.org/officeDocument/2006/relationships/hyperlink" Target="https://www.eby.gov.py/wp-content/uploads/2019/12/YacyretaEnergiasMensualesDesdePuestaenMarcha.pdf" TargetMode="External" Id="rId683"/><Relationship Type="http://schemas.openxmlformats.org/officeDocument/2006/relationships/hyperlink" Target="https://www.eby.gov.py/wp-content/uploads/2019/12/YacyretaEnergiasMensualesDesdePuestaenMarcha.pdf" TargetMode="External" Id="rId684"/><Relationship Type="http://schemas.openxmlformats.org/officeDocument/2006/relationships/hyperlink" Target="https://www.eby.gov.py/wp-content/uploads/2019/12/YacyretaEnergiasMensualesDesdePuestaenMarcha.pdf" TargetMode="External" Id="rId685"/><Relationship Type="http://schemas.openxmlformats.org/officeDocument/2006/relationships/hyperlink" Target="https://www.eby.gov.py/wp-content/uploads/2019/12/YacyretaEnergiasMensualesDesdePuestaenMarcha.pdf" TargetMode="External" Id="rId686"/><Relationship Type="http://schemas.openxmlformats.org/officeDocument/2006/relationships/hyperlink" Target="https://www.eby.gov.py/wp-content/uploads/2019/12/YacyretaEnergiasMensualesDesdePuestaenMarcha.pdf" TargetMode="External" Id="rId687"/><Relationship Type="http://schemas.openxmlformats.org/officeDocument/2006/relationships/hyperlink" Target="https://www.eby.gov.py/wp-content/uploads/2019/12/YacyretaEnergiasMensualesDesdePuestaenMarcha.pdf" TargetMode="External" Id="rId688"/><Relationship Type="http://schemas.openxmlformats.org/officeDocument/2006/relationships/hyperlink" Target="https://www.eby.gov.py/wp-content/uploads/2019/12/YacyretaEnergiasMensualesDesdePuestaenMarcha.pdf" TargetMode="External" Id="rId689"/><Relationship Type="http://schemas.openxmlformats.org/officeDocument/2006/relationships/hyperlink" Target="https://www.eby.gov.py/wp-content/uploads/2019/12/YacyretaEnergiasMensualesDesdePuestaenMarcha.pdf" TargetMode="External" Id="rId690"/><Relationship Type="http://schemas.openxmlformats.org/officeDocument/2006/relationships/hyperlink" Target="https://www.eby.gov.py/wp-content/uploads/2019/12/YacyretaEnergiasMensualesDesdePuestaenMarcha.pdf" TargetMode="External" Id="rId691"/><Relationship Type="http://schemas.openxmlformats.org/officeDocument/2006/relationships/hyperlink" Target="https://www.eby.gov.py/wp-content/uploads/2019/12/YacyretaEnergiasMensualesDesdePuestaenMarcha.pdf" TargetMode="External" Id="rId692"/><Relationship Type="http://schemas.openxmlformats.org/officeDocument/2006/relationships/hyperlink" Target="https://www.eby.gov.py/wp-content/uploads/2019/12/YacyretaEnergiasMensualesDesdePuestaenMarcha.pdf" TargetMode="External" Id="rId693"/><Relationship Type="http://schemas.openxmlformats.org/officeDocument/2006/relationships/hyperlink" Target="https://www.eby.gov.py/wp-content/uploads/2019/12/YacyretaEnergiasMensualesDesdePuestaenMarcha.pdf" TargetMode="External" Id="rId694"/><Relationship Type="http://schemas.openxmlformats.org/officeDocument/2006/relationships/hyperlink" Target="https://www.eby.gov.py/wp-content/uploads/2019/12/YacyretaEnergiasMensualesDesdePuestaenMarcha.pdf" TargetMode="External" Id="rId695"/><Relationship Type="http://schemas.openxmlformats.org/officeDocument/2006/relationships/hyperlink" Target="https://www.eby.gov.py/wp-content/uploads/2019/12/YacyretaEnergiasMensualesDesdePuestaenMarcha.pdf" TargetMode="External" Id="rId696"/><Relationship Type="http://schemas.openxmlformats.org/officeDocument/2006/relationships/hyperlink" Target="https://www.eby.gov.py/wp-content/uploads/2019/12/YacyretaEnergiasMensualesDesdePuestaenMarcha.pdf" TargetMode="External" Id="rId697"/><Relationship Type="http://schemas.openxmlformats.org/officeDocument/2006/relationships/hyperlink" Target="https://www.eby.gov.py/wp-content/uploads/2019/12/YacyretaEnergiasMensualesDesdePuestaenMarcha.pdf" TargetMode="External" Id="rId698"/><Relationship Type="http://schemas.openxmlformats.org/officeDocument/2006/relationships/hyperlink" Target="https://www.eby.gov.py/wp-content/uploads/2019/12/YacyretaEnergiasMensualesDesdePuestaenMarcha.pdf" TargetMode="External" Id="rId699"/><Relationship Type="http://schemas.openxmlformats.org/officeDocument/2006/relationships/hyperlink" Target="https://www.eby.gov.py/wp-content/uploads/2019/12/YacyretaEnergiasMensualesDesdePuestaenMarcha.pdf" TargetMode="External" Id="rId700"/><Relationship Type="http://schemas.openxmlformats.org/officeDocument/2006/relationships/hyperlink" Target="https://www.eby.gov.py/wp-content/uploads/2019/12/YacyretaEnergiasMensualesDesdePuestaenMarcha.pdf" TargetMode="External" Id="rId701"/><Relationship Type="http://schemas.openxmlformats.org/officeDocument/2006/relationships/hyperlink" Target="https://www.eby.gov.py/wp-content/uploads/2019/12/YacyretaEnergiasMensualesDesdePuestaenMarcha.pdf" TargetMode="External" Id="rId702"/><Relationship Type="http://schemas.openxmlformats.org/officeDocument/2006/relationships/hyperlink" Target="https://www.eby.gov.py/wp-content/uploads/2019/12/YacyretaEnergiasMensualesDesdePuestaenMarcha.pdf" TargetMode="External" Id="rId703"/><Relationship Type="http://schemas.openxmlformats.org/officeDocument/2006/relationships/hyperlink" Target="https://www.eby.gov.py/wp-content/uploads/2019/12/YacyretaEnergiasMensualesDesdePuestaenMarcha.pdf" TargetMode="External" Id="rId704"/><Relationship Type="http://schemas.openxmlformats.org/officeDocument/2006/relationships/hyperlink" Target="https://www.eby.gov.py/wp-content/uploads/2019/12/YacyretaEnergiasMensualesDesdePuestaenMarcha.pdf" TargetMode="External" Id="rId705"/><Relationship Type="http://schemas.openxmlformats.org/officeDocument/2006/relationships/hyperlink" Target="https://www.eby.gov.py/wp-content/uploads/2019/12/YacyretaEnergiasMensualesDesdePuestaenMarcha.pdf" TargetMode="External" Id="rId706"/><Relationship Type="http://schemas.openxmlformats.org/officeDocument/2006/relationships/hyperlink" Target="https://www.eby.gov.py/wp-content/uploads/2019/12/YacyretaEnergiasMensualesDesdePuestaenMarcha.pdf" TargetMode="External" Id="rId707"/><Relationship Type="http://schemas.openxmlformats.org/officeDocument/2006/relationships/hyperlink" Target="https://www.eby.gov.py/wp-content/uploads/2019/12/YacyretaEnergiasMensualesDesdePuestaenMarcha.pdf" TargetMode="External" Id="rId708"/><Relationship Type="http://schemas.openxmlformats.org/officeDocument/2006/relationships/hyperlink" Target="https://www.eby.gov.py/wp-content/uploads/2019/12/YacyretaEnergiasMensualesDesdePuestaenMarcha.pdf" TargetMode="External" Id="rId709"/><Relationship Type="http://schemas.openxmlformats.org/officeDocument/2006/relationships/hyperlink" Target="https://www.eby.gov.py/wp-content/uploads/2019/12/YacyretaEnergiasMensualesDesdePuestaenMarcha.pdf" TargetMode="External" Id="rId710"/><Relationship Type="http://schemas.openxmlformats.org/officeDocument/2006/relationships/hyperlink" Target="https://www.eby.gov.py/wp-content/uploads/2019/12/YacyretaEnergiasMensualesDesdePuestaenMarcha.pdf" TargetMode="External" Id="rId711"/><Relationship Type="http://schemas.openxmlformats.org/officeDocument/2006/relationships/hyperlink" Target="https://www.eby.gov.py/wp-content/uploads/2019/12/YacyretaEnergiasMensualesDesdePuestaenMarcha.pdf" TargetMode="External" Id="rId712"/><Relationship Type="http://schemas.openxmlformats.org/officeDocument/2006/relationships/hyperlink" Target="https://www.eby.gov.py/wp-content/uploads/2019/12/YacyretaEnergiasMensualesDesdePuestaenMarcha.pdf" TargetMode="External" Id="rId713"/><Relationship Type="http://schemas.openxmlformats.org/officeDocument/2006/relationships/hyperlink" Target="https://www.eby.gov.py/wp-content/uploads/2019/12/YacyretaEnergiasMensualesDesdePuestaenMarcha.pdf" TargetMode="External" Id="rId714"/><Relationship Type="http://schemas.openxmlformats.org/officeDocument/2006/relationships/hyperlink" Target="https://www.eby.gov.py/wp-content/uploads/2019/12/YacyretaEnergiasMensualesDesdePuestaenMarcha.pdf" TargetMode="External" Id="rId715"/><Relationship Type="http://schemas.openxmlformats.org/officeDocument/2006/relationships/hyperlink" Target="https://www.eby.gov.py/wp-content/uploads/2019/12/YacyretaEnergiasMensualesDesdePuestaenMarcha.pdf" TargetMode="External" Id="rId716"/><Relationship Type="http://schemas.openxmlformats.org/officeDocument/2006/relationships/hyperlink" Target="https://www.eby.gov.py/wp-content/uploads/2019/12/YacyretaEnergiasMensualesDesdePuestaenMarcha.pdf" TargetMode="External" Id="rId717"/><Relationship Type="http://schemas.openxmlformats.org/officeDocument/2006/relationships/hyperlink" Target="https://www.eby.gov.py/wp-content/uploads/2019/12/YacyretaEnergiasMensualesDesdePuestaenMarcha.pdf" TargetMode="External" Id="rId718"/><Relationship Type="http://schemas.openxmlformats.org/officeDocument/2006/relationships/hyperlink" Target="https://www.eby.gov.py/wp-content/uploads/2019/12/YacyretaEnergiasMensualesDesdePuestaenMarcha.pdf" TargetMode="External" Id="rId719"/><Relationship Type="http://schemas.openxmlformats.org/officeDocument/2006/relationships/hyperlink" Target="https://www.eby.gov.py/wp-content/uploads/2019/12/YacyretaEnergiasMensualesDesdePuestaenMarcha.pdf" TargetMode="External" Id="rId720"/><Relationship Type="http://schemas.openxmlformats.org/officeDocument/2006/relationships/hyperlink" Target="https://www.eby.gov.py/wp-content/uploads/2019/12/YacyretaEnergiasMensualesDesdePuestaenMarcha.pdf" TargetMode="External" Id="rId721"/><Relationship Type="http://schemas.openxmlformats.org/officeDocument/2006/relationships/hyperlink" Target="https://www.eby.gov.py/wp-content/uploads/2019/12/YacyretaEnergiasMensualesDesdePuestaenMarcha.pdf" TargetMode="External" Id="rId722"/><Relationship Type="http://schemas.openxmlformats.org/officeDocument/2006/relationships/hyperlink" Target="https://www.eby.gov.py/wp-content/uploads/2019/12/YacyretaEnergiasMensualesDesdePuestaenMarcha.pdf" TargetMode="External" Id="rId723"/><Relationship Type="http://schemas.openxmlformats.org/officeDocument/2006/relationships/hyperlink" Target="https://www.eby.gov.py/wp-content/uploads/2019/12/YacyretaEnergiasMensualesDesdePuestaenMarcha.pdf" TargetMode="External" Id="rId724"/><Relationship Type="http://schemas.openxmlformats.org/officeDocument/2006/relationships/hyperlink" Target="https://www.eby.gov.py/wp-content/uploads/2019/12/YacyretaEnergiasMensualesDesdePuestaenMarcha.pdf" TargetMode="External" Id="rId725"/><Relationship Type="http://schemas.openxmlformats.org/officeDocument/2006/relationships/hyperlink" Target="https://www.eby.gov.py/wp-content/uploads/2019/12/YacyretaEnergiasMensualesDesdePuestaenMarcha.pdf" TargetMode="External" Id="rId726"/><Relationship Type="http://schemas.openxmlformats.org/officeDocument/2006/relationships/hyperlink" Target="https://www.eby.gov.py/wp-content/uploads/2019/12/YacyretaEnergiasMensualesDesdePuestaenMarcha.pdf" TargetMode="External" Id="rId727"/><Relationship Type="http://schemas.openxmlformats.org/officeDocument/2006/relationships/hyperlink" Target="https://www.eby.gov.py/wp-content/uploads/2019/12/YacyretaEnergiasMensualesDesdePuestaenMarcha.pdf" TargetMode="External" Id="rId728"/><Relationship Type="http://schemas.openxmlformats.org/officeDocument/2006/relationships/hyperlink" Target="https://www.eby.gov.py/wp-content/uploads/2019/12/YacyretaEnergiasMensualesDesdePuestaenMarcha.pdf" TargetMode="External" Id="rId729"/><Relationship Type="http://schemas.openxmlformats.org/officeDocument/2006/relationships/hyperlink" Target="https://www.eby.gov.py/wp-content/uploads/2019/12/YacyretaEnergiasMensualesDesdePuestaenMarcha.pdf" TargetMode="External" Id="rId730"/><Relationship Type="http://schemas.openxmlformats.org/officeDocument/2006/relationships/hyperlink" Target="https://www.eby.gov.py/wp-content/uploads/2019/12/YacyretaEnergiasMensualesDesdePuestaenMarcha.pdf" TargetMode="External" Id="rId731"/><Relationship Type="http://schemas.openxmlformats.org/officeDocument/2006/relationships/hyperlink" Target="https://www.eby.gov.py/wp-content/uploads/2019/12/YacyretaEnergiasMensualesDesdePuestaenMarcha.pdf" TargetMode="External" Id="rId732"/><Relationship Type="http://schemas.openxmlformats.org/officeDocument/2006/relationships/hyperlink" Target="https://www.eby.gov.py/wp-content/uploads/2019/12/YacyretaEnergiasMensualesDesdePuestaenMarcha.pdf" TargetMode="External" Id="rId733"/><Relationship Type="http://schemas.openxmlformats.org/officeDocument/2006/relationships/hyperlink" Target="https://www.eby.gov.py/wp-content/uploads/2019/12/YacyretaEnergiasMensualesDesdePuestaenMarcha.pdf" TargetMode="External" Id="rId734"/><Relationship Type="http://schemas.openxmlformats.org/officeDocument/2006/relationships/hyperlink" Target="https://www.eby.gov.py/wp-content/uploads/2019/12/YacyretaEnergiasMensualesDesdePuestaenMarcha.pdf" TargetMode="External" Id="rId735"/><Relationship Type="http://schemas.openxmlformats.org/officeDocument/2006/relationships/hyperlink" Target="https://www.eby.gov.py/wp-content/uploads/2019/12/YacyretaEnergiasMensualesDesdePuestaenMarcha.pdf" TargetMode="External" Id="rId736"/><Relationship Type="http://schemas.openxmlformats.org/officeDocument/2006/relationships/hyperlink" Target="https://www.eby.gov.py/wp-content/uploads/2019/12/YacyretaEnergiasMensualesDesdePuestaenMarcha.pdf" TargetMode="External" Id="rId737"/><Relationship Type="http://schemas.openxmlformats.org/officeDocument/2006/relationships/hyperlink" Target="https://www.eby.gov.py/wp-content/uploads/2019/12/YacyretaEnergiasMensualesDesdePuestaenMarcha.pdf" TargetMode="External" Id="rId738"/><Relationship Type="http://schemas.openxmlformats.org/officeDocument/2006/relationships/hyperlink" Target="https://www.eby.gov.py/wp-content/uploads/2019/12/YacyretaEnergiasMensualesDesdePuestaenMarcha.pdf" TargetMode="External" Id="rId739"/><Relationship Type="http://schemas.openxmlformats.org/officeDocument/2006/relationships/hyperlink" Target="https://www.eby.gov.py/wp-content/uploads/2019/12/YacyretaEnergiasMensualesDesdePuestaenMarcha.pdf" TargetMode="External" Id="rId740"/><Relationship Type="http://schemas.openxmlformats.org/officeDocument/2006/relationships/hyperlink" Target="https://www.eby.gov.py/wp-content/uploads/2019/12/YacyretaEnergiasMensualesDesdePuestaenMarcha.pdf" TargetMode="External" Id="rId741"/><Relationship Type="http://schemas.openxmlformats.org/officeDocument/2006/relationships/hyperlink" Target="https://www.eby.gov.py/wp-content/uploads/2019/12/YacyretaEnergiasMensualesDesdePuestaenMarcha.pdf" TargetMode="External" Id="rId742"/><Relationship Type="http://schemas.openxmlformats.org/officeDocument/2006/relationships/hyperlink" Target="https://www.eby.gov.py/wp-content/uploads/2019/12/YacyretaEnergiasMensualesDesdePuestaenMarcha.pdf" TargetMode="External" Id="rId743"/><Relationship Type="http://schemas.openxmlformats.org/officeDocument/2006/relationships/hyperlink" Target="https://www.eby.gov.py/wp-content/uploads/2019/12/YacyretaEnergiasMensualesDesdePuestaenMarcha.pdf" TargetMode="External" Id="rId744"/><Relationship Type="http://schemas.openxmlformats.org/officeDocument/2006/relationships/hyperlink" Target="https://www.eby.gov.py/wp-content/uploads/2019/12/YacyretaEnergiasMensualesDesdePuestaenMarcha.pdf" TargetMode="External" Id="rId745"/><Relationship Type="http://schemas.openxmlformats.org/officeDocument/2006/relationships/hyperlink" Target="https://www.eby.gov.py/wp-content/uploads/2019/12/YacyretaEnergiasMensualesDesdePuestaenMarcha.pdf" TargetMode="External" Id="rId746"/><Relationship Type="http://schemas.openxmlformats.org/officeDocument/2006/relationships/hyperlink" Target="https://www.eby.gov.py/wp-content/uploads/2019/12/YacyretaEnergiasMensualesDesdePuestaenMarcha.pdf" TargetMode="External" Id="rId747"/><Relationship Type="http://schemas.openxmlformats.org/officeDocument/2006/relationships/hyperlink" Target="https://www.eby.gov.py/wp-content/uploads/2019/12/YacyretaEnergiasMensualesDesdePuestaenMarcha.pdf" TargetMode="External" Id="rId748"/><Relationship Type="http://schemas.openxmlformats.org/officeDocument/2006/relationships/hyperlink" Target="https://www.eby.gov.py/wp-content/uploads/2019/12/YacyretaEnergiasMensualesDesdePuestaenMarcha.pdf" TargetMode="External" Id="rId749"/><Relationship Type="http://schemas.openxmlformats.org/officeDocument/2006/relationships/hyperlink" Target="https://www.eby.gov.py/wp-content/uploads/2019/12/YacyretaEnergiasMensualesDesdePuestaenMarcha.pdf" TargetMode="External" Id="rId750"/><Relationship Type="http://schemas.openxmlformats.org/officeDocument/2006/relationships/hyperlink" Target="https://www.eby.gov.py/wp-content/uploads/2019/12/YacyretaEnergiasMensualesDesdePuestaenMarcha.pdf" TargetMode="External" Id="rId751"/><Relationship Type="http://schemas.openxmlformats.org/officeDocument/2006/relationships/hyperlink" Target="https://www.eby.gov.py/wp-content/uploads/2019/12/YacyretaEnergiasMensualesDesdePuestaenMarcha.pdf" TargetMode="External" Id="rId752"/><Relationship Type="http://schemas.openxmlformats.org/officeDocument/2006/relationships/hyperlink" Target="https://www.eby.gov.py/wp-content/uploads/2019/12/YacyretaEnergiasMensualesDesdePuestaenMarcha.pdf" TargetMode="External" Id="rId753"/><Relationship Type="http://schemas.openxmlformats.org/officeDocument/2006/relationships/hyperlink" Target="https://www.eby.gov.py/wp-content/uploads/2019/12/YacyretaEnergiasMensualesDesdePuestaenMarcha.pdf" TargetMode="External" Id="rId754"/><Relationship Type="http://schemas.openxmlformats.org/officeDocument/2006/relationships/hyperlink" Target="https://www.eby.gov.py/wp-content/uploads/2019/12/YacyretaEnergiasMensualesDesdePuestaenMarcha.pdf" TargetMode="External" Id="rId755"/><Relationship Type="http://schemas.openxmlformats.org/officeDocument/2006/relationships/hyperlink" Target="https://www.eby.gov.py/wp-content/uploads/2019/12/YacyretaEnergiasMensualesDesdePuestaenMarcha.pdf" TargetMode="External" Id="rId756"/><Relationship Type="http://schemas.openxmlformats.org/officeDocument/2006/relationships/hyperlink" Target="https://www.eby.gov.py/wp-content/uploads/2019/12/YacyretaEnergiasMensualesDesdePuestaenMarcha.pdf" TargetMode="External" Id="rId757"/><Relationship Type="http://schemas.openxmlformats.org/officeDocument/2006/relationships/hyperlink" Target="https://www.eby.gov.py/wp-content/uploads/2019/12/YacyretaEnergiasMensualesDesdePuestaenMarcha.pdf" TargetMode="External" Id="rId758"/><Relationship Type="http://schemas.openxmlformats.org/officeDocument/2006/relationships/hyperlink" Target="https://www.eby.gov.py/wp-content/uploads/2019/12/YacyretaEnergiasMensualesDesdePuestaenMarcha.pdf" TargetMode="External" Id="rId759"/><Relationship Type="http://schemas.openxmlformats.org/officeDocument/2006/relationships/hyperlink" Target="https://www.eby.gov.py/wp-content/uploads/2019/12/YacyretaEnergiasMensualesDesdePuestaenMarcha.pdf" TargetMode="External" Id="rId760"/><Relationship Type="http://schemas.openxmlformats.org/officeDocument/2006/relationships/hyperlink" Target="https://www.eby.gov.py/wp-content/uploads/2019/12/YacyretaEnergiasMensualesDesdePuestaenMarcha.pdf" TargetMode="External" Id="rId761"/><Relationship Type="http://schemas.openxmlformats.org/officeDocument/2006/relationships/hyperlink" Target="https://www.eby.gov.py/wp-content/uploads/2019/12/YacyretaEnergiasMensualesDesdePuestaenMarcha.pdf" TargetMode="External" Id="rId762"/><Relationship Type="http://schemas.openxmlformats.org/officeDocument/2006/relationships/hyperlink" Target="https://www.eby.gov.py/wp-content/uploads/2019/12/YacyretaEnergiasMensualesDesdePuestaenMarcha.pdf" TargetMode="External" Id="rId763"/><Relationship Type="http://schemas.openxmlformats.org/officeDocument/2006/relationships/hyperlink" Target="https://www.eby.gov.py/wp-content/uploads/2019/12/YacyretaEnergiasMensualesDesdePuestaenMarcha.pdf" TargetMode="External" Id="rId764"/><Relationship Type="http://schemas.openxmlformats.org/officeDocument/2006/relationships/hyperlink" Target="https://www.eby.gov.py/wp-content/uploads/2019/12/YacyretaEnergiasMensualesDesdePuestaenMarcha.pdf" TargetMode="External" Id="rId765"/><Relationship Type="http://schemas.openxmlformats.org/officeDocument/2006/relationships/hyperlink" Target="https://www.eby.gov.py/wp-content/uploads/2019/12/YacyretaEnergiasMensualesDesdePuestaenMarcha.pdf" TargetMode="External" Id="rId766"/><Relationship Type="http://schemas.openxmlformats.org/officeDocument/2006/relationships/hyperlink" Target="https://www.eby.gov.py/wp-content/uploads/2019/12/YacyretaEnergiasMensualesDesdePuestaenMarcha.pdf" TargetMode="External" Id="rId767"/><Relationship Type="http://schemas.openxmlformats.org/officeDocument/2006/relationships/hyperlink" Target="https://www.eby.gov.py/wp-content/uploads/2019/12/YacyretaEnergiasMensualesDesdePuestaenMarcha.pdf" TargetMode="External" Id="rId768"/><Relationship Type="http://schemas.openxmlformats.org/officeDocument/2006/relationships/hyperlink" Target="https://www.eby.gov.py/wp-content/uploads/2019/12/YacyretaEnergiasMensualesDesdePuestaenMarcha.pdf" TargetMode="External" Id="rId769"/><Relationship Type="http://schemas.openxmlformats.org/officeDocument/2006/relationships/hyperlink" Target="https://www.eby.gov.py/wp-content/uploads/2019/12/YacyretaEnergiasMensualesDesdePuestaenMarcha.pdf" TargetMode="External" Id="rId770"/><Relationship Type="http://schemas.openxmlformats.org/officeDocument/2006/relationships/hyperlink" Target="https://www.eby.gov.py/wp-content/uploads/2019/12/YacyretaEnergiasMensualesDesdePuestaenMarcha.pdf" TargetMode="External" Id="rId771"/><Relationship Type="http://schemas.openxmlformats.org/officeDocument/2006/relationships/hyperlink" Target="https://www.eby.gov.py/wp-content/uploads/2019/12/YacyretaEnergiasMensualesDesdePuestaenMarcha.pdf" TargetMode="External" Id="rId772"/><Relationship Type="http://schemas.openxmlformats.org/officeDocument/2006/relationships/hyperlink" Target="https://www.eby.gov.py/wp-content/uploads/2019/12/YacyretaEnergiasMensualesDesdePuestaenMarcha.pdf" TargetMode="External" Id="rId773"/><Relationship Type="http://schemas.openxmlformats.org/officeDocument/2006/relationships/hyperlink" Target="https://www.eby.gov.py/wp-content/uploads/2019/12/YacyretaEnergiasMensualesDesdePuestaenMarcha.pdf" TargetMode="External" Id="rId774"/><Relationship Type="http://schemas.openxmlformats.org/officeDocument/2006/relationships/hyperlink" Target="https://www.eby.gov.py/wp-content/uploads/2019/12/YacyretaEnergiasMensualesDesdePuestaenMarcha.pdf" TargetMode="External" Id="rId775"/><Relationship Type="http://schemas.openxmlformats.org/officeDocument/2006/relationships/hyperlink" Target="https://www.eby.gov.py/wp-content/uploads/2019/12/YacyretaEnergiasMensualesDesdePuestaenMarcha.pdf" TargetMode="External" Id="rId776"/><Relationship Type="http://schemas.openxmlformats.org/officeDocument/2006/relationships/hyperlink" Target="https://www.eby.gov.py/wp-content/uploads/2019/12/YacyretaEnergiasMensualesDesdePuestaenMarcha.pdf" TargetMode="External" Id="rId777"/><Relationship Type="http://schemas.openxmlformats.org/officeDocument/2006/relationships/hyperlink" Target="https://www.eby.gov.py/wp-content/uploads/2019/12/YacyretaEnergiasMensualesDesdePuestaenMarcha.pdf" TargetMode="External" Id="rId778"/><Relationship Type="http://schemas.openxmlformats.org/officeDocument/2006/relationships/hyperlink" Target="https://www.eby.gov.py/wp-content/uploads/2019/12/YacyretaEnergiasMensualesDesdePuestaenMarcha.pdf" TargetMode="External" Id="rId779"/><Relationship Type="http://schemas.openxmlformats.org/officeDocument/2006/relationships/hyperlink" Target="https://www.eby.gov.py/wp-content/uploads/2019/12/YacyretaEnergiasMensualesDesdePuestaenMarcha.pdf" TargetMode="External" Id="rId780"/><Relationship Type="http://schemas.openxmlformats.org/officeDocument/2006/relationships/hyperlink" Target="https://www.eby.gov.py/wp-content/uploads/2019/12/YacyretaEnergiasMensualesDesdePuestaenMarcha.pdf" TargetMode="External" Id="rId781"/><Relationship Type="http://schemas.openxmlformats.org/officeDocument/2006/relationships/hyperlink" Target="https://www.eby.gov.py/wp-content/uploads/2019/12/YacyretaEnergiasMensualesDesdePuestaenMarcha.pdf" TargetMode="External" Id="rId782"/><Relationship Type="http://schemas.openxmlformats.org/officeDocument/2006/relationships/hyperlink" Target="https://www.eby.gov.py/wp-content/uploads/2019/12/YacyretaEnergiasMensualesDesdePuestaenMarcha.pdf" TargetMode="External" Id="rId783"/><Relationship Type="http://schemas.openxmlformats.org/officeDocument/2006/relationships/hyperlink" Target="https://www.eby.gov.py/wp-content/uploads/2019/12/YacyretaEnergiasMensualesDesdePuestaenMarcha.pdf" TargetMode="External" Id="rId784"/><Relationship Type="http://schemas.openxmlformats.org/officeDocument/2006/relationships/hyperlink" Target="https://www.eby.gov.py/wp-content/uploads/2019/12/YacyretaEnergiasMensualesDesdePuestaenMarcha.pdf" TargetMode="External" Id="rId785"/><Relationship Type="http://schemas.openxmlformats.org/officeDocument/2006/relationships/hyperlink" Target="https://www.eby.gov.py/wp-content/uploads/2019/12/YacyretaEnergiasMensualesDesdePuestaenMarcha.pdf" TargetMode="External" Id="rId786"/><Relationship Type="http://schemas.openxmlformats.org/officeDocument/2006/relationships/hyperlink" Target="https://www.eby.gov.py/wp-content/uploads/2019/12/YacyretaEnergiasMensualesDesdePuestaenMarcha.pdf" TargetMode="External" Id="rId787"/><Relationship Type="http://schemas.openxmlformats.org/officeDocument/2006/relationships/hyperlink" Target="https://www.eby.gov.py/wp-content/uploads/2019/12/YacyretaEnergiasMensualesDesdePuestaenMarcha.pdf" TargetMode="External" Id="rId788"/><Relationship Type="http://schemas.openxmlformats.org/officeDocument/2006/relationships/hyperlink" Target="https://www.eby.gov.py/wp-content/uploads/2019/12/YacyretaEnergiasMensualesDesdePuestaenMarcha.pdf" TargetMode="External" Id="rId789"/><Relationship Type="http://schemas.openxmlformats.org/officeDocument/2006/relationships/hyperlink" Target="https://www.eby.gov.py/wp-content/uploads/2019/12/YacyretaEnergiasMensualesDesdePuestaenMarcha.pdf" TargetMode="External" Id="rId790"/><Relationship Type="http://schemas.openxmlformats.org/officeDocument/2006/relationships/hyperlink" Target="https://www.eby.gov.py/wp-content/uploads/2019/12/YacyretaEnergiasMensualesDesdePuestaenMarcha.pdf" TargetMode="External" Id="rId791"/><Relationship Type="http://schemas.openxmlformats.org/officeDocument/2006/relationships/hyperlink" Target="https://www.eby.gov.py/wp-content/uploads/2019/12/YacyretaEnergiasMensualesDesdePuestaenMarcha.pdf" TargetMode="External" Id="rId792"/><Relationship Type="http://schemas.openxmlformats.org/officeDocument/2006/relationships/hyperlink" Target="https://www.eby.gov.py/wp-content/uploads/2019/12/YacyretaEnergiasMensualesDesdePuestaenMarcha.pdf" TargetMode="External" Id="rId793"/><Relationship Type="http://schemas.openxmlformats.org/officeDocument/2006/relationships/hyperlink" Target="https://www.eby.gov.py/wp-content/uploads/2019/12/YacyretaEnergiasMensualesDesdePuestaenMarcha.pdf" TargetMode="External" Id="rId794"/><Relationship Type="http://schemas.openxmlformats.org/officeDocument/2006/relationships/hyperlink" Target="https://www.eby.gov.py/wp-content/uploads/2019/12/YacyretaEnergiasMensualesDesdePuestaenMarcha.pdf" TargetMode="External" Id="rId795"/><Relationship Type="http://schemas.openxmlformats.org/officeDocument/2006/relationships/hyperlink" Target="https://www.eby.gov.py/wp-content/uploads/2019/12/YacyretaEnergiasMensualesDesdePuestaenMarcha.pdf" TargetMode="External" Id="rId796"/><Relationship Type="http://schemas.openxmlformats.org/officeDocument/2006/relationships/hyperlink" Target="https://www.eby.gov.py/wp-content/uploads/2019/12/YacyretaEnergiasMensualesDesdePuestaenMarcha.pdf" TargetMode="External" Id="rId797"/><Relationship Type="http://schemas.openxmlformats.org/officeDocument/2006/relationships/hyperlink" Target="https://www.eby.gov.py/wp-content/uploads/2019/12/YacyretaEnergiasMensualesDesdePuestaenMarcha.pdf" TargetMode="External" Id="rId798"/><Relationship Type="http://schemas.openxmlformats.org/officeDocument/2006/relationships/hyperlink" Target="https://www.eby.gov.py/wp-content/uploads/2019/12/YacyretaEnergiasMensualesDesdePuestaenMarcha.pdf" TargetMode="External" Id="rId799"/><Relationship Type="http://schemas.openxmlformats.org/officeDocument/2006/relationships/hyperlink" Target="https://www.eby.gov.py/wp-content/uploads/2019/12/YacyretaEnergiasMensualesDesdePuestaenMarcha.pdf" TargetMode="External" Id="rId800"/><Relationship Type="http://schemas.openxmlformats.org/officeDocument/2006/relationships/hyperlink" Target="https://www.eby.gov.py/wp-content/uploads/2019/12/YacyretaEnergiasMensualesDesdePuestaenMarcha.pdf" TargetMode="External" Id="rId801"/><Relationship Type="http://schemas.openxmlformats.org/officeDocument/2006/relationships/hyperlink" Target="https://www.eby.gov.py/wp-content/uploads/2019/12/YacyretaEnergiasMensualesDesdePuestaenMarcha.pdf" TargetMode="External" Id="rId802"/><Relationship Type="http://schemas.openxmlformats.org/officeDocument/2006/relationships/hyperlink" Target="https://www.eby.gov.py/wp-content/uploads/2019/12/YacyretaEnergiasMensualesDesdePuestaenMarcha.pdf" TargetMode="External" Id="rId803"/><Relationship Type="http://schemas.openxmlformats.org/officeDocument/2006/relationships/hyperlink" Target="https://www.eby.gov.py/wp-content/uploads/2019/12/YacyretaEnergiasMensualesDesdePuestaenMarcha.pdf" TargetMode="External" Id="rId804"/><Relationship Type="http://schemas.openxmlformats.org/officeDocument/2006/relationships/hyperlink" Target="https://www.eby.gov.py/wp-content/uploads/2019/12/YacyretaEnergiasMensualesDesdePuestaenMarcha.pdf" TargetMode="External" Id="rId805"/><Relationship Type="http://schemas.openxmlformats.org/officeDocument/2006/relationships/hyperlink" Target="https://www.eby.gov.py/wp-content/uploads/2019/12/YacyretaEnergiasMensualesDesdePuestaenMarcha.pdf" TargetMode="External" Id="rId806"/><Relationship Type="http://schemas.openxmlformats.org/officeDocument/2006/relationships/hyperlink" Target="https://www.eby.gov.py/wp-content/uploads/2019/12/YacyretaEnergiasMensualesDesdePuestaenMarcha.pdf" TargetMode="External" Id="rId807"/><Relationship Type="http://schemas.openxmlformats.org/officeDocument/2006/relationships/hyperlink" Target="https://www.eby.gov.py/wp-content/uploads/2019/12/YacyretaEnergiasMensualesDesdePuestaenMarcha.pdf" TargetMode="External" Id="rId808"/><Relationship Type="http://schemas.openxmlformats.org/officeDocument/2006/relationships/hyperlink" Target="https://www.eby.gov.py/wp-content/uploads/2019/12/YacyretaEnergiasMensualesDesdePuestaenMarcha.pdf" TargetMode="External" Id="rId809"/><Relationship Type="http://schemas.openxmlformats.org/officeDocument/2006/relationships/hyperlink" Target="https://www.eby.gov.py/wp-content/uploads/2019/12/YacyretaEnergiasMensualesDesdePuestaenMarcha.pdf" TargetMode="External" Id="rId810"/><Relationship Type="http://schemas.openxmlformats.org/officeDocument/2006/relationships/hyperlink" Target="https://www.eby.gov.py/wp-content/uploads/2019/12/YacyretaEnergiasMensualesDesdePuestaenMarcha.pdf" TargetMode="External" Id="rId811"/><Relationship Type="http://schemas.openxmlformats.org/officeDocument/2006/relationships/hyperlink" Target="https://www.eby.gov.py/wp-content/uploads/2019/12/YacyretaEnergiasMensualesDesdePuestaenMarcha.pdf" TargetMode="External" Id="rId812"/><Relationship Type="http://schemas.openxmlformats.org/officeDocument/2006/relationships/hyperlink" Target="https://www.eby.gov.py/wp-content/uploads/2019/12/YacyretaEnergiasMensualesDesdePuestaenMarcha.pdf" TargetMode="External" Id="rId813"/><Relationship Type="http://schemas.openxmlformats.org/officeDocument/2006/relationships/hyperlink" Target="https://www.eby.gov.py/wp-content/uploads/2019/12/YacyretaEnergiasMensualesDesdePuestaenMarcha.pdf" TargetMode="External" Id="rId814"/><Relationship Type="http://schemas.openxmlformats.org/officeDocument/2006/relationships/hyperlink" Target="https://www.eby.gov.py/wp-content/uploads/2019/12/YacyretaEnergiasMensualesDesdePuestaenMarcha.pdf" TargetMode="External" Id="rId815"/><Relationship Type="http://schemas.openxmlformats.org/officeDocument/2006/relationships/hyperlink" Target="https://www.eby.gov.py/wp-content/uploads/2019/12/YacyretaEnergiasMensualesDesdePuestaenMarcha.pdf" TargetMode="External" Id="rId816"/><Relationship Type="http://schemas.openxmlformats.org/officeDocument/2006/relationships/hyperlink" Target="https://www.eby.gov.py/wp-content/uploads/2019/12/YacyretaEnergiasMensualesDesdePuestaenMarcha.pdf" TargetMode="External" Id="rId817"/><Relationship Type="http://schemas.openxmlformats.org/officeDocument/2006/relationships/hyperlink" Target="https://www.eby.gov.py/wp-content/uploads/2019/12/YacyretaEnergiasMensualesDesdePuestaenMarcha.pdf" TargetMode="External" Id="rId818"/><Relationship Type="http://schemas.openxmlformats.org/officeDocument/2006/relationships/hyperlink" Target="https://www.eby.gov.py/wp-content/uploads/2019/12/YacyretaEnergiasMensualesDesdePuestaenMarcha.pdf" TargetMode="External" Id="rId819"/><Relationship Type="http://schemas.openxmlformats.org/officeDocument/2006/relationships/hyperlink" Target="https://www.eby.gov.py/wp-content/uploads/2019/12/YacyretaEnergiasMensualesDesdePuestaenMarcha.pdf" TargetMode="External" Id="rId820"/><Relationship Type="http://schemas.openxmlformats.org/officeDocument/2006/relationships/hyperlink" Target="https://www.eby.gov.py/wp-content/uploads/2019/12/YacyretaEnergiasMensualesDesdePuestaenMarcha.pdf" TargetMode="External" Id="rId821"/><Relationship Type="http://schemas.openxmlformats.org/officeDocument/2006/relationships/hyperlink" Target="https://www.eby.gov.py/wp-content/uploads/2019/12/YacyretaEnergiasMensualesDesdePuestaenMarcha.pdf" TargetMode="External" Id="rId822"/><Relationship Type="http://schemas.openxmlformats.org/officeDocument/2006/relationships/hyperlink" Target="https://www.eby.gov.py/wp-content/uploads/2019/12/YacyretaEnergiasMensualesDesdePuestaenMarcha.pdf" TargetMode="External" Id="rId823"/><Relationship Type="http://schemas.openxmlformats.org/officeDocument/2006/relationships/hyperlink" Target="https://www.eby.gov.py/wp-content/uploads/2019/12/YacyretaEnergiasMensualesDesdePuestaenMarcha.pdf" TargetMode="External" Id="rId824"/><Relationship Type="http://schemas.openxmlformats.org/officeDocument/2006/relationships/hyperlink" Target="https://www.eby.gov.py/wp-content/uploads/2019/12/YacyretaEnergiasMensualesDesdePuestaenMarcha.pdf" TargetMode="External" Id="rId825"/><Relationship Type="http://schemas.openxmlformats.org/officeDocument/2006/relationships/hyperlink" Target="https://www.eby.gov.py/wp-content/uploads/2019/12/YacyretaEnergiasMensualesDesdePuestaenMarcha.pdf" TargetMode="External" Id="rId826"/><Relationship Type="http://schemas.openxmlformats.org/officeDocument/2006/relationships/hyperlink" Target="https://www.eby.gov.py/wp-content/uploads/2019/12/YacyretaEnergiasMensualesDesdePuestaenMarcha.pdf" TargetMode="External" Id="rId827"/><Relationship Type="http://schemas.openxmlformats.org/officeDocument/2006/relationships/hyperlink" Target="https://www.eby.gov.py/wp-content/uploads/2019/12/YacyretaEnergiasMensualesDesdePuestaenMarcha.pdf" TargetMode="External" Id="rId828"/><Relationship Type="http://schemas.openxmlformats.org/officeDocument/2006/relationships/hyperlink" Target="https://www.eby.gov.py/wp-content/uploads/2019/12/YacyretaEnergiasMensualesDesdePuestaenMarcha.pdf" TargetMode="External" Id="rId829"/><Relationship Type="http://schemas.openxmlformats.org/officeDocument/2006/relationships/hyperlink" Target="https://www.eby.gov.py/wp-content/uploads/2019/12/YacyretaEnergiasMensualesDesdePuestaenMarcha.pdf" TargetMode="External" Id="rId830"/><Relationship Type="http://schemas.openxmlformats.org/officeDocument/2006/relationships/hyperlink" Target="https://www.eby.gov.py/wp-content/uploads/2019/12/YacyretaEnergiasMensualesDesdePuestaenMarcha.pdf" TargetMode="External" Id="rId831"/><Relationship Type="http://schemas.openxmlformats.org/officeDocument/2006/relationships/hyperlink" Target="https://www.eby.gov.py/wp-content/uploads/2019/12/YacyretaEnergiasMensualesDesdePuestaenMarcha.pdf" TargetMode="External" Id="rId832"/><Relationship Type="http://schemas.openxmlformats.org/officeDocument/2006/relationships/hyperlink" Target="https://www.eby.gov.py/wp-content/uploads/2019/12/YacyretaEnergiasMensualesDesdePuestaenMarcha.pdf" TargetMode="External" Id="rId833"/><Relationship Type="http://schemas.openxmlformats.org/officeDocument/2006/relationships/hyperlink" Target="https://www.eby.gov.py/wp-content/uploads/2019/12/YacyretaEnergiasMensualesDesdePuestaenMarcha.pdf" TargetMode="External" Id="rId834"/><Relationship Type="http://schemas.openxmlformats.org/officeDocument/2006/relationships/hyperlink" Target="https://www.eby.gov.py/wp-content/uploads/2019/12/YacyretaEnergiasMensualesDesdePuestaenMarcha.pdf" TargetMode="External" Id="rId835"/><Relationship Type="http://schemas.openxmlformats.org/officeDocument/2006/relationships/hyperlink" Target="https://www.eby.gov.py/wp-content/uploads/2019/12/YacyretaEnergiasMensualesDesdePuestaenMarcha.pdf" TargetMode="External" Id="rId836"/><Relationship Type="http://schemas.openxmlformats.org/officeDocument/2006/relationships/hyperlink" Target="https://www.eby.gov.py/wp-content/uploads/2019/12/YacyretaEnergiasMensualesDesdePuestaenMarcha.pdf" TargetMode="External" Id="rId837"/><Relationship Type="http://schemas.openxmlformats.org/officeDocument/2006/relationships/hyperlink" Target="https://www.eby.gov.py/wp-content/uploads/2019/12/YacyretaEnergiasMensualesDesdePuestaenMarcha.pdf" TargetMode="External" Id="rId838"/><Relationship Type="http://schemas.openxmlformats.org/officeDocument/2006/relationships/hyperlink" Target="https://www.eby.gov.py/wp-content/uploads/2019/12/YacyretaEnergiasMensualesDesdePuestaenMarcha.pdf" TargetMode="External" Id="rId839"/><Relationship Type="http://schemas.openxmlformats.org/officeDocument/2006/relationships/hyperlink" Target="https://www.eby.gov.py/wp-content/uploads/2019/12/YacyretaEnergiasMensualesDesdePuestaenMarcha.pdf" TargetMode="External" Id="rId840"/><Relationship Type="http://schemas.openxmlformats.org/officeDocument/2006/relationships/hyperlink" Target="https://www.eby.gov.py/wp-content/uploads/2019/12/YacyretaEnergiasMensualesDesdePuestaenMarcha.pdf" TargetMode="External" Id="rId841"/><Relationship Type="http://schemas.openxmlformats.org/officeDocument/2006/relationships/hyperlink" Target="https://www.eby.gov.py/wp-content/uploads/2019/12/YacyretaEnergiasMensualesDesdePuestaenMarcha.pdf" TargetMode="External" Id="rId842"/><Relationship Type="http://schemas.openxmlformats.org/officeDocument/2006/relationships/hyperlink" Target="https://www.eby.gov.py/wp-content/uploads/2019/12/YacyretaEnergiasMensualesDesdePuestaenMarcha.pdf" TargetMode="External" Id="rId843"/><Relationship Type="http://schemas.openxmlformats.org/officeDocument/2006/relationships/hyperlink" Target="https://www.eby.gov.py/wp-content/uploads/2019/12/YacyretaEnergiasMensualesDesdePuestaenMarcha.pdf" TargetMode="External" Id="rId844"/><Relationship Type="http://schemas.openxmlformats.org/officeDocument/2006/relationships/hyperlink" Target="https://www.eby.gov.py/wp-content/uploads/2019/12/YacyretaEnergiasMensualesDesdePuestaenMarcha.pdf" TargetMode="External" Id="rId845"/><Relationship Type="http://schemas.openxmlformats.org/officeDocument/2006/relationships/hyperlink" Target="https://www.eby.gov.py/wp-content/uploads/2019/12/YacyretaEnergiasMensualesDesdePuestaenMarcha.pdf" TargetMode="External" Id="rId846"/><Relationship Type="http://schemas.openxmlformats.org/officeDocument/2006/relationships/hyperlink" Target="https://www.eby.gov.py/wp-content/uploads/2019/12/YacyretaEnergiasMensualesDesdePuestaenMarcha.pdf" TargetMode="External" Id="rId847"/><Relationship Type="http://schemas.openxmlformats.org/officeDocument/2006/relationships/hyperlink" Target="https://www.eby.gov.py/wp-content/uploads/2019/12/YacyretaEnergiasMensualesDesdePuestaenMarcha.pdf" TargetMode="External" Id="rId848"/><Relationship Type="http://schemas.openxmlformats.org/officeDocument/2006/relationships/hyperlink" Target="https://www.eby.gov.py/wp-content/uploads/2019/12/YacyretaEnergiasMensualesDesdePuestaenMarcha.pdf" TargetMode="External" Id="rId849"/><Relationship Type="http://schemas.openxmlformats.org/officeDocument/2006/relationships/hyperlink" Target="https://www.eby.gov.py/wp-content/uploads/2019/12/YacyretaEnergiasMensualesDesdePuestaenMarcha.pdf" TargetMode="External" Id="rId850"/><Relationship Type="http://schemas.openxmlformats.org/officeDocument/2006/relationships/hyperlink" Target="https://www.eby.gov.py/wp-content/uploads/2019/12/YacyretaEnergiasMensualesDesdePuestaenMarcha.pdf" TargetMode="External" Id="rId851"/><Relationship Type="http://schemas.openxmlformats.org/officeDocument/2006/relationships/hyperlink" Target="https://www.eby.gov.py/wp-content/uploads/2019/12/YacyretaEnergiasMensualesDesdePuestaenMarcha.pdf" TargetMode="External" Id="rId852"/><Relationship Type="http://schemas.openxmlformats.org/officeDocument/2006/relationships/hyperlink" Target="https://www.eby.gov.py/wp-content/uploads/2019/12/YacyretaEnergiasMensualesDesdePuestaenMarcha.pdf" TargetMode="External" Id="rId853"/><Relationship Type="http://schemas.openxmlformats.org/officeDocument/2006/relationships/hyperlink" Target="https://www.eby.gov.py/wp-content/uploads/2019/12/YacyretaEnergiasMensualesDesdePuestaenMarcha.pdf" TargetMode="External" Id="rId854"/><Relationship Type="http://schemas.openxmlformats.org/officeDocument/2006/relationships/hyperlink" Target="https://www.eby.gov.py/informe-de-produccion-anual-de-la-central-hidroelectrica-yacyreta/" TargetMode="External" Id="rId855"/><Relationship Type="http://schemas.openxmlformats.org/officeDocument/2006/relationships/hyperlink" Target="https://www.eby.gov.py/informe-de-produccion-anual-de-la-central-hidroelectrica-yacyreta/" TargetMode="External" Id="rId856"/><Relationship Type="http://schemas.openxmlformats.org/officeDocument/2006/relationships/hyperlink" Target="https://www.eby.gov.py/informe-de-produccion-anual-de-la-central-hidroelectrica-yacyreta/" TargetMode="External" Id="rId857"/><Relationship Type="http://schemas.openxmlformats.org/officeDocument/2006/relationships/hyperlink" Target="https://www.eby.gov.py/informe-de-produccion-anual-de-la-central-hidroelectrica-yacyreta/" TargetMode="External" Id="rId858"/><Relationship Type="http://schemas.openxmlformats.org/officeDocument/2006/relationships/hyperlink" Target="https://www.ande.gov.py/estadisticas/BalanceEnergia1983-2006/CompilacionEstadistica83-06.pdf" TargetMode="External" Id="rId859"/><Relationship Type="http://schemas.openxmlformats.org/officeDocument/2006/relationships/hyperlink" Target="https://www.ande.gov.py/estadisticas/BalanceEnergia1983-2006/CompilacionEstadistica83-06.pdf" TargetMode="External" Id="rId860"/><Relationship Type="http://schemas.openxmlformats.org/officeDocument/2006/relationships/hyperlink" Target="https://www.ande.gov.py/estadisticas/BalanceEnergia1983-2006/CompilacionEstadistica83-06.pdf" TargetMode="External" Id="rId861"/><Relationship Type="http://schemas.openxmlformats.org/officeDocument/2006/relationships/hyperlink" Target="https://www.ande.gov.py/estadisticas/BalanceEnergia1983-2006/CompilacionEstadistica83-06.pdf" TargetMode="External" Id="rId862"/><Relationship Type="http://schemas.openxmlformats.org/officeDocument/2006/relationships/hyperlink" Target="https://www.ande.gov.py/estadisticas/BalanceEnergia1983-2006/CompilacionEstadistica83-06.pdf" TargetMode="External" Id="rId863"/><Relationship Type="http://schemas.openxmlformats.org/officeDocument/2006/relationships/hyperlink" Target="https://www.ande.gov.py/estadisticas/BalanceEnergia1983-2006/CompilacionEstadistica83-06.pdf" TargetMode="External" Id="rId864"/><Relationship Type="http://schemas.openxmlformats.org/officeDocument/2006/relationships/hyperlink" Target="https://www.ande.gov.py/estadisticas/BalanceEnergia1983-2006/CompilacionEstadistica83-06.pdf" TargetMode="External" Id="rId865"/><Relationship Type="http://schemas.openxmlformats.org/officeDocument/2006/relationships/hyperlink" Target="https://www.ande.gov.py/estadisticas/BalanceEnergia1983-2006/CompilacionEstadistica83-06.pdf" TargetMode="External" Id="rId866"/><Relationship Type="http://schemas.openxmlformats.org/officeDocument/2006/relationships/hyperlink" Target="https://www.ande.gov.py/estadisticas/BalanceEnergia1983-2006/CompilacionEstadistica83-06.pdf" TargetMode="External" Id="rId867"/><Relationship Type="http://schemas.openxmlformats.org/officeDocument/2006/relationships/hyperlink" Target="https://www.ande.gov.py/estadisticas/BalanceEnergia1983-2006/CompilacionEstadistica83-06.pdf" TargetMode="External" Id="rId868"/><Relationship Type="http://schemas.openxmlformats.org/officeDocument/2006/relationships/hyperlink" Target="https://www.ande.gov.py/estadisticas/BalanceEnergia1983-2006/CompilacionEstadistica83-06.pdf" TargetMode="External" Id="rId869"/><Relationship Type="http://schemas.openxmlformats.org/officeDocument/2006/relationships/hyperlink" Target="https://www.ande.gov.py/estadisticas/BalanceEnergia1983-2006/CompilacionEstadistica83-06.pdf" TargetMode="External" Id="rId870"/><Relationship Type="http://schemas.openxmlformats.org/officeDocument/2006/relationships/hyperlink" Target="https://www.ande.gov.py/estadisticas/BalanceEnergia1983-2006/CompilacionEstadistica83-06.pdf" TargetMode="External" Id="rId871"/><Relationship Type="http://schemas.openxmlformats.org/officeDocument/2006/relationships/hyperlink" Target="https://www.ande.gov.py/estadisticas/BalanceEnergia1983-2006/CompilacionEstadistica83-06.pdf" TargetMode="External" Id="rId872"/><Relationship Type="http://schemas.openxmlformats.org/officeDocument/2006/relationships/hyperlink" Target="https://www.ande.gov.py/estadisticas/BalanceEnergia1983-2006/CompilacionEstadistica83-06.pdf" TargetMode="External" Id="rId873"/><Relationship Type="http://schemas.openxmlformats.org/officeDocument/2006/relationships/hyperlink" Target="https://www.ande.gov.py/estadisticas/BalanceEnergia1983-2006/CompilacionEstadistica83-06.pdf" TargetMode="External" Id="rId874"/><Relationship Type="http://schemas.openxmlformats.org/officeDocument/2006/relationships/hyperlink" Target="https://www.ande.gov.py/estadisticas/BalanceEnergia1983-2006/CompilacionEstadistica83-06.pdf" TargetMode="External" Id="rId875"/><Relationship Type="http://schemas.openxmlformats.org/officeDocument/2006/relationships/hyperlink" Target="https://www.ande.gov.py/estadisticas/BalanceEnergia1983-2006/CompilacionEstadistica83-06.pdf" TargetMode="External" Id="rId876"/><Relationship Type="http://schemas.openxmlformats.org/officeDocument/2006/relationships/hyperlink" Target="https://www.ande.gov.py/estadisticas/BalanceEnergia1983-2006/CompilacionEstadistica83-06.pdf" TargetMode="External" Id="rId877"/><Relationship Type="http://schemas.openxmlformats.org/officeDocument/2006/relationships/hyperlink" Target="https://www.ande.gov.py/estadisticas/BalanceEnergia1983-2006/CompilacionEstadistica83-06.pdf" TargetMode="External" Id="rId878"/><Relationship Type="http://schemas.openxmlformats.org/officeDocument/2006/relationships/hyperlink" Target="https://www.ande.gov.py/estadisticas/BalanceEnergia1983-2006/CompilacionEstadistica83-06.pdf" TargetMode="External" Id="rId879"/><Relationship Type="http://schemas.openxmlformats.org/officeDocument/2006/relationships/hyperlink" Target="https://www.ande.gov.py/estadisticas/BalanceEnergia1983-2006/CompilacionEstadistica83-06.pdf" TargetMode="External" Id="rId880"/><Relationship Type="http://schemas.openxmlformats.org/officeDocument/2006/relationships/hyperlink" Target="https://www.ande.gov.py/estadisticas/BalanceEnergia1983-2006/CompilacionEstadistica83-06.pdf" TargetMode="External" Id="rId881"/><Relationship Type="http://schemas.openxmlformats.org/officeDocument/2006/relationships/hyperlink" Target="https://www.ande.gov.py/estadisticas/BalanceEnergia1983-2006/CompilacionEstadistica83-06.pdf" TargetMode="External" Id="rId882"/><Relationship Type="http://schemas.openxmlformats.org/officeDocument/2006/relationships/hyperlink" Target="https://www.ande.gov.py/estadisticas/BalanceEnergia1983-2006/CompilacionEstadistica83-06.pdf" TargetMode="External" Id="rId883"/><Relationship Type="http://schemas.openxmlformats.org/officeDocument/2006/relationships/hyperlink" Target="https://www.ande.gov.py/estadisticas/BalanceEnergia1983-2006/CompilacionEstadistica83-06.pdf" TargetMode="External" Id="rId884"/><Relationship Type="http://schemas.openxmlformats.org/officeDocument/2006/relationships/hyperlink" Target="https://www.ande.gov.py/estadisticas/BalanceEnergia1983-2006/CompilacionEstadistica83-06.pdf" TargetMode="External" Id="rId885"/><Relationship Type="http://schemas.openxmlformats.org/officeDocument/2006/relationships/hyperlink" Target="https://www.ande.gov.py/estadisticas/BalanceEnergia1983-2006/CompilacionEstadistica83-06.pdf" TargetMode="External" Id="rId886"/><Relationship Type="http://schemas.openxmlformats.org/officeDocument/2006/relationships/hyperlink" Target="https://www.ande.gov.py/estadisticas/BalanceEnergia1983-2006/CompilacionEstadistica83-06.pdf" TargetMode="External" Id="rId887"/><Relationship Type="http://schemas.openxmlformats.org/officeDocument/2006/relationships/hyperlink" Target="https://www.ande.gov.py/estadisticas/BalanceEnergia1983-2006/CompilacionEstadistica83-06.pdf" TargetMode="External" Id="rId888"/><Relationship Type="http://schemas.openxmlformats.org/officeDocument/2006/relationships/hyperlink" Target="https://www.ande.gov.py/estadisticas/BalanceEnergia1983-2006/CompilacionEstadistica83-06.pdf" TargetMode="External" Id="rId889"/><Relationship Type="http://schemas.openxmlformats.org/officeDocument/2006/relationships/hyperlink" Target="https://www.ande.gov.py/estadisticas/BalanceEnergia1983-2006/CompilacionEstadistica83-06.pdf" TargetMode="External" Id="rId890"/><Relationship Type="http://schemas.openxmlformats.org/officeDocument/2006/relationships/hyperlink" Target="https://www.ande.gov.py/estadisticas/BalanceEnergia1983-2006/CompilacionEstadistica83-06.pdf" TargetMode="External" Id="rId891"/><Relationship Type="http://schemas.openxmlformats.org/officeDocument/2006/relationships/hyperlink" Target="https://www.ande.gov.py/estadisticas/BalanceEnergia1983-2006/CompilacionEstadistica83-06.pdf" TargetMode="External" Id="rId892"/><Relationship Type="http://schemas.openxmlformats.org/officeDocument/2006/relationships/hyperlink" Target="https://www.ande.gov.py/estadisticas/BalanceEnergia1983-2006/CompilacionEstadistica83-06.pdf" TargetMode="External" Id="rId893"/><Relationship Type="http://schemas.openxmlformats.org/officeDocument/2006/relationships/hyperlink" Target="https://www.ande.gov.py/estadisticas/BalanceEnergia1983-2006/CompilacionEstadistica83-06.pdf" TargetMode="External" Id="rId894"/><Relationship Type="http://schemas.openxmlformats.org/officeDocument/2006/relationships/hyperlink" Target="https://www.ande.gov.py/estadisticas/BalanceEnergia1983-2006/CompilacionEstadistica83-06.pdf" TargetMode="External" Id="rId895"/><Relationship Type="http://schemas.openxmlformats.org/officeDocument/2006/relationships/hyperlink" Target="https://www.ande.gov.py/estadisticas/BalanceEnergia1983-2006/CompilacionEstadistica83-06.pdf" TargetMode="External" Id="rId896"/><Relationship Type="http://schemas.openxmlformats.org/officeDocument/2006/relationships/hyperlink" Target="https://www.ande.gov.py/estadisticas/BalanceEnergia1983-2006/CompilacionEstadistica83-06.pdf" TargetMode="External" Id="rId897"/><Relationship Type="http://schemas.openxmlformats.org/officeDocument/2006/relationships/hyperlink" Target="https://www.ande.gov.py/estadisticas/BalanceEnergia1983-2006/CompilacionEstadistica83-06.pdf" TargetMode="External" Id="rId898"/><Relationship Type="http://schemas.openxmlformats.org/officeDocument/2006/relationships/hyperlink" Target="https://www.ande.gov.py/estadisticas/BalanceEnergia1983-2006/CompilacionEstadistica83-06.pdf" TargetMode="External" Id="rId899"/><Relationship Type="http://schemas.openxmlformats.org/officeDocument/2006/relationships/hyperlink" Target="https://www.ande.gov.py/estadisticas/BalanceEnergia1983-2006/CompilacionEstadistica83-06.pdf" TargetMode="External" Id="rId900"/><Relationship Type="http://schemas.openxmlformats.org/officeDocument/2006/relationships/hyperlink" Target="https://www.ande.gov.py/estadisticas/BalanceEnergia1983-2006/CompilacionEstadistica83-06.pdf" TargetMode="External" Id="rId901"/><Relationship Type="http://schemas.openxmlformats.org/officeDocument/2006/relationships/hyperlink" Target="https://www.ande.gov.py/estadisticas/BalanceEnergia1983-2006/CompilacionEstadistica83-06.pdf" TargetMode="External" Id="rId902"/><Relationship Type="http://schemas.openxmlformats.org/officeDocument/2006/relationships/hyperlink" Target="https://www.ande.gov.py/estadisticas/BalanceEnergia1983-2006/CompilacionEstadistica83-06.pdf" TargetMode="External" Id="rId903"/><Relationship Type="http://schemas.openxmlformats.org/officeDocument/2006/relationships/hyperlink" Target="https://www.ande.gov.py/estadisticas/BalanceEnergia1983-2006/CompilacionEstadistica83-06.pdf" TargetMode="External" Id="rId904"/><Relationship Type="http://schemas.openxmlformats.org/officeDocument/2006/relationships/hyperlink" Target="https://www.ande.gov.py/estadisticas/BalanceEnergia1983-2006/CompilacionEstadistica83-06.pdf" TargetMode="External" Id="rId905"/><Relationship Type="http://schemas.openxmlformats.org/officeDocument/2006/relationships/hyperlink" Target="https://www.ande.gov.py/estadisticas/BalanceEnergia1983-2006/CompilacionEstadistica83-06.pdf" TargetMode="External" Id="rId906"/><Relationship Type="http://schemas.openxmlformats.org/officeDocument/2006/relationships/hyperlink" Target="https://www.ande.gov.py/estadisticas/BalanceEnergia1983-2006/CompilacionEstadistica83-06.pdf" TargetMode="External" Id="rId907"/><Relationship Type="http://schemas.openxmlformats.org/officeDocument/2006/relationships/hyperlink" Target="https://www.ande.gov.py/estadisticas/BalanceEnergia1983-2006/CompilacionEstadistica83-06.pdf" TargetMode="External" Id="rId908"/><Relationship Type="http://schemas.openxmlformats.org/officeDocument/2006/relationships/hyperlink" Target="https://www.ande.gov.py/estadisticas/BalanceEnergia1983-2006/CompilacionEstadistica83-06.pdf" TargetMode="External" Id="rId909"/><Relationship Type="http://schemas.openxmlformats.org/officeDocument/2006/relationships/hyperlink" Target="https://www.ande.gov.py/estadisticas/BalanceEnergia1983-2006/CompilacionEstadistica83-06.pdf" TargetMode="External" Id="rId910"/><Relationship Type="http://schemas.openxmlformats.org/officeDocument/2006/relationships/hyperlink" Target="https://www.ande.gov.py/estadisticas/BalanceEnergia1983-2006/CompilacionEstadistica83-06.pdf" TargetMode="External" Id="rId911"/><Relationship Type="http://schemas.openxmlformats.org/officeDocument/2006/relationships/hyperlink" Target="https://www.ande.gov.py/estadisticas/BalanceEnergia1983-2006/CompilacionEstadistica83-06.pdf" TargetMode="External" Id="rId912"/><Relationship Type="http://schemas.openxmlformats.org/officeDocument/2006/relationships/hyperlink" Target="https://www.ande.gov.py/estadisticas/BalanceEnergia1983-2006/CompilacionEstadistica83-06.pdf" TargetMode="External" Id="rId913"/><Relationship Type="http://schemas.openxmlformats.org/officeDocument/2006/relationships/hyperlink" Target="https://www.ande.gov.py/estadisticas/BalanceEnergia1983-2006/CompilacionEstadistica83-06.pdf" TargetMode="External" Id="rId914"/><Relationship Type="http://schemas.openxmlformats.org/officeDocument/2006/relationships/hyperlink" Target="https://www.ande.gov.py/estadisticas/BalanceEnergia1983-2006/CompilacionEstadistica83-06.pdf" TargetMode="External" Id="rId915"/><Relationship Type="http://schemas.openxmlformats.org/officeDocument/2006/relationships/hyperlink" Target="https://www.ande.gov.py/estadisticas/BalanceEnergia1983-2006/CompilacionEstadistica83-06.pdf" TargetMode="External" Id="rId916"/><Relationship Type="http://schemas.openxmlformats.org/officeDocument/2006/relationships/hyperlink" Target="https://www.ande.gov.py/estadisticas/BalanceEnergia1983-2006/CompilacionEstadistica83-06.pdf" TargetMode="External" Id="rId917"/><Relationship Type="http://schemas.openxmlformats.org/officeDocument/2006/relationships/hyperlink" Target="https://www.ande.gov.py/estadisticas/BalanceEnergia1983-2006/CompilacionEstadistica83-06.pdf" TargetMode="External" Id="rId918"/><Relationship Type="http://schemas.openxmlformats.org/officeDocument/2006/relationships/hyperlink" Target="https://www.ande.gov.py/estadisticas/BalanceEnergia1983-2006/CompilacionEstadistica83-06.pdf" TargetMode="External" Id="rId919"/><Relationship Type="http://schemas.openxmlformats.org/officeDocument/2006/relationships/hyperlink" Target="https://www.ande.gov.py/estadisticas/BalanceEnergia1983-2006/CompilacionEstadistica83-06.pdf" TargetMode="External" Id="rId920"/><Relationship Type="http://schemas.openxmlformats.org/officeDocument/2006/relationships/hyperlink" Target="https://www.ande.gov.py/estadisticas/BalanceEnergia1983-2006/CompilacionEstadistica83-06.pdf" TargetMode="External" Id="rId921"/><Relationship Type="http://schemas.openxmlformats.org/officeDocument/2006/relationships/hyperlink" Target="https://www.ande.gov.py/estadisticas/BalanceEnergia1983-2006/CompilacionEstadistica83-06.pdf" TargetMode="External" Id="rId922"/><Relationship Type="http://schemas.openxmlformats.org/officeDocument/2006/relationships/hyperlink" Target="https://www.ande.gov.py/estadisticas/BalanceEnergia1983-2006/CompilacionEstadistica83-06.pdf" TargetMode="External" Id="rId923"/><Relationship Type="http://schemas.openxmlformats.org/officeDocument/2006/relationships/hyperlink" Target="https://www.ande.gov.py/estadisticas/BalanceEnergia1983-2006/CompilacionEstadistica83-06.pdf" TargetMode="External" Id="rId924"/><Relationship Type="http://schemas.openxmlformats.org/officeDocument/2006/relationships/hyperlink" Target="https://www.ande.gov.py/estadisticas/BalanceEnergia1983-2006/CompilacionEstadistica83-06.pdf" TargetMode="External" Id="rId925"/><Relationship Type="http://schemas.openxmlformats.org/officeDocument/2006/relationships/hyperlink" Target="https://www.ande.gov.py/estadisticas/BalanceEnergia1983-2006/CompilacionEstadistica83-06.pdf" TargetMode="External" Id="rId926"/><Relationship Type="http://schemas.openxmlformats.org/officeDocument/2006/relationships/hyperlink" Target="https://www.ande.gov.py/estadisticas/BalanceEnergia1983-2006/CompilacionEstadistica83-06.pdf" TargetMode="External" Id="rId927"/><Relationship Type="http://schemas.openxmlformats.org/officeDocument/2006/relationships/hyperlink" Target="https://www.ande.gov.py/estadisticas/BalanceEnergia1983-2006/CompilacionEstadistica83-06.pdf" TargetMode="External" Id="rId928"/><Relationship Type="http://schemas.openxmlformats.org/officeDocument/2006/relationships/hyperlink" Target="https://www.ande.gov.py/estadisticas/BalanceEnergia1983-2006/CompilacionEstadistica83-06.pdf" TargetMode="External" Id="rId929"/><Relationship Type="http://schemas.openxmlformats.org/officeDocument/2006/relationships/hyperlink" Target="https://www.ande.gov.py/estadisticas/BalanceEnergia1983-2006/CompilacionEstadistica83-06.pdf" TargetMode="External" Id="rId930"/><Relationship Type="http://schemas.openxmlformats.org/officeDocument/2006/relationships/hyperlink" Target="https://www.ande.gov.py/estadisticas/BalanceEnergia1983-2006/CompilacionEstadistica83-06.pdf" TargetMode="External" Id="rId931"/><Relationship Type="http://schemas.openxmlformats.org/officeDocument/2006/relationships/hyperlink" Target="https://www.ande.gov.py/estadisticas/BalanceEnergia1983-2006/CompilacionEstadistica83-06.pdf" TargetMode="External" Id="rId932"/><Relationship Type="http://schemas.openxmlformats.org/officeDocument/2006/relationships/hyperlink" Target="https://www.ande.gov.py/estadisticas/BalanceEnergia1983-2006/CompilacionEstadistica83-06.pdf" TargetMode="External" Id="rId933"/><Relationship Type="http://schemas.openxmlformats.org/officeDocument/2006/relationships/hyperlink" Target="https://www.ande.gov.py/estadisticas/BalanceEnergia1983-2006/CompilacionEstadistica83-06.pdf" TargetMode="External" Id="rId934"/><Relationship Type="http://schemas.openxmlformats.org/officeDocument/2006/relationships/hyperlink" Target="https://www.ande.gov.py/estadisticas/BalanceEnergia1983-2006/CompilacionEstadistica83-06.pdf" TargetMode="External" Id="rId935"/><Relationship Type="http://schemas.openxmlformats.org/officeDocument/2006/relationships/hyperlink" Target="https://www.ande.gov.py/estadisticas/BalanceEnergia1983-2006/CompilacionEstadistica83-06.pdf" TargetMode="External" Id="rId936"/><Relationship Type="http://schemas.openxmlformats.org/officeDocument/2006/relationships/hyperlink" Target="https://www.ande.gov.py/estadisticas/BalanceEnergia1983-2006/CompilacionEstadistica83-06.pdf" TargetMode="External" Id="rId937"/><Relationship Type="http://schemas.openxmlformats.org/officeDocument/2006/relationships/hyperlink" Target="https://www.ande.gov.py/estadisticas/BalanceEnergia1983-2006/CompilacionEstadistica83-06.pdf" TargetMode="External" Id="rId938"/><Relationship Type="http://schemas.openxmlformats.org/officeDocument/2006/relationships/hyperlink" Target="https://www.ande.gov.py/estadisticas/BalanceEnergia1983-2006/CompilacionEstadistica83-06.pdf" TargetMode="External" Id="rId939"/><Relationship Type="http://schemas.openxmlformats.org/officeDocument/2006/relationships/hyperlink" Target="https://www.ande.gov.py/estadisticas/BalanceEnergia1983-2006/CompilacionEstadistica83-06.pdf" TargetMode="External" Id="rId940"/><Relationship Type="http://schemas.openxmlformats.org/officeDocument/2006/relationships/hyperlink" Target="https://www.ande.gov.py/estadisticas/BalanceEnergia1983-2006/CompilacionEstadistica83-06.pdf" TargetMode="External" Id="rId941"/><Relationship Type="http://schemas.openxmlformats.org/officeDocument/2006/relationships/hyperlink" Target="https://www.ande.gov.py/estadisticas/BalanceEnergia1983-2006/CompilacionEstadistica83-06.pdf" TargetMode="External" Id="rId942"/><Relationship Type="http://schemas.openxmlformats.org/officeDocument/2006/relationships/hyperlink" Target="https://www.ande.gov.py/estadisticas/BalanceEnergia1983-2006/CompilacionEstadistica83-06.pdf" TargetMode="External" Id="rId943"/><Relationship Type="http://schemas.openxmlformats.org/officeDocument/2006/relationships/hyperlink" Target="https://www.ande.gov.py/estadisticas/BalanceEnergia1983-2006/CompilacionEstadistica83-06.pdf" TargetMode="External" Id="rId944"/><Relationship Type="http://schemas.openxmlformats.org/officeDocument/2006/relationships/hyperlink" Target="https://www.ande.gov.py/estadisticas/BalanceEnergia1983-2006/CompilacionEstadistica83-06.pdf" TargetMode="External" Id="rId945"/><Relationship Type="http://schemas.openxmlformats.org/officeDocument/2006/relationships/hyperlink" Target="https://www.ande.gov.py/estadisticas/BalanceEnergia1983-2006/CompilacionEstadistica83-06.pdf" TargetMode="External" Id="rId946"/><Relationship Type="http://schemas.openxmlformats.org/officeDocument/2006/relationships/hyperlink" Target="https://www.ande.gov.py/estadisticas/BalanceEnergia1983-2006/CompilacionEstadistica83-06.pdf" TargetMode="External" Id="rId947"/><Relationship Type="http://schemas.openxmlformats.org/officeDocument/2006/relationships/hyperlink" Target="https://www.ande.gov.py/estadisticas/BalanceEnergia1983-2006/CompilacionEstadistica83-06.pdf" TargetMode="External" Id="rId948"/><Relationship Type="http://schemas.openxmlformats.org/officeDocument/2006/relationships/hyperlink" Target="https://www.ande.gov.py/documentos_contables/650/compilacion_estadistica_1998-2018.pdf" TargetMode="External" Id="rId949"/><Relationship Type="http://schemas.openxmlformats.org/officeDocument/2006/relationships/hyperlink" Target="https://www.ande.gov.py/documentos_contables/650/compilacion_estadistica_1998-2018.pdf" TargetMode="External" Id="rId950"/><Relationship Type="http://schemas.openxmlformats.org/officeDocument/2006/relationships/hyperlink" Target="https://www.ande.gov.py/documentos_contables/650/compilacion_estadistica_1998-2018.pdf" TargetMode="External" Id="rId951"/><Relationship Type="http://schemas.openxmlformats.org/officeDocument/2006/relationships/hyperlink" Target="https://www.ande.gov.py/documentos_contables/650/compilacion_estadistica_1998-2018.pdf" TargetMode="External" Id="rId952"/><Relationship Type="http://schemas.openxmlformats.org/officeDocument/2006/relationships/hyperlink" Target="https://www.ande.gov.py/documentos_contables/650/compilacion_estadistica_1998-2018.pdf" TargetMode="External" Id="rId953"/><Relationship Type="http://schemas.openxmlformats.org/officeDocument/2006/relationships/hyperlink" Target="https://www.ande.gov.py/documentos_contables/650/compilacion_estadistica_1998-2018.pdf" TargetMode="External" Id="rId954"/><Relationship Type="http://schemas.openxmlformats.org/officeDocument/2006/relationships/hyperlink" Target="https://www.ande.gov.py/documentos_contables/650/compilacion_estadistica_1998-2018.pdf" TargetMode="External" Id="rId955"/><Relationship Type="http://schemas.openxmlformats.org/officeDocument/2006/relationships/hyperlink" Target="https://www.ande.gov.py/documentos_contables/650/compilacion_estadistica_1998-2018.pdf" TargetMode="External" Id="rId956"/><Relationship Type="http://schemas.openxmlformats.org/officeDocument/2006/relationships/hyperlink" Target="https://www.ande.gov.py/documentos_contables/650/compilacion_estadistica_1998-2018.pdf" TargetMode="External" Id="rId957"/><Relationship Type="http://schemas.openxmlformats.org/officeDocument/2006/relationships/hyperlink" Target="https://www.ande.gov.py/documentos_contables/650/compilacion_estadistica_1998-2018.pdf" TargetMode="External" Id="rId958"/><Relationship Type="http://schemas.openxmlformats.org/officeDocument/2006/relationships/hyperlink" Target="https://www.ande.gov.py/documentos_contables/650/compilacion_estadistica_1998-2018.pdf" TargetMode="External" Id="rId959"/><Relationship Type="http://schemas.openxmlformats.org/officeDocument/2006/relationships/hyperlink" Target="https://www.ande.gov.py/documentos_contables/650/compilacion_estadistica_1998-2018.pdf" TargetMode="External" Id="rId960"/><Relationship Type="http://schemas.openxmlformats.org/officeDocument/2006/relationships/hyperlink" Target="https://www.ande.gov.py/documentos_contables/650/compilacion_estadistica_1998-2018.pdf" TargetMode="External" Id="rId961"/><Relationship Type="http://schemas.openxmlformats.org/officeDocument/2006/relationships/hyperlink" Target="https://www.ande.gov.py/documentos_contables/650/compilacion_estadistica_1998-2018.pdf" TargetMode="External" Id="rId962"/><Relationship Type="http://schemas.openxmlformats.org/officeDocument/2006/relationships/hyperlink" Target="https://www.ande.gov.py/documentos_contables/650/compilacion_estadistica_1998-2018.pdf" TargetMode="External" Id="rId963"/><Relationship Type="http://schemas.openxmlformats.org/officeDocument/2006/relationships/hyperlink" Target="https://www.ande.gov.py/documentos_contables/650/compilacion_estadistica_1998-2018.pdf" TargetMode="External" Id="rId964"/><Relationship Type="http://schemas.openxmlformats.org/officeDocument/2006/relationships/hyperlink" Target="https://www.ande.gov.py/documentos_contables/650/compilacion_estadistica_1998-2018.pdf" TargetMode="External" Id="rId965"/><Relationship Type="http://schemas.openxmlformats.org/officeDocument/2006/relationships/hyperlink" Target="https://www.ande.gov.py/documentos_contables/650/compilacion_estadistica_1998-2018.pdf" TargetMode="External" Id="rId966"/><Relationship Type="http://schemas.openxmlformats.org/officeDocument/2006/relationships/hyperlink" Target="https://www.ande.gov.py/documentos_contables/650/compilacion_estadistica_1998-2018.pdf" TargetMode="External" Id="rId967"/><Relationship Type="http://schemas.openxmlformats.org/officeDocument/2006/relationships/hyperlink" Target="https://www.ande.gov.py/documentos_contables/650/compilacion_estadistica_1998-2018.pdf" TargetMode="External" Id="rId968"/><Relationship Type="http://schemas.openxmlformats.org/officeDocument/2006/relationships/hyperlink" Target="https://www.ande.gov.py/documentos_contables/650/compilacion_estadistica_1998-2018.pdf" TargetMode="External" Id="rId969"/><Relationship Type="http://schemas.openxmlformats.org/officeDocument/2006/relationships/hyperlink" Target="https://www.ande.gov.py/documentos_contables/650/compilacion_estadistica_1998-2018.pdf" TargetMode="External" Id="rId970"/><Relationship Type="http://schemas.openxmlformats.org/officeDocument/2006/relationships/hyperlink" Target="https://www.ande.gov.py/documentos_contables/650/compilacion_estadistica_1998-2018.pdf" TargetMode="External" Id="rId971"/><Relationship Type="http://schemas.openxmlformats.org/officeDocument/2006/relationships/hyperlink" Target="https://www.ande.gov.py/documentos_contables/650/compilacion_estadistica_1998-2018.pdf" TargetMode="External" Id="rId972"/><Relationship Type="http://schemas.openxmlformats.org/officeDocument/2006/relationships/hyperlink" Target="https://www.ande.gov.py/documentos_contables/650/compilacion_estadistica_1998-2018.pdf" TargetMode="External" Id="rId973"/><Relationship Type="http://schemas.openxmlformats.org/officeDocument/2006/relationships/hyperlink" Target="https://www.ande.gov.py/documentos_contables/650/compilacion_estadistica_1998-2018.pdf" TargetMode="External" Id="rId974"/><Relationship Type="http://schemas.openxmlformats.org/officeDocument/2006/relationships/hyperlink" Target="https://www.ande.gov.py/documentos_contables/650/compilacion_estadistica_1998-2018.pdf" TargetMode="External" Id="rId975"/><Relationship Type="http://schemas.openxmlformats.org/officeDocument/2006/relationships/hyperlink" Target="https://www.ande.gov.py/documentos_contables/650/compilacion_estadistica_1998-2018.pdf" TargetMode="External" Id="rId976"/><Relationship Type="http://schemas.openxmlformats.org/officeDocument/2006/relationships/hyperlink" Target="https://www.ande.gov.py/documentos_contables/650/compilacion_estadistica_1998-2018.pdf" TargetMode="External" Id="rId977"/><Relationship Type="http://schemas.openxmlformats.org/officeDocument/2006/relationships/hyperlink" Target="https://www.ande.gov.py/documentos_contables/650/compilacion_estadistica_1998-2018.pdf" TargetMode="External" Id="rId978"/><Relationship Type="http://schemas.openxmlformats.org/officeDocument/2006/relationships/hyperlink" Target="https://www.ande.gov.py/documentos_contables/650/compilacion_estadistica_1998-2018.pdf" TargetMode="External" Id="rId979"/><Relationship Type="http://schemas.openxmlformats.org/officeDocument/2006/relationships/hyperlink" Target="https://www.ande.gov.py/documentos_contables/650/compilacion_estadistica_1998-2018.pdf" TargetMode="External" Id="rId980"/><Relationship Type="http://schemas.openxmlformats.org/officeDocument/2006/relationships/hyperlink" Target="https://www.ande.gov.py/documentos_contables/650/compilacion_estadistica_1998-2018.pdf" TargetMode="External" Id="rId981"/><Relationship Type="http://schemas.openxmlformats.org/officeDocument/2006/relationships/hyperlink" Target="https://www.ande.gov.py/documentos_contables/650/compilacion_estadistica_1998-2018.pdf" TargetMode="External" Id="rId982"/><Relationship Type="http://schemas.openxmlformats.org/officeDocument/2006/relationships/hyperlink" Target="https://www.ande.gov.py/documentos_contables/650/compilacion_estadistica_1998-2018.pdf" TargetMode="External" Id="rId983"/><Relationship Type="http://schemas.openxmlformats.org/officeDocument/2006/relationships/hyperlink" Target="https://www.ande.gov.py/finanzas/2.%20COMPILACION%20ESTADISTICA%202003-2023/ANDE%20-%20Compilacion%20Estadistica%202003-2023.pdf" TargetMode="External" Id="rId984"/><Relationship Type="http://schemas.openxmlformats.org/officeDocument/2006/relationships/hyperlink" Target="https://www.ande.gov.py/finanzas/2.%20COMPILACION%20ESTADISTICA%202003-2023/ANDE%20-%20Compilacion%20Estadistica%202003-2023.pdf" TargetMode="External" Id="rId985"/><Relationship Type="http://schemas.openxmlformats.org/officeDocument/2006/relationships/hyperlink" Target="https://www.ande.gov.py/finanzas/2.%20COMPILACION%20ESTADISTICA%202003-2023/ANDE%20-%20Compilacion%20Estadistica%202003-2023.pdf" TargetMode="External" Id="rId986"/><Relationship Type="http://schemas.openxmlformats.org/officeDocument/2006/relationships/hyperlink" Target="https://www.ande.gov.py/finanzas/2.%20COMPILACION%20ESTADISTICA%202003-2023/ANDE%20-%20Compilacion%20Estadistica%202003-2023.pdf" TargetMode="External" Id="rId987"/><Relationship Type="http://schemas.openxmlformats.org/officeDocument/2006/relationships/hyperlink" Target="https://www.ande.gov.py/finanzas/2.%20COMPILACION%20ESTADISTICA%202003-2023/ANDE%20-%20Compilacion%20Estadistica%202003-2023.pdf" TargetMode="External" Id="rId988"/><Relationship Type="http://schemas.openxmlformats.org/officeDocument/2006/relationships/hyperlink" Target="https://www.ande.gov.py/finanzas/2.%20COMPILACION%20ESTADISTICA%202003-2023/ANDE%20-%20Compilacion%20Estadistica%202003-2023.pdf" TargetMode="External" Id="rId989"/><Relationship Type="http://schemas.openxmlformats.org/officeDocument/2006/relationships/hyperlink" Target="https://www.ande.gov.py/finanzas/2.%20COMPILACION%20ESTADISTICA%202003-2023/ANDE%20-%20Compilacion%20Estadistica%202003-2023.pdf" TargetMode="External" Id="rId990"/><Relationship Type="http://schemas.openxmlformats.org/officeDocument/2006/relationships/hyperlink" Target="https://www.ande.gov.py/finanzas/2.%20COMPILACION%20ESTADISTICA%202003-2023/ANDE%20-%20Compilacion%20Estadistica%202003-2023.pdf" TargetMode="External" Id="rId991"/><Relationship Type="http://schemas.openxmlformats.org/officeDocument/2006/relationships/hyperlink" Target="https://www.ande.gov.py/finanzas/2.%20COMPILACION%20ESTADISTICA%202003-2023/ANDE%20-%20Compilacion%20Estadistica%202003-2023.pdf" TargetMode="External" Id="rId992"/><Relationship Type="http://schemas.openxmlformats.org/officeDocument/2006/relationships/hyperlink" Target="https://www.ande.gov.py/finanzas/2.%20COMPILACION%20ESTADISTICA%202003-2023/ANDE%20-%20Compilacion%20Estadistica%202003-2023.pdf" TargetMode="External" Id="rId993"/><Relationship Type="http://schemas.openxmlformats.org/officeDocument/2006/relationships/hyperlink" Target="https://www.ande.gov.py/finanzas/2.%20COMPILACION%20ESTADISTICA%202003-2023/ANDE%20-%20Compilacion%20Estadistica%202003-2023.pdf" TargetMode="External" Id="rId994"/><Relationship Type="http://schemas.openxmlformats.org/officeDocument/2006/relationships/hyperlink" Target="https://www.ande.gov.py/finanzas/2.%20COMPILACION%20ESTADISTICA%202003-2023/ANDE%20-%20Compilacion%20Estadistica%202003-2023.pdf" TargetMode="External" Id="rId995"/><Relationship Type="http://schemas.openxmlformats.org/officeDocument/2006/relationships/hyperlink" Target="https://www.ande.gov.py/finanzas/2.%20COMPILACION%20ESTADISTICA%202003-2023/ANDE%20-%20Compilacion%20Estadistica%202003-2023.pdf" TargetMode="External" Id="rId996"/><Relationship Type="http://schemas.openxmlformats.org/officeDocument/2006/relationships/hyperlink" Target="https://www.ande.gov.py/finanzas/2.%20COMPILACION%20ESTADISTICA%202003-2023/ANDE%20-%20Compilacion%20Estadistica%202003-2023.pdf" TargetMode="External" Id="rId997"/><Relationship Type="http://schemas.openxmlformats.org/officeDocument/2006/relationships/hyperlink" Target="https://www.ande.gov.py/finanzas/2.%20COMPILACION%20ESTADISTICA%202003-2023/ANDE%20-%20Compilacion%20Estadistica%202003-2023.pdf" TargetMode="External" Id="rId998"/><Relationship Type="http://schemas.openxmlformats.org/officeDocument/2006/relationships/hyperlink" Target="https://www.ande.gov.py/finanzas/2.%20COMPILACION%20ESTADISTICA%202003-2023/ANDE%20-%20Compilacion%20Estadistica%202003-2023.pdf" TargetMode="External" Id="rId999"/><Relationship Type="http://schemas.openxmlformats.org/officeDocument/2006/relationships/hyperlink" Target="https://www.ande.gov.py/finanzas/2.%20COMPILACION%20ESTADISTICA%202003-2023/ANDE%20-%20Compilacion%20Estadistica%202003-2023.pdf" TargetMode="External" Id="rId1000"/><Relationship Type="http://schemas.openxmlformats.org/officeDocument/2006/relationships/hyperlink" Target="https://www.ande.gov.py/finanzas/2.%20COMPILACION%20ESTADISTICA%202003-2023/ANDE%20-%20Compilacion%20Estadistica%202003-2023.pdf" TargetMode="External" Id="rId1001"/><Relationship Type="http://schemas.openxmlformats.org/officeDocument/2006/relationships/hyperlink" Target="https://www.ande.gov.py/finanzas/2.%20COMPILACION%20ESTADISTICA%202003-2023/ANDE%20-%20Compilacion%20Estadistica%202003-2023.pdf" TargetMode="External" Id="rId1002"/><Relationship Type="http://schemas.openxmlformats.org/officeDocument/2006/relationships/hyperlink" Target="https://www.ande.gov.py/finanzas/2.%20COMPILACION%20ESTADISTICA%202003-2023/ANDE%20-%20Compilacion%20Estadistica%202003-2023.pdf" TargetMode="External" Id="rId1003"/><Relationship Type="http://schemas.openxmlformats.org/officeDocument/2006/relationships/hyperlink" Target="https://www.ande.gov.py/finanzas/2.%20COMPILACION%20ESTADISTICA%202003-2023/ANDE%20-%20Compilacion%20Estadistica%202003-2023.pdf" TargetMode="External" Id="rId1004"/><Relationship Type="http://schemas.openxmlformats.org/officeDocument/2006/relationships/hyperlink" Target="https://www.ande.gov.py/finanzas/2.%20COMPILACION%20ESTADISTICA%202003-2023/ANDE%20-%20Compilacion%20Estadistica%202003-2023.pdf" TargetMode="External" Id="rId1005"/><Relationship Type="http://schemas.openxmlformats.org/officeDocument/2006/relationships/hyperlink" Target="https://www.ande.gov.py/finanzas/2.%20COMPILACION%20ESTADISTICA%202003-2023/ANDE%20-%20Compilacion%20Estadistica%202003-2023.pdf" TargetMode="External" Id="rId1006"/><Relationship Type="http://schemas.openxmlformats.org/officeDocument/2006/relationships/hyperlink" Target="https://www.ande.gov.py/finanzas/2.%20COMPILACION%20ESTADISTICA%202003-2023/ANDE%20-%20Compilacion%20Estadistica%202003-2023.pdf" TargetMode="External" Id="rId1007"/><Relationship Type="http://schemas.openxmlformats.org/officeDocument/2006/relationships/hyperlink" Target="https://www.ande.gov.py/finanzas/2.%20COMPILACION%20ESTADISTICA%202003-2023/ANDE%20-%20Compilacion%20Estadistica%202003-2023.pdf" TargetMode="External" Id="rId1008"/><Relationship Type="http://schemas.openxmlformats.org/officeDocument/2006/relationships/hyperlink" Target="https://www.ande.gov.py/finanzas/2.%20COMPILACION%20ESTADISTICA%202003-2023/ANDE%20-%20Compilacion%20Estadistica%202003-2023.pdf" TargetMode="External" Id="rId1009"/><Relationship Type="http://schemas.openxmlformats.org/officeDocument/2006/relationships/hyperlink" Target="https://www.ande.gov.py/finanzas/2.%20COMPILACION%20ESTADISTICA%202003-2023/ANDE%20-%20Compilacion%20Estadistica%202003-2023.pdf" TargetMode="External" Id="rId1010"/><Relationship Type="http://schemas.openxmlformats.org/officeDocument/2006/relationships/hyperlink" Target="https://www.ande.gov.py/finanzas/2.%20COMPILACION%20ESTADISTICA%202003-2023/ANDE%20-%20Compilacion%20Estadistica%202003-2023.pdf" TargetMode="External" Id="rId1011"/><Relationship Type="http://schemas.openxmlformats.org/officeDocument/2006/relationships/hyperlink" Target="https://www.ande.gov.py/finanzas/2.%20COMPILACION%20ESTADISTICA%202003-2023/ANDE%20-%20Compilacion%20Estadistica%202003-2023.pdf" TargetMode="External" Id="rId1012"/><Relationship Type="http://schemas.openxmlformats.org/officeDocument/2006/relationships/hyperlink" Target="https://www.ande.gov.py/finanzas/2.%20COMPILACION%20ESTADISTICA%202003-2023/ANDE%20-%20Compilacion%20Estadistica%202003-2023.pdf" TargetMode="External" Id="rId1013"/><Relationship Type="http://schemas.openxmlformats.org/officeDocument/2006/relationships/hyperlink" Target="https://www.ande.gov.py/finanzas/2.%20COMPILACION%20ESTADISTICA%202003-2023/ANDE%20-%20Compilacion%20Estadistica%202003-2023.pdf" TargetMode="External" Id="rId1014"/><Relationship Type="http://schemas.openxmlformats.org/officeDocument/2006/relationships/hyperlink" Target="https://www.ande.gov.py/finanzas/2.%20COMPILACION%20ESTADISTICA%202003-2023/ANDE%20-%20Compilacion%20Estadistica%202003-2023.pdf" TargetMode="External" Id="rId1015"/><Relationship Type="http://schemas.openxmlformats.org/officeDocument/2006/relationships/hyperlink" Target="https://www.ande.gov.py/finanzas/2.%20COMPILACION%20ESTADISTICA%202003-2023/ANDE%20-%20Compilacion%20Estadistica%202003-2023.pdf" TargetMode="External" Id="rId1016"/><Relationship Type="http://schemas.openxmlformats.org/officeDocument/2006/relationships/hyperlink" Target="https://www.ande.gov.py/finanzas/2.%20COMPILACION%20ESTADISTICA%202003-2023/ANDE%20-%20Compilacion%20Estadistica%202003-2023.pdf" TargetMode="External" Id="rId1017"/><Relationship Type="http://schemas.openxmlformats.org/officeDocument/2006/relationships/hyperlink" Target="https://www.ande.gov.py/finanzas/2.%20COMPILACION%20ESTADISTICA%202003-2023/ANDE%20-%20Compilacion%20Estadistica%202003-2023.pdf" TargetMode="External" Id="rId1018"/><Relationship Type="http://schemas.openxmlformats.org/officeDocument/2006/relationships/hyperlink" Target="https://www.ande.gov.py/finanzas/2.%20COMPILACION%20ESTADISTICA%202003-2023/ANDE%20-%20Compilacion%20Estadistica%202003-2023.pdf" TargetMode="External" Id="rId1019"/><Relationship Type="http://schemas.openxmlformats.org/officeDocument/2006/relationships/hyperlink" Target="https://www.ande.gov.py/finanzas/2.%20COMPILACION%20ESTADISTICA%202003-2023/ANDE%20-%20Compilacion%20Estadistica%202003-2023.pdf" TargetMode="External" Id="rId1020"/><Relationship Type="http://schemas.openxmlformats.org/officeDocument/2006/relationships/hyperlink" Target="https://www.ande.gov.py/finanzas/2.%20COMPILACION%20ESTADISTICA%202003-2023/ANDE%20-%20Compilacion%20Estadistica%202003-2023.pdf" TargetMode="External" Id="rId1021"/><Relationship Type="http://schemas.openxmlformats.org/officeDocument/2006/relationships/hyperlink" Target="https://www.ande.gov.py/finanzas/2.%20COMPILACION%20ESTADISTICA%202003-2023/ANDE%20-%20Compilacion%20Estadistica%202003-2023.pdf" TargetMode="External" Id="rId1022"/><Relationship Type="http://schemas.openxmlformats.org/officeDocument/2006/relationships/hyperlink" Target="https://www.ande.gov.py/finanzas/2.%20COMPILACION%20ESTADISTICA%202003-2023/ANDE%20-%20Compilacion%20Estadistica%202003-2023.pdf" TargetMode="External" Id="rId1023"/><Relationship Type="http://schemas.openxmlformats.org/officeDocument/2006/relationships/hyperlink" Target="https://www.ande.gov.py/finanzas/2.%20COMPILACION%20ESTADISTICA%202003-2023/ANDE%20-%20Compilacion%20Estadistica%202003-2023.pdf" TargetMode="External" Id="rId1024"/><Relationship Type="http://schemas.openxmlformats.org/officeDocument/2006/relationships/hyperlink" Target="https://www.ande.gov.py/finanzas/2.%20COMPILACION%20ESTADISTICA%202003-2023/ANDE%20-%20Compilacion%20Estadistica%202003-2023.pdf" TargetMode="External" Id="rId1025"/><Relationship Type="http://schemas.openxmlformats.org/officeDocument/2006/relationships/hyperlink" Target="https://www.ande.gov.py/finanzas/2.%20COMPILACION%20ESTADISTICA%202003-2023/ANDE%20-%20Compilacion%20Estadistica%202003-2023.pdf" TargetMode="External" Id="rId1026"/><Relationship Type="http://schemas.openxmlformats.org/officeDocument/2006/relationships/hyperlink" Target="https://www.ande.gov.py/finanzas/2.%20COMPILACION%20ESTADISTICA%202003-2023/ANDE%20-%20Compilacion%20Estadistica%202003-2023.pdf" TargetMode="External" Id="rId1027"/><Relationship Type="http://schemas.openxmlformats.org/officeDocument/2006/relationships/hyperlink" Target="https://www.ande.gov.py/finanzas/2.%20COMPILACION%20ESTADISTICA%202003-2023/ANDE%20-%20Compilacion%20Estadistica%202003-2023.pdf" TargetMode="External" Id="rId1028"/><Relationship Type="http://schemas.openxmlformats.org/officeDocument/2006/relationships/hyperlink" Target="https://www.ande.gov.py/finanzas/2.%20COMPILACION%20ESTADISTICA%202003-2023/ANDE%20-%20Compilacion%20Estadistica%202003-2023.pdf" TargetMode="External" Id="rId1029"/><Relationship Type="http://schemas.openxmlformats.org/officeDocument/2006/relationships/hyperlink" Target="https://www.ande.gov.py/finanzas/2.%20COMPILACION%20ESTADISTICA%202003-2023/ANDE%20-%20Compilacion%20Estadistica%202003-2023.pdf" TargetMode="External" Id="rId1030"/><Relationship Type="http://schemas.openxmlformats.org/officeDocument/2006/relationships/hyperlink" Target="https://www.ande.gov.py/finanzas/2.%20COMPILACION%20ESTADISTICA%202003-2023/ANDE%20-%20Compilacion%20Estadistica%202003-2023.pdf" TargetMode="External" Id="rId1031"/><Relationship Type="http://schemas.openxmlformats.org/officeDocument/2006/relationships/hyperlink" Target="https://www.ande.gov.py/finanzas/2.%20COMPILACION%20ESTADISTICA%202003-2023/ANDE%20-%20Compilacion%20Estadistica%202003-2023.pdf" TargetMode="External" Id="rId1032"/><Relationship Type="http://schemas.openxmlformats.org/officeDocument/2006/relationships/hyperlink" Target="https://www.ande.gov.py/finanzas/2.%20COMPILACION%20ESTADISTICA%202003-2023/ANDE%20-%20Compilacion%20Estadistica%202003-2023.pdf" TargetMode="External" Id="rId1033"/><Relationship Type="http://schemas.openxmlformats.org/officeDocument/2006/relationships/hyperlink" Target="https://www.ande.gov.py/finanzas/2.%20COMPILACION%20ESTADISTICA%202003-2023/ANDE%20-%20Compilacion%20Estadistica%202003-2023.pdf" TargetMode="External" Id="rId1034"/><Relationship Type="http://schemas.openxmlformats.org/officeDocument/2006/relationships/hyperlink" Target="https://www.ande.gov.py/finanzas/2.%20COMPILACION%20ESTADISTICA%202003-2023/ANDE%20-%20Compilacion%20Estadistica%202003-2023.pdf" TargetMode="External" Id="rId1035"/><Relationship Type="http://schemas.openxmlformats.org/officeDocument/2006/relationships/hyperlink" Target="https://www.ande.gov.py/finanzas/2.%20COMPILACION%20ESTADISTICA%202003-2023/ANDE%20-%20Compilacion%20Estadistica%202003-2023.pdf" TargetMode="External" Id="rId1036"/><Relationship Type="http://schemas.openxmlformats.org/officeDocument/2006/relationships/hyperlink" Target="https://www.ande.gov.py/finanzas/2.%20COMPILACION%20ESTADISTICA%202003-2023/ANDE%20-%20Compilacion%20Estadistica%202003-2023.pdf" TargetMode="External" Id="rId1037"/><Relationship Type="http://schemas.openxmlformats.org/officeDocument/2006/relationships/hyperlink" Target="https://www.ande.gov.py/finanzas/2.%20COMPILACION%20ESTADISTICA%202003-2023/ANDE%20-%20Compilacion%20Estadistica%202003-2023.pdf" TargetMode="External" Id="rId1038"/><Relationship Type="http://schemas.openxmlformats.org/officeDocument/2006/relationships/hyperlink" Target="https://www.ande.gov.py/finanzas/2.%20COMPILACION%20ESTADISTICA%202003-2023/ANDE%20-%20Compilacion%20Estadistica%202003-2023.pdf" TargetMode="External" Id="rId1039"/><Relationship Type="http://schemas.openxmlformats.org/officeDocument/2006/relationships/hyperlink" Target="https://www.ande.gov.py/finanzas/2.%20COMPILACION%20ESTADISTICA%202003-2023/ANDE%20-%20Compilacion%20Estadistica%202003-2023.pdf" TargetMode="External" Id="rId1040"/><Relationship Type="http://schemas.openxmlformats.org/officeDocument/2006/relationships/hyperlink" Target="https://www.ande.gov.py/finanzas/2.%20COMPILACION%20ESTADISTICA%202003-2023/ANDE%20-%20Compilacion%20Estadistica%202003-2023.pdf" TargetMode="External" Id="rId1041"/><Relationship Type="http://schemas.openxmlformats.org/officeDocument/2006/relationships/hyperlink" Target="https://www.ande.gov.py/finanzas/2.%20COMPILACION%20ESTADISTICA%202003-2023/ANDE%20-%20Compilacion%20Estadistica%202003-2023.pdf" TargetMode="External" Id="rId1042"/><Relationship Type="http://schemas.openxmlformats.org/officeDocument/2006/relationships/hyperlink" Target="https://www.ande.gov.py/finanzas/2.%20COMPILACION%20ESTADISTICA%202003-2023/ANDE%20-%20Compilacion%20Estadistica%202003-2023.pdf" TargetMode="External" Id="rId1043"/><Relationship Type="http://schemas.openxmlformats.org/officeDocument/2006/relationships/hyperlink" Target="https://www.ande.gov.py/finanzas/2.%20COMPILACION%20ESTADISTICA%202003-2023/ANDE%20-%20Compilacion%20Estadistica%202003-2023.pdf" TargetMode="External" Id="rId1044"/><Relationship Type="http://schemas.openxmlformats.org/officeDocument/2006/relationships/hyperlink" Target="https://www.ande.gov.py/finanzas/2.%20COMPILACION%20ESTADISTICA%202003-2023/ANDE%20-%20Compilacion%20Estadistica%202003-2023.pdf" TargetMode="External" Id="rId1045"/><Relationship Type="http://schemas.openxmlformats.org/officeDocument/2006/relationships/hyperlink" Target="https://www.ande.gov.py/finanzas/2.%20COMPILACION%20ESTADISTICA%202003-2023/ANDE%20-%20Compilacion%20Estadistica%202003-2023.pdf" TargetMode="External" Id="rId1046"/><Relationship Type="http://schemas.openxmlformats.org/officeDocument/2006/relationships/hyperlink" Target="https://www.ande.gov.py/finanzas/2.%20COMPILACION%20ESTADISTICA%202003-2023/ANDE%20-%20Compilacion%20Estadistica%202003-2023.pdf" TargetMode="External" Id="rId1047"/><Relationship Type="http://schemas.openxmlformats.org/officeDocument/2006/relationships/hyperlink" Target="https://www.ande.gov.py/finanzas/2.%20COMPILACION%20ESTADISTICA%202003-2023/ANDE%20-%20Compilacion%20Estadistica%202003-2023.pdf" TargetMode="External" Id="rId1048"/><Relationship Type="http://schemas.openxmlformats.org/officeDocument/2006/relationships/hyperlink" Target="https://www.ande.gov.py/finanzas/2.%20COMPILACION%20ESTADISTICA%202003-2023/ANDE%20-%20Compilacion%20Estadistica%202003-2023.pdf" TargetMode="External" Id="rId1049"/><Relationship Type="http://schemas.openxmlformats.org/officeDocument/2006/relationships/hyperlink" Target="https://www.ande.gov.py/finanzas/2.%20COMPILACION%20ESTADISTICA%202003-2023/ANDE%20-%20Compilacion%20Estadistica%202003-2023.pdf" TargetMode="External" Id="rId1050"/><Relationship Type="http://schemas.openxmlformats.org/officeDocument/2006/relationships/hyperlink" Target="https://www.ande.gov.py/finanzas/2.%20COMPILACION%20ESTADISTICA%202003-2023/ANDE%20-%20Compilacion%20Estadistica%202003-2023.pdf" TargetMode="External" Id="rId1051"/><Relationship Type="http://schemas.openxmlformats.org/officeDocument/2006/relationships/hyperlink" Target="https://www.ande.gov.py/finanzas/2.%20COMPILACION%20ESTADISTICA%202003-2023/ANDE%20-%20Compilacion%20Estadistica%202003-2023.pdf" TargetMode="External" Id="rId1052"/><Relationship Type="http://schemas.openxmlformats.org/officeDocument/2006/relationships/hyperlink" Target="https://www.ande.gov.py/finanzas/2.%20COMPILACION%20ESTADISTICA%202003-2023/ANDE%20-%20Compilacion%20Estadistica%202003-2023.pdf" TargetMode="External" Id="rId1053"/><Relationship Type="http://schemas.openxmlformats.org/officeDocument/2006/relationships/hyperlink" Target="https://www.ande.gov.py/finanzas/2.%20COMPILACION%20ESTADISTICA%202003-2023/ANDE%20-%20Compilacion%20Estadistica%202003-2023.pdf" TargetMode="External" Id="rId1054"/><Relationship Type="http://schemas.openxmlformats.org/officeDocument/2006/relationships/hyperlink" Target="https://www.ande.gov.py/finanzas/2.%20COMPILACION%20ESTADISTICA%202003-2023/ANDE%20-%20Compilacion%20Estadistica%202003-2023.pdf" TargetMode="External" Id="rId1055"/><Relationship Type="http://schemas.openxmlformats.org/officeDocument/2006/relationships/hyperlink" Target="https://www.ande.gov.py/finanzas/2.%20COMPILACION%20ESTADISTICA%202003-2023/ANDE%20-%20Compilacion%20Estadistica%202003-2023.pdf" TargetMode="External" Id="rId1056"/><Relationship Type="http://schemas.openxmlformats.org/officeDocument/2006/relationships/hyperlink" Target="https://www.ande.gov.py/finanzas/2.%20COMPILACION%20ESTADISTICA%202003-2023/ANDE%20-%20Compilacion%20Estadistica%202003-2023.pdf" TargetMode="External" Id="rId1057"/><Relationship Type="http://schemas.openxmlformats.org/officeDocument/2006/relationships/hyperlink" Target="https://www.ande.gov.py/finanzas/2.%20COMPILACION%20ESTADISTICA%202003-2023/ANDE%20-%20Compilacion%20Estadistica%202003-2023.pdf" TargetMode="External" Id="rId1058"/><Relationship Type="http://schemas.openxmlformats.org/officeDocument/2006/relationships/hyperlink" Target="https://www.ande.gov.py/finanzas/2.%20COMPILACION%20ESTADISTICA%202003-2023/ANDE%20-%20Compilacion%20Estadistica%202003-2023.pdf" TargetMode="External" Id="rId1059"/><Relationship Type="http://schemas.openxmlformats.org/officeDocument/2006/relationships/hyperlink" Target="https://www.ande.gov.py/finanzas/2.%20COMPILACION%20ESTADISTICA%202003-2023/ANDE%20-%20Compilacion%20Estadistica%202003-2023.pdf" TargetMode="External" Id="rId1060"/><Relationship Type="http://schemas.openxmlformats.org/officeDocument/2006/relationships/hyperlink" Target="https://www.ande.gov.py/finanzas/2.%20COMPILACION%20ESTADISTICA%202003-2023/ANDE%20-%20Compilacion%20Estadistica%202003-2023.pdf" TargetMode="External" Id="rId1061"/><Relationship Type="http://schemas.openxmlformats.org/officeDocument/2006/relationships/hyperlink" Target="https://www.ande.gov.py/finanzas/2.%20COMPILACION%20ESTADISTICA%202003-2023/ANDE%20-%20Compilacion%20Estadistica%202003-2023.pdf" TargetMode="External" Id="rId1062"/><Relationship Type="http://schemas.openxmlformats.org/officeDocument/2006/relationships/hyperlink" Target="https://www.ande.gov.py/finanzas/2.%20COMPILACION%20ESTADISTICA%202003-2023/ANDE%20-%20Compilacion%20Estadistica%202003-2023.pdf" TargetMode="External" Id="rId1063"/><Relationship Type="http://schemas.openxmlformats.org/officeDocument/2006/relationships/hyperlink" Target="https://www.ande.gov.py/finanzas/2.%20COMPILACION%20ESTADISTICA%202003-2023/ANDE%20-%20Compilacion%20Estadistica%202003-2023.pdf" TargetMode="External" Id="rId1064"/><Relationship Type="http://schemas.openxmlformats.org/officeDocument/2006/relationships/hyperlink" Target="https://www.ande.gov.py/finanzas/2.%20COMPILACION%20ESTADISTICA%202003-2023/ANDE%20-%20Compilacion%20Estadistica%202003-2023.pdf" TargetMode="External" Id="rId1065"/><Relationship Type="http://schemas.openxmlformats.org/officeDocument/2006/relationships/hyperlink" Target="https://www.ande.gov.py/finanzas/2.%20COMPILACION%20ESTADISTICA%202003-2023/ANDE%20-%20Compilacion%20Estadistica%202003-2023.pdf" TargetMode="External" Id="rId1066"/><Relationship Type="http://schemas.openxmlformats.org/officeDocument/2006/relationships/hyperlink" Target="https://www.ande.gov.py/finanzas/2.%20COMPILACION%20ESTADISTICA%202003-2023/ANDE%20-%20Compilacion%20Estadistica%202003-2023.pdf" TargetMode="External" Id="rId1067"/><Relationship Type="http://schemas.openxmlformats.org/officeDocument/2006/relationships/hyperlink" Target="https://www.ande.gov.py/finanzas/2.%20COMPILACION%20ESTADISTICA%202003-2023/ANDE%20-%20Compilacion%20Estadistica%202003-2023.pdf" TargetMode="External" Id="rId1068"/><Relationship Type="http://schemas.openxmlformats.org/officeDocument/2006/relationships/hyperlink" Target="https://www.ande.gov.py/finanzas/2.%20COMPILACION%20ESTADISTICA%202003-2023/ANDE%20-%20Compilacion%20Estadistica%202003-2023.pdf" TargetMode="External" Id="rId1069"/><Relationship Type="http://schemas.openxmlformats.org/officeDocument/2006/relationships/hyperlink" Target="https://www.ande.gov.py/finanzas/2.%20COMPILACION%20ESTADISTICA%202003-2023/ANDE%20-%20Compilacion%20Estadistica%202003-2023.pdf" TargetMode="External" Id="rId1070"/><Relationship Type="http://schemas.openxmlformats.org/officeDocument/2006/relationships/hyperlink" Target="https://www.ande.gov.py/finanzas/2.%20COMPILACION%20ESTADISTICA%202003-2023/ANDE%20-%20Compilacion%20Estadistica%202003-2023.pdf" TargetMode="External" Id="rId1071"/><Relationship Type="http://schemas.openxmlformats.org/officeDocument/2006/relationships/hyperlink" Target="https://www.ande.gov.py/finanzas/2.%20COMPILACION%20ESTADISTICA%202003-2023/ANDE%20-%20Compilacion%20Estadistica%202003-2023.pdf" TargetMode="External" Id="rId1072"/><Relationship Type="http://schemas.openxmlformats.org/officeDocument/2006/relationships/hyperlink" Target="https://www.ande.gov.py/finanzas/2.%20COMPILACION%20ESTADISTICA%202003-2023/ANDE%20-%20Compilacion%20Estadistica%202003-2023.pdf" TargetMode="External" Id="rId1073"/><Relationship Type="http://schemas.openxmlformats.org/officeDocument/2006/relationships/hyperlink" Target="https://www.ande.gov.py/finanzas/2.%20COMPILACION%20ESTADISTICA%202003-2023/ANDE%20-%20Compilacion%20Estadistica%202003-2023.pdf" TargetMode="External" Id="rId1074"/><Relationship Type="http://schemas.openxmlformats.org/officeDocument/2006/relationships/hyperlink" Target="https://www.ande.gov.py/finanzas/2.%20COMPILACION%20ESTADISTICA%202003-2023/ANDE%20-%20Compilacion%20Estadistica%202003-2023.pdf" TargetMode="External" Id="rId1075"/><Relationship Type="http://schemas.openxmlformats.org/officeDocument/2006/relationships/hyperlink" Target="https://www.ande.gov.py/finanzas/2.%20COMPILACION%20ESTADISTICA%202003-2023/ANDE%20-%20Compilacion%20Estadistica%202003-2023.pdf" TargetMode="External" Id="rId1076"/><Relationship Type="http://schemas.openxmlformats.org/officeDocument/2006/relationships/hyperlink" Target="https://www.ande.gov.py/finanzas/2.%20COMPILACION%20ESTADISTICA%202003-2023/ANDE%20-%20Compilacion%20Estadistica%202003-2023.pdf" TargetMode="External" Id="rId1077"/><Relationship Type="http://schemas.openxmlformats.org/officeDocument/2006/relationships/hyperlink" Target="https://www.ande.gov.py/finanzas/2.%20COMPILACION%20ESTADISTICA%202003-2023/ANDE%20-%20Compilacion%20Estadistica%202003-2023.pdf" TargetMode="External" Id="rId1078"/><Relationship Type="http://schemas.openxmlformats.org/officeDocument/2006/relationships/hyperlink" Target="https://www.ande.gov.py/finanzas/2.%20COMPILACION%20ESTADISTICA%202003-2023/ANDE%20-%20Compilacion%20Estadistica%202003-2023.pdf" TargetMode="External" Id="rId1079"/><Relationship Type="http://schemas.openxmlformats.org/officeDocument/2006/relationships/hyperlink" Target="https://www.ande.gov.py/finanzas/2.%20COMPILACION%20ESTADISTICA%202003-2023/ANDE%20-%20Compilacion%20Estadistica%202003-2023.pdf" TargetMode="External" Id="rId1080"/><Relationship Type="http://schemas.openxmlformats.org/officeDocument/2006/relationships/hyperlink" Target="https://www.ande.gov.py/finanzas/2.%20COMPILACION%20ESTADISTICA%202003-2023/ANDE%20-%20Compilacion%20Estadistica%202003-2023.pdf" TargetMode="External" Id="rId1081"/><Relationship Type="http://schemas.openxmlformats.org/officeDocument/2006/relationships/hyperlink" Target="https://www.ande.gov.py/finanzas/2.%20COMPILACION%20ESTADISTICA%202003-2023/ANDE%20-%20Compilacion%20Estadistica%202003-2023.pdf" TargetMode="External" Id="rId1082"/><Relationship Type="http://schemas.openxmlformats.org/officeDocument/2006/relationships/hyperlink" Target="https://www.ande.gov.py/finanzas/2.%20COMPILACION%20ESTADISTICA%202003-2023/ANDE%20-%20Compilacion%20Estadistica%202003-2023.pdf" TargetMode="External" Id="rId1083"/><Relationship Type="http://schemas.openxmlformats.org/officeDocument/2006/relationships/hyperlink" Target="https://www.ande.gov.py/finanzas/2.%20COMPILACION%20ESTADISTICA%202003-2023/ANDE%20-%20Compilacion%20Estadistica%202003-2023.pdf" TargetMode="External" Id="rId1084"/><Relationship Type="http://schemas.openxmlformats.org/officeDocument/2006/relationships/hyperlink" Target="https://www.ande.gov.py/finanzas/2.%20COMPILACION%20ESTADISTICA%202003-2023/ANDE%20-%20Compilacion%20Estadistica%202003-2023.pdf" TargetMode="External" Id="rId1085"/><Relationship Type="http://schemas.openxmlformats.org/officeDocument/2006/relationships/hyperlink" Target="https://www.ande.gov.py/finanzas/2.%20COMPILACION%20ESTADISTICA%202003-2023/ANDE%20-%20Compilacion%20Estadistica%202003-2023.pdf" TargetMode="External" Id="rId1086"/><Relationship Type="http://schemas.openxmlformats.org/officeDocument/2006/relationships/hyperlink" Target="https://www.ande.gov.py/finanzas/2.%20COMPILACION%20ESTADISTICA%202003-2023/ANDE%20-%20Compilacion%20Estadistica%202003-2023.pdf" TargetMode="External" Id="rId1087"/><Relationship Type="http://schemas.openxmlformats.org/officeDocument/2006/relationships/hyperlink" Target="https://www.ande.gov.py/finanzas/2.%20COMPILACION%20ESTADISTICA%202003-2023/ANDE%20-%20Compilacion%20Estadistica%202003-2023.pdf" TargetMode="External" Id="rId1088"/><Relationship Type="http://schemas.openxmlformats.org/officeDocument/2006/relationships/hyperlink" Target="https://www.ande.gov.py/finanzas/2.%20COMPILACION%20ESTADISTICA%202003-2023/ANDE%20-%20Compilacion%20Estadistica%202003-2023.pdf" TargetMode="External" Id="rId1089"/><Relationship Type="http://schemas.openxmlformats.org/officeDocument/2006/relationships/hyperlink" Target="https://www.ande.gov.py/finanzas/2.%20COMPILACION%20ESTADISTICA%202003-2023/ANDE%20-%20Compilacion%20Estadistica%202003-2023.pdf" TargetMode="External" Id="rId1090"/><Relationship Type="http://schemas.openxmlformats.org/officeDocument/2006/relationships/hyperlink" Target="https://www.ande.gov.py/finanzas/2.%20COMPILACION%20ESTADISTICA%202003-2023/ANDE%20-%20Compilacion%20Estadistica%202003-2023.pdf" TargetMode="External" Id="rId1091"/><Relationship Type="http://schemas.openxmlformats.org/officeDocument/2006/relationships/hyperlink" Target="https://www.ande.gov.py/finanzas/2.%20COMPILACION%20ESTADISTICA%202003-2023/ANDE%20-%20Compilacion%20Estadistica%202003-2023.pdf" TargetMode="External" Id="rId1092"/><Relationship Type="http://schemas.openxmlformats.org/officeDocument/2006/relationships/hyperlink" Target="https://www.ande.gov.py/finanzas/2.%20COMPILACION%20ESTADISTICA%202003-2023/ANDE%20-%20Compilacion%20Estadistica%202003-2023.pdf" TargetMode="External" Id="rId1093"/><Relationship Type="http://schemas.openxmlformats.org/officeDocument/2006/relationships/hyperlink" Target="https://www.ande.gov.py/finanzas/2.%20COMPILACION%20ESTADISTICA%202003-2023/ANDE%20-%20Compilacion%20Estadistica%202003-2023.pdf" TargetMode="External" Id="rId1094"/><Relationship Type="http://schemas.openxmlformats.org/officeDocument/2006/relationships/hyperlink" Target="https://www.ande.gov.py/finanzas/2.%20COMPILACION%20ESTADISTICA%202003-2023/ANDE%20-%20Compilacion%20Estadistica%202003-2023.pdf" TargetMode="External" Id="rId1095"/><Relationship Type="http://schemas.openxmlformats.org/officeDocument/2006/relationships/hyperlink" Target="https://www.ande.gov.py/finanzas/2.%20COMPILACION%20ESTADISTICA%202003-2023/ANDE%20-%20Compilacion%20Estadistica%202003-2023.pdf" TargetMode="External" Id="rId1096"/><Relationship Type="http://schemas.openxmlformats.org/officeDocument/2006/relationships/hyperlink" Target="https://www.ande.gov.py/finanzas/2.%20COMPILACION%20ESTADISTICA%202003-2023/ANDE%20-%20Compilacion%20Estadistica%202003-2023.pdf" TargetMode="External" Id="rId1097"/><Relationship Type="http://schemas.openxmlformats.org/officeDocument/2006/relationships/hyperlink" Target="https://www.ande.gov.py/finanzas/2.%20COMPILACION%20ESTADISTICA%202003-2023/ANDE%20-%20Compilacion%20Estadistica%202003-2023.pdf" TargetMode="External" Id="rId1098"/><Relationship Type="http://schemas.openxmlformats.org/officeDocument/2006/relationships/hyperlink" Target="https://www.ande.gov.py/finanzas/2.%20COMPILACION%20ESTADISTICA%202003-2023/ANDE%20-%20Compilacion%20Estadistica%202003-2023.pdf" TargetMode="External" Id="rId1099"/><Relationship Type="http://schemas.openxmlformats.org/officeDocument/2006/relationships/hyperlink" Target="https://www.ande.gov.py/finanzas/2.%20COMPILACION%20ESTADISTICA%202003-2023/ANDE%20-%20Compilacion%20Estadistica%202003-2023.pdf" TargetMode="External" Id="rId1100"/><Relationship Type="http://schemas.openxmlformats.org/officeDocument/2006/relationships/hyperlink" Target="https://www.ande.gov.py/finanzas/2.%20COMPILACION%20ESTADISTICA%202003-2023/ANDE%20-%20Compilacion%20Estadistica%202003-2023.pdf" TargetMode="External" Id="rId1101"/><Relationship Type="http://schemas.openxmlformats.org/officeDocument/2006/relationships/hyperlink" Target="https://www.ande.gov.py/finanzas/2.%20COMPILACION%20ESTADISTICA%202003-2023/ANDE%20-%20Compilacion%20Estadistica%202003-2023.pdf" TargetMode="External" Id="rId1102"/><Relationship Type="http://schemas.openxmlformats.org/officeDocument/2006/relationships/hyperlink" Target="https://www.ande.gov.py/finanzas/2.%20COMPILACION%20ESTADISTICA%202003-2023/ANDE%20-%20Compilacion%20Estadistica%202003-2023.pdf" TargetMode="External" Id="rId1103"/><Relationship Type="http://schemas.openxmlformats.org/officeDocument/2006/relationships/hyperlink" Target="https://www.ande.gov.py/finanzas/2.%20COMPILACION%20ESTADISTICA%202003-2023/ANDE%20-%20Compilacion%20Estadistica%202003-2023.pdf" TargetMode="External" Id="rId1104"/><Relationship Type="http://schemas.openxmlformats.org/officeDocument/2006/relationships/hyperlink" Target="https://www.ande.gov.py/finanzas/2.%20COMPILACION%20ESTADISTICA%202003-2023/ANDE%20-%20Compilacion%20Estadistica%202003-2023.pdf" TargetMode="External" Id="rId1105"/><Relationship Type="http://schemas.openxmlformats.org/officeDocument/2006/relationships/hyperlink" Target="https://www.ande.gov.py/finanzas/2.%20COMPILACION%20ESTADISTICA%202003-2023/ANDE%20-%20Compilacion%20Estadistica%202003-2023.pdf" TargetMode="External" Id="rId1106"/><Relationship Type="http://schemas.openxmlformats.org/officeDocument/2006/relationships/hyperlink" Target="https://www.ande.gov.py/finanzas/2.%20COMPILACION%20ESTADISTICA%202003-2023/ANDE%20-%20Compilacion%20Estadistica%202003-2023.pdf" TargetMode="External" Id="rId1107"/><Relationship Type="http://schemas.openxmlformats.org/officeDocument/2006/relationships/hyperlink" Target="https://www.ande.gov.py/finanzas/2.%20COMPILACION%20ESTADISTICA%202003-2023/ANDE%20-%20Compilacion%20Estadistica%202003-2023.pdf" TargetMode="External" Id="rId1108"/><Relationship Type="http://schemas.openxmlformats.org/officeDocument/2006/relationships/hyperlink" Target="https://www.ande.gov.py/finanzas/2.%20COMPILACION%20ESTADISTICA%202003-2023/ANDE%20-%20Compilacion%20Estadistica%202003-2023.pdf" TargetMode="External" Id="rId1109"/><Relationship Type="http://schemas.openxmlformats.org/officeDocument/2006/relationships/hyperlink" Target="https://www.ande.gov.py/finanzas/2.%20COMPILACION%20ESTADISTICA%202003-2023/ANDE%20-%20Compilacion%20Estadistica%202003-2023.pdf" TargetMode="External" Id="rId1110"/><Relationship Type="http://schemas.openxmlformats.org/officeDocument/2006/relationships/hyperlink" Target="https://www.ande.gov.py/finanzas/2.%20COMPILACION%20ESTADISTICA%202003-2023/ANDE%20-%20Compilacion%20Estadistica%202003-2023.pdf" TargetMode="External" Id="rId1111"/><Relationship Type="http://schemas.openxmlformats.org/officeDocument/2006/relationships/hyperlink" Target="https://www.ande.gov.py/finanzas/2.%20COMPILACION%20ESTADISTICA%202003-2023/ANDE%20-%20Compilacion%20Estadistica%202003-2023.pdf" TargetMode="External" Id="rId1112"/><Relationship Type="http://schemas.openxmlformats.org/officeDocument/2006/relationships/hyperlink" Target="https://www.ande.gov.py/finanzas/2.%20COMPILACION%20ESTADISTICA%202003-2023/ANDE%20-%20Compilacion%20Estadistica%202003-2023.pdf" TargetMode="External" Id="rId1113"/><Relationship Type="http://schemas.openxmlformats.org/officeDocument/2006/relationships/hyperlink" Target="https://www.ande.gov.py/finanzas/2.%20COMPILACION%20ESTADISTICA%202003-2023/ANDE%20-%20Compilacion%20Estadistica%202003-2023.pdf" TargetMode="External" Id="rId1114"/><Relationship Type="http://schemas.openxmlformats.org/officeDocument/2006/relationships/hyperlink" Target="https://www.ande.gov.py/finanzas/2.%20COMPILACION%20ESTADISTICA%202003-2023/ANDE%20-%20Compilacion%20Estadistica%202003-2023.pdf" TargetMode="External" Id="rId1115"/><Relationship Type="http://schemas.openxmlformats.org/officeDocument/2006/relationships/hyperlink" Target="https://www.ande.gov.py/finanzas/2.%20COMPILACION%20ESTADISTICA%202003-2023/ANDE%20-%20Compilacion%20Estadistica%202003-2023.pdf" TargetMode="External" Id="rId1116"/><Relationship Type="http://schemas.openxmlformats.org/officeDocument/2006/relationships/hyperlink" Target="https://www.ande.gov.py/finanzas/2.%20COMPILACION%20ESTADISTICA%202003-2023/ANDE%20-%20Compilacion%20Estadistica%202003-2023.pdf" TargetMode="External" Id="rId1117"/><Relationship Type="http://schemas.openxmlformats.org/officeDocument/2006/relationships/hyperlink" Target="https://www.ande.gov.py/finanzas/2.%20COMPILACION%20ESTADISTICA%202003-2023/ANDE%20-%20Compilacion%20Estadistica%202003-2023.pdf" TargetMode="External" Id="rId1118"/><Relationship Type="http://schemas.openxmlformats.org/officeDocument/2006/relationships/hyperlink" Target="https://www.ande.gov.py/finanzas/2.%20COMPILACION%20ESTADISTICA%202003-2023/ANDE%20-%20Compilacion%20Estadistica%202003-2023.pdf" TargetMode="External" Id="rId1119"/><Relationship Type="http://schemas.openxmlformats.org/officeDocument/2006/relationships/hyperlink" Target="https://www.ande.gov.py/finanzas/2.%20COMPILACION%20ESTADISTICA%202003-2023/ANDE%20-%20Compilacion%20Estadistica%202003-2023.pdf" TargetMode="External" Id="rId1120"/><Relationship Type="http://schemas.openxmlformats.org/officeDocument/2006/relationships/hyperlink" Target="https://www.ande.gov.py/finanzas/2.%20COMPILACION%20ESTADISTICA%202003-2023/ANDE%20-%20Compilacion%20Estadistica%202003-2023.pdf" TargetMode="External" Id="rId1121"/><Relationship Type="http://schemas.openxmlformats.org/officeDocument/2006/relationships/hyperlink" Target="https://www.ande.gov.py/finanzas/2.%20COMPILACION%20ESTADISTICA%202003-2023/ANDE%20-%20Compilacion%20Estadistica%202003-2023.pdf" TargetMode="External" Id="rId1122"/><Relationship Type="http://schemas.openxmlformats.org/officeDocument/2006/relationships/hyperlink" Target="https://www.ande.gov.py/finanzas/2.%20COMPILACION%20ESTADISTICA%202003-2023/ANDE%20-%20Compilacion%20Estadistica%202003-2023.pdf" TargetMode="External" Id="rId1123"/><Relationship Type="http://schemas.openxmlformats.org/officeDocument/2006/relationships/hyperlink" Target="https://www.ande.gov.py/finanzas/2.%20COMPILACION%20ESTADISTICA%202003-2023/ANDE%20-%20Compilacion%20Estadistica%202003-2023.pdf" TargetMode="External" Id="rId1124"/><Relationship Type="http://schemas.openxmlformats.org/officeDocument/2006/relationships/hyperlink" Target="https://www.ande.gov.py/finanzas/2.%20COMPILACION%20ESTADISTICA%202003-2023/ANDE%20-%20Compilacion%20Estadistica%202003-2023.pdf" TargetMode="External" Id="rId1125"/><Relationship Type="http://schemas.openxmlformats.org/officeDocument/2006/relationships/hyperlink" Target="https://www.ande.gov.py/finanzas/2.%20COMPILACION%20ESTADISTICA%202003-2023/ANDE%20-%20Compilacion%20Estadistica%202003-2023.pdf" TargetMode="External" Id="rId1126"/><Relationship Type="http://schemas.openxmlformats.org/officeDocument/2006/relationships/hyperlink" Target="https://www.ande.gov.py/finanzas/2.%20COMPILACION%20ESTADISTICA%202003-2023/ANDE%20-%20Compilacion%20Estadistica%202003-2023.pdf" TargetMode="External" Id="rId1127"/><Relationship Type="http://schemas.openxmlformats.org/officeDocument/2006/relationships/hyperlink" Target="https://www.ande.gov.py/finanzas/2.%20COMPILACION%20ESTADISTICA%202003-2023/ANDE%20-%20Compilacion%20Estadistica%202003-2023.pdf" TargetMode="External" Id="rId1128"/><Relationship Type="http://schemas.openxmlformats.org/officeDocument/2006/relationships/hyperlink" Target="https://www.ande.gov.py/finanzas/2.%20COMPILACION%20ESTADISTICA%202003-2023/ANDE%20-%20Compilacion%20Estadistica%202003-2023.pdf" TargetMode="External" Id="rId1129"/><Relationship Type="http://schemas.openxmlformats.org/officeDocument/2006/relationships/hyperlink" Target="https://www.ande.gov.py/finanzas/2.%20COMPILACION%20ESTADISTICA%202003-2023/ANDE%20-%20Compilacion%20Estadistica%202003-2023.pdf" TargetMode="External" Id="rId1130"/><Relationship Type="http://schemas.openxmlformats.org/officeDocument/2006/relationships/hyperlink" Target="https://www.ande.gov.py/finanzas/2.%20COMPILACION%20ESTADISTICA%202003-2023/ANDE%20-%20Compilacion%20Estadistica%202003-2023.pdf" TargetMode="External" Id="rId1131"/><Relationship Type="http://schemas.openxmlformats.org/officeDocument/2006/relationships/hyperlink" Target="https://www.ande.gov.py/finanzas/2.%20COMPILACION%20ESTADISTICA%202003-2023/ANDE%20-%20Compilacion%20Estadistica%202003-2023.pdf" TargetMode="External" Id="rId1132"/><Relationship Type="http://schemas.openxmlformats.org/officeDocument/2006/relationships/hyperlink" Target="https://www.ande.gov.py/finanzas/2.%20COMPILACION%20ESTADISTICA%202003-2023/ANDE%20-%20Compilacion%20Estadistica%202003-2023.pdf" TargetMode="External" Id="rId1133"/><Relationship Type="http://schemas.openxmlformats.org/officeDocument/2006/relationships/hyperlink" Target="https://www.ande.gov.py/finanzas/2.%20COMPILACION%20ESTADISTICA%202003-2023/ANDE%20-%20Compilacion%20Estadistica%202003-2023.pdf" TargetMode="External" Id="rId1134"/><Relationship Type="http://schemas.openxmlformats.org/officeDocument/2006/relationships/hyperlink" Target="https://www.ande.gov.py/finanzas/2.%20COMPILACION%20ESTADISTICA%202003-2023/ANDE%20-%20Compilacion%20Estadistica%202003-2023.pdf" TargetMode="External" Id="rId1135"/><Relationship Type="http://schemas.openxmlformats.org/officeDocument/2006/relationships/hyperlink" Target="https://www.ande.gov.py/finanzas/2.%20COMPILACION%20ESTADISTICA%202003-2023/ANDE%20-%20Compilacion%20Estadistica%202003-2023.pdf" TargetMode="External" Id="rId1136"/><Relationship Type="http://schemas.openxmlformats.org/officeDocument/2006/relationships/hyperlink" Target="https://www.ande.gov.py/finanzas/2.%20COMPILACION%20ESTADISTICA%202003-2023/ANDE%20-%20Compilacion%20Estadistica%202003-2023.pdf" TargetMode="External" Id="rId1137"/><Relationship Type="http://schemas.openxmlformats.org/officeDocument/2006/relationships/hyperlink" Target="https://www.ande.gov.py/finanzas/2.%20COMPILACION%20ESTADISTICA%202003-2023/ANDE%20-%20Compilacion%20Estadistica%202003-2023.pdf" TargetMode="External" Id="rId1138"/><Relationship Type="http://schemas.openxmlformats.org/officeDocument/2006/relationships/hyperlink" Target="https://www.ande.gov.py/finanzas/2.%20COMPILACION%20ESTADISTICA%202003-2023/ANDE%20-%20Compilacion%20Estadistica%202003-2023.pdf" TargetMode="External" Id="rId1139"/><Relationship Type="http://schemas.openxmlformats.org/officeDocument/2006/relationships/hyperlink" Target="https://www.ande.gov.py/finanzas/2.%20COMPILACION%20ESTADISTICA%202003-2023/ANDE%20-%20Compilacion%20Estadistica%202003-2023.pdf" TargetMode="External" Id="rId1140"/><Relationship Type="http://schemas.openxmlformats.org/officeDocument/2006/relationships/hyperlink" Target="https://www.ande.gov.py/finanzas/2.%20COMPILACION%20ESTADISTICA%202003-2023/ANDE%20-%20Compilacion%20Estadistica%202003-2023.pdf" TargetMode="External" Id="rId1141"/><Relationship Type="http://schemas.openxmlformats.org/officeDocument/2006/relationships/hyperlink" Target="https://www.ande.gov.py/finanzas/2.%20COMPILACION%20ESTADISTICA%202003-2023/ANDE%20-%20Compilacion%20Estadistica%202003-2023.pdf" TargetMode="External" Id="rId1142"/><Relationship Type="http://schemas.openxmlformats.org/officeDocument/2006/relationships/hyperlink" Target="https://www.ande.gov.py/finanzas/2.%20COMPILACION%20ESTADISTICA%202003-2023/ANDE%20-%20Compilacion%20Estadistica%202003-2023.pdf" TargetMode="External" Id="rId1143"/><Relationship Type="http://schemas.openxmlformats.org/officeDocument/2006/relationships/hyperlink" Target="https://www.ande.gov.py/finanzas/2.%20COMPILACION%20ESTADISTICA%202003-2023/ANDE%20-%20Compilacion%20Estadistica%202003-2023.pdf" TargetMode="External" Id="rId1144"/><Relationship Type="http://schemas.openxmlformats.org/officeDocument/2006/relationships/hyperlink" Target="https://www.ande.gov.py/finanzas/2.%20COMPILACION%20ESTADISTICA%202003-2023/ANDE%20-%20Compilacion%20Estadistica%202003-2023.pdf" TargetMode="External" Id="rId1145"/><Relationship Type="http://schemas.openxmlformats.org/officeDocument/2006/relationships/hyperlink" Target="https://www.ande.gov.py/finanzas/2.%20COMPILACION%20ESTADISTICA%202003-2023/ANDE%20-%20Compilacion%20Estadistica%202003-2023.pdf" TargetMode="External" Id="rId1146"/><Relationship Type="http://schemas.openxmlformats.org/officeDocument/2006/relationships/hyperlink" Target="https://www.ande.gov.py/finanzas/2.%20COMPILACION%20ESTADISTICA%202003-2023/ANDE%20-%20Compilacion%20Estadistica%202003-2023.pdf" TargetMode="External" Id="rId1147"/><Relationship Type="http://schemas.openxmlformats.org/officeDocument/2006/relationships/hyperlink" Target="https://www.ande.gov.py/finanzas/2.%20COMPILACION%20ESTADISTICA%202003-2023/ANDE%20-%20Compilacion%20Estadistica%202003-2023.pdf" TargetMode="External" Id="rId1148"/><Relationship Type="http://schemas.openxmlformats.org/officeDocument/2006/relationships/hyperlink" Target="https://www.ande.gov.py/finanzas/2.%20COMPILACION%20ESTADISTICA%202003-2023/ANDE%20-%20Compilacion%20Estadistica%202003-2023.pdf" TargetMode="External" Id="rId1149"/><Relationship Type="http://schemas.openxmlformats.org/officeDocument/2006/relationships/hyperlink" Target="https://www.ande.gov.py/finanzas/2.%20COMPILACION%20ESTADISTICA%202003-2023/ANDE%20-%20Compilacion%20Estadistica%202003-2023.pdf" TargetMode="External" Id="rId1150"/><Relationship Type="http://schemas.openxmlformats.org/officeDocument/2006/relationships/hyperlink" Target="https://www.ande.gov.py/finanzas/2.%20COMPILACION%20ESTADISTICA%202003-2023/ANDE%20-%20Compilacion%20Estadistica%202003-2023.pdf" TargetMode="External" Id="rId1151"/><Relationship Type="http://schemas.openxmlformats.org/officeDocument/2006/relationships/hyperlink" Target="https://www.ande.gov.py/finanzas/2.%20COMPILACION%20ESTADISTICA%202003-2023/ANDE%20-%20Compilacion%20Estadistica%202003-2023.pdf" TargetMode="External" Id="rId1152"/><Relationship Type="http://schemas.openxmlformats.org/officeDocument/2006/relationships/hyperlink" Target="https://www.ande.gov.py/finanzas/2.%20COMPILACION%20ESTADISTICA%202003-2023/ANDE%20-%20Compilacion%20Estadistica%202003-2023.pdf" TargetMode="External" Id="rId1153"/><Relationship Type="http://schemas.openxmlformats.org/officeDocument/2006/relationships/hyperlink" Target="https://www.ande.gov.py/finanzas/2.%20COMPILACION%20ESTADISTICA%202003-2023/ANDE%20-%20Compilacion%20Estadistica%202003-2023.pdf" TargetMode="External" Id="rId1154"/><Relationship Type="http://schemas.openxmlformats.org/officeDocument/2006/relationships/hyperlink" Target="https://www.ande.gov.py/finanzas/2.%20COMPILACION%20ESTADISTICA%202003-2023/ANDE%20-%20Compilacion%20Estadistica%202003-2023.pdf" TargetMode="External" Id="rId1155"/><Relationship Type="http://schemas.openxmlformats.org/officeDocument/2006/relationships/hyperlink" Target="https://www.ande.gov.py/finanzas/2.%20COMPILACION%20ESTADISTICA%202003-2023/ANDE%20-%20Compilacion%20Estadistica%202003-2023.pdf" TargetMode="External" Id="rId1156"/><Relationship Type="http://schemas.openxmlformats.org/officeDocument/2006/relationships/hyperlink" Target="https://www.ande.gov.py/finanzas/2.%20COMPILACION%20ESTADISTICA%202003-2023/ANDE%20-%20Compilacion%20Estadistica%202003-2023.pdf" TargetMode="External" Id="rId1157"/><Relationship Type="http://schemas.openxmlformats.org/officeDocument/2006/relationships/hyperlink" Target="https://www.ande.gov.py/finanzas/2.%20COMPILACION%20ESTADISTICA%202003-2023/ANDE%20-%20Compilacion%20Estadistica%202003-2023.pdf" TargetMode="External" Id="rId1158"/><Relationship Type="http://schemas.openxmlformats.org/officeDocument/2006/relationships/hyperlink" Target="https://www.ande.gov.py/finanzas/2.%20COMPILACION%20ESTADISTICA%202003-2023/ANDE%20-%20Compilacion%20Estadistica%202003-2023.pdf" TargetMode="External" Id="rId1159"/><Relationship Type="http://schemas.openxmlformats.org/officeDocument/2006/relationships/hyperlink" Target="https://www.ande.gov.py/finanzas/2.%20COMPILACION%20ESTADISTICA%202003-2023/ANDE%20-%20Compilacion%20Estadistica%202003-2023.pdf" TargetMode="External" Id="rId1160"/><Relationship Type="http://schemas.openxmlformats.org/officeDocument/2006/relationships/hyperlink" Target="https://www.ande.gov.py/finanzas/2.%20COMPILACION%20ESTADISTICA%202003-2023/ANDE%20-%20Compilacion%20Estadistica%202003-2023.pdf" TargetMode="External" Id="rId1161"/><Relationship Type="http://schemas.openxmlformats.org/officeDocument/2006/relationships/hyperlink" Target="https://www.ande.gov.py/finanzas/2.%20COMPILACION%20ESTADISTICA%202003-2023/ANDE%20-%20Compilacion%20Estadistica%202003-2023.pdf" TargetMode="External" Id="rId1162"/><Relationship Type="http://schemas.openxmlformats.org/officeDocument/2006/relationships/hyperlink" Target="https://www.ande.gov.py/finanzas/2.%20COMPILACION%20ESTADISTICA%202003-2023/ANDE%20-%20Compilacion%20Estadistica%202003-2023.pdf" TargetMode="External" Id="rId1163"/><Relationship Type="http://schemas.openxmlformats.org/officeDocument/2006/relationships/hyperlink" Target="https://www.ande.gov.py/finanzas/2.%20COMPILACION%20ESTADISTICA%202003-2023/ANDE%20-%20Compilacion%20Estadistica%202003-2023.pdf" TargetMode="External" Id="rId1164"/><Relationship Type="http://schemas.openxmlformats.org/officeDocument/2006/relationships/hyperlink" Target="https://www.ande.gov.py/finanzas/2.%20COMPILACION%20ESTADISTICA%202003-2023/ANDE%20-%20Compilacion%20Estadistica%202003-2023.pdf" TargetMode="External" Id="rId1165"/><Relationship Type="http://schemas.openxmlformats.org/officeDocument/2006/relationships/hyperlink" Target="https://www.ande.gov.py/finanzas/2.%20COMPILACION%20ESTADISTICA%202003-2023/ANDE%20-%20Compilacion%20Estadistica%202003-2023.pdf" TargetMode="External" Id="rId1166"/><Relationship Type="http://schemas.openxmlformats.org/officeDocument/2006/relationships/hyperlink" Target="https://www.ande.gov.py/finanzas/2.%20COMPILACION%20ESTADISTICA%202003-2023/ANDE%20-%20Compilacion%20Estadistica%202003-2023.pdf" TargetMode="External" Id="rId1167"/><Relationship Type="http://schemas.openxmlformats.org/officeDocument/2006/relationships/hyperlink" Target="https://www.ande.gov.py/finanzas/2.%20COMPILACION%20ESTADISTICA%202003-2023/ANDE%20-%20Compilacion%20Estadistica%202003-2023.pdf" TargetMode="External" Id="rId1168"/><Relationship Type="http://schemas.openxmlformats.org/officeDocument/2006/relationships/hyperlink" Target="https://www.ande.gov.py/finanzas/2.%20COMPILACION%20ESTADISTICA%202003-2023/ANDE%20-%20Compilacion%20Estadistica%202003-2023.pdf" TargetMode="External" Id="rId1169"/><Relationship Type="http://schemas.openxmlformats.org/officeDocument/2006/relationships/hyperlink" Target="https://www.ande.gov.py/finanzas/2.%20COMPILACION%20ESTADISTICA%202003-2023/ANDE%20-%20Compilacion%20Estadistica%202003-2023.pdf" TargetMode="External" Id="rId1170"/><Relationship Type="http://schemas.openxmlformats.org/officeDocument/2006/relationships/hyperlink" Target="https://www.ande.gov.py/finanzas/2.%20COMPILACION%20ESTADISTICA%202003-2023/ANDE%20-%20Compilacion%20Estadistica%202003-2023.pdf" TargetMode="External" Id="rId1171"/><Relationship Type="http://schemas.openxmlformats.org/officeDocument/2006/relationships/hyperlink" Target="https://www.ande.gov.py/finanzas/2.%20COMPILACION%20ESTADISTICA%202003-2023/ANDE%20-%20Compilacion%20Estadistica%202003-2023.pdf" TargetMode="External" Id="rId1172"/><Relationship Type="http://schemas.openxmlformats.org/officeDocument/2006/relationships/hyperlink" Target="https://www.ande.gov.py/finanzas/2.%20COMPILACION%20ESTADISTICA%202003-2023/ANDE%20-%20Compilacion%20Estadistica%202003-2023.pdf" TargetMode="External" Id="rId1173"/><Relationship Type="http://schemas.openxmlformats.org/officeDocument/2006/relationships/hyperlink" Target="https://www.ande.gov.py/finanzas/2.%20COMPILACION%20ESTADISTICA%202003-2023/ANDE%20-%20Compilacion%20Estadistica%202003-2023.pdf" TargetMode="External" Id="rId1174"/><Relationship Type="http://schemas.openxmlformats.org/officeDocument/2006/relationships/hyperlink" Target="https://www.ande.gov.py/finanzas/2.%20COMPILACION%20ESTADISTICA%202003-2023/ANDE%20-%20Compilacion%20Estadistica%202003-2023.pdf" TargetMode="External" Id="rId1175"/><Relationship Type="http://schemas.openxmlformats.org/officeDocument/2006/relationships/hyperlink" Target="https://www.ande.gov.py/finanzas/2.%20COMPILACION%20ESTADISTICA%202003-2023/ANDE%20-%20Compilacion%20Estadistica%202003-2023.pdf" TargetMode="External" Id="rId1176"/><Relationship Type="http://schemas.openxmlformats.org/officeDocument/2006/relationships/hyperlink" Target="https://www.ande.gov.py/finanzas/2.%20COMPILACION%20ESTADISTICA%202003-2023/ANDE%20-%20Compilacion%20Estadistica%202003-2023.pdf" TargetMode="External" Id="rId1177"/><Relationship Type="http://schemas.openxmlformats.org/officeDocument/2006/relationships/hyperlink" Target="https://www.ande.gov.py/finanzas/2.%20COMPILACION%20ESTADISTICA%202003-2023/ANDE%20-%20Compilacion%20Estadistica%202003-2023.pdf" TargetMode="External" Id="rId1178"/><Relationship Type="http://schemas.openxmlformats.org/officeDocument/2006/relationships/hyperlink" Target="https://www.ande.gov.py/finanzas/2.%20COMPILACION%20ESTADISTICA%202003-2023/ANDE%20-%20Compilacion%20Estadistica%202003-2023.pdf" TargetMode="External" Id="rId1179"/><Relationship Type="http://schemas.openxmlformats.org/officeDocument/2006/relationships/hyperlink" Target="https://www.ande.gov.py/finanzas/2.%20COMPILACION%20ESTADISTICA%202003-2023/ANDE%20-%20Compilacion%20Estadistica%202003-2023.pdf" TargetMode="External" Id="rId1180"/><Relationship Type="http://schemas.openxmlformats.org/officeDocument/2006/relationships/hyperlink" Target="https://www.ande.gov.py/finanzas/2.%20COMPILACION%20ESTADISTICA%202003-2023/ANDE%20-%20Compilacion%20Estadistica%202003-2023.pdf" TargetMode="External" Id="rId1181"/><Relationship Type="http://schemas.openxmlformats.org/officeDocument/2006/relationships/hyperlink" Target="https://www.ande.gov.py/finanzas/2.%20COMPILACION%20ESTADISTICA%202003-2023/ANDE%20-%20Compilacion%20Estadistica%202003-2023.pdf" TargetMode="External" Id="rId1182"/><Relationship Type="http://schemas.openxmlformats.org/officeDocument/2006/relationships/hyperlink" Target="https://www.ande.gov.py/finanzas/2.%20COMPILACION%20ESTADISTICA%202003-2023/ANDE%20-%20Compilacion%20Estadistica%202003-2023.pdf" TargetMode="External" Id="rId1183"/><Relationship Type="http://schemas.openxmlformats.org/officeDocument/2006/relationships/hyperlink" Target="https://www.ande.gov.py/finanzas/2.%20COMPILACION%20ESTADISTICA%202003-2023/ANDE%20-%20Compilacion%20Estadistica%202003-2023.pdf" TargetMode="External" Id="rId1184"/><Relationship Type="http://schemas.openxmlformats.org/officeDocument/2006/relationships/hyperlink" Target="https://www.ande.gov.py/finanzas/2.%20COMPILACION%20ESTADISTICA%202003-2023/ANDE%20-%20Compilacion%20Estadistica%202003-2023.pdf" TargetMode="External" Id="rId1185"/><Relationship Type="http://schemas.openxmlformats.org/officeDocument/2006/relationships/hyperlink" Target="https://www.ande.gov.py/finanzas/2.%20COMPILACION%20ESTADISTICA%202003-2023/ANDE%20-%20Compilacion%20Estadistica%202003-2023.pdf" TargetMode="External" Id="rId1186"/><Relationship Type="http://schemas.openxmlformats.org/officeDocument/2006/relationships/hyperlink" Target="https://www.ande.gov.py/finanzas/2.%20COMPILACION%20ESTADISTICA%202003-2023/ANDE%20-%20Compilacion%20Estadistica%202003-2023.pdf" TargetMode="External" Id="rId1187"/><Relationship Type="http://schemas.openxmlformats.org/officeDocument/2006/relationships/hyperlink" Target="https://www.ande.gov.py/finanzas/2.%20COMPILACION%20ESTADISTICA%202003-2023/ANDE%20-%20Compilacion%20Estadistica%202003-2023.pdf" TargetMode="External" Id="rId1188"/><Relationship Type="http://schemas.openxmlformats.org/officeDocument/2006/relationships/hyperlink" Target="https://www.ande.gov.py/finanzas/2.%20COMPILACION%20ESTADISTICA%202003-2023/ANDE%20-%20Compilacion%20Estadistica%202003-2023.pdf" TargetMode="External" Id="rId1189"/><Relationship Type="http://schemas.openxmlformats.org/officeDocument/2006/relationships/hyperlink" Target="https://www.ande.gov.py/finanzas/2.%20COMPILACION%20ESTADISTICA%202003-2023/ANDE%20-%20Compilacion%20Estadistica%202003-2023.pdf" TargetMode="External" Id="rId1190"/><Relationship Type="http://schemas.openxmlformats.org/officeDocument/2006/relationships/hyperlink" Target="https://www.ande.gov.py/finanzas/2.%20COMPILACION%20ESTADISTICA%202003-2023/ANDE%20-%20Compilacion%20Estadistica%202003-2023.pdf" TargetMode="External" Id="rId1191"/><Relationship Type="http://schemas.openxmlformats.org/officeDocument/2006/relationships/hyperlink" Target="https://www.ande.gov.py/finanzas/2.%20COMPILACION%20ESTADISTICA%202003-2023/ANDE%20-%20Compilacion%20Estadistica%202003-2023.pdf" TargetMode="External" Id="rId1192"/><Relationship Type="http://schemas.openxmlformats.org/officeDocument/2006/relationships/hyperlink" Target="https://www.ande.gov.py/finanzas/2.%20COMPILACION%20ESTADISTICA%202003-2023/ANDE%20-%20Compilacion%20Estadistica%202003-2023.pdf" TargetMode="External" Id="rId1193"/><Relationship Type="http://schemas.openxmlformats.org/officeDocument/2006/relationships/hyperlink" Target="https://www.ande.gov.py/finanzas/2.%20COMPILACION%20ESTADISTICA%202003-2023/ANDE%20-%20Compilacion%20Estadistica%202003-2023.pdf" TargetMode="External" Id="rId1194"/><Relationship Type="http://schemas.openxmlformats.org/officeDocument/2006/relationships/hyperlink" Target="https://www.ande.gov.py/finanzas/2.%20COMPILACION%20ESTADISTICA%202003-2023/ANDE%20-%20Compilacion%20Estadistica%202003-2023.pdf" TargetMode="External" Id="rId1195"/><Relationship Type="http://schemas.openxmlformats.org/officeDocument/2006/relationships/hyperlink" Target="https://www.ande.gov.py/finanzas/2.%20COMPILACION%20ESTADISTICA%202003-2023/ANDE%20-%20Compilacion%20Estadistica%202003-2023.pdf" TargetMode="External" Id="rId1196"/><Relationship Type="http://schemas.openxmlformats.org/officeDocument/2006/relationships/hyperlink" Target="https://www.ande.gov.py/finanzas/2.%20COMPILACION%20ESTADISTICA%202003-2023/ANDE%20-%20Compilacion%20Estadistica%202003-2023.pdf" TargetMode="External" Id="rId1197"/><Relationship Type="http://schemas.openxmlformats.org/officeDocument/2006/relationships/hyperlink" Target="https://www.ande.gov.py/finanzas/2.%20COMPILACION%20ESTADISTICA%202003-2023/ANDE%20-%20Compilacion%20Estadistica%202003-2023.pdf" TargetMode="External" Id="rId1198"/><Relationship Type="http://schemas.openxmlformats.org/officeDocument/2006/relationships/hyperlink" Target="https://www.ande.gov.py/finanzas/2.%20COMPILACION%20ESTADISTICA%202003-2023/ANDE%20-%20Compilacion%20Estadistica%202003-2023.pdf" TargetMode="External" Id="rId1199"/><Relationship Type="http://schemas.openxmlformats.org/officeDocument/2006/relationships/hyperlink" Target="https://www.ande.gov.py/finanzas/2.%20COMPILACION%20ESTADISTICA%202003-2023/ANDE%20-%20Compilacion%20Estadistica%202003-2023.pdf" TargetMode="External" Id="rId1200"/><Relationship Type="http://schemas.openxmlformats.org/officeDocument/2006/relationships/hyperlink" Target="https://www.ande.gov.py/finanzas/2.%20COMPILACION%20ESTADISTICA%202003-2023/ANDE%20-%20Compilacion%20Estadistica%202003-2023.pdf" TargetMode="External" Id="rId1201"/><Relationship Type="http://schemas.openxmlformats.org/officeDocument/2006/relationships/hyperlink" Target="https://www.ande.gov.py/finanzas/2.%20COMPILACION%20ESTADISTICA%202003-2023/ANDE%20-%20Compilacion%20Estadistica%202003-2023.pdf" TargetMode="External" Id="rId1202"/><Relationship Type="http://schemas.openxmlformats.org/officeDocument/2006/relationships/hyperlink" Target="https://www.ande.gov.py/finanzas/2.%20COMPILACION%20ESTADISTICA%202003-2023/ANDE%20-%20Compilacion%20Estadistica%202003-2023.pdf" TargetMode="External" Id="rId1203"/><Relationship Type="http://schemas.openxmlformats.org/officeDocument/2006/relationships/hyperlink" Target="https://www.ande.gov.py/finanzas/2.%20COMPILACION%20ESTADISTICA%202003-2023/ANDE%20-%20Compilacion%20Estadistica%202003-2023.pdf" TargetMode="External" Id="rId1204"/><Relationship Type="http://schemas.openxmlformats.org/officeDocument/2006/relationships/hyperlink" Target="https://www.ande.gov.py/finanzas/2.%20COMPILACION%20ESTADISTICA%202003-2023/ANDE%20-%20Compilacion%20Estadistica%202003-2023.pdf" TargetMode="External" Id="rId1205"/><Relationship Type="http://schemas.openxmlformats.org/officeDocument/2006/relationships/hyperlink" Target="https://www.ande.gov.py/finanzas/2.%20COMPILACION%20ESTADISTICA%202003-2023/ANDE%20-%20Compilacion%20Estadistica%202003-2023.pdf" TargetMode="External" Id="rId1206"/><Relationship Type="http://schemas.openxmlformats.org/officeDocument/2006/relationships/hyperlink" Target="https://www.ande.gov.py/finanzas/2.%20COMPILACION%20ESTADISTICA%202003-2023/ANDE%20-%20Compilacion%20Estadistica%202003-2023.pdf" TargetMode="External" Id="rId1207"/><Relationship Type="http://schemas.openxmlformats.org/officeDocument/2006/relationships/hyperlink" Target="https://www.ande.gov.py/finanzas/2.%20COMPILACION%20ESTADISTICA%202003-2023/ANDE%20-%20Compilacion%20Estadistica%202003-2023.pdf" TargetMode="External" Id="rId1208"/><Relationship Type="http://schemas.openxmlformats.org/officeDocument/2006/relationships/hyperlink" Target="https://www.ande.gov.py/finanzas/2.%20COMPILACION%20ESTADISTICA%202003-2023/ANDE%20-%20Compilacion%20Estadistica%202003-2023.pdf" TargetMode="External" Id="rId1209"/><Relationship Type="http://schemas.openxmlformats.org/officeDocument/2006/relationships/hyperlink" Target="https://www.ande.gov.py/finanzas/2.%20COMPILACION%20ESTADISTICA%202003-2023/ANDE%20-%20Compilacion%20Estadistica%202003-2023.pdf" TargetMode="External" Id="rId1210"/><Relationship Type="http://schemas.openxmlformats.org/officeDocument/2006/relationships/hyperlink" Target="https://www.ande.gov.py/finanzas/2.%20COMPILACION%20ESTADISTICA%202003-2023/ANDE%20-%20Compilacion%20Estadistica%202003-2023.pdf" TargetMode="External" Id="rId1211"/><Relationship Type="http://schemas.openxmlformats.org/officeDocument/2006/relationships/hyperlink" Target="https://www.ande.gov.py/finanzas/2.%20COMPILACION%20ESTADISTICA%202003-2023/ANDE%20-%20Compilacion%20Estadistica%202003-2023.pdf" TargetMode="External" Id="rId1212"/><Relationship Type="http://schemas.openxmlformats.org/officeDocument/2006/relationships/hyperlink" Target="https://www.ande.gov.py/finanzas/2.%20COMPILACION%20ESTADISTICA%202003-2023/ANDE%20-%20Compilacion%20Estadistica%202003-2023.pdf" TargetMode="External" Id="rId1213"/><Relationship Type="http://schemas.openxmlformats.org/officeDocument/2006/relationships/hyperlink" Target="https://www.ande.gov.py/finanzas/2.%20COMPILACION%20ESTADISTICA%202003-2023/ANDE%20-%20Compilacion%20Estadistica%202003-2023.pdf" TargetMode="External" Id="rId1214"/><Relationship Type="http://schemas.openxmlformats.org/officeDocument/2006/relationships/hyperlink" Target="https://www.ande.gov.py/finanzas/2.%20COMPILACION%20ESTADISTICA%202003-2023/ANDE%20-%20Compilacion%20Estadistica%202003-2023.pdf" TargetMode="External" Id="rId1215"/><Relationship Type="http://schemas.openxmlformats.org/officeDocument/2006/relationships/hyperlink" Target="https://www.ande.gov.py/finanzas/2.%20COMPILACION%20ESTADISTICA%202003-2023/ANDE%20-%20Compilacion%20Estadistica%202003-2023.pdf" TargetMode="External" Id="rId1216"/><Relationship Type="http://schemas.openxmlformats.org/officeDocument/2006/relationships/hyperlink" Target="https://www.ande.gov.py/finanzas/2.%20COMPILACION%20ESTADISTICA%202003-2023/ANDE%20-%20Compilacion%20Estadistica%202003-2023.pdf" TargetMode="External" Id="rId1217"/><Relationship Type="http://schemas.openxmlformats.org/officeDocument/2006/relationships/hyperlink" Target="https://www.ande.gov.py/finanzas/2.%20COMPILACION%20ESTADISTICA%202003-2023/ANDE%20-%20Compilacion%20Estadistica%202003-2023.pdf" TargetMode="External" Id="rId1218"/><Relationship Type="http://schemas.openxmlformats.org/officeDocument/2006/relationships/hyperlink" Target="https://www.ande.gov.py/finanzas/2.%20COMPILACION%20ESTADISTICA%202003-2023/ANDE%20-%20Compilacion%20Estadistica%202003-2023.pdf" TargetMode="External" Id="rId1219"/><Relationship Type="http://schemas.openxmlformats.org/officeDocument/2006/relationships/hyperlink" Target="https://www.ande.gov.py/finanzas/2.%20COMPILACION%20ESTADISTICA%202003-2023/ANDE%20-%20Compilacion%20Estadistica%202003-2023.pdf" TargetMode="External" Id="rId1220"/><Relationship Type="http://schemas.openxmlformats.org/officeDocument/2006/relationships/hyperlink" Target="https://www.ande.gov.py/finanzas/2.%20COMPILACION%20ESTADISTICA%202003-2023/ANDE%20-%20Compilacion%20Estadistica%202003-2023.pdf" TargetMode="External" Id="rId1221"/><Relationship Type="http://schemas.openxmlformats.org/officeDocument/2006/relationships/hyperlink" Target="https://www.ande.gov.py/finanzas/2.%20COMPILACION%20ESTADISTICA%202003-2023/ANDE%20-%20Compilacion%20Estadistica%202003-2023.pdf" TargetMode="External" Id="rId1222"/><Relationship Type="http://schemas.openxmlformats.org/officeDocument/2006/relationships/hyperlink" Target="https://www.ande.gov.py/finanzas/2.%20COMPILACION%20ESTADISTICA%202003-2023/ANDE%20-%20Compilacion%20Estadistica%202003-2023.pdf" TargetMode="External" Id="rId1223"/><Relationship Type="http://schemas.openxmlformats.org/officeDocument/2006/relationships/hyperlink" Target="https://www.ande.gov.py/finanzas/2.%20COMPILACION%20ESTADISTICA%202003-2023/ANDE%20-%20Compilacion%20Estadistica%202003-2023.pdf" TargetMode="External" Id="rId1224"/><Relationship Type="http://schemas.openxmlformats.org/officeDocument/2006/relationships/hyperlink" Target="https://www.ande.gov.py/finanzas/2.%20COMPILACION%20ESTADISTICA%202003-2023/ANDE%20-%20Compilacion%20Estadistica%202003-2023.pdf" TargetMode="External" Id="rId1225"/><Relationship Type="http://schemas.openxmlformats.org/officeDocument/2006/relationships/hyperlink" Target="https://www.ande.gov.py/finanzas/2.%20COMPILACION%20ESTADISTICA%202003-2023/ANDE%20-%20Compilacion%20Estadistica%202003-2023.pdf" TargetMode="External" Id="rId1226"/><Relationship Type="http://schemas.openxmlformats.org/officeDocument/2006/relationships/hyperlink" Target="https://www.ande.gov.py/finanzas/2.%20COMPILACION%20ESTADISTICA%202003-2023/ANDE%20-%20Compilacion%20Estadistica%202003-2023.pdf" TargetMode="External" Id="rId1227"/><Relationship Type="http://schemas.openxmlformats.org/officeDocument/2006/relationships/hyperlink" Target="https://www.ande.gov.py/finanzas/2.%20COMPILACION%20ESTADISTICA%202003-2023/ANDE%20-%20Compilacion%20Estadistica%202003-2023.pdf" TargetMode="External" Id="rId1228"/><Relationship Type="http://schemas.openxmlformats.org/officeDocument/2006/relationships/hyperlink" Target="https://www.ande.gov.py/finanzas/2.%20COMPILACION%20ESTADISTICA%202003-2023/ANDE%20-%20Compilacion%20Estadistica%202003-2023.pdf" TargetMode="External" Id="rId1229"/><Relationship Type="http://schemas.openxmlformats.org/officeDocument/2006/relationships/hyperlink" Target="https://www.ande.gov.py/finanzas/2.%20COMPILACION%20ESTADISTICA%202003-2023/ANDE%20-%20Compilacion%20Estadistica%202003-2023.pdf" TargetMode="External" Id="rId1230"/><Relationship Type="http://schemas.openxmlformats.org/officeDocument/2006/relationships/hyperlink" Target="https://www.ande.gov.py/finanzas/2.%20COMPILACION%20ESTADISTICA%202003-2023/ANDE%20-%20Compilacion%20Estadistica%202003-2023.pdf" TargetMode="External" Id="rId1231"/><Relationship Type="http://schemas.openxmlformats.org/officeDocument/2006/relationships/hyperlink" Target="https://www.ande.gov.py/finanzas/2.%20COMPILACION%20ESTADISTICA%202003-2023/ANDE%20-%20Compilacion%20Estadistica%202003-2023.pdf" TargetMode="External" Id="rId1232"/><Relationship Type="http://schemas.openxmlformats.org/officeDocument/2006/relationships/hyperlink" Target="https://www.ande.gov.py/finanzas/2.%20COMPILACION%20ESTADISTICA%202003-2023/ANDE%20-%20Compilacion%20Estadistica%202003-2023.pdf" TargetMode="External" Id="rId1233"/><Relationship Type="http://schemas.openxmlformats.org/officeDocument/2006/relationships/hyperlink" Target="https://www.ande.gov.py/finanzas/2.%20COMPILACION%20ESTADISTICA%202003-2023/ANDE%20-%20Compilacion%20Estadistica%202003-2023.pdf" TargetMode="External" Id="rId1234"/><Relationship Type="http://schemas.openxmlformats.org/officeDocument/2006/relationships/hyperlink" Target="https://www.ande.gov.py/finanzas/2.%20COMPILACION%20ESTADISTICA%202003-2023/ANDE%20-%20Compilacion%20Estadistica%202003-2023.pdf" TargetMode="External" Id="rId1235"/><Relationship Type="http://schemas.openxmlformats.org/officeDocument/2006/relationships/hyperlink" Target="https://www.ande.gov.py/finanzas/ANDE%20-%20Resumen%20Estad%C3%ADstico%202020%20-%202024.pdf" TargetMode="External" Id="rId1236"/><Relationship Type="http://schemas.openxmlformats.org/officeDocument/2006/relationships/hyperlink" Target="https://www.ande.gov.py/finanzas/BAGP%202025%20ANDE.pdf" TargetMode="External" Id="rId1237"/><Relationship Type="http://schemas.openxmlformats.org/officeDocument/2006/relationships/hyperlink" Target="https://www.ande.gov.py/estadisticas/BalanceEnergia1983-2006/CompilacionEstadistica83-06.pdf" TargetMode="External" Id="rId1238"/><Relationship Type="http://schemas.openxmlformats.org/officeDocument/2006/relationships/hyperlink" Target="https://www.ande.gov.py/estadisticas/BalanceEnergia1983-2006/CompilacionEstadistica83-06.pdf" TargetMode="External" Id="rId1239"/><Relationship Type="http://schemas.openxmlformats.org/officeDocument/2006/relationships/hyperlink" Target="https://www.ande.gov.py/estadisticas/BalanceEnergia1983-2006/CompilacionEstadistica83-06.pdf" TargetMode="External" Id="rId1240"/><Relationship Type="http://schemas.openxmlformats.org/officeDocument/2006/relationships/hyperlink" Target="https://www.ande.gov.py/estadisticas/BalanceEnergia1983-2006/CompilacionEstadistica83-06.pdf" TargetMode="External" Id="rId1241"/><Relationship Type="http://schemas.openxmlformats.org/officeDocument/2006/relationships/hyperlink" Target="https://www.ande.gov.py/estadisticas/BalanceEnergia1983-2006/CompilacionEstadistica83-06.pdf" TargetMode="External" Id="rId1242"/><Relationship Type="http://schemas.openxmlformats.org/officeDocument/2006/relationships/hyperlink" Target="https://www.ande.gov.py/estadisticas/BalanceEnergia1983-2006/CompilacionEstadistica83-06.pdf" TargetMode="External" Id="rId1243"/><Relationship Type="http://schemas.openxmlformats.org/officeDocument/2006/relationships/hyperlink" Target="https://www.ande.gov.py/estadisticas/BalanceEnergia1983-2006/CompilacionEstadistica83-06.pdf" TargetMode="External" Id="rId1244"/><Relationship Type="http://schemas.openxmlformats.org/officeDocument/2006/relationships/hyperlink" Target="https://www.ande.gov.py/estadisticas/BalanceEnergia1983-2006/CompilacionEstadistica83-06.pdf" TargetMode="External" Id="rId1245"/><Relationship Type="http://schemas.openxmlformats.org/officeDocument/2006/relationships/hyperlink" Target="https://www.ande.gov.py/estadisticas/BalanceEnergia1983-2006/CompilacionEstadistica83-06.pdf" TargetMode="External" Id="rId1246"/><Relationship Type="http://schemas.openxmlformats.org/officeDocument/2006/relationships/hyperlink" Target="https://www.ande.gov.py/estadisticas/BalanceEnergia1983-2006/CompilacionEstadistica83-06.pdf" TargetMode="External" Id="rId1247"/><Relationship Type="http://schemas.openxmlformats.org/officeDocument/2006/relationships/hyperlink" Target="https://www.ande.gov.py/estadisticas/BalanceEnergia1983-2006/CompilacionEstadistica83-06.pdf" TargetMode="External" Id="rId1248"/><Relationship Type="http://schemas.openxmlformats.org/officeDocument/2006/relationships/hyperlink" Target="https://www.ande.gov.py/estadisticas/BalanceEnergia1983-2006/CompilacionEstadistica83-06.pdf" TargetMode="External" Id="rId1249"/><Relationship Type="http://schemas.openxmlformats.org/officeDocument/2006/relationships/hyperlink" Target="https://www.ande.gov.py/estadisticas/BalanceEnergia1983-2006/CompilacionEstadistica83-06.pdf" TargetMode="External" Id="rId1250"/><Relationship Type="http://schemas.openxmlformats.org/officeDocument/2006/relationships/hyperlink" Target="https://www.ande.gov.py/estadisticas/BalanceEnergia1983-2006/CompilacionEstadistica83-06.pdf" TargetMode="External" Id="rId1251"/><Relationship Type="http://schemas.openxmlformats.org/officeDocument/2006/relationships/hyperlink" Target="https://www.ande.gov.py/estadisticas/BalanceEnergia1983-2006/CompilacionEstadistica83-06.pdf" TargetMode="External" Id="rId1252"/><Relationship Type="http://schemas.openxmlformats.org/officeDocument/2006/relationships/hyperlink" Target="https://www.ande.gov.py/estadisticas/BalanceEnergia1983-2006/CompilacionEstadistica83-06.pdf" TargetMode="External" Id="rId1253"/><Relationship Type="http://schemas.openxmlformats.org/officeDocument/2006/relationships/hyperlink" Target="https://www.ande.gov.py/estadisticas/BalanceEnergia1983-2006/CompilacionEstadistica83-06.pdf" TargetMode="External" Id="rId1254"/><Relationship Type="http://schemas.openxmlformats.org/officeDocument/2006/relationships/hyperlink" Target="https://www.ande.gov.py/estadisticas/BalanceEnergia1983-2006/CompilacionEstadistica83-06.pdf" TargetMode="External" Id="rId1255"/><Relationship Type="http://schemas.openxmlformats.org/officeDocument/2006/relationships/hyperlink" Target="https://www.ande.gov.py/estadisticas/BalanceEnergia1983-2006/CompilacionEstadistica83-06.pdf" TargetMode="External" Id="rId1256"/><Relationship Type="http://schemas.openxmlformats.org/officeDocument/2006/relationships/hyperlink" Target="https://www.ande.gov.py/estadisticas/BalanceEnergia1983-2006/CompilacionEstadistica83-06.pdf" TargetMode="External" Id="rId1257"/><Relationship Type="http://schemas.openxmlformats.org/officeDocument/2006/relationships/hyperlink" Target="https://www.ande.gov.py/estadisticas/BalanceEnergia1983-2006/CompilacionEstadistica83-06.pdf" TargetMode="External" Id="rId1258"/><Relationship Type="http://schemas.openxmlformats.org/officeDocument/2006/relationships/hyperlink" Target="https://www.ande.gov.py/estadisticas/BalanceEnergia1983-2006/CompilacionEstadistica83-06.pdf" TargetMode="External" Id="rId1259"/><Relationship Type="http://schemas.openxmlformats.org/officeDocument/2006/relationships/hyperlink" Target="https://www.ande.gov.py/estadisticas/BalanceEnergia1983-2006/CompilacionEstadistica83-06.pdf" TargetMode="External" Id="rId1260"/><Relationship Type="http://schemas.openxmlformats.org/officeDocument/2006/relationships/hyperlink" Target="https://www.ande.gov.py/estadisticas/BalanceEnergia1983-2006/CompilacionEstadistica83-06.pdf" TargetMode="External" Id="rId1261"/><Relationship Type="http://schemas.openxmlformats.org/officeDocument/2006/relationships/hyperlink" Target="https://www.ande.gov.py/estadisticas/BalanceEnergia1983-2006/CompilacionEstadistica83-06.pdf" TargetMode="External" Id="rId1262"/><Relationship Type="http://schemas.openxmlformats.org/officeDocument/2006/relationships/hyperlink" Target="https://www.ande.gov.py/estadisticas/BalanceEnergia1983-2006/CompilacionEstadistica83-06.pdf" TargetMode="External" Id="rId1263"/><Relationship Type="http://schemas.openxmlformats.org/officeDocument/2006/relationships/hyperlink" Target="https://www.ande.gov.py/estadisticas/BalanceEnergia1983-2006/CompilacionEstadistica83-06.pdf" TargetMode="External" Id="rId1264"/><Relationship Type="http://schemas.openxmlformats.org/officeDocument/2006/relationships/hyperlink" Target="https://www.ande.gov.py/estadisticas/BalanceEnergia1983-2006/CompilacionEstadistica83-06.pdf" TargetMode="External" Id="rId1265"/><Relationship Type="http://schemas.openxmlformats.org/officeDocument/2006/relationships/hyperlink" Target="https://www.ande.gov.py/estadisticas/BalanceEnergia1983-2006/CompilacionEstadistica83-06.pdf" TargetMode="External" Id="rId1266"/><Relationship Type="http://schemas.openxmlformats.org/officeDocument/2006/relationships/hyperlink" Target="https://www.ande.gov.py/estadisticas/BalanceEnergia1983-2006/CompilacionEstadistica83-06.pdf" TargetMode="External" Id="rId1267"/><Relationship Type="http://schemas.openxmlformats.org/officeDocument/2006/relationships/hyperlink" Target="https://www.ande.gov.py/estadisticas/BalanceEnergia1983-2006/CompilacionEstadistica83-06.pdf" TargetMode="External" Id="rId1268"/><Relationship Type="http://schemas.openxmlformats.org/officeDocument/2006/relationships/hyperlink" Target="https://www.ande.gov.py/estadisticas/BalanceEnergia1983-2006/CompilacionEstadistica83-06.pdf" TargetMode="External" Id="rId1269"/><Relationship Type="http://schemas.openxmlformats.org/officeDocument/2006/relationships/hyperlink" Target="https://www.ande.gov.py/estadisticas/BalanceEnergia1983-2006/CompilacionEstadistica83-06.pdf" TargetMode="External" Id="rId1270"/><Relationship Type="http://schemas.openxmlformats.org/officeDocument/2006/relationships/hyperlink" Target="https://www.ande.gov.py/estadisticas/BalanceEnergia1983-2006/CompilacionEstadistica83-06.pdf" TargetMode="External" Id="rId1271"/><Relationship Type="http://schemas.openxmlformats.org/officeDocument/2006/relationships/hyperlink" Target="https://www.ande.gov.py/estadisticas/BalanceEnergia1983-2006/CompilacionEstadistica83-06.pdf" TargetMode="External" Id="rId1272"/><Relationship Type="http://schemas.openxmlformats.org/officeDocument/2006/relationships/hyperlink" Target="https://www.ande.gov.py/estadisticas/BalanceEnergia1983-2006/CompilacionEstadistica83-06.pdf" TargetMode="External" Id="rId1273"/><Relationship Type="http://schemas.openxmlformats.org/officeDocument/2006/relationships/hyperlink" Target="https://www.ande.gov.py/estadisticas/BalanceEnergia1983-2006/CompilacionEstadistica83-06.pdf" TargetMode="External" Id="rId1274"/><Relationship Type="http://schemas.openxmlformats.org/officeDocument/2006/relationships/hyperlink" Target="https://www.ande.gov.py/estadisticas/BalanceEnergia1983-2006/CompilacionEstadistica83-06.pdf" TargetMode="External" Id="rId1275"/><Relationship Type="http://schemas.openxmlformats.org/officeDocument/2006/relationships/hyperlink" Target="https://www.ande.gov.py/estadisticas/BalanceEnergia1983-2006/CompilacionEstadistica83-06.pdf" TargetMode="External" Id="rId1276"/><Relationship Type="http://schemas.openxmlformats.org/officeDocument/2006/relationships/hyperlink" Target="https://www.ande.gov.py/estadisticas/BalanceEnergia1983-2006/CompilacionEstadistica83-06.pdf" TargetMode="External" Id="rId1277"/><Relationship Type="http://schemas.openxmlformats.org/officeDocument/2006/relationships/hyperlink" Target="https://www.ande.gov.py/estadisticas/BalanceEnergia1983-2006/CompilacionEstadistica83-06.pdf" TargetMode="External" Id="rId1278"/><Relationship Type="http://schemas.openxmlformats.org/officeDocument/2006/relationships/hyperlink" Target="https://www.ande.gov.py/estadisticas/BalanceEnergia1983-2006/CompilacionEstadistica83-06.pdf" TargetMode="External" Id="rId1279"/><Relationship Type="http://schemas.openxmlformats.org/officeDocument/2006/relationships/hyperlink" Target="https://www.ande.gov.py/estadisticas/BalanceEnergia1983-2006/CompilacionEstadistica83-06.pdf" TargetMode="External" Id="rId1280"/><Relationship Type="http://schemas.openxmlformats.org/officeDocument/2006/relationships/hyperlink" Target="https://www.ande.gov.py/estadisticas/BalanceEnergia1983-2006/CompilacionEstadistica83-06.pdf" TargetMode="External" Id="rId1281"/><Relationship Type="http://schemas.openxmlformats.org/officeDocument/2006/relationships/hyperlink" Target="https://www.ande.gov.py/estadisticas/BalanceEnergia1983-2006/CompilacionEstadistica83-06.pdf" TargetMode="External" Id="rId1282"/><Relationship Type="http://schemas.openxmlformats.org/officeDocument/2006/relationships/hyperlink" Target="https://www.ande.gov.py/estadisticas/BalanceEnergia1983-2006/CompilacionEstadistica83-06.pdf" TargetMode="External" Id="rId1283"/><Relationship Type="http://schemas.openxmlformats.org/officeDocument/2006/relationships/hyperlink" Target="https://www.itaipu.gov.py/sites/default/files/af_df/Memoria%20Anual%202002.pdf" TargetMode="External" Id="rId1284"/><Relationship Type="http://schemas.openxmlformats.org/officeDocument/2006/relationships/hyperlink" Target="https://www.itaipu.gov.py/sites/default/files/af_df/Memoria%20Anual%202002.pdf" TargetMode="External" Id="rId1285"/><Relationship Type="http://schemas.openxmlformats.org/officeDocument/2006/relationships/hyperlink" Target="https://www.itaipu.gov.py/sites/default/files/af_df/Memoria%20Anual%202002.pdf" TargetMode="External" Id="rId1286"/><Relationship Type="http://schemas.openxmlformats.org/officeDocument/2006/relationships/hyperlink" Target="https://www.itaipu.gov.py/sites/default/files/af_df/Memoria%20Anual%202002.pdf" TargetMode="External" Id="rId1287"/><Relationship Type="http://schemas.openxmlformats.org/officeDocument/2006/relationships/hyperlink" Target="https://www.itaipu.gov.py/sites/default/files/af_df/Memoria%20Anual%202002.pdf" TargetMode="External" Id="rId1288"/><Relationship Type="http://schemas.openxmlformats.org/officeDocument/2006/relationships/hyperlink" Target="https://www.itaipu.gov.py/sites/default/files/af_df/Memoria%20Anual%202002.pdf" TargetMode="External" Id="rId1289"/><Relationship Type="http://schemas.openxmlformats.org/officeDocument/2006/relationships/hyperlink" Target="https://www.itaipu.gov.py/sites/default/files/af_df/Memoria%20Anual%202002.pdf" TargetMode="External" Id="rId1290"/><Relationship Type="http://schemas.openxmlformats.org/officeDocument/2006/relationships/hyperlink" Target="https://www.itaipu.gov.py/sites/default/files/af_df/Memoria%20Anual%202002.pdf" TargetMode="External" Id="rId1291"/><Relationship Type="http://schemas.openxmlformats.org/officeDocument/2006/relationships/hyperlink" Target="https://www.itaipu.gov.py/sites/default/files/af_df/Memoria%20Anual%202002.pdf" TargetMode="External" Id="rId1292"/><Relationship Type="http://schemas.openxmlformats.org/officeDocument/2006/relationships/hyperlink" Target="https://www.itaipu.gov.py/sites/default/files/af_df/Memoria%20Anual%202002.pdf" TargetMode="External" Id="rId1293"/><Relationship Type="http://schemas.openxmlformats.org/officeDocument/2006/relationships/hyperlink" Target="https://www.itaipu.gov.py/sites/default/files/af_df/Memoria%20Anual%202002.pdf" TargetMode="External" Id="rId1294"/><Relationship Type="http://schemas.openxmlformats.org/officeDocument/2006/relationships/hyperlink" Target="https://www.itaipu.gov.py/sites/default/files/af_df/Memoria%20Anual%202002.pdf" TargetMode="External" Id="rId1295"/><Relationship Type="http://schemas.openxmlformats.org/officeDocument/2006/relationships/hyperlink" Target="https://www.itaipu.gov.py/sites/default/files/af_df/Memoria%20Anual%202002.pdf" TargetMode="External" Id="rId1296"/><Relationship Type="http://schemas.openxmlformats.org/officeDocument/2006/relationships/hyperlink" Target="https://www.itaipu.gov.py/sites/default/files/af_df/Memoria%20Anual%202002.pdf" TargetMode="External" Id="rId1297"/><Relationship Type="http://schemas.openxmlformats.org/officeDocument/2006/relationships/hyperlink" Target="https://www.itaipu.gov.py/sites/default/files/af_df/Memoria%20Anual%202002.pdf" TargetMode="External" Id="rId1298"/><Relationship Type="http://schemas.openxmlformats.org/officeDocument/2006/relationships/hyperlink" Target="https://www.itaipu.gov.py/sites/default/files/af_df/Memoria%20Anual%202002.pdf" TargetMode="External" Id="rId1299"/><Relationship Type="http://schemas.openxmlformats.org/officeDocument/2006/relationships/hyperlink" Target="https://www.itaipu.gov.py/sites/default/files/af_df/Memoria%20Anual%202002.pdf" TargetMode="External" Id="rId1300"/><Relationship Type="http://schemas.openxmlformats.org/officeDocument/2006/relationships/hyperlink" Target="https://www.itaipu.gov.py/sites/default/files/af_df/Memoria%20Anual%202002.pdf" TargetMode="External" Id="rId1301"/><Relationship Type="http://schemas.openxmlformats.org/officeDocument/2006/relationships/hyperlink" Target="https://www.itaipu.gov.py/sites/default/files/af_df/Memoria%20Anual%202002.pdf" TargetMode="External" Id="rId1302"/><Relationship Type="http://schemas.openxmlformats.org/officeDocument/2006/relationships/hyperlink" Target="https://www.itaipu.gov.py/" TargetMode="External" Id="rId1303"/><Relationship Type="http://schemas.openxmlformats.org/officeDocument/2006/relationships/hyperlink" Target="https://www.itaipu.gov.py/" TargetMode="External" Id="rId1304"/><Relationship Type="http://schemas.openxmlformats.org/officeDocument/2006/relationships/hyperlink" Target="https://www.itaipu.gov.py/" TargetMode="External" Id="rId1305"/><Relationship Type="http://schemas.openxmlformats.org/officeDocument/2006/relationships/hyperlink" Target="https://www.itaipu.gov.py/" TargetMode="External" Id="rId1306"/><Relationship Type="http://schemas.openxmlformats.org/officeDocument/2006/relationships/hyperlink" Target="https://www.itaipu.gov.py/" TargetMode="External" Id="rId1307"/><Relationship Type="http://schemas.openxmlformats.org/officeDocument/2006/relationships/hyperlink" Target="https://www.itaipu.gov.py/" TargetMode="External" Id="rId1308"/><Relationship Type="http://schemas.openxmlformats.org/officeDocument/2006/relationships/hyperlink" Target="https://www.itaipu.gov.py/" TargetMode="External" Id="rId1309"/><Relationship Type="http://schemas.openxmlformats.org/officeDocument/2006/relationships/hyperlink" Target="https://www.itaipu.gov.py/" TargetMode="External" Id="rId1310"/><Relationship Type="http://schemas.openxmlformats.org/officeDocument/2006/relationships/hyperlink" Target="https://www.itaipu.gov.py/" TargetMode="External" Id="rId1311"/><Relationship Type="http://schemas.openxmlformats.org/officeDocument/2006/relationships/hyperlink" Target="https://www.itaipu.gov.py/noticias/institucional/itaipu-produjo-en-2016-un-total-de-103-098-366-de-mwh-y-usd-100-millones-adicionales-para-el-paraguay" TargetMode="External" Id="rId1312"/><Relationship Type="http://schemas.openxmlformats.org/officeDocument/2006/relationships/hyperlink" Target="https://www.itaipu.gov.py/sites/default/files/u62/Memoria%20Anual%20Itaipu%202023_Espa%C3%B1ol_internet.pdf" TargetMode="External" Id="rId1313"/><Relationship Type="http://schemas.openxmlformats.org/officeDocument/2006/relationships/hyperlink" Target="https://www.itaipu.gov.py/sites/default/files/u62/Memoria%20Anual%20Itaipu%202023_Espa%C3%B1ol_internet.pdf" TargetMode="External" Id="rId1314"/><Relationship Type="http://schemas.openxmlformats.org/officeDocument/2006/relationships/hyperlink" Target="https://www.itaipu.gov.py/sites/default/files/u62/Memoria%20Anual%20Itaipu%202023_Espa%C3%B1ol_internet.pdf" TargetMode="External" Id="rId1315"/><Relationship Type="http://schemas.openxmlformats.org/officeDocument/2006/relationships/hyperlink" Target="https://www.itaipu.gov.py/sites/default/files/u62/Memoria%20Anual%20Itaipu%202023_Espa%C3%B1ol_internet.pdf" TargetMode="External" Id="rId1316"/><Relationship Type="http://schemas.openxmlformats.org/officeDocument/2006/relationships/hyperlink" Target="https://www.itaipu.gov.py/sites/default/files/u62/Memoria%20Anual%20Itaipu%202023_Espa%C3%B1ol_internet.pdf" TargetMode="External" Id="rId1317"/><Relationship Type="http://schemas.openxmlformats.org/officeDocument/2006/relationships/hyperlink" Target="https://www.itaipu.gov.py/sites/default/files/u62/Memoria%20Anual%20Itaipu%202023_Espa%C3%B1ol_internet.pdf" TargetMode="External" Id="rId1318"/><Relationship Type="http://schemas.openxmlformats.org/officeDocument/2006/relationships/hyperlink" Target="https://www.itaipu.gov.py/sites/default/files/u62/Memoria%20Anual%20Itaipu%202023_Espa%C3%B1ol_internet.pdf" TargetMode="External" Id="rId1319"/><Relationship Type="http://schemas.openxmlformats.org/officeDocument/2006/relationships/hyperlink" Target="https://www.itaipu.gov.py/sites/default/files/u62/Memoria%20Anual%20Itaipu%202023_Espa%C3%B1ol_internet.pdf" TargetMode="External" Id="rId1320"/><Relationship Type="http://schemas.openxmlformats.org/officeDocument/2006/relationships/hyperlink" Target="https://www.itaipu.gov.py/sites/default/files/u62/Memoria%20Anual%20Itaipu%202023_Espa%C3%B1ol_internet.pdf" TargetMode="External" Id="rId1321"/><Relationship Type="http://schemas.openxmlformats.org/officeDocument/2006/relationships/hyperlink" Target="https://www.itaipu.gov.py/sites/default/files/u62/Memoria%20Anual%20Itaipu%202023_Espa%C3%B1ol_internet.pdf" TargetMode="External" Id="rId1322"/><Relationship Type="http://schemas.openxmlformats.org/officeDocument/2006/relationships/hyperlink" Target="https://www.itaipu.gov.py/sites/default/files/u62/Memoria%20Anual%20Itaipu%202023_Espa%C3%B1ol_internet.pdf" TargetMode="External" Id="rId1323"/><Relationship Type="http://schemas.openxmlformats.org/officeDocument/2006/relationships/hyperlink" Target="https://www.itaipu.gov.py/sites/default/files/u62/Memoria%20Anual%20Itaipu%202023_Espa%C3%B1ol_internet.pdf" TargetMode="External" Id="rId1324"/><Relationship Type="http://schemas.openxmlformats.org/officeDocument/2006/relationships/hyperlink" Target="https://www.itaipu.gov.py/sites/default/files/u62/Memoria%20Anual%20Itaipu%202023_Espa%C3%B1ol_internet.pdf" TargetMode="External" Id="rId1325"/><Relationship Type="http://schemas.openxmlformats.org/officeDocument/2006/relationships/hyperlink" Target="https://www.itaipu.gov.py/sites/default/files/u62/Memoria%20Anual%20Itaipu%202023_Espa%C3%B1ol_internet.pdf" TargetMode="External" Id="rId1326"/><Relationship Type="http://schemas.openxmlformats.org/officeDocument/2006/relationships/hyperlink" Target="https://www.itaipu.gov.py/sites/default/files/u62/Memoria%20Anual%20Itaipu%202023_Espa%C3%B1ol_internet.pdf" TargetMode="External" Id="rId1327"/><Relationship Type="http://schemas.openxmlformats.org/officeDocument/2006/relationships/hyperlink" Target="https://www.itaipu.gov.py/sites/default/files/u62/Memoria%20Anual%20Itaipu%202023_Espa%C3%B1ol_internet.pdf" TargetMode="External" Id="rId1328"/><Relationship Type="http://schemas.openxmlformats.org/officeDocument/2006/relationships/hyperlink" Target="https://www.itaipu.gov.py/sites/default/files/u62/Memoria%20Anual%20Itaipu%202023_Espa%C3%B1ol_internet.pdf" TargetMode="External" Id="rId1329"/><Relationship Type="http://schemas.openxmlformats.org/officeDocument/2006/relationships/hyperlink" Target="https://www.itaipu.gov.py/sites/default/files/u62/Memoria%20Anual%20Itaipu%202023_Espa%C3%B1ol_internet.pdf" TargetMode="External" Id="rId1330"/><Relationship Type="http://schemas.openxmlformats.org/officeDocument/2006/relationships/hyperlink" Target="https://www.itaipu.gov.py/sites/default/files/u62/Memoria%20Anual%20Itaipu%202023_Espa%C3%B1ol_internet.pdf" TargetMode="External" Id="rId1331"/><Relationship Type="http://schemas.openxmlformats.org/officeDocument/2006/relationships/hyperlink" Target="https://www.itaipu.gov.py/sites/default/files/u62/Memoria%20Anual%20Itaipu%202023_Espa%C3%B1ol_internet.pdf" TargetMode="External" Id="rId1332"/><Relationship Type="http://schemas.openxmlformats.org/officeDocument/2006/relationships/hyperlink" Target="https://www.itaipu.gov.py/sites/default/files/u62/Memoria%20Anual%20Itaipu%202023_Espa%C3%B1ol_internet.pdf" TargetMode="External" Id="rId1333"/><Relationship Type="http://schemas.openxmlformats.org/officeDocument/2006/relationships/hyperlink" Target="https://www.itaipu.gov.py/sites/default/files/u62/Memoria%20Anual%20Itaipu%202023_Espa%C3%B1ol_internet.pdf" TargetMode="External" Id="rId1334"/><Relationship Type="http://schemas.openxmlformats.org/officeDocument/2006/relationships/hyperlink" Target="https://www.itaipu.gov.py/sites/default/files/u62/Memoria%20Anual%20Itaipu%202023_Espa%C3%B1ol_internet.pdf" TargetMode="External" Id="rId1335"/><Relationship Type="http://schemas.openxmlformats.org/officeDocument/2006/relationships/hyperlink" Target="https://www.itaipu.gov.py/sites/default/files/u62/Memoria%20Anual%20Itaipu%202023_Espa%C3%B1ol_internet.pdf" TargetMode="External" Id="rId1336"/><Relationship Type="http://schemas.openxmlformats.org/officeDocument/2006/relationships/hyperlink" Target="https://www.itaipu.gov.py/sites/default/files/u62/Memoria%20Anual%20Itaipu%202023_Espa%C3%B1ol_internet.pdf" TargetMode="External" Id="rId1337"/><Relationship Type="http://schemas.openxmlformats.org/officeDocument/2006/relationships/hyperlink" Target="https://www.itaipu.gov.py/sites/default/files/u62/Memoria%20Anual%20Itaipu%202023_Espa%C3%B1ol_internet.pdf" TargetMode="External" Id="rId1338"/><Relationship Type="http://schemas.openxmlformats.org/officeDocument/2006/relationships/hyperlink" Target="https://www.itaipu.gov.py/sites/default/files/u62/Memoria%20Anual%20Itaipu%202023_Espa%C3%B1ol_internet.pdf" TargetMode="External" Id="rId1339"/><Relationship Type="http://schemas.openxmlformats.org/officeDocument/2006/relationships/hyperlink" Target="https://www.itaipu.gov.py/sites/default/files/u62/Memoria%20Anual%20Itaipu%202023_Espa%C3%B1ol_internet.pdf" TargetMode="External" Id="rId1340"/></Relationships>
</file>

<file path=xl/worksheets/_rels/sheet8.xml.rels><Relationships xmlns="http://schemas.openxmlformats.org/package/2006/relationships"><Relationship Type="http://schemas.openxmlformats.org/officeDocument/2006/relationships/hyperlink" Target="https://www.ande.gov.py/documentos_contables/157/compilacion_estadistica_1990-2010.pdf" TargetMode="External" Id="rId1"/><Relationship Type="http://schemas.openxmlformats.org/officeDocument/2006/relationships/hyperlink" Target="https://www.ande.gov.py/documentos_contables/157/compilacion_estadistica_1990-2010.pdf" TargetMode="External" Id="rId2"/><Relationship Type="http://schemas.openxmlformats.org/officeDocument/2006/relationships/hyperlink" Target="https://www.ande.gov.py/documentos_contables/157/compilacion_estadistica_1990-2010.pdf" TargetMode="External" Id="rId3"/><Relationship Type="http://schemas.openxmlformats.org/officeDocument/2006/relationships/hyperlink" Target="https://www.ande.gov.py/documentos_contables/157/compilacion_estadistica_1990-2010.pdf" TargetMode="External" Id="rId4"/><Relationship Type="http://schemas.openxmlformats.org/officeDocument/2006/relationships/hyperlink" Target="https://www.ande.gov.py/documentos_contables/157/compilacion_estadistica_1990-2010.pdf" TargetMode="External" Id="rId5"/><Relationship Type="http://schemas.openxmlformats.org/officeDocument/2006/relationships/hyperlink" Target="https://www.ande.gov.py/documentos_contables/157/compilacion_estadistica_1990-2010.pdf" TargetMode="External" Id="rId6"/><Relationship Type="http://schemas.openxmlformats.org/officeDocument/2006/relationships/hyperlink" Target="https://www.ande.gov.py/documentos_contables/157/compilacion_estadistica_1990-2010.pdf" TargetMode="External" Id="rId7"/><Relationship Type="http://schemas.openxmlformats.org/officeDocument/2006/relationships/hyperlink" Target="https://www.ande.gov.py/documentos_contables/157/compilacion_estadistica_1990-2010.pdf" TargetMode="External" Id="rId8"/><Relationship Type="http://schemas.openxmlformats.org/officeDocument/2006/relationships/hyperlink" Target="https://www.ande.gov.py/documentos_contables/157/compilacion_estadistica_1990-2010.pdf" TargetMode="External" Id="rId9"/><Relationship Type="http://schemas.openxmlformats.org/officeDocument/2006/relationships/hyperlink" Target="https://www.ande.gov.py/documentos_contables/157/compilacion_estadistica_1990-2010.pdf" TargetMode="External" Id="rId10"/><Relationship Type="http://schemas.openxmlformats.org/officeDocument/2006/relationships/hyperlink" Target="https://www.ande.gov.py/documentos_contables/157/compilacion_estadistica_1990-2010.pdf" TargetMode="External" Id="rId11"/><Relationship Type="http://schemas.openxmlformats.org/officeDocument/2006/relationships/hyperlink" Target="https://www.ande.gov.py/documentos_contables/157/compilacion_estadistica_1990-2010.pdf" TargetMode="External" Id="rId12"/><Relationship Type="http://schemas.openxmlformats.org/officeDocument/2006/relationships/hyperlink" Target="https://www.ande.gov.py/documentos_contables/157/compilacion_estadistica_1990-2010.pdf" TargetMode="External" Id="rId13"/><Relationship Type="http://schemas.openxmlformats.org/officeDocument/2006/relationships/hyperlink" Target="https://www.ande.gov.py/documentos_contables/157/compilacion_estadistica_1990-2010.pdf" TargetMode="External" Id="rId14"/><Relationship Type="http://schemas.openxmlformats.org/officeDocument/2006/relationships/hyperlink" Target="https://www.ande.gov.py/documentos_contables/157/compilacion_estadistica_1990-2010.pdf" TargetMode="External" Id="rId15"/><Relationship Type="http://schemas.openxmlformats.org/officeDocument/2006/relationships/hyperlink" Target="https://www.ande.gov.py/documentos_contables/157/compilacion_estadistica_1990-2010.pdf" TargetMode="External" Id="rId16"/><Relationship Type="http://schemas.openxmlformats.org/officeDocument/2006/relationships/hyperlink" Target="https://www.ande.gov.py/documentos_contables/157/compilacion_estadistica_1990-2010.pdf" TargetMode="External" Id="rId17"/><Relationship Type="http://schemas.openxmlformats.org/officeDocument/2006/relationships/hyperlink" Target="https://www.ande.gov.py/documentos_contables/157/compilacion_estadistica_1990-2010.pdf" TargetMode="External" Id="rId18"/><Relationship Type="http://schemas.openxmlformats.org/officeDocument/2006/relationships/hyperlink" Target="https://www.ande.gov.py/documentos_contables/157/compilacion_estadistica_1990-2010.pdf" TargetMode="External" Id="rId19"/><Relationship Type="http://schemas.openxmlformats.org/officeDocument/2006/relationships/hyperlink" Target="https://www.ande.gov.py/documentos_contables/157/compilacion_estadistica_1990-2010.pdf" TargetMode="External" Id="rId20"/><Relationship Type="http://schemas.openxmlformats.org/officeDocument/2006/relationships/hyperlink" Target="https://www.ande.gov.py/documentos_contables/157/compilacion_estadistica_1990-2010.pdf" TargetMode="External" Id="rId21"/><Relationship Type="http://schemas.openxmlformats.org/officeDocument/2006/relationships/hyperlink" Target="https://www.ande.gov.py/documentos_contables/157/compilacion_estadistica_1990-2010.pdf" TargetMode="External" Id="rId22"/><Relationship Type="http://schemas.openxmlformats.org/officeDocument/2006/relationships/hyperlink" Target="https://www.ande.gov.py/documentos_contables/157/compilacion_estadistica_1990-2010.pdf" TargetMode="External" Id="rId23"/><Relationship Type="http://schemas.openxmlformats.org/officeDocument/2006/relationships/hyperlink" Target="https://www.ande.gov.py/documentos_contables/157/compilacion_estadistica_1990-2010.pdf" TargetMode="External" Id="rId24"/><Relationship Type="http://schemas.openxmlformats.org/officeDocument/2006/relationships/hyperlink" Target="https://www.ande.gov.py/documentos_contables/157/compilacion_estadistica_1990-2010.pdf" TargetMode="External" Id="rId25"/><Relationship Type="http://schemas.openxmlformats.org/officeDocument/2006/relationships/hyperlink" Target="https://www.ande.gov.py/documentos_contables/157/compilacion_estadistica_1990-2010.pdf" TargetMode="External" Id="rId26"/><Relationship Type="http://schemas.openxmlformats.org/officeDocument/2006/relationships/hyperlink" Target="https://www.ande.gov.py/documentos_contables/157/compilacion_estadistica_1990-2010.pdf" TargetMode="External" Id="rId27"/><Relationship Type="http://schemas.openxmlformats.org/officeDocument/2006/relationships/hyperlink" Target="https://www.ande.gov.py/documentos_contables/157/compilacion_estadistica_1990-2010.pdf" TargetMode="External" Id="rId28"/><Relationship Type="http://schemas.openxmlformats.org/officeDocument/2006/relationships/hyperlink" Target="https://www.ande.gov.py/documentos_contables/157/compilacion_estadistica_1990-2010.pdf" TargetMode="External" Id="rId29"/><Relationship Type="http://schemas.openxmlformats.org/officeDocument/2006/relationships/hyperlink" Target="https://www.ande.gov.py/documentos_contables/157/compilacion_estadistica_1990-2010.pdf" TargetMode="External" Id="rId30"/><Relationship Type="http://schemas.openxmlformats.org/officeDocument/2006/relationships/hyperlink" Target="https://www.ande.gov.py/documentos_contables/157/compilacion_estadistica_1990-2010.pdf" TargetMode="External" Id="rId31"/><Relationship Type="http://schemas.openxmlformats.org/officeDocument/2006/relationships/hyperlink" Target="https://www.ande.gov.py/documentos_contables/157/compilacion_estadistica_1990-2010.pdf" TargetMode="External" Id="rId32"/><Relationship Type="http://schemas.openxmlformats.org/officeDocument/2006/relationships/hyperlink" Target="https://www.ande.gov.py/documentos_contables/157/compilacion_estadistica_1990-2010.pdf" TargetMode="External" Id="rId33"/><Relationship Type="http://schemas.openxmlformats.org/officeDocument/2006/relationships/hyperlink" Target="https://www.ande.gov.py/documentos_contables/157/compilacion_estadistica_1990-2010.pdf" TargetMode="External" Id="rId34"/><Relationship Type="http://schemas.openxmlformats.org/officeDocument/2006/relationships/hyperlink" Target="https://www.ande.gov.py/documentos_contables/157/compilacion_estadistica_1990-2010.pdf" TargetMode="External" Id="rId35"/><Relationship Type="http://schemas.openxmlformats.org/officeDocument/2006/relationships/hyperlink" Target="https://www.ande.gov.py/documentos_contables/157/compilacion_estadistica_1990-2010.pdf" TargetMode="External" Id="rId36"/><Relationship Type="http://schemas.openxmlformats.org/officeDocument/2006/relationships/hyperlink" Target="https://www.ande.gov.py/documentos_contables/157/compilacion_estadistica_1990-2010.pdf" TargetMode="External" Id="rId37"/><Relationship Type="http://schemas.openxmlformats.org/officeDocument/2006/relationships/hyperlink" Target="https://www.ande.gov.py/documentos_contables/157/compilacion_estadistica_1990-2010.pdf" TargetMode="External" Id="rId38"/><Relationship Type="http://schemas.openxmlformats.org/officeDocument/2006/relationships/hyperlink" Target="https://www.ande.gov.py/documentos_contables/157/compilacion_estadistica_1990-2010.pdf" TargetMode="External" Id="rId39"/><Relationship Type="http://schemas.openxmlformats.org/officeDocument/2006/relationships/hyperlink" Target="https://www.ande.gov.py/documentos_contables/157/compilacion_estadistica_1990-2010.pdf" TargetMode="External" Id="rId40"/><Relationship Type="http://schemas.openxmlformats.org/officeDocument/2006/relationships/hyperlink" Target="https://www.ande.gov.py/documentos_contables/157/compilacion_estadistica_1990-2010.pdf" TargetMode="External" Id="rId41"/><Relationship Type="http://schemas.openxmlformats.org/officeDocument/2006/relationships/hyperlink" Target="https://www.ande.gov.py/documentos_contables/157/compilacion_estadistica_1990-2010.pdf" TargetMode="External" Id="rId42"/><Relationship Type="http://schemas.openxmlformats.org/officeDocument/2006/relationships/hyperlink" Target="https://www.ande.gov.py/documentos_contables/157/compilacion_estadistica_1990-2010.pdf" TargetMode="External" Id="rId43"/><Relationship Type="http://schemas.openxmlformats.org/officeDocument/2006/relationships/hyperlink" Target="https://www.ande.gov.py/documentos_contables/157/compilacion_estadistica_1990-2010.pdf" TargetMode="External" Id="rId44"/><Relationship Type="http://schemas.openxmlformats.org/officeDocument/2006/relationships/hyperlink" Target="https://www.ande.gov.py/documentos_contables/157/compilacion_estadistica_1990-2010.pdf" TargetMode="External" Id="rId45"/><Relationship Type="http://schemas.openxmlformats.org/officeDocument/2006/relationships/hyperlink" Target="https://www.ande.gov.py/documentos_contables/157/compilacion_estadistica_1990-2010.pdf" TargetMode="External" Id="rId46"/><Relationship Type="http://schemas.openxmlformats.org/officeDocument/2006/relationships/hyperlink" Target="https://www.ande.gov.py/documentos_contables/157/compilacion_estadistica_1990-2010.pdf" TargetMode="External" Id="rId47"/><Relationship Type="http://schemas.openxmlformats.org/officeDocument/2006/relationships/hyperlink" Target="https://www.ande.gov.py/documentos_contables/157/compilacion_estadistica_1990-2010.pdf" TargetMode="External" Id="rId48"/><Relationship Type="http://schemas.openxmlformats.org/officeDocument/2006/relationships/hyperlink" Target="https://www.ande.gov.py/documentos_contables/157/compilacion_estadistica_1990-2010.pdf" TargetMode="External" Id="rId49"/><Relationship Type="http://schemas.openxmlformats.org/officeDocument/2006/relationships/hyperlink" Target="https://www.ande.gov.py/documentos_contables/157/compilacion_estadistica_1990-2010.pdf" TargetMode="External" Id="rId50"/><Relationship Type="http://schemas.openxmlformats.org/officeDocument/2006/relationships/hyperlink" Target="https://www.ande.gov.py/documentos_contables/157/compilacion_estadistica_1990-2010.pdf" TargetMode="External" Id="rId51"/><Relationship Type="http://schemas.openxmlformats.org/officeDocument/2006/relationships/hyperlink" Target="https://www.ande.gov.py/documentos_contables/157/compilacion_estadistica_1990-2010.pdf" TargetMode="External" Id="rId52"/><Relationship Type="http://schemas.openxmlformats.org/officeDocument/2006/relationships/hyperlink" Target="https://www.ande.gov.py/documentos_contables/157/compilacion_estadistica_1990-2010.pdf" TargetMode="External" Id="rId53"/><Relationship Type="http://schemas.openxmlformats.org/officeDocument/2006/relationships/hyperlink" Target="https://www.ande.gov.py/documentos_contables/157/compilacion_estadistica_1990-2010.pdf" TargetMode="External" Id="rId54"/><Relationship Type="http://schemas.openxmlformats.org/officeDocument/2006/relationships/hyperlink" Target="https://www.ande.gov.py/documentos_contables/157/compilacion_estadistica_1990-2010.pdf" TargetMode="External" Id="rId55"/><Relationship Type="http://schemas.openxmlformats.org/officeDocument/2006/relationships/hyperlink" Target="https://www.ande.gov.py/documentos_contables/157/compilacion_estadistica_1990-2010.pdf" TargetMode="External" Id="rId56"/><Relationship Type="http://schemas.openxmlformats.org/officeDocument/2006/relationships/hyperlink" Target="https://www.ande.gov.py/documentos_contables/157/compilacion_estadistica_1990-2010.pdf" TargetMode="External" Id="rId57"/><Relationship Type="http://schemas.openxmlformats.org/officeDocument/2006/relationships/hyperlink" Target="https://www.ande.gov.py/documentos_contables/157/compilacion_estadistica_1990-2010.pdf" TargetMode="External" Id="rId58"/><Relationship Type="http://schemas.openxmlformats.org/officeDocument/2006/relationships/hyperlink" Target="https://www.ande.gov.py/documentos_contables/157/compilacion_estadistica_1990-2010.pdf" TargetMode="External" Id="rId59"/><Relationship Type="http://schemas.openxmlformats.org/officeDocument/2006/relationships/hyperlink" Target="https://www.ande.gov.py/documentos_contables/157/compilacion_estadistica_1990-2010.pdf" TargetMode="External" Id="rId60"/><Relationship Type="http://schemas.openxmlformats.org/officeDocument/2006/relationships/hyperlink" Target="https://www.ande.gov.py/documentos_contables/157/compilacion_estadistica_1990-2010.pdf" TargetMode="External" Id="rId61"/><Relationship Type="http://schemas.openxmlformats.org/officeDocument/2006/relationships/hyperlink" Target="https://www.ande.gov.py/documentos_contables/157/compilacion_estadistica_1990-2010.pdf" TargetMode="External" Id="rId62"/><Relationship Type="http://schemas.openxmlformats.org/officeDocument/2006/relationships/hyperlink" Target="https://www.ande.gov.py/documentos_contables/157/compilacion_estadistica_1990-2010.pdf" TargetMode="External" Id="rId63"/><Relationship Type="http://schemas.openxmlformats.org/officeDocument/2006/relationships/hyperlink" Target="https://www.ande.gov.py/documentos_contables/157/compilacion_estadistica_1990-2010.pdf" TargetMode="External" Id="rId64"/><Relationship Type="http://schemas.openxmlformats.org/officeDocument/2006/relationships/hyperlink" Target="https://www.ande.gov.py/documentos_contables/157/compilacion_estadistica_1990-2010.pdf" TargetMode="External" Id="rId65"/><Relationship Type="http://schemas.openxmlformats.org/officeDocument/2006/relationships/hyperlink" Target="https://www.ande.gov.py/documentos_contables/157/compilacion_estadistica_1990-2010.pdf" TargetMode="External" Id="rId66"/><Relationship Type="http://schemas.openxmlformats.org/officeDocument/2006/relationships/hyperlink" Target="https://www.ande.gov.py/documentos_contables/157/compilacion_estadistica_1990-2010.pdf" TargetMode="External" Id="rId67"/><Relationship Type="http://schemas.openxmlformats.org/officeDocument/2006/relationships/hyperlink" Target="https://www.ande.gov.py/documentos_contables/157/compilacion_estadistica_1990-2010.pdf" TargetMode="External" Id="rId68"/><Relationship Type="http://schemas.openxmlformats.org/officeDocument/2006/relationships/hyperlink" Target="https://www.ande.gov.py/documentos_contables/157/compilacion_estadistica_1990-2010.pdf" TargetMode="External" Id="rId69"/><Relationship Type="http://schemas.openxmlformats.org/officeDocument/2006/relationships/hyperlink" Target="https://www.ande.gov.py/documentos_contables/157/compilacion_estadistica_1990-2010.pdf" TargetMode="External" Id="rId70"/><Relationship Type="http://schemas.openxmlformats.org/officeDocument/2006/relationships/hyperlink" Target="https://www.ande.gov.py/documentos_contables/157/compilacion_estadistica_1990-2010.pdf" TargetMode="External" Id="rId71"/><Relationship Type="http://schemas.openxmlformats.org/officeDocument/2006/relationships/hyperlink" Target="https://www.ande.gov.py/documentos_contables/157/compilacion_estadistica_1990-2010.pdf" TargetMode="External" Id="rId72"/><Relationship Type="http://schemas.openxmlformats.org/officeDocument/2006/relationships/hyperlink" Target="https://www.ande.gov.py/documentos_contables/157/compilacion_estadistica_1990-2010.pdf" TargetMode="External" Id="rId73"/><Relationship Type="http://schemas.openxmlformats.org/officeDocument/2006/relationships/hyperlink" Target="https://www.ande.gov.py/documentos_contables/157/compilacion_estadistica_1990-2010.pdf" TargetMode="External" Id="rId74"/><Relationship Type="http://schemas.openxmlformats.org/officeDocument/2006/relationships/hyperlink" Target="https://www.ande.gov.py/documentos_contables/157/compilacion_estadistica_1990-2010.pdf" TargetMode="External" Id="rId75"/><Relationship Type="http://schemas.openxmlformats.org/officeDocument/2006/relationships/hyperlink" Target="https://www.ande.gov.py/documentos_contables/157/compilacion_estadistica_1990-2010.pdf" TargetMode="External" Id="rId76"/><Relationship Type="http://schemas.openxmlformats.org/officeDocument/2006/relationships/hyperlink" Target="https://www.ande.gov.py/documentos_contables/157/compilacion_estadistica_1990-2010.pdf" TargetMode="External" Id="rId77"/><Relationship Type="http://schemas.openxmlformats.org/officeDocument/2006/relationships/hyperlink" Target="https://www.ande.gov.py/documentos_contables/157/compilacion_estadistica_1990-2010.pdf" TargetMode="External" Id="rId78"/><Relationship Type="http://schemas.openxmlformats.org/officeDocument/2006/relationships/hyperlink" Target="https://www.ande.gov.py/documentos_contables/157/compilacion_estadistica_1990-2010.pdf" TargetMode="External" Id="rId79"/><Relationship Type="http://schemas.openxmlformats.org/officeDocument/2006/relationships/hyperlink" Target="https://www.ande.gov.py/documentos_contables/157/compilacion_estadistica_1990-2010.pdf" TargetMode="External" Id="rId80"/><Relationship Type="http://schemas.openxmlformats.org/officeDocument/2006/relationships/hyperlink" Target="https://www.ande.gov.py/documentos_contables/157/compilacion_estadistica_1990-2010.pdf" TargetMode="External" Id="rId81"/><Relationship Type="http://schemas.openxmlformats.org/officeDocument/2006/relationships/hyperlink" Target="https://www.ande.gov.py/documentos_contables/157/compilacion_estadistica_1990-2010.pdf" TargetMode="External" Id="rId82"/><Relationship Type="http://schemas.openxmlformats.org/officeDocument/2006/relationships/hyperlink" Target="https://www.ande.gov.py/documentos_contables/157/compilacion_estadistica_1990-2010.pdf" TargetMode="External" Id="rId83"/><Relationship Type="http://schemas.openxmlformats.org/officeDocument/2006/relationships/hyperlink" Target="https://www.ande.gov.py/documentos_contables/157/compilacion_estadistica_1990-2010.pdf" TargetMode="External" Id="rId84"/><Relationship Type="http://schemas.openxmlformats.org/officeDocument/2006/relationships/hyperlink" Target="https://www.ande.gov.py/documentos_contables/157/compilacion_estadistica_1990-2010.pdf" TargetMode="External" Id="rId85"/><Relationship Type="http://schemas.openxmlformats.org/officeDocument/2006/relationships/hyperlink" Target="https://www.ande.gov.py/documentos_contables/157/compilacion_estadistica_1990-2010.pdf" TargetMode="External" Id="rId86"/><Relationship Type="http://schemas.openxmlformats.org/officeDocument/2006/relationships/hyperlink" Target="https://www.ande.gov.py/documentos_contables/157/compilacion_estadistica_1990-2010.pdf" TargetMode="External" Id="rId87"/><Relationship Type="http://schemas.openxmlformats.org/officeDocument/2006/relationships/hyperlink" Target="https://www.ande.gov.py/documentos_contables/157/compilacion_estadistica_1990-2010.pdf" TargetMode="External" Id="rId88"/><Relationship Type="http://schemas.openxmlformats.org/officeDocument/2006/relationships/hyperlink" Target="https://www.ande.gov.py/documentos_contables/157/compilacion_estadistica_1990-2010.pdf" TargetMode="External" Id="rId89"/><Relationship Type="http://schemas.openxmlformats.org/officeDocument/2006/relationships/hyperlink" Target="https://www.ande.gov.py/documentos_contables/157/compilacion_estadistica_1990-2010.pdf" TargetMode="External" Id="rId90"/><Relationship Type="http://schemas.openxmlformats.org/officeDocument/2006/relationships/hyperlink" Target="https://www.ande.gov.py/documentos_contables/157/compilacion_estadistica_1990-2010.pdf" TargetMode="External" Id="rId91"/><Relationship Type="http://schemas.openxmlformats.org/officeDocument/2006/relationships/hyperlink" Target="https://www.ande.gov.py/documentos_contables/157/compilacion_estadistica_1990-2010.pdf" TargetMode="External" Id="rId92"/><Relationship Type="http://schemas.openxmlformats.org/officeDocument/2006/relationships/hyperlink" Target="https://www.ande.gov.py/documentos_contables/157/compilacion_estadistica_1990-2010.pdf" TargetMode="External" Id="rId93"/><Relationship Type="http://schemas.openxmlformats.org/officeDocument/2006/relationships/hyperlink" Target="https://www.ande.gov.py/documentos_contables/157/compilacion_estadistica_1990-2010.pdf" TargetMode="External" Id="rId94"/><Relationship Type="http://schemas.openxmlformats.org/officeDocument/2006/relationships/hyperlink" Target="https://www.ande.gov.py/documentos_contables/157/compilacion_estadistica_1990-2010.pdf" TargetMode="External" Id="rId95"/><Relationship Type="http://schemas.openxmlformats.org/officeDocument/2006/relationships/hyperlink" Target="https://www.ande.gov.py/documentos_contables/157/compilacion_estadistica_1990-2010.pdf" TargetMode="External" Id="rId96"/><Relationship Type="http://schemas.openxmlformats.org/officeDocument/2006/relationships/hyperlink" Target="https://www.ande.gov.py/documentos_contables/157/compilacion_estadistica_1990-2010.pdf" TargetMode="External" Id="rId97"/><Relationship Type="http://schemas.openxmlformats.org/officeDocument/2006/relationships/hyperlink" Target="https://www.ande.gov.py/documentos_contables/157/compilacion_estadistica_1990-2010.pdf" TargetMode="External" Id="rId98"/><Relationship Type="http://schemas.openxmlformats.org/officeDocument/2006/relationships/hyperlink" Target="https://www.ande.gov.py/documentos_contables/157/compilacion_estadistica_1990-2010.pdf" TargetMode="External" Id="rId99"/><Relationship Type="http://schemas.openxmlformats.org/officeDocument/2006/relationships/hyperlink" Target="https://www.ande.gov.py/documentos_contables/157/compilacion_estadistica_1990-2010.pdf" TargetMode="External" Id="rId100"/><Relationship Type="http://schemas.openxmlformats.org/officeDocument/2006/relationships/hyperlink" Target="https://www.ande.gov.py/documentos_contables/157/compilacion_estadistica_1990-2010.pdf" TargetMode="External" Id="rId101"/><Relationship Type="http://schemas.openxmlformats.org/officeDocument/2006/relationships/hyperlink" Target="https://www.ande.gov.py/documentos_contables/157/compilacion_estadistica_1990-2010.pdf" TargetMode="External" Id="rId102"/><Relationship Type="http://schemas.openxmlformats.org/officeDocument/2006/relationships/hyperlink" Target="https://www.ande.gov.py/documentos_contables/157/compilacion_estadistica_1990-2010.pdf" TargetMode="External" Id="rId103"/><Relationship Type="http://schemas.openxmlformats.org/officeDocument/2006/relationships/hyperlink" Target="https://www.ande.gov.py/documentos_contables/157/compilacion_estadistica_1990-2010.pdf" TargetMode="External" Id="rId104"/><Relationship Type="http://schemas.openxmlformats.org/officeDocument/2006/relationships/hyperlink" Target="https://www.ande.gov.py/documentos_contables/157/compilacion_estadistica_1990-2010.pdf" TargetMode="External" Id="rId105"/><Relationship Type="http://schemas.openxmlformats.org/officeDocument/2006/relationships/hyperlink" Target="https://www.ande.gov.py/documentos_contables/157/compilacion_estadistica_1990-2010.pdf" TargetMode="External" Id="rId106"/><Relationship Type="http://schemas.openxmlformats.org/officeDocument/2006/relationships/hyperlink" Target="https://www.ande.gov.py/documentos_contables/157/compilacion_estadistica_1990-2010.pdf" TargetMode="External" Id="rId107"/><Relationship Type="http://schemas.openxmlformats.org/officeDocument/2006/relationships/hyperlink" Target="https://www.ande.gov.py/documentos_contables/157/compilacion_estadistica_1990-2010.pdf" TargetMode="External" Id="rId108"/><Relationship Type="http://schemas.openxmlformats.org/officeDocument/2006/relationships/hyperlink" Target="https://www.ande.gov.py/documentos_contables/157/compilacion_estadistica_1990-2010.pdf" TargetMode="External" Id="rId109"/><Relationship Type="http://schemas.openxmlformats.org/officeDocument/2006/relationships/hyperlink" Target="https://www.ande.gov.py/documentos_contables/157/compilacion_estadistica_1990-2010.pdf" TargetMode="External" Id="rId110"/><Relationship Type="http://schemas.openxmlformats.org/officeDocument/2006/relationships/hyperlink" Target="https://www.ande.gov.py/documentos_contables/157/compilacion_estadistica_1990-2010.pdf" TargetMode="External" Id="rId111"/><Relationship Type="http://schemas.openxmlformats.org/officeDocument/2006/relationships/hyperlink" Target="https://www.ande.gov.py/documentos_contables/157/compilacion_estadistica_1990-2010.pdf" TargetMode="External" Id="rId112"/><Relationship Type="http://schemas.openxmlformats.org/officeDocument/2006/relationships/hyperlink" Target="https://www.ande.gov.py/documentos_contables/157/compilacion_estadistica_1990-2010.pdf" TargetMode="External" Id="rId113"/><Relationship Type="http://schemas.openxmlformats.org/officeDocument/2006/relationships/hyperlink" Target="https://www.ande.gov.py/documentos_contables/157/compilacion_estadistica_1990-2010.pdf" TargetMode="External" Id="rId114"/><Relationship Type="http://schemas.openxmlformats.org/officeDocument/2006/relationships/hyperlink" Target="https://www.ande.gov.py/documentos_contables/157/compilacion_estadistica_1990-2010.pdf" TargetMode="External" Id="rId115"/><Relationship Type="http://schemas.openxmlformats.org/officeDocument/2006/relationships/hyperlink" Target="https://www.ande.gov.py/documentos_contables/157/compilacion_estadistica_1990-2010.pdf" TargetMode="External" Id="rId116"/><Relationship Type="http://schemas.openxmlformats.org/officeDocument/2006/relationships/hyperlink" Target="https://www.ande.gov.py/documentos_contables/157/compilacion_estadistica_1990-2010.pdf" TargetMode="External" Id="rId117"/><Relationship Type="http://schemas.openxmlformats.org/officeDocument/2006/relationships/hyperlink" Target="https://www.ande.gov.py/finanzas/2.%20COMPILACION%20ESTADISTICA%202003-2023/ANDE%20-%20Compilacion%20Estadistica%202003-2023.pdf" TargetMode="External" Id="rId118"/><Relationship Type="http://schemas.openxmlformats.org/officeDocument/2006/relationships/hyperlink" Target="https://www.ande.gov.py/finanzas/2.%20COMPILACION%20ESTADISTICA%202003-2023/ANDE%20-%20Compilacion%20Estadistica%202003-2023.pdf" TargetMode="External" Id="rId119"/><Relationship Type="http://schemas.openxmlformats.org/officeDocument/2006/relationships/hyperlink" Target="https://www.ande.gov.py/finanzas/2.%20COMPILACION%20ESTADISTICA%202003-2023/ANDE%20-%20Compilacion%20Estadistica%202003-2023.pdf" TargetMode="External" Id="rId120"/><Relationship Type="http://schemas.openxmlformats.org/officeDocument/2006/relationships/hyperlink" Target="https://www.ande.gov.py/finanzas/2.%20COMPILACION%20ESTADISTICA%202003-2023/ANDE%20-%20Compilacion%20Estadistica%202003-2023.pdf" TargetMode="External" Id="rId121"/><Relationship Type="http://schemas.openxmlformats.org/officeDocument/2006/relationships/hyperlink" Target="https://www.ande.gov.py/finanzas/2.%20COMPILACION%20ESTADISTICA%202003-2023/ANDE%20-%20Compilacion%20Estadistica%202003-2023.pdf" TargetMode="External" Id="rId122"/><Relationship Type="http://schemas.openxmlformats.org/officeDocument/2006/relationships/hyperlink" Target="https://www.ande.gov.py/finanzas/2.%20COMPILACION%20ESTADISTICA%202003-2023/ANDE%20-%20Compilacion%20Estadistica%202003-2023.pdf" TargetMode="External" Id="rId123"/><Relationship Type="http://schemas.openxmlformats.org/officeDocument/2006/relationships/hyperlink" Target="https://www.ande.gov.py/finanzas/2.%20COMPILACION%20ESTADISTICA%202003-2023/ANDE%20-%20Compilacion%20Estadistica%202003-2023.pdf" TargetMode="External" Id="rId124"/><Relationship Type="http://schemas.openxmlformats.org/officeDocument/2006/relationships/hyperlink" Target="https://www.ande.gov.py/finanzas/2.%20COMPILACION%20ESTADISTICA%202003-2023/ANDE%20-%20Compilacion%20Estadistica%202003-2023.pdf" TargetMode="External" Id="rId125"/><Relationship Type="http://schemas.openxmlformats.org/officeDocument/2006/relationships/hyperlink" Target="https://www.ande.gov.py/finanzas/2.%20COMPILACION%20ESTADISTICA%202003-2023/ANDE%20-%20Compilacion%20Estadistica%202003-2023.pdf" TargetMode="External" Id="rId126"/><Relationship Type="http://schemas.openxmlformats.org/officeDocument/2006/relationships/hyperlink" Target="https://www.ande.gov.py/finanzas/2.%20COMPILACION%20ESTADISTICA%202003-2023/ANDE%20-%20Compilacion%20Estadistica%202003-2023.pdf" TargetMode="External" Id="rId127"/><Relationship Type="http://schemas.openxmlformats.org/officeDocument/2006/relationships/hyperlink" Target="https://www.ande.gov.py/finanzas/2.%20COMPILACION%20ESTADISTICA%202003-2023/ANDE%20-%20Compilacion%20Estadistica%202003-2023.pdf" TargetMode="External" Id="rId128"/><Relationship Type="http://schemas.openxmlformats.org/officeDocument/2006/relationships/hyperlink" Target="https://www.ande.gov.py/finanzas/2.%20COMPILACION%20ESTADISTICA%202003-2023/ANDE%20-%20Compilacion%20Estadistica%202003-2023.pdf" TargetMode="External" Id="rId129"/><Relationship Type="http://schemas.openxmlformats.org/officeDocument/2006/relationships/hyperlink" Target="https://www.ande.gov.py/finanzas/2.%20COMPILACION%20ESTADISTICA%202003-2023/ANDE%20-%20Compilacion%20Estadistica%202003-2023.pdf" TargetMode="External" Id="rId130"/><Relationship Type="http://schemas.openxmlformats.org/officeDocument/2006/relationships/hyperlink" Target="https://www.ande.gov.py/finanzas/2.%20COMPILACION%20ESTADISTICA%202003-2023/ANDE%20-%20Compilacion%20Estadistica%202003-2023.pdf" TargetMode="External" Id="rId131"/><Relationship Type="http://schemas.openxmlformats.org/officeDocument/2006/relationships/hyperlink" Target="https://www.ande.gov.py/finanzas/2.%20COMPILACION%20ESTADISTICA%202003-2023/ANDE%20-%20Compilacion%20Estadistica%202003-2023.pdf" TargetMode="External" Id="rId132"/><Relationship Type="http://schemas.openxmlformats.org/officeDocument/2006/relationships/hyperlink" Target="https://www.ande.gov.py/finanzas/2.%20COMPILACION%20ESTADISTICA%202003-2023/ANDE%20-%20Compilacion%20Estadistica%202003-2023.pdf" TargetMode="External" Id="rId133"/><Relationship Type="http://schemas.openxmlformats.org/officeDocument/2006/relationships/hyperlink" Target="https://www.ande.gov.py/finanzas/2.%20COMPILACION%20ESTADISTICA%202003-2023/ANDE%20-%20Compilacion%20Estadistica%202003-2023.pdf" TargetMode="External" Id="rId134"/><Relationship Type="http://schemas.openxmlformats.org/officeDocument/2006/relationships/hyperlink" Target="https://www.ande.gov.py/finanzas/2.%20COMPILACION%20ESTADISTICA%202003-2023/ANDE%20-%20Compilacion%20Estadistica%202003-2023.pdf" TargetMode="External" Id="rId135"/><Relationship Type="http://schemas.openxmlformats.org/officeDocument/2006/relationships/hyperlink" Target="https://www.ande.gov.py/finanzas/2.%20COMPILACION%20ESTADISTICA%202003-2023/ANDE%20-%20Compilacion%20Estadistica%202003-2023.pdf" TargetMode="External" Id="rId136"/><Relationship Type="http://schemas.openxmlformats.org/officeDocument/2006/relationships/hyperlink" Target="https://www.ande.gov.py/finanzas/2.%20COMPILACION%20ESTADISTICA%202003-2023/ANDE%20-%20Compilacion%20Estadistica%202003-2023.pdf" TargetMode="External" Id="rId137"/><Relationship Type="http://schemas.openxmlformats.org/officeDocument/2006/relationships/hyperlink" Target="https://www.ande.gov.py/finanzas/2.%20COMPILACION%20ESTADISTICA%202003-2023/ANDE%20-%20Compilacion%20Estadistica%202003-2023.pdf" TargetMode="External" Id="rId138"/><Relationship Type="http://schemas.openxmlformats.org/officeDocument/2006/relationships/hyperlink" Target="https://www.ande.gov.py/finanzas/2.%20COMPILACION%20ESTADISTICA%202003-2023/ANDE%20-%20Compilacion%20Estadistica%202003-2023.pdf" TargetMode="External" Id="rId139"/><Relationship Type="http://schemas.openxmlformats.org/officeDocument/2006/relationships/hyperlink" Target="https://www.ande.gov.py/finanzas/2.%20COMPILACION%20ESTADISTICA%202003-2023/ANDE%20-%20Compilacion%20Estadistica%202003-2023.pdf" TargetMode="External" Id="rId140"/><Relationship Type="http://schemas.openxmlformats.org/officeDocument/2006/relationships/hyperlink" Target="https://www.ande.gov.py/finanzas/2.%20COMPILACION%20ESTADISTICA%202003-2023/ANDE%20-%20Compilacion%20Estadistica%202003-2023.pdf" TargetMode="External" Id="rId141"/><Relationship Type="http://schemas.openxmlformats.org/officeDocument/2006/relationships/hyperlink" Target="https://www.ande.gov.py/finanzas/2.%20COMPILACION%20ESTADISTICA%202003-2023/ANDE%20-%20Compilacion%20Estadistica%202003-2023.pdf" TargetMode="External" Id="rId142"/><Relationship Type="http://schemas.openxmlformats.org/officeDocument/2006/relationships/hyperlink" Target="https://www.ande.gov.py/finanzas/2.%20COMPILACION%20ESTADISTICA%202003-2023/ANDE%20-%20Compilacion%20Estadistica%202003-2023.pdf" TargetMode="External" Id="rId143"/><Relationship Type="http://schemas.openxmlformats.org/officeDocument/2006/relationships/hyperlink" Target="https://www.ande.gov.py/finanzas/2.%20COMPILACION%20ESTADISTICA%202003-2023/ANDE%20-%20Compilacion%20Estadistica%202003-2023.pdf" TargetMode="External" Id="rId144"/><Relationship Type="http://schemas.openxmlformats.org/officeDocument/2006/relationships/hyperlink" Target="https://www.ande.gov.py/finanzas/2.%20COMPILACION%20ESTADISTICA%202003-2023/ANDE%20-%20Compilacion%20Estadistica%202003-2023.pdf" TargetMode="External" Id="rId145"/><Relationship Type="http://schemas.openxmlformats.org/officeDocument/2006/relationships/hyperlink" Target="https://www.ande.gov.py/finanzas/2.%20COMPILACION%20ESTADISTICA%202003-2023/ANDE%20-%20Compilacion%20Estadistica%202003-2023.pdf" TargetMode="External" Id="rId146"/><Relationship Type="http://schemas.openxmlformats.org/officeDocument/2006/relationships/hyperlink" Target="https://www.ande.gov.py/finanzas/2.%20COMPILACION%20ESTADISTICA%202003-2023/ANDE%20-%20Compilacion%20Estadistica%202003-2023.pdf" TargetMode="External" Id="rId147"/><Relationship Type="http://schemas.openxmlformats.org/officeDocument/2006/relationships/hyperlink" Target="https://www.ande.gov.py/finanzas/2.%20COMPILACION%20ESTADISTICA%202003-2023/ANDE%20-%20Compilacion%20Estadistica%202003-2023.pdf" TargetMode="External" Id="rId148"/><Relationship Type="http://schemas.openxmlformats.org/officeDocument/2006/relationships/hyperlink" Target="https://www.ande.gov.py/finanzas/2.%20COMPILACION%20ESTADISTICA%202003-2023/ANDE%20-%20Compilacion%20Estadistica%202003-2023.pdf" TargetMode="External" Id="rId149"/><Relationship Type="http://schemas.openxmlformats.org/officeDocument/2006/relationships/hyperlink" Target="https://www.ande.gov.py/finanzas/2.%20COMPILACION%20ESTADISTICA%202003-2023/ANDE%20-%20Compilacion%20Estadistica%202003-2023.pdf" TargetMode="External" Id="rId150"/><Relationship Type="http://schemas.openxmlformats.org/officeDocument/2006/relationships/hyperlink" Target="https://www.ande.gov.py/finanzas/2.%20COMPILACION%20ESTADISTICA%202003-2023/ANDE%20-%20Compilacion%20Estadistica%202003-2023.pdf" TargetMode="External" Id="rId151"/><Relationship Type="http://schemas.openxmlformats.org/officeDocument/2006/relationships/hyperlink" Target="https://www.ande.gov.py/finanzas/2.%20COMPILACION%20ESTADISTICA%202003-2023/ANDE%20-%20Compilacion%20Estadistica%202003-2023.pdf" TargetMode="External" Id="rId152"/><Relationship Type="http://schemas.openxmlformats.org/officeDocument/2006/relationships/hyperlink" Target="https://www.ande.gov.py/finanzas/2.%20COMPILACION%20ESTADISTICA%202003-2023/ANDE%20-%20Compilacion%20Estadistica%202003-2023.pdf" TargetMode="External" Id="rId153"/><Relationship Type="http://schemas.openxmlformats.org/officeDocument/2006/relationships/hyperlink" Target="https://www.ande.gov.py/finanzas/2.%20COMPILACION%20ESTADISTICA%202003-2023/ANDE%20-%20Compilacion%20Estadistica%202003-2023.pdf" TargetMode="External" Id="rId154"/><Relationship Type="http://schemas.openxmlformats.org/officeDocument/2006/relationships/hyperlink" Target="https://www.ande.gov.py/finanzas/2.%20COMPILACION%20ESTADISTICA%202003-2023/ANDE%20-%20Compilacion%20Estadistica%202003-2023.pdf" TargetMode="External" Id="rId155"/><Relationship Type="http://schemas.openxmlformats.org/officeDocument/2006/relationships/hyperlink" Target="https://www.ande.gov.py/finanzas/2.%20COMPILACION%20ESTADISTICA%202003-2023/ANDE%20-%20Compilacion%20Estadistica%202003-2023.pdf" TargetMode="External" Id="rId156"/><Relationship Type="http://schemas.openxmlformats.org/officeDocument/2006/relationships/hyperlink" Target="https://www.ande.gov.py/finanzas/2.%20COMPILACION%20ESTADISTICA%202003-2023/ANDE%20-%20Compilacion%20Estadistica%202003-2023.pdf" TargetMode="External" Id="rId157"/><Relationship Type="http://schemas.openxmlformats.org/officeDocument/2006/relationships/hyperlink" Target="https://www.ande.gov.py/finanzas/2.%20COMPILACION%20ESTADISTICA%202003-2023/ANDE%20-%20Compilacion%20Estadistica%202003-2023.pdf" TargetMode="External" Id="rId158"/><Relationship Type="http://schemas.openxmlformats.org/officeDocument/2006/relationships/hyperlink" Target="https://www.ande.gov.py/finanzas/2.%20COMPILACION%20ESTADISTICA%202003-2023/ANDE%20-%20Compilacion%20Estadistica%202003-2023.pdf" TargetMode="External" Id="rId159"/><Relationship Type="http://schemas.openxmlformats.org/officeDocument/2006/relationships/hyperlink" Target="https://www.ande.gov.py/finanzas/2.%20COMPILACION%20ESTADISTICA%202003-2023/ANDE%20-%20Compilacion%20Estadistica%202003-2023.pdf" TargetMode="External" Id="rId160"/><Relationship Type="http://schemas.openxmlformats.org/officeDocument/2006/relationships/hyperlink" Target="https://www.ande.gov.py/finanzas/2.%20COMPILACION%20ESTADISTICA%202003-2023/ANDE%20-%20Compilacion%20Estadistica%202003-2023.pdf" TargetMode="External" Id="rId161"/><Relationship Type="http://schemas.openxmlformats.org/officeDocument/2006/relationships/hyperlink" Target="https://www.ande.gov.py/finanzas/2.%20COMPILACION%20ESTADISTICA%202003-2023/ANDE%20-%20Compilacion%20Estadistica%202003-2023.pdf" TargetMode="External" Id="rId162"/><Relationship Type="http://schemas.openxmlformats.org/officeDocument/2006/relationships/hyperlink" Target="https://www.ande.gov.py/finanzas/2.%20COMPILACION%20ESTADISTICA%202003-2023/ANDE%20-%20Compilacion%20Estadistica%202003-2023.pdf" TargetMode="External" Id="rId163"/><Relationship Type="http://schemas.openxmlformats.org/officeDocument/2006/relationships/hyperlink" Target="https://www.ande.gov.py/finanzas/2.%20COMPILACION%20ESTADISTICA%202003-2023/ANDE%20-%20Compilacion%20Estadistica%202003-2023.pdf" TargetMode="External" Id="rId164"/><Relationship Type="http://schemas.openxmlformats.org/officeDocument/2006/relationships/hyperlink" Target="https://www.ande.gov.py/finanzas/2.%20COMPILACION%20ESTADISTICA%202003-2023/ANDE%20-%20Compilacion%20Estadistica%202003-2023.pdf" TargetMode="External" Id="rId165"/><Relationship Type="http://schemas.openxmlformats.org/officeDocument/2006/relationships/hyperlink" Target="https://www.ande.gov.py/finanzas/2.%20COMPILACION%20ESTADISTICA%202003-2023/ANDE%20-%20Compilacion%20Estadistica%202003-2023.pdf" TargetMode="External" Id="rId166"/><Relationship Type="http://schemas.openxmlformats.org/officeDocument/2006/relationships/hyperlink" Target="https://www.ande.gov.py/finanzas/2.%20COMPILACION%20ESTADISTICA%202003-2023/ANDE%20-%20Compilacion%20Estadistica%202003-2023.pdf" TargetMode="External" Id="rId167"/><Relationship Type="http://schemas.openxmlformats.org/officeDocument/2006/relationships/hyperlink" Target="https://www.ande.gov.py/finanzas/2.%20COMPILACION%20ESTADISTICA%202003-2023/ANDE%20-%20Compilacion%20Estadistica%202003-2023.pdf" TargetMode="External" Id="rId168"/><Relationship Type="http://schemas.openxmlformats.org/officeDocument/2006/relationships/hyperlink" Target="https://www.ande.gov.py/finanzas/2.%20COMPILACION%20ESTADISTICA%202003-2023/ANDE%20-%20Compilacion%20Estadistica%202003-2023.pdf" TargetMode="External" Id="rId169"/><Relationship Type="http://schemas.openxmlformats.org/officeDocument/2006/relationships/hyperlink" Target="https://www.ande.gov.py/finanzas/2.%20COMPILACION%20ESTADISTICA%202003-2023/ANDE%20-%20Compilacion%20Estadistica%202003-2023.pdf" TargetMode="External" Id="rId170"/><Relationship Type="http://schemas.openxmlformats.org/officeDocument/2006/relationships/hyperlink" Target="https://www.ande.gov.py/finanzas/2.%20COMPILACION%20ESTADISTICA%202003-2023/ANDE%20-%20Compilacion%20Estadistica%202003-2023.pdf" TargetMode="External" Id="rId171"/><Relationship Type="http://schemas.openxmlformats.org/officeDocument/2006/relationships/hyperlink" Target="https://www.ande.gov.py/finanzas/2.%20COMPILACION%20ESTADISTICA%202003-2023/ANDE%20-%20Compilacion%20Estadistica%202003-2023.pdf" TargetMode="External" Id="rId172"/><Relationship Type="http://schemas.openxmlformats.org/officeDocument/2006/relationships/hyperlink" Target="https://www.ande.gov.py/finanzas/2.%20COMPILACION%20ESTADISTICA%202003-2023/ANDE%20-%20Compilacion%20Estadistica%202003-2023.pdf" TargetMode="External" Id="rId173"/><Relationship Type="http://schemas.openxmlformats.org/officeDocument/2006/relationships/hyperlink" Target="https://www.ande.gov.py/finanzas/2.%20COMPILACION%20ESTADISTICA%202003-2023/ANDE%20-%20Compilacion%20Estadistica%202003-2023.pdf" TargetMode="External" Id="rId174"/><Relationship Type="http://schemas.openxmlformats.org/officeDocument/2006/relationships/hyperlink" Target="https://www.ande.gov.py/finanzas/2.%20COMPILACION%20ESTADISTICA%202003-2023/ANDE%20-%20Compilacion%20Estadistica%202003-2023.pdf" TargetMode="External" Id="rId175"/><Relationship Type="http://schemas.openxmlformats.org/officeDocument/2006/relationships/hyperlink" Target="https://www.ande.gov.py/finanzas/2.%20COMPILACION%20ESTADISTICA%202003-2023/ANDE%20-%20Compilacion%20Estadistica%202003-2023.pdf" TargetMode="External" Id="rId176"/><Relationship Type="http://schemas.openxmlformats.org/officeDocument/2006/relationships/hyperlink" Target="https://www.ande.gov.py/finanzas/2.%20COMPILACION%20ESTADISTICA%202003-2023/ANDE%20-%20Compilacion%20Estadistica%202003-2023.pdf" TargetMode="External" Id="rId177"/><Relationship Type="http://schemas.openxmlformats.org/officeDocument/2006/relationships/hyperlink" Target="https://www.ande.gov.py/finanzas/2.%20COMPILACION%20ESTADISTICA%202003-2023/ANDE%20-%20Compilacion%20Estadistica%202003-2023.pdf" TargetMode="External" Id="rId178"/><Relationship Type="http://schemas.openxmlformats.org/officeDocument/2006/relationships/hyperlink" Target="https://www.ande.gov.py/finanzas/2.%20COMPILACION%20ESTADISTICA%202003-2023/ANDE%20-%20Compilacion%20Estadistica%202003-2023.pdf" TargetMode="External" Id="rId179"/><Relationship Type="http://schemas.openxmlformats.org/officeDocument/2006/relationships/hyperlink" Target="https://www.ande.gov.py/finanzas/2.%20COMPILACION%20ESTADISTICA%202003-2023/ANDE%20-%20Compilacion%20Estadistica%202003-2023.pdf" TargetMode="External" Id="rId180"/><Relationship Type="http://schemas.openxmlformats.org/officeDocument/2006/relationships/hyperlink" Target="https://www.ande.gov.py/finanzas/2.%20COMPILACION%20ESTADISTICA%202003-2023/ANDE%20-%20Compilacion%20Estadistica%202003-2023.pdf" TargetMode="External" Id="rId181"/><Relationship Type="http://schemas.openxmlformats.org/officeDocument/2006/relationships/hyperlink" Target="https://www.ande.gov.py/finanzas/2.%20COMPILACION%20ESTADISTICA%202003-2023/ANDE%20-%20Compilacion%20Estadistica%202003-2023.pdf" TargetMode="External" Id="rId182"/><Relationship Type="http://schemas.openxmlformats.org/officeDocument/2006/relationships/hyperlink" Target="https://www.ande.gov.py/finanzas/2.%20COMPILACION%20ESTADISTICA%202003-2023/ANDE%20-%20Compilacion%20Estadistica%202003-2023.pdf" TargetMode="External" Id="rId183"/><Relationship Type="http://schemas.openxmlformats.org/officeDocument/2006/relationships/hyperlink" Target="https://www.ande.gov.py/finanzas/2.%20COMPILACION%20ESTADISTICA%202003-2023/ANDE%20-%20Compilacion%20Estadistica%202003-2023.pdf" TargetMode="External" Id="rId184"/><Relationship Type="http://schemas.openxmlformats.org/officeDocument/2006/relationships/hyperlink" Target="https://www.ande.gov.py/finanzas/2.%20COMPILACION%20ESTADISTICA%202003-2023/ANDE%20-%20Compilacion%20Estadistica%202003-2023.pdf" TargetMode="External" Id="rId185"/><Relationship Type="http://schemas.openxmlformats.org/officeDocument/2006/relationships/hyperlink" Target="https://www.ande.gov.py/finanzas/2.%20COMPILACION%20ESTADISTICA%202003-2023/ANDE%20-%20Compilacion%20Estadistica%202003-2023.pdf" TargetMode="External" Id="rId186"/><Relationship Type="http://schemas.openxmlformats.org/officeDocument/2006/relationships/hyperlink" Target="https://www.ande.gov.py/finanzas/2.%20COMPILACION%20ESTADISTICA%202003-2023/ANDE%20-%20Compilacion%20Estadistica%202003-2023.pdf" TargetMode="External" Id="rId187"/><Relationship Type="http://schemas.openxmlformats.org/officeDocument/2006/relationships/hyperlink" Target="https://www.ande.gov.py/finanzas/2.%20COMPILACION%20ESTADISTICA%202003-2023/ANDE%20-%20Compilacion%20Estadistica%202003-2023.pdf" TargetMode="External" Id="rId188"/><Relationship Type="http://schemas.openxmlformats.org/officeDocument/2006/relationships/hyperlink" Target="https://www.ande.gov.py/finanzas/2.%20COMPILACION%20ESTADISTICA%202003-2023/ANDE%20-%20Compilacion%20Estadistica%202003-2023.pdf" TargetMode="External" Id="rId189"/><Relationship Type="http://schemas.openxmlformats.org/officeDocument/2006/relationships/hyperlink" Target="https://www.ande.gov.py/finanzas/2.%20COMPILACION%20ESTADISTICA%202003-2023/ANDE%20-%20Compilacion%20Estadistica%202003-2023.pdf" TargetMode="External" Id="rId190"/><Relationship Type="http://schemas.openxmlformats.org/officeDocument/2006/relationships/hyperlink" Target="https://www.ande.gov.py/finanzas/2.%20COMPILACION%20ESTADISTICA%202003-2023/ANDE%20-%20Compilacion%20Estadistica%202003-2023.pdf" TargetMode="External" Id="rId191"/><Relationship Type="http://schemas.openxmlformats.org/officeDocument/2006/relationships/hyperlink" Target="https://www.ande.gov.py/finanzas/2.%20COMPILACION%20ESTADISTICA%202003-2023/ANDE%20-%20Compilacion%20Estadistica%202003-2023.pdf" TargetMode="External" Id="rId192"/><Relationship Type="http://schemas.openxmlformats.org/officeDocument/2006/relationships/hyperlink" Target="https://www.ande.gov.py/finanzas/2.%20COMPILACION%20ESTADISTICA%202003-2023/ANDE%20-%20Compilacion%20Estadistica%202003-2023.pdf" TargetMode="External" Id="rId193"/><Relationship Type="http://schemas.openxmlformats.org/officeDocument/2006/relationships/hyperlink" Target="https://www.ande.gov.py/finanzas/2.%20COMPILACION%20ESTADISTICA%202003-2023/ANDE%20-%20Compilacion%20Estadistica%202003-2023.pdf" TargetMode="External" Id="rId194"/><Relationship Type="http://schemas.openxmlformats.org/officeDocument/2006/relationships/hyperlink" Target="https://www.ande.gov.py/finanzas/2.%20COMPILACION%20ESTADISTICA%202003-2023/ANDE%20-%20Compilacion%20Estadistica%202003-2023.pdf" TargetMode="External" Id="rId195"/><Relationship Type="http://schemas.openxmlformats.org/officeDocument/2006/relationships/hyperlink" Target="https://www.ande.gov.py/finanzas/2.%20COMPILACION%20ESTADISTICA%202003-2023/ANDE%20-%20Compilacion%20Estadistica%202003-2023.pdf" TargetMode="External" Id="rId196"/><Relationship Type="http://schemas.openxmlformats.org/officeDocument/2006/relationships/hyperlink" Target="https://www.ande.gov.py/finanzas/2.%20COMPILACION%20ESTADISTICA%202003-2023/ANDE%20-%20Compilacion%20Estadistica%202003-2023.pdf" TargetMode="External" Id="rId197"/><Relationship Type="http://schemas.openxmlformats.org/officeDocument/2006/relationships/hyperlink" Target="https://www.ande.gov.py/finanzas/2.%20COMPILACION%20ESTADISTICA%202003-2023/ANDE%20-%20Compilacion%20Estadistica%202003-2023.pdf" TargetMode="External" Id="rId198"/><Relationship Type="http://schemas.openxmlformats.org/officeDocument/2006/relationships/hyperlink" Target="https://www.ande.gov.py/finanzas/2.%20COMPILACION%20ESTADISTICA%202003-2023/ANDE%20-%20Compilacion%20Estadistica%202003-2023.pdf" TargetMode="External" Id="rId199"/><Relationship Type="http://schemas.openxmlformats.org/officeDocument/2006/relationships/hyperlink" Target="https://www.ande.gov.py/finanzas/2.%20COMPILACION%20ESTADISTICA%202003-2023/ANDE%20-%20Compilacion%20Estadistica%202003-2023.pdf" TargetMode="External" Id="rId200"/><Relationship Type="http://schemas.openxmlformats.org/officeDocument/2006/relationships/hyperlink" Target="https://www.ande.gov.py/finanzas/2.%20COMPILACION%20ESTADISTICA%202003-2023/ANDE%20-%20Compilacion%20Estadistica%202003-2023.pdf" TargetMode="External" Id="rId201"/><Relationship Type="http://schemas.openxmlformats.org/officeDocument/2006/relationships/hyperlink" Target="https://www.ande.gov.py/finanzas/2.%20COMPILACION%20ESTADISTICA%202003-2023/ANDE%20-%20Compilacion%20Estadistica%202003-2023.pdf" TargetMode="External" Id="rId202"/><Relationship Type="http://schemas.openxmlformats.org/officeDocument/2006/relationships/hyperlink" Target="https://www.ande.gov.py/finanzas/2.%20COMPILACION%20ESTADISTICA%202003-2023/ANDE%20-%20Compilacion%20Estadistica%202003-2023.pdf" TargetMode="External" Id="rId203"/><Relationship Type="http://schemas.openxmlformats.org/officeDocument/2006/relationships/hyperlink" Target="https://www.ande.gov.py/finanzas/2.%20COMPILACION%20ESTADISTICA%202003-2023/ANDE%20-%20Compilacion%20Estadistica%202003-2023.pdf" TargetMode="External" Id="rId204"/><Relationship Type="http://schemas.openxmlformats.org/officeDocument/2006/relationships/hyperlink" Target="https://www.ande.gov.py/finanzas/2.%20COMPILACION%20ESTADISTICA%202003-2023/ANDE%20-%20Compilacion%20Estadistica%202003-2023.pdf" TargetMode="External" Id="rId205"/><Relationship Type="http://schemas.openxmlformats.org/officeDocument/2006/relationships/hyperlink" Target="https://www.ande.gov.py/finanzas/2.%20COMPILACION%20ESTADISTICA%202003-2023/ANDE%20-%20Compilacion%20Estadistica%202003-2023.pdf" TargetMode="External" Id="rId206"/><Relationship Type="http://schemas.openxmlformats.org/officeDocument/2006/relationships/hyperlink" Target="https://www.ande.gov.py/finanzas/2.%20COMPILACION%20ESTADISTICA%202003-2023/ANDE%20-%20Compilacion%20Estadistica%202003-2023.pdf" TargetMode="External" Id="rId207"/><Relationship Type="http://schemas.openxmlformats.org/officeDocument/2006/relationships/hyperlink" Target="https://www.ande.gov.py/finanzas/2.%20COMPILACION%20ESTADISTICA%202003-2023/ANDE%20-%20Compilacion%20Estadistica%202003-2023.pdf" TargetMode="External" Id="rId208"/><Relationship Type="http://schemas.openxmlformats.org/officeDocument/2006/relationships/hyperlink" Target="https://www.ande.gov.py/finanzas/2.%20COMPILACION%20ESTADISTICA%202003-2023/ANDE%20-%20Compilacion%20Estadistica%202003-2023.pdf" TargetMode="External" Id="rId209"/><Relationship Type="http://schemas.openxmlformats.org/officeDocument/2006/relationships/hyperlink" Target="https://www.ande.gov.py/finanzas/2.%20COMPILACION%20ESTADISTICA%202003-2023/ANDE%20-%20Compilacion%20Estadistica%202003-2023.pdf" TargetMode="External" Id="rId210"/><Relationship Type="http://schemas.openxmlformats.org/officeDocument/2006/relationships/hyperlink" Target="https://www.ande.gov.py/finanzas/2.%20COMPILACION%20ESTADISTICA%202003-2023/ANDE%20-%20Compilacion%20Estadistica%202003-2023.pdf" TargetMode="External" Id="rId211"/><Relationship Type="http://schemas.openxmlformats.org/officeDocument/2006/relationships/hyperlink" Target="https://www.ande.gov.py/finanzas/2.%20COMPILACION%20ESTADISTICA%202003-2023/ANDE%20-%20Compilacion%20Estadistica%202003-2023.pdf" TargetMode="External" Id="rId212"/><Relationship Type="http://schemas.openxmlformats.org/officeDocument/2006/relationships/hyperlink" Target="https://www.ande.gov.py/finanzas/2.%20COMPILACION%20ESTADISTICA%202003-2023/ANDE%20-%20Compilacion%20Estadistica%202003-2023.pdf" TargetMode="External" Id="rId213"/><Relationship Type="http://schemas.openxmlformats.org/officeDocument/2006/relationships/hyperlink" Target="https://www.ande.gov.py/finanzas/2.%20COMPILACION%20ESTADISTICA%202003-2023/ANDE%20-%20Compilacion%20Estadistica%202003-2023.pdf" TargetMode="External" Id="rId214"/><Relationship Type="http://schemas.openxmlformats.org/officeDocument/2006/relationships/hyperlink" Target="https://www.ande.gov.py/finanzas/2.%20COMPILACION%20ESTADISTICA%202003-2023/ANDE%20-%20Compilacion%20Estadistica%202003-2023.pdf" TargetMode="External" Id="rId215"/><Relationship Type="http://schemas.openxmlformats.org/officeDocument/2006/relationships/hyperlink" Target="https://www.ande.gov.py/finanzas/2.%20COMPILACION%20ESTADISTICA%202003-2023/ANDE%20-%20Compilacion%20Estadistica%202003-2023.pdf" TargetMode="External" Id="rId216"/><Relationship Type="http://schemas.openxmlformats.org/officeDocument/2006/relationships/hyperlink" Target="https://www.ande.gov.py/finanzas/2.%20COMPILACION%20ESTADISTICA%202003-2023/ANDE%20-%20Compilacion%20Estadistica%202003-2023.pdf" TargetMode="External" Id="rId217"/><Relationship Type="http://schemas.openxmlformats.org/officeDocument/2006/relationships/hyperlink" Target="https://www.ande.gov.py/finanzas/2.%20COMPILACION%20ESTADISTICA%202003-2023/ANDE%20-%20Compilacion%20Estadistica%202003-2023.pdf" TargetMode="External" Id="rId218"/><Relationship Type="http://schemas.openxmlformats.org/officeDocument/2006/relationships/hyperlink" Target="https://www.ande.gov.py/finanzas/2.%20COMPILACION%20ESTADISTICA%202003-2023/ANDE%20-%20Compilacion%20Estadistica%202003-2023.pdf" TargetMode="External" Id="rId219"/><Relationship Type="http://schemas.openxmlformats.org/officeDocument/2006/relationships/hyperlink" Target="https://www.ande.gov.py/finanzas/2.%20COMPILACION%20ESTADISTICA%202003-2023/ANDE%20-%20Compilacion%20Estadistica%202003-2023.pdf" TargetMode="External" Id="rId220"/><Relationship Type="http://schemas.openxmlformats.org/officeDocument/2006/relationships/hyperlink" Target="https://www.ande.gov.py/finanzas/2.%20COMPILACION%20ESTADISTICA%202003-2023/ANDE%20-%20Compilacion%20Estadistica%202003-2023.pdf" TargetMode="External" Id="rId221"/><Relationship Type="http://schemas.openxmlformats.org/officeDocument/2006/relationships/hyperlink" Target="https://www.ande.gov.py/finanzas/2.%20COMPILACION%20ESTADISTICA%202003-2023/ANDE%20-%20Compilacion%20Estadistica%202003-2023.pdf" TargetMode="External" Id="rId222"/><Relationship Type="http://schemas.openxmlformats.org/officeDocument/2006/relationships/hyperlink" Target="https://www.ande.gov.py/finanzas/2.%20COMPILACION%20ESTADISTICA%202003-2023/ANDE%20-%20Compilacion%20Estadistica%202003-2023.pdf" TargetMode="External" Id="rId223"/><Relationship Type="http://schemas.openxmlformats.org/officeDocument/2006/relationships/hyperlink" Target="https://www.ande.gov.py/finanzas/2.%20COMPILACION%20ESTADISTICA%202003-2023/ANDE%20-%20Compilacion%20Estadistica%202003-2023.pdf" TargetMode="External" Id="rId224"/><Relationship Type="http://schemas.openxmlformats.org/officeDocument/2006/relationships/hyperlink" Target="https://www.ande.gov.py/finanzas/2.%20COMPILACION%20ESTADISTICA%202003-2023/ANDE%20-%20Compilacion%20Estadistica%202003-2023.pdf" TargetMode="External" Id="rId225"/><Relationship Type="http://schemas.openxmlformats.org/officeDocument/2006/relationships/hyperlink" Target="https://www.ande.gov.py/finanzas/2.%20COMPILACION%20ESTADISTICA%202003-2023/ANDE%20-%20Compilacion%20Estadistica%202003-2023.pdf" TargetMode="External" Id="rId226"/><Relationship Type="http://schemas.openxmlformats.org/officeDocument/2006/relationships/hyperlink" Target="https://www.ande.gov.py/finanzas/2.%20COMPILACION%20ESTADISTICA%202003-2023/ANDE%20-%20Compilacion%20Estadistica%202003-2023.pdf" TargetMode="External" Id="rId227"/><Relationship Type="http://schemas.openxmlformats.org/officeDocument/2006/relationships/hyperlink" Target="https://www.ande.gov.py/finanzas/2.%20COMPILACION%20ESTADISTICA%202003-2023/ANDE%20-%20Compilacion%20Estadistica%202003-2023.pdf" TargetMode="External" Id="rId228"/><Relationship Type="http://schemas.openxmlformats.org/officeDocument/2006/relationships/hyperlink" Target="https://www.ande.gov.py/finanzas/2.%20COMPILACION%20ESTADISTICA%202003-2023/ANDE%20-%20Compilacion%20Estadistica%202003-2023.pdf" TargetMode="External" Id="rId229"/><Relationship Type="http://schemas.openxmlformats.org/officeDocument/2006/relationships/hyperlink" Target="https://www.ande.gov.py/finanzas/2.%20COMPILACION%20ESTADISTICA%202003-2023/ANDE%20-%20Compilacion%20Estadistica%202003-2023.pdf" TargetMode="External" Id="rId230"/><Relationship Type="http://schemas.openxmlformats.org/officeDocument/2006/relationships/hyperlink" Target="https://www.ande.gov.py/finanzas/2.%20COMPILACION%20ESTADISTICA%202003-2023/ANDE%20-%20Compilacion%20Estadistica%202003-2023.pdf" TargetMode="External" Id="rId231"/><Relationship Type="http://schemas.openxmlformats.org/officeDocument/2006/relationships/hyperlink" Target="https://www.ande.gov.py/finanzas/2.%20COMPILACION%20ESTADISTICA%202003-2023/ANDE%20-%20Compilacion%20Estadistica%202003-2023.pdf" TargetMode="External" Id="rId232"/><Relationship Type="http://schemas.openxmlformats.org/officeDocument/2006/relationships/hyperlink" Target="https://www.ande.gov.py/finanzas/2.%20COMPILACION%20ESTADISTICA%202003-2023/ANDE%20-%20Compilacion%20Estadistica%202003-2023.pdf" TargetMode="External" Id="rId233"/><Relationship Type="http://schemas.openxmlformats.org/officeDocument/2006/relationships/hyperlink" Target="https://www.ande.gov.py/finanzas/2.%20COMPILACION%20ESTADISTICA%202003-2023/ANDE%20-%20Compilacion%20Estadistica%202003-2023.pdf" TargetMode="External" Id="rId234"/><Relationship Type="http://schemas.openxmlformats.org/officeDocument/2006/relationships/hyperlink" Target="https://www.ande.gov.py/finanzas/2.%20COMPILACION%20ESTADISTICA%202003-2023/ANDE%20-%20Compilacion%20Estadistica%202003-2023.pdf" TargetMode="External" Id="rId235"/><Relationship Type="http://schemas.openxmlformats.org/officeDocument/2006/relationships/hyperlink" Target="https://www.ande.gov.py/finanzas/2.%20COMPILACION%20ESTADISTICA%202003-2023/ANDE%20-%20Compilacion%20Estadistica%202003-2023.pdf" TargetMode="External" Id="rId236"/><Relationship Type="http://schemas.openxmlformats.org/officeDocument/2006/relationships/hyperlink" Target="https://www.ande.gov.py/finanzas/2.%20COMPILACION%20ESTADISTICA%202003-2023/ANDE%20-%20Compilacion%20Estadistica%202003-2023.pdf" TargetMode="External" Id="rId237"/><Relationship Type="http://schemas.openxmlformats.org/officeDocument/2006/relationships/hyperlink" Target="https://www.ande.gov.py/finanzas/2.%20COMPILACION%20ESTADISTICA%202003-2023/ANDE%20-%20Compilacion%20Estadistica%202003-2023.pdf" TargetMode="External" Id="rId238"/><Relationship Type="http://schemas.openxmlformats.org/officeDocument/2006/relationships/hyperlink" Target="https://www.ande.gov.py/finanzas/2.%20COMPILACION%20ESTADISTICA%202003-2023/ANDE%20-%20Compilacion%20Estadistica%202003-2023.pdf" TargetMode="External" Id="rId239"/><Relationship Type="http://schemas.openxmlformats.org/officeDocument/2006/relationships/hyperlink" Target="https://www.ande.gov.py/finanzas/2.%20COMPILACION%20ESTADISTICA%202003-2023/ANDE%20-%20Compilacion%20Estadistica%202003-2023.pdf" TargetMode="External" Id="rId240"/><Relationship Type="http://schemas.openxmlformats.org/officeDocument/2006/relationships/hyperlink" Target="https://www.ande.gov.py/finanzas/2.%20COMPILACION%20ESTADISTICA%202003-2023/ANDE%20-%20Compilacion%20Estadistica%202003-2023.pdf" TargetMode="External" Id="rId241"/><Relationship Type="http://schemas.openxmlformats.org/officeDocument/2006/relationships/hyperlink" Target="https://www.ande.gov.py/finanzas/2.%20COMPILACION%20ESTADISTICA%202003-2023/ANDE%20-%20Compilacion%20Estadistica%202003-2023.pdf" TargetMode="External" Id="rId242"/><Relationship Type="http://schemas.openxmlformats.org/officeDocument/2006/relationships/hyperlink" Target="https://www.ande.gov.py/finanzas/2.%20COMPILACION%20ESTADISTICA%202003-2023/ANDE%20-%20Compilacion%20Estadistica%202003-2023.pdf" TargetMode="External" Id="rId243"/><Relationship Type="http://schemas.openxmlformats.org/officeDocument/2006/relationships/hyperlink" Target="https://www.ande.gov.py/finanzas/2.%20COMPILACION%20ESTADISTICA%202003-2023/ANDE%20-%20Compilacion%20Estadistica%202003-2023.pdf" TargetMode="External" Id="rId244"/><Relationship Type="http://schemas.openxmlformats.org/officeDocument/2006/relationships/hyperlink" Target="https://www.ande.gov.py/finanzas/2.%20COMPILACION%20ESTADISTICA%202003-2023/ANDE%20-%20Compilacion%20Estadistica%202003-2023.pdf" TargetMode="External" Id="rId245"/><Relationship Type="http://schemas.openxmlformats.org/officeDocument/2006/relationships/hyperlink" Target="https://www.ande.gov.py/finanzas/2.%20COMPILACION%20ESTADISTICA%202003-2023/ANDE%20-%20Compilacion%20Estadistica%202003-2023.pdf" TargetMode="External" Id="rId246"/><Relationship Type="http://schemas.openxmlformats.org/officeDocument/2006/relationships/hyperlink" Target="https://www.ande.gov.py/finanzas/2.%20COMPILACION%20ESTADISTICA%202003-2023/ANDE%20-%20Compilacion%20Estadistica%202003-2023.pdf" TargetMode="External" Id="rId247"/><Relationship Type="http://schemas.openxmlformats.org/officeDocument/2006/relationships/hyperlink" Target="https://www.ande.gov.py/finanzas/2.%20COMPILACION%20ESTADISTICA%202003-2023/ANDE%20-%20Compilacion%20Estadistica%202003-2023.pdf" TargetMode="External" Id="rId248"/><Relationship Type="http://schemas.openxmlformats.org/officeDocument/2006/relationships/hyperlink" Target="https://www.ande.gov.py/finanzas/2.%20COMPILACION%20ESTADISTICA%202003-2023/ANDE%20-%20Compilacion%20Estadistica%202003-2023.pdf" TargetMode="External" Id="rId249"/><Relationship Type="http://schemas.openxmlformats.org/officeDocument/2006/relationships/hyperlink" Target="https://www.ande.gov.py/finanzas/2.%20COMPILACION%20ESTADISTICA%202003-2023/ANDE%20-%20Compilacion%20Estadistica%202003-2023.pdf" TargetMode="External" Id="rId250"/><Relationship Type="http://schemas.openxmlformats.org/officeDocument/2006/relationships/hyperlink" Target="https://www.ande.gov.py/finanzas/2.%20COMPILACION%20ESTADISTICA%202003-2023/ANDE%20-%20Compilacion%20Estadistica%202003-2023.pdf" TargetMode="External" Id="rId251"/><Relationship Type="http://schemas.openxmlformats.org/officeDocument/2006/relationships/hyperlink" Target="https://www.ande.gov.py/finanzas/2.%20COMPILACION%20ESTADISTICA%202003-2023/ANDE%20-%20Compilacion%20Estadistica%202003-2023.pdf" TargetMode="External" Id="rId252"/><Relationship Type="http://schemas.openxmlformats.org/officeDocument/2006/relationships/hyperlink" Target="https://www.ande.gov.py/finanzas/2.%20COMPILACION%20ESTADISTICA%202003-2023/ANDE%20-%20Compilacion%20Estadistica%202003-2023.pdf" TargetMode="External" Id="rId253"/><Relationship Type="http://schemas.openxmlformats.org/officeDocument/2006/relationships/hyperlink" Target="https://www.ande.gov.py/finanzas/2.%20COMPILACION%20ESTADISTICA%202003-2023/ANDE%20-%20Compilacion%20Estadistica%202003-2023.pdf" TargetMode="External" Id="rId254"/><Relationship Type="http://schemas.openxmlformats.org/officeDocument/2006/relationships/hyperlink" Target="https://www.ande.gov.py/finanzas/2.%20COMPILACION%20ESTADISTICA%202003-2023/ANDE%20-%20Compilacion%20Estadistica%202003-2023.pdf" TargetMode="External" Id="rId255"/><Relationship Type="http://schemas.openxmlformats.org/officeDocument/2006/relationships/hyperlink" Target="https://www.ande.gov.py/finanzas/2.%20COMPILACION%20ESTADISTICA%202003-2023/ANDE%20-%20Compilacion%20Estadistica%202003-2023.pdf" TargetMode="External" Id="rId256"/><Relationship Type="http://schemas.openxmlformats.org/officeDocument/2006/relationships/hyperlink" Target="https://www.ande.gov.py/finanzas/2.%20COMPILACION%20ESTADISTICA%202003-2023/ANDE%20-%20Compilacion%20Estadistica%202003-2023.pdf" TargetMode="External" Id="rId257"/><Relationship Type="http://schemas.openxmlformats.org/officeDocument/2006/relationships/hyperlink" Target="https://www.ande.gov.py/finanzas/2.%20COMPILACION%20ESTADISTICA%202003-2023/ANDE%20-%20Compilacion%20Estadistica%202003-2023.pdf" TargetMode="External" Id="rId258"/><Relationship Type="http://schemas.openxmlformats.org/officeDocument/2006/relationships/hyperlink" Target="https://www.ande.gov.py/finanzas/2.%20COMPILACION%20ESTADISTICA%202003-2023/ANDE%20-%20Compilacion%20Estadistica%202003-2023.pdf" TargetMode="External" Id="rId259"/><Relationship Type="http://schemas.openxmlformats.org/officeDocument/2006/relationships/hyperlink" Target="https://www.ande.gov.py/finanzas/2.%20COMPILACION%20ESTADISTICA%202003-2023/ANDE%20-%20Compilacion%20Estadistica%202003-2023.pdf" TargetMode="External" Id="rId260"/><Relationship Type="http://schemas.openxmlformats.org/officeDocument/2006/relationships/hyperlink" Target="https://www.ande.gov.py/finanzas/2.%20COMPILACION%20ESTADISTICA%202003-2023/ANDE%20-%20Compilacion%20Estadistica%202003-2023.pdf" TargetMode="External" Id="rId261"/><Relationship Type="http://schemas.openxmlformats.org/officeDocument/2006/relationships/hyperlink" Target="https://www.ande.gov.py/finanzas/2.%20COMPILACION%20ESTADISTICA%202003-2023/ANDE%20-%20Compilacion%20Estadistica%202003-2023.pdf" TargetMode="External" Id="rId262"/><Relationship Type="http://schemas.openxmlformats.org/officeDocument/2006/relationships/hyperlink" Target="https://www.ande.gov.py/finanzas/2.%20COMPILACION%20ESTADISTICA%202003-2023/ANDE%20-%20Compilacion%20Estadistica%202003-2023.pdf" TargetMode="External" Id="rId263"/><Relationship Type="http://schemas.openxmlformats.org/officeDocument/2006/relationships/hyperlink" Target="https://www.ande.gov.py/finanzas/2.%20COMPILACION%20ESTADISTICA%202003-2023/ANDE%20-%20Compilacion%20Estadistica%202003-2023.pdf" TargetMode="External" Id="rId264"/><Relationship Type="http://schemas.openxmlformats.org/officeDocument/2006/relationships/hyperlink" Target="https://www.ande.gov.py/finanzas/2.%20COMPILACION%20ESTADISTICA%202003-2023/ANDE%20-%20Compilacion%20Estadistica%202003-2023.pdf" TargetMode="External" Id="rId265"/><Relationship Type="http://schemas.openxmlformats.org/officeDocument/2006/relationships/hyperlink" Target="https://www.ande.gov.py/finanzas/2.%20COMPILACION%20ESTADISTICA%202003-2023/ANDE%20-%20Compilacion%20Estadistica%202003-2023.pdf" TargetMode="External" Id="rId266"/><Relationship Type="http://schemas.openxmlformats.org/officeDocument/2006/relationships/hyperlink" Target="https://www.ande.gov.py/finanzas/2.%20COMPILACION%20ESTADISTICA%202003-2023/ANDE%20-%20Compilacion%20Estadistica%202003-2023.pdf" TargetMode="External" Id="rId267"/><Relationship Type="http://schemas.openxmlformats.org/officeDocument/2006/relationships/hyperlink" Target="https://www.ande.gov.py/finanzas/2.%20COMPILACION%20ESTADISTICA%202003-2023/ANDE%20-%20Compilacion%20Estadistica%202003-2023.pdf" TargetMode="External" Id="rId268"/><Relationship Type="http://schemas.openxmlformats.org/officeDocument/2006/relationships/hyperlink" Target="https://www.ande.gov.py/finanzas/2.%20COMPILACION%20ESTADISTICA%202003-2023/ANDE%20-%20Compilacion%20Estadistica%202003-2023.pdf" TargetMode="External" Id="rId269"/><Relationship Type="http://schemas.openxmlformats.org/officeDocument/2006/relationships/hyperlink" Target="https://www.ande.gov.py/finanzas/2.%20COMPILACION%20ESTADISTICA%202003-2023/ANDE%20-%20Compilacion%20Estadistica%202003-2023.pdf" TargetMode="External" Id="rId270"/><Relationship Type="http://schemas.openxmlformats.org/officeDocument/2006/relationships/hyperlink" Target="https://www.ande.gov.py/finanzas/2.%20COMPILACION%20ESTADISTICA%202003-2023/ANDE%20-%20Compilacion%20Estadistica%202003-2023.pdf" TargetMode="External" Id="rId271"/><Relationship Type="http://schemas.openxmlformats.org/officeDocument/2006/relationships/hyperlink" Target="https://www.ande.gov.py/finanzas/2.%20COMPILACION%20ESTADISTICA%202003-2023/ANDE%20-%20Compilacion%20Estadistica%202003-2023.pdf" TargetMode="External" Id="rId272"/><Relationship Type="http://schemas.openxmlformats.org/officeDocument/2006/relationships/hyperlink" Target="https://www.ande.gov.py/finanzas/2.%20COMPILACION%20ESTADISTICA%202003-2023/ANDE%20-%20Compilacion%20Estadistica%202003-2023.pdf" TargetMode="External" Id="rId273"/><Relationship Type="http://schemas.openxmlformats.org/officeDocument/2006/relationships/hyperlink" Target="https://www.ande.gov.py/finanzas/2.%20COMPILACION%20ESTADISTICA%202003-2023/ANDE%20-%20Compilacion%20Estadistica%202003-2023.pdf" TargetMode="External" Id="rId274"/><Relationship Type="http://schemas.openxmlformats.org/officeDocument/2006/relationships/hyperlink" Target="https://www.ande.gov.py/finanzas/2.%20COMPILACION%20ESTADISTICA%202003-2023/ANDE%20-%20Compilacion%20Estadistica%202003-2023.pdf" TargetMode="External" Id="rId275"/><Relationship Type="http://schemas.openxmlformats.org/officeDocument/2006/relationships/hyperlink" Target="https://www.ande.gov.py/finanzas/2.%20COMPILACION%20ESTADISTICA%202003-2023/ANDE%20-%20Compilacion%20Estadistica%202003-2023.pdf" TargetMode="External" Id="rId276"/><Relationship Type="http://schemas.openxmlformats.org/officeDocument/2006/relationships/hyperlink" Target="https://www.ande.gov.py/finanzas/2.%20COMPILACION%20ESTADISTICA%202003-2023/ANDE%20-%20Compilacion%20Estadistica%202003-2023.pdf" TargetMode="External" Id="rId277"/><Relationship Type="http://schemas.openxmlformats.org/officeDocument/2006/relationships/hyperlink" Target="https://www.ande.gov.py/finanzas/2.%20COMPILACION%20ESTADISTICA%202003-2023/ANDE%20-%20Compilacion%20Estadistica%202003-2023.pdf" TargetMode="External" Id="rId278"/><Relationship Type="http://schemas.openxmlformats.org/officeDocument/2006/relationships/hyperlink" Target="https://www.ande.gov.py/finanzas/2.%20COMPILACION%20ESTADISTICA%202003-2023/ANDE%20-%20Compilacion%20Estadistica%202003-2023.pdf" TargetMode="External" Id="rId279"/><Relationship Type="http://schemas.openxmlformats.org/officeDocument/2006/relationships/hyperlink" Target="https://www.ande.gov.py/finanzas/2.%20COMPILACION%20ESTADISTICA%202003-2023/ANDE%20-%20Compilacion%20Estadistica%202003-2023.pdf" TargetMode="External" Id="rId280"/><Relationship Type="http://schemas.openxmlformats.org/officeDocument/2006/relationships/hyperlink" Target="https://www.ande.gov.py/finanzas/2.%20COMPILACION%20ESTADISTICA%202003-2023/ANDE%20-%20Compilacion%20Estadistica%202003-2023.pdf" TargetMode="External" Id="rId281"/><Relationship Type="http://schemas.openxmlformats.org/officeDocument/2006/relationships/hyperlink" Target="https://www.ande.gov.py/finanzas/2.%20COMPILACION%20ESTADISTICA%202003-2023/ANDE%20-%20Compilacion%20Estadistica%202003-2023.pdf" TargetMode="External" Id="rId282"/><Relationship Type="http://schemas.openxmlformats.org/officeDocument/2006/relationships/hyperlink" Target="https://www.ande.gov.py/finanzas/2.%20COMPILACION%20ESTADISTICA%202003-2023/ANDE%20-%20Compilacion%20Estadistica%202003-2023.pdf" TargetMode="External" Id="rId283"/><Relationship Type="http://schemas.openxmlformats.org/officeDocument/2006/relationships/hyperlink" Target="https://www.ande.gov.py/finanzas/2.%20COMPILACION%20ESTADISTICA%202003-2023/ANDE%20-%20Compilacion%20Estadistica%202003-2023.pdf" TargetMode="External" Id="rId284"/><Relationship Type="http://schemas.openxmlformats.org/officeDocument/2006/relationships/hyperlink" Target="https://www.ande.gov.py/finanzas/2.%20COMPILACION%20ESTADISTICA%202003-2023/ANDE%20-%20Compilacion%20Estadistica%202003-2023.pdf" TargetMode="External" Id="rId285"/><Relationship Type="http://schemas.openxmlformats.org/officeDocument/2006/relationships/hyperlink" Target="https://www.itaipu.gov.py/" TargetMode="External" Id="rId286"/><Relationship Type="http://schemas.openxmlformats.org/officeDocument/2006/relationships/hyperlink" Target="https://www.itaipu.gov.py/noticias/publicacoes/2023-2" TargetMode="External" Id="rId287"/><Relationship Type="http://schemas.openxmlformats.org/officeDocument/2006/relationships/hyperlink" Target="https://www.itaipu.gov.py/noticias/publicacoes/2023-2" TargetMode="External" Id="rId288"/><Relationship Type="http://schemas.openxmlformats.org/officeDocument/2006/relationships/hyperlink" Target="https://www.itaipu.gov.py/noticias/publicacoes/2023-2" TargetMode="External" Id="rId289"/><Relationship Type="http://schemas.openxmlformats.org/officeDocument/2006/relationships/hyperlink" Target="https://www.itaipu.gov.py/" TargetMode="External" Id="rId290"/><Relationship Type="http://schemas.openxmlformats.org/officeDocument/2006/relationships/hyperlink" Target="https://www.bacn.gov.py/leyes-paraguayas/8397/ley-n-6135-aprueba-el-acuerdo-por-notas-reversales-n-r-n-2-17-para-el-ordenamiento-econ-mico-y-financiero-de-la-entidad-binacional-yacyret-entre-la-rep-blica-del-paraguay-y-la-rep-blica-argentina" TargetMode="External" Id="rId291"/><Relationship Type="http://schemas.openxmlformats.org/officeDocument/2006/relationships/hyperlink" Target="https://www.eby.gov.py/wp-content/uploads/2025/05/Acuerdo-19-05-2025.pdf" TargetMode="External" Id="rId292"/><Relationship Type="http://schemas.openxmlformats.org/officeDocument/2006/relationships/hyperlink" Target="https://www.abc.com.py/economia/2026/01/20/en-2025-pagaron-al-paraguay-us-15-por-cada-1000-kwh-que-cedio-al-brasil/" TargetMode="External" Id="rId293"/><Relationship Type="http://schemas.openxmlformats.org/officeDocument/2006/relationships/hyperlink" Target="https://www.abc.com.py/economia/2026/01/20/en-2025-pagaron-al-paraguay-us-15-por-cada-1000-kwh-que-cedio-al-brasil/" TargetMode="External" Id="rId294"/><Relationship Type="http://schemas.openxmlformats.org/officeDocument/2006/relationships/hyperlink" Target="https://www.abc.com.py/economia/2024/09/07/ande-exporta-energia-a-la-argentina-a-us-100-mwh-pero-brasil-ofrece-maximo-us-2103mwh/" TargetMode="External" Id="rId295"/><Relationship Type="http://schemas.openxmlformats.org/officeDocument/2006/relationships/hyperlink" Target="https://www.abc.com.py/economia/2024/09/07/ande-exporta-energia-a-la-argentina-a-us-100-mwh-pero-brasil-ofrece-maximo-us-2103mwh/" TargetMode="External" Id="rId296"/><Relationship Type="http://schemas.openxmlformats.org/officeDocument/2006/relationships/hyperlink" Target="https://www.abc.com.py/economia/2024/09/06/ande-abrio-sobres-sepa-cuanto-ofertaron-los-brasilenos-por-nuestra-energia/" TargetMode="External" Id="rId297"/><Relationship Type="http://schemas.openxmlformats.org/officeDocument/2006/relationships/hyperlink" Target="https://www.abc.com.py/economia/2024/09/06/ande-abrio-sobres-sepa-cuanto-ofertaron-los-brasilenos-por-nuestra-energia/" TargetMode="External" Id="rId298"/><Relationship Type="http://schemas.openxmlformats.org/officeDocument/2006/relationships/hyperlink" Target="https://www.abc.com.py/economia/2024/09/06/ande-abrio-sobres-sepa-cuanto-ofertaron-los-brasilenos-por-nuestra-energia/" TargetMode="External" Id="rId299"/><Relationship Type="http://schemas.openxmlformats.org/officeDocument/2006/relationships/hyperlink" Target="https://www.abc.com.py/economia/2024/09/06/ande-abrio-sobres-sepa-cuanto-ofertaron-los-brasilenos-por-nuestra-energia/" TargetMode="External" Id="rId300"/><Relationship Type="http://schemas.openxmlformats.org/officeDocument/2006/relationships/hyperlink" Target="https://www.abc.com.py/economia/2024/09/06/ande-abrio-sobres-sepa-cuanto-ofertaron-los-brasilenos-por-nuestra-energia/" TargetMode="External" Id="rId301"/><Relationship Type="http://schemas.openxmlformats.org/officeDocument/2006/relationships/hyperlink" Target="https://www.abc.com.py/economia/2024/09/06/ande-abrio-sobres-sepa-cuanto-ofertaron-los-brasilenos-por-nuestra-energia/" TargetMode="External" Id="rId302"/><Relationship Type="http://schemas.openxmlformats.org/officeDocument/2006/relationships/hyperlink" Target="https://www.abc.com.py/economia/2024/09/06/ande-abrio-sobres-sepa-cuanto-ofertaron-los-brasilenos-por-nuestra-energia/" TargetMode="External" Id="rId303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bacn.gov.py/leyes-paraguayas/8397/ley-n-6135-aprueba-el-acuerdo-por-notas-reversales-n-r-n-2-17-para-el-ordenamiento-econ-mico-y-financiero-de-la-entidad-binacional-yacyret-entre-la-rep-blica-del-paraguay-y-la-rep-blica-argentina" TargetMode="External" Id="rId1"/><Relationship Type="http://schemas.openxmlformats.org/officeDocument/2006/relationships/hyperlink" Target="https://www.bacn.gov.py/leyes-paraguayas/8397/ley-n-6135-aprueba-el-acuerdo-por-notas-reversales-n-r-n-2-17-para-el-ordenamiento-econ-mico-y-financiero-de-la-entidad-binacional-yacyret-entre-la-rep-blica-del-paraguay-y-la-rep-blica-argentina" TargetMode="External" Id="rId2"/><Relationship Type="http://schemas.openxmlformats.org/officeDocument/2006/relationships/hyperlink" Target="https://www.bacn.gov.py/leyes-paraguayas/8397/ley-n-6135-aprueba-el-acuerdo-por-notas-reversales-n-r-n-2-17-para-el-ordenamiento-econ-mico-y-financiero-de-la-entidad-binacional-yacyret-entre-la-rep-blica-del-paraguay-y-la-rep-blica-argentina" TargetMode="External" Id="rId3"/><Relationship Type="http://schemas.openxmlformats.org/officeDocument/2006/relationships/hyperlink" Target="https://www.bacn.gov.py/leyes-paraguayas/8397/ley-n-6135-aprueba-el-acuerdo-por-notas-reversales-n-r-n-2-17-para-el-ordenamiento-econ-mico-y-financiero-de-la-entidad-binacional-yacyret-entre-la-rep-blica-del-paraguay-y-la-rep-blica-argentina" TargetMode="External" Id="rId4"/><Relationship Type="http://schemas.openxmlformats.org/officeDocument/2006/relationships/hyperlink" Target="https://www.ande.gov.py/interna.php?id=8362" TargetMode="External" Id="rId5"/><Relationship Type="http://schemas.openxmlformats.org/officeDocument/2006/relationships/hyperlink" Target="https://www.ande.gov.py/interna.php?id=12352" TargetMode="External" Id="rId6"/></Relationships>
</file>

<file path=xl/worksheets/_rels/sheet17.xml.rels><Relationships xmlns="http://schemas.openxmlformats.org/package/2006/relationships"><Relationship Type="http://schemas.openxmlformats.org/officeDocument/2006/relationships/hyperlink" Target="https://www.itaipu.gov.py/wp-content/uploads/2026/04/03-Planillas-de-Royalties-31_03_26.pdf" TargetMode="External" Id="rId1"/><Relationship Type="http://schemas.openxmlformats.org/officeDocument/2006/relationships/hyperlink" Target="https://www.itaipu.gov.py/wp-content/uploads/2026/04/03-Planillas-de-Royalties-31_03_26.pdf" TargetMode="External" Id="rId2"/><Relationship Type="http://schemas.openxmlformats.org/officeDocument/2006/relationships/hyperlink" Target="https://www.itaipu.gov.py/wp-content/uploads/2026/04/03-Planillas-de-Royalties-31_03_26.pdf" TargetMode="External" Id="rId3"/><Relationship Type="http://schemas.openxmlformats.org/officeDocument/2006/relationships/hyperlink" Target="https://www.itaipu.gov.py/wp-content/uploads/2026/04/03-Planillas-de-Royalties-31_03_26.pdf" TargetMode="External" Id="rId4"/><Relationship Type="http://schemas.openxmlformats.org/officeDocument/2006/relationships/hyperlink" Target="https://www.itaipu.gov.py/wp-content/uploads/2026/04/03-Planillas-de-Royalties-31_03_26.pdf" TargetMode="External" Id="rId5"/><Relationship Type="http://schemas.openxmlformats.org/officeDocument/2006/relationships/hyperlink" Target="https://www.itaipu.gov.py/wp-content/uploads/2026/04/03-Planillas-de-Royalties-31_03_26.pdf" TargetMode="External" Id="rId6"/><Relationship Type="http://schemas.openxmlformats.org/officeDocument/2006/relationships/hyperlink" Target="https://www.itaipu.gov.py/wp-content/uploads/2026/04/03-Planillas-de-Royalties-31_03_26.pdf" TargetMode="External" Id="rId7"/><Relationship Type="http://schemas.openxmlformats.org/officeDocument/2006/relationships/hyperlink" Target="https://www.itaipu.gov.py/wp-content/uploads/2026/04/03-Planillas-de-Royalties-31_03_26.pdf" TargetMode="External" Id="rId8"/><Relationship Type="http://schemas.openxmlformats.org/officeDocument/2006/relationships/hyperlink" Target="https://www.itaipu.gov.py/wp-content/uploads/2026/04/03-Planillas-de-Royalties-31_03_26.pdf" TargetMode="External" Id="rId9"/><Relationship Type="http://schemas.openxmlformats.org/officeDocument/2006/relationships/hyperlink" Target="https://www.itaipu.gov.py/wp-content/uploads/2026/04/03-Planillas-de-Royalties-31_03_26.pdf" TargetMode="External" Id="rId10"/><Relationship Type="http://schemas.openxmlformats.org/officeDocument/2006/relationships/hyperlink" Target="https://www.itaipu.gov.py/wp-content/uploads/2026/04/03-Planillas-de-Royalties-31_03_26.pdf" TargetMode="External" Id="rId11"/><Relationship Type="http://schemas.openxmlformats.org/officeDocument/2006/relationships/hyperlink" Target="https://www.itaipu.gov.py/wp-content/uploads/2026/04/03-Planillas-de-Royalties-31_03_26.pdf" TargetMode="External" Id="rId12"/><Relationship Type="http://schemas.openxmlformats.org/officeDocument/2006/relationships/hyperlink" Target="https://www.itaipu.gov.py/wp-content/uploads/2026/04/03-Planillas-de-Royalties-31_03_26.pdf" TargetMode="External" Id="rId13"/><Relationship Type="http://schemas.openxmlformats.org/officeDocument/2006/relationships/hyperlink" Target="https://www.itaipu.gov.py/wp-content/uploads/2026/04/03-Planillas-de-Royalties-31_03_26.pdf" TargetMode="External" Id="rId14"/><Relationship Type="http://schemas.openxmlformats.org/officeDocument/2006/relationships/hyperlink" Target="https://www.itaipu.gov.py/wp-content/uploads/2026/04/03-Planillas-de-Royalties-31_03_26.pdf" TargetMode="External" Id="rId15"/><Relationship Type="http://schemas.openxmlformats.org/officeDocument/2006/relationships/hyperlink" Target="https://www.itaipu.gov.py/wp-content/uploads/2026/04/03-Planillas-de-Royalties-31_03_26.pdf" TargetMode="External" Id="rId16"/><Relationship Type="http://schemas.openxmlformats.org/officeDocument/2006/relationships/hyperlink" Target="https://www.itaipu.gov.py/wp-content/uploads/2026/04/03-Planillas-de-Royalties-31_03_26.pdf" TargetMode="External" Id="rId17"/><Relationship Type="http://schemas.openxmlformats.org/officeDocument/2006/relationships/hyperlink" Target="https://www.itaipu.gov.py/wp-content/uploads/2026/04/03-Planillas-de-Royalties-31_03_26.pdf" TargetMode="External" Id="rId18"/><Relationship Type="http://schemas.openxmlformats.org/officeDocument/2006/relationships/hyperlink" Target="https://www.itaipu.gov.py/wp-content/uploads/2026/04/03-Planillas-de-Royalties-31_03_26.pdf" TargetMode="External" Id="rId19"/><Relationship Type="http://schemas.openxmlformats.org/officeDocument/2006/relationships/hyperlink" Target="https://www.itaipu.gov.py/wp-content/uploads/2026/04/03-Planillas-de-Royalties-31_03_26.pdf" TargetMode="External" Id="rId20"/><Relationship Type="http://schemas.openxmlformats.org/officeDocument/2006/relationships/hyperlink" Target="https://www.itaipu.gov.py/wp-content/uploads/2026/04/03-Planillas-de-Royalties-31_03_26.pdf" TargetMode="External" Id="rId21"/><Relationship Type="http://schemas.openxmlformats.org/officeDocument/2006/relationships/hyperlink" Target="https://www.itaipu.gov.py/wp-content/uploads/2026/04/03-Planillas-de-Royalties-31_03_26.pdf" TargetMode="External" Id="rId22"/><Relationship Type="http://schemas.openxmlformats.org/officeDocument/2006/relationships/hyperlink" Target="https://www.itaipu.gov.py/wp-content/uploads/2026/04/03-Planillas-de-Royalties-31_03_26.pdf" TargetMode="External" Id="rId23"/><Relationship Type="http://schemas.openxmlformats.org/officeDocument/2006/relationships/hyperlink" Target="https://www.itaipu.gov.py/wp-content/uploads/2026/04/03-Planillas-de-Royalties-31_03_26.pdf" TargetMode="External" Id="rId24"/><Relationship Type="http://schemas.openxmlformats.org/officeDocument/2006/relationships/hyperlink" Target="https://www.itaipu.gov.py/wp-content/uploads/2026/04/03-Planillas-de-Royalties-31_03_26.pdf" TargetMode="External" Id="rId25"/><Relationship Type="http://schemas.openxmlformats.org/officeDocument/2006/relationships/hyperlink" Target="https://www.itaipu.gov.py/wp-content/uploads/2026/04/03-Planillas-de-Royalties-31_03_26.pdf" TargetMode="External" Id="rId26"/><Relationship Type="http://schemas.openxmlformats.org/officeDocument/2006/relationships/hyperlink" Target="https://www.itaipu.gov.py/wp-content/uploads/2026/04/03-Planillas-de-Royalties-31_03_26.pdf" TargetMode="External" Id="rId27"/><Relationship Type="http://schemas.openxmlformats.org/officeDocument/2006/relationships/hyperlink" Target="https://www.itaipu.gov.py/wp-content/uploads/2026/04/03-Planillas-de-Royalties-31_03_26.pdf" TargetMode="External" Id="rId28"/><Relationship Type="http://schemas.openxmlformats.org/officeDocument/2006/relationships/hyperlink" Target="https://www.itaipu.gov.py/wp-content/uploads/2026/04/03-Planillas-de-Royalties-31_03_26.pdf" TargetMode="External" Id="rId29"/><Relationship Type="http://schemas.openxmlformats.org/officeDocument/2006/relationships/hyperlink" Target="https://www.itaipu.gov.py/wp-content/uploads/2026/04/03-Planillas-de-Royalties-31_03_26.pdf" TargetMode="External" Id="rId30"/><Relationship Type="http://schemas.openxmlformats.org/officeDocument/2006/relationships/hyperlink" Target="https://www.itaipu.gov.py/wp-content/uploads/2026/04/03-Planillas-de-Royalties-31_03_26.pdf" TargetMode="External" Id="rId31"/><Relationship Type="http://schemas.openxmlformats.org/officeDocument/2006/relationships/hyperlink" Target="https://www.itaipu.gov.py/wp-content/uploads/2026/04/03-Planillas-de-Royalties-31_03_26.pdf" TargetMode="External" Id="rId32"/><Relationship Type="http://schemas.openxmlformats.org/officeDocument/2006/relationships/hyperlink" Target="https://www.itaipu.gov.py/wp-content/uploads/2026/04/03-Planillas-de-Royalties-31_03_26.pdf" TargetMode="External" Id="rId33"/><Relationship Type="http://schemas.openxmlformats.org/officeDocument/2006/relationships/hyperlink" Target="https://www.itaipu.gov.py/wp-content/uploads/2026/04/03-Planillas-de-Royalties-31_03_26.pdf" TargetMode="External" Id="rId34"/><Relationship Type="http://schemas.openxmlformats.org/officeDocument/2006/relationships/hyperlink" Target="https://www.itaipu.gov.py/wp-content/uploads/2026/04/03-Planillas-de-Royalties-31_03_26.pdf" TargetMode="External" Id="rId35"/><Relationship Type="http://schemas.openxmlformats.org/officeDocument/2006/relationships/hyperlink" Target="https://www.itaipu.gov.py/wp-content/uploads/2026/04/03-Planillas-de-Royalties-31_03_26.pdf" TargetMode="External" Id="rId36"/><Relationship Type="http://schemas.openxmlformats.org/officeDocument/2006/relationships/hyperlink" Target="https://www.itaipu.gov.py/wp-content/uploads/2026/04/03-Planillas-de-Royalties-31_03_26.pdf" TargetMode="External" Id="rId37"/><Relationship Type="http://schemas.openxmlformats.org/officeDocument/2006/relationships/hyperlink" Target="https://www.itaipu.gov.py/wp-content/uploads/2026/04/03-Planillas-de-Royalties-31_03_26.pdf" TargetMode="External" Id="rId38"/><Relationship Type="http://schemas.openxmlformats.org/officeDocument/2006/relationships/hyperlink" Target="https://www.itaipu.gov.py/sites/default/files/COP_AVANZADA_y_REPORTE_SUSTENTABILIDAD_2015_0.pdf" TargetMode="External" Id="rId39"/><Relationship Type="http://schemas.openxmlformats.org/officeDocument/2006/relationships/hyperlink" Target="https://www.itaipu.gov.py/sites/default/files/COP_AVANZADA_y_REPORTE_SUSTENTABILIDAD_2015_0.pdf" TargetMode="External" Id="rId40"/><Relationship Type="http://schemas.openxmlformats.org/officeDocument/2006/relationships/hyperlink" Target="https://www.itaipu.gov.py/sites/default/files/COP_AVANZADA_y_REPORTE_SUSTENTABILIDAD_2015_0.pdf" TargetMode="External" Id="rId41"/><Relationship Type="http://schemas.openxmlformats.org/officeDocument/2006/relationships/hyperlink" Target="https://www.itaipu.gov.py/wp-content/uploads/2025/05/COP_Y_REPORTE_DE_SOSTENIBILIDAD_ITAIPU_2018.pdf" TargetMode="External" Id="rId42"/><Relationship Type="http://schemas.openxmlformats.org/officeDocument/2006/relationships/hyperlink" Target="https://www.itaipu.gov.py/wp-content/uploads/2025/05/COP_Y_REPORTE_DE_SOSTENIBILIDAD_ITAIPU_2018.pdf" TargetMode="External" Id="rId43"/><Relationship Type="http://schemas.openxmlformats.org/officeDocument/2006/relationships/hyperlink" Target="https://www.itaipu.gov.py/wp-content/uploads/2025/05/COP_Y_REPORTE_DE_SOSTENIBILIDAD_ITAIPU_2018.pdf" TargetMode="External" Id="rId44"/><Relationship Type="http://schemas.openxmlformats.org/officeDocument/2006/relationships/hyperlink" Target="https://www.itaipu.gov.py/noticias/institucional/cifras-publicadas-por-itaipu-corresponden-a-los-montos-efectivamente-transferidos-al-estado-paraguayo" TargetMode="External" Id="rId45"/><Relationship Type="http://schemas.openxmlformats.org/officeDocument/2006/relationships/hyperlink" Target="https://www.itaipu.gov.py/noticias/institucional/cifras-publicadas-por-itaipu-corresponden-a-los-montos-efectivamente-transferidos-al-estado-paraguayo" TargetMode="External" Id="rId46"/><Relationship Type="http://schemas.openxmlformats.org/officeDocument/2006/relationships/hyperlink" Target="https://www.itaipu.gov.py/noticias/institucional/cifras-publicadas-por-itaipu-corresponden-a-los-montos-efectivamente-transferidos-al-estado-paraguayo" TargetMode="External" Id="rId47"/><Relationship Type="http://schemas.openxmlformats.org/officeDocument/2006/relationships/hyperlink" Target="https://www.itaipu.gov.py/noticias/institucional/itaipu-transfirio-usd-445-millones-al-estado-en-el-2021-por-cumplimiento-del-anexo-c" TargetMode="External" Id="rId48"/><Relationship Type="http://schemas.openxmlformats.org/officeDocument/2006/relationships/hyperlink" Target="https://www.itaipu.gov.py/noticias/institucional/itaipu-transfirio-usd-445-millones-al-estado-en-el-2021-por-cumplimiento-del-anexo-c" TargetMode="External" Id="rId49"/><Relationship Type="http://schemas.openxmlformats.org/officeDocument/2006/relationships/hyperlink" Target="https://www.itaipu.gov.py/noticias/institucional/itaipu-transfirio-usd-445-millones-al-estado-en-el-2021-por-cumplimiento-del-anexo-c" TargetMode="External" Id="rId50"/><Relationship Type="http://schemas.openxmlformats.org/officeDocument/2006/relationships/hyperlink" Target="https://www.itaipu.gov.py/noticias/institucional/itaipu-transfirio-usd-445-millones-al-estado-en-el-2021-por-cumplimiento-del-anexo-c" TargetMode="External" Id="rId51"/><Relationship Type="http://schemas.openxmlformats.org/officeDocument/2006/relationships/hyperlink" Target="https://www.itaipu.gov.py/noticias/institucional/estado-paraguayo-recibio-usd-4293-millones-de-itaipu-por-anexo-c-en-el-2022" TargetMode="External" Id="rId52"/><Relationship Type="http://schemas.openxmlformats.org/officeDocument/2006/relationships/hyperlink" Target="https://www.itaipu.gov.py/noticias/institucional/estado-paraguayo-recibio-usd-4293-millones-de-itaipu-por-anexo-c-en-el-2022" TargetMode="External" Id="rId53"/><Relationship Type="http://schemas.openxmlformats.org/officeDocument/2006/relationships/hyperlink" Target="https://www.itaipu.gov.py/noticias/institucional/estado-paraguayo-recibio-usd-4293-millones-de-itaipu-por-anexo-c-en-el-2022" TargetMode="External" Id="rId54"/><Relationship Type="http://schemas.openxmlformats.org/officeDocument/2006/relationships/hyperlink" Target="https://www.itaipu.gov.py/noticias/institucional/estado-paraguayo-recibio-usd-4293-millones-de-itaipu-por-anexo-c-en-el-2022" TargetMode="External" Id="rId55"/><Relationship Type="http://schemas.openxmlformats.org/officeDocument/2006/relationships/hyperlink" Target="https://www.itaipu.gov.py/noticias/institucional/itaipu-cierra-el-2023-con-un-aporte-de-usd-535-millones-al-estado-paraguayo-por-anexo-c" TargetMode="External" Id="rId56"/><Relationship Type="http://schemas.openxmlformats.org/officeDocument/2006/relationships/hyperlink" Target="https://www.itaipu.gov.py/noticias/institucional/itaipu-cierra-el-2023-con-un-aporte-de-usd-535-millones-al-estado-paraguayo-por-anexo-c" TargetMode="External" Id="rId57"/><Relationship Type="http://schemas.openxmlformats.org/officeDocument/2006/relationships/hyperlink" Target="https://www.itaipu.gov.py/noticias/institucional/itaipu-cierra-el-2023-con-un-aporte-de-usd-535-millones-al-estado-paraguayo-por-anexo-c" TargetMode="External" Id="rId58"/><Relationship Type="http://schemas.openxmlformats.org/officeDocument/2006/relationships/hyperlink" Target="https://www.itaipu.gov.py/noticias/institucional/itaipu-cierra-el-2023-con-un-aporte-de-usd-535-millones-al-estado-paraguayo-por-anexo-c" TargetMode="External" Id="rId59"/><Relationship Type="http://schemas.openxmlformats.org/officeDocument/2006/relationships/hyperlink" Target="https://www.itaipu.gov.py/noticias/institucional/estado-paraguayo-recibio-usd-549-millones-de-itaipu-por-anexo-c-en-el-2024" TargetMode="External" Id="rId60"/><Relationship Type="http://schemas.openxmlformats.org/officeDocument/2006/relationships/hyperlink" Target="https://www.itaipu.gov.py/noticias/institucional/estado-paraguayo-recibio-usd-549-millones-de-itaipu-por-anexo-c-en-el-2024" TargetMode="External" Id="rId61"/><Relationship Type="http://schemas.openxmlformats.org/officeDocument/2006/relationships/hyperlink" Target="https://www.itaipu.gov.py/noticias/institucional/estado-paraguayo-recibio-usd-549-millones-de-itaipu-por-anexo-c-en-el-2024" TargetMode="External" Id="rId62"/><Relationship Type="http://schemas.openxmlformats.org/officeDocument/2006/relationships/hyperlink" Target="https://www.itaipu.gov.py/noticias/institucional/estado-paraguayo-recibio-usd-549-millones-de-itaipu-por-anexo-c-en-el-2024" TargetMode="External" Id="rId63"/><Relationship Type="http://schemas.openxmlformats.org/officeDocument/2006/relationships/hyperlink" Target="https://www.itaipu.gov.py/noticias/institucional/itaipu-cerro-el-2025-con-una-transferencia-total-de-usd-462-millones-al-estado-paraguayo-por-anexo-c" TargetMode="External" Id="rId64"/><Relationship Type="http://schemas.openxmlformats.org/officeDocument/2006/relationships/hyperlink" Target="https://www.itaipu.gov.py/noticias/institucional/itaipu-cerro-el-2025-con-una-transferencia-total-de-usd-462-millones-al-estado-paraguayo-por-anexo-c" TargetMode="External" Id="rId65"/><Relationship Type="http://schemas.openxmlformats.org/officeDocument/2006/relationships/hyperlink" Target="https://www.itaipu.gov.py/noticias/institucional/itaipu-cerro-el-2025-con-una-transferencia-total-de-usd-462-millones-al-estado-paraguayo-por-anexo-c" TargetMode="External" Id="rId66"/><Relationship Type="http://schemas.openxmlformats.org/officeDocument/2006/relationships/hyperlink" Target="https://www.itaipu.gov.py/noticias/institucional/itaipu-cerro-el-2025-con-una-transferencia-total-de-usd-462-millones-al-estado-paraguayo-por-anexo-c" TargetMode="External" Id="rId67"/><Relationship Type="http://schemas.openxmlformats.org/officeDocument/2006/relationships/hyperlink" Target="https://www.itaipu.gov.py/noticias/institucional/estado-paraguayo-recibio-usd-310-millones-de-itaipu-hasta-agosto-por-anexo-c" TargetMode="External" Id="rId68"/><Relationship Type="http://schemas.openxmlformats.org/officeDocument/2006/relationships/hyperlink" Target="https://www.itaipu.gov.py/noticias/institucional/estado-paraguayo-recibio-usd-310-millones-de-itaipu-hasta-agosto-por-anexo-c" TargetMode="External" Id="rId69"/><Relationship Type="http://schemas.openxmlformats.org/officeDocument/2006/relationships/hyperlink" Target="https://www.itaipu.gov.py/noticias/institucional/estado-paraguayo-recibio-usd-310-millones-de-itaipu-hasta-agosto-por-anexo-c" TargetMode="External" Id="rId70"/><Relationship Type="http://schemas.openxmlformats.org/officeDocument/2006/relationships/hyperlink" Target="https://www.itaipu.gov.py/noticias/institucional/estado-paraguayo-recibio-usd-310-millones-de-itaipu-hasta-agosto-por-anexo-c" TargetMode="External" Id="rId71"/><Relationship Type="http://schemas.openxmlformats.org/officeDocument/2006/relationships/hyperlink" Target="https://eby.gov.py/paraguay-recibe-historica-transferencia-record-de-usd-100-000-000-por-cesion-de-energia-de-yacyreta/" TargetMode="External" Id="rId72"/><Relationship Type="http://schemas.openxmlformats.org/officeDocument/2006/relationships/hyperlink" Target="https://eby.gov.py/paraguay-recibe-historica-transferencia-record-de-usd-100-000-000-por-cesion-de-energia-de-yacyreta/" TargetMode="External" Id="rId73"/><Relationship Type="http://schemas.openxmlformats.org/officeDocument/2006/relationships/hyperlink" Target="https://eby.gov.py/paraguay-recibe-historica-transferencia-record-de-usd-100-000-000-por-cesion-de-energia-de-yacyreta/" TargetMode="External" Id="rId74"/><Relationship Type="http://schemas.openxmlformats.org/officeDocument/2006/relationships/hyperlink" Target="https://eby.gov.py/paraguay-recibe-historica-transferencia-record-de-usd-100-000-000-por-cesion-de-energia-de-yacyreta/" TargetMode="External" Id="rId75"/><Relationship Type="http://schemas.openxmlformats.org/officeDocument/2006/relationships/hyperlink" Target="https://eby.gov.py/paraguay-recibe-historica-transferencia-record-de-usd-100-000-000-por-cesion-de-energia-de-yacyreta/" TargetMode="External" Id="rId76"/></Relationships>
</file>

<file path=xl/worksheets/_rels/sheet18.xml.rels><Relationships xmlns="http://schemas.openxmlformats.org/package/2006/relationships"><Relationship Type="http://schemas.openxmlformats.org/officeDocument/2006/relationships/hyperlink" Target="https://www.ande.gov.py/finanzas/2.%20COMPILACION%20ESTADISTICA%202003-2023/ANDE%20-%20Compilacion%20Estadistica%202003-2023.pdf" TargetMode="External" Id="rId1"/><Relationship Type="http://schemas.openxmlformats.org/officeDocument/2006/relationships/hyperlink" Target="https://www.ande.gov.py/finanzas/2.%20COMPILACION%20ESTADISTICA%202003-2023/ANDE%20-%20Compilacion%20Estadistica%202003-2023.pdf" TargetMode="External" Id="rId2"/><Relationship Type="http://schemas.openxmlformats.org/officeDocument/2006/relationships/hyperlink" Target="https://www.ande.gov.py/finanzas/2.%20COMPILACION%20ESTADISTICA%202003-2023/ANDE%20-%20Compilacion%20Estadistica%202003-2023.pdf" TargetMode="External" Id="rId3"/><Relationship Type="http://schemas.openxmlformats.org/officeDocument/2006/relationships/hyperlink" Target="https://www.ande.gov.py/finanzas/2.%20COMPILACION%20ESTADISTICA%202003-2023/ANDE%20-%20Compilacion%20Estadistica%202003-2023.pdf" TargetMode="External" Id="rId4"/><Relationship Type="http://schemas.openxmlformats.org/officeDocument/2006/relationships/hyperlink" Target="https://www.ande.gov.py/finanzas/2.%20COMPILACION%20ESTADISTICA%202003-2023/ANDE%20-%20Compilacion%20Estadistica%202003-2023.pdf" TargetMode="External" Id="rId5"/><Relationship Type="http://schemas.openxmlformats.org/officeDocument/2006/relationships/hyperlink" Target="https://www.ande.gov.py/finanzas/2.%20COMPILACION%20ESTADISTICA%202003-2023/ANDE%20-%20Compilacion%20Estadistica%202003-2023.pdf" TargetMode="External" Id="rId6"/><Relationship Type="http://schemas.openxmlformats.org/officeDocument/2006/relationships/hyperlink" Target="https://www.ande.gov.py/finanzas/2.%20COMPILACION%20ESTADISTICA%202003-2023/ANDE%20-%20Compilacion%20Estadistica%202003-2023.pdf" TargetMode="External" Id="rId7"/><Relationship Type="http://schemas.openxmlformats.org/officeDocument/2006/relationships/hyperlink" Target="https://www.ande.gov.py/finanzas/2.%20COMPILACION%20ESTADISTICA%202003-2023/ANDE%20-%20Compilacion%20Estadistica%202003-2023.pdf" TargetMode="External" Id="rId8"/><Relationship Type="http://schemas.openxmlformats.org/officeDocument/2006/relationships/hyperlink" Target="https://www.ande.gov.py/finanzas/2.%20COMPILACION%20ESTADISTICA%202003-2023/ANDE%20-%20Compilacion%20Estadistica%202003-2023.pdf" TargetMode="External" Id="rId9"/><Relationship Type="http://schemas.openxmlformats.org/officeDocument/2006/relationships/hyperlink" Target="https://www.ande.gov.py/finanzas/2.%20COMPILACION%20ESTADISTICA%202003-2023/ANDE%20-%20Compilacion%20Estadistica%202003-2023.pdf" TargetMode="External" Id="rId10"/><Relationship Type="http://schemas.openxmlformats.org/officeDocument/2006/relationships/hyperlink" Target="https://www.ande.gov.py/finanzas/2.%20COMPILACION%20ESTADISTICA%202003-2023/ANDE%20-%20Compilacion%20Estadistica%202003-2023.pdf" TargetMode="External" Id="rId11"/><Relationship Type="http://schemas.openxmlformats.org/officeDocument/2006/relationships/hyperlink" Target="https://www.ande.gov.py/finanzas/2.%20COMPILACION%20ESTADISTICA%202003-2023/ANDE%20-%20Compilacion%20Estadistica%202003-2023.pdf" TargetMode="External" Id="rId12"/><Relationship Type="http://schemas.openxmlformats.org/officeDocument/2006/relationships/hyperlink" Target="https://www.ande.gov.py/finanzas/2.%20COMPILACION%20ESTADISTICA%202003-2023/ANDE%20-%20Compilacion%20Estadistica%202003-2023.pdf" TargetMode="External" Id="rId13"/><Relationship Type="http://schemas.openxmlformats.org/officeDocument/2006/relationships/hyperlink" Target="https://www.ande.gov.py/finanzas/2.%20COMPILACION%20ESTADISTICA%202003-2023/ANDE%20-%20Compilacion%20Estadistica%202003-2023.pdf" TargetMode="External" Id="rId14"/><Relationship Type="http://schemas.openxmlformats.org/officeDocument/2006/relationships/hyperlink" Target="https://www.ande.gov.py/finanzas/2.%20COMPILACION%20ESTADISTICA%202003-2023/ANDE%20-%20Compilacion%20Estadistica%202003-2023.pdf" TargetMode="External" Id="rId15"/><Relationship Type="http://schemas.openxmlformats.org/officeDocument/2006/relationships/hyperlink" Target="https://www.ande.gov.py/finanzas/2.%20COMPILACION%20ESTADISTICA%202003-2023/ANDE%20-%20Compilacion%20Estadistica%202003-2023.pdf" TargetMode="External" Id="rId16"/><Relationship Type="http://schemas.openxmlformats.org/officeDocument/2006/relationships/hyperlink" Target="https://www.ande.gov.py/finanzas/2.%20COMPILACION%20ESTADISTICA%202003-2023/ANDE%20-%20Compilacion%20Estadistica%202003-2023.pdf" TargetMode="External" Id="rId17"/><Relationship Type="http://schemas.openxmlformats.org/officeDocument/2006/relationships/hyperlink" Target="https://www.ande.gov.py/finanzas/2.%20COMPILACION%20ESTADISTICA%202003-2023/ANDE%20-%20Compilacion%20Estadistica%202003-2023.pdf" TargetMode="External" Id="rId18"/><Relationship Type="http://schemas.openxmlformats.org/officeDocument/2006/relationships/hyperlink" Target="https://www.ande.gov.py/finanzas/2.%20COMPILACION%20ESTADISTICA%202003-2023/ANDE%20-%20Compilacion%20Estadistica%202003-2023.pdf" TargetMode="External" Id="rId19"/><Relationship Type="http://schemas.openxmlformats.org/officeDocument/2006/relationships/hyperlink" Target="https://www.ande.gov.py/finanzas/2.%20COMPILACION%20ESTADISTICA%202003-2023/ANDE%20-%20Compilacion%20Estadistica%202003-2023.pdf" TargetMode="External" Id="rId20"/><Relationship Type="http://schemas.openxmlformats.org/officeDocument/2006/relationships/hyperlink" Target="https://www.ande.gov.py/finanzas/2.%20COMPILACION%20ESTADISTICA%202003-2023/ANDE%20-%20Compilacion%20Estadistica%202003-2023.pdf" TargetMode="External" Id="rId21"/><Relationship Type="http://schemas.openxmlformats.org/officeDocument/2006/relationships/hyperlink" Target="https://www.ande.gov.py/finanzas/2.%20COMPILACION%20ESTADISTICA%202003-2023/ANDE%20-%20Compilacion%20Estadistica%202003-2023.pdf" TargetMode="External" Id="rId22"/><Relationship Type="http://schemas.openxmlformats.org/officeDocument/2006/relationships/hyperlink" Target="https://www.ande.gov.py/finanzas/2.%20COMPILACION%20ESTADISTICA%202003-2023/ANDE%20-%20Compilacion%20Estadistica%202003-2023.pdf" TargetMode="External" Id="rId23"/><Relationship Type="http://schemas.openxmlformats.org/officeDocument/2006/relationships/hyperlink" Target="https://www.ande.gov.py/finanzas/2.%20COMPILACION%20ESTADISTICA%202003-2023/ANDE%20-%20Compilacion%20Estadistica%202003-2023.pdf" TargetMode="External" Id="rId24"/><Relationship Type="http://schemas.openxmlformats.org/officeDocument/2006/relationships/hyperlink" Target="https://www.ande.gov.py/finanzas/2.%20COMPILACION%20ESTADISTICA%202003-2023/ANDE%20-%20Compilacion%20Estadistica%202003-2023.pdf" TargetMode="External" Id="rId25"/><Relationship Type="http://schemas.openxmlformats.org/officeDocument/2006/relationships/hyperlink" Target="https://www.ande.gov.py/finanzas/2.%20COMPILACION%20ESTADISTICA%202003-2023/ANDE%20-%20Compilacion%20Estadistica%202003-2023.pdf" TargetMode="External" Id="rId26"/><Relationship Type="http://schemas.openxmlformats.org/officeDocument/2006/relationships/hyperlink" Target="https://www.ande.gov.py/finanzas/2.%20COMPILACION%20ESTADISTICA%202003-2023/ANDE%20-%20Compilacion%20Estadistica%202003-2023.pdf" TargetMode="External" Id="rId27"/><Relationship Type="http://schemas.openxmlformats.org/officeDocument/2006/relationships/hyperlink" Target="https://www.ande.gov.py/finanzas/2.%20COMPILACION%20ESTADISTICA%202003-2023/ANDE%20-%20Compilacion%20Estadistica%202003-2023.pdf" TargetMode="External" Id="rId28"/><Relationship Type="http://schemas.openxmlformats.org/officeDocument/2006/relationships/hyperlink" Target="https://www.ande.gov.py/finanzas/2.%20COMPILACION%20ESTADISTICA%202003-2023/ANDE%20-%20Compilacion%20Estadistica%202003-2023.pdf" TargetMode="External" Id="rId29"/><Relationship Type="http://schemas.openxmlformats.org/officeDocument/2006/relationships/hyperlink" Target="https://www.ande.gov.py/finanzas/2.%20COMPILACION%20ESTADISTICA%202003-2023/ANDE%20-%20Compilacion%20Estadistica%202003-2023.pdf" TargetMode="External" Id="rId30"/><Relationship Type="http://schemas.openxmlformats.org/officeDocument/2006/relationships/hyperlink" Target="https://www.ande.gov.py/finanzas/2.%20COMPILACION%20ESTADISTICA%202003-2023/ANDE%20-%20Compilacion%20Estadistica%202003-2023.pdf" TargetMode="External" Id="rId31"/><Relationship Type="http://schemas.openxmlformats.org/officeDocument/2006/relationships/hyperlink" Target="https://www.ande.gov.py/finanzas/2.%20COMPILACION%20ESTADISTICA%202003-2023/ANDE%20-%20Compilacion%20Estadistica%202003-2023.pdf" TargetMode="External" Id="rId32"/><Relationship Type="http://schemas.openxmlformats.org/officeDocument/2006/relationships/hyperlink" Target="https://www.ande.gov.py/finanzas/2.%20COMPILACION%20ESTADISTICA%202003-2023/ANDE%20-%20Compilacion%20Estadistica%202003-2023.pdf" TargetMode="External" Id="rId33"/><Relationship Type="http://schemas.openxmlformats.org/officeDocument/2006/relationships/hyperlink" Target="https://www.ande.gov.py/finanzas/2.%20COMPILACION%20ESTADISTICA%202003-2023/ANDE%20-%20Compilacion%20Estadistica%202003-2023.pdf" TargetMode="External" Id="rId34"/><Relationship Type="http://schemas.openxmlformats.org/officeDocument/2006/relationships/hyperlink" Target="https://www.ande.gov.py/finanzas/2.%20COMPILACION%20ESTADISTICA%202003-2023/ANDE%20-%20Compilacion%20Estadistica%202003-2023.pdf" TargetMode="External" Id="rId35"/><Relationship Type="http://schemas.openxmlformats.org/officeDocument/2006/relationships/hyperlink" Target="https://www.ande.gov.py/finanzas/2.%20COMPILACION%20ESTADISTICA%202003-2023/ANDE%20-%20Compilacion%20Estadistica%202003-2023.pdf" TargetMode="External" Id="rId36"/><Relationship Type="http://schemas.openxmlformats.org/officeDocument/2006/relationships/hyperlink" Target="https://www.ande.gov.py/finanzas/2.%20COMPILACION%20ESTADISTICA%202003-2023/ANDE%20-%20Compilacion%20Estadistica%202003-2023.pdf" TargetMode="External" Id="rId37"/><Relationship Type="http://schemas.openxmlformats.org/officeDocument/2006/relationships/hyperlink" Target="https://www.ande.gov.py/finanzas/2.%20COMPILACION%20ESTADISTICA%202003-2023/ANDE%20-%20Compilacion%20Estadistica%202003-2023.pdf" TargetMode="External" Id="rId38"/><Relationship Type="http://schemas.openxmlformats.org/officeDocument/2006/relationships/hyperlink" Target="https://www.ande.gov.py/finanzas/2.%20COMPILACION%20ESTADISTICA%202003-2023/ANDE%20-%20Compilacion%20Estadistica%202003-2023.pdf" TargetMode="External" Id="rId39"/><Relationship Type="http://schemas.openxmlformats.org/officeDocument/2006/relationships/hyperlink" Target="https://www.ande.gov.py/finanzas/2.%20COMPILACION%20ESTADISTICA%202003-2023/ANDE%20-%20Compilacion%20Estadistica%202003-2023.pdf" TargetMode="External" Id="rId40"/><Relationship Type="http://schemas.openxmlformats.org/officeDocument/2006/relationships/hyperlink" Target="https://www.ande.gov.py/finanzas/2.%20COMPILACION%20ESTADISTICA%202003-2023/ANDE%20-%20Compilacion%20Estadistica%202003-2023.pdf" TargetMode="External" Id="rId41"/><Relationship Type="http://schemas.openxmlformats.org/officeDocument/2006/relationships/hyperlink" Target="https://www.ande.gov.py/finanzas/2.%20COMPILACION%20ESTADISTICA%202003-2023/ANDE%20-%20Compilacion%20Estadistica%202003-2023.pdf" TargetMode="External" Id="rId42"/><Relationship Type="http://schemas.openxmlformats.org/officeDocument/2006/relationships/hyperlink" Target="https://www.ande.gov.py/finanzas/2.%20COMPILACION%20ESTADISTICA%202003-2023/ANDE%20-%20Compilacion%20Estadistica%202003-2023.pdf" TargetMode="External" Id="rId43"/><Relationship Type="http://schemas.openxmlformats.org/officeDocument/2006/relationships/hyperlink" Target="https://www.ande.gov.py/finanzas/2.%20COMPILACION%20ESTADISTICA%202003-2023/ANDE%20-%20Compilacion%20Estadistica%202003-2023.pdf" TargetMode="External" Id="rId44"/><Relationship Type="http://schemas.openxmlformats.org/officeDocument/2006/relationships/hyperlink" Target="https://www.ande.gov.py/finanzas/2.%20COMPILACION%20ESTADISTICA%202003-2023/ANDE%20-%20Compilacion%20Estadistica%202003-2023.pdf" TargetMode="External" Id="rId45"/><Relationship Type="http://schemas.openxmlformats.org/officeDocument/2006/relationships/hyperlink" Target="https://www.ande.gov.py/finanzas/2.%20COMPILACION%20ESTADISTICA%202003-2023/ANDE%20-%20Compilacion%20Estadistica%202003-2023.pdf" TargetMode="External" Id="rId46"/><Relationship Type="http://schemas.openxmlformats.org/officeDocument/2006/relationships/hyperlink" Target="https://www.ande.gov.py/finanzas/2.%20COMPILACION%20ESTADISTICA%202003-2023/ANDE%20-%20Compilacion%20Estadistica%202003-2023.pdf" TargetMode="External" Id="rId47"/><Relationship Type="http://schemas.openxmlformats.org/officeDocument/2006/relationships/hyperlink" Target="https://www.ande.gov.py/finanzas/2.%20COMPILACION%20ESTADISTICA%202003-2023/ANDE%20-%20Compilacion%20Estadistica%202003-2023.pdf" TargetMode="External" Id="rId48"/><Relationship Type="http://schemas.openxmlformats.org/officeDocument/2006/relationships/hyperlink" Target="https://www.ande.gov.py/finanzas/2.%20COMPILACION%20ESTADISTICA%202003-2023/ANDE%20-%20Compilacion%20Estadistica%202003-2023.pdf" TargetMode="External" Id="rId49"/><Relationship Type="http://schemas.openxmlformats.org/officeDocument/2006/relationships/hyperlink" Target="https://www.ande.gov.py/finanzas/2.%20COMPILACION%20ESTADISTICA%202003-2023/ANDE%20-%20Compilacion%20Estadistica%202003-2023.pdf" TargetMode="External" Id="rId50"/><Relationship Type="http://schemas.openxmlformats.org/officeDocument/2006/relationships/hyperlink" Target="https://www.ande.gov.py/finanzas/2.%20COMPILACION%20ESTADISTICA%202003-2023/ANDE%20-%20Compilacion%20Estadistica%202003-2023.pdf" TargetMode="External" Id="rId51"/><Relationship Type="http://schemas.openxmlformats.org/officeDocument/2006/relationships/hyperlink" Target="https://www.ande.gov.py/finanzas/2.%20COMPILACION%20ESTADISTICA%202003-2023/ANDE%20-%20Compilacion%20Estadistica%202003-2023.pdf" TargetMode="External" Id="rId52"/><Relationship Type="http://schemas.openxmlformats.org/officeDocument/2006/relationships/hyperlink" Target="https://www.ande.gov.py/finanzas/2.%20COMPILACION%20ESTADISTICA%202003-2023/ANDE%20-%20Compilacion%20Estadistica%202003-2023.pdf" TargetMode="External" Id="rId53"/><Relationship Type="http://schemas.openxmlformats.org/officeDocument/2006/relationships/hyperlink" Target="https://www.ande.gov.py/finanzas/2.%20COMPILACION%20ESTADISTICA%202003-2023/ANDE%20-%20Compilacion%20Estadistica%202003-2023.pdf" TargetMode="External" Id="rId54"/><Relationship Type="http://schemas.openxmlformats.org/officeDocument/2006/relationships/hyperlink" Target="https://www.ande.gov.py/finanzas/2.%20COMPILACION%20ESTADISTICA%202003-2023/ANDE%20-%20Compilacion%20Estadistica%202003-2023.pdf" TargetMode="External" Id="rId55"/><Relationship Type="http://schemas.openxmlformats.org/officeDocument/2006/relationships/hyperlink" Target="https://www.ande.gov.py/finanzas/2.%20COMPILACION%20ESTADISTICA%202003-2023/ANDE%20-%20Compilacion%20Estadistica%202003-2023.pdf" TargetMode="External" Id="rId56"/><Relationship Type="http://schemas.openxmlformats.org/officeDocument/2006/relationships/hyperlink" Target="https://www.ande.gov.py/finanzas/2.%20COMPILACION%20ESTADISTICA%202003-2023/ANDE%20-%20Compilacion%20Estadistica%202003-2023.pdf" TargetMode="External" Id="rId57"/><Relationship Type="http://schemas.openxmlformats.org/officeDocument/2006/relationships/hyperlink" Target="https://www.ande.gov.py/finanzas/2.%20COMPILACION%20ESTADISTICA%202003-2023/ANDE%20-%20Compilacion%20Estadistica%202003-2023.pdf" TargetMode="External" Id="rId58"/><Relationship Type="http://schemas.openxmlformats.org/officeDocument/2006/relationships/hyperlink" Target="https://www.ande.gov.py/finanzas/2.%20COMPILACION%20ESTADISTICA%202003-2023/ANDE%20-%20Compilacion%20Estadistica%202003-2023.pdf" TargetMode="External" Id="rId59"/><Relationship Type="http://schemas.openxmlformats.org/officeDocument/2006/relationships/hyperlink" Target="https://www.ande.gov.py/finanzas/2.%20COMPILACION%20ESTADISTICA%202003-2023/ANDE%20-%20Compilacion%20Estadistica%202003-2023.pdf" TargetMode="External" Id="rId60"/><Relationship Type="http://schemas.openxmlformats.org/officeDocument/2006/relationships/hyperlink" Target="https://www.ande.gov.py/finanzas/2.%20COMPILACION%20ESTADISTICA%202003-2023/ANDE%20-%20Compilacion%20Estadistica%202003-2023.pdf" TargetMode="External" Id="rId61"/><Relationship Type="http://schemas.openxmlformats.org/officeDocument/2006/relationships/hyperlink" Target="https://www.ande.gov.py/finanzas/2.%20COMPILACION%20ESTADISTICA%202003-2023/ANDE%20-%20Compilacion%20Estadistica%202003-2023.pdf" TargetMode="External" Id="rId62"/><Relationship Type="http://schemas.openxmlformats.org/officeDocument/2006/relationships/hyperlink" Target="https://www.ande.gov.py/finanzas/2.%20COMPILACION%20ESTADISTICA%202003-2023/ANDE%20-%20Compilacion%20Estadistica%202003-2023.pdf" TargetMode="External" Id="rId63"/><Relationship Type="http://schemas.openxmlformats.org/officeDocument/2006/relationships/hyperlink" Target="https://www.ande.gov.py/finanzas/2.%20COMPILACION%20ESTADISTICA%202003-2023/ANDE%20-%20Compilacion%20Estadistica%202003-2023.pdf" TargetMode="External" Id="rId64"/><Relationship Type="http://schemas.openxmlformats.org/officeDocument/2006/relationships/hyperlink" Target="https://www.ande.gov.py/finanzas/2.%20COMPILACION%20ESTADISTICA%202003-2023/ANDE%20-%20Compilacion%20Estadistica%202003-2023.pdf" TargetMode="External" Id="rId65"/><Relationship Type="http://schemas.openxmlformats.org/officeDocument/2006/relationships/hyperlink" Target="https://www.ande.gov.py/finanzas/2.%20COMPILACION%20ESTADISTICA%202003-2023/ANDE%20-%20Compilacion%20Estadistica%202003-2023.pdf" TargetMode="External" Id="rId66"/><Relationship Type="http://schemas.openxmlformats.org/officeDocument/2006/relationships/hyperlink" Target="https://www.ande.gov.py/finanzas/2.%20COMPILACION%20ESTADISTICA%202003-2023/ANDE%20-%20Compilacion%20Estadistica%202003-2023.pdf" TargetMode="External" Id="rId67"/><Relationship Type="http://schemas.openxmlformats.org/officeDocument/2006/relationships/hyperlink" Target="https://www.ande.gov.py/finanzas/2.%20COMPILACION%20ESTADISTICA%202003-2023/ANDE%20-%20Compilacion%20Estadistica%202003-2023.pdf" TargetMode="External" Id="rId68"/><Relationship Type="http://schemas.openxmlformats.org/officeDocument/2006/relationships/hyperlink" Target="https://www.ande.gov.py/finanzas/2.%20COMPILACION%20ESTADISTICA%202003-2023/ANDE%20-%20Compilacion%20Estadistica%202003-2023.pdf" TargetMode="External" Id="rId69"/><Relationship Type="http://schemas.openxmlformats.org/officeDocument/2006/relationships/hyperlink" Target="https://www.ande.gov.py/finanzas/2.%20COMPILACION%20ESTADISTICA%202003-2023/ANDE%20-%20Compilacion%20Estadistica%202003-2023.pdf" TargetMode="External" Id="rId70"/><Relationship Type="http://schemas.openxmlformats.org/officeDocument/2006/relationships/hyperlink" Target="https://www.ande.gov.py/finanzas/2.%20COMPILACION%20ESTADISTICA%202003-2023/ANDE%20-%20Compilacion%20Estadistica%202003-2023.pdf" TargetMode="External" Id="rId71"/><Relationship Type="http://schemas.openxmlformats.org/officeDocument/2006/relationships/hyperlink" Target="https://www.ande.gov.py/finanzas/2.%20COMPILACION%20ESTADISTICA%202003-2023/ANDE%20-%20Compilacion%20Estadistica%202003-2023.pdf" TargetMode="External" Id="rId72"/><Relationship Type="http://schemas.openxmlformats.org/officeDocument/2006/relationships/hyperlink" Target="https://www.ande.gov.py/finanzas/2.%20COMPILACION%20ESTADISTICA%202003-2023/ANDE%20-%20Compilacion%20Estadistica%202003-2023.pdf" TargetMode="External" Id="rId73"/><Relationship Type="http://schemas.openxmlformats.org/officeDocument/2006/relationships/hyperlink" Target="https://www.ande.gov.py/finanzas/2.%20COMPILACION%20ESTADISTICA%202003-2023/ANDE%20-%20Compilacion%20Estadistica%202003-2023.pdf" TargetMode="External" Id="rId74"/><Relationship Type="http://schemas.openxmlformats.org/officeDocument/2006/relationships/hyperlink" Target="https://www.ande.gov.py/finanzas/2.%20COMPILACION%20ESTADISTICA%202003-2023/ANDE%20-%20Compilacion%20Estadistica%202003-2023.pdf" TargetMode="External" Id="rId75"/><Relationship Type="http://schemas.openxmlformats.org/officeDocument/2006/relationships/hyperlink" Target="https://www.ande.gov.py/finanzas/2.%20COMPILACION%20ESTADISTICA%202003-2023/ANDE%20-%20Compilacion%20Estadistica%202003-2023.pdf" TargetMode="External" Id="rId76"/><Relationship Type="http://schemas.openxmlformats.org/officeDocument/2006/relationships/hyperlink" Target="https://www.ande.gov.py/finanzas/2.%20COMPILACION%20ESTADISTICA%202003-2023/ANDE%20-%20Compilacion%20Estadistica%202003-2023.pdf" TargetMode="External" Id="rId77"/><Relationship Type="http://schemas.openxmlformats.org/officeDocument/2006/relationships/hyperlink" Target="https://www.ande.gov.py/finanzas/2.%20COMPILACION%20ESTADISTICA%202003-2023/ANDE%20-%20Compilacion%20Estadistica%202003-2023.pdf" TargetMode="External" Id="rId78"/><Relationship Type="http://schemas.openxmlformats.org/officeDocument/2006/relationships/hyperlink" Target="https://www.ande.gov.py/finanzas/2.%20COMPILACION%20ESTADISTICA%202003-2023/ANDE%20-%20Compilacion%20Estadistica%202003-2023.pdf" TargetMode="External" Id="rId79"/><Relationship Type="http://schemas.openxmlformats.org/officeDocument/2006/relationships/hyperlink" Target="https://www.ande.gov.py/finanzas/2.%20COMPILACION%20ESTADISTICA%202003-2023/ANDE%20-%20Compilacion%20Estadistica%202003-2023.pdf" TargetMode="External" Id="rId80"/><Relationship Type="http://schemas.openxmlformats.org/officeDocument/2006/relationships/hyperlink" Target="https://www.ande.gov.py/finanzas/2.%20COMPILACION%20ESTADISTICA%202003-2023/ANDE%20-%20Compilacion%20Estadistica%202003-2023.pdf" TargetMode="External" Id="rId81"/><Relationship Type="http://schemas.openxmlformats.org/officeDocument/2006/relationships/hyperlink" Target="https://www.ande.gov.py/finanzas/2.%20COMPILACION%20ESTADISTICA%202003-2023/ANDE%20-%20Compilacion%20Estadistica%202003-2023.pdf" TargetMode="External" Id="rId82"/><Relationship Type="http://schemas.openxmlformats.org/officeDocument/2006/relationships/hyperlink" Target="https://www.ande.gov.py/finanzas/2.%20COMPILACION%20ESTADISTICA%202003-2023/ANDE%20-%20Compilacion%20Estadistica%202003-2023.pdf" TargetMode="External" Id="rId83"/><Relationship Type="http://schemas.openxmlformats.org/officeDocument/2006/relationships/hyperlink" Target="https://www.ande.gov.py/finanzas/2.%20COMPILACION%20ESTADISTICA%202003-2023/ANDE%20-%20Compilacion%20Estadistica%202003-2023.pdf" TargetMode="External" Id="rId84"/><Relationship Type="http://schemas.openxmlformats.org/officeDocument/2006/relationships/hyperlink" Target="https://www.ande.gov.py/finanzas/2.%20COMPILACION%20ESTADISTICA%202003-2023/ANDE%20-%20Compilacion%20Estadistica%202003-2023.pdf" TargetMode="External" Id="rId85"/><Relationship Type="http://schemas.openxmlformats.org/officeDocument/2006/relationships/hyperlink" Target="https://www.ande.gov.py/finanzas/2.%20COMPILACION%20ESTADISTICA%202003-2023/ANDE%20-%20Compilacion%20Estadistica%202003-2023.pdf" TargetMode="External" Id="rId86"/><Relationship Type="http://schemas.openxmlformats.org/officeDocument/2006/relationships/hyperlink" Target="https://www.ande.gov.py/finanzas/2.%20COMPILACION%20ESTADISTICA%202003-2023/ANDE%20-%20Compilacion%20Estadistica%202003-2023.pdf" TargetMode="External" Id="rId87"/><Relationship Type="http://schemas.openxmlformats.org/officeDocument/2006/relationships/hyperlink" Target="https://www.ande.gov.py/finanzas/2.%20COMPILACION%20ESTADISTICA%202003-2023/ANDE%20-%20Compilacion%20Estadistica%202003-2023.pdf" TargetMode="External" Id="rId88"/><Relationship Type="http://schemas.openxmlformats.org/officeDocument/2006/relationships/hyperlink" Target="https://www.ande.gov.py/finanzas/2.%20COMPILACION%20ESTADISTICA%202003-2023/ANDE%20-%20Compilacion%20Estadistica%202003-2023.pdf" TargetMode="External" Id="rId89"/><Relationship Type="http://schemas.openxmlformats.org/officeDocument/2006/relationships/hyperlink" Target="https://www.ande.gov.py/finanzas/2.%20COMPILACION%20ESTADISTICA%202003-2023/ANDE%20-%20Compilacion%20Estadistica%202003-2023.pdf" TargetMode="External" Id="rId90"/><Relationship Type="http://schemas.openxmlformats.org/officeDocument/2006/relationships/hyperlink" Target="https://www.ande.gov.py/finanzas/2.%20COMPILACION%20ESTADISTICA%202003-2023/ANDE%20-%20Compilacion%20Estadistica%202003-2023.pdf" TargetMode="External" Id="rId91"/><Relationship Type="http://schemas.openxmlformats.org/officeDocument/2006/relationships/hyperlink" Target="https://www.ande.gov.py/finanzas/2.%20COMPILACION%20ESTADISTICA%202003-2023/ANDE%20-%20Compilacion%20Estadistica%202003-2023.pdf" TargetMode="External" Id="rId92"/><Relationship Type="http://schemas.openxmlformats.org/officeDocument/2006/relationships/hyperlink" Target="https://www.ande.gov.py/finanzas/2.%20COMPILACION%20ESTADISTICA%202003-2023/ANDE%20-%20Compilacion%20Estadistica%202003-2023.pdf" TargetMode="External" Id="rId93"/><Relationship Type="http://schemas.openxmlformats.org/officeDocument/2006/relationships/hyperlink" Target="https://www.ande.gov.py/finanzas/2.%20COMPILACION%20ESTADISTICA%202003-2023/ANDE%20-%20Compilacion%20Estadistica%202003-2023.pdf" TargetMode="External" Id="rId94"/><Relationship Type="http://schemas.openxmlformats.org/officeDocument/2006/relationships/hyperlink" Target="https://www.ande.gov.py/finanzas/2.%20COMPILACION%20ESTADISTICA%202003-2023/ANDE%20-%20Compilacion%20Estadistica%202003-2023.pdf" TargetMode="External" Id="rId95"/><Relationship Type="http://schemas.openxmlformats.org/officeDocument/2006/relationships/hyperlink" Target="https://www.ande.gov.py/finanzas/2.%20COMPILACION%20ESTADISTICA%202003-2023/ANDE%20-%20Compilacion%20Estadistica%202003-2023.pdf" TargetMode="External" Id="rId96"/><Relationship Type="http://schemas.openxmlformats.org/officeDocument/2006/relationships/hyperlink" Target="https://www.ande.gov.py/finanzas/2.%20COMPILACION%20ESTADISTICA%202003-2023/ANDE%20-%20Compilacion%20Estadistica%202003-2023.pdf" TargetMode="External" Id="rId97"/><Relationship Type="http://schemas.openxmlformats.org/officeDocument/2006/relationships/hyperlink" Target="https://www.ande.gov.py/finanzas/2.%20COMPILACION%20ESTADISTICA%202003-2023/ANDE%20-%20Compilacion%20Estadistica%202003-2023.pdf" TargetMode="External" Id="rId98"/><Relationship Type="http://schemas.openxmlformats.org/officeDocument/2006/relationships/hyperlink" Target="https://www.ande.gov.py/finanzas/2.%20COMPILACION%20ESTADISTICA%202003-2023/ANDE%20-%20Compilacion%20Estadistica%202003-2023.pdf" TargetMode="External" Id="rId99"/><Relationship Type="http://schemas.openxmlformats.org/officeDocument/2006/relationships/hyperlink" Target="https://www.ande.gov.py/finanzas/2.%20COMPILACION%20ESTADISTICA%202003-2023/ANDE%20-%20Compilacion%20Estadistica%202003-2023.pdf" TargetMode="External" Id="rId100"/><Relationship Type="http://schemas.openxmlformats.org/officeDocument/2006/relationships/hyperlink" Target="https://www.ande.gov.py/finanzas/2.%20COMPILACION%20ESTADISTICA%202003-2023/ANDE%20-%20Compilacion%20Estadistica%202003-2023.pdf" TargetMode="External" Id="rId101"/><Relationship Type="http://schemas.openxmlformats.org/officeDocument/2006/relationships/hyperlink" Target="https://www.ande.gov.py/finanzas/2.%20COMPILACION%20ESTADISTICA%202003-2023/ANDE%20-%20Compilacion%20Estadistica%202003-2023.pdf" TargetMode="External" Id="rId102"/><Relationship Type="http://schemas.openxmlformats.org/officeDocument/2006/relationships/hyperlink" Target="https://www.ande.gov.py/finanzas/2.%20COMPILACION%20ESTADISTICA%202003-2023/ANDE%20-%20Compilacion%20Estadistica%202003-2023.pdf" TargetMode="External" Id="rId103"/><Relationship Type="http://schemas.openxmlformats.org/officeDocument/2006/relationships/hyperlink" Target="https://www.ande.gov.py/finanzas/2.%20COMPILACION%20ESTADISTICA%202003-2023/ANDE%20-%20Compilacion%20Estadistica%202003-2023.pdf" TargetMode="External" Id="rId104"/><Relationship Type="http://schemas.openxmlformats.org/officeDocument/2006/relationships/hyperlink" Target="https://www.ande.gov.py/finanzas/2.%20COMPILACION%20ESTADISTICA%202003-2023/ANDE%20-%20Compilacion%20Estadistica%202003-2023.pdf" TargetMode="External" Id="rId105"/><Relationship Type="http://schemas.openxmlformats.org/officeDocument/2006/relationships/hyperlink" Target="https://www.ande.gov.py/finanzas/2.%20COMPILACION%20ESTADISTICA%202003-2023/ANDE%20-%20Compilacion%20Estadistica%202003-2023.pdf" TargetMode="External" Id="rId106"/><Relationship Type="http://schemas.openxmlformats.org/officeDocument/2006/relationships/hyperlink" Target="https://www.ande.gov.py/finanzas/2.%20COMPILACION%20ESTADISTICA%202003-2023/ANDE%20-%20Compilacion%20Estadistica%202003-2023.pdf" TargetMode="External" Id="rId107"/><Relationship Type="http://schemas.openxmlformats.org/officeDocument/2006/relationships/hyperlink" Target="https://www.ande.gov.py/finanzas/2.%20COMPILACION%20ESTADISTICA%202003-2023/ANDE%20-%20Compilacion%20Estadistica%202003-2023.pdf" TargetMode="External" Id="rId108"/><Relationship Type="http://schemas.openxmlformats.org/officeDocument/2006/relationships/hyperlink" Target="https://www.ande.gov.py/finanzas/2.%20COMPILACION%20ESTADISTICA%202003-2023/ANDE%20-%20Compilacion%20Estadistica%202003-2023.pdf" TargetMode="External" Id="rId109"/><Relationship Type="http://schemas.openxmlformats.org/officeDocument/2006/relationships/hyperlink" Target="https://www.ande.gov.py/finanzas/2.%20COMPILACION%20ESTADISTICA%202003-2023/ANDE%20-%20Compilacion%20Estadistica%202003-2023.pdf" TargetMode="External" Id="rId110"/><Relationship Type="http://schemas.openxmlformats.org/officeDocument/2006/relationships/hyperlink" Target="https://www.ande.gov.py/finanzas/2.%20COMPILACION%20ESTADISTICA%202003-2023/ANDE%20-%20Compilacion%20Estadistica%202003-2023.pdf" TargetMode="External" Id="rId111"/><Relationship Type="http://schemas.openxmlformats.org/officeDocument/2006/relationships/hyperlink" Target="https://www.ande.gov.py/finanzas/2.%20COMPILACION%20ESTADISTICA%202003-2023/ANDE%20-%20Compilacion%20Estadistica%202003-2023.pdf" TargetMode="External" Id="rId112"/><Relationship Type="http://schemas.openxmlformats.org/officeDocument/2006/relationships/hyperlink" Target="https://www.ande.gov.py/finanzas/2.%20COMPILACION%20ESTADISTICA%202003-2023/ANDE%20-%20Compilacion%20Estadistica%202003-2023.pdf" TargetMode="External" Id="rId113"/><Relationship Type="http://schemas.openxmlformats.org/officeDocument/2006/relationships/hyperlink" Target="https://www.ande.gov.py/finanzas/2.%20COMPILACION%20ESTADISTICA%202003-2023/ANDE%20-%20Compilacion%20Estadistica%202003-2023.pdf" TargetMode="External" Id="rId114"/><Relationship Type="http://schemas.openxmlformats.org/officeDocument/2006/relationships/hyperlink" Target="https://www.ande.gov.py/finanzas/2.%20COMPILACION%20ESTADISTICA%202003-2023/ANDE%20-%20Compilacion%20Estadistica%202003-2023.pdf" TargetMode="External" Id="rId115"/><Relationship Type="http://schemas.openxmlformats.org/officeDocument/2006/relationships/hyperlink" Target="https://www.ande.gov.py/finanzas/2.%20COMPILACION%20ESTADISTICA%202003-2023/ANDE%20-%20Compilacion%20Estadistica%202003-2023.pdf" TargetMode="External" Id="rId116"/><Relationship Type="http://schemas.openxmlformats.org/officeDocument/2006/relationships/hyperlink" Target="https://www.ande.gov.py/finanzas/2.%20COMPILACION%20ESTADISTICA%202003-2023/ANDE%20-%20Compilacion%20Estadistica%202003-2023.pdf" TargetMode="External" Id="rId117"/><Relationship Type="http://schemas.openxmlformats.org/officeDocument/2006/relationships/hyperlink" Target="https://www.ande.gov.py/finanzas/2.%20COMPILACION%20ESTADISTICA%202003-2023/ANDE%20-%20Compilacion%20Estadistica%202003-2023.pdf" TargetMode="External" Id="rId118"/><Relationship Type="http://schemas.openxmlformats.org/officeDocument/2006/relationships/hyperlink" Target="https://www.ande.gov.py/finanzas/2.%20COMPILACION%20ESTADISTICA%202003-2023/ANDE%20-%20Compilacion%20Estadistica%202003-2023.pdf" TargetMode="External" Id="rId119"/><Relationship Type="http://schemas.openxmlformats.org/officeDocument/2006/relationships/hyperlink" Target="https://www.ande.gov.py/finanzas/2.%20COMPILACION%20ESTADISTICA%202003-2023/ANDE%20-%20Compilacion%20Estadistica%202003-2023.pdf" TargetMode="External" Id="rId120"/><Relationship Type="http://schemas.openxmlformats.org/officeDocument/2006/relationships/hyperlink" Target="https://www.ande.gov.py/finanzas/2.%20COMPILACION%20ESTADISTICA%202003-2023/ANDE%20-%20Compilacion%20Estadistica%202003-2023.pdf" TargetMode="External" Id="rId121"/><Relationship Type="http://schemas.openxmlformats.org/officeDocument/2006/relationships/hyperlink" Target="https://www.ande.gov.py/finanzas/2.%20COMPILACION%20ESTADISTICA%202003-2023/ANDE%20-%20Compilacion%20Estadistica%202003-2023.pdf" TargetMode="External" Id="rId122"/><Relationship Type="http://schemas.openxmlformats.org/officeDocument/2006/relationships/hyperlink" Target="https://www.ande.gov.py/finanzas/2.%20COMPILACION%20ESTADISTICA%202003-2023/ANDE%20-%20Compilacion%20Estadistica%202003-2023.pdf" TargetMode="External" Id="rId123"/><Relationship Type="http://schemas.openxmlformats.org/officeDocument/2006/relationships/hyperlink" Target="https://www.ande.gov.py/finanzas/2.%20COMPILACION%20ESTADISTICA%202003-2023/ANDE%20-%20Compilacion%20Estadistica%202003-2023.pdf" TargetMode="External" Id="rId124"/><Relationship Type="http://schemas.openxmlformats.org/officeDocument/2006/relationships/hyperlink" Target="https://www.ande.gov.py/finanzas/2.%20COMPILACION%20ESTADISTICA%202003-2023/ANDE%20-%20Compilacion%20Estadistica%202003-2023.pdf" TargetMode="External" Id="rId125"/><Relationship Type="http://schemas.openxmlformats.org/officeDocument/2006/relationships/hyperlink" Target="https://www.ande.gov.py/finanzas/2.%20COMPILACION%20ESTADISTICA%202003-2023/ANDE%20-%20Compilacion%20Estadistica%202003-2023.pdf" TargetMode="External" Id="rId126"/><Relationship Type="http://schemas.openxmlformats.org/officeDocument/2006/relationships/hyperlink" Target="https://www.ande.gov.py/finanzas/2.%20COMPILACION%20ESTADISTICA%202003-2023/ANDE%20-%20Compilacion%20Estadistica%202003-2023.pdf" TargetMode="External" Id="rId127"/><Relationship Type="http://schemas.openxmlformats.org/officeDocument/2006/relationships/hyperlink" Target="https://www.ande.gov.py/finanzas/2.%20COMPILACION%20ESTADISTICA%202003-2023/ANDE%20-%20Compilacion%20Estadistica%202003-2023.pdf" TargetMode="External" Id="rId128"/><Relationship Type="http://schemas.openxmlformats.org/officeDocument/2006/relationships/hyperlink" Target="https://www.ande.gov.py/finanzas/2.%20COMPILACION%20ESTADISTICA%202003-2023/ANDE%20-%20Compilacion%20Estadistica%202003-2023.pdf" TargetMode="External" Id="rId129"/><Relationship Type="http://schemas.openxmlformats.org/officeDocument/2006/relationships/hyperlink" Target="https://www.ande.gov.py/finanzas/2.%20COMPILACION%20ESTADISTICA%202003-2023/ANDE%20-%20Compilacion%20Estadistica%202003-2023.pdf" TargetMode="External" Id="rId130"/><Relationship Type="http://schemas.openxmlformats.org/officeDocument/2006/relationships/hyperlink" Target="https://www.ande.gov.py/finanzas/2.%20COMPILACION%20ESTADISTICA%202003-2023/ANDE%20-%20Compilacion%20Estadistica%202003-2023.pdf" TargetMode="External" Id="rId131"/><Relationship Type="http://schemas.openxmlformats.org/officeDocument/2006/relationships/hyperlink" Target="https://www.ande.gov.py/finanzas/2.%20COMPILACION%20ESTADISTICA%202003-2023/ANDE%20-%20Compilacion%20Estadistica%202003-2023.pdf" TargetMode="External" Id="rId132"/><Relationship Type="http://schemas.openxmlformats.org/officeDocument/2006/relationships/hyperlink" Target="https://www.ande.gov.py/finanzas/2.%20COMPILACION%20ESTADISTICA%202003-2023/ANDE%20-%20Compilacion%20Estadistica%202003-2023.pdf" TargetMode="External" Id="rId133"/><Relationship Type="http://schemas.openxmlformats.org/officeDocument/2006/relationships/hyperlink" Target="https://www.ande.gov.py/finanzas/2.%20COMPILACION%20ESTADISTICA%202003-2023/ANDE%20-%20Compilacion%20Estadistica%202003-2023.pdf" TargetMode="External" Id="rId134"/><Relationship Type="http://schemas.openxmlformats.org/officeDocument/2006/relationships/hyperlink" Target="https://www.ande.gov.py/finanzas/2.%20COMPILACION%20ESTADISTICA%202003-2023/ANDE%20-%20Compilacion%20Estadistica%202003-2023.pdf" TargetMode="External" Id="rId135"/><Relationship Type="http://schemas.openxmlformats.org/officeDocument/2006/relationships/hyperlink" Target="https://www.ande.gov.py/finanzas/2.%20COMPILACION%20ESTADISTICA%202003-2023/ANDE%20-%20Compilacion%20Estadistica%202003-2023.pdf" TargetMode="External" Id="rId136"/><Relationship Type="http://schemas.openxmlformats.org/officeDocument/2006/relationships/hyperlink" Target="https://www.ande.gov.py/finanzas/2.%20COMPILACION%20ESTADISTICA%202003-2023/ANDE%20-%20Compilacion%20Estadistica%202003-2023.pdf" TargetMode="External" Id="rId137"/><Relationship Type="http://schemas.openxmlformats.org/officeDocument/2006/relationships/hyperlink" Target="https://www.ande.gov.py/finanzas/2.%20COMPILACION%20ESTADISTICA%202003-2023/ANDE%20-%20Compilacion%20Estadistica%202003-2023.pdf" TargetMode="External" Id="rId138"/><Relationship Type="http://schemas.openxmlformats.org/officeDocument/2006/relationships/hyperlink" Target="https://www.ande.gov.py/finanzas/2.%20COMPILACION%20ESTADISTICA%202003-2023/ANDE%20-%20Compilacion%20Estadistica%202003-2023.pdf" TargetMode="External" Id="rId139"/><Relationship Type="http://schemas.openxmlformats.org/officeDocument/2006/relationships/hyperlink" Target="https://www.ande.gov.py/finanzas/2.%20COMPILACION%20ESTADISTICA%202003-2023/ANDE%20-%20Compilacion%20Estadistica%202003-2023.pdf" TargetMode="External" Id="rId140"/><Relationship Type="http://schemas.openxmlformats.org/officeDocument/2006/relationships/hyperlink" Target="https://www.ande.gov.py/finanzas/2.%20COMPILACION%20ESTADISTICA%202003-2023/ANDE%20-%20Compilacion%20Estadistica%202003-2023.pdf" TargetMode="External" Id="rId141"/><Relationship Type="http://schemas.openxmlformats.org/officeDocument/2006/relationships/hyperlink" Target="https://www.ande.gov.py/finanzas/2.%20COMPILACION%20ESTADISTICA%202003-2023/ANDE%20-%20Compilacion%20Estadistica%202003-2023.pdf" TargetMode="External" Id="rId142"/><Relationship Type="http://schemas.openxmlformats.org/officeDocument/2006/relationships/hyperlink" Target="https://www.ande.gov.py/finanzas/2.%20COMPILACION%20ESTADISTICA%202003-2023/ANDE%20-%20Compilacion%20Estadistica%202003-2023.pdf" TargetMode="External" Id="rId143"/><Relationship Type="http://schemas.openxmlformats.org/officeDocument/2006/relationships/hyperlink" Target="https://www.ande.gov.py/finanzas/2.%20COMPILACION%20ESTADISTICA%202003-2023/ANDE%20-%20Compilacion%20Estadistica%202003-2023.pdf" TargetMode="External" Id="rId144"/><Relationship Type="http://schemas.openxmlformats.org/officeDocument/2006/relationships/hyperlink" Target="https://www.ande.gov.py/finanzas/2.%20COMPILACION%20ESTADISTICA%202003-2023/ANDE%20-%20Compilacion%20Estadistica%202003-2023.pdf" TargetMode="External" Id="rId145"/><Relationship Type="http://schemas.openxmlformats.org/officeDocument/2006/relationships/hyperlink" Target="https://www.ande.gov.py/finanzas/2.%20COMPILACION%20ESTADISTICA%202003-2023/ANDE%20-%20Compilacion%20Estadistica%202003-2023.pdf" TargetMode="External" Id="rId146"/><Relationship Type="http://schemas.openxmlformats.org/officeDocument/2006/relationships/hyperlink" Target="https://www.ande.gov.py/finanzas/2.%20COMPILACION%20ESTADISTICA%202003-2023/ANDE%20-%20Compilacion%20Estadistica%202003-2023.pdf" TargetMode="External" Id="rId147"/><Relationship Type="http://schemas.openxmlformats.org/officeDocument/2006/relationships/hyperlink" Target="https://www.ande.gov.py/documentos/plan_maestro/PM_2016_2025_Gen_Trans_Distrib_Telematica.pdf" TargetMode="External" Id="rId148"/><Relationship Type="http://schemas.openxmlformats.org/officeDocument/2006/relationships/hyperlink" Target="https://www.ande.gov.py/interna.php?id=8362" TargetMode="External" Id="rId149"/></Relationships>
</file>

<file path=xl/worksheets/_rels/sheet22.xml.rels><Relationships xmlns="http://schemas.openxmlformats.org/package/2006/relationships"><Relationship Type="http://schemas.openxmlformats.org/officeDocument/2006/relationships/hyperlink" Target="https://dados.ons.org.br/dataset/geracao_itaipu" TargetMode="External" Id="rId1"/><Relationship Type="http://schemas.openxmlformats.org/officeDocument/2006/relationships/hyperlink" Target="https://dados.ons.org.br/dataset/intercambio-internacional" TargetMode="External" Id="rId2"/><Relationship Type="http://schemas.openxmlformats.org/officeDocument/2006/relationships/hyperlink" Target="https://cammesaweb.cammesa.com/apiweb/" TargetMode="External" Id="rId3"/><Relationship Type="http://schemas.openxmlformats.org/officeDocument/2006/relationships/hyperlink" Target="https://cammesaweb.cammesa.com/variables-relevantes-mem/" TargetMode="External" Id="rId4"/><Relationship Type="http://schemas.openxmlformats.org/officeDocument/2006/relationships/hyperlink" Target="https://www.ande.gov.py/tarifas_vigentes.php" TargetMode="External" Id="rId5"/><Relationship Type="http://schemas.openxmlformats.org/officeDocument/2006/relationships/hyperlink" Target="https://www.ande.gov.py/" TargetMode="External" Id="rId6"/><Relationship Type="http://schemas.openxmlformats.org/officeDocument/2006/relationships/hyperlink" Target="https://geonode.ine.gov.py/" TargetMode="External" Id="rId7"/><Relationship Type="http://schemas.openxmlformats.org/officeDocument/2006/relationships/hyperlink" Target="https://www.itaipu.gov.py/" TargetMode="External" Id="rId8"/><Relationship Type="http://schemas.openxmlformats.org/officeDocument/2006/relationships/hyperlink" Target="https://www.eby.gov.py/generacion-de-energia/" TargetMode="External" Id="rId9"/><Relationship Type="http://schemas.openxmlformats.org/officeDocument/2006/relationships/hyperlink" Target="https://www.ande.gov.py/finanzas.php" TargetMode="External" Id="rId10"/></Relationships>
</file>

<file path=xl/worksheets/_rels/sheet23.xml.rels><Relationships xmlns="http://schemas.openxmlformats.org/package/2006/relationships"><Relationship Type="http://schemas.openxmlformats.org/officeDocument/2006/relationships/hyperlink" Target="https://www.abc.com.py/economia/2026/01/20/en-2025-pagaron-al-paraguay-us-15-por-cada-1000-kwh-que-cedio-al-brasil/" TargetMode="External" Id="rId1"/><Relationship Type="http://schemas.openxmlformats.org/officeDocument/2006/relationships/hyperlink" Target="https://www.abc.com.py/economia/2024/09/07/ande-exporta-energia-a-la-argentina-a-us-100-mwh-pero-brasil-ofrece-maximo-us-2103mwh/" TargetMode="External" Id="rId2"/><Relationship Type="http://schemas.openxmlformats.org/officeDocument/2006/relationships/hyperlink" Target="https://www.abc.com.py/economia/2024/09/06/ande-abrio-sobres-sepa-cuanto-ofertaron-los-brasilenos-por-nuestra-energia/" TargetMode="External" Id="rId3"/><Relationship Type="http://schemas.openxmlformats.org/officeDocument/2006/relationships/hyperlink" Target="https://www.abc.com.py/edicion-impresa/suplementos/economico/2025/01/05/usar-la-energia-en-forma-planificada/" TargetMode="External" Id="rId4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EnergiaPY.live — Base Maestra V5</t>
        </is>
      </c>
    </row>
    <row r="2">
      <c r="A2" s="2" t="inlineStr">
        <is>
          <t>V5 consolidates the V4 historical/economic base with latest verified operational, customer, hydrology, climate, macro, household and grid-quality baselines. No synthetic data.</t>
        </is>
      </c>
    </row>
    <row r="4">
      <c r="A4" s="3" t="inlineStr">
        <is>
          <t>Version</t>
        </is>
      </c>
      <c r="B4" s="4" t="inlineStr">
        <is>
          <t>v3 / 11-09-2026</t>
        </is>
      </c>
    </row>
    <row r="5">
      <c r="A5" s="3" t="inlineStr">
        <is>
          <t>Principio</t>
        </is>
      </c>
      <c r="B5" s="4" t="inlineStr">
        <is>
          <t>Nunca completar silenciosamente datos faltantes. Dato oficial, contractual, periodistico y derivado se etiquetan por separado.</t>
        </is>
      </c>
    </row>
    <row r="6">
      <c r="A6" s="3" t="inlineStr">
        <is>
          <t>Measurements</t>
        </is>
      </c>
      <c r="B6" s="4" t="inlineStr">
        <is>
          <t>1,458 observaciones totales; 1,340 canónicas para métricas.</t>
        </is>
      </c>
    </row>
    <row r="7">
      <c r="A7" s="3" t="inlineStr">
        <is>
          <t>Prices</t>
        </is>
      </c>
      <c r="B7" s="4" t="inlineStr">
        <is>
          <t>368 referencias/tarifas/precios + tarifas residenciales vigentes y reglas de tarifa social.</t>
        </is>
      </c>
    </row>
    <row r="8">
      <c r="A8" s="3" t="inlineStr">
        <is>
          <t>Economic transactions</t>
        </is>
      </c>
      <c r="B8" s="4" t="inlineStr">
        <is>
          <t>76 pagos/compensaciones/royalties.</t>
        </is>
      </c>
    </row>
    <row r="9">
      <c r="A9" s="3" t="inlineStr">
        <is>
          <t>Infrastructure</t>
        </is>
      </c>
      <c r="B9" s="4" t="inlineStr">
        <is>
          <t>149 observaciones de red/capacidad.</t>
        </is>
      </c>
    </row>
    <row r="10">
      <c r="A10" s="3" t="inlineStr">
        <is>
          <t>Earliest physical history</t>
        </is>
      </c>
      <c r="B10" s="4" t="inlineStr">
        <is>
          <t>Acaray/interconexion: 1968/1969 marker; Itaipu generation: 1984; Yacyreta generation: 1994; ANDE billed series: 1983.</t>
        </is>
      </c>
    </row>
    <row r="11">
      <c r="A11" s="3" t="inlineStr">
        <is>
          <t>Economic history</t>
        </is>
      </c>
      <c r="B11" s="4" t="inlineStr">
        <is>
          <t>Itaipu royalties: 1989; ANDE tariff averages: 1990; cession detail loaded: 2013 onward; Yacyreta legal framework from treaty/notes reversales.</t>
        </is>
      </c>
    </row>
    <row r="12">
      <c r="A12" s="3" t="inlineStr">
        <is>
          <t>Queued</t>
        </is>
      </c>
      <c r="B12" s="4" t="inlineStr">
        <is>
          <t>ONS Itaipu hourly, ONS international exchanges, CAMMESA API/files, ANDE/INE GIS and post-2012 EBY monthly backfill.</t>
        </is>
      </c>
    </row>
    <row r="13">
      <c r="A13" s="3" t="inlineStr">
        <is>
          <t>Canonical rule</t>
        </is>
      </c>
      <c r="B13" s="4" t="inlineStr">
        <is>
          <t>For a logical duplicate, only canonical_flag=1 enters metrics. Highest revision_priority wins; alternates remain for audit.</t>
        </is>
      </c>
    </row>
    <row r="14">
      <c r="A14" s="3" t="inlineStr">
        <is>
          <t>Economic rule</t>
        </is>
      </c>
      <c r="B14" s="4" t="inlineStr">
        <is>
          <t>Cession compensation != market sale != tariff != royalty. Never combine them without explicit metric definition.</t>
        </is>
      </c>
    </row>
    <row r="15">
      <c r="A15" s="3" t="inlineStr">
        <is>
          <t>Recommended production tables</t>
        </is>
      </c>
      <c r="B15" s="4" t="inlineStr">
        <is>
          <t>measurements, prices, economic_terms, economic_transactions, infrastructure, source_documents, quality_issues, import_queue, assets, sources.</t>
        </is>
      </c>
    </row>
    <row r="16">
      <c r="A16" t="inlineStr">
        <is>
          <t>Retail pricing v3</t>
        </is>
      </c>
      <c r="B16" t="inlineStr">
        <is>
          <t>Tarifa media ANDE 1990-2024, tarifa residencial vigente por fajas, tarifa social y resumen/proxy 2025. BCP FX/IPC en cola para normalización real/USD.</t>
        </is>
      </c>
    </row>
    <row r="18">
      <c r="A18" s="21" t="inlineStr">
        <is>
          <t>V5 principle</t>
        </is>
      </c>
      <c r="B18" s="39" t="inlineStr">
        <is>
          <t>A current snapshot is not labeled as a historical average unless the source period supports that calculation.</t>
        </is>
      </c>
    </row>
    <row r="19">
      <c r="A19" s="21" t="inlineStr">
        <is>
          <t>ONS bulk limitation</t>
        </is>
      </c>
      <c r="B19" s="39" t="inlineStr">
        <is>
          <t>Official ONS hourly CSV URLs are verified and stored, but binary download is blocked in this runtime. Production collector must ingest them on Hostinger; no fake hourly curve was generated.</t>
        </is>
      </c>
    </row>
    <row r="20">
      <c r="A20" s="21" t="inlineStr">
        <is>
          <t>DMH quality</t>
        </is>
      </c>
      <c r="B20" s="39" t="inlineStr">
        <is>
          <t>Automatic-station public values are explicitly tagged ORIENTATIVE_WEB because DMH says the web table is orientative and not certified documentation.</t>
        </is>
      </c>
    </row>
    <row r="21">
      <c r="A21" s="21" t="inlineStr">
        <is>
          <t>Current Yacyreta power</t>
        </is>
      </c>
      <c r="B21" s="39" t="inlineStr">
        <is>
          <t>The EBY homepage value is stored with collected_at and no invented measured_at because the page only says “last hour”.</t>
        </is>
      </c>
    </row>
    <row r="22">
      <c r="A22" s="21" t="inlineStr">
        <is>
          <t>Derived averages</t>
        </is>
      </c>
      <c r="B22" s="39" t="inlineStr">
        <is>
          <t>Equivalent MW from GWh/time are derived reference averages, not instantaneous measured MW.</t>
        </is>
      </c>
    </row>
  </sheetData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 ht="32" customHeight="1">
      <c r="A1" s="5" t="inlineStr">
        <is>
          <t>dataset</t>
        </is>
      </c>
      <c r="B1" s="5" t="inlineStr">
        <is>
          <t>source_start</t>
        </is>
      </c>
      <c r="C1" s="5" t="inlineStr">
        <is>
          <t>source_end</t>
        </is>
      </c>
      <c r="D1" s="5" t="inlineStr">
        <is>
          <t>loaded_start</t>
        </is>
      </c>
      <c r="E1" s="5" t="inlineStr">
        <is>
          <t>loaded_end</t>
        </is>
      </c>
      <c r="F1" s="5" t="inlineStr">
        <is>
          <t>status</t>
        </is>
      </c>
      <c r="G1" s="5" t="inlineStr">
        <is>
          <t>notes</t>
        </is>
      </c>
    </row>
    <row r="2">
      <c r="A2" s="6" t="inlineStr">
        <is>
          <t>ANDE billed market</t>
        </is>
      </c>
      <c r="B2" s="6" t="inlineStr">
        <is>
          <t>1983</t>
        </is>
      </c>
      <c r="C2" s="6" t="inlineStr">
        <is>
          <t>2018</t>
        </is>
      </c>
      <c r="D2" s="6" t="inlineStr">
        <is>
          <t>1983</t>
        </is>
      </c>
      <c r="E2" s="6" t="inlineStr">
        <is>
          <t>2018</t>
        </is>
      </c>
      <c r="F2" s="4" t="inlineStr">
        <is>
          <t>loaded/revised</t>
        </is>
      </c>
      <c r="G2" s="4" t="inlineStr">
        <is>
          <t>Billed by sector + export; later categories require continuation from newer documents</t>
        </is>
      </c>
    </row>
    <row r="3">
      <c r="A3" s="6" t="inlineStr">
        <is>
          <t>ANDE SIN gross consumption/demand</t>
        </is>
      </c>
      <c r="B3" s="6" t="inlineStr">
        <is>
          <t>2003</t>
        </is>
      </c>
      <c r="C3" s="6" t="inlineStr">
        <is>
          <t>2026</t>
        </is>
      </c>
      <c r="D3" s="6" t="inlineStr">
        <is>
          <t>2003</t>
        </is>
      </c>
      <c r="E3" s="6" t="inlineStr">
        <is>
          <t>2026-05 + events</t>
        </is>
      </c>
      <c r="F3" s="4" t="inlineStr">
        <is>
          <t>loaded</t>
        </is>
      </c>
      <c r="G3" s="4" t="inlineStr">
        <is>
          <t>Annual through 2025; monthly Jan-May 2026 currently in seed</t>
        </is>
      </c>
    </row>
    <row r="4">
      <c r="A4" s="6" t="inlineStr">
        <is>
          <t>ANDE tariff averages</t>
        </is>
      </c>
      <c r="B4" s="6" t="inlineStr">
        <is>
          <t>1990</t>
        </is>
      </c>
      <c r="C4" s="6" t="inlineStr">
        <is>
          <t>2024</t>
        </is>
      </c>
      <c r="D4" s="6" t="inlineStr">
        <is>
          <t>1990</t>
        </is>
      </c>
      <c r="E4" s="6" t="inlineStr">
        <is>
          <t>2024 + current tariff bands</t>
        </is>
      </c>
      <c r="F4" s="4" t="inlineStr">
        <is>
          <t>loaded</t>
        </is>
      </c>
      <c r="G4" s="4" t="inlineStr">
        <is>
          <t>Tarifa media oficial 1990-2024; Pliego 21 residencial/social vigente cargado. 2025 anual pendiente; proxy provisional en summary.</t>
        </is>
      </c>
    </row>
    <row r="5">
      <c r="A5" s="6" t="inlineStr">
        <is>
          <t>ANDE transmission/distribution</t>
        </is>
      </c>
      <c r="B5" s="6" t="inlineStr">
        <is>
          <t>2003</t>
        </is>
      </c>
      <c r="C5" s="6" t="inlineStr">
        <is>
          <t>2023</t>
        </is>
      </c>
      <c r="D5" s="6" t="inlineStr">
        <is>
          <t>2003</t>
        </is>
      </c>
      <c r="E5" s="6" t="inlineStr">
        <is>
          <t>2023</t>
        </is>
      </c>
      <c r="F5" s="4" t="inlineStr">
        <is>
          <t>loaded</t>
        </is>
      </c>
      <c r="G5" s="4" t="inlineStr">
        <is>
          <t>GIS geometry of individual lines/substations pending</t>
        </is>
      </c>
    </row>
    <row r="6">
      <c r="A6" s="6" t="inlineStr">
        <is>
          <t>Acaray interconnection/export history</t>
        </is>
      </c>
      <c r="B6" s="6" t="inlineStr">
        <is>
          <t>1969</t>
        </is>
      </c>
      <c r="C6" s="6" t="inlineStr">
        <is>
          <t>current</t>
        </is>
      </c>
      <c r="D6" s="6" t="inlineStr">
        <is>
          <t>1969 contract marker</t>
        </is>
      </c>
      <c r="E6" s="6" t="inlineStr">
        <is>
          <t>2025 export totals</t>
        </is>
      </c>
      <c r="F6" s="4" t="inlineStr">
        <is>
          <t>partial</t>
        </is>
      </c>
      <c r="G6" s="4" t="inlineStr">
        <is>
          <t>Detailed hourly plant output not public in seed</t>
        </is>
      </c>
    </row>
    <row r="7">
      <c r="A7" s="6" t="inlineStr">
        <is>
          <t>Itaipu generation</t>
        </is>
      </c>
      <c r="B7" s="6" t="inlineStr">
        <is>
          <t>1984</t>
        </is>
      </c>
      <c r="C7" s="6" t="inlineStr">
        <is>
          <t>current</t>
        </is>
      </c>
      <c r="D7" s="6" t="inlineStr">
        <is>
          <t>1984</t>
        </is>
      </c>
      <c r="E7" s="6" t="inlineStr">
        <is>
          <t>2002 + 2018-20 supply + 2024-25 generation</t>
        </is>
      </c>
      <c r="F7" s="4" t="inlineStr">
        <is>
          <t>partial</t>
        </is>
      </c>
      <c r="G7" s="4" t="inlineStr">
        <is>
          <t>ONS hourly backfill will fill major gap</t>
        </is>
      </c>
    </row>
    <row r="8">
      <c r="A8" s="6" t="inlineStr">
        <is>
          <t>Itaipu royalties</t>
        </is>
      </c>
      <c r="B8" s="6" t="inlineStr">
        <is>
          <t>1989</t>
        </is>
      </c>
      <c r="C8" s="6" t="inlineStr">
        <is>
          <t>current</t>
        </is>
      </c>
      <c r="D8" s="6" t="inlineStr">
        <is>
          <t>1989</t>
        </is>
      </c>
      <c r="E8" s="6" t="inlineStr">
        <is>
          <t>2026-08 partial</t>
        </is>
      </c>
      <c r="F8" s="4" t="inlineStr">
        <is>
          <t>loaded</t>
        </is>
      </c>
      <c r="G8" s="4" t="inlineStr">
        <is>
          <t>Annual cash series + current YTD</t>
        </is>
      </c>
    </row>
    <row r="9">
      <c r="A9" s="6" t="inlineStr">
        <is>
          <t>Itaipu cession compensation</t>
        </is>
      </c>
      <c r="B9" s="6" t="inlineStr">
        <is>
          <t>2013</t>
        </is>
      </c>
      <c r="C9" s="6" t="inlineStr">
        <is>
          <t>current</t>
        </is>
      </c>
      <c r="D9" s="6" t="inlineStr">
        <is>
          <t>2013</t>
        </is>
      </c>
      <c r="E9" s="6" t="inlineStr">
        <is>
          <t>2026-08 partial</t>
        </is>
      </c>
      <c r="F9" s="4" t="inlineStr">
        <is>
          <t>partial</t>
        </is>
      </c>
      <c r="G9" s="4" t="inlineStr">
        <is>
          <t>2019 exact cash cession omitted until source-specific verification</t>
        </is>
      </c>
    </row>
    <row r="10">
      <c r="A10" s="6" t="inlineStr">
        <is>
          <t>Yacyreta generation/destination</t>
        </is>
      </c>
      <c r="B10" s="6" t="inlineStr">
        <is>
          <t>1994</t>
        </is>
      </c>
      <c r="C10" s="6" t="inlineStr">
        <is>
          <t>current</t>
        </is>
      </c>
      <c r="D10" s="6" t="inlineStr">
        <is>
          <t>1994-08</t>
        </is>
      </c>
      <c r="E10" s="6" t="inlineStr">
        <is>
          <t>2012-06 + 2020</t>
        </is>
      </c>
      <c r="F10" s="4" t="inlineStr">
        <is>
          <t>partial</t>
        </is>
      </c>
      <c r="G10" s="4" t="inlineStr">
        <is>
          <t>Need later monthly backfill/API/public reports</t>
        </is>
      </c>
    </row>
    <row r="11">
      <c r="A11" s="6" t="inlineStr">
        <is>
          <t>Yacyreta economic/legal</t>
        </is>
      </c>
      <c r="B11" s="6" t="inlineStr">
        <is>
          <t>1973</t>
        </is>
      </c>
      <c r="C11" s="6" t="inlineStr">
        <is>
          <t>current</t>
        </is>
      </c>
      <c r="D11" s="6" t="inlineStr">
        <is>
          <t>1973 legal</t>
        </is>
      </c>
      <c r="E11" s="6" t="inlineStr">
        <is>
          <t>2025 contract + 2024 payments</t>
        </is>
      </c>
      <c r="F11" s="4" t="inlineStr">
        <is>
          <t>partial</t>
        </is>
      </c>
      <c r="G11" s="4" t="inlineStr">
        <is>
          <t>Need systematic annual compensation/royalties series</t>
        </is>
      </c>
    </row>
    <row r="12">
      <c r="A12" s="6" t="inlineStr">
        <is>
          <t>ONS Itaipu hourly</t>
        </is>
      </c>
      <c r="B12" s="6" t="inlineStr">
        <is>
          <t>dataset availability</t>
        </is>
      </c>
      <c r="C12" s="6" t="inlineStr">
        <is>
          <t>current</t>
        </is>
      </c>
      <c r="D12" s="6" t="inlineStr"/>
      <c r="E12" s="6" t="inlineStr"/>
      <c r="F12" s="4" t="inlineStr">
        <is>
          <t>queued</t>
        </is>
      </c>
      <c r="G12" s="4" t="inlineStr">
        <is>
          <t>Official bulk dataset identified; load on server</t>
        </is>
      </c>
    </row>
    <row r="13">
      <c r="A13" s="6" t="inlineStr">
        <is>
          <t>ONS international exchange</t>
        </is>
      </c>
      <c r="B13" s="6" t="inlineStr">
        <is>
          <t>dataset availability</t>
        </is>
      </c>
      <c r="C13" s="6" t="inlineStr">
        <is>
          <t>current</t>
        </is>
      </c>
      <c r="D13" s="6" t="inlineStr"/>
      <c r="E13" s="6" t="inlineStr"/>
      <c r="F13" s="4" t="inlineStr">
        <is>
          <t>queued</t>
        </is>
      </c>
      <c r="G13" s="4" t="inlineStr">
        <is>
          <t>Official bulk dataset identified; load on server</t>
        </is>
      </c>
    </row>
    <row r="14">
      <c r="A14" s="6" t="inlineStr">
        <is>
          <t>CAMMESA SADI/flows</t>
        </is>
      </c>
      <c r="B14" s="6" t="inlineStr">
        <is>
          <t>historical/current</t>
        </is>
      </c>
      <c r="C14" s="6" t="inlineStr">
        <is>
          <t>current</t>
        </is>
      </c>
      <c r="D14" s="6" t="inlineStr"/>
      <c r="E14" s="6" t="inlineStr"/>
      <c r="F14" s="4" t="inlineStr">
        <is>
          <t>queued</t>
        </is>
      </c>
      <c r="G14" s="4" t="inlineStr">
        <is>
          <t>API + monthly Variables Relevantes identified</t>
        </is>
      </c>
    </row>
    <row r="15">
      <c r="A15" t="inlineStr">
        <is>
          <t>BCP FX / IPC for tariff normalization</t>
        </is>
      </c>
      <c r="B15" t="inlineStr">
        <is>
          <t>1950 IPC / FX historical</t>
        </is>
      </c>
      <c r="C15" t="inlineStr">
        <is>
          <t>current</t>
        </is>
      </c>
      <c r="D15" t="inlineStr">
        <is>
          <t>1990</t>
        </is>
      </c>
      <c r="E15" t="inlineStr">
        <is>
          <t>2025 annual + 2026 current snapshots</t>
        </is>
      </c>
      <c r="F15" t="inlineStr">
        <is>
          <t>loaded_provisional</t>
        </is>
      </c>
      <c r="G15" t="inlineStr">
        <is>
          <t>WDI/IMF annual backfill 1990-2025 + BCP 2026 current. Raw BCP historical reconciliation remains required.</t>
        </is>
      </c>
    </row>
    <row r="16">
      <c r="A16" t="inlineStr">
        <is>
          <t>Tariff normalization real/USD</t>
        </is>
      </c>
      <c r="B16" t="inlineStr">
        <is>
          <t>1990</t>
        </is>
      </c>
      <c r="C16" t="inlineStr">
        <is>
          <t>2025</t>
        </is>
      </c>
      <c r="D16" t="inlineStr">
        <is>
          <t>1990</t>
        </is>
      </c>
      <c r="E16" t="inlineStr">
        <is>
          <t>2025</t>
        </is>
      </c>
      <c r="F16" t="inlineStr">
        <is>
          <t>loaded</t>
        </is>
      </c>
      <c r="G16" t="inlineStr">
        <is>
          <t>All canonical ANDE PYG/kWh tariffs converted to real-2025 PYG/kWh and USD/MWh using annual macro layer.</t>
        </is>
      </c>
    </row>
    <row r="17">
      <c r="A17" s="40" t="inlineStr">
        <is>
          <t>ANDE customer categories 2025</t>
        </is>
      </c>
      <c r="B17" s="40" t="inlineStr">
        <is>
          <t>2025</t>
        </is>
      </c>
      <c r="C17" s="40" t="inlineStr">
        <is>
          <t>2025</t>
        </is>
      </c>
      <c r="D17" s="40" t="inlineStr">
        <is>
          <t>2025</t>
        </is>
      </c>
      <c r="E17" s="40" t="inlineStr">
        <is>
          <t>2025</t>
        </is>
      </c>
      <c r="F17" s="40" t="inlineStr">
        <is>
          <t>loaded</t>
        </is>
      </c>
      <c r="G17" s="40" t="inlineStr">
        <is>
          <t>Billed kWh + user counts + derived kWh/user and shares.</t>
        </is>
      </c>
    </row>
    <row r="18">
      <c r="A18" s="40" t="inlineStr">
        <is>
          <t>ANDE losses and continuity</t>
        </is>
      </c>
      <c r="B18" s="40" t="inlineStr">
        <is>
          <t>2015/current</t>
        </is>
      </c>
      <c r="C18" s="40" t="inlineStr">
        <is>
          <t>current</t>
        </is>
      </c>
      <c r="D18" s="40" t="inlineStr">
        <is>
          <t>2024/25</t>
        </is>
      </c>
      <c r="E18" s="40" t="inlineStr">
        <is>
          <t>2025 + targets</t>
        </is>
      </c>
      <c r="F18" s="40" t="inlineStr">
        <is>
          <t>loaded/current-baseline</t>
        </is>
      </c>
      <c r="G18" s="40" t="inlineStr">
        <is>
          <t>National loss + Metropolitan DEP/FEP; deeper regional series still desirable.</t>
        </is>
      </c>
    </row>
    <row r="19">
      <c r="A19" s="40" t="inlineStr">
        <is>
          <t>Itaipu current-year operations</t>
        </is>
      </c>
      <c r="B19" s="40" t="inlineStr">
        <is>
          <t>2026</t>
        </is>
      </c>
      <c r="C19" s="40" t="inlineStr">
        <is>
          <t>current</t>
        </is>
      </c>
      <c r="D19" s="40" t="inlineStr">
        <is>
          <t>2026-01</t>
        </is>
      </c>
      <c r="E19" s="40" t="inlineStr">
        <is>
          <t>2026-08</t>
        </is>
      </c>
      <c r="F19" s="40" t="inlineStr">
        <is>
          <t>loaded</t>
        </is>
      </c>
      <c r="G19" s="40" t="inlineStr">
        <is>
          <t>Jan-Aug production/supply and availability plus derived equivalent average power.</t>
        </is>
      </c>
    </row>
    <row r="20">
      <c r="A20" s="40" t="inlineStr">
        <is>
          <t>Yacyreta current hydrology/power</t>
        </is>
      </c>
      <c r="B20" s="40" t="inlineStr">
        <is>
          <t>current</t>
        </is>
      </c>
      <c r="C20" s="40" t="inlineStr">
        <is>
          <t>current</t>
        </is>
      </c>
      <c r="D20" s="40" t="inlineStr">
        <is>
          <t>2026-09-10</t>
        </is>
      </c>
      <c r="E20" s="40" t="inlineStr">
        <is>
          <t>2026-09-11</t>
        </is>
      </c>
      <c r="F20" s="40" t="inlineStr">
        <is>
          <t>loaded/current-baseline</t>
        </is>
      </c>
      <c r="G20" s="40" t="inlineStr">
        <is>
          <t>Current operational/hydrological snapshot; exact homepage power timestamp unavailable.</t>
        </is>
      </c>
    </row>
    <row r="21">
      <c r="A21" s="40" t="inlineStr">
        <is>
          <t>BCP IMAEP contextual features</t>
        </is>
      </c>
      <c r="B21" s="40" t="inlineStr">
        <is>
          <t>historical</t>
        </is>
      </c>
      <c r="C21" s="40" t="inlineStr">
        <is>
          <t>current</t>
        </is>
      </c>
      <c r="D21" s="40" t="inlineStr">
        <is>
          <t>2026-01</t>
        </is>
      </c>
      <c r="E21" s="40" t="inlineStr">
        <is>
          <t>2026-06</t>
        </is>
      </c>
      <c r="F21" s="40" t="inlineStr">
        <is>
          <t>loaded-current</t>
        </is>
      </c>
      <c r="G21" s="40" t="inlineStr">
        <is>
          <t>Latest verified numeric report June 2026; historical monthly backfill can follow.</t>
        </is>
      </c>
    </row>
    <row r="22">
      <c r="A22" s="40" t="inlineStr">
        <is>
          <t>INE household income</t>
        </is>
      </c>
      <c r="B22" s="40" t="inlineStr">
        <is>
          <t>EPHC historical</t>
        </is>
      </c>
      <c r="C22" s="40" t="inlineStr">
        <is>
          <t>2025</t>
        </is>
      </c>
      <c r="D22" s="40" t="inlineStr">
        <is>
          <t>2025</t>
        </is>
      </c>
      <c r="E22" s="40" t="inlineStr">
        <is>
          <t>2025</t>
        </is>
      </c>
      <c r="F22" s="40" t="inlineStr">
        <is>
          <t>loaded-baseline</t>
        </is>
      </c>
      <c r="G22" s="40" t="inlineStr">
        <is>
          <t>2025 aggregate income and quintiles; microdata not yet fully backfilled.</t>
        </is>
      </c>
    </row>
    <row r="23">
      <c r="A23" s="40" t="inlineStr">
        <is>
          <t>INE household/equipment census</t>
        </is>
      </c>
      <c r="B23" s="40" t="inlineStr">
        <is>
          <t>2002/2012/2022</t>
        </is>
      </c>
      <c r="C23" s="40" t="inlineStr">
        <is>
          <t>2022</t>
        </is>
      </c>
      <c r="D23" s="40" t="inlineStr">
        <is>
          <t>2022</t>
        </is>
      </c>
      <c r="E23" s="40" t="inlineStr">
        <is>
          <t>2022</t>
        </is>
      </c>
      <c r="F23" s="40" t="inlineStr">
        <is>
          <t>loaded-baseline</t>
        </is>
      </c>
      <c r="G23" s="40" t="inlineStr">
        <is>
          <t>Electricity access and energy-relevant appliance penetration.</t>
        </is>
      </c>
    </row>
    <row r="24">
      <c r="A24" s="40" t="inlineStr">
        <is>
          <t>NOAA ENSO/RONI outlook</t>
        </is>
      </c>
      <c r="B24" s="40" t="inlineStr">
        <is>
          <t>1950/current</t>
        </is>
      </c>
      <c r="C24" s="40" t="inlineStr">
        <is>
          <t>current</t>
        </is>
      </c>
      <c r="D24" s="40" t="inlineStr">
        <is>
          <t>2026-09 issue</t>
        </is>
      </c>
      <c r="E24" s="40" t="inlineStr">
        <is>
          <t>9 seasons</t>
        </is>
      </c>
      <c r="F24" s="40" t="inlineStr">
        <is>
          <t>loaded-current</t>
        </is>
      </c>
      <c r="G24" s="40" t="inlineStr">
        <is>
          <t>September 2026 outlook; full historical ONI/RONI backfill remains optional/high value.</t>
        </is>
      </c>
    </row>
    <row r="25">
      <c r="A25" s="40" t="inlineStr">
        <is>
          <t>DMH automatic stations</t>
        </is>
      </c>
      <c r="B25" s="40" t="inlineStr">
        <is>
          <t>current</t>
        </is>
      </c>
      <c r="C25" s="40" t="inlineStr">
        <is>
          <t>current</t>
        </is>
      </c>
      <c r="D25" s="40" t="inlineStr">
        <is>
          <t>2026-09-10</t>
        </is>
      </c>
      <c r="E25" s="40" t="inlineStr">
        <is>
          <t>2026-09-10 snapshot</t>
        </is>
      </c>
      <c r="F25" s="40" t="inlineStr">
        <is>
          <t>partial-current</t>
        </is>
      </c>
      <c r="G25" s="40" t="inlineStr">
        <is>
          <t>Orientative web data; production collector should store full 10-min series.</t>
        </is>
      </c>
    </row>
    <row r="26">
      <c r="A26" s="40" t="inlineStr">
        <is>
          <t>Distributed generation</t>
        </is>
      </c>
      <c r="B26" s="40" t="inlineStr">
        <is>
          <t>2026</t>
        </is>
      </c>
      <c r="C26" s="40" t="inlineStr">
        <is>
          <t>current</t>
        </is>
      </c>
      <c r="D26" s="40" t="inlineStr">
        <is>
          <t>regulatory</t>
        </is>
      </c>
      <c r="E26" s="40" t="inlineStr">
        <is>
          <t>quantitative pending</t>
        </is>
      </c>
      <c r="F26" s="40" t="inlineStr">
        <is>
          <t>framework-loaded</t>
        </is>
      </c>
      <c r="G26" s="40" t="inlineStr">
        <is>
          <t>Legal framework active; public installed MW/user series not found.</t>
        </is>
      </c>
    </row>
  </sheetData>
  <autoFilter ref="A1:G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 ht="32" customHeight="1">
      <c r="A1" s="5" t="inlineStr">
        <is>
          <t>code</t>
        </is>
      </c>
      <c r="B1" s="5" t="inlineStr">
        <is>
          <t>name</t>
        </is>
      </c>
      <c r="C1" s="5" t="inlineStr">
        <is>
          <t>country</t>
        </is>
      </c>
      <c r="D1" s="5" t="inlineStr">
        <is>
          <t>authority_class</t>
        </is>
      </c>
      <c r="E1" s="5" t="inlineStr">
        <is>
          <t>base_url</t>
        </is>
      </c>
      <c r="F1" s="5" t="inlineStr">
        <is>
          <t>scope</t>
        </is>
      </c>
    </row>
    <row r="2">
      <c r="A2" s="6" t="inlineStr">
        <is>
          <t>ANDE</t>
        </is>
      </c>
      <c r="B2" s="6" t="inlineStr">
        <is>
          <t>Administracion Nacional de Electricidad</t>
        </is>
      </c>
      <c r="C2" s="6" t="inlineStr">
        <is>
          <t>PY</t>
        </is>
      </c>
      <c r="D2" s="6" t="inlineStr">
        <is>
          <t>OFFICIAL_PRIMARY</t>
        </is>
      </c>
      <c r="E2" s="4" t="inlineStr">
        <is>
          <t>https://www.ande.gov.py/</t>
        </is>
      </c>
      <c r="F2" s="4" t="inlineStr">
        <is>
          <t>SIN Paraguay, Acaray, balance, demanda, consumo, perdidas, tarifas, red, exportaciones ANDE</t>
        </is>
      </c>
    </row>
    <row r="3">
      <c r="A3" s="6" t="inlineStr">
        <is>
          <t>ITAIPU</t>
        </is>
      </c>
      <c r="B3" s="6" t="inlineStr">
        <is>
          <t>Itaipu Binacional</t>
        </is>
      </c>
      <c r="C3" s="6" t="inlineStr">
        <is>
          <t>PY/BR</t>
        </is>
      </c>
      <c r="D3" s="6" t="inlineStr">
        <is>
          <t>OFFICIAL_PRIMARY</t>
        </is>
      </c>
      <c r="E3" s="4" t="inlineStr">
        <is>
          <t>https://www.itaipu.gov.py/</t>
        </is>
      </c>
      <c r="F3" s="4" t="inlineStr">
        <is>
          <t>Generacion Itaipu, suministro, Anexo C, royalties, cesion, facturacion</t>
        </is>
      </c>
    </row>
    <row r="4">
      <c r="A4" s="6" t="inlineStr">
        <is>
          <t>EBY</t>
        </is>
      </c>
      <c r="B4" s="6" t="inlineStr">
        <is>
          <t>Entidad Binacional Yacyreta</t>
        </is>
      </c>
      <c r="C4" s="6" t="inlineStr">
        <is>
          <t>PY/AR</t>
        </is>
      </c>
      <c r="D4" s="6" t="inlineStr">
        <is>
          <t>OFFICIAL_PRIMARY</t>
        </is>
      </c>
      <c r="E4" s="4" t="inlineStr">
        <is>
          <t>https://www.eby.gov.py/</t>
        </is>
      </c>
      <c r="F4" s="4" t="inlineStr">
        <is>
          <t>Generacion Yacyreta, entregas SINP/SADI, acuerdos operativos, cesion</t>
        </is>
      </c>
    </row>
    <row r="5">
      <c r="A5" s="6" t="inlineStr">
        <is>
          <t>ONS</t>
        </is>
      </c>
      <c r="B5" s="6" t="inlineStr">
        <is>
          <t>Operador Nacional do Sistema Eletrico</t>
        </is>
      </c>
      <c r="C5" s="6" t="inlineStr">
        <is>
          <t>BR</t>
        </is>
      </c>
      <c r="D5" s="6" t="inlineStr">
        <is>
          <t>OFFICIAL_PRIMARY</t>
        </is>
      </c>
      <c r="E5" s="4" t="inlineStr">
        <is>
          <t>https://dados.ons.org.br/</t>
        </is>
      </c>
      <c r="F5" s="4" t="inlineStr">
        <is>
          <t>Itaipu horario, intercambio internacional, carga Brasil</t>
        </is>
      </c>
    </row>
    <row r="6">
      <c r="A6" s="6" t="inlineStr">
        <is>
          <t>CAMMESA</t>
        </is>
      </c>
      <c r="B6" s="6" t="inlineStr">
        <is>
          <t>Compania Administradora del Mercado Mayorista Electrico</t>
        </is>
      </c>
      <c r="C6" s="6" t="inlineStr">
        <is>
          <t>AR</t>
        </is>
      </c>
      <c r="D6" s="6" t="inlineStr">
        <is>
          <t>OFFICIAL_PRIMARY</t>
        </is>
      </c>
      <c r="E6" s="4" t="inlineStr">
        <is>
          <t>https://cammesaweb.cammesa.com/</t>
        </is>
      </c>
      <c r="F6" s="4" t="inlineStr">
        <is>
          <t>SADI, flujos, variables relevantes, API REST/JSON</t>
        </is>
      </c>
    </row>
    <row r="7">
      <c r="A7" s="6" t="inlineStr">
        <is>
          <t>BACN</t>
        </is>
      </c>
      <c r="B7" s="6" t="inlineStr">
        <is>
          <t>Biblioteca y Archivo Central del Congreso Nacional</t>
        </is>
      </c>
      <c r="C7" s="6" t="inlineStr">
        <is>
          <t>PY</t>
        </is>
      </c>
      <c r="D7" s="6" t="inlineStr">
        <is>
          <t>OFFICIAL_LEGAL</t>
        </is>
      </c>
      <c r="E7" s="4" t="inlineStr">
        <is>
          <t>https://www.bacn.gov.py/</t>
        </is>
      </c>
      <c r="F7" s="4" t="inlineStr">
        <is>
          <t>Tratados y leyes de Itaipu/Yacyreta, terminos economicos</t>
        </is>
      </c>
    </row>
    <row r="8">
      <c r="A8" s="6" t="inlineStr">
        <is>
          <t>MEF</t>
        </is>
      </c>
      <c r="B8" s="6" t="inlineStr">
        <is>
          <t>Ministerio de Economia y Finanzas</t>
        </is>
      </c>
      <c r="C8" s="6" t="inlineStr">
        <is>
          <t>PY</t>
        </is>
      </c>
      <c r="D8" s="6" t="inlineStr">
        <is>
          <t>OFFICIAL_PRIMARY</t>
        </is>
      </c>
      <c r="E8" s="4" t="inlineStr">
        <is>
          <t>https://www.mef.gov.py/</t>
        </is>
      </c>
      <c r="F8" s="4" t="inlineStr">
        <is>
          <t>Transferencias binacionales, royalties, compensaciones</t>
        </is>
      </c>
    </row>
    <row r="9">
      <c r="A9" s="6" t="inlineStr">
        <is>
          <t>ABC</t>
        </is>
      </c>
      <c r="B9" s="6" t="inlineStr">
        <is>
          <t>ABC Color</t>
        </is>
      </c>
      <c r="C9" s="6" t="inlineStr">
        <is>
          <t>PY</t>
        </is>
      </c>
      <c r="D9" s="6" t="inlineStr">
        <is>
          <t>PRESS_SECONDARY</t>
        </is>
      </c>
      <c r="E9" s="4" t="inlineStr">
        <is>
          <t>https://www.abc.com.py/</t>
        </is>
      </c>
      <c r="F9" s="4" t="inlineStr">
        <is>
          <t>Referencias de mercado, precios derivados, contexto comercial</t>
        </is>
      </c>
    </row>
    <row r="10">
      <c r="A10" t="inlineStr">
        <is>
          <t>BCP</t>
        </is>
      </c>
      <c r="B10" t="inlineStr">
        <is>
          <t>Banco Central del Paraguay</t>
        </is>
      </c>
      <c r="C10" t="inlineStr">
        <is>
          <t>PY</t>
        </is>
      </c>
      <c r="D10" t="inlineStr">
        <is>
          <t>OFFICIAL_PRIMARY</t>
        </is>
      </c>
      <c r="E10" t="inlineStr">
        <is>
          <t>https://www.bcp.gov.py/</t>
        </is>
      </c>
      <c r="F10" t="inlineStr">
        <is>
          <t>Tipo de cambio, IPC e indicadores macroeconomicos para normalizacion economica.</t>
        </is>
      </c>
    </row>
    <row r="11">
      <c r="A11" t="inlineStr">
        <is>
          <t>WDI_IMF</t>
        </is>
      </c>
      <c r="B11" t="inlineStr">
        <is>
          <t>World Development Indicators / IMF IFS</t>
        </is>
      </c>
      <c r="C11" t="inlineStr">
        <is>
          <t>INTL</t>
        </is>
      </c>
      <c r="D11" t="inlineStr">
        <is>
          <t>OFFICIAL_INTL_SECONDARY</t>
        </is>
      </c>
      <c r="E11" t="inlineStr">
        <is>
          <t>https://data.worldbank.org/</t>
        </is>
      </c>
      <c r="F11" t="inlineStr">
        <is>
          <t>Backfill y control cruzado de IPC y tipo de cambio anual; BCP sigue siendo la fuente primaria nacional.</t>
        </is>
      </c>
    </row>
    <row r="12">
      <c r="A12" s="40" t="inlineStr">
        <is>
          <t>NOAA_CPC</t>
        </is>
      </c>
      <c r="B12" s="40" t="inlineStr">
        <is>
          <t>NOAA Climate Prediction Center</t>
        </is>
      </c>
      <c r="C12" s="40" t="inlineStr">
        <is>
          <t>climate/ENSO</t>
        </is>
      </c>
      <c r="D12" s="40" t="inlineStr">
        <is>
          <t>HTML data tables</t>
        </is>
      </c>
      <c r="E12" s="40" t="inlineStr">
        <is>
          <t>active</t>
        </is>
      </c>
      <c r="F12" s="40" t="inlineStr">
        <is>
          <t>Official ENSO RONI probabilities and strengths</t>
        </is>
      </c>
    </row>
    <row r="13">
      <c r="A13" s="40" t="inlineStr">
        <is>
          <t>DMH</t>
        </is>
      </c>
      <c r="B13" s="40" t="inlineStr">
        <is>
          <t>Direccion de Meteorologia e Hidrologia Paraguay</t>
        </is>
      </c>
      <c r="C13" s="40" t="inlineStr">
        <is>
          <t>weather/hydrology</t>
        </is>
      </c>
      <c r="D13" s="40" t="inlineStr">
        <is>
          <t>HTML data tables</t>
        </is>
      </c>
      <c r="E13" s="40" t="inlineStr">
        <is>
          <t>active-orientative</t>
        </is>
      </c>
      <c r="F13" s="40" t="inlineStr">
        <is>
          <t>Public automatic-station values; orientative status</t>
        </is>
      </c>
    </row>
    <row r="14">
      <c r="A14" s="40" t="inlineStr">
        <is>
          <t>INE</t>
        </is>
      </c>
      <c r="B14" s="40" t="inlineStr">
        <is>
          <t>Instituto Nacional de Estadistica Paraguay</t>
        </is>
      </c>
      <c r="C14" s="40" t="inlineStr">
        <is>
          <t>household/demographic</t>
        </is>
      </c>
      <c r="D14" s="40" t="inlineStr">
        <is>
          <t>PDF/microdata</t>
        </is>
      </c>
      <c r="E14" s="40" t="inlineStr">
        <is>
          <t>active</t>
        </is>
      </c>
      <c r="F14" s="40" t="inlineStr">
        <is>
          <t>Census and EPHC</t>
        </is>
      </c>
    </row>
  </sheetData>
  <autoFilter ref="A1:F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16" customWidth="1" min="4" max="4"/>
    <col width="20" customWidth="1" min="5" max="5"/>
    <col width="20" customWidth="1" min="6" max="6"/>
    <col width="42" customWidth="1" min="7" max="7"/>
    <col width="16" customWidth="1" min="8" max="8"/>
    <col width="16" customWidth="1" min="9" max="9"/>
    <col width="48" customWidth="1" min="10" max="10"/>
  </cols>
  <sheetData>
    <row r="1" ht="32" customHeight="1">
      <c r="A1" s="5" t="inlineStr">
        <is>
          <t>document_code</t>
        </is>
      </c>
      <c r="B1" s="5" t="inlineStr">
        <is>
          <t>source_code</t>
        </is>
      </c>
      <c r="C1" s="5" t="inlineStr">
        <is>
          <t>title</t>
        </is>
      </c>
      <c r="D1" s="5" t="inlineStr">
        <is>
          <t>document_type</t>
        </is>
      </c>
      <c r="E1" s="5" t="inlineStr">
        <is>
          <t>period_start</t>
        </is>
      </c>
      <c r="F1" s="5" t="inlineStr">
        <is>
          <t>period_end</t>
        </is>
      </c>
      <c r="G1" s="5" t="inlineStr">
        <is>
          <t>url</t>
        </is>
      </c>
      <c r="H1" s="5" t="inlineStr">
        <is>
          <t>authority_class</t>
        </is>
      </c>
      <c r="I1" s="5" t="inlineStr">
        <is>
          <t>load_status</t>
        </is>
      </c>
      <c r="J1" s="5" t="inlineStr">
        <is>
          <t>notes</t>
        </is>
      </c>
    </row>
    <row r="2">
      <c r="A2" s="6" t="inlineStr">
        <is>
          <t>ANDE-83-06</t>
        </is>
      </c>
      <c r="B2" s="6" t="inlineStr">
        <is>
          <t>ANDE</t>
        </is>
      </c>
      <c r="C2" s="6" t="inlineStr">
        <is>
          <t>Compilacion/Balance de Energia 1983-2006</t>
        </is>
      </c>
      <c r="D2" s="6" t="inlineStr">
        <is>
          <t>historical_statistics</t>
        </is>
      </c>
      <c r="E2" s="6" t="inlineStr">
        <is>
          <t>1983</t>
        </is>
      </c>
      <c r="F2" s="6" t="inlineStr">
        <is>
          <t>2006</t>
        </is>
      </c>
      <c r="G2" s="7" t="inlineStr">
        <is>
          <t>https://www.ande.gov.py/estadisticas/BalanceEnergia1983-2006/CompilacionEstadistica83-06.pdf</t>
        </is>
      </c>
      <c r="H2" s="6" t="inlineStr">
        <is>
          <t>OFFICIAL_PRIMARY</t>
        </is>
      </c>
      <c r="I2" s="4" t="inlineStr">
        <is>
          <t>PARTIAL_LOADED</t>
        </is>
      </c>
      <c r="J2" s="4" t="inlineStr">
        <is>
          <t>Serie historica antigua; algunos solapes fueron revisados por compilaciones posteriores.</t>
        </is>
      </c>
    </row>
    <row r="3">
      <c r="A3" s="6" t="inlineStr">
        <is>
          <t>ANDE-90-10</t>
        </is>
      </c>
      <c r="B3" s="6" t="inlineStr">
        <is>
          <t>ANDE</t>
        </is>
      </c>
      <c r="C3" s="6" t="inlineStr">
        <is>
          <t>Compilacion Estadistica 1990-2010</t>
        </is>
      </c>
      <c r="D3" s="6" t="inlineStr">
        <is>
          <t>historical_statistics</t>
        </is>
      </c>
      <c r="E3" s="6" t="inlineStr">
        <is>
          <t>1990</t>
        </is>
      </c>
      <c r="F3" s="6" t="inlineStr">
        <is>
          <t>2010</t>
        </is>
      </c>
      <c r="G3" s="7" t="inlineStr">
        <is>
          <t>https://www.ande.gov.py/documentos_contables/157/compilacion_estadistica_1990-2010.pdf</t>
        </is>
      </c>
      <c r="H3" s="6" t="inlineStr">
        <is>
          <t>OFFICIAL_PRIMARY</t>
        </is>
      </c>
      <c r="I3" s="4" t="inlineStr">
        <is>
          <t>LOADED</t>
        </is>
      </c>
      <c r="J3" s="4" t="inlineStr">
        <is>
          <t>Tarifas y estadisticas historicas.</t>
        </is>
      </c>
    </row>
    <row r="4">
      <c r="A4" s="6" t="inlineStr">
        <is>
          <t>ANDE-95-15</t>
        </is>
      </c>
      <c r="B4" s="6" t="inlineStr">
        <is>
          <t>ANDE</t>
        </is>
      </c>
      <c r="C4" s="6" t="inlineStr">
        <is>
          <t>Compilacion Estadistica 1995-2015</t>
        </is>
      </c>
      <c r="D4" s="6" t="inlineStr">
        <is>
          <t>historical_statistics</t>
        </is>
      </c>
      <c r="E4" s="6" t="inlineStr">
        <is>
          <t>1995</t>
        </is>
      </c>
      <c r="F4" s="6" t="inlineStr">
        <is>
          <t>2015</t>
        </is>
      </c>
      <c r="G4" s="7" t="inlineStr">
        <is>
          <t>https://www.ande.gov.py/documentos_contables/481/compilacion_estadistica_1995-2015.pdf</t>
        </is>
      </c>
      <c r="H4" s="6" t="inlineStr">
        <is>
          <t>OFFICIAL_PRIMARY</t>
        </is>
      </c>
      <c r="I4" s="4" t="inlineStr">
        <is>
          <t>REFERENCED</t>
        </is>
      </c>
      <c r="J4" s="4" t="inlineStr">
        <is>
          <t>Balance electrico completo 1995-2015.</t>
        </is>
      </c>
    </row>
    <row r="5">
      <c r="A5" s="6" t="inlineStr">
        <is>
          <t>ANDE-98-18</t>
        </is>
      </c>
      <c r="B5" s="6" t="inlineStr">
        <is>
          <t>ANDE</t>
        </is>
      </c>
      <c r="C5" s="6" t="inlineStr">
        <is>
          <t>Compilacion Estadistica 1998-2018</t>
        </is>
      </c>
      <c r="D5" s="6" t="inlineStr">
        <is>
          <t>historical_statistics</t>
        </is>
      </c>
      <c r="E5" s="6" t="inlineStr">
        <is>
          <t>1998</t>
        </is>
      </c>
      <c r="F5" s="6" t="inlineStr">
        <is>
          <t>2018</t>
        </is>
      </c>
      <c r="G5" s="7" t="inlineStr">
        <is>
          <t>https://www.ande.gov.py/documentos_contables/650/compilacion_estadistica_1998-2018.pdf</t>
        </is>
      </c>
      <c r="H5" s="6" t="inlineStr">
        <is>
          <t>OFFICIAL_PRIMARY</t>
        </is>
      </c>
      <c r="I5" s="4" t="inlineStr">
        <is>
          <t>LOADED</t>
        </is>
      </c>
      <c r="J5" s="4" t="inlineStr">
        <is>
          <t>Energia facturada y exportacion revisadas.</t>
        </is>
      </c>
    </row>
    <row r="6">
      <c r="A6" s="6" t="inlineStr">
        <is>
          <t>ANDE-03-23</t>
        </is>
      </c>
      <c r="B6" s="6" t="inlineStr">
        <is>
          <t>ANDE</t>
        </is>
      </c>
      <c r="C6" s="6" t="inlineStr">
        <is>
          <t>Compilacion Estadistica 2003-2023</t>
        </is>
      </c>
      <c r="D6" s="6" t="inlineStr">
        <is>
          <t>historical_statistics</t>
        </is>
      </c>
      <c r="E6" s="6" t="inlineStr">
        <is>
          <t>2003</t>
        </is>
      </c>
      <c r="F6" s="6" t="inlineStr">
        <is>
          <t>2023</t>
        </is>
      </c>
      <c r="G6" s="7" t="inlineStr">
        <is>
          <t>https://www.ande.gov.py/finanzas/2.%20COMPILACION%20ESTADISTICA%202003-2023/ANDE%20-%20Compilacion%20Estadistica%202003-2023.pdf</t>
        </is>
      </c>
      <c r="H6" s="6" t="inlineStr">
        <is>
          <t>OFFICIAL_PRIMARY</t>
        </is>
      </c>
      <c r="I6" s="4" t="inlineStr">
        <is>
          <t>LOADED</t>
        </is>
      </c>
      <c r="J6" s="4" t="inlineStr">
        <is>
          <t>Serie principal SIN, balance, infraestructura, tarifas.</t>
        </is>
      </c>
    </row>
    <row r="7">
      <c r="A7" s="6" t="inlineStr">
        <is>
          <t>ANDE-20-24</t>
        </is>
      </c>
      <c r="B7" s="6" t="inlineStr">
        <is>
          <t>ANDE</t>
        </is>
      </c>
      <c r="C7" s="6" t="inlineStr">
        <is>
          <t>Resumen Estadistico 2020-2024</t>
        </is>
      </c>
      <c r="D7" s="6" t="inlineStr">
        <is>
          <t>historical_statistics</t>
        </is>
      </c>
      <c r="E7" s="6" t="inlineStr">
        <is>
          <t>2020</t>
        </is>
      </c>
      <c r="F7" s="6" t="inlineStr">
        <is>
          <t>2024</t>
        </is>
      </c>
      <c r="G7" s="7" t="inlineStr">
        <is>
          <t>https://www.ande.gov.py/finanzas/ANDE%20-%20Resumen%20Estad%C3%ADstico%202020%20-%202024.pdf</t>
        </is>
      </c>
      <c r="H7" s="6" t="inlineStr">
        <is>
          <t>OFFICIAL_PRIMARY</t>
        </is>
      </c>
      <c r="I7" s="4" t="inlineStr">
        <is>
          <t>LOADED</t>
        </is>
      </c>
      <c r="J7" s="4" t="inlineStr">
        <is>
          <t>Regiones, perdidas, exportacion 2024.</t>
        </is>
      </c>
    </row>
    <row r="8">
      <c r="A8" s="6" t="inlineStr">
        <is>
          <t>ANDE-BAGP-2025</t>
        </is>
      </c>
      <c r="B8" s="6" t="inlineStr">
        <is>
          <t>ANDE</t>
        </is>
      </c>
      <c r="C8" s="6" t="inlineStr">
        <is>
          <t>Balance Anual de Gestion Publica 2025</t>
        </is>
      </c>
      <c r="D8" s="6" t="inlineStr">
        <is>
          <t>annual_report</t>
        </is>
      </c>
      <c r="E8" s="6" t="inlineStr">
        <is>
          <t>2025</t>
        </is>
      </c>
      <c r="F8" s="6" t="inlineStr">
        <is>
          <t>2025</t>
        </is>
      </c>
      <c r="G8" s="7" t="inlineStr">
        <is>
          <t>https://www.ande.gov.py/finanzas/BAGP%202025%20ANDE.pdf</t>
        </is>
      </c>
      <c r="H8" s="6" t="inlineStr">
        <is>
          <t>OFFICIAL_PRIMARY</t>
        </is>
      </c>
      <c r="I8" s="4" t="inlineStr">
        <is>
          <t>LOADED</t>
        </is>
      </c>
      <c r="J8" s="4" t="inlineStr">
        <is>
          <t>Consumo, demanda maxima y exportacion ENARSA.</t>
        </is>
      </c>
    </row>
    <row r="9">
      <c r="A9" s="6" t="inlineStr">
        <is>
          <t>ANDE-TARIFF-CURRENT</t>
        </is>
      </c>
      <c r="B9" s="6" t="inlineStr">
        <is>
          <t>ANDE</t>
        </is>
      </c>
      <c r="C9" s="6" t="inlineStr">
        <is>
          <t>Tarifas vigentes</t>
        </is>
      </c>
      <c r="D9" s="6" t="inlineStr">
        <is>
          <t>tariff</t>
        </is>
      </c>
      <c r="E9" s="6" t="inlineStr">
        <is>
          <t>current</t>
        </is>
      </c>
      <c r="F9" s="6" t="inlineStr">
        <is>
          <t>current</t>
        </is>
      </c>
      <c r="G9" s="7" t="inlineStr">
        <is>
          <t>https://www.ande.gov.py/tarifas_vigentes.php</t>
        </is>
      </c>
      <c r="H9" s="6" t="inlineStr">
        <is>
          <t>OFFICIAL_PRIMARY</t>
        </is>
      </c>
      <c r="I9" s="4" t="inlineStr">
        <is>
          <t>LOADED</t>
        </is>
      </c>
      <c r="J9" s="4" t="inlineStr">
        <is>
          <t>Pliego Tarifario 21 vigente: tarifas residenciales normales y reglas de tarifa social incorporadas en v3.</t>
        </is>
      </c>
    </row>
    <row r="10">
      <c r="A10" s="6" t="inlineStr">
        <is>
          <t>ANDE-ACL-2024</t>
        </is>
      </c>
      <c r="B10" s="6" t="inlineStr">
        <is>
          <t>ANDE</t>
        </is>
      </c>
      <c r="C10" s="6" t="inlineStr">
        <is>
          <t>Concurso de venta de energia al ACL Brasil 2738/2024</t>
        </is>
      </c>
      <c r="D10" s="6" t="inlineStr">
        <is>
          <t>market_tender</t>
        </is>
      </c>
      <c r="E10" s="6" t="inlineStr">
        <is>
          <t>2024</t>
        </is>
      </c>
      <c r="F10" s="6" t="inlineStr">
        <is>
          <t>2024</t>
        </is>
      </c>
      <c r="G10" s="7" t="inlineStr">
        <is>
          <t>https://www.ande.gov.py/interna_contrataciones.php?id=2844</t>
        </is>
      </c>
      <c r="H10" s="6" t="inlineStr">
        <is>
          <t>OFFICIAL_PRIMARY</t>
        </is>
      </c>
      <c r="I10" s="4" t="inlineStr">
        <is>
          <t>REFERENCED</t>
        </is>
      </c>
      <c r="J10" s="4" t="inlineStr">
        <is>
          <t>Oferta de bloque 100 MW medios Acaray.</t>
        </is>
      </c>
    </row>
    <row r="11">
      <c r="A11" s="6" t="inlineStr">
        <is>
          <t>ITAIPU-MEM-2002</t>
        </is>
      </c>
      <c r="B11" s="6" t="inlineStr">
        <is>
          <t>ITAIPU</t>
        </is>
      </c>
      <c r="C11" s="6" t="inlineStr">
        <is>
          <t>Memoria Anual 2002</t>
        </is>
      </c>
      <c r="D11" s="6" t="inlineStr">
        <is>
          <t>annual_report</t>
        </is>
      </c>
      <c r="E11" s="6" t="inlineStr">
        <is>
          <t>1984</t>
        </is>
      </c>
      <c r="F11" s="6" t="inlineStr">
        <is>
          <t>2002</t>
        </is>
      </c>
      <c r="G11" s="7" t="inlineStr">
        <is>
          <t>https://www.itaipu.gov.py/sites/default/files/af_df/Memoria%20Anual%202002.pdf</t>
        </is>
      </c>
      <c r="H11" s="6" t="inlineStr">
        <is>
          <t>OFFICIAL_PRIMARY</t>
        </is>
      </c>
      <c r="I11" s="4" t="inlineStr">
        <is>
          <t>LOADED</t>
        </is>
      </c>
      <c r="J11" s="4" t="inlineStr">
        <is>
          <t>Produccion anual 1984-2002.</t>
        </is>
      </c>
    </row>
    <row r="12">
      <c r="A12" s="6" t="inlineStr">
        <is>
          <t>ITAIPU-MEM-2023</t>
        </is>
      </c>
      <c r="B12" s="6" t="inlineStr">
        <is>
          <t>ITAIPU</t>
        </is>
      </c>
      <c r="C12" s="6" t="inlineStr">
        <is>
          <t>Memoria Anual 2023</t>
        </is>
      </c>
      <c r="D12" s="6" t="inlineStr">
        <is>
          <t>annual_report</t>
        </is>
      </c>
      <c r="E12" s="6" t="inlineStr">
        <is>
          <t>2022</t>
        </is>
      </c>
      <c r="F12" s="6" t="inlineStr">
        <is>
          <t>2023</t>
        </is>
      </c>
      <c r="G12" s="7" t="inlineStr">
        <is>
          <t>https://www.itaipu.gov.py/sites/default/files/u62/Memoria%20Anual%20Itaipu%202023_Espa%C3%B1ol_internet.pdf</t>
        </is>
      </c>
      <c r="H12" s="6" t="inlineStr">
        <is>
          <t>OFFICIAL_PRIMARY</t>
        </is>
      </c>
      <c r="I12" s="4" t="inlineStr">
        <is>
          <t>LOADED</t>
        </is>
      </c>
      <c r="J12" s="4" t="inlineStr">
        <is>
          <t>Suministro mensual 2023 y comparativo 2022.</t>
        </is>
      </c>
    </row>
    <row r="13">
      <c r="A13" s="6" t="inlineStr">
        <is>
          <t>ITAIPU-ROY-2026Q1</t>
        </is>
      </c>
      <c r="B13" s="6" t="inlineStr">
        <is>
          <t>ITAIPU</t>
        </is>
      </c>
      <c r="C13" s="6" t="inlineStr">
        <is>
          <t>Planilla de royalties al Estado paraguayo 1989-2026</t>
        </is>
      </c>
      <c r="D13" s="6" t="inlineStr">
        <is>
          <t>economic_series</t>
        </is>
      </c>
      <c r="E13" s="6" t="inlineStr">
        <is>
          <t>1989</t>
        </is>
      </c>
      <c r="F13" s="6" t="inlineStr">
        <is>
          <t>2026-03</t>
        </is>
      </c>
      <c r="G13" s="7" t="inlineStr">
        <is>
          <t>https://www.itaipu.gov.py/wp-content/uploads/2026/04/03-Planillas-de-Royalties-31_03_26.pdf</t>
        </is>
      </c>
      <c r="H13" s="6" t="inlineStr">
        <is>
          <t>OFFICIAL_PRIMARY</t>
        </is>
      </c>
      <c r="I13" s="4" t="inlineStr">
        <is>
          <t>LOADED</t>
        </is>
      </c>
      <c r="J13" s="4" t="inlineStr">
        <is>
          <t>Regimen de caja; 2026 parcial al 31/03.</t>
        </is>
      </c>
    </row>
    <row r="14">
      <c r="A14" s="6" t="inlineStr">
        <is>
          <t>ITAIPU-COP-2015</t>
        </is>
      </c>
      <c r="B14" s="6" t="inlineStr">
        <is>
          <t>ITAIPU</t>
        </is>
      </c>
      <c r="C14" s="6" t="inlineStr">
        <is>
          <t>Reporte Sustentabilidad 2015</t>
        </is>
      </c>
      <c r="D14" s="6" t="inlineStr">
        <is>
          <t>economic_series</t>
        </is>
      </c>
      <c r="E14" s="6" t="inlineStr">
        <is>
          <t>2013</t>
        </is>
      </c>
      <c r="F14" s="6" t="inlineStr">
        <is>
          <t>2015</t>
        </is>
      </c>
      <c r="G14" s="7" t="inlineStr">
        <is>
          <t>https://www.itaipu.gov.py/sites/default/files/COP_AVANZADA_y_REPORTE_SUSTENTABILIDAD_2015_0.pdf</t>
        </is>
      </c>
      <c r="H14" s="6" t="inlineStr">
        <is>
          <t>OFFICIAL_PRIMARY</t>
        </is>
      </c>
      <c r="I14" s="4" t="inlineStr">
        <is>
          <t>LOADED</t>
        </is>
      </c>
      <c r="J14" s="4" t="inlineStr">
        <is>
          <t>Royalties y compensacion por cesion.</t>
        </is>
      </c>
    </row>
    <row r="15">
      <c r="A15" s="6" t="inlineStr">
        <is>
          <t>ITAIPU-COP-2018</t>
        </is>
      </c>
      <c r="B15" s="6" t="inlineStr">
        <is>
          <t>ITAIPU</t>
        </is>
      </c>
      <c r="C15" s="6" t="inlineStr">
        <is>
          <t>Reporte Sustentabilidad 2018</t>
        </is>
      </c>
      <c r="D15" s="6" t="inlineStr">
        <is>
          <t>economic_series</t>
        </is>
      </c>
      <c r="E15" s="6" t="inlineStr">
        <is>
          <t>2016</t>
        </is>
      </c>
      <c r="F15" s="6" t="inlineStr">
        <is>
          <t>2018</t>
        </is>
      </c>
      <c r="G15" s="7" t="inlineStr">
        <is>
          <t>https://www.itaipu.gov.py/wp-content/uploads/2025/05/COP_Y_REPORTE_DE_SOSTENIBILIDAD_ITAIPU_2018.pdf</t>
        </is>
      </c>
      <c r="H15" s="6" t="inlineStr">
        <is>
          <t>OFFICIAL_PRIMARY</t>
        </is>
      </c>
      <c r="I15" s="4" t="inlineStr">
        <is>
          <t>LOADED</t>
        </is>
      </c>
      <c r="J15" s="4" t="inlineStr">
        <is>
          <t>Royalties y compensacion por cesion.</t>
        </is>
      </c>
    </row>
    <row r="16">
      <c r="A16" s="6" t="inlineStr">
        <is>
          <t>ITAIPU-2020</t>
        </is>
      </c>
      <c r="B16" s="6" t="inlineStr">
        <is>
          <t>ITAIPU</t>
        </is>
      </c>
      <c r="C16" s="6" t="inlineStr">
        <is>
          <t>Transferencias 2020</t>
        </is>
      </c>
      <c r="D16" s="6" t="inlineStr">
        <is>
          <t>economic_series</t>
        </is>
      </c>
      <c r="E16" s="6" t="inlineStr">
        <is>
          <t>2020</t>
        </is>
      </c>
      <c r="F16" s="6" t="inlineStr">
        <is>
          <t>2020</t>
        </is>
      </c>
      <c r="G16" s="7" t="inlineStr">
        <is>
          <t>https://www.itaipu.gov.py/noticias/institucional/cifras-publicadas-por-itaipu-corresponden-a-los-montos-efectivamente-transferidos-al-estado-paraguayo</t>
        </is>
      </c>
      <c r="H16" s="6" t="inlineStr">
        <is>
          <t>OFFICIAL_NEWS</t>
        </is>
      </c>
      <c r="I16" s="4" t="inlineStr">
        <is>
          <t>LOADED</t>
        </is>
      </c>
      <c r="J16" s="4" t="inlineStr">
        <is>
          <t>Caja: royalties y cesion.</t>
        </is>
      </c>
    </row>
    <row r="17">
      <c r="A17" s="6" t="inlineStr">
        <is>
          <t>ITAIPU-2021</t>
        </is>
      </c>
      <c r="B17" s="6" t="inlineStr">
        <is>
          <t>ITAIPU</t>
        </is>
      </c>
      <c r="C17" s="6" t="inlineStr">
        <is>
          <t>Transferencias 2021 Anexo C</t>
        </is>
      </c>
      <c r="D17" s="6" t="inlineStr">
        <is>
          <t>economic_series</t>
        </is>
      </c>
      <c r="E17" s="6" t="inlineStr">
        <is>
          <t>2021</t>
        </is>
      </c>
      <c r="F17" s="6" t="inlineStr">
        <is>
          <t>2021</t>
        </is>
      </c>
      <c r="G17" s="7" t="inlineStr">
        <is>
          <t>https://www.itaipu.gov.py/noticias/institucional/itaipu-transfirio-usd-445-millones-al-estado-en-el-2021-por-cumplimiento-del-anexo-c</t>
        </is>
      </c>
      <c r="H17" s="6" t="inlineStr">
        <is>
          <t>OFFICIAL_NEWS</t>
        </is>
      </c>
      <c r="I17" s="4" t="inlineStr">
        <is>
          <t>LOADED</t>
        </is>
      </c>
      <c r="J17" s="4" t="inlineStr">
        <is>
          <t>Royalties, cesion y ANDE.</t>
        </is>
      </c>
    </row>
    <row r="18">
      <c r="A18" s="6" t="inlineStr">
        <is>
          <t>ITAIPU-2022</t>
        </is>
      </c>
      <c r="B18" s="6" t="inlineStr">
        <is>
          <t>ITAIPU</t>
        </is>
      </c>
      <c r="C18" s="6" t="inlineStr">
        <is>
          <t>Transferencias 2022 Anexo C</t>
        </is>
      </c>
      <c r="D18" s="6" t="inlineStr">
        <is>
          <t>economic_series</t>
        </is>
      </c>
      <c r="E18" s="6" t="inlineStr">
        <is>
          <t>2022</t>
        </is>
      </c>
      <c r="F18" s="6" t="inlineStr">
        <is>
          <t>2022</t>
        </is>
      </c>
      <c r="G18" s="7" t="inlineStr">
        <is>
          <t>https://www.itaipu.gov.py/noticias/institucional/estado-paraguayo-recibio-usd-4293-millones-de-itaipu-por-anexo-c-en-el-2022</t>
        </is>
      </c>
      <c r="H18" s="6" t="inlineStr">
        <is>
          <t>OFFICIAL_NEWS</t>
        </is>
      </c>
      <c r="I18" s="4" t="inlineStr">
        <is>
          <t>LOADED</t>
        </is>
      </c>
      <c r="J18" s="4" t="inlineStr">
        <is>
          <t>Royalties, cesion y ANDE.</t>
        </is>
      </c>
    </row>
    <row r="19">
      <c r="A19" s="6" t="inlineStr">
        <is>
          <t>ITAIPU-2023</t>
        </is>
      </c>
      <c r="B19" s="6" t="inlineStr">
        <is>
          <t>ITAIPU</t>
        </is>
      </c>
      <c r="C19" s="6" t="inlineStr">
        <is>
          <t>Transferencias 2023 Anexo C</t>
        </is>
      </c>
      <c r="D19" s="6" t="inlineStr">
        <is>
          <t>economic_series</t>
        </is>
      </c>
      <c r="E19" s="6" t="inlineStr">
        <is>
          <t>2023</t>
        </is>
      </c>
      <c r="F19" s="6" t="inlineStr">
        <is>
          <t>2023</t>
        </is>
      </c>
      <c r="G19" s="7" t="inlineStr">
        <is>
          <t>https://www.itaipu.gov.py/noticias/institucional/itaipu-cierra-el-2023-con-un-aporte-de-usd-535-millones-al-estado-paraguayo-por-anexo-c</t>
        </is>
      </c>
      <c r="H19" s="6" t="inlineStr">
        <is>
          <t>OFFICIAL_NEWS</t>
        </is>
      </c>
      <c r="I19" s="4" t="inlineStr">
        <is>
          <t>LOADED</t>
        </is>
      </c>
      <c r="J19" s="4" t="inlineStr">
        <is>
          <t>Royalties, cesion y ANDE.</t>
        </is>
      </c>
    </row>
    <row r="20">
      <c r="A20" s="6" t="inlineStr">
        <is>
          <t>ITAIPU-2024</t>
        </is>
      </c>
      <c r="B20" s="6" t="inlineStr">
        <is>
          <t>ITAIPU</t>
        </is>
      </c>
      <c r="C20" s="6" t="inlineStr">
        <is>
          <t>Transferencias 2024 Anexo C</t>
        </is>
      </c>
      <c r="D20" s="6" t="inlineStr">
        <is>
          <t>economic_series</t>
        </is>
      </c>
      <c r="E20" s="6" t="inlineStr">
        <is>
          <t>2024</t>
        </is>
      </c>
      <c r="F20" s="6" t="inlineStr">
        <is>
          <t>2024</t>
        </is>
      </c>
      <c r="G20" s="7" t="inlineStr">
        <is>
          <t>https://www.itaipu.gov.py/noticias/institucional/estado-paraguayo-recibio-usd-549-millones-de-itaipu-por-anexo-c-en-el-2024</t>
        </is>
      </c>
      <c r="H20" s="6" t="inlineStr">
        <is>
          <t>OFFICIAL_NEWS</t>
        </is>
      </c>
      <c r="I20" s="4" t="inlineStr">
        <is>
          <t>LOADED</t>
        </is>
      </c>
      <c r="J20" s="4" t="inlineStr">
        <is>
          <t>Royalties, cesion y ANDE.</t>
        </is>
      </c>
    </row>
    <row r="21">
      <c r="A21" s="6" t="inlineStr">
        <is>
          <t>ITAIPU-2025</t>
        </is>
      </c>
      <c r="B21" s="6" t="inlineStr">
        <is>
          <t>ITAIPU</t>
        </is>
      </c>
      <c r="C21" s="6" t="inlineStr">
        <is>
          <t>Transferencias 2025 Anexo C</t>
        </is>
      </c>
      <c r="D21" s="6" t="inlineStr">
        <is>
          <t>economic_series</t>
        </is>
      </c>
      <c r="E21" s="6" t="inlineStr">
        <is>
          <t>2025</t>
        </is>
      </c>
      <c r="F21" s="6" t="inlineStr">
        <is>
          <t>2025</t>
        </is>
      </c>
      <c r="G21" s="7" t="inlineStr">
        <is>
          <t>https://www.itaipu.gov.py/noticias/institucional/itaipu-cerro-el-2025-con-una-transferencia-total-de-usd-462-millones-al-estado-paraguayo-por-anexo-c</t>
        </is>
      </c>
      <c r="H21" s="6" t="inlineStr">
        <is>
          <t>OFFICIAL_NEWS</t>
        </is>
      </c>
      <c r="I21" s="4" t="inlineStr">
        <is>
          <t>LOADED</t>
        </is>
      </c>
      <c r="J21" s="4" t="inlineStr">
        <is>
          <t>Royalties, cesion y ANDE.</t>
        </is>
      </c>
    </row>
    <row r="22">
      <c r="A22" s="6" t="inlineStr">
        <is>
          <t>ITAIPU-2026AUG</t>
        </is>
      </c>
      <c r="B22" s="6" t="inlineStr">
        <is>
          <t>ITAIPU</t>
        </is>
      </c>
      <c r="C22" s="6" t="inlineStr">
        <is>
          <t>Transferencias enero-agosto 2026 Anexo C</t>
        </is>
      </c>
      <c r="D22" s="6" t="inlineStr">
        <is>
          <t>economic_series</t>
        </is>
      </c>
      <c r="E22" s="6" t="inlineStr">
        <is>
          <t>2026-01</t>
        </is>
      </c>
      <c r="F22" s="6" t="inlineStr">
        <is>
          <t>2026-08</t>
        </is>
      </c>
      <c r="G22" s="7" t="inlineStr">
        <is>
          <t>https://www.itaipu.gov.py/noticias/institucional/estado-paraguayo-recibio-usd-310-millones-de-itaipu-hasta-agosto-por-anexo-c</t>
        </is>
      </c>
      <c r="H22" s="6" t="inlineStr">
        <is>
          <t>OFFICIAL_NEWS</t>
        </is>
      </c>
      <c r="I22" s="4" t="inlineStr">
        <is>
          <t>LOADED</t>
        </is>
      </c>
      <c r="J22" s="4" t="inlineStr">
        <is>
          <t>YTD 2026: royalties, cesion y ANDE.</t>
        </is>
      </c>
    </row>
    <row r="23">
      <c r="A23" s="6" t="inlineStr">
        <is>
          <t>EBY-HIST</t>
        </is>
      </c>
      <c r="B23" s="6" t="inlineStr">
        <is>
          <t>EBY</t>
        </is>
      </c>
      <c r="C23" s="6" t="inlineStr">
        <is>
          <t>Yacyreta Energias Mensuales Desde Puesta en Marcha</t>
        </is>
      </c>
      <c r="D23" s="6" t="inlineStr">
        <is>
          <t>generation_series</t>
        </is>
      </c>
      <c r="E23" s="6" t="inlineStr">
        <is>
          <t>1994-08</t>
        </is>
      </c>
      <c r="F23" s="6" t="inlineStr">
        <is>
          <t>2012-06</t>
        </is>
      </c>
      <c r="G23" s="7" t="inlineStr">
        <is>
          <t>https://www.eby.gov.py/wp-content/uploads/2019/12/YacyretaEnergiasMensualesDesdePuestaenMarcha.pdf</t>
        </is>
      </c>
      <c r="H23" s="6" t="inlineStr">
        <is>
          <t>OFFICIAL_PRIMARY</t>
        </is>
      </c>
      <c r="I23" s="4" t="inlineStr">
        <is>
          <t>LOADED</t>
        </is>
      </c>
      <c r="J23" s="4" t="inlineStr">
        <is>
          <t>Ya incorporado en V1.</t>
        </is>
      </c>
    </row>
    <row r="24">
      <c r="A24" s="6" t="inlineStr">
        <is>
          <t>EBY-AGREEMENT-2025</t>
        </is>
      </c>
      <c r="B24" s="6" t="inlineStr">
        <is>
          <t>EBY</t>
        </is>
      </c>
      <c r="C24" s="6" t="inlineStr">
        <is>
          <t>Acta Acuerdo Operativo 19/05/2025</t>
        </is>
      </c>
      <c r="D24" s="6" t="inlineStr">
        <is>
          <t>contract</t>
        </is>
      </c>
      <c r="E24" s="6" t="inlineStr">
        <is>
          <t>2025</t>
        </is>
      </c>
      <c r="F24" s="6" t="inlineStr">
        <is>
          <t>2025</t>
        </is>
      </c>
      <c r="G24" s="7" t="inlineStr">
        <is>
          <t>https://www.eby.gov.py/wp-content/uploads/2025/05/Acuerdo-19-05-2025.pdf</t>
        </is>
      </c>
      <c r="H24" s="6" t="inlineStr">
        <is>
          <t>OFFICIAL_CONTRACTUAL</t>
        </is>
      </c>
      <c r="I24" s="4" t="inlineStr">
        <is>
          <t>LOADED</t>
        </is>
      </c>
      <c r="J24" s="4" t="inlineStr">
        <is>
          <t>Valor efectivo 28 USD/MWh hasta 31/12/2025.</t>
        </is>
      </c>
    </row>
    <row r="25">
      <c r="A25" s="6" t="inlineStr">
        <is>
          <t>EBY-CESSION-2024</t>
        </is>
      </c>
      <c r="B25" s="6" t="inlineStr">
        <is>
          <t>EBY</t>
        </is>
      </c>
      <c r="C25" s="6" t="inlineStr">
        <is>
          <t>Transferencia USD 100m por cesion</t>
        </is>
      </c>
      <c r="D25" s="6" t="inlineStr">
        <is>
          <t>economic_event</t>
        </is>
      </c>
      <c r="E25" s="6" t="inlineStr">
        <is>
          <t>2024-06</t>
        </is>
      </c>
      <c r="F25" s="6" t="inlineStr">
        <is>
          <t>2024-06</t>
        </is>
      </c>
      <c r="G25" s="7" t="inlineStr">
        <is>
          <t>https://eby.gov.py/paraguay-recibe-historica-transferencia-record-de-usd-100-000-000-por-cesion-de-energia-de-yacyreta/</t>
        </is>
      </c>
      <c r="H25" s="6" t="inlineStr">
        <is>
          <t>OFFICIAL_NEWS</t>
        </is>
      </c>
      <c r="I25" s="4" t="inlineStr">
        <is>
          <t>LOADED</t>
        </is>
      </c>
      <c r="J25" s="4" t="inlineStr">
        <is>
          <t>Deuda y pagos de cesion.</t>
        </is>
      </c>
    </row>
    <row r="26">
      <c r="A26" s="6" t="inlineStr">
        <is>
          <t>YACYRETA-LAW-6135</t>
        </is>
      </c>
      <c r="B26" s="6" t="inlineStr">
        <is>
          <t>BACN</t>
        </is>
      </c>
      <c r="C26" s="6" t="inlineStr">
        <is>
          <t>Ley 6135 - Ordenamiento economico y financiero Yacyreta</t>
        </is>
      </c>
      <c r="D26" s="6" t="inlineStr">
        <is>
          <t>legal</t>
        </is>
      </c>
      <c r="E26" s="6" t="inlineStr">
        <is>
          <t>2017</t>
        </is>
      </c>
      <c r="F26" s="6" t="inlineStr">
        <is>
          <t>current</t>
        </is>
      </c>
      <c r="G26" s="7" t="inlineStr">
        <is>
          <t>https://www.bacn.gov.py/leyes-paraguayas/8397/ley-n-6135-aprueba-el-acuerdo-por-notas-reversales-n-r-n-2-17-para-el-ordenamiento-econ-mico-y-financiero-de-la-entidad-binacional-yacyret-entre-la-rep-blica-del-paraguay-y-la-rep-blica-argentina</t>
        </is>
      </c>
      <c r="H26" s="6" t="inlineStr">
        <is>
          <t>OFFICIAL_LEGAL</t>
        </is>
      </c>
      <c r="I26" s="4" t="inlineStr">
        <is>
          <t>LOADED</t>
        </is>
      </c>
      <c r="J26" s="4" t="inlineStr">
        <is>
          <t>Costo economico teorico y compensacion por cesion.</t>
        </is>
      </c>
    </row>
    <row r="27">
      <c r="A27" s="6" t="inlineStr">
        <is>
          <t>ONS-ITAIPU-HOURLY</t>
        </is>
      </c>
      <c r="B27" s="6" t="inlineStr">
        <is>
          <t>ONS</t>
        </is>
      </c>
      <c r="C27" s="6" t="inlineStr">
        <is>
          <t>Geracao de Itaipu Binacional - base horaria</t>
        </is>
      </c>
      <c r="D27" s="6" t="inlineStr">
        <is>
          <t>hourly_dataset</t>
        </is>
      </c>
      <c r="E27" s="6" t="inlineStr">
        <is>
          <t>available</t>
        </is>
      </c>
      <c r="F27" s="6" t="inlineStr">
        <is>
          <t>current</t>
        </is>
      </c>
      <c r="G27" s="7" t="inlineStr">
        <is>
          <t>https://dados.ons.org.br/dataset/geracao_itaipu</t>
        </is>
      </c>
      <c r="H27" s="6" t="inlineStr">
        <is>
          <t>OFFICIAL_PRIMARY</t>
        </is>
      </c>
      <c r="I27" s="4" t="inlineStr">
        <is>
          <t>QUEUED</t>
        </is>
      </c>
      <c r="J27" s="4" t="inlineStr">
        <is>
          <t>Bulk import pendiente.</t>
        </is>
      </c>
    </row>
    <row r="28">
      <c r="A28" s="6" t="inlineStr">
        <is>
          <t>ONS-INTL</t>
        </is>
      </c>
      <c r="B28" s="6" t="inlineStr">
        <is>
          <t>ONS</t>
        </is>
      </c>
      <c r="C28" s="6" t="inlineStr">
        <is>
          <t>Intercambio internacional - base horaria</t>
        </is>
      </c>
      <c r="D28" s="6" t="inlineStr">
        <is>
          <t>hourly_dataset</t>
        </is>
      </c>
      <c r="E28" s="6" t="inlineStr">
        <is>
          <t>available</t>
        </is>
      </c>
      <c r="F28" s="6" t="inlineStr">
        <is>
          <t>current</t>
        </is>
      </c>
      <c r="G28" s="7" t="inlineStr">
        <is>
          <t>https://dados.ons.org.br/dataset/intercambio-internacional</t>
        </is>
      </c>
      <c r="H28" s="6" t="inlineStr">
        <is>
          <t>OFFICIAL_PRIMARY</t>
        </is>
      </c>
      <c r="I28" s="4" t="inlineStr">
        <is>
          <t>QUEUED</t>
        </is>
      </c>
      <c r="J28" s="4" t="inlineStr">
        <is>
          <t>Bulk import pendiente.</t>
        </is>
      </c>
    </row>
    <row r="29">
      <c r="A29" s="6" t="inlineStr">
        <is>
          <t>CAMMESA-API</t>
        </is>
      </c>
      <c r="B29" s="6" t="inlineStr">
        <is>
          <t>CAMMESA</t>
        </is>
      </c>
      <c r="C29" s="6" t="inlineStr">
        <is>
          <t>API Web REST/JSON</t>
        </is>
      </c>
      <c r="D29" s="6" t="inlineStr">
        <is>
          <t>api</t>
        </is>
      </c>
      <c r="E29" s="6" t="inlineStr">
        <is>
          <t>current</t>
        </is>
      </c>
      <c r="F29" s="6" t="inlineStr">
        <is>
          <t>current</t>
        </is>
      </c>
      <c r="G29" s="7" t="inlineStr">
        <is>
          <t>https://cammesaweb.cammesa.com/apiweb/</t>
        </is>
      </c>
      <c r="H29" s="6" t="inlineStr">
        <is>
          <t>OFFICIAL_PRIMARY</t>
        </is>
      </c>
      <c r="I29" s="4" t="inlineStr">
        <is>
          <t>QUEUED</t>
        </is>
      </c>
      <c r="J29" s="4" t="inlineStr">
        <is>
          <t>Requiere mapeo de endpoints/credenciales segun recurso.</t>
        </is>
      </c>
    </row>
    <row r="30">
      <c r="A30" s="6" t="inlineStr">
        <is>
          <t>CAMMESA-VR</t>
        </is>
      </c>
      <c r="B30" s="6" t="inlineStr">
        <is>
          <t>CAMMESA</t>
        </is>
      </c>
      <c r="C30" s="6" t="inlineStr">
        <is>
          <t>Variables Relevantes del MEM</t>
        </is>
      </c>
      <c r="D30" s="6" t="inlineStr">
        <is>
          <t>historical_dataset</t>
        </is>
      </c>
      <c r="E30" s="6" t="inlineStr">
        <is>
          <t>historical</t>
        </is>
      </c>
      <c r="F30" s="6" t="inlineStr">
        <is>
          <t>current</t>
        </is>
      </c>
      <c r="G30" s="7" t="inlineStr">
        <is>
          <t>https://cammesaweb.cammesa.com/variables-relevantes-mem/</t>
        </is>
      </c>
      <c r="H30" s="6" t="inlineStr">
        <is>
          <t>OFFICIAL_PRIMARY</t>
        </is>
      </c>
      <c r="I30" s="4" t="inlineStr">
        <is>
          <t>QUEUED</t>
        </is>
      </c>
      <c r="J30" s="4" t="inlineStr">
        <is>
          <t>Archivos mensuales para backfill.</t>
        </is>
      </c>
    </row>
    <row r="31">
      <c r="A31" s="6" t="inlineStr">
        <is>
          <t>MEF-BIN-2024</t>
        </is>
      </c>
      <c r="B31" s="6" t="inlineStr">
        <is>
          <t>MEF</t>
        </is>
      </c>
      <c r="C31" s="6" t="inlineStr">
        <is>
          <t>Transferencias de Entidades Binacionales 2024</t>
        </is>
      </c>
      <c r="D31" s="6" t="inlineStr">
        <is>
          <t>treasury</t>
        </is>
      </c>
      <c r="E31" s="6" t="inlineStr">
        <is>
          <t>2024</t>
        </is>
      </c>
      <c r="F31" s="6" t="inlineStr">
        <is>
          <t>2024</t>
        </is>
      </c>
      <c r="G31" s="7" t="inlineStr">
        <is>
          <t>https://www.mef.gov.py/sites/default/files/2024-11/archivo%20%2813%29_1.pdf</t>
        </is>
      </c>
      <c r="H31" s="6" t="inlineStr">
        <is>
          <t>OFFICIAL_PRIMARY</t>
        </is>
      </c>
      <c r="I31" s="4" t="inlineStr">
        <is>
          <t>REFERENCED</t>
        </is>
      </c>
      <c r="J31" s="4" t="inlineStr">
        <is>
          <t>Cross-check de caja.</t>
        </is>
      </c>
    </row>
    <row r="32">
      <c r="A32" t="inlineStr">
        <is>
          <t>BCP-FX-HIST</t>
        </is>
      </c>
      <c r="B32" t="inlineStr">
        <is>
          <t>BCP</t>
        </is>
      </c>
      <c r="C32" t="inlineStr">
        <is>
          <t>Cotización Referencial del Dólar - Histórico</t>
        </is>
      </c>
      <c r="D32" t="inlineStr">
        <is>
          <t>fx_history</t>
        </is>
      </c>
      <c r="E32" t="inlineStr">
        <is>
          <t>historical</t>
        </is>
      </c>
      <c r="F32" t="inlineStr">
        <is>
          <t>current</t>
        </is>
      </c>
      <c r="G32" t="inlineStr">
        <is>
          <t>https://www.bcp.gov.py/webapps/web/cotizacion/referencial-fluctuante/anual</t>
        </is>
      </c>
      <c r="H32" t="inlineStr">
        <is>
          <t>OFFICIAL_PRIMARY</t>
        </is>
      </c>
      <c r="I32" t="inlineStr">
        <is>
          <t>PARTIAL_LOADED_RECONCILE</t>
        </is>
      </c>
      <c r="J32" t="inlineStr">
        <is>
          <t>Fuente primaria identificada. Backfill anual WDI/IMF cargado 1990-2025; raw BCP pendiente de reconciliacion automatica.</t>
        </is>
      </c>
    </row>
    <row r="33">
      <c r="A33" t="inlineStr">
        <is>
          <t>BCP-IPC-HIST</t>
        </is>
      </c>
      <c r="B33" t="inlineStr">
        <is>
          <t>BCP</t>
        </is>
      </c>
      <c r="C33" t="inlineStr">
        <is>
          <t>Serie histórica del IPC</t>
        </is>
      </c>
      <c r="D33" t="inlineStr">
        <is>
          <t>inflation_history</t>
        </is>
      </c>
      <c r="E33" t="inlineStr">
        <is>
          <t>1950</t>
        </is>
      </c>
      <c r="F33" t="inlineStr">
        <is>
          <t>current</t>
        </is>
      </c>
      <c r="G33" t="inlineStr">
        <is>
          <t>https://www.bcp.gov.py/es/web/institucional/indice-precios-al-consumidor-ipc</t>
        </is>
      </c>
      <c r="H33" t="inlineStr">
        <is>
          <t>OFFICIAL_PRIMARY</t>
        </is>
      </c>
      <c r="I33" t="inlineStr">
        <is>
          <t>PARTIAL_LOADED_RECONCILE</t>
        </is>
      </c>
      <c r="J33" t="inlineStr">
        <is>
          <t>BCP publica serie empalmada desde 1950. Backfill anual WDI/IMF cargado 1990-2025; raw XLSX BCP pendiente de reconciliacion automatica.</t>
        </is>
      </c>
    </row>
    <row r="34">
      <c r="A34" t="inlineStr">
        <is>
          <t>BCP-FX-DAILY-2026</t>
        </is>
      </c>
      <c r="B34" t="inlineStr">
        <is>
          <t>BCP</t>
        </is>
      </c>
      <c r="C34" t="inlineStr">
        <is>
          <t>Cotizacion Referencial de Monedas - Diaria</t>
        </is>
      </c>
      <c r="D34" t="inlineStr">
        <is>
          <t>fx_snapshot</t>
        </is>
      </c>
      <c r="E34" t="inlineStr">
        <is>
          <t>2026-09-10</t>
        </is>
      </c>
      <c r="F34" t="inlineStr">
        <is>
          <t>2026-09-10</t>
        </is>
      </c>
      <c r="G34" t="inlineStr">
        <is>
          <t>https://www.bcp.gov.py/webapps/web/cotizacion/monedas</t>
        </is>
      </c>
      <c r="H34" t="inlineStr">
        <is>
          <t>OFFICIAL_PRIMARY</t>
        </is>
      </c>
      <c r="I34" t="inlineStr">
        <is>
          <t>LOADED</t>
        </is>
      </c>
      <c r="J34" t="inlineStr">
        <is>
          <t>USD, BRL y ARS a PYG del 10-09-2026 cargados como snapshot.</t>
        </is>
      </c>
    </row>
    <row r="35">
      <c r="A35" t="inlineStr">
        <is>
          <t>BCP-INFL-AUG-2026</t>
        </is>
      </c>
      <c r="B35" t="inlineStr">
        <is>
          <t>BCP</t>
        </is>
      </c>
      <c r="C35" t="inlineStr">
        <is>
          <t>Informe de Inflacion - Agosto 2026</t>
        </is>
      </c>
      <c r="D35" t="inlineStr">
        <is>
          <t>inflation_report</t>
        </is>
      </c>
      <c r="E35" t="inlineStr">
        <is>
          <t>2026-08</t>
        </is>
      </c>
      <c r="F35" t="inlineStr">
        <is>
          <t>2026-08</t>
        </is>
      </c>
      <c r="G35" t="inlineStr">
        <is>
          <t>https://www.bcp.gov.py/web/institucional/w/informe-de-inflaci%C3%B3n-agosto-2026</t>
        </is>
      </c>
      <c r="H35" t="inlineStr">
        <is>
          <t>OFFICIAL_PRIMARY</t>
        </is>
      </c>
      <c r="I35" t="inlineStr">
        <is>
          <t>LOADED</t>
        </is>
      </c>
      <c r="J35" t="inlineStr">
        <is>
          <t>IPC mensual 0%; acumulado 1.8%; interanual 1.5%.</t>
        </is>
      </c>
    </row>
    <row r="36">
      <c r="A36" t="inlineStr">
        <is>
          <t>BCP-EVE-AUG-2026</t>
        </is>
      </c>
      <c r="B36" t="inlineStr">
        <is>
          <t>BCP</t>
        </is>
      </c>
      <c r="C36" t="inlineStr">
        <is>
          <t>Encuesta de Expectativas de Variables Economicas - Agosto 2026</t>
        </is>
      </c>
      <c r="D36" t="inlineStr">
        <is>
          <t>expectations</t>
        </is>
      </c>
      <c r="E36" t="inlineStr">
        <is>
          <t>2026-08</t>
        </is>
      </c>
      <c r="F36" t="inlineStr">
        <is>
          <t>2027</t>
        </is>
      </c>
      <c r="G36" t="inlineStr">
        <is>
          <t>https://www.bcp.gov.py/es/web/institucional/w/encuesta-de-expectativas-de-variables-econ%C3%B3micas-agosto-2026/-/categories/158845</t>
        </is>
      </c>
      <c r="H36" t="inlineStr">
        <is>
          <t>OFFICIAL_PRIMARY</t>
        </is>
      </c>
      <c r="I36" t="inlineStr">
        <is>
          <t>LOADED</t>
        </is>
      </c>
      <c r="J36" t="inlineStr">
        <is>
          <t>Inflacion, TCN, PIB y TPM esperados. No tratar como realizado.</t>
        </is>
      </c>
    </row>
    <row r="37">
      <c r="A37" t="inlineStr">
        <is>
          <t>WDI-FX-PRY</t>
        </is>
      </c>
      <c r="B37" t="inlineStr">
        <is>
          <t>WDI_IMF</t>
        </is>
      </c>
      <c r="C37" t="inlineStr">
        <is>
          <t>Official exchange rate - Paraguay</t>
        </is>
      </c>
      <c r="D37" t="inlineStr">
        <is>
          <t>macro_backfill</t>
        </is>
      </c>
      <c r="E37" t="inlineStr">
        <is>
          <t>1990</t>
        </is>
      </c>
      <c r="F37" t="inlineStr">
        <is>
          <t>2025</t>
        </is>
      </c>
      <c r="G37" t="inlineStr">
        <is>
          <t>https://data.worldbank.org/indicator/PA.NUS.FCRF?locations=PY</t>
        </is>
      </c>
      <c r="H37" t="inlineStr">
        <is>
          <t>OFFICIAL_INTL_SECONDARY</t>
        </is>
      </c>
      <c r="I37" t="inlineStr">
        <is>
          <t>LOADED</t>
        </is>
      </c>
      <c r="J37" t="inlineStr">
        <is>
          <t>Serie anual period-average usada como backfill provisional.</t>
        </is>
      </c>
    </row>
    <row r="38">
      <c r="A38" t="inlineStr">
        <is>
          <t>WDI-CPI-PRY</t>
        </is>
      </c>
      <c r="B38" t="inlineStr">
        <is>
          <t>WDI_IMF</t>
        </is>
      </c>
      <c r="C38" t="inlineStr">
        <is>
          <t>Consumer price index - Paraguay</t>
        </is>
      </c>
      <c r="D38" t="inlineStr">
        <is>
          <t>macro_backfill</t>
        </is>
      </c>
      <c r="E38" t="inlineStr">
        <is>
          <t>1990</t>
        </is>
      </c>
      <c r="F38" t="inlineStr">
        <is>
          <t>2025</t>
        </is>
      </c>
      <c r="G38" t="inlineStr">
        <is>
          <t>https://data.worldbank.org/indicator/FP.CPI.TOTL?locations=PY</t>
        </is>
      </c>
      <c r="H38" t="inlineStr">
        <is>
          <t>OFFICIAL_INTL_SECONDARY</t>
        </is>
      </c>
      <c r="I38" t="inlineStr">
        <is>
          <t>LOADED</t>
        </is>
      </c>
      <c r="J38" t="inlineStr">
        <is>
          <t>Serie anual CPI 2010=100; 2018-2025 encadenado desde inflacion WDI para reproducibilidad local.</t>
        </is>
      </c>
    </row>
    <row r="39">
      <c r="A39" t="inlineStr">
        <is>
          <t>WDI-INFL-PRY</t>
        </is>
      </c>
      <c r="B39" t="inlineStr">
        <is>
          <t>WDI_IMF</t>
        </is>
      </c>
      <c r="C39" t="inlineStr">
        <is>
          <t>Inflation consumer prices - Paraguay</t>
        </is>
      </c>
      <c r="D39" t="inlineStr">
        <is>
          <t>macro_backfill</t>
        </is>
      </c>
      <c r="E39" t="inlineStr">
        <is>
          <t>1990</t>
        </is>
      </c>
      <c r="F39" t="inlineStr">
        <is>
          <t>2025</t>
        </is>
      </c>
      <c r="G39" t="inlineStr">
        <is>
          <t>https://data.worldbank.org/indicator/FP.CPI.TOTL.ZG?locations=PY</t>
        </is>
      </c>
      <c r="H39" t="inlineStr">
        <is>
          <t>OFFICIAL_INTL_SECONDARY</t>
        </is>
      </c>
      <c r="I39" t="inlineStr">
        <is>
          <t>LOADED</t>
        </is>
      </c>
      <c r="J39" t="inlineStr">
        <is>
          <t>Inflacion anual usada para continuidad y control cruzado del CPI.</t>
        </is>
      </c>
    </row>
  </sheetData>
  <autoFilter ref="A1:J3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 ht="32" customHeight="1">
      <c r="A1" s="5" t="inlineStr">
        <is>
          <t>code</t>
        </is>
      </c>
      <c r="B1" s="5" t="inlineStr">
        <is>
          <t>name</t>
        </is>
      </c>
      <c r="C1" s="5" t="inlineStr">
        <is>
          <t>type</t>
        </is>
      </c>
      <c r="D1" s="5" t="inlineStr">
        <is>
          <t>country</t>
        </is>
      </c>
      <c r="E1" s="5" t="inlineStr">
        <is>
          <t>lat</t>
        </is>
      </c>
      <c r="F1" s="5" t="inlineStr">
        <is>
          <t>lon</t>
        </is>
      </c>
      <c r="G1" s="5" t="inlineStr">
        <is>
          <t>notes</t>
        </is>
      </c>
    </row>
    <row r="2">
      <c r="A2" s="6" t="inlineStr">
        <is>
          <t>PY_SIN</t>
        </is>
      </c>
      <c r="B2" s="6" t="inlineStr">
        <is>
          <t>Sistema Interconectado Nacional Paraguay</t>
        </is>
      </c>
      <c r="C2" s="6" t="inlineStr">
        <is>
          <t>system</t>
        </is>
      </c>
      <c r="D2" s="6" t="inlineStr">
        <is>
          <t>PY</t>
        </is>
      </c>
      <c r="E2" s="6" t="inlineStr"/>
      <c r="F2" s="4" t="inlineStr"/>
      <c r="G2" s="4" t="inlineStr">
        <is>
          <t>Sistema nacional paraguayo</t>
        </is>
      </c>
    </row>
    <row r="3">
      <c r="A3" s="6" t="inlineStr">
        <is>
          <t>ITAIPU</t>
        </is>
      </c>
      <c r="B3" s="6" t="inlineStr">
        <is>
          <t>Itaipu Binacional</t>
        </is>
      </c>
      <c r="C3" s="6" t="inlineStr">
        <is>
          <t>hydro_plant</t>
        </is>
      </c>
      <c r="D3" s="6" t="inlineStr">
        <is>
          <t>PY/BR</t>
        </is>
      </c>
      <c r="E3" s="6" t="inlineStr">
        <is>
          <t>-25.407</t>
        </is>
      </c>
      <c r="F3" s="4" t="inlineStr">
        <is>
          <t>-54.588</t>
        </is>
      </c>
      <c r="G3" s="4" t="inlineStr">
        <is>
          <t>Coordenada de referencia; validar con capa GIS oficial antes de produccion</t>
        </is>
      </c>
    </row>
    <row r="4">
      <c r="A4" s="6" t="inlineStr">
        <is>
          <t>YACYRETA</t>
        </is>
      </c>
      <c r="B4" s="6" t="inlineStr">
        <is>
          <t>Central Hidroelectrica Yacyreta</t>
        </is>
      </c>
      <c r="C4" s="6" t="inlineStr">
        <is>
          <t>hydro_plant</t>
        </is>
      </c>
      <c r="D4" s="6" t="inlineStr">
        <is>
          <t>PY/AR</t>
        </is>
      </c>
      <c r="E4" s="6" t="inlineStr">
        <is>
          <t>-27.482</t>
        </is>
      </c>
      <c r="F4" s="4" t="inlineStr">
        <is>
          <t>-56.738</t>
        </is>
      </c>
      <c r="G4" s="4" t="inlineStr">
        <is>
          <t>Coordenada de referencia; validar con capa GIS oficial</t>
        </is>
      </c>
    </row>
    <row r="5">
      <c r="A5" s="6" t="inlineStr">
        <is>
          <t>ACARAY</t>
        </is>
      </c>
      <c r="B5" s="6" t="inlineStr">
        <is>
          <t>Central Hidroelectrica Acaray</t>
        </is>
      </c>
      <c r="C5" s="6" t="inlineStr">
        <is>
          <t>hydro_plant</t>
        </is>
      </c>
      <c r="D5" s="6" t="inlineStr">
        <is>
          <t>PY</t>
        </is>
      </c>
      <c r="E5" s="6" t="inlineStr">
        <is>
          <t>-25.455</t>
        </is>
      </c>
      <c r="F5" s="4" t="inlineStr">
        <is>
          <t>-54.632</t>
        </is>
      </c>
      <c r="G5" s="4" t="inlineStr">
        <is>
          <t>Coordenada de referencia; validar con capa GIS oficial</t>
        </is>
      </c>
    </row>
    <row r="6">
      <c r="A6" s="6" t="inlineStr">
        <is>
          <t>SADI</t>
        </is>
      </c>
      <c r="B6" s="6" t="inlineStr">
        <is>
          <t>Sistema Argentino de Interconexion</t>
        </is>
      </c>
      <c r="C6" s="6" t="inlineStr">
        <is>
          <t>system</t>
        </is>
      </c>
      <c r="D6" s="6" t="inlineStr">
        <is>
          <t>AR</t>
        </is>
      </c>
      <c r="E6" s="6" t="inlineStr"/>
      <c r="F6" s="4" t="inlineStr"/>
      <c r="G6" s="4" t="inlineStr">
        <is>
          <t>Sistema argentino</t>
        </is>
      </c>
    </row>
    <row r="7">
      <c r="A7" s="6" t="inlineStr">
        <is>
          <t>BR_SIN</t>
        </is>
      </c>
      <c r="B7" s="6" t="inlineStr">
        <is>
          <t>Sistema Interligado Nacional Brasil</t>
        </is>
      </c>
      <c r="C7" s="6" t="inlineStr">
        <is>
          <t>system</t>
        </is>
      </c>
      <c r="D7" s="6" t="inlineStr">
        <is>
          <t>BR</t>
        </is>
      </c>
      <c r="E7" s="6" t="inlineStr"/>
      <c r="F7" s="4" t="inlineStr"/>
      <c r="G7" s="4" t="inlineStr">
        <is>
          <t>Sistema brasileño</t>
        </is>
      </c>
    </row>
    <row r="8">
      <c r="A8" s="6" t="inlineStr">
        <is>
          <t>ENARSA</t>
        </is>
      </c>
      <c r="B8" s="6" t="inlineStr">
        <is>
          <t>Energia Argentina S.A. (ENARSA)</t>
        </is>
      </c>
      <c r="C8" s="6" t="inlineStr">
        <is>
          <t>counterparty</t>
        </is>
      </c>
      <c r="D8" s="6" t="inlineStr">
        <is>
          <t>AR</t>
        </is>
      </c>
      <c r="E8" s="6" t="inlineStr"/>
      <c r="F8" s="4" t="inlineStr"/>
      <c r="G8" s="4" t="inlineStr">
        <is>
          <t>Comprador/exportacion ANDE</t>
        </is>
      </c>
    </row>
    <row r="9">
      <c r="A9" s="6" t="inlineStr">
        <is>
          <t>COPEL</t>
        </is>
      </c>
      <c r="B9" s="6" t="inlineStr">
        <is>
          <t>COPEL</t>
        </is>
      </c>
      <c r="C9" s="6" t="inlineStr">
        <is>
          <t>counterparty</t>
        </is>
      </c>
      <c r="D9" s="6" t="inlineStr">
        <is>
          <t>BR</t>
        </is>
      </c>
      <c r="E9" s="6" t="inlineStr"/>
      <c r="F9" s="4" t="inlineStr"/>
      <c r="G9" s="4" t="inlineStr">
        <is>
          <t>Interconexion historica Acaray-Foz desde 1969</t>
        </is>
      </c>
    </row>
    <row r="10">
      <c r="A10" s="6" t="inlineStr">
        <is>
          <t>SMD_ITAIPU</t>
        </is>
      </c>
      <c r="B10" s="6" t="inlineStr">
        <is>
          <t>Subestacion Margen Derecha Itaipu</t>
        </is>
      </c>
      <c r="C10" s="6" t="inlineStr">
        <is>
          <t>substation</t>
        </is>
      </c>
      <c r="D10" s="6" t="inlineStr">
        <is>
          <t>PY</t>
        </is>
      </c>
      <c r="E10" s="6" t="inlineStr"/>
      <c r="F10" s="4" t="inlineStr"/>
      <c r="G10" s="4" t="inlineStr">
        <is>
          <t>Nodo previsto para ventas al ACL Brasil</t>
        </is>
      </c>
    </row>
    <row r="11">
      <c r="A11" s="6" t="inlineStr">
        <is>
          <t>ACARAY_CONVERTER</t>
        </is>
      </c>
      <c r="B11" s="6" t="inlineStr">
        <is>
          <t>Conversora/Interconexion Acaray</t>
        </is>
      </c>
      <c r="C11" s="6" t="inlineStr">
        <is>
          <t>interconnection</t>
        </is>
      </c>
      <c r="D11" s="6" t="inlineStr">
        <is>
          <t>PY/BR</t>
        </is>
      </c>
      <c r="E11" s="6" t="inlineStr"/>
      <c r="F11" s="4" t="inlineStr"/>
      <c r="G11" s="4" t="inlineStr">
        <is>
          <t>Intercambio internacional Paraguay-Brasil</t>
        </is>
      </c>
    </row>
    <row r="12">
      <c r="A12" s="6" t="inlineStr">
        <is>
          <t>SOLAR_PTO_ESPERANZA</t>
        </is>
      </c>
      <c r="B12" s="6" t="inlineStr">
        <is>
          <t>Planta Fotovoltaica Puerto Esperanza</t>
        </is>
      </c>
      <c r="C12" s="6" t="inlineStr">
        <is>
          <t>solar_plant</t>
        </is>
      </c>
      <c r="D12" s="6" t="inlineStr">
        <is>
          <t>PY</t>
        </is>
      </c>
      <c r="E12" s="6" t="inlineStr"/>
      <c r="F12" s="4" t="inlineStr"/>
      <c r="G12" s="4" t="inlineStr">
        <is>
          <t>GIS oficial pendiente</t>
        </is>
      </c>
    </row>
    <row r="13">
      <c r="A13" s="40" t="inlineStr">
        <is>
          <t>PY_GRID</t>
        </is>
      </c>
      <c r="B13" s="40" t="inlineStr">
        <is>
          <t>Paraguay electricity grid</t>
        </is>
      </c>
      <c r="C13" s="40" t="inlineStr">
        <is>
          <t>grid</t>
        </is>
      </c>
      <c r="D13" s="40" t="inlineStr">
        <is>
          <t>PY</t>
        </is>
      </c>
      <c r="E13" s="40" t="n"/>
      <c r="F13" s="40" t="n"/>
      <c r="G13" s="40" t="inlineStr">
        <is>
          <t>National grid/quality aggregate asset</t>
        </is>
      </c>
    </row>
    <row r="14">
      <c r="A14" s="40" t="inlineStr">
        <is>
          <t>PY_GRID_METRO</t>
        </is>
      </c>
      <c r="B14" s="40" t="inlineStr">
        <is>
          <t>Metropolitan electricity system</t>
        </is>
      </c>
      <c r="C14" s="40" t="inlineStr">
        <is>
          <t>grid_region</t>
        </is>
      </c>
      <c r="D14" s="40" t="inlineStr">
        <is>
          <t>PY</t>
        </is>
      </c>
      <c r="E14" s="40" t="n"/>
      <c r="F14" s="40" t="n"/>
      <c r="G14" s="40" t="inlineStr">
        <is>
          <t>Metropolitan quality scope</t>
        </is>
      </c>
    </row>
    <row r="15">
      <c r="A15" s="40" t="inlineStr">
        <is>
          <t>PY_ECONOMY</t>
        </is>
      </c>
      <c r="B15" s="40" t="inlineStr">
        <is>
          <t>Paraguay economy</t>
        </is>
      </c>
      <c r="C15" s="40" t="inlineStr">
        <is>
          <t>macro</t>
        </is>
      </c>
      <c r="D15" s="40" t="inlineStr">
        <is>
          <t>PY</t>
        </is>
      </c>
      <c r="E15" s="40" t="n"/>
      <c r="F15" s="40" t="n"/>
      <c r="G15" s="40" t="inlineStr">
        <is>
          <t>Macro feature namespace</t>
        </is>
      </c>
    </row>
    <row r="16">
      <c r="A16" s="40" t="inlineStr">
        <is>
          <t>PY_HOUSEHOLDS</t>
        </is>
      </c>
      <c r="B16" s="40" t="inlineStr">
        <is>
          <t>Paraguay households</t>
        </is>
      </c>
      <c r="C16" s="40" t="inlineStr">
        <is>
          <t>population</t>
        </is>
      </c>
      <c r="D16" s="40" t="inlineStr">
        <is>
          <t>PY</t>
        </is>
      </c>
      <c r="E16" s="40" t="n"/>
      <c r="F16" s="40" t="n"/>
      <c r="G16" s="40" t="inlineStr">
        <is>
          <t>Household/citizenship feature namespace</t>
        </is>
      </c>
    </row>
    <row r="17">
      <c r="A17" s="40" t="inlineStr">
        <is>
          <t>PY_CLIMATE</t>
        </is>
      </c>
      <c r="B17" s="40" t="inlineStr">
        <is>
          <t>Paraguay climate</t>
        </is>
      </c>
      <c r="C17" s="40" t="inlineStr">
        <is>
          <t>climate</t>
        </is>
      </c>
      <c r="D17" s="40" t="inlineStr">
        <is>
          <t>PY</t>
        </is>
      </c>
      <c r="E17" s="40" t="n"/>
      <c r="F17" s="40" t="n"/>
      <c r="G17" s="40" t="inlineStr">
        <is>
          <t>Climate feature namespace</t>
        </is>
      </c>
    </row>
    <row r="18">
      <c r="A18" s="40" t="inlineStr">
        <is>
          <t>AYOLAS</t>
        </is>
      </c>
      <c r="B18" s="40" t="inlineStr">
        <is>
          <t>Ayolas river gauge/port</t>
        </is>
      </c>
      <c r="C18" s="40" t="inlineStr">
        <is>
          <t>hydrology_gauge</t>
        </is>
      </c>
      <c r="D18" s="40" t="inlineStr">
        <is>
          <t>PY</t>
        </is>
      </c>
      <c r="E18" s="40" t="n"/>
      <c r="F18" s="40" t="n"/>
      <c r="G18" s="40" t="inlineStr">
        <is>
          <t>Reference gauge in EBY operational reports</t>
        </is>
      </c>
    </row>
    <row r="19">
      <c r="A19" s="40" t="inlineStr">
        <is>
          <t>ITUZAINGO</t>
        </is>
      </c>
      <c r="B19" s="40" t="inlineStr">
        <is>
          <t>Ituzaingo river gauge/port</t>
        </is>
      </c>
      <c r="C19" s="40" t="inlineStr">
        <is>
          <t>hydrology_gauge</t>
        </is>
      </c>
      <c r="D19" s="40" t="inlineStr">
        <is>
          <t>AR</t>
        </is>
      </c>
      <c r="E19" s="40" t="n"/>
      <c r="F19" s="40" t="n"/>
      <c r="G19" s="40" t="inlineStr">
        <is>
          <t>Reference gauge in EBY operational reports</t>
        </is>
      </c>
    </row>
  </sheetData>
  <autoFilter ref="A1:G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5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6" customWidth="1" min="4" max="4"/>
    <col width="3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42" customWidth="1" min="18" max="18"/>
    <col width="16" customWidth="1" min="19" max="19"/>
    <col width="20" customWidth="1" min="20" max="20"/>
    <col width="20" customWidth="1" min="21" max="21"/>
    <col width="48" customWidth="1" min="22" max="22"/>
  </cols>
  <sheetData>
    <row r="1" ht="32" customHeight="1">
      <c r="A1" s="5" t="inlineStr">
        <is>
          <t>record_id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grain</t>
        </is>
      </c>
      <c r="E1" s="5" t="inlineStr">
        <is>
          <t>variable_code</t>
        </is>
      </c>
      <c r="F1" s="5" t="inlineStr">
        <is>
          <t>asset_code</t>
        </is>
      </c>
      <c r="G1" s="5" t="inlineStr">
        <is>
          <t>origin_code</t>
        </is>
      </c>
      <c r="H1" s="5" t="inlineStr">
        <is>
          <t>destination_code</t>
        </is>
      </c>
      <c r="I1" s="5" t="inlineStr">
        <is>
          <t>value_source</t>
        </is>
      </c>
      <c r="J1" s="5" t="inlineStr">
        <is>
          <t>unit_source</t>
        </is>
      </c>
      <c r="K1" s="5" t="inlineStr">
        <is>
          <t>value_normalized</t>
        </is>
      </c>
      <c r="L1" s="5" t="inlineStr">
        <is>
          <t>unit_normalized</t>
        </is>
      </c>
      <c r="M1" s="5" t="inlineStr">
        <is>
          <t>source_code</t>
        </is>
      </c>
      <c r="N1" s="5" t="inlineStr">
        <is>
          <t>authority_class</t>
        </is>
      </c>
      <c r="O1" s="5" t="inlineStr">
        <is>
          <t>quality_class</t>
        </is>
      </c>
      <c r="P1" s="5" t="inlineStr">
        <is>
          <t>canonical_flag</t>
        </is>
      </c>
      <c r="Q1" s="5" t="inlineStr">
        <is>
          <t>revision_priority</t>
        </is>
      </c>
      <c r="R1" s="5" t="inlineStr">
        <is>
          <t>source_url</t>
        </is>
      </c>
      <c r="S1" s="5" t="inlineStr">
        <is>
          <t>source_file_code</t>
        </is>
      </c>
      <c r="T1" s="5" t="inlineStr">
        <is>
          <t>source_published_at</t>
        </is>
      </c>
      <c r="U1" s="5" t="inlineStr">
        <is>
          <t>collected_at</t>
        </is>
      </c>
      <c r="V1" s="5" t="inlineStr">
        <is>
          <t>notes</t>
        </is>
      </c>
    </row>
    <row r="2">
      <c r="A2" s="6" t="inlineStr">
        <is>
          <t>R0000001</t>
        </is>
      </c>
      <c r="B2" s="6" t="inlineStr">
        <is>
          <t>2003-01-01</t>
        </is>
      </c>
      <c r="C2" s="6" t="inlineStr">
        <is>
          <t>2003-12-31</t>
        </is>
      </c>
      <c r="D2" s="6" t="inlineStr">
        <is>
          <t>year</t>
        </is>
      </c>
      <c r="E2" s="6" t="inlineStr">
        <is>
          <t>PY_CONSUMPTION_ENERGY</t>
        </is>
      </c>
      <c r="F2" s="6" t="inlineStr">
        <is>
          <t>PY_SIN</t>
        </is>
      </c>
      <c r="G2" s="6" t="inlineStr">
        <is>
          <t>PY</t>
        </is>
      </c>
      <c r="H2" s="6" t="inlineStr">
        <is>
          <t>PY</t>
        </is>
      </c>
      <c r="I2" s="8" t="n">
        <v>6183000</v>
      </c>
      <c r="J2" s="6" t="inlineStr">
        <is>
          <t>MWh</t>
        </is>
      </c>
      <c r="K2" s="8" t="n">
        <v>6183000</v>
      </c>
      <c r="L2" s="6" t="inlineStr">
        <is>
          <t>MWh</t>
        </is>
      </c>
      <c r="M2" s="6" t="inlineStr">
        <is>
          <t>ANDE</t>
        </is>
      </c>
      <c r="N2" s="6" t="inlineStr">
        <is>
          <t>OFFICIAL_PRIMARY</t>
        </is>
      </c>
      <c r="O2" s="9" t="inlineStr">
        <is>
          <t>OFFICIAL_AGGREGATE</t>
        </is>
      </c>
      <c r="P2" s="8" t="n">
        <v>1</v>
      </c>
      <c r="Q2" s="8" t="n">
        <v>50</v>
      </c>
      <c r="R2" s="7" t="inlineStr">
        <is>
          <t>https://www.ande.gov.py/finanzas/2.%20COMPILACION%20ESTADISTICA%202003-2023/ANDE%20-%20Compilacion%20Estadistica%202003-2023.pdf</t>
        </is>
      </c>
      <c r="S2" s="6" t="inlineStr">
        <is>
          <t>ANDE-STAT-2003-2023</t>
        </is>
      </c>
      <c r="T2" s="6" t="inlineStr"/>
      <c r="U2" s="4" t="inlineStr">
        <is>
          <t>2026-09-10 23:00:00</t>
        </is>
      </c>
      <c r="V2" s="4" t="inlineStr"/>
    </row>
    <row r="3">
      <c r="A3" s="6" t="inlineStr">
        <is>
          <t>R0000002</t>
        </is>
      </c>
      <c r="B3" s="6" t="inlineStr">
        <is>
          <t>2003-01-01</t>
        </is>
      </c>
      <c r="C3" s="6" t="inlineStr">
        <is>
          <t>2003-12-31</t>
        </is>
      </c>
      <c r="D3" s="6" t="inlineStr">
        <is>
          <t>year</t>
        </is>
      </c>
      <c r="E3" s="6" t="inlineStr">
        <is>
          <t>PY_MAX_DEMAND</t>
        </is>
      </c>
      <c r="F3" s="6" t="inlineStr">
        <is>
          <t>PY_SIN</t>
        </is>
      </c>
      <c r="G3" s="6" t="inlineStr">
        <is>
          <t>PY</t>
        </is>
      </c>
      <c r="H3" s="6" t="inlineStr">
        <is>
          <t>PY</t>
        </is>
      </c>
      <c r="I3" s="8" t="n">
        <v>1191</v>
      </c>
      <c r="J3" s="6" t="inlineStr">
        <is>
          <t>MW</t>
        </is>
      </c>
      <c r="K3" s="8" t="n">
        <v>1191</v>
      </c>
      <c r="L3" s="6" t="inlineStr">
        <is>
          <t>MW</t>
        </is>
      </c>
      <c r="M3" s="6" t="inlineStr">
        <is>
          <t>ANDE</t>
        </is>
      </c>
      <c r="N3" s="6" t="inlineStr">
        <is>
          <t>OFFICIAL_PRIMARY</t>
        </is>
      </c>
      <c r="O3" s="9" t="inlineStr">
        <is>
          <t>OFFICIAL_AGGREGATE</t>
        </is>
      </c>
      <c r="P3" s="8" t="n">
        <v>1</v>
      </c>
      <c r="Q3" s="8" t="n">
        <v>50</v>
      </c>
      <c r="R3" s="7" t="inlineStr">
        <is>
          <t>https://www.ande.gov.py/finanzas/2.%20COMPILACION%20ESTADISTICA%202003-2023/ANDE%20-%20Compilacion%20Estadistica%202003-2023.pdf</t>
        </is>
      </c>
      <c r="S3" s="6" t="inlineStr">
        <is>
          <t>ANDE-STAT-2003-2023</t>
        </is>
      </c>
      <c r="T3" s="6" t="inlineStr"/>
      <c r="U3" s="4" t="inlineStr">
        <is>
          <t>2026-09-10 23:00:00</t>
        </is>
      </c>
      <c r="V3" s="4" t="inlineStr"/>
    </row>
    <row r="4">
      <c r="A4" s="6" t="inlineStr">
        <is>
          <t>R0000003</t>
        </is>
      </c>
      <c r="B4" s="6" t="inlineStr">
        <is>
          <t>2004-01-01</t>
        </is>
      </c>
      <c r="C4" s="6" t="inlineStr">
        <is>
          <t>2004-12-31</t>
        </is>
      </c>
      <c r="D4" s="6" t="inlineStr">
        <is>
          <t>year</t>
        </is>
      </c>
      <c r="E4" s="6" t="inlineStr">
        <is>
          <t>PY_CONSUMPTION_ENERGY</t>
        </is>
      </c>
      <c r="F4" s="6" t="inlineStr">
        <is>
          <t>PY_SIN</t>
        </is>
      </c>
      <c r="G4" s="6" t="inlineStr">
        <is>
          <t>PY</t>
        </is>
      </c>
      <c r="H4" s="6" t="inlineStr">
        <is>
          <t>PY</t>
        </is>
      </c>
      <c r="I4" s="8" t="n">
        <v>6580000</v>
      </c>
      <c r="J4" s="6" t="inlineStr">
        <is>
          <t>MWh</t>
        </is>
      </c>
      <c r="K4" s="8" t="n">
        <v>6580000</v>
      </c>
      <c r="L4" s="6" t="inlineStr">
        <is>
          <t>MWh</t>
        </is>
      </c>
      <c r="M4" s="6" t="inlineStr">
        <is>
          <t>ANDE</t>
        </is>
      </c>
      <c r="N4" s="6" t="inlineStr">
        <is>
          <t>OFFICIAL_PRIMARY</t>
        </is>
      </c>
      <c r="O4" s="9" t="inlineStr">
        <is>
          <t>OFFICIAL_AGGREGATE</t>
        </is>
      </c>
      <c r="P4" s="8" t="n">
        <v>1</v>
      </c>
      <c r="Q4" s="8" t="n">
        <v>50</v>
      </c>
      <c r="R4" s="7" t="inlineStr">
        <is>
          <t>https://www.ande.gov.py/finanzas/2.%20COMPILACION%20ESTADISTICA%202003-2023/ANDE%20-%20Compilacion%20Estadistica%202003-2023.pdf</t>
        </is>
      </c>
      <c r="S4" s="6" t="inlineStr">
        <is>
          <t>ANDE-STAT-2003-2023</t>
        </is>
      </c>
      <c r="T4" s="6" t="inlineStr"/>
      <c r="U4" s="4" t="inlineStr">
        <is>
          <t>2026-09-10 23:00:00</t>
        </is>
      </c>
      <c r="V4" s="4" t="inlineStr"/>
    </row>
    <row r="5">
      <c r="A5" s="6" t="inlineStr">
        <is>
          <t>R0000004</t>
        </is>
      </c>
      <c r="B5" s="6" t="inlineStr">
        <is>
          <t>2004-01-01</t>
        </is>
      </c>
      <c r="C5" s="6" t="inlineStr">
        <is>
          <t>2004-12-31</t>
        </is>
      </c>
      <c r="D5" s="6" t="inlineStr">
        <is>
          <t>year</t>
        </is>
      </c>
      <c r="E5" s="6" t="inlineStr">
        <is>
          <t>PY_MAX_DEMAND</t>
        </is>
      </c>
      <c r="F5" s="6" t="inlineStr">
        <is>
          <t>PY_SIN</t>
        </is>
      </c>
      <c r="G5" s="6" t="inlineStr">
        <is>
          <t>PY</t>
        </is>
      </c>
      <c r="H5" s="6" t="inlineStr">
        <is>
          <t>PY</t>
        </is>
      </c>
      <c r="I5" s="8" t="n">
        <v>1241</v>
      </c>
      <c r="J5" s="6" t="inlineStr">
        <is>
          <t>MW</t>
        </is>
      </c>
      <c r="K5" s="8" t="n">
        <v>1241</v>
      </c>
      <c r="L5" s="6" t="inlineStr">
        <is>
          <t>MW</t>
        </is>
      </c>
      <c r="M5" s="6" t="inlineStr">
        <is>
          <t>ANDE</t>
        </is>
      </c>
      <c r="N5" s="6" t="inlineStr">
        <is>
          <t>OFFICIAL_PRIMARY</t>
        </is>
      </c>
      <c r="O5" s="9" t="inlineStr">
        <is>
          <t>OFFICIAL_AGGREGATE</t>
        </is>
      </c>
      <c r="P5" s="8" t="n">
        <v>1</v>
      </c>
      <c r="Q5" s="8" t="n">
        <v>50</v>
      </c>
      <c r="R5" s="7" t="inlineStr">
        <is>
          <t>https://www.ande.gov.py/finanzas/2.%20COMPILACION%20ESTADISTICA%202003-2023/ANDE%20-%20Compilacion%20Estadistica%202003-2023.pdf</t>
        </is>
      </c>
      <c r="S5" s="6" t="inlineStr">
        <is>
          <t>ANDE-STAT-2003-2023</t>
        </is>
      </c>
      <c r="T5" s="6" t="inlineStr"/>
      <c r="U5" s="4" t="inlineStr">
        <is>
          <t>2026-09-10 23:00:00</t>
        </is>
      </c>
      <c r="V5" s="4" t="inlineStr"/>
    </row>
    <row r="6">
      <c r="A6" s="6" t="inlineStr">
        <is>
          <t>R0000005</t>
        </is>
      </c>
      <c r="B6" s="6" t="inlineStr">
        <is>
          <t>2005-01-01</t>
        </is>
      </c>
      <c r="C6" s="6" t="inlineStr">
        <is>
          <t>2005-12-31</t>
        </is>
      </c>
      <c r="D6" s="6" t="inlineStr">
        <is>
          <t>year</t>
        </is>
      </c>
      <c r="E6" s="6" t="inlineStr">
        <is>
          <t>PY_CONSUMPTION_ENERGY</t>
        </is>
      </c>
      <c r="F6" s="6" t="inlineStr">
        <is>
          <t>PY_SIN</t>
        </is>
      </c>
      <c r="G6" s="6" t="inlineStr">
        <is>
          <t>PY</t>
        </is>
      </c>
      <c r="H6" s="6" t="inlineStr">
        <is>
          <t>PY</t>
        </is>
      </c>
      <c r="I6" s="8" t="n">
        <v>6944000</v>
      </c>
      <c r="J6" s="6" t="inlineStr">
        <is>
          <t>MWh</t>
        </is>
      </c>
      <c r="K6" s="8" t="n">
        <v>6944000</v>
      </c>
      <c r="L6" s="6" t="inlineStr">
        <is>
          <t>MWh</t>
        </is>
      </c>
      <c r="M6" s="6" t="inlineStr">
        <is>
          <t>ANDE</t>
        </is>
      </c>
      <c r="N6" s="6" t="inlineStr">
        <is>
          <t>OFFICIAL_PRIMARY</t>
        </is>
      </c>
      <c r="O6" s="9" t="inlineStr">
        <is>
          <t>OFFICIAL_AGGREGATE</t>
        </is>
      </c>
      <c r="P6" s="8" t="n">
        <v>1</v>
      </c>
      <c r="Q6" s="8" t="n">
        <v>50</v>
      </c>
      <c r="R6" s="7" t="inlineStr">
        <is>
          <t>https://www.ande.gov.py/finanzas/2.%20COMPILACION%20ESTADISTICA%202003-2023/ANDE%20-%20Compilacion%20Estadistica%202003-2023.pdf</t>
        </is>
      </c>
      <c r="S6" s="6" t="inlineStr">
        <is>
          <t>ANDE-STAT-2003-2023</t>
        </is>
      </c>
      <c r="T6" s="6" t="inlineStr"/>
      <c r="U6" s="4" t="inlineStr">
        <is>
          <t>2026-09-10 23:00:00</t>
        </is>
      </c>
      <c r="V6" s="4" t="inlineStr"/>
    </row>
    <row r="7">
      <c r="A7" s="6" t="inlineStr">
        <is>
          <t>R0000006</t>
        </is>
      </c>
      <c r="B7" s="6" t="inlineStr">
        <is>
          <t>2005-01-01</t>
        </is>
      </c>
      <c r="C7" s="6" t="inlineStr">
        <is>
          <t>2005-12-31</t>
        </is>
      </c>
      <c r="D7" s="6" t="inlineStr">
        <is>
          <t>year</t>
        </is>
      </c>
      <c r="E7" s="6" t="inlineStr">
        <is>
          <t>PY_MAX_DEMAND</t>
        </is>
      </c>
      <c r="F7" s="6" t="inlineStr">
        <is>
          <t>PY_SIN</t>
        </is>
      </c>
      <c r="G7" s="6" t="inlineStr">
        <is>
          <t>PY</t>
        </is>
      </c>
      <c r="H7" s="6" t="inlineStr">
        <is>
          <t>PY</t>
        </is>
      </c>
      <c r="I7" s="8" t="n">
        <v>1354</v>
      </c>
      <c r="J7" s="6" t="inlineStr">
        <is>
          <t>MW</t>
        </is>
      </c>
      <c r="K7" s="8" t="n">
        <v>1354</v>
      </c>
      <c r="L7" s="6" t="inlineStr">
        <is>
          <t>MW</t>
        </is>
      </c>
      <c r="M7" s="6" t="inlineStr">
        <is>
          <t>ANDE</t>
        </is>
      </c>
      <c r="N7" s="6" t="inlineStr">
        <is>
          <t>OFFICIAL_PRIMARY</t>
        </is>
      </c>
      <c r="O7" s="9" t="inlineStr">
        <is>
          <t>OFFICIAL_AGGREGATE</t>
        </is>
      </c>
      <c r="P7" s="8" t="n">
        <v>1</v>
      </c>
      <c r="Q7" s="8" t="n">
        <v>50</v>
      </c>
      <c r="R7" s="7" t="inlineStr">
        <is>
          <t>https://www.ande.gov.py/finanzas/2.%20COMPILACION%20ESTADISTICA%202003-2023/ANDE%20-%20Compilacion%20Estadistica%202003-2023.pdf</t>
        </is>
      </c>
      <c r="S7" s="6" t="inlineStr">
        <is>
          <t>ANDE-STAT-2003-2023</t>
        </is>
      </c>
      <c r="T7" s="6" t="inlineStr"/>
      <c r="U7" s="4" t="inlineStr">
        <is>
          <t>2026-09-10 23:00:00</t>
        </is>
      </c>
      <c r="V7" s="4" t="inlineStr"/>
    </row>
    <row r="8">
      <c r="A8" s="6" t="inlineStr">
        <is>
          <t>R0000007</t>
        </is>
      </c>
      <c r="B8" s="6" t="inlineStr">
        <is>
          <t>2006-01-01</t>
        </is>
      </c>
      <c r="C8" s="6" t="inlineStr">
        <is>
          <t>2006-12-31</t>
        </is>
      </c>
      <c r="D8" s="6" t="inlineStr">
        <is>
          <t>year</t>
        </is>
      </c>
      <c r="E8" s="6" t="inlineStr">
        <is>
          <t>PY_CONSUMPTION_ENERGY</t>
        </is>
      </c>
      <c r="F8" s="6" t="inlineStr">
        <is>
          <t>PY_SIN</t>
        </is>
      </c>
      <c r="G8" s="6" t="inlineStr">
        <is>
          <t>PY</t>
        </is>
      </c>
      <c r="H8" s="6" t="inlineStr">
        <is>
          <t>PY</t>
        </is>
      </c>
      <c r="I8" s="8" t="n">
        <v>7701000</v>
      </c>
      <c r="J8" s="6" t="inlineStr">
        <is>
          <t>MWh</t>
        </is>
      </c>
      <c r="K8" s="8" t="n">
        <v>7701000</v>
      </c>
      <c r="L8" s="6" t="inlineStr">
        <is>
          <t>MWh</t>
        </is>
      </c>
      <c r="M8" s="6" t="inlineStr">
        <is>
          <t>ANDE</t>
        </is>
      </c>
      <c r="N8" s="6" t="inlineStr">
        <is>
          <t>OFFICIAL_PRIMARY</t>
        </is>
      </c>
      <c r="O8" s="9" t="inlineStr">
        <is>
          <t>OFFICIAL_AGGREGATE</t>
        </is>
      </c>
      <c r="P8" s="8" t="n">
        <v>1</v>
      </c>
      <c r="Q8" s="8" t="n">
        <v>50</v>
      </c>
      <c r="R8" s="7" t="inlineStr">
        <is>
          <t>https://www.ande.gov.py/finanzas/2.%20COMPILACION%20ESTADISTICA%202003-2023/ANDE%20-%20Compilacion%20Estadistica%202003-2023.pdf</t>
        </is>
      </c>
      <c r="S8" s="6" t="inlineStr">
        <is>
          <t>ANDE-STAT-2003-2023</t>
        </is>
      </c>
      <c r="T8" s="6" t="inlineStr"/>
      <c r="U8" s="4" t="inlineStr">
        <is>
          <t>2026-09-10 23:00:00</t>
        </is>
      </c>
      <c r="V8" s="4" t="inlineStr"/>
    </row>
    <row r="9">
      <c r="A9" s="6" t="inlineStr">
        <is>
          <t>R0000008</t>
        </is>
      </c>
      <c r="B9" s="6" t="inlineStr">
        <is>
          <t>2006-01-01</t>
        </is>
      </c>
      <c r="C9" s="6" t="inlineStr">
        <is>
          <t>2006-12-31</t>
        </is>
      </c>
      <c r="D9" s="6" t="inlineStr">
        <is>
          <t>year</t>
        </is>
      </c>
      <c r="E9" s="6" t="inlineStr">
        <is>
          <t>PY_MAX_DEMAND</t>
        </is>
      </c>
      <c r="F9" s="6" t="inlineStr">
        <is>
          <t>PY_SIN</t>
        </is>
      </c>
      <c r="G9" s="6" t="inlineStr">
        <is>
          <t>PY</t>
        </is>
      </c>
      <c r="H9" s="6" t="inlineStr">
        <is>
          <t>PY</t>
        </is>
      </c>
      <c r="I9" s="8" t="n">
        <v>1450</v>
      </c>
      <c r="J9" s="6" t="inlineStr">
        <is>
          <t>MW</t>
        </is>
      </c>
      <c r="K9" s="8" t="n">
        <v>1450</v>
      </c>
      <c r="L9" s="6" t="inlineStr">
        <is>
          <t>MW</t>
        </is>
      </c>
      <c r="M9" s="6" t="inlineStr">
        <is>
          <t>ANDE</t>
        </is>
      </c>
      <c r="N9" s="6" t="inlineStr">
        <is>
          <t>OFFICIAL_PRIMARY</t>
        </is>
      </c>
      <c r="O9" s="9" t="inlineStr">
        <is>
          <t>OFFICIAL_AGGREGATE</t>
        </is>
      </c>
      <c r="P9" s="8" t="n">
        <v>1</v>
      </c>
      <c r="Q9" s="8" t="n">
        <v>50</v>
      </c>
      <c r="R9" s="7" t="inlineStr">
        <is>
          <t>https://www.ande.gov.py/finanzas/2.%20COMPILACION%20ESTADISTICA%202003-2023/ANDE%20-%20Compilacion%20Estadistica%202003-2023.pdf</t>
        </is>
      </c>
      <c r="S9" s="6" t="inlineStr">
        <is>
          <t>ANDE-STAT-2003-2023</t>
        </is>
      </c>
      <c r="T9" s="6" t="inlineStr"/>
      <c r="U9" s="4" t="inlineStr">
        <is>
          <t>2026-09-10 23:00:00</t>
        </is>
      </c>
      <c r="V9" s="4" t="inlineStr"/>
    </row>
    <row r="10">
      <c r="A10" s="6" t="inlineStr">
        <is>
          <t>R0000009</t>
        </is>
      </c>
      <c r="B10" s="6" t="inlineStr">
        <is>
          <t>2007-01-01</t>
        </is>
      </c>
      <c r="C10" s="6" t="inlineStr">
        <is>
          <t>2007-12-31</t>
        </is>
      </c>
      <c r="D10" s="6" t="inlineStr">
        <is>
          <t>year</t>
        </is>
      </c>
      <c r="E10" s="6" t="inlineStr">
        <is>
          <t>PY_CONSUMPTION_ENERGY</t>
        </is>
      </c>
      <c r="F10" s="6" t="inlineStr">
        <is>
          <t>PY_SIN</t>
        </is>
      </c>
      <c r="G10" s="6" t="inlineStr">
        <is>
          <t>PY</t>
        </is>
      </c>
      <c r="H10" s="6" t="inlineStr">
        <is>
          <t>PY</t>
        </is>
      </c>
      <c r="I10" s="8" t="n">
        <v>8299000</v>
      </c>
      <c r="J10" s="6" t="inlineStr">
        <is>
          <t>MWh</t>
        </is>
      </c>
      <c r="K10" s="8" t="n">
        <v>8299000</v>
      </c>
      <c r="L10" s="6" t="inlineStr">
        <is>
          <t>MWh</t>
        </is>
      </c>
      <c r="M10" s="6" t="inlineStr">
        <is>
          <t>ANDE</t>
        </is>
      </c>
      <c r="N10" s="6" t="inlineStr">
        <is>
          <t>OFFICIAL_PRIMARY</t>
        </is>
      </c>
      <c r="O10" s="9" t="inlineStr">
        <is>
          <t>OFFICIAL_AGGREGATE</t>
        </is>
      </c>
      <c r="P10" s="8" t="n">
        <v>1</v>
      </c>
      <c r="Q10" s="8" t="n">
        <v>50</v>
      </c>
      <c r="R10" s="7" t="inlineStr">
        <is>
          <t>https://www.ande.gov.py/finanzas/2.%20COMPILACION%20ESTADISTICA%202003-2023/ANDE%20-%20Compilacion%20Estadistica%202003-2023.pdf</t>
        </is>
      </c>
      <c r="S10" s="6" t="inlineStr">
        <is>
          <t>ANDE-STAT-2003-2023</t>
        </is>
      </c>
      <c r="T10" s="6" t="inlineStr"/>
      <c r="U10" s="4" t="inlineStr">
        <is>
          <t>2026-09-10 23:00:00</t>
        </is>
      </c>
      <c r="V10" s="4" t="inlineStr"/>
    </row>
    <row r="11">
      <c r="A11" s="6" t="inlineStr">
        <is>
          <t>R0000010</t>
        </is>
      </c>
      <c r="B11" s="6" t="inlineStr">
        <is>
          <t>2007-01-01</t>
        </is>
      </c>
      <c r="C11" s="6" t="inlineStr">
        <is>
          <t>2007-12-31</t>
        </is>
      </c>
      <c r="D11" s="6" t="inlineStr">
        <is>
          <t>year</t>
        </is>
      </c>
      <c r="E11" s="6" t="inlineStr">
        <is>
          <t>PY_MAX_DEMAND</t>
        </is>
      </c>
      <c r="F11" s="6" t="inlineStr">
        <is>
          <t>PY_SIN</t>
        </is>
      </c>
      <c r="G11" s="6" t="inlineStr">
        <is>
          <t>PY</t>
        </is>
      </c>
      <c r="H11" s="6" t="inlineStr">
        <is>
          <t>PY</t>
        </is>
      </c>
      <c r="I11" s="8" t="n">
        <v>1521</v>
      </c>
      <c r="J11" s="6" t="inlineStr">
        <is>
          <t>MW</t>
        </is>
      </c>
      <c r="K11" s="8" t="n">
        <v>1521</v>
      </c>
      <c r="L11" s="6" t="inlineStr">
        <is>
          <t>MW</t>
        </is>
      </c>
      <c r="M11" s="6" t="inlineStr">
        <is>
          <t>ANDE</t>
        </is>
      </c>
      <c r="N11" s="6" t="inlineStr">
        <is>
          <t>OFFICIAL_PRIMARY</t>
        </is>
      </c>
      <c r="O11" s="9" t="inlineStr">
        <is>
          <t>OFFICIAL_AGGREGATE</t>
        </is>
      </c>
      <c r="P11" s="8" t="n">
        <v>1</v>
      </c>
      <c r="Q11" s="8" t="n">
        <v>50</v>
      </c>
      <c r="R11" s="7" t="inlineStr">
        <is>
          <t>https://www.ande.gov.py/finanzas/2.%20COMPILACION%20ESTADISTICA%202003-2023/ANDE%20-%20Compilacion%20Estadistica%202003-2023.pdf</t>
        </is>
      </c>
      <c r="S11" s="6" t="inlineStr">
        <is>
          <t>ANDE-STAT-2003-2023</t>
        </is>
      </c>
      <c r="T11" s="6" t="inlineStr"/>
      <c r="U11" s="4" t="inlineStr">
        <is>
          <t>2026-09-10 23:00:00</t>
        </is>
      </c>
      <c r="V11" s="4" t="inlineStr"/>
    </row>
    <row r="12">
      <c r="A12" s="6" t="inlineStr">
        <is>
          <t>R0000011</t>
        </is>
      </c>
      <c r="B12" s="6" t="inlineStr">
        <is>
          <t>2008-01-01</t>
        </is>
      </c>
      <c r="C12" s="6" t="inlineStr">
        <is>
          <t>2008-12-31</t>
        </is>
      </c>
      <c r="D12" s="6" t="inlineStr">
        <is>
          <t>year</t>
        </is>
      </c>
      <c r="E12" s="6" t="inlineStr">
        <is>
          <t>PY_CONSUMPTION_ENERGY</t>
        </is>
      </c>
      <c r="F12" s="6" t="inlineStr">
        <is>
          <t>PY_SIN</t>
        </is>
      </c>
      <c r="G12" s="6" t="inlineStr">
        <is>
          <t>PY</t>
        </is>
      </c>
      <c r="H12" s="6" t="inlineStr">
        <is>
          <t>PY</t>
        </is>
      </c>
      <c r="I12" s="8" t="n">
        <v>8888000</v>
      </c>
      <c r="J12" s="6" t="inlineStr">
        <is>
          <t>MWh</t>
        </is>
      </c>
      <c r="K12" s="8" t="n">
        <v>8888000</v>
      </c>
      <c r="L12" s="6" t="inlineStr">
        <is>
          <t>MWh</t>
        </is>
      </c>
      <c r="M12" s="6" t="inlineStr">
        <is>
          <t>ANDE</t>
        </is>
      </c>
      <c r="N12" s="6" t="inlineStr">
        <is>
          <t>OFFICIAL_PRIMARY</t>
        </is>
      </c>
      <c r="O12" s="9" t="inlineStr">
        <is>
          <t>OFFICIAL_AGGREGATE</t>
        </is>
      </c>
      <c r="P12" s="8" t="n">
        <v>1</v>
      </c>
      <c r="Q12" s="8" t="n">
        <v>50</v>
      </c>
      <c r="R12" s="7" t="inlineStr">
        <is>
          <t>https://www.ande.gov.py/finanzas/2.%20COMPILACION%20ESTADISTICA%202003-2023/ANDE%20-%20Compilacion%20Estadistica%202003-2023.pdf</t>
        </is>
      </c>
      <c r="S12" s="6" t="inlineStr">
        <is>
          <t>ANDE-STAT-2003-2023</t>
        </is>
      </c>
      <c r="T12" s="6" t="inlineStr"/>
      <c r="U12" s="4" t="inlineStr">
        <is>
          <t>2026-09-10 23:00:00</t>
        </is>
      </c>
      <c r="V12" s="4" t="inlineStr"/>
    </row>
    <row r="13">
      <c r="A13" s="6" t="inlineStr">
        <is>
          <t>R0000012</t>
        </is>
      </c>
      <c r="B13" s="6" t="inlineStr">
        <is>
          <t>2008-01-01</t>
        </is>
      </c>
      <c r="C13" s="6" t="inlineStr">
        <is>
          <t>2008-12-31</t>
        </is>
      </c>
      <c r="D13" s="6" t="inlineStr">
        <is>
          <t>year</t>
        </is>
      </c>
      <c r="E13" s="6" t="inlineStr">
        <is>
          <t>PY_MAX_DEMAND</t>
        </is>
      </c>
      <c r="F13" s="6" t="inlineStr">
        <is>
          <t>PY_SIN</t>
        </is>
      </c>
      <c r="G13" s="6" t="inlineStr">
        <is>
          <t>PY</t>
        </is>
      </c>
      <c r="H13" s="6" t="inlineStr">
        <is>
          <t>PY</t>
        </is>
      </c>
      <c r="I13" s="8" t="n">
        <v>1648</v>
      </c>
      <c r="J13" s="6" t="inlineStr">
        <is>
          <t>MW</t>
        </is>
      </c>
      <c r="K13" s="8" t="n">
        <v>1648</v>
      </c>
      <c r="L13" s="6" t="inlineStr">
        <is>
          <t>MW</t>
        </is>
      </c>
      <c r="M13" s="6" t="inlineStr">
        <is>
          <t>ANDE</t>
        </is>
      </c>
      <c r="N13" s="6" t="inlineStr">
        <is>
          <t>OFFICIAL_PRIMARY</t>
        </is>
      </c>
      <c r="O13" s="9" t="inlineStr">
        <is>
          <t>OFFICIAL_AGGREGATE</t>
        </is>
      </c>
      <c r="P13" s="8" t="n">
        <v>1</v>
      </c>
      <c r="Q13" s="8" t="n">
        <v>50</v>
      </c>
      <c r="R13" s="7" t="inlineStr">
        <is>
          <t>https://www.ande.gov.py/finanzas/2.%20COMPILACION%20ESTADISTICA%202003-2023/ANDE%20-%20Compilacion%20Estadistica%202003-2023.pdf</t>
        </is>
      </c>
      <c r="S13" s="6" t="inlineStr">
        <is>
          <t>ANDE-STAT-2003-2023</t>
        </is>
      </c>
      <c r="T13" s="6" t="inlineStr"/>
      <c r="U13" s="4" t="inlineStr">
        <is>
          <t>2026-09-10 23:00:00</t>
        </is>
      </c>
      <c r="V13" s="4" t="inlineStr"/>
    </row>
    <row r="14">
      <c r="A14" s="6" t="inlineStr">
        <is>
          <t>R0000013</t>
        </is>
      </c>
      <c r="B14" s="6" t="inlineStr">
        <is>
          <t>2009-01-01</t>
        </is>
      </c>
      <c r="C14" s="6" t="inlineStr">
        <is>
          <t>2009-12-31</t>
        </is>
      </c>
      <c r="D14" s="6" t="inlineStr">
        <is>
          <t>year</t>
        </is>
      </c>
      <c r="E14" s="6" t="inlineStr">
        <is>
          <t>PY_CONSUMPTION_ENERGY</t>
        </is>
      </c>
      <c r="F14" s="6" t="inlineStr">
        <is>
          <t>PY_SIN</t>
        </is>
      </c>
      <c r="G14" s="6" t="inlineStr">
        <is>
          <t>PY</t>
        </is>
      </c>
      <c r="H14" s="6" t="inlineStr">
        <is>
          <t>PY</t>
        </is>
      </c>
      <c r="I14" s="8" t="n">
        <v>9531000</v>
      </c>
      <c r="J14" s="6" t="inlineStr">
        <is>
          <t>MWh</t>
        </is>
      </c>
      <c r="K14" s="8" t="n">
        <v>9531000</v>
      </c>
      <c r="L14" s="6" t="inlineStr">
        <is>
          <t>MWh</t>
        </is>
      </c>
      <c r="M14" s="6" t="inlineStr">
        <is>
          <t>ANDE</t>
        </is>
      </c>
      <c r="N14" s="6" t="inlineStr">
        <is>
          <t>OFFICIAL_PRIMARY</t>
        </is>
      </c>
      <c r="O14" s="9" t="inlineStr">
        <is>
          <t>OFFICIAL_AGGREGATE</t>
        </is>
      </c>
      <c r="P14" s="8" t="n">
        <v>1</v>
      </c>
      <c r="Q14" s="8" t="n">
        <v>50</v>
      </c>
      <c r="R14" s="7" t="inlineStr">
        <is>
          <t>https://www.ande.gov.py/finanzas/2.%20COMPILACION%20ESTADISTICA%202003-2023/ANDE%20-%20Compilacion%20Estadistica%202003-2023.pdf</t>
        </is>
      </c>
      <c r="S14" s="6" t="inlineStr">
        <is>
          <t>ANDE-STAT-2003-2023</t>
        </is>
      </c>
      <c r="T14" s="6" t="inlineStr"/>
      <c r="U14" s="4" t="inlineStr">
        <is>
          <t>2026-09-10 23:00:00</t>
        </is>
      </c>
      <c r="V14" s="4" t="inlineStr"/>
    </row>
    <row r="15">
      <c r="A15" s="6" t="inlineStr">
        <is>
          <t>R0000014</t>
        </is>
      </c>
      <c r="B15" s="6" t="inlineStr">
        <is>
          <t>2009-01-01</t>
        </is>
      </c>
      <c r="C15" s="6" t="inlineStr">
        <is>
          <t>2009-12-31</t>
        </is>
      </c>
      <c r="D15" s="6" t="inlineStr">
        <is>
          <t>year</t>
        </is>
      </c>
      <c r="E15" s="6" t="inlineStr">
        <is>
          <t>PY_MAX_DEMAND</t>
        </is>
      </c>
      <c r="F15" s="6" t="inlineStr">
        <is>
          <t>PY_SIN</t>
        </is>
      </c>
      <c r="G15" s="6" t="inlineStr">
        <is>
          <t>PY</t>
        </is>
      </c>
      <c r="H15" s="6" t="inlineStr">
        <is>
          <t>PY</t>
        </is>
      </c>
      <c r="I15" s="8" t="n">
        <v>1810</v>
      </c>
      <c r="J15" s="6" t="inlineStr">
        <is>
          <t>MW</t>
        </is>
      </c>
      <c r="K15" s="8" t="n">
        <v>1810</v>
      </c>
      <c r="L15" s="6" t="inlineStr">
        <is>
          <t>MW</t>
        </is>
      </c>
      <c r="M15" s="6" t="inlineStr">
        <is>
          <t>ANDE</t>
        </is>
      </c>
      <c r="N15" s="6" t="inlineStr">
        <is>
          <t>OFFICIAL_PRIMARY</t>
        </is>
      </c>
      <c r="O15" s="9" t="inlineStr">
        <is>
          <t>OFFICIAL_AGGREGATE</t>
        </is>
      </c>
      <c r="P15" s="8" t="n">
        <v>1</v>
      </c>
      <c r="Q15" s="8" t="n">
        <v>50</v>
      </c>
      <c r="R15" s="7" t="inlineStr">
        <is>
          <t>https://www.ande.gov.py/finanzas/2.%20COMPILACION%20ESTADISTICA%202003-2023/ANDE%20-%20Compilacion%20Estadistica%202003-2023.pdf</t>
        </is>
      </c>
      <c r="S15" s="6" t="inlineStr">
        <is>
          <t>ANDE-STAT-2003-2023</t>
        </is>
      </c>
      <c r="T15" s="6" t="inlineStr"/>
      <c r="U15" s="4" t="inlineStr">
        <is>
          <t>2026-09-10 23:00:00</t>
        </is>
      </c>
      <c r="V15" s="4" t="inlineStr"/>
    </row>
    <row r="16">
      <c r="A16" s="6" t="inlineStr">
        <is>
          <t>R0000015</t>
        </is>
      </c>
      <c r="B16" s="6" t="inlineStr">
        <is>
          <t>2010-01-01</t>
        </is>
      </c>
      <c r="C16" s="6" t="inlineStr">
        <is>
          <t>2010-12-31</t>
        </is>
      </c>
      <c r="D16" s="6" t="inlineStr">
        <is>
          <t>year</t>
        </is>
      </c>
      <c r="E16" s="6" t="inlineStr">
        <is>
          <t>PY_CONSUMPTION_ENERGY</t>
        </is>
      </c>
      <c r="F16" s="6" t="inlineStr">
        <is>
          <t>PY_SIN</t>
        </is>
      </c>
      <c r="G16" s="6" t="inlineStr">
        <is>
          <t>PY</t>
        </is>
      </c>
      <c r="H16" s="6" t="inlineStr">
        <is>
          <t>PY</t>
        </is>
      </c>
      <c r="I16" s="8" t="n">
        <v>10198000</v>
      </c>
      <c r="J16" s="6" t="inlineStr">
        <is>
          <t>MWh</t>
        </is>
      </c>
      <c r="K16" s="8" t="n">
        <v>10198000</v>
      </c>
      <c r="L16" s="6" t="inlineStr">
        <is>
          <t>MWh</t>
        </is>
      </c>
      <c r="M16" s="6" t="inlineStr">
        <is>
          <t>ANDE</t>
        </is>
      </c>
      <c r="N16" s="6" t="inlineStr">
        <is>
          <t>OFFICIAL_PRIMARY</t>
        </is>
      </c>
      <c r="O16" s="9" t="inlineStr">
        <is>
          <t>OFFICIAL_AGGREGATE</t>
        </is>
      </c>
      <c r="P16" s="8" t="n">
        <v>1</v>
      </c>
      <c r="Q16" s="8" t="n">
        <v>50</v>
      </c>
      <c r="R16" s="7" t="inlineStr">
        <is>
          <t>https://www.ande.gov.py/finanzas/2.%20COMPILACION%20ESTADISTICA%202003-2023/ANDE%20-%20Compilacion%20Estadistica%202003-2023.pdf</t>
        </is>
      </c>
      <c r="S16" s="6" t="inlineStr">
        <is>
          <t>ANDE-STAT-2003-2023</t>
        </is>
      </c>
      <c r="T16" s="6" t="inlineStr"/>
      <c r="U16" s="4" t="inlineStr">
        <is>
          <t>2026-09-10 23:00:00</t>
        </is>
      </c>
      <c r="V16" s="4" t="inlineStr"/>
    </row>
    <row r="17">
      <c r="A17" s="6" t="inlineStr">
        <is>
          <t>R0000016</t>
        </is>
      </c>
      <c r="B17" s="6" t="inlineStr">
        <is>
          <t>2010-01-01</t>
        </is>
      </c>
      <c r="C17" s="6" t="inlineStr">
        <is>
          <t>2010-12-31</t>
        </is>
      </c>
      <c r="D17" s="6" t="inlineStr">
        <is>
          <t>year</t>
        </is>
      </c>
      <c r="E17" s="6" t="inlineStr">
        <is>
          <t>PY_MAX_DEMAND</t>
        </is>
      </c>
      <c r="F17" s="6" t="inlineStr">
        <is>
          <t>PY_SIN</t>
        </is>
      </c>
      <c r="G17" s="6" t="inlineStr">
        <is>
          <t>PY</t>
        </is>
      </c>
      <c r="H17" s="6" t="inlineStr">
        <is>
          <t>PY</t>
        </is>
      </c>
      <c r="I17" s="8" t="n">
        <v>1892</v>
      </c>
      <c r="J17" s="6" t="inlineStr">
        <is>
          <t>MW</t>
        </is>
      </c>
      <c r="K17" s="8" t="n">
        <v>1892</v>
      </c>
      <c r="L17" s="6" t="inlineStr">
        <is>
          <t>MW</t>
        </is>
      </c>
      <c r="M17" s="6" t="inlineStr">
        <is>
          <t>ANDE</t>
        </is>
      </c>
      <c r="N17" s="6" t="inlineStr">
        <is>
          <t>OFFICIAL_PRIMARY</t>
        </is>
      </c>
      <c r="O17" s="9" t="inlineStr">
        <is>
          <t>OFFICIAL_AGGREGATE</t>
        </is>
      </c>
      <c r="P17" s="8" t="n">
        <v>1</v>
      </c>
      <c r="Q17" s="8" t="n">
        <v>50</v>
      </c>
      <c r="R17" s="7" t="inlineStr">
        <is>
          <t>https://www.ande.gov.py/finanzas/2.%20COMPILACION%20ESTADISTICA%202003-2023/ANDE%20-%20Compilacion%20Estadistica%202003-2023.pdf</t>
        </is>
      </c>
      <c r="S17" s="6" t="inlineStr">
        <is>
          <t>ANDE-STAT-2003-2023</t>
        </is>
      </c>
      <c r="T17" s="6" t="inlineStr"/>
      <c r="U17" s="4" t="inlineStr">
        <is>
          <t>2026-09-10 23:00:00</t>
        </is>
      </c>
      <c r="V17" s="4" t="inlineStr"/>
    </row>
    <row r="18">
      <c r="A18" s="6" t="inlineStr">
        <is>
          <t>R0000017</t>
        </is>
      </c>
      <c r="B18" s="6" t="inlineStr">
        <is>
          <t>2011-01-01</t>
        </is>
      </c>
      <c r="C18" s="6" t="inlineStr">
        <is>
          <t>2011-12-31</t>
        </is>
      </c>
      <c r="D18" s="6" t="inlineStr">
        <is>
          <t>year</t>
        </is>
      </c>
      <c r="E18" s="6" t="inlineStr">
        <is>
          <t>PY_CONSUMPTION_ENERGY</t>
        </is>
      </c>
      <c r="F18" s="6" t="inlineStr">
        <is>
          <t>PY_SIN</t>
        </is>
      </c>
      <c r="G18" s="6" t="inlineStr">
        <is>
          <t>PY</t>
        </is>
      </c>
      <c r="H18" s="6" t="inlineStr">
        <is>
          <t>PY</t>
        </is>
      </c>
      <c r="I18" s="8" t="n">
        <v>11020000</v>
      </c>
      <c r="J18" s="6" t="inlineStr">
        <is>
          <t>MWh</t>
        </is>
      </c>
      <c r="K18" s="8" t="n">
        <v>11020000</v>
      </c>
      <c r="L18" s="6" t="inlineStr">
        <is>
          <t>MWh</t>
        </is>
      </c>
      <c r="M18" s="6" t="inlineStr">
        <is>
          <t>ANDE</t>
        </is>
      </c>
      <c r="N18" s="6" t="inlineStr">
        <is>
          <t>OFFICIAL_PRIMARY</t>
        </is>
      </c>
      <c r="O18" s="9" t="inlineStr">
        <is>
          <t>OFFICIAL_AGGREGATE</t>
        </is>
      </c>
      <c r="P18" s="8" t="n">
        <v>1</v>
      </c>
      <c r="Q18" s="8" t="n">
        <v>50</v>
      </c>
      <c r="R18" s="7" t="inlineStr">
        <is>
          <t>https://www.ande.gov.py/finanzas/2.%20COMPILACION%20ESTADISTICA%202003-2023/ANDE%20-%20Compilacion%20Estadistica%202003-2023.pdf</t>
        </is>
      </c>
      <c r="S18" s="6" t="inlineStr">
        <is>
          <t>ANDE-STAT-2003-2023</t>
        </is>
      </c>
      <c r="T18" s="6" t="inlineStr"/>
      <c r="U18" s="4" t="inlineStr">
        <is>
          <t>2026-09-10 23:00:00</t>
        </is>
      </c>
      <c r="V18" s="4" t="inlineStr"/>
    </row>
    <row r="19">
      <c r="A19" s="6" t="inlineStr">
        <is>
          <t>R0000018</t>
        </is>
      </c>
      <c r="B19" s="6" t="inlineStr">
        <is>
          <t>2011-01-01</t>
        </is>
      </c>
      <c r="C19" s="6" t="inlineStr">
        <is>
          <t>2011-12-31</t>
        </is>
      </c>
      <c r="D19" s="6" t="inlineStr">
        <is>
          <t>year</t>
        </is>
      </c>
      <c r="E19" s="6" t="inlineStr">
        <is>
          <t>PY_MAX_DEMAND</t>
        </is>
      </c>
      <c r="F19" s="6" t="inlineStr">
        <is>
          <t>PY_SIN</t>
        </is>
      </c>
      <c r="G19" s="6" t="inlineStr">
        <is>
          <t>PY</t>
        </is>
      </c>
      <c r="H19" s="6" t="inlineStr">
        <is>
          <t>PY</t>
        </is>
      </c>
      <c r="I19" s="8" t="n">
        <v>2137</v>
      </c>
      <c r="J19" s="6" t="inlineStr">
        <is>
          <t>MW</t>
        </is>
      </c>
      <c r="K19" s="8" t="n">
        <v>2137</v>
      </c>
      <c r="L19" s="6" t="inlineStr">
        <is>
          <t>MW</t>
        </is>
      </c>
      <c r="M19" s="6" t="inlineStr">
        <is>
          <t>ANDE</t>
        </is>
      </c>
      <c r="N19" s="6" t="inlineStr">
        <is>
          <t>OFFICIAL_PRIMARY</t>
        </is>
      </c>
      <c r="O19" s="9" t="inlineStr">
        <is>
          <t>OFFICIAL_AGGREGATE</t>
        </is>
      </c>
      <c r="P19" s="8" t="n">
        <v>1</v>
      </c>
      <c r="Q19" s="8" t="n">
        <v>50</v>
      </c>
      <c r="R19" s="7" t="inlineStr">
        <is>
          <t>https://www.ande.gov.py/finanzas/2.%20COMPILACION%20ESTADISTICA%202003-2023/ANDE%20-%20Compilacion%20Estadistica%202003-2023.pdf</t>
        </is>
      </c>
      <c r="S19" s="6" t="inlineStr">
        <is>
          <t>ANDE-STAT-2003-2023</t>
        </is>
      </c>
      <c r="T19" s="6" t="inlineStr"/>
      <c r="U19" s="4" t="inlineStr">
        <is>
          <t>2026-09-10 23:00:00</t>
        </is>
      </c>
      <c r="V19" s="4" t="inlineStr"/>
    </row>
    <row r="20">
      <c r="A20" s="6" t="inlineStr">
        <is>
          <t>R0000019</t>
        </is>
      </c>
      <c r="B20" s="6" t="inlineStr">
        <is>
          <t>2012-01-01</t>
        </is>
      </c>
      <c r="C20" s="6" t="inlineStr">
        <is>
          <t>2012-12-31</t>
        </is>
      </c>
      <c r="D20" s="6" t="inlineStr">
        <is>
          <t>year</t>
        </is>
      </c>
      <c r="E20" s="6" t="inlineStr">
        <is>
          <t>PY_CONSUMPTION_ENERGY</t>
        </is>
      </c>
      <c r="F20" s="6" t="inlineStr">
        <is>
          <t>PY_SIN</t>
        </is>
      </c>
      <c r="G20" s="6" t="inlineStr">
        <is>
          <t>PY</t>
        </is>
      </c>
      <c r="H20" s="6" t="inlineStr">
        <is>
          <t>PY</t>
        </is>
      </c>
      <c r="I20" s="8" t="n">
        <v>12077000</v>
      </c>
      <c r="J20" s="6" t="inlineStr">
        <is>
          <t>MWh</t>
        </is>
      </c>
      <c r="K20" s="8" t="n">
        <v>12077000</v>
      </c>
      <c r="L20" s="6" t="inlineStr">
        <is>
          <t>MWh</t>
        </is>
      </c>
      <c r="M20" s="6" t="inlineStr">
        <is>
          <t>ANDE</t>
        </is>
      </c>
      <c r="N20" s="6" t="inlineStr">
        <is>
          <t>OFFICIAL_PRIMARY</t>
        </is>
      </c>
      <c r="O20" s="9" t="inlineStr">
        <is>
          <t>OFFICIAL_AGGREGATE</t>
        </is>
      </c>
      <c r="P20" s="8" t="n">
        <v>1</v>
      </c>
      <c r="Q20" s="8" t="n">
        <v>50</v>
      </c>
      <c r="R20" s="7" t="inlineStr">
        <is>
          <t>https://www.ande.gov.py/finanzas/2.%20COMPILACION%20ESTADISTICA%202003-2023/ANDE%20-%20Compilacion%20Estadistica%202003-2023.pdf</t>
        </is>
      </c>
      <c r="S20" s="6" t="inlineStr">
        <is>
          <t>ANDE-STAT-2003-2023</t>
        </is>
      </c>
      <c r="T20" s="6" t="inlineStr"/>
      <c r="U20" s="4" t="inlineStr">
        <is>
          <t>2026-09-10 23:00:00</t>
        </is>
      </c>
      <c r="V20" s="4" t="inlineStr"/>
    </row>
    <row r="21">
      <c r="A21" s="6" t="inlineStr">
        <is>
          <t>R0000020</t>
        </is>
      </c>
      <c r="B21" s="6" t="inlineStr">
        <is>
          <t>2012-01-01</t>
        </is>
      </c>
      <c r="C21" s="6" t="inlineStr">
        <is>
          <t>2012-12-31</t>
        </is>
      </c>
      <c r="D21" s="6" t="inlineStr">
        <is>
          <t>year</t>
        </is>
      </c>
      <c r="E21" s="6" t="inlineStr">
        <is>
          <t>PY_MAX_DEMAND</t>
        </is>
      </c>
      <c r="F21" s="6" t="inlineStr">
        <is>
          <t>PY_SIN</t>
        </is>
      </c>
      <c r="G21" s="6" t="inlineStr">
        <is>
          <t>PY</t>
        </is>
      </c>
      <c r="H21" s="6" t="inlineStr">
        <is>
          <t>PY</t>
        </is>
      </c>
      <c r="I21" s="8" t="n">
        <v>2384</v>
      </c>
      <c r="J21" s="6" t="inlineStr">
        <is>
          <t>MW</t>
        </is>
      </c>
      <c r="K21" s="8" t="n">
        <v>2384</v>
      </c>
      <c r="L21" s="6" t="inlineStr">
        <is>
          <t>MW</t>
        </is>
      </c>
      <c r="M21" s="6" t="inlineStr">
        <is>
          <t>ANDE</t>
        </is>
      </c>
      <c r="N21" s="6" t="inlineStr">
        <is>
          <t>OFFICIAL_PRIMARY</t>
        </is>
      </c>
      <c r="O21" s="9" t="inlineStr">
        <is>
          <t>OFFICIAL_AGGREGATE</t>
        </is>
      </c>
      <c r="P21" s="8" t="n">
        <v>1</v>
      </c>
      <c r="Q21" s="8" t="n">
        <v>50</v>
      </c>
      <c r="R21" s="7" t="inlineStr">
        <is>
          <t>https://www.ande.gov.py/finanzas/2.%20COMPILACION%20ESTADISTICA%202003-2023/ANDE%20-%20Compilacion%20Estadistica%202003-2023.pdf</t>
        </is>
      </c>
      <c r="S21" s="6" t="inlineStr">
        <is>
          <t>ANDE-STAT-2003-2023</t>
        </is>
      </c>
      <c r="T21" s="6" t="inlineStr"/>
      <c r="U21" s="4" t="inlineStr">
        <is>
          <t>2026-09-10 23:00:00</t>
        </is>
      </c>
      <c r="V21" s="4" t="inlineStr"/>
    </row>
    <row r="22">
      <c r="A22" s="6" t="inlineStr">
        <is>
          <t>R0000021</t>
        </is>
      </c>
      <c r="B22" s="6" t="inlineStr">
        <is>
          <t>2013-01-01</t>
        </is>
      </c>
      <c r="C22" s="6" t="inlineStr">
        <is>
          <t>2013-12-31</t>
        </is>
      </c>
      <c r="D22" s="6" t="inlineStr">
        <is>
          <t>year</t>
        </is>
      </c>
      <c r="E22" s="6" t="inlineStr">
        <is>
          <t>PY_CONSUMPTION_ENERGY</t>
        </is>
      </c>
      <c r="F22" s="6" t="inlineStr">
        <is>
          <t>PY_SIN</t>
        </is>
      </c>
      <c r="G22" s="6" t="inlineStr">
        <is>
          <t>PY</t>
        </is>
      </c>
      <c r="H22" s="6" t="inlineStr">
        <is>
          <t>PY</t>
        </is>
      </c>
      <c r="I22" s="8" t="n">
        <v>12524000</v>
      </c>
      <c r="J22" s="6" t="inlineStr">
        <is>
          <t>MWh</t>
        </is>
      </c>
      <c r="K22" s="8" t="n">
        <v>12524000</v>
      </c>
      <c r="L22" s="6" t="inlineStr">
        <is>
          <t>MWh</t>
        </is>
      </c>
      <c r="M22" s="6" t="inlineStr">
        <is>
          <t>ANDE</t>
        </is>
      </c>
      <c r="N22" s="6" t="inlineStr">
        <is>
          <t>OFFICIAL_PRIMARY</t>
        </is>
      </c>
      <c r="O22" s="9" t="inlineStr">
        <is>
          <t>OFFICIAL_AGGREGATE</t>
        </is>
      </c>
      <c r="P22" s="8" t="n">
        <v>1</v>
      </c>
      <c r="Q22" s="8" t="n">
        <v>50</v>
      </c>
      <c r="R22" s="7" t="inlineStr">
        <is>
          <t>https://www.ande.gov.py/finanzas/2.%20COMPILACION%20ESTADISTICA%202003-2023/ANDE%20-%20Compilacion%20Estadistica%202003-2023.pdf</t>
        </is>
      </c>
      <c r="S22" s="6" t="inlineStr">
        <is>
          <t>ANDE-STAT-2003-2023</t>
        </is>
      </c>
      <c r="T22" s="6" t="inlineStr"/>
      <c r="U22" s="4" t="inlineStr">
        <is>
          <t>2026-09-10 23:00:00</t>
        </is>
      </c>
      <c r="V22" s="4" t="inlineStr"/>
    </row>
    <row r="23">
      <c r="A23" s="6" t="inlineStr">
        <is>
          <t>R0000022</t>
        </is>
      </c>
      <c r="B23" s="6" t="inlineStr">
        <is>
          <t>2013-01-01</t>
        </is>
      </c>
      <c r="C23" s="6" t="inlineStr">
        <is>
          <t>2013-12-31</t>
        </is>
      </c>
      <c r="D23" s="6" t="inlineStr">
        <is>
          <t>year</t>
        </is>
      </c>
      <c r="E23" s="6" t="inlineStr">
        <is>
          <t>PY_MAX_DEMAND</t>
        </is>
      </c>
      <c r="F23" s="6" t="inlineStr">
        <is>
          <t>PY_SIN</t>
        </is>
      </c>
      <c r="G23" s="6" t="inlineStr">
        <is>
          <t>PY</t>
        </is>
      </c>
      <c r="H23" s="6" t="inlineStr">
        <is>
          <t>PY</t>
        </is>
      </c>
      <c r="I23" s="8" t="n">
        <v>2425</v>
      </c>
      <c r="J23" s="6" t="inlineStr">
        <is>
          <t>MW</t>
        </is>
      </c>
      <c r="K23" s="8" t="n">
        <v>2425</v>
      </c>
      <c r="L23" s="6" t="inlineStr">
        <is>
          <t>MW</t>
        </is>
      </c>
      <c r="M23" s="6" t="inlineStr">
        <is>
          <t>ANDE</t>
        </is>
      </c>
      <c r="N23" s="6" t="inlineStr">
        <is>
          <t>OFFICIAL_PRIMARY</t>
        </is>
      </c>
      <c r="O23" s="9" t="inlineStr">
        <is>
          <t>OFFICIAL_AGGREGATE</t>
        </is>
      </c>
      <c r="P23" s="8" t="n">
        <v>1</v>
      </c>
      <c r="Q23" s="8" t="n">
        <v>50</v>
      </c>
      <c r="R23" s="7" t="inlineStr">
        <is>
          <t>https://www.ande.gov.py/finanzas/2.%20COMPILACION%20ESTADISTICA%202003-2023/ANDE%20-%20Compilacion%20Estadistica%202003-2023.pdf</t>
        </is>
      </c>
      <c r="S23" s="6" t="inlineStr">
        <is>
          <t>ANDE-STAT-2003-2023</t>
        </is>
      </c>
      <c r="T23" s="6" t="inlineStr"/>
      <c r="U23" s="4" t="inlineStr">
        <is>
          <t>2026-09-10 23:00:00</t>
        </is>
      </c>
      <c r="V23" s="4" t="inlineStr"/>
    </row>
    <row r="24">
      <c r="A24" s="6" t="inlineStr">
        <is>
          <t>R0000023</t>
        </is>
      </c>
      <c r="B24" s="6" t="inlineStr">
        <is>
          <t>2014-01-01</t>
        </is>
      </c>
      <c r="C24" s="6" t="inlineStr">
        <is>
          <t>2014-12-31</t>
        </is>
      </c>
      <c r="D24" s="6" t="inlineStr">
        <is>
          <t>year</t>
        </is>
      </c>
      <c r="E24" s="6" t="inlineStr">
        <is>
          <t>PY_CONSUMPTION_ENERGY</t>
        </is>
      </c>
      <c r="F24" s="6" t="inlineStr">
        <is>
          <t>PY_SIN</t>
        </is>
      </c>
      <c r="G24" s="6" t="inlineStr">
        <is>
          <t>PY</t>
        </is>
      </c>
      <c r="H24" s="6" t="inlineStr">
        <is>
          <t>PY</t>
        </is>
      </c>
      <c r="I24" s="8" t="n">
        <v>13450000</v>
      </c>
      <c r="J24" s="6" t="inlineStr">
        <is>
          <t>MWh</t>
        </is>
      </c>
      <c r="K24" s="8" t="n">
        <v>13450000</v>
      </c>
      <c r="L24" s="6" t="inlineStr">
        <is>
          <t>MWh</t>
        </is>
      </c>
      <c r="M24" s="6" t="inlineStr">
        <is>
          <t>ANDE</t>
        </is>
      </c>
      <c r="N24" s="6" t="inlineStr">
        <is>
          <t>OFFICIAL_PRIMARY</t>
        </is>
      </c>
      <c r="O24" s="9" t="inlineStr">
        <is>
          <t>OFFICIAL_AGGREGATE</t>
        </is>
      </c>
      <c r="P24" s="8" t="n">
        <v>1</v>
      </c>
      <c r="Q24" s="8" t="n">
        <v>50</v>
      </c>
      <c r="R24" s="7" t="inlineStr">
        <is>
          <t>https://www.ande.gov.py/finanzas/2.%20COMPILACION%20ESTADISTICA%202003-2023/ANDE%20-%20Compilacion%20Estadistica%202003-2023.pdf</t>
        </is>
      </c>
      <c r="S24" s="6" t="inlineStr">
        <is>
          <t>ANDE-STAT-2003-2023</t>
        </is>
      </c>
      <c r="T24" s="6" t="inlineStr"/>
      <c r="U24" s="4" t="inlineStr">
        <is>
          <t>2026-09-10 23:00:00</t>
        </is>
      </c>
      <c r="V24" s="4" t="inlineStr"/>
    </row>
    <row r="25">
      <c r="A25" s="6" t="inlineStr">
        <is>
          <t>R0000024</t>
        </is>
      </c>
      <c r="B25" s="6" t="inlineStr">
        <is>
          <t>2014-01-01</t>
        </is>
      </c>
      <c r="C25" s="6" t="inlineStr">
        <is>
          <t>2014-12-31</t>
        </is>
      </c>
      <c r="D25" s="6" t="inlineStr">
        <is>
          <t>year</t>
        </is>
      </c>
      <c r="E25" s="6" t="inlineStr">
        <is>
          <t>PY_MAX_DEMAND</t>
        </is>
      </c>
      <c r="F25" s="6" t="inlineStr">
        <is>
          <t>PY_SIN</t>
        </is>
      </c>
      <c r="G25" s="6" t="inlineStr">
        <is>
          <t>PY</t>
        </is>
      </c>
      <c r="H25" s="6" t="inlineStr">
        <is>
          <t>PY</t>
        </is>
      </c>
      <c r="I25" s="8" t="n">
        <v>2619</v>
      </c>
      <c r="J25" s="6" t="inlineStr">
        <is>
          <t>MW</t>
        </is>
      </c>
      <c r="K25" s="8" t="n">
        <v>2619</v>
      </c>
      <c r="L25" s="6" t="inlineStr">
        <is>
          <t>MW</t>
        </is>
      </c>
      <c r="M25" s="6" t="inlineStr">
        <is>
          <t>ANDE</t>
        </is>
      </c>
      <c r="N25" s="6" t="inlineStr">
        <is>
          <t>OFFICIAL_PRIMARY</t>
        </is>
      </c>
      <c r="O25" s="9" t="inlineStr">
        <is>
          <t>OFFICIAL_AGGREGATE</t>
        </is>
      </c>
      <c r="P25" s="8" t="n">
        <v>1</v>
      </c>
      <c r="Q25" s="8" t="n">
        <v>50</v>
      </c>
      <c r="R25" s="7" t="inlineStr">
        <is>
          <t>https://www.ande.gov.py/finanzas/2.%20COMPILACION%20ESTADISTICA%202003-2023/ANDE%20-%20Compilacion%20Estadistica%202003-2023.pdf</t>
        </is>
      </c>
      <c r="S25" s="6" t="inlineStr">
        <is>
          <t>ANDE-STAT-2003-2023</t>
        </is>
      </c>
      <c r="T25" s="6" t="inlineStr"/>
      <c r="U25" s="4" t="inlineStr">
        <is>
          <t>2026-09-10 23:00:00</t>
        </is>
      </c>
      <c r="V25" s="4" t="inlineStr"/>
    </row>
    <row r="26">
      <c r="A26" s="6" t="inlineStr">
        <is>
          <t>R0000025</t>
        </is>
      </c>
      <c r="B26" s="6" t="inlineStr">
        <is>
          <t>2015-01-01</t>
        </is>
      </c>
      <c r="C26" s="6" t="inlineStr">
        <is>
          <t>2015-12-31</t>
        </is>
      </c>
      <c r="D26" s="6" t="inlineStr">
        <is>
          <t>year</t>
        </is>
      </c>
      <c r="E26" s="6" t="inlineStr">
        <is>
          <t>PY_CONSUMPTION_ENERGY</t>
        </is>
      </c>
      <c r="F26" s="6" t="inlineStr">
        <is>
          <t>PY_SIN</t>
        </is>
      </c>
      <c r="G26" s="6" t="inlineStr">
        <is>
          <t>PY</t>
        </is>
      </c>
      <c r="H26" s="6" t="inlineStr">
        <is>
          <t>PY</t>
        </is>
      </c>
      <c r="I26" s="8" t="n">
        <v>14187000</v>
      </c>
      <c r="J26" s="6" t="inlineStr">
        <is>
          <t>MWh</t>
        </is>
      </c>
      <c r="K26" s="8" t="n">
        <v>14187000</v>
      </c>
      <c r="L26" s="6" t="inlineStr">
        <is>
          <t>MWh</t>
        </is>
      </c>
      <c r="M26" s="6" t="inlineStr">
        <is>
          <t>ANDE</t>
        </is>
      </c>
      <c r="N26" s="6" t="inlineStr">
        <is>
          <t>OFFICIAL_PRIMARY</t>
        </is>
      </c>
      <c r="O26" s="9" t="inlineStr">
        <is>
          <t>OFFICIAL_AGGREGATE</t>
        </is>
      </c>
      <c r="P26" s="8" t="n">
        <v>1</v>
      </c>
      <c r="Q26" s="8" t="n">
        <v>50</v>
      </c>
      <c r="R26" s="7" t="inlineStr">
        <is>
          <t>https://www.ande.gov.py/finanzas/2.%20COMPILACION%20ESTADISTICA%202003-2023/ANDE%20-%20Compilacion%20Estadistica%202003-2023.pdf</t>
        </is>
      </c>
      <c r="S26" s="6" t="inlineStr">
        <is>
          <t>ANDE-STAT-2003-2023</t>
        </is>
      </c>
      <c r="T26" s="6" t="inlineStr"/>
      <c r="U26" s="4" t="inlineStr">
        <is>
          <t>2026-09-10 23:00:00</t>
        </is>
      </c>
      <c r="V26" s="4" t="inlineStr"/>
    </row>
    <row r="27">
      <c r="A27" s="6" t="inlineStr">
        <is>
          <t>R0000026</t>
        </is>
      </c>
      <c r="B27" s="6" t="inlineStr">
        <is>
          <t>2015-01-01</t>
        </is>
      </c>
      <c r="C27" s="6" t="inlineStr">
        <is>
          <t>2015-12-31</t>
        </is>
      </c>
      <c r="D27" s="6" t="inlineStr">
        <is>
          <t>year</t>
        </is>
      </c>
      <c r="E27" s="6" t="inlineStr">
        <is>
          <t>PY_MAX_DEMAND</t>
        </is>
      </c>
      <c r="F27" s="6" t="inlineStr">
        <is>
          <t>PY_SIN</t>
        </is>
      </c>
      <c r="G27" s="6" t="inlineStr">
        <is>
          <t>PY</t>
        </is>
      </c>
      <c r="H27" s="6" t="inlineStr">
        <is>
          <t>PY</t>
        </is>
      </c>
      <c r="I27" s="8" t="n">
        <v>2656</v>
      </c>
      <c r="J27" s="6" t="inlineStr">
        <is>
          <t>MW</t>
        </is>
      </c>
      <c r="K27" s="8" t="n">
        <v>2656</v>
      </c>
      <c r="L27" s="6" t="inlineStr">
        <is>
          <t>MW</t>
        </is>
      </c>
      <c r="M27" s="6" t="inlineStr">
        <is>
          <t>ANDE</t>
        </is>
      </c>
      <c r="N27" s="6" t="inlineStr">
        <is>
          <t>OFFICIAL_PRIMARY</t>
        </is>
      </c>
      <c r="O27" s="9" t="inlineStr">
        <is>
          <t>OFFICIAL_AGGREGATE</t>
        </is>
      </c>
      <c r="P27" s="8" t="n">
        <v>1</v>
      </c>
      <c r="Q27" s="8" t="n">
        <v>50</v>
      </c>
      <c r="R27" s="7" t="inlineStr">
        <is>
          <t>https://www.ande.gov.py/finanzas/2.%20COMPILACION%20ESTADISTICA%202003-2023/ANDE%20-%20Compilacion%20Estadistica%202003-2023.pdf</t>
        </is>
      </c>
      <c r="S27" s="6" t="inlineStr">
        <is>
          <t>ANDE-STAT-2003-2023</t>
        </is>
      </c>
      <c r="T27" s="6" t="inlineStr"/>
      <c r="U27" s="4" t="inlineStr">
        <is>
          <t>2026-09-10 23:00:00</t>
        </is>
      </c>
      <c r="V27" s="4" t="inlineStr"/>
    </row>
    <row r="28">
      <c r="A28" s="6" t="inlineStr">
        <is>
          <t>R0000027</t>
        </is>
      </c>
      <c r="B28" s="6" t="inlineStr">
        <is>
          <t>2016-01-01</t>
        </is>
      </c>
      <c r="C28" s="6" t="inlineStr">
        <is>
          <t>2016-12-31</t>
        </is>
      </c>
      <c r="D28" s="6" t="inlineStr">
        <is>
          <t>year</t>
        </is>
      </c>
      <c r="E28" s="6" t="inlineStr">
        <is>
          <t>PY_CONSUMPTION_ENERGY</t>
        </is>
      </c>
      <c r="F28" s="6" t="inlineStr">
        <is>
          <t>PY_SIN</t>
        </is>
      </c>
      <c r="G28" s="6" t="inlineStr">
        <is>
          <t>PY</t>
        </is>
      </c>
      <c r="H28" s="6" t="inlineStr">
        <is>
          <t>PY</t>
        </is>
      </c>
      <c r="I28" s="8" t="n">
        <v>14848000</v>
      </c>
      <c r="J28" s="6" t="inlineStr">
        <is>
          <t>MWh</t>
        </is>
      </c>
      <c r="K28" s="8" t="n">
        <v>14848000</v>
      </c>
      <c r="L28" s="6" t="inlineStr">
        <is>
          <t>MWh</t>
        </is>
      </c>
      <c r="M28" s="6" t="inlineStr">
        <is>
          <t>ANDE</t>
        </is>
      </c>
      <c r="N28" s="6" t="inlineStr">
        <is>
          <t>OFFICIAL_PRIMARY</t>
        </is>
      </c>
      <c r="O28" s="9" t="inlineStr">
        <is>
          <t>OFFICIAL_AGGREGATE</t>
        </is>
      </c>
      <c r="P28" s="8" t="n">
        <v>1</v>
      </c>
      <c r="Q28" s="8" t="n">
        <v>50</v>
      </c>
      <c r="R28" s="7" t="inlineStr">
        <is>
          <t>https://www.ande.gov.py/finanzas/2.%20COMPILACION%20ESTADISTICA%202003-2023/ANDE%20-%20Compilacion%20Estadistica%202003-2023.pdf</t>
        </is>
      </c>
      <c r="S28" s="6" t="inlineStr">
        <is>
          <t>ANDE-STAT-2003-2023</t>
        </is>
      </c>
      <c r="T28" s="6" t="inlineStr"/>
      <c r="U28" s="4" t="inlineStr">
        <is>
          <t>2026-09-10 23:00:00</t>
        </is>
      </c>
      <c r="V28" s="4" t="inlineStr"/>
    </row>
    <row r="29">
      <c r="A29" s="6" t="inlineStr">
        <is>
          <t>R0000028</t>
        </is>
      </c>
      <c r="B29" s="6" t="inlineStr">
        <is>
          <t>2016-01-01</t>
        </is>
      </c>
      <c r="C29" s="6" t="inlineStr">
        <is>
          <t>2016-12-31</t>
        </is>
      </c>
      <c r="D29" s="6" t="inlineStr">
        <is>
          <t>year</t>
        </is>
      </c>
      <c r="E29" s="6" t="inlineStr">
        <is>
          <t>PY_MAX_DEMAND</t>
        </is>
      </c>
      <c r="F29" s="6" t="inlineStr">
        <is>
          <t>PY_SIN</t>
        </is>
      </c>
      <c r="G29" s="6" t="inlineStr">
        <is>
          <t>PY</t>
        </is>
      </c>
      <c r="H29" s="6" t="inlineStr">
        <is>
          <t>PY</t>
        </is>
      </c>
      <c r="I29" s="8" t="n">
        <v>2917</v>
      </c>
      <c r="J29" s="6" t="inlineStr">
        <is>
          <t>MW</t>
        </is>
      </c>
      <c r="K29" s="8" t="n">
        <v>2917</v>
      </c>
      <c r="L29" s="6" t="inlineStr">
        <is>
          <t>MW</t>
        </is>
      </c>
      <c r="M29" s="6" t="inlineStr">
        <is>
          <t>ANDE</t>
        </is>
      </c>
      <c r="N29" s="6" t="inlineStr">
        <is>
          <t>OFFICIAL_PRIMARY</t>
        </is>
      </c>
      <c r="O29" s="9" t="inlineStr">
        <is>
          <t>OFFICIAL_AGGREGATE</t>
        </is>
      </c>
      <c r="P29" s="8" t="n">
        <v>1</v>
      </c>
      <c r="Q29" s="8" t="n">
        <v>50</v>
      </c>
      <c r="R29" s="7" t="inlineStr">
        <is>
          <t>https://www.ande.gov.py/finanzas/2.%20COMPILACION%20ESTADISTICA%202003-2023/ANDE%20-%20Compilacion%20Estadistica%202003-2023.pdf</t>
        </is>
      </c>
      <c r="S29" s="6" t="inlineStr">
        <is>
          <t>ANDE-STAT-2003-2023</t>
        </is>
      </c>
      <c r="T29" s="6" t="inlineStr"/>
      <c r="U29" s="4" t="inlineStr">
        <is>
          <t>2026-09-10 23:00:00</t>
        </is>
      </c>
      <c r="V29" s="4" t="inlineStr"/>
    </row>
    <row r="30">
      <c r="A30" s="6" t="inlineStr">
        <is>
          <t>R0000029</t>
        </is>
      </c>
      <c r="B30" s="6" t="inlineStr">
        <is>
          <t>2017-01-01</t>
        </is>
      </c>
      <c r="C30" s="6" t="inlineStr">
        <is>
          <t>2017-12-31</t>
        </is>
      </c>
      <c r="D30" s="6" t="inlineStr">
        <is>
          <t>year</t>
        </is>
      </c>
      <c r="E30" s="6" t="inlineStr">
        <is>
          <t>PY_CONSUMPTION_ENERGY</t>
        </is>
      </c>
      <c r="F30" s="6" t="inlineStr">
        <is>
          <t>PY_SIN</t>
        </is>
      </c>
      <c r="G30" s="6" t="inlineStr">
        <is>
          <t>PY</t>
        </is>
      </c>
      <c r="H30" s="6" t="inlineStr">
        <is>
          <t>PY</t>
        </is>
      </c>
      <c r="I30" s="8" t="n">
        <v>15575000</v>
      </c>
      <c r="J30" s="6" t="inlineStr">
        <is>
          <t>MWh</t>
        </is>
      </c>
      <c r="K30" s="8" t="n">
        <v>15575000</v>
      </c>
      <c r="L30" s="6" t="inlineStr">
        <is>
          <t>MWh</t>
        </is>
      </c>
      <c r="M30" s="6" t="inlineStr">
        <is>
          <t>ANDE</t>
        </is>
      </c>
      <c r="N30" s="6" t="inlineStr">
        <is>
          <t>OFFICIAL_PRIMARY</t>
        </is>
      </c>
      <c r="O30" s="9" t="inlineStr">
        <is>
          <t>OFFICIAL_AGGREGATE</t>
        </is>
      </c>
      <c r="P30" s="8" t="n">
        <v>1</v>
      </c>
      <c r="Q30" s="8" t="n">
        <v>50</v>
      </c>
      <c r="R30" s="7" t="inlineStr">
        <is>
          <t>https://www.ande.gov.py/finanzas/2.%20COMPILACION%20ESTADISTICA%202003-2023/ANDE%20-%20Compilacion%20Estadistica%202003-2023.pdf</t>
        </is>
      </c>
      <c r="S30" s="6" t="inlineStr">
        <is>
          <t>ANDE-STAT-2003-2023</t>
        </is>
      </c>
      <c r="T30" s="6" t="inlineStr"/>
      <c r="U30" s="4" t="inlineStr">
        <is>
          <t>2026-09-10 23:00:00</t>
        </is>
      </c>
      <c r="V30" s="4" t="inlineStr"/>
    </row>
    <row r="31">
      <c r="A31" s="6" t="inlineStr">
        <is>
          <t>R0000030</t>
        </is>
      </c>
      <c r="B31" s="6" t="inlineStr">
        <is>
          <t>2017-01-01</t>
        </is>
      </c>
      <c r="C31" s="6" t="inlineStr">
        <is>
          <t>2017-12-31</t>
        </is>
      </c>
      <c r="D31" s="6" t="inlineStr">
        <is>
          <t>year</t>
        </is>
      </c>
      <c r="E31" s="6" t="inlineStr">
        <is>
          <t>PY_MAX_DEMAND</t>
        </is>
      </c>
      <c r="F31" s="6" t="inlineStr">
        <is>
          <t>PY_SIN</t>
        </is>
      </c>
      <c r="G31" s="6" t="inlineStr">
        <is>
          <t>PY</t>
        </is>
      </c>
      <c r="H31" s="6" t="inlineStr">
        <is>
          <t>PY</t>
        </is>
      </c>
      <c r="I31" s="8" t="n">
        <v>3135</v>
      </c>
      <c r="J31" s="6" t="inlineStr">
        <is>
          <t>MW</t>
        </is>
      </c>
      <c r="K31" s="8" t="n">
        <v>3135</v>
      </c>
      <c r="L31" s="6" t="inlineStr">
        <is>
          <t>MW</t>
        </is>
      </c>
      <c r="M31" s="6" t="inlineStr">
        <is>
          <t>ANDE</t>
        </is>
      </c>
      <c r="N31" s="6" t="inlineStr">
        <is>
          <t>OFFICIAL_PRIMARY</t>
        </is>
      </c>
      <c r="O31" s="9" t="inlineStr">
        <is>
          <t>OFFICIAL_AGGREGATE</t>
        </is>
      </c>
      <c r="P31" s="8" t="n">
        <v>1</v>
      </c>
      <c r="Q31" s="8" t="n">
        <v>50</v>
      </c>
      <c r="R31" s="7" t="inlineStr">
        <is>
          <t>https://www.ande.gov.py/finanzas/2.%20COMPILACION%20ESTADISTICA%202003-2023/ANDE%20-%20Compilacion%20Estadistica%202003-2023.pdf</t>
        </is>
      </c>
      <c r="S31" s="6" t="inlineStr">
        <is>
          <t>ANDE-STAT-2003-2023</t>
        </is>
      </c>
      <c r="T31" s="6" t="inlineStr"/>
      <c r="U31" s="4" t="inlineStr">
        <is>
          <t>2026-09-10 23:00:00</t>
        </is>
      </c>
      <c r="V31" s="4" t="inlineStr"/>
    </row>
    <row r="32">
      <c r="A32" s="6" t="inlineStr">
        <is>
          <t>R0000031</t>
        </is>
      </c>
      <c r="B32" s="6" t="inlineStr">
        <is>
          <t>2018-01-01</t>
        </is>
      </c>
      <c r="C32" s="6" t="inlineStr">
        <is>
          <t>2018-12-31</t>
        </is>
      </c>
      <c r="D32" s="6" t="inlineStr">
        <is>
          <t>year</t>
        </is>
      </c>
      <c r="E32" s="6" t="inlineStr">
        <is>
          <t>PY_CONSUMPTION_ENERGY</t>
        </is>
      </c>
      <c r="F32" s="6" t="inlineStr">
        <is>
          <t>PY_SIN</t>
        </is>
      </c>
      <c r="G32" s="6" t="inlineStr">
        <is>
          <t>PY</t>
        </is>
      </c>
      <c r="H32" s="6" t="inlineStr">
        <is>
          <t>PY</t>
        </is>
      </c>
      <c r="I32" s="8" t="n">
        <v>16577000</v>
      </c>
      <c r="J32" s="6" t="inlineStr">
        <is>
          <t>MWh</t>
        </is>
      </c>
      <c r="K32" s="8" t="n">
        <v>16577000</v>
      </c>
      <c r="L32" s="6" t="inlineStr">
        <is>
          <t>MWh</t>
        </is>
      </c>
      <c r="M32" s="6" t="inlineStr">
        <is>
          <t>ANDE</t>
        </is>
      </c>
      <c r="N32" s="6" t="inlineStr">
        <is>
          <t>OFFICIAL_PRIMARY</t>
        </is>
      </c>
      <c r="O32" s="9" t="inlineStr">
        <is>
          <t>OFFICIAL_AGGREGATE</t>
        </is>
      </c>
      <c r="P32" s="8" t="n">
        <v>1</v>
      </c>
      <c r="Q32" s="8" t="n">
        <v>50</v>
      </c>
      <c r="R32" s="7" t="inlineStr">
        <is>
          <t>https://www.ande.gov.py/finanzas/2.%20COMPILACION%20ESTADISTICA%202003-2023/ANDE%20-%20Compilacion%20Estadistica%202003-2023.pdf</t>
        </is>
      </c>
      <c r="S32" s="6" t="inlineStr">
        <is>
          <t>ANDE-STAT-2003-2023</t>
        </is>
      </c>
      <c r="T32" s="6" t="inlineStr"/>
      <c r="U32" s="4" t="inlineStr">
        <is>
          <t>2026-09-10 23:00:00</t>
        </is>
      </c>
      <c r="V32" s="4" t="inlineStr"/>
    </row>
    <row r="33">
      <c r="A33" s="6" t="inlineStr">
        <is>
          <t>R0000032</t>
        </is>
      </c>
      <c r="B33" s="6" t="inlineStr">
        <is>
          <t>2018-01-01</t>
        </is>
      </c>
      <c r="C33" s="6" t="inlineStr">
        <is>
          <t>2018-12-31</t>
        </is>
      </c>
      <c r="D33" s="6" t="inlineStr">
        <is>
          <t>year</t>
        </is>
      </c>
      <c r="E33" s="6" t="inlineStr">
        <is>
          <t>PY_MAX_DEMAND</t>
        </is>
      </c>
      <c r="F33" s="6" t="inlineStr">
        <is>
          <t>PY_SIN</t>
        </is>
      </c>
      <c r="G33" s="6" t="inlineStr">
        <is>
          <t>PY</t>
        </is>
      </c>
      <c r="H33" s="6" t="inlineStr">
        <is>
          <t>PY</t>
        </is>
      </c>
      <c r="I33" s="8" t="n">
        <v>3226</v>
      </c>
      <c r="J33" s="6" t="inlineStr">
        <is>
          <t>MW</t>
        </is>
      </c>
      <c r="K33" s="8" t="n">
        <v>3226</v>
      </c>
      <c r="L33" s="6" t="inlineStr">
        <is>
          <t>MW</t>
        </is>
      </c>
      <c r="M33" s="6" t="inlineStr">
        <is>
          <t>ANDE</t>
        </is>
      </c>
      <c r="N33" s="6" t="inlineStr">
        <is>
          <t>OFFICIAL_PRIMARY</t>
        </is>
      </c>
      <c r="O33" s="9" t="inlineStr">
        <is>
          <t>OFFICIAL_AGGREGATE</t>
        </is>
      </c>
      <c r="P33" s="8" t="n">
        <v>1</v>
      </c>
      <c r="Q33" s="8" t="n">
        <v>50</v>
      </c>
      <c r="R33" s="7" t="inlineStr">
        <is>
          <t>https://www.ande.gov.py/finanzas/2.%20COMPILACION%20ESTADISTICA%202003-2023/ANDE%20-%20Compilacion%20Estadistica%202003-2023.pdf</t>
        </is>
      </c>
      <c r="S33" s="6" t="inlineStr">
        <is>
          <t>ANDE-STAT-2003-2023</t>
        </is>
      </c>
      <c r="T33" s="6" t="inlineStr"/>
      <c r="U33" s="4" t="inlineStr">
        <is>
          <t>2026-09-10 23:00:00</t>
        </is>
      </c>
      <c r="V33" s="4" t="inlineStr"/>
    </row>
    <row r="34">
      <c r="A34" s="6" t="inlineStr">
        <is>
          <t>R0000033</t>
        </is>
      </c>
      <c r="B34" s="6" t="inlineStr">
        <is>
          <t>2019-01-01</t>
        </is>
      </c>
      <c r="C34" s="6" t="inlineStr">
        <is>
          <t>2019-12-31</t>
        </is>
      </c>
      <c r="D34" s="6" t="inlineStr">
        <is>
          <t>year</t>
        </is>
      </c>
      <c r="E34" s="6" t="inlineStr">
        <is>
          <t>PY_CONSUMPTION_ENERGY</t>
        </is>
      </c>
      <c r="F34" s="6" t="inlineStr">
        <is>
          <t>PY_SIN</t>
        </is>
      </c>
      <c r="G34" s="6" t="inlineStr">
        <is>
          <t>PY</t>
        </is>
      </c>
      <c r="H34" s="6" t="inlineStr">
        <is>
          <t>PY</t>
        </is>
      </c>
      <c r="I34" s="8" t="n">
        <v>17319000</v>
      </c>
      <c r="J34" s="6" t="inlineStr">
        <is>
          <t>MWh</t>
        </is>
      </c>
      <c r="K34" s="8" t="n">
        <v>17319000</v>
      </c>
      <c r="L34" s="6" t="inlineStr">
        <is>
          <t>MWh</t>
        </is>
      </c>
      <c r="M34" s="6" t="inlineStr">
        <is>
          <t>ANDE</t>
        </is>
      </c>
      <c r="N34" s="6" t="inlineStr">
        <is>
          <t>OFFICIAL_PRIMARY</t>
        </is>
      </c>
      <c r="O34" s="9" t="inlineStr">
        <is>
          <t>OFFICIAL_AGGREGATE</t>
        </is>
      </c>
      <c r="P34" s="8" t="n">
        <v>1</v>
      </c>
      <c r="Q34" s="8" t="n">
        <v>50</v>
      </c>
      <c r="R34" s="7" t="inlineStr">
        <is>
          <t>https://www.ande.gov.py/finanzas/2.%20COMPILACION%20ESTADISTICA%202003-2023/ANDE%20-%20Compilacion%20Estadistica%202003-2023.pdf</t>
        </is>
      </c>
      <c r="S34" s="6" t="inlineStr">
        <is>
          <t>ANDE-STAT-2003-2023</t>
        </is>
      </c>
      <c r="T34" s="6" t="inlineStr"/>
      <c r="U34" s="4" t="inlineStr">
        <is>
          <t>2026-09-10 23:00:00</t>
        </is>
      </c>
      <c r="V34" s="4" t="inlineStr"/>
    </row>
    <row r="35">
      <c r="A35" s="6" t="inlineStr">
        <is>
          <t>R0000034</t>
        </is>
      </c>
      <c r="B35" s="6" t="inlineStr">
        <is>
          <t>2019-01-01</t>
        </is>
      </c>
      <c r="C35" s="6" t="inlineStr">
        <is>
          <t>2019-12-31</t>
        </is>
      </c>
      <c r="D35" s="6" t="inlineStr">
        <is>
          <t>year</t>
        </is>
      </c>
      <c r="E35" s="6" t="inlineStr">
        <is>
          <t>PY_MAX_DEMAND</t>
        </is>
      </c>
      <c r="F35" s="6" t="inlineStr">
        <is>
          <t>PY_SIN</t>
        </is>
      </c>
      <c r="G35" s="6" t="inlineStr">
        <is>
          <t>PY</t>
        </is>
      </c>
      <c r="H35" s="6" t="inlineStr">
        <is>
          <t>PY</t>
        </is>
      </c>
      <c r="I35" s="8" t="n">
        <v>3553</v>
      </c>
      <c r="J35" s="6" t="inlineStr">
        <is>
          <t>MW</t>
        </is>
      </c>
      <c r="K35" s="8" t="n">
        <v>3553</v>
      </c>
      <c r="L35" s="6" t="inlineStr">
        <is>
          <t>MW</t>
        </is>
      </c>
      <c r="M35" s="6" t="inlineStr">
        <is>
          <t>ANDE</t>
        </is>
      </c>
      <c r="N35" s="6" t="inlineStr">
        <is>
          <t>OFFICIAL_PRIMARY</t>
        </is>
      </c>
      <c r="O35" s="9" t="inlineStr">
        <is>
          <t>OFFICIAL_AGGREGATE</t>
        </is>
      </c>
      <c r="P35" s="8" t="n">
        <v>1</v>
      </c>
      <c r="Q35" s="8" t="n">
        <v>50</v>
      </c>
      <c r="R35" s="7" t="inlineStr">
        <is>
          <t>https://www.ande.gov.py/finanzas/2.%20COMPILACION%20ESTADISTICA%202003-2023/ANDE%20-%20Compilacion%20Estadistica%202003-2023.pdf</t>
        </is>
      </c>
      <c r="S35" s="6" t="inlineStr">
        <is>
          <t>ANDE-STAT-2003-2023</t>
        </is>
      </c>
      <c r="T35" s="6" t="inlineStr"/>
      <c r="U35" s="4" t="inlineStr">
        <is>
          <t>2026-09-10 23:00:00</t>
        </is>
      </c>
      <c r="V35" s="4" t="inlineStr"/>
    </row>
    <row r="36">
      <c r="A36" s="6" t="inlineStr">
        <is>
          <t>R0000035</t>
        </is>
      </c>
      <c r="B36" s="6" t="inlineStr">
        <is>
          <t>2020-01-01</t>
        </is>
      </c>
      <c r="C36" s="6" t="inlineStr">
        <is>
          <t>2020-12-31</t>
        </is>
      </c>
      <c r="D36" s="6" t="inlineStr">
        <is>
          <t>year</t>
        </is>
      </c>
      <c r="E36" s="6" t="inlineStr">
        <is>
          <t>PY_CONSUMPTION_ENERGY</t>
        </is>
      </c>
      <c r="F36" s="6" t="inlineStr">
        <is>
          <t>PY_SIN</t>
        </is>
      </c>
      <c r="G36" s="6" t="inlineStr">
        <is>
          <t>PY</t>
        </is>
      </c>
      <c r="H36" s="6" t="inlineStr">
        <is>
          <t>PY</t>
        </is>
      </c>
      <c r="I36" s="8" t="n">
        <v>17955575</v>
      </c>
      <c r="J36" s="6" t="inlineStr">
        <is>
          <t>MWh</t>
        </is>
      </c>
      <c r="K36" s="8" t="n">
        <v>17955575</v>
      </c>
      <c r="L36" s="6" t="inlineStr">
        <is>
          <t>MWh</t>
        </is>
      </c>
      <c r="M36" s="6" t="inlineStr">
        <is>
          <t>ANDE</t>
        </is>
      </c>
      <c r="N36" s="6" t="inlineStr">
        <is>
          <t>OFFICIAL_PRIMARY</t>
        </is>
      </c>
      <c r="O36" s="9" t="inlineStr">
        <is>
          <t>OFFICIAL_AGGREGATE</t>
        </is>
      </c>
      <c r="P36" s="10" t="n">
        <v>0</v>
      </c>
      <c r="Q36" s="8" t="n">
        <v>50</v>
      </c>
      <c r="R36" s="7" t="inlineStr">
        <is>
          <t>https://www.ande.gov.py/finanzas/2.%20COMPILACION%20ESTADISTICA%202003-2023/ANDE%20-%20Compilacion%20Estadistica%202003-2023.pdf</t>
        </is>
      </c>
      <c r="S36" s="6" t="inlineStr">
        <is>
          <t>ANDE-STAT-2003-2023</t>
        </is>
      </c>
      <c r="T36" s="6" t="inlineStr"/>
      <c r="U36" s="4" t="inlineStr">
        <is>
          <t>2026-09-10 23:00:00</t>
        </is>
      </c>
      <c r="V36" s="4" t="inlineStr"/>
    </row>
    <row r="37">
      <c r="A37" s="6" t="inlineStr">
        <is>
          <t>R0000036</t>
        </is>
      </c>
      <c r="B37" s="6" t="inlineStr">
        <is>
          <t>2020-01-01</t>
        </is>
      </c>
      <c r="C37" s="6" t="inlineStr">
        <is>
          <t>2020-12-31</t>
        </is>
      </c>
      <c r="D37" s="6" t="inlineStr">
        <is>
          <t>year</t>
        </is>
      </c>
      <c r="E37" s="6" t="inlineStr">
        <is>
          <t>PY_MAX_DEMAND</t>
        </is>
      </c>
      <c r="F37" s="6" t="inlineStr">
        <is>
          <t>PY_SIN</t>
        </is>
      </c>
      <c r="G37" s="6" t="inlineStr">
        <is>
          <t>PY</t>
        </is>
      </c>
      <c r="H37" s="6" t="inlineStr">
        <is>
          <t>PY</t>
        </is>
      </c>
      <c r="I37" s="8" t="n">
        <v>3563</v>
      </c>
      <c r="J37" s="6" t="inlineStr">
        <is>
          <t>MW</t>
        </is>
      </c>
      <c r="K37" s="8" t="n">
        <v>3563</v>
      </c>
      <c r="L37" s="6" t="inlineStr">
        <is>
          <t>MW</t>
        </is>
      </c>
      <c r="M37" s="6" t="inlineStr">
        <is>
          <t>ANDE</t>
        </is>
      </c>
      <c r="N37" s="6" t="inlineStr">
        <is>
          <t>OFFICIAL_PRIMARY</t>
        </is>
      </c>
      <c r="O37" s="9" t="inlineStr">
        <is>
          <t>OFFICIAL_AGGREGATE</t>
        </is>
      </c>
      <c r="P37" s="8" t="n">
        <v>1</v>
      </c>
      <c r="Q37" s="8" t="n">
        <v>50</v>
      </c>
      <c r="R37" s="7" t="inlineStr">
        <is>
          <t>https://www.ande.gov.py/finanzas/2.%20COMPILACION%20ESTADISTICA%202003-2023/ANDE%20-%20Compilacion%20Estadistica%202003-2023.pdf</t>
        </is>
      </c>
      <c r="S37" s="6" t="inlineStr">
        <is>
          <t>ANDE-STAT-2003-2023</t>
        </is>
      </c>
      <c r="T37" s="6" t="inlineStr"/>
      <c r="U37" s="4" t="inlineStr">
        <is>
          <t>2026-09-10 23:00:00</t>
        </is>
      </c>
      <c r="V37" s="4" t="inlineStr"/>
    </row>
    <row r="38">
      <c r="A38" s="6" t="inlineStr">
        <is>
          <t>R0000037</t>
        </is>
      </c>
      <c r="B38" s="6" t="inlineStr">
        <is>
          <t>2020-01-01</t>
        </is>
      </c>
      <c r="C38" s="6" t="inlineStr">
        <is>
          <t>2020-12-31</t>
        </is>
      </c>
      <c r="D38" s="6" t="inlineStr">
        <is>
          <t>year</t>
        </is>
      </c>
      <c r="E38" s="6" t="inlineStr">
        <is>
          <t>PY_LOAD_FACTOR</t>
        </is>
      </c>
      <c r="F38" s="6" t="inlineStr">
        <is>
          <t>PY_SIN</t>
        </is>
      </c>
      <c r="G38" s="6" t="inlineStr">
        <is>
          <t>PY</t>
        </is>
      </c>
      <c r="H38" s="6" t="inlineStr">
        <is>
          <t>PY</t>
        </is>
      </c>
      <c r="I38" s="8" t="n">
        <v>57.5</v>
      </c>
      <c r="J38" s="6" t="inlineStr">
        <is>
          <t>percent</t>
        </is>
      </c>
      <c r="K38" s="8" t="n">
        <v>57.5</v>
      </c>
      <c r="L38" s="6" t="inlineStr">
        <is>
          <t>percent</t>
        </is>
      </c>
      <c r="M38" s="6" t="inlineStr">
        <is>
          <t>ANDE</t>
        </is>
      </c>
      <c r="N38" s="6" t="inlineStr">
        <is>
          <t>OFFICIAL_PRIMARY</t>
        </is>
      </c>
      <c r="O38" s="9" t="inlineStr">
        <is>
          <t>OFFICIAL_AGGREGATE</t>
        </is>
      </c>
      <c r="P38" s="8" t="n">
        <v>1</v>
      </c>
      <c r="Q38" s="8" t="n">
        <v>50</v>
      </c>
      <c r="R38" s="7" t="inlineStr">
        <is>
          <t>https://www.ande.gov.py/finanzas/2.%20COMPILACION%20ESTADISTICA%202003-2023/ANDE%20-%20Compilacion%20Estadistica%202003-2023.pdf</t>
        </is>
      </c>
      <c r="S38" s="6" t="inlineStr">
        <is>
          <t>ANDE-STAT-2003-2023</t>
        </is>
      </c>
      <c r="T38" s="6" t="inlineStr"/>
      <c r="U38" s="4" t="inlineStr">
        <is>
          <t>2026-09-10 23:00:00</t>
        </is>
      </c>
      <c r="V38" s="4" t="inlineStr">
        <is>
          <t>Factor de carga publicado.</t>
        </is>
      </c>
    </row>
    <row r="39">
      <c r="A39" s="6" t="inlineStr">
        <is>
          <t>R0000038</t>
        </is>
      </c>
      <c r="B39" s="6" t="inlineStr">
        <is>
          <t>2021-01-01</t>
        </is>
      </c>
      <c r="C39" s="6" t="inlineStr">
        <is>
          <t>2021-12-31</t>
        </is>
      </c>
      <c r="D39" s="6" t="inlineStr">
        <is>
          <t>year</t>
        </is>
      </c>
      <c r="E39" s="6" t="inlineStr">
        <is>
          <t>PY_CONSUMPTION_ENERGY</t>
        </is>
      </c>
      <c r="F39" s="6" t="inlineStr">
        <is>
          <t>PY_SIN</t>
        </is>
      </c>
      <c r="G39" s="6" t="inlineStr">
        <is>
          <t>PY</t>
        </is>
      </c>
      <c r="H39" s="6" t="inlineStr">
        <is>
          <t>PY</t>
        </is>
      </c>
      <c r="I39" s="8" t="n">
        <v>18583322</v>
      </c>
      <c r="J39" s="6" t="inlineStr">
        <is>
          <t>MWh</t>
        </is>
      </c>
      <c r="K39" s="8" t="n">
        <v>18583322</v>
      </c>
      <c r="L39" s="6" t="inlineStr">
        <is>
          <t>MWh</t>
        </is>
      </c>
      <c r="M39" s="6" t="inlineStr">
        <is>
          <t>ANDE</t>
        </is>
      </c>
      <c r="N39" s="6" t="inlineStr">
        <is>
          <t>OFFICIAL_PRIMARY</t>
        </is>
      </c>
      <c r="O39" s="9" t="inlineStr">
        <is>
          <t>OFFICIAL_AGGREGATE</t>
        </is>
      </c>
      <c r="P39" s="10" t="n">
        <v>0</v>
      </c>
      <c r="Q39" s="8" t="n">
        <v>50</v>
      </c>
      <c r="R39" s="7" t="inlineStr">
        <is>
          <t>https://www.ande.gov.py/finanzas/2.%20COMPILACION%20ESTADISTICA%202003-2023/ANDE%20-%20Compilacion%20Estadistica%202003-2023.pdf</t>
        </is>
      </c>
      <c r="S39" s="6" t="inlineStr">
        <is>
          <t>ANDE-STAT-2003-2023</t>
        </is>
      </c>
      <c r="T39" s="6" t="inlineStr"/>
      <c r="U39" s="4" t="inlineStr">
        <is>
          <t>2026-09-10 23:00:00</t>
        </is>
      </c>
      <c r="V39" s="4" t="inlineStr"/>
    </row>
    <row r="40">
      <c r="A40" s="6" t="inlineStr">
        <is>
          <t>R0000039</t>
        </is>
      </c>
      <c r="B40" s="6" t="inlineStr">
        <is>
          <t>2021-01-01</t>
        </is>
      </c>
      <c r="C40" s="6" t="inlineStr">
        <is>
          <t>2021-12-31</t>
        </is>
      </c>
      <c r="D40" s="6" t="inlineStr">
        <is>
          <t>year</t>
        </is>
      </c>
      <c r="E40" s="6" t="inlineStr">
        <is>
          <t>PY_MAX_DEMAND</t>
        </is>
      </c>
      <c r="F40" s="6" t="inlineStr">
        <is>
          <t>PY_SIN</t>
        </is>
      </c>
      <c r="G40" s="6" t="inlineStr">
        <is>
          <t>PY</t>
        </is>
      </c>
      <c r="H40" s="6" t="inlineStr">
        <is>
          <t>PY</t>
        </is>
      </c>
      <c r="I40" s="8" t="n">
        <v>3777</v>
      </c>
      <c r="J40" s="6" t="inlineStr">
        <is>
          <t>MW</t>
        </is>
      </c>
      <c r="K40" s="8" t="n">
        <v>3777</v>
      </c>
      <c r="L40" s="6" t="inlineStr">
        <is>
          <t>MW</t>
        </is>
      </c>
      <c r="M40" s="6" t="inlineStr">
        <is>
          <t>ANDE</t>
        </is>
      </c>
      <c r="N40" s="6" t="inlineStr">
        <is>
          <t>OFFICIAL_PRIMARY</t>
        </is>
      </c>
      <c r="O40" s="9" t="inlineStr">
        <is>
          <t>OFFICIAL_AGGREGATE</t>
        </is>
      </c>
      <c r="P40" s="8" t="n">
        <v>1</v>
      </c>
      <c r="Q40" s="8" t="n">
        <v>50</v>
      </c>
      <c r="R40" s="7" t="inlineStr">
        <is>
          <t>https://www.ande.gov.py/finanzas/2.%20COMPILACION%20ESTADISTICA%202003-2023/ANDE%20-%20Compilacion%20Estadistica%202003-2023.pdf</t>
        </is>
      </c>
      <c r="S40" s="6" t="inlineStr">
        <is>
          <t>ANDE-STAT-2003-2023</t>
        </is>
      </c>
      <c r="T40" s="6" t="inlineStr"/>
      <c r="U40" s="4" t="inlineStr">
        <is>
          <t>2026-09-10 23:00:00</t>
        </is>
      </c>
      <c r="V40" s="4" t="inlineStr"/>
    </row>
    <row r="41">
      <c r="A41" s="6" t="inlineStr">
        <is>
          <t>R0000040</t>
        </is>
      </c>
      <c r="B41" s="6" t="inlineStr">
        <is>
          <t>2021-01-01</t>
        </is>
      </c>
      <c r="C41" s="6" t="inlineStr">
        <is>
          <t>2021-12-31</t>
        </is>
      </c>
      <c r="D41" s="6" t="inlineStr">
        <is>
          <t>year</t>
        </is>
      </c>
      <c r="E41" s="6" t="inlineStr">
        <is>
          <t>PY_LOAD_FACTOR</t>
        </is>
      </c>
      <c r="F41" s="6" t="inlineStr">
        <is>
          <t>PY_SIN</t>
        </is>
      </c>
      <c r="G41" s="6" t="inlineStr">
        <is>
          <t>PY</t>
        </is>
      </c>
      <c r="H41" s="6" t="inlineStr">
        <is>
          <t>PY</t>
        </is>
      </c>
      <c r="I41" s="8" t="n">
        <v>56.2</v>
      </c>
      <c r="J41" s="6" t="inlineStr">
        <is>
          <t>percent</t>
        </is>
      </c>
      <c r="K41" s="8" t="n">
        <v>56.2</v>
      </c>
      <c r="L41" s="6" t="inlineStr">
        <is>
          <t>percent</t>
        </is>
      </c>
      <c r="M41" s="6" t="inlineStr">
        <is>
          <t>ANDE</t>
        </is>
      </c>
      <c r="N41" s="6" t="inlineStr">
        <is>
          <t>OFFICIAL_PRIMARY</t>
        </is>
      </c>
      <c r="O41" s="9" t="inlineStr">
        <is>
          <t>OFFICIAL_AGGREGATE</t>
        </is>
      </c>
      <c r="P41" s="8" t="n">
        <v>1</v>
      </c>
      <c r="Q41" s="8" t="n">
        <v>50</v>
      </c>
      <c r="R41" s="7" t="inlineStr">
        <is>
          <t>https://www.ande.gov.py/finanzas/2.%20COMPILACION%20ESTADISTICA%202003-2023/ANDE%20-%20Compilacion%20Estadistica%202003-2023.pdf</t>
        </is>
      </c>
      <c r="S41" s="6" t="inlineStr">
        <is>
          <t>ANDE-STAT-2003-2023</t>
        </is>
      </c>
      <c r="T41" s="6" t="inlineStr"/>
      <c r="U41" s="4" t="inlineStr">
        <is>
          <t>2026-09-10 23:00:00</t>
        </is>
      </c>
      <c r="V41" s="4" t="inlineStr">
        <is>
          <t>Factor de carga publicado.</t>
        </is>
      </c>
    </row>
    <row r="42">
      <c r="A42" s="6" t="inlineStr">
        <is>
          <t>R0000041</t>
        </is>
      </c>
      <c r="B42" s="6" t="inlineStr">
        <is>
          <t>2022-01-01</t>
        </is>
      </c>
      <c r="C42" s="6" t="inlineStr">
        <is>
          <t>2022-12-31</t>
        </is>
      </c>
      <c r="D42" s="6" t="inlineStr">
        <is>
          <t>year</t>
        </is>
      </c>
      <c r="E42" s="6" t="inlineStr">
        <is>
          <t>PY_CONSUMPTION_ENERGY</t>
        </is>
      </c>
      <c r="F42" s="6" t="inlineStr">
        <is>
          <t>PY_SIN</t>
        </is>
      </c>
      <c r="G42" s="6" t="inlineStr">
        <is>
          <t>PY</t>
        </is>
      </c>
      <c r="H42" s="6" t="inlineStr">
        <is>
          <t>PY</t>
        </is>
      </c>
      <c r="I42" s="8" t="n">
        <v>19634614</v>
      </c>
      <c r="J42" s="6" t="inlineStr">
        <is>
          <t>MWh</t>
        </is>
      </c>
      <c r="K42" s="8" t="n">
        <v>19634614</v>
      </c>
      <c r="L42" s="6" t="inlineStr">
        <is>
          <t>MWh</t>
        </is>
      </c>
      <c r="M42" s="6" t="inlineStr">
        <is>
          <t>ANDE</t>
        </is>
      </c>
      <c r="N42" s="6" t="inlineStr">
        <is>
          <t>OFFICIAL_PRIMARY</t>
        </is>
      </c>
      <c r="O42" s="9" t="inlineStr">
        <is>
          <t>OFFICIAL_AGGREGATE</t>
        </is>
      </c>
      <c r="P42" s="10" t="n">
        <v>0</v>
      </c>
      <c r="Q42" s="8" t="n">
        <v>50</v>
      </c>
      <c r="R42" s="7" t="inlineStr">
        <is>
          <t>https://www.ande.gov.py/finanzas/2.%20COMPILACION%20ESTADISTICA%202003-2023/ANDE%20-%20Compilacion%20Estadistica%202003-2023.pdf</t>
        </is>
      </c>
      <c r="S42" s="6" t="inlineStr">
        <is>
          <t>ANDE-STAT-2003-2023</t>
        </is>
      </c>
      <c r="T42" s="6" t="inlineStr"/>
      <c r="U42" s="4" t="inlineStr">
        <is>
          <t>2026-09-10 23:00:00</t>
        </is>
      </c>
      <c r="V42" s="4" t="inlineStr"/>
    </row>
    <row r="43">
      <c r="A43" s="6" t="inlineStr">
        <is>
          <t>R0000042</t>
        </is>
      </c>
      <c r="B43" s="6" t="inlineStr">
        <is>
          <t>2022-01-01</t>
        </is>
      </c>
      <c r="C43" s="6" t="inlineStr">
        <is>
          <t>2022-12-31</t>
        </is>
      </c>
      <c r="D43" s="6" t="inlineStr">
        <is>
          <t>year</t>
        </is>
      </c>
      <c r="E43" s="6" t="inlineStr">
        <is>
          <t>PY_MAX_DEMAND</t>
        </is>
      </c>
      <c r="F43" s="6" t="inlineStr">
        <is>
          <t>PY_SIN</t>
        </is>
      </c>
      <c r="G43" s="6" t="inlineStr">
        <is>
          <t>PY</t>
        </is>
      </c>
      <c r="H43" s="6" t="inlineStr">
        <is>
          <t>PY</t>
        </is>
      </c>
      <c r="I43" s="8" t="n">
        <v>4270</v>
      </c>
      <c r="J43" s="6" t="inlineStr">
        <is>
          <t>MW</t>
        </is>
      </c>
      <c r="K43" s="8" t="n">
        <v>4270</v>
      </c>
      <c r="L43" s="6" t="inlineStr">
        <is>
          <t>MW</t>
        </is>
      </c>
      <c r="M43" s="6" t="inlineStr">
        <is>
          <t>ANDE</t>
        </is>
      </c>
      <c r="N43" s="6" t="inlineStr">
        <is>
          <t>OFFICIAL_PRIMARY</t>
        </is>
      </c>
      <c r="O43" s="9" t="inlineStr">
        <is>
          <t>OFFICIAL_AGGREGATE</t>
        </is>
      </c>
      <c r="P43" s="8" t="n">
        <v>1</v>
      </c>
      <c r="Q43" s="8" t="n">
        <v>50</v>
      </c>
      <c r="R43" s="7" t="inlineStr">
        <is>
          <t>https://www.ande.gov.py/finanzas/2.%20COMPILACION%20ESTADISTICA%202003-2023/ANDE%20-%20Compilacion%20Estadistica%202003-2023.pdf</t>
        </is>
      </c>
      <c r="S43" s="6" t="inlineStr">
        <is>
          <t>ANDE-STAT-2003-2023</t>
        </is>
      </c>
      <c r="T43" s="6" t="inlineStr"/>
      <c r="U43" s="4" t="inlineStr">
        <is>
          <t>2026-09-10 23:00:00</t>
        </is>
      </c>
      <c r="V43" s="4" t="inlineStr"/>
    </row>
    <row r="44">
      <c r="A44" s="6" t="inlineStr">
        <is>
          <t>R0000043</t>
        </is>
      </c>
      <c r="B44" s="6" t="inlineStr">
        <is>
          <t>2022-01-01</t>
        </is>
      </c>
      <c r="C44" s="6" t="inlineStr">
        <is>
          <t>2022-12-31</t>
        </is>
      </c>
      <c r="D44" s="6" t="inlineStr">
        <is>
          <t>year</t>
        </is>
      </c>
      <c r="E44" s="6" t="inlineStr">
        <is>
          <t>PY_LOAD_FACTOR</t>
        </is>
      </c>
      <c r="F44" s="6" t="inlineStr">
        <is>
          <t>PY_SIN</t>
        </is>
      </c>
      <c r="G44" s="6" t="inlineStr">
        <is>
          <t>PY</t>
        </is>
      </c>
      <c r="H44" s="6" t="inlineStr">
        <is>
          <t>PY</t>
        </is>
      </c>
      <c r="I44" s="8" t="n">
        <v>52.5</v>
      </c>
      <c r="J44" s="6" t="inlineStr">
        <is>
          <t>percent</t>
        </is>
      </c>
      <c r="K44" s="8" t="n">
        <v>52.5</v>
      </c>
      <c r="L44" s="6" t="inlineStr">
        <is>
          <t>percent</t>
        </is>
      </c>
      <c r="M44" s="6" t="inlineStr">
        <is>
          <t>ANDE</t>
        </is>
      </c>
      <c r="N44" s="6" t="inlineStr">
        <is>
          <t>OFFICIAL_PRIMARY</t>
        </is>
      </c>
      <c r="O44" s="9" t="inlineStr">
        <is>
          <t>OFFICIAL_AGGREGATE</t>
        </is>
      </c>
      <c r="P44" s="8" t="n">
        <v>1</v>
      </c>
      <c r="Q44" s="8" t="n">
        <v>50</v>
      </c>
      <c r="R44" s="7" t="inlineStr">
        <is>
          <t>https://www.ande.gov.py/finanzas/2.%20COMPILACION%20ESTADISTICA%202003-2023/ANDE%20-%20Compilacion%20Estadistica%202003-2023.pdf</t>
        </is>
      </c>
      <c r="S44" s="6" t="inlineStr">
        <is>
          <t>ANDE-STAT-2003-2023</t>
        </is>
      </c>
      <c r="T44" s="6" t="inlineStr"/>
      <c r="U44" s="4" t="inlineStr">
        <is>
          <t>2026-09-10 23:00:00</t>
        </is>
      </c>
      <c r="V44" s="4" t="inlineStr">
        <is>
          <t>Factor de carga publicado.</t>
        </is>
      </c>
    </row>
    <row r="45">
      <c r="A45" s="6" t="inlineStr">
        <is>
          <t>R0000044</t>
        </is>
      </c>
      <c r="B45" s="6" t="inlineStr">
        <is>
          <t>2023-01-01</t>
        </is>
      </c>
      <c r="C45" s="6" t="inlineStr">
        <is>
          <t>2023-12-31</t>
        </is>
      </c>
      <c r="D45" s="6" t="inlineStr">
        <is>
          <t>year</t>
        </is>
      </c>
      <c r="E45" s="6" t="inlineStr">
        <is>
          <t>PY_CONSUMPTION_ENERGY</t>
        </is>
      </c>
      <c r="F45" s="6" t="inlineStr">
        <is>
          <t>PY_SIN</t>
        </is>
      </c>
      <c r="G45" s="6" t="inlineStr">
        <is>
          <t>PY</t>
        </is>
      </c>
      <c r="H45" s="6" t="inlineStr">
        <is>
          <t>PY</t>
        </is>
      </c>
      <c r="I45" s="8" t="n">
        <v>22078726</v>
      </c>
      <c r="J45" s="6" t="inlineStr">
        <is>
          <t>MWh</t>
        </is>
      </c>
      <c r="K45" s="8" t="n">
        <v>22078726</v>
      </c>
      <c r="L45" s="6" t="inlineStr">
        <is>
          <t>MWh</t>
        </is>
      </c>
      <c r="M45" s="6" t="inlineStr">
        <is>
          <t>ANDE</t>
        </is>
      </c>
      <c r="N45" s="6" t="inlineStr">
        <is>
          <t>OFFICIAL_PRIMARY</t>
        </is>
      </c>
      <c r="O45" s="9" t="inlineStr">
        <is>
          <t>OFFICIAL_AGGREGATE</t>
        </is>
      </c>
      <c r="P45" s="10" t="n">
        <v>0</v>
      </c>
      <c r="Q45" s="8" t="n">
        <v>50</v>
      </c>
      <c r="R45" s="7" t="inlineStr">
        <is>
          <t>https://www.ande.gov.py/finanzas/2.%20COMPILACION%20ESTADISTICA%202003-2023/ANDE%20-%20Compilacion%20Estadistica%202003-2023.pdf</t>
        </is>
      </c>
      <c r="S45" s="6" t="inlineStr">
        <is>
          <t>ANDE-STAT-2003-2023</t>
        </is>
      </c>
      <c r="T45" s="6" t="inlineStr"/>
      <c r="U45" s="4" t="inlineStr">
        <is>
          <t>2026-09-10 23:00:00</t>
        </is>
      </c>
      <c r="V45" s="4" t="inlineStr"/>
    </row>
    <row r="46">
      <c r="A46" s="6" t="inlineStr">
        <is>
          <t>R0000045</t>
        </is>
      </c>
      <c r="B46" s="6" t="inlineStr">
        <is>
          <t>2023-01-01</t>
        </is>
      </c>
      <c r="C46" s="6" t="inlineStr">
        <is>
          <t>2023-12-31</t>
        </is>
      </c>
      <c r="D46" s="6" t="inlineStr">
        <is>
          <t>year</t>
        </is>
      </c>
      <c r="E46" s="6" t="inlineStr">
        <is>
          <t>PY_MAX_DEMAND</t>
        </is>
      </c>
      <c r="F46" s="6" t="inlineStr">
        <is>
          <t>PY_SIN</t>
        </is>
      </c>
      <c r="G46" s="6" t="inlineStr">
        <is>
          <t>PY</t>
        </is>
      </c>
      <c r="H46" s="6" t="inlineStr">
        <is>
          <t>PY</t>
        </is>
      </c>
      <c r="I46" s="8" t="n">
        <v>4744</v>
      </c>
      <c r="J46" s="6" t="inlineStr">
        <is>
          <t>MW</t>
        </is>
      </c>
      <c r="K46" s="8" t="n">
        <v>4744</v>
      </c>
      <c r="L46" s="6" t="inlineStr">
        <is>
          <t>MW</t>
        </is>
      </c>
      <c r="M46" s="6" t="inlineStr">
        <is>
          <t>ANDE</t>
        </is>
      </c>
      <c r="N46" s="6" t="inlineStr">
        <is>
          <t>OFFICIAL_PRIMARY</t>
        </is>
      </c>
      <c r="O46" s="9" t="inlineStr">
        <is>
          <t>OFFICIAL_AGGREGATE</t>
        </is>
      </c>
      <c r="P46" s="8" t="n">
        <v>1</v>
      </c>
      <c r="Q46" s="8" t="n">
        <v>50</v>
      </c>
      <c r="R46" s="7" t="inlineStr">
        <is>
          <t>https://www.ande.gov.py/finanzas/2.%20COMPILACION%20ESTADISTICA%202003-2023/ANDE%20-%20Compilacion%20Estadistica%202003-2023.pdf</t>
        </is>
      </c>
      <c r="S46" s="6" t="inlineStr">
        <is>
          <t>ANDE-STAT-2003-2023</t>
        </is>
      </c>
      <c r="T46" s="6" t="inlineStr"/>
      <c r="U46" s="4" t="inlineStr">
        <is>
          <t>2026-09-10 23:00:00</t>
        </is>
      </c>
      <c r="V46" s="4" t="inlineStr"/>
    </row>
    <row r="47">
      <c r="A47" s="6" t="inlineStr">
        <is>
          <t>R0000046</t>
        </is>
      </c>
      <c r="B47" s="6" t="inlineStr">
        <is>
          <t>2023-01-01</t>
        </is>
      </c>
      <c r="C47" s="6" t="inlineStr">
        <is>
          <t>2023-12-31</t>
        </is>
      </c>
      <c r="D47" s="6" t="inlineStr">
        <is>
          <t>year</t>
        </is>
      </c>
      <c r="E47" s="6" t="inlineStr">
        <is>
          <t>PY_LOAD_FACTOR</t>
        </is>
      </c>
      <c r="F47" s="6" t="inlineStr">
        <is>
          <t>PY_SIN</t>
        </is>
      </c>
      <c r="G47" s="6" t="inlineStr">
        <is>
          <t>PY</t>
        </is>
      </c>
      <c r="H47" s="6" t="inlineStr">
        <is>
          <t>PY</t>
        </is>
      </c>
      <c r="I47" s="8" t="n">
        <v>53.1</v>
      </c>
      <c r="J47" s="6" t="inlineStr">
        <is>
          <t>percent</t>
        </is>
      </c>
      <c r="K47" s="8" t="n">
        <v>53.1</v>
      </c>
      <c r="L47" s="6" t="inlineStr">
        <is>
          <t>percent</t>
        </is>
      </c>
      <c r="M47" s="6" t="inlineStr">
        <is>
          <t>ANDE</t>
        </is>
      </c>
      <c r="N47" s="6" t="inlineStr">
        <is>
          <t>OFFICIAL_PRIMARY</t>
        </is>
      </c>
      <c r="O47" s="9" t="inlineStr">
        <is>
          <t>OFFICIAL_AGGREGATE</t>
        </is>
      </c>
      <c r="P47" s="8" t="n">
        <v>1</v>
      </c>
      <c r="Q47" s="8" t="n">
        <v>50</v>
      </c>
      <c r="R47" s="7" t="inlineStr">
        <is>
          <t>https://www.ande.gov.py/finanzas/2.%20COMPILACION%20ESTADISTICA%202003-2023/ANDE%20-%20Compilacion%20Estadistica%202003-2023.pdf</t>
        </is>
      </c>
      <c r="S47" s="6" t="inlineStr">
        <is>
          <t>ANDE-STAT-2003-2023</t>
        </is>
      </c>
      <c r="T47" s="6" t="inlineStr"/>
      <c r="U47" s="4" t="inlineStr">
        <is>
          <t>2026-09-10 23:00:00</t>
        </is>
      </c>
      <c r="V47" s="4" t="inlineStr">
        <is>
          <t>Factor de carga publicado.</t>
        </is>
      </c>
    </row>
    <row r="48">
      <c r="A48" s="6" t="inlineStr">
        <is>
          <t>R0000047</t>
        </is>
      </c>
      <c r="B48" s="6" t="inlineStr">
        <is>
          <t>2024-01-01</t>
        </is>
      </c>
      <c r="C48" s="6" t="inlineStr">
        <is>
          <t>2024-12-31</t>
        </is>
      </c>
      <c r="D48" s="6" t="inlineStr">
        <is>
          <t>year</t>
        </is>
      </c>
      <c r="E48" s="6" t="inlineStr">
        <is>
          <t>PY_CONSUMPTION_ENERGY</t>
        </is>
      </c>
      <c r="F48" s="6" t="inlineStr">
        <is>
          <t>PY_SIN</t>
        </is>
      </c>
      <c r="G48" s="6" t="inlineStr">
        <is>
          <t>PY</t>
        </is>
      </c>
      <c r="H48" s="6" t="inlineStr">
        <is>
          <t>PY</t>
        </is>
      </c>
      <c r="I48" s="8" t="n">
        <v>26154488</v>
      </c>
      <c r="J48" s="6" t="inlineStr">
        <is>
          <t>MWh</t>
        </is>
      </c>
      <c r="K48" s="8" t="n">
        <v>26154488</v>
      </c>
      <c r="L48" s="6" t="inlineStr">
        <is>
          <t>MWh</t>
        </is>
      </c>
      <c r="M48" s="6" t="inlineStr">
        <is>
          <t>ANDE</t>
        </is>
      </c>
      <c r="N48" s="6" t="inlineStr">
        <is>
          <t>OFFICIAL_PRIMARY</t>
        </is>
      </c>
      <c r="O48" s="9" t="inlineStr">
        <is>
          <t>OFFICIAL_AGGREGATE</t>
        </is>
      </c>
      <c r="P48" s="8" t="n">
        <v>1</v>
      </c>
      <c r="Q48" s="8" t="n">
        <v>50</v>
      </c>
      <c r="R48" s="7" t="inlineStr">
        <is>
          <t>https://www.ande.gov.py/finanzas/ANDE%20-%20Resumen%20Estad%C3%ADstico%202020%20-%202024.pdf</t>
        </is>
      </c>
      <c r="S48" s="6" t="inlineStr">
        <is>
          <t>ANDE-STAT-2020-2024</t>
        </is>
      </c>
      <c r="T48" s="6" t="inlineStr"/>
      <c r="U48" s="4" t="inlineStr">
        <is>
          <t>2026-09-10 23:00:00</t>
        </is>
      </c>
      <c r="V48" s="4" t="inlineStr"/>
    </row>
    <row r="49">
      <c r="A49" s="6" t="inlineStr">
        <is>
          <t>R0000048</t>
        </is>
      </c>
      <c r="B49" s="6" t="inlineStr">
        <is>
          <t>2024-01-01</t>
        </is>
      </c>
      <c r="C49" s="6" t="inlineStr">
        <is>
          <t>2024-12-31</t>
        </is>
      </c>
      <c r="D49" s="6" t="inlineStr">
        <is>
          <t>year</t>
        </is>
      </c>
      <c r="E49" s="6" t="inlineStr">
        <is>
          <t>PY_MAX_DEMAND</t>
        </is>
      </c>
      <c r="F49" s="6" t="inlineStr">
        <is>
          <t>PY_SIN</t>
        </is>
      </c>
      <c r="G49" s="6" t="inlineStr">
        <is>
          <t>PY</t>
        </is>
      </c>
      <c r="H49" s="6" t="inlineStr">
        <is>
          <t>PY</t>
        </is>
      </c>
      <c r="I49" s="8" t="n">
        <v>5027</v>
      </c>
      <c r="J49" s="6" t="inlineStr">
        <is>
          <t>MW</t>
        </is>
      </c>
      <c r="K49" s="8" t="n">
        <v>5027</v>
      </c>
      <c r="L49" s="6" t="inlineStr">
        <is>
          <t>MW</t>
        </is>
      </c>
      <c r="M49" s="6" t="inlineStr">
        <is>
          <t>ANDE</t>
        </is>
      </c>
      <c r="N49" s="6" t="inlineStr">
        <is>
          <t>OFFICIAL_PRIMARY</t>
        </is>
      </c>
      <c r="O49" s="9" t="inlineStr">
        <is>
          <t>OFFICIAL_AGGREGATE</t>
        </is>
      </c>
      <c r="P49" s="8" t="n">
        <v>1</v>
      </c>
      <c r="Q49" s="8" t="n">
        <v>50</v>
      </c>
      <c r="R49" s="7" t="inlineStr">
        <is>
          <t>https://www.ande.gov.py/finanzas/ANDE%20-%20Resumen%20Estad%C3%ADstico%202020%20-%202024.pdf</t>
        </is>
      </c>
      <c r="S49" s="6" t="inlineStr">
        <is>
          <t>ANDE-STAT-2020-2024</t>
        </is>
      </c>
      <c r="T49" s="6" t="inlineStr"/>
      <c r="U49" s="4" t="inlineStr">
        <is>
          <t>2026-09-10 23:00:00</t>
        </is>
      </c>
      <c r="V49" s="4" t="inlineStr"/>
    </row>
    <row r="50">
      <c r="A50" s="6" t="inlineStr">
        <is>
          <t>R0000049</t>
        </is>
      </c>
      <c r="B50" s="6" t="inlineStr">
        <is>
          <t>2024-01-01</t>
        </is>
      </c>
      <c r="C50" s="6" t="inlineStr">
        <is>
          <t>2024-12-31</t>
        </is>
      </c>
      <c r="D50" s="6" t="inlineStr">
        <is>
          <t>year</t>
        </is>
      </c>
      <c r="E50" s="6" t="inlineStr">
        <is>
          <t>PY_LOAD_FACTOR</t>
        </is>
      </c>
      <c r="F50" s="6" t="inlineStr">
        <is>
          <t>PY_SIN</t>
        </is>
      </c>
      <c r="G50" s="6" t="inlineStr">
        <is>
          <t>PY</t>
        </is>
      </c>
      <c r="H50" s="6" t="inlineStr">
        <is>
          <t>PY</t>
        </is>
      </c>
      <c r="I50" s="8" t="n">
        <v>59.39</v>
      </c>
      <c r="J50" s="6" t="inlineStr">
        <is>
          <t>percent</t>
        </is>
      </c>
      <c r="K50" s="8" t="n">
        <v>59.39</v>
      </c>
      <c r="L50" s="6" t="inlineStr">
        <is>
          <t>percent</t>
        </is>
      </c>
      <c r="M50" s="6" t="inlineStr">
        <is>
          <t>ANDE</t>
        </is>
      </c>
      <c r="N50" s="6" t="inlineStr">
        <is>
          <t>OFFICIAL_PRIMARY</t>
        </is>
      </c>
      <c r="O50" s="9" t="inlineStr">
        <is>
          <t>OFFICIAL_AGGREGATE</t>
        </is>
      </c>
      <c r="P50" s="8" t="n">
        <v>1</v>
      </c>
      <c r="Q50" s="8" t="n">
        <v>50</v>
      </c>
      <c r="R50" s="7" t="inlineStr">
        <is>
          <t>https://www.ande.gov.py/finanzas/ANDE%20-%20Resumen%20Estad%C3%ADstico%202020%20-%202024.pdf</t>
        </is>
      </c>
      <c r="S50" s="6" t="inlineStr">
        <is>
          <t>ANDE-STAT-2020-2024</t>
        </is>
      </c>
      <c r="T50" s="6" t="inlineStr"/>
      <c r="U50" s="4" t="inlineStr">
        <is>
          <t>2026-09-10 23:00:00</t>
        </is>
      </c>
      <c r="V50" s="4" t="inlineStr">
        <is>
          <t>Factor de carga publicado.</t>
        </is>
      </c>
    </row>
    <row r="51">
      <c r="A51" s="6" t="inlineStr">
        <is>
          <t>R0000050</t>
        </is>
      </c>
      <c r="B51" s="6" t="inlineStr">
        <is>
          <t>2025-01-01</t>
        </is>
      </c>
      <c r="C51" s="6" t="inlineStr">
        <is>
          <t>2025-12-31</t>
        </is>
      </c>
      <c r="D51" s="6" t="inlineStr">
        <is>
          <t>year</t>
        </is>
      </c>
      <c r="E51" s="6" t="inlineStr">
        <is>
          <t>PY_CONSUMPTION_ENERGY</t>
        </is>
      </c>
      <c r="F51" s="6" t="inlineStr">
        <is>
          <t>PY_SIN</t>
        </is>
      </c>
      <c r="G51" s="6" t="inlineStr">
        <is>
          <t>PY</t>
        </is>
      </c>
      <c r="H51" s="6" t="inlineStr">
        <is>
          <t>PY</t>
        </is>
      </c>
      <c r="I51" s="8" t="n">
        <v>29418538</v>
      </c>
      <c r="J51" s="6" t="inlineStr">
        <is>
          <t>MWh</t>
        </is>
      </c>
      <c r="K51" s="8" t="n">
        <v>29418538</v>
      </c>
      <c r="L51" s="6" t="inlineStr">
        <is>
          <t>MWh</t>
        </is>
      </c>
      <c r="M51" s="6" t="inlineStr">
        <is>
          <t>ANDE</t>
        </is>
      </c>
      <c r="N51" s="6" t="inlineStr">
        <is>
          <t>OFFICIAL_PRIMARY</t>
        </is>
      </c>
      <c r="O51" s="9" t="inlineStr">
        <is>
          <t>OFFICIAL_AGGREGATE</t>
        </is>
      </c>
      <c r="P51" s="8" t="n">
        <v>1</v>
      </c>
      <c r="Q51" s="8" t="n">
        <v>50</v>
      </c>
      <c r="R51" s="7" t="inlineStr">
        <is>
          <t>https://www.ande.gov.py/finanzas/BAGP%202025%20ANDE.pdf</t>
        </is>
      </c>
      <c r="S51" s="6" t="inlineStr">
        <is>
          <t>ANDE-BAGP-2025</t>
        </is>
      </c>
      <c r="T51" s="6" t="inlineStr"/>
      <c r="U51" s="4" t="inlineStr">
        <is>
          <t>2026-09-10 23:00:00</t>
        </is>
      </c>
      <c r="V51" s="4" t="inlineStr">
        <is>
          <t>2025: total exacto de BAGP; nota de prensa redondea a 29.419 GWh.</t>
        </is>
      </c>
    </row>
    <row r="52">
      <c r="A52" s="6" t="inlineStr">
        <is>
          <t>R0000051</t>
        </is>
      </c>
      <c r="B52" s="6" t="inlineStr">
        <is>
          <t>2025-01-01</t>
        </is>
      </c>
      <c r="C52" s="6" t="inlineStr">
        <is>
          <t>2025-12-31</t>
        </is>
      </c>
      <c r="D52" s="6" t="inlineStr">
        <is>
          <t>year</t>
        </is>
      </c>
      <c r="E52" s="6" t="inlineStr">
        <is>
          <t>PY_MAX_DEMAND</t>
        </is>
      </c>
      <c r="F52" s="6" t="inlineStr">
        <is>
          <t>PY_SIN</t>
        </is>
      </c>
      <c r="G52" s="6" t="inlineStr">
        <is>
          <t>PY</t>
        </is>
      </c>
      <c r="H52" s="6" t="inlineStr">
        <is>
          <t>PY</t>
        </is>
      </c>
      <c r="I52" s="8" t="n">
        <v>5280</v>
      </c>
      <c r="J52" s="6" t="inlineStr">
        <is>
          <t>MW</t>
        </is>
      </c>
      <c r="K52" s="8" t="n">
        <v>5280</v>
      </c>
      <c r="L52" s="6" t="inlineStr">
        <is>
          <t>MW</t>
        </is>
      </c>
      <c r="M52" s="6" t="inlineStr">
        <is>
          <t>ANDE</t>
        </is>
      </c>
      <c r="N52" s="6" t="inlineStr">
        <is>
          <t>OFFICIAL_PRIMARY</t>
        </is>
      </c>
      <c r="O52" s="9" t="inlineStr">
        <is>
          <t>OFFICIAL_AGGREGATE</t>
        </is>
      </c>
      <c r="P52" s="8" t="n">
        <v>1</v>
      </c>
      <c r="Q52" s="8" t="n">
        <v>50</v>
      </c>
      <c r="R52" s="7" t="inlineStr">
        <is>
          <t>https://www.ande.gov.py/finanzas/BAGP%202025%20ANDE.pdf</t>
        </is>
      </c>
      <c r="S52" s="6" t="inlineStr">
        <is>
          <t>ANDE-BAGP-2025</t>
        </is>
      </c>
      <c r="T52" s="6" t="inlineStr"/>
      <c r="U52" s="4" t="inlineStr">
        <is>
          <t>2026-09-10 23:00:00</t>
        </is>
      </c>
      <c r="V52" s="4" t="inlineStr">
        <is>
          <t>2025: total exacto de BAGP; nota de prensa redondea a 29.419 GWh.</t>
        </is>
      </c>
    </row>
    <row r="53">
      <c r="A53" s="6" t="inlineStr">
        <is>
          <t>R0000052</t>
        </is>
      </c>
      <c r="B53" s="6" t="inlineStr">
        <is>
          <t>2025-01-01</t>
        </is>
      </c>
      <c r="C53" s="6" t="inlineStr">
        <is>
          <t>2025-12-31</t>
        </is>
      </c>
      <c r="D53" s="6" t="inlineStr">
        <is>
          <t>year</t>
        </is>
      </c>
      <c r="E53" s="6" t="inlineStr">
        <is>
          <t>PY_LOAD_FACTOR</t>
        </is>
      </c>
      <c r="F53" s="6" t="inlineStr">
        <is>
          <t>PY_SIN</t>
        </is>
      </c>
      <c r="G53" s="6" t="inlineStr">
        <is>
          <t>PY</t>
        </is>
      </c>
      <c r="H53" s="6" t="inlineStr">
        <is>
          <t>PY</t>
        </is>
      </c>
      <c r="I53" s="8" t="n">
        <v>63.6</v>
      </c>
      <c r="J53" s="6" t="inlineStr">
        <is>
          <t>percent</t>
        </is>
      </c>
      <c r="K53" s="8" t="n">
        <v>63.6</v>
      </c>
      <c r="L53" s="6" t="inlineStr">
        <is>
          <t>percent</t>
        </is>
      </c>
      <c r="M53" s="6" t="inlineStr">
        <is>
          <t>ANDE</t>
        </is>
      </c>
      <c r="N53" s="6" t="inlineStr">
        <is>
          <t>OFFICIAL_PRIMARY</t>
        </is>
      </c>
      <c r="O53" s="9" t="inlineStr">
        <is>
          <t>OFFICIAL_AGGREGATE</t>
        </is>
      </c>
      <c r="P53" s="8" t="n">
        <v>1</v>
      </c>
      <c r="Q53" s="8" t="n">
        <v>50</v>
      </c>
      <c r="R53" s="7" t="inlineStr">
        <is>
          <t>https://www.ande.gov.py/finanzas/BAGP%202025%20ANDE.pdf</t>
        </is>
      </c>
      <c r="S53" s="6" t="inlineStr">
        <is>
          <t>ANDE-BAGP-2025</t>
        </is>
      </c>
      <c r="T53" s="6" t="inlineStr"/>
      <c r="U53" s="4" t="inlineStr">
        <is>
          <t>2026-09-10 23:00:00</t>
        </is>
      </c>
      <c r="V53" s="4" t="inlineStr">
        <is>
          <t>Factor de carga publicado.</t>
        </is>
      </c>
    </row>
    <row r="54">
      <c r="A54" s="6" t="inlineStr">
        <is>
          <t>R0000053</t>
        </is>
      </c>
      <c r="B54" s="6" t="inlineStr">
        <is>
          <t>2020-01-01</t>
        </is>
      </c>
      <c r="C54" s="6" t="inlineStr">
        <is>
          <t>2020-12-31</t>
        </is>
      </c>
      <c r="D54" s="6" t="inlineStr">
        <is>
          <t>year</t>
        </is>
      </c>
      <c r="E54" s="6" t="inlineStr">
        <is>
          <t>PY_REGION_ENERGY</t>
        </is>
      </c>
      <c r="F54" s="6" t="inlineStr">
        <is>
          <t>PY_REGION_METROPOLITANO</t>
        </is>
      </c>
      <c r="G54" s="6" t="inlineStr">
        <is>
          <t>PY</t>
        </is>
      </c>
      <c r="H54" s="6" t="inlineStr">
        <is>
          <t>PY</t>
        </is>
      </c>
      <c r="I54" s="8" t="n">
        <v>9312851</v>
      </c>
      <c r="J54" s="6" t="inlineStr">
        <is>
          <t>MWh</t>
        </is>
      </c>
      <c r="K54" s="8" t="n">
        <v>9312851</v>
      </c>
      <c r="L54" s="6" t="inlineStr">
        <is>
          <t>MWh</t>
        </is>
      </c>
      <c r="M54" s="6" t="inlineStr">
        <is>
          <t>ANDE</t>
        </is>
      </c>
      <c r="N54" s="6" t="inlineStr">
        <is>
          <t>OFFICIAL_PRIMARY</t>
        </is>
      </c>
      <c r="O54" s="9" t="inlineStr">
        <is>
          <t>OFFICIAL_AGGREGATE</t>
        </is>
      </c>
      <c r="P54" s="8" t="n">
        <v>1</v>
      </c>
      <c r="Q54" s="8" t="n">
        <v>50</v>
      </c>
      <c r="R54" s="7" t="inlineStr">
        <is>
          <t>https://www.ande.gov.py/finanzas/ANDE%20-%20Resumen%20Estad%C3%ADstico%202020%20-%202024.pdf</t>
        </is>
      </c>
      <c r="S54" s="6" t="inlineStr">
        <is>
          <t>ANDE-STAT-2020-2024</t>
        </is>
      </c>
      <c r="T54" s="6" t="inlineStr"/>
      <c r="U54" s="4" t="inlineStr">
        <is>
          <t>2026-09-10 23:00:00</t>
        </is>
      </c>
      <c r="V54" s="4" t="inlineStr">
        <is>
          <t>Sistema/region: Metropolitano.</t>
        </is>
      </c>
    </row>
    <row r="55">
      <c r="A55" s="6" t="inlineStr">
        <is>
          <t>R0000054</t>
        </is>
      </c>
      <c r="B55" s="6" t="inlineStr">
        <is>
          <t>2021-01-01</t>
        </is>
      </c>
      <c r="C55" s="6" t="inlineStr">
        <is>
          <t>2021-12-31</t>
        </is>
      </c>
      <c r="D55" s="6" t="inlineStr">
        <is>
          <t>year</t>
        </is>
      </c>
      <c r="E55" s="6" t="inlineStr">
        <is>
          <t>PY_REGION_ENERGY</t>
        </is>
      </c>
      <c r="F55" s="6" t="inlineStr">
        <is>
          <t>PY_REGION_METROPOLITANO</t>
        </is>
      </c>
      <c r="G55" s="6" t="inlineStr">
        <is>
          <t>PY</t>
        </is>
      </c>
      <c r="H55" s="6" t="inlineStr">
        <is>
          <t>PY</t>
        </is>
      </c>
      <c r="I55" s="8" t="n">
        <v>9543744</v>
      </c>
      <c r="J55" s="6" t="inlineStr">
        <is>
          <t>MWh</t>
        </is>
      </c>
      <c r="K55" s="8" t="n">
        <v>9543744</v>
      </c>
      <c r="L55" s="6" t="inlineStr">
        <is>
          <t>MWh</t>
        </is>
      </c>
      <c r="M55" s="6" t="inlineStr">
        <is>
          <t>ANDE</t>
        </is>
      </c>
      <c r="N55" s="6" t="inlineStr">
        <is>
          <t>OFFICIAL_PRIMARY</t>
        </is>
      </c>
      <c r="O55" s="9" t="inlineStr">
        <is>
          <t>OFFICIAL_AGGREGATE</t>
        </is>
      </c>
      <c r="P55" s="8" t="n">
        <v>1</v>
      </c>
      <c r="Q55" s="8" t="n">
        <v>50</v>
      </c>
      <c r="R55" s="7" t="inlineStr">
        <is>
          <t>https://www.ande.gov.py/finanzas/ANDE%20-%20Resumen%20Estad%C3%ADstico%202020%20-%202024.pdf</t>
        </is>
      </c>
      <c r="S55" s="6" t="inlineStr">
        <is>
          <t>ANDE-STAT-2020-2024</t>
        </is>
      </c>
      <c r="T55" s="6" t="inlineStr"/>
      <c r="U55" s="4" t="inlineStr">
        <is>
          <t>2026-09-10 23:00:00</t>
        </is>
      </c>
      <c r="V55" s="4" t="inlineStr">
        <is>
          <t>Sistema/region: Metropolitano.</t>
        </is>
      </c>
    </row>
    <row r="56">
      <c r="A56" s="6" t="inlineStr">
        <is>
          <t>R0000055</t>
        </is>
      </c>
      <c r="B56" s="6" t="inlineStr">
        <is>
          <t>2022-01-01</t>
        </is>
      </c>
      <c r="C56" s="6" t="inlineStr">
        <is>
          <t>2022-12-31</t>
        </is>
      </c>
      <c r="D56" s="6" t="inlineStr">
        <is>
          <t>year</t>
        </is>
      </c>
      <c r="E56" s="6" t="inlineStr">
        <is>
          <t>PY_REGION_ENERGY</t>
        </is>
      </c>
      <c r="F56" s="6" t="inlineStr">
        <is>
          <t>PY_REGION_METROPOLITANO</t>
        </is>
      </c>
      <c r="G56" s="6" t="inlineStr">
        <is>
          <t>PY</t>
        </is>
      </c>
      <c r="H56" s="6" t="inlineStr">
        <is>
          <t>PY</t>
        </is>
      </c>
      <c r="I56" s="8" t="n">
        <v>9964357</v>
      </c>
      <c r="J56" s="6" t="inlineStr">
        <is>
          <t>MWh</t>
        </is>
      </c>
      <c r="K56" s="8" t="n">
        <v>9964357</v>
      </c>
      <c r="L56" s="6" t="inlineStr">
        <is>
          <t>MWh</t>
        </is>
      </c>
      <c r="M56" s="6" t="inlineStr">
        <is>
          <t>ANDE</t>
        </is>
      </c>
      <c r="N56" s="6" t="inlineStr">
        <is>
          <t>OFFICIAL_PRIMARY</t>
        </is>
      </c>
      <c r="O56" s="9" t="inlineStr">
        <is>
          <t>OFFICIAL_AGGREGATE</t>
        </is>
      </c>
      <c r="P56" s="8" t="n">
        <v>1</v>
      </c>
      <c r="Q56" s="8" t="n">
        <v>50</v>
      </c>
      <c r="R56" s="7" t="inlineStr">
        <is>
          <t>https://www.ande.gov.py/finanzas/ANDE%20-%20Resumen%20Estad%C3%ADstico%202020%20-%202024.pdf</t>
        </is>
      </c>
      <c r="S56" s="6" t="inlineStr">
        <is>
          <t>ANDE-STAT-2020-2024</t>
        </is>
      </c>
      <c r="T56" s="6" t="inlineStr"/>
      <c r="U56" s="4" t="inlineStr">
        <is>
          <t>2026-09-10 23:00:00</t>
        </is>
      </c>
      <c r="V56" s="4" t="inlineStr">
        <is>
          <t>Sistema/region: Metropolitano.</t>
        </is>
      </c>
    </row>
    <row r="57">
      <c r="A57" s="6" t="inlineStr">
        <is>
          <t>R0000056</t>
        </is>
      </c>
      <c r="B57" s="6" t="inlineStr">
        <is>
          <t>2023-01-01</t>
        </is>
      </c>
      <c r="C57" s="6" t="inlineStr">
        <is>
          <t>2023-12-31</t>
        </is>
      </c>
      <c r="D57" s="6" t="inlineStr">
        <is>
          <t>year</t>
        </is>
      </c>
      <c r="E57" s="6" t="inlineStr">
        <is>
          <t>PY_REGION_ENERGY</t>
        </is>
      </c>
      <c r="F57" s="6" t="inlineStr">
        <is>
          <t>PY_REGION_METROPOLITANO</t>
        </is>
      </c>
      <c r="G57" s="6" t="inlineStr">
        <is>
          <t>PY</t>
        </is>
      </c>
      <c r="H57" s="6" t="inlineStr">
        <is>
          <t>PY</t>
        </is>
      </c>
      <c r="I57" s="8" t="n">
        <v>11174060</v>
      </c>
      <c r="J57" s="6" t="inlineStr">
        <is>
          <t>MWh</t>
        </is>
      </c>
      <c r="K57" s="8" t="n">
        <v>11174060</v>
      </c>
      <c r="L57" s="6" t="inlineStr">
        <is>
          <t>MWh</t>
        </is>
      </c>
      <c r="M57" s="6" t="inlineStr">
        <is>
          <t>ANDE</t>
        </is>
      </c>
      <c r="N57" s="6" t="inlineStr">
        <is>
          <t>OFFICIAL_PRIMARY</t>
        </is>
      </c>
      <c r="O57" s="9" t="inlineStr">
        <is>
          <t>OFFICIAL_AGGREGATE</t>
        </is>
      </c>
      <c r="P57" s="8" t="n">
        <v>1</v>
      </c>
      <c r="Q57" s="8" t="n">
        <v>50</v>
      </c>
      <c r="R57" s="7" t="inlineStr">
        <is>
          <t>https://www.ande.gov.py/finanzas/ANDE%20-%20Resumen%20Estad%C3%ADstico%202020%20-%202024.pdf</t>
        </is>
      </c>
      <c r="S57" s="6" t="inlineStr">
        <is>
          <t>ANDE-STAT-2020-2024</t>
        </is>
      </c>
      <c r="T57" s="6" t="inlineStr"/>
      <c r="U57" s="4" t="inlineStr">
        <is>
          <t>2026-09-10 23:00:00</t>
        </is>
      </c>
      <c r="V57" s="4" t="inlineStr">
        <is>
          <t>Sistema/region: Metropolitano.</t>
        </is>
      </c>
    </row>
    <row r="58">
      <c r="A58" s="6" t="inlineStr">
        <is>
          <t>R0000057</t>
        </is>
      </c>
      <c r="B58" s="6" t="inlineStr">
        <is>
          <t>2024-01-01</t>
        </is>
      </c>
      <c r="C58" s="6" t="inlineStr">
        <is>
          <t>2024-12-31</t>
        </is>
      </c>
      <c r="D58" s="6" t="inlineStr">
        <is>
          <t>year</t>
        </is>
      </c>
      <c r="E58" s="6" t="inlineStr">
        <is>
          <t>PY_REGION_ENERGY</t>
        </is>
      </c>
      <c r="F58" s="6" t="inlineStr">
        <is>
          <t>PY_REGION_METROPOLITANO</t>
        </is>
      </c>
      <c r="G58" s="6" t="inlineStr">
        <is>
          <t>PY</t>
        </is>
      </c>
      <c r="H58" s="6" t="inlineStr">
        <is>
          <t>PY</t>
        </is>
      </c>
      <c r="I58" s="8" t="n">
        <v>12291090</v>
      </c>
      <c r="J58" s="6" t="inlineStr">
        <is>
          <t>MWh</t>
        </is>
      </c>
      <c r="K58" s="8" t="n">
        <v>12291090</v>
      </c>
      <c r="L58" s="6" t="inlineStr">
        <is>
          <t>MWh</t>
        </is>
      </c>
      <c r="M58" s="6" t="inlineStr">
        <is>
          <t>ANDE</t>
        </is>
      </c>
      <c r="N58" s="6" t="inlineStr">
        <is>
          <t>OFFICIAL_PRIMARY</t>
        </is>
      </c>
      <c r="O58" s="9" t="inlineStr">
        <is>
          <t>OFFICIAL_AGGREGATE</t>
        </is>
      </c>
      <c r="P58" s="8" t="n">
        <v>1</v>
      </c>
      <c r="Q58" s="8" t="n">
        <v>50</v>
      </c>
      <c r="R58" s="7" t="inlineStr">
        <is>
          <t>https://www.ande.gov.py/finanzas/ANDE%20-%20Resumen%20Estad%C3%ADstico%202020%20-%202024.pdf</t>
        </is>
      </c>
      <c r="S58" s="6" t="inlineStr">
        <is>
          <t>ANDE-STAT-2020-2024</t>
        </is>
      </c>
      <c r="T58" s="6" t="inlineStr"/>
      <c r="U58" s="4" t="inlineStr">
        <is>
          <t>2026-09-10 23:00:00</t>
        </is>
      </c>
      <c r="V58" s="4" t="inlineStr">
        <is>
          <t>Sistema/region: Metropolitano.</t>
        </is>
      </c>
    </row>
    <row r="59">
      <c r="A59" s="6" t="inlineStr">
        <is>
          <t>R0000058</t>
        </is>
      </c>
      <c r="B59" s="6" t="inlineStr">
        <is>
          <t>2020-01-01</t>
        </is>
      </c>
      <c r="C59" s="6" t="inlineStr">
        <is>
          <t>2020-12-31</t>
        </is>
      </c>
      <c r="D59" s="6" t="inlineStr">
        <is>
          <t>year</t>
        </is>
      </c>
      <c r="E59" s="6" t="inlineStr">
        <is>
          <t>PY_REGION_ENERGY</t>
        </is>
      </c>
      <c r="F59" s="6" t="inlineStr">
        <is>
          <t>PY_REGION_CENTRAL</t>
        </is>
      </c>
      <c r="G59" s="6" t="inlineStr">
        <is>
          <t>PY</t>
        </is>
      </c>
      <c r="H59" s="6" t="inlineStr">
        <is>
          <t>PY</t>
        </is>
      </c>
      <c r="I59" s="8" t="n">
        <v>1833781</v>
      </c>
      <c r="J59" s="6" t="inlineStr">
        <is>
          <t>MWh</t>
        </is>
      </c>
      <c r="K59" s="8" t="n">
        <v>1833781</v>
      </c>
      <c r="L59" s="6" t="inlineStr">
        <is>
          <t>MWh</t>
        </is>
      </c>
      <c r="M59" s="6" t="inlineStr">
        <is>
          <t>ANDE</t>
        </is>
      </c>
      <c r="N59" s="6" t="inlineStr">
        <is>
          <t>OFFICIAL_PRIMARY</t>
        </is>
      </c>
      <c r="O59" s="9" t="inlineStr">
        <is>
          <t>OFFICIAL_AGGREGATE</t>
        </is>
      </c>
      <c r="P59" s="8" t="n">
        <v>1</v>
      </c>
      <c r="Q59" s="8" t="n">
        <v>50</v>
      </c>
      <c r="R59" s="7" t="inlineStr">
        <is>
          <t>https://www.ande.gov.py/finanzas/ANDE%20-%20Resumen%20Estad%C3%ADstico%202020%20-%202024.pdf</t>
        </is>
      </c>
      <c r="S59" s="6" t="inlineStr">
        <is>
          <t>ANDE-STAT-2020-2024</t>
        </is>
      </c>
      <c r="T59" s="6" t="inlineStr"/>
      <c r="U59" s="4" t="inlineStr">
        <is>
          <t>2026-09-10 23:00:00</t>
        </is>
      </c>
      <c r="V59" s="4" t="inlineStr">
        <is>
          <t>Sistema/region: Central.</t>
        </is>
      </c>
    </row>
    <row r="60">
      <c r="A60" s="6" t="inlineStr">
        <is>
          <t>R0000059</t>
        </is>
      </c>
      <c r="B60" s="6" t="inlineStr">
        <is>
          <t>2021-01-01</t>
        </is>
      </c>
      <c r="C60" s="6" t="inlineStr">
        <is>
          <t>2021-12-31</t>
        </is>
      </c>
      <c r="D60" s="6" t="inlineStr">
        <is>
          <t>year</t>
        </is>
      </c>
      <c r="E60" s="6" t="inlineStr">
        <is>
          <t>PY_REGION_ENERGY</t>
        </is>
      </c>
      <c r="F60" s="6" t="inlineStr">
        <is>
          <t>PY_REGION_CENTRAL</t>
        </is>
      </c>
      <c r="G60" s="6" t="inlineStr">
        <is>
          <t>PY</t>
        </is>
      </c>
      <c r="H60" s="6" t="inlineStr">
        <is>
          <t>PY</t>
        </is>
      </c>
      <c r="I60" s="8" t="n">
        <v>1985053</v>
      </c>
      <c r="J60" s="6" t="inlineStr">
        <is>
          <t>MWh</t>
        </is>
      </c>
      <c r="K60" s="8" t="n">
        <v>1985053</v>
      </c>
      <c r="L60" s="6" t="inlineStr">
        <is>
          <t>MWh</t>
        </is>
      </c>
      <c r="M60" s="6" t="inlineStr">
        <is>
          <t>ANDE</t>
        </is>
      </c>
      <c r="N60" s="6" t="inlineStr">
        <is>
          <t>OFFICIAL_PRIMARY</t>
        </is>
      </c>
      <c r="O60" s="9" t="inlineStr">
        <is>
          <t>OFFICIAL_AGGREGATE</t>
        </is>
      </c>
      <c r="P60" s="8" t="n">
        <v>1</v>
      </c>
      <c r="Q60" s="8" t="n">
        <v>50</v>
      </c>
      <c r="R60" s="7" t="inlineStr">
        <is>
          <t>https://www.ande.gov.py/finanzas/ANDE%20-%20Resumen%20Estad%C3%ADstico%202020%20-%202024.pdf</t>
        </is>
      </c>
      <c r="S60" s="6" t="inlineStr">
        <is>
          <t>ANDE-STAT-2020-2024</t>
        </is>
      </c>
      <c r="T60" s="6" t="inlineStr"/>
      <c r="U60" s="4" t="inlineStr">
        <is>
          <t>2026-09-10 23:00:00</t>
        </is>
      </c>
      <c r="V60" s="4" t="inlineStr">
        <is>
          <t>Sistema/region: Central.</t>
        </is>
      </c>
    </row>
    <row r="61">
      <c r="A61" s="6" t="inlineStr">
        <is>
          <t>R0000060</t>
        </is>
      </c>
      <c r="B61" s="6" t="inlineStr">
        <is>
          <t>2022-01-01</t>
        </is>
      </c>
      <c r="C61" s="6" t="inlineStr">
        <is>
          <t>2022-12-31</t>
        </is>
      </c>
      <c r="D61" s="6" t="inlineStr">
        <is>
          <t>year</t>
        </is>
      </c>
      <c r="E61" s="6" t="inlineStr">
        <is>
          <t>PY_REGION_ENERGY</t>
        </is>
      </c>
      <c r="F61" s="6" t="inlineStr">
        <is>
          <t>PY_REGION_CENTRAL</t>
        </is>
      </c>
      <c r="G61" s="6" t="inlineStr">
        <is>
          <t>PY</t>
        </is>
      </c>
      <c r="H61" s="6" t="inlineStr">
        <is>
          <t>PY</t>
        </is>
      </c>
      <c r="I61" s="8" t="n">
        <v>2373625</v>
      </c>
      <c r="J61" s="6" t="inlineStr">
        <is>
          <t>MWh</t>
        </is>
      </c>
      <c r="K61" s="8" t="n">
        <v>2373625</v>
      </c>
      <c r="L61" s="6" t="inlineStr">
        <is>
          <t>MWh</t>
        </is>
      </c>
      <c r="M61" s="6" t="inlineStr">
        <is>
          <t>ANDE</t>
        </is>
      </c>
      <c r="N61" s="6" t="inlineStr">
        <is>
          <t>OFFICIAL_PRIMARY</t>
        </is>
      </c>
      <c r="O61" s="9" t="inlineStr">
        <is>
          <t>OFFICIAL_AGGREGATE</t>
        </is>
      </c>
      <c r="P61" s="8" t="n">
        <v>1</v>
      </c>
      <c r="Q61" s="8" t="n">
        <v>50</v>
      </c>
      <c r="R61" s="7" t="inlineStr">
        <is>
          <t>https://www.ande.gov.py/finanzas/ANDE%20-%20Resumen%20Estad%C3%ADstico%202020%20-%202024.pdf</t>
        </is>
      </c>
      <c r="S61" s="6" t="inlineStr">
        <is>
          <t>ANDE-STAT-2020-2024</t>
        </is>
      </c>
      <c r="T61" s="6" t="inlineStr"/>
      <c r="U61" s="4" t="inlineStr">
        <is>
          <t>2026-09-10 23:00:00</t>
        </is>
      </c>
      <c r="V61" s="4" t="inlineStr">
        <is>
          <t>Sistema/region: Central.</t>
        </is>
      </c>
    </row>
    <row r="62">
      <c r="A62" s="6" t="inlineStr">
        <is>
          <t>R0000061</t>
        </is>
      </c>
      <c r="B62" s="6" t="inlineStr">
        <is>
          <t>2023-01-01</t>
        </is>
      </c>
      <c r="C62" s="6" t="inlineStr">
        <is>
          <t>2023-12-31</t>
        </is>
      </c>
      <c r="D62" s="6" t="inlineStr">
        <is>
          <t>year</t>
        </is>
      </c>
      <c r="E62" s="6" t="inlineStr">
        <is>
          <t>PY_REGION_ENERGY</t>
        </is>
      </c>
      <c r="F62" s="6" t="inlineStr">
        <is>
          <t>PY_REGION_CENTRAL</t>
        </is>
      </c>
      <c r="G62" s="6" t="inlineStr">
        <is>
          <t>PY</t>
        </is>
      </c>
      <c r="H62" s="6" t="inlineStr">
        <is>
          <t>PY</t>
        </is>
      </c>
      <c r="I62" s="8" t="n">
        <v>2713541</v>
      </c>
      <c r="J62" s="6" t="inlineStr">
        <is>
          <t>MWh</t>
        </is>
      </c>
      <c r="K62" s="8" t="n">
        <v>2713541</v>
      </c>
      <c r="L62" s="6" t="inlineStr">
        <is>
          <t>MWh</t>
        </is>
      </c>
      <c r="M62" s="6" t="inlineStr">
        <is>
          <t>ANDE</t>
        </is>
      </c>
      <c r="N62" s="6" t="inlineStr">
        <is>
          <t>OFFICIAL_PRIMARY</t>
        </is>
      </c>
      <c r="O62" s="9" t="inlineStr">
        <is>
          <t>OFFICIAL_AGGREGATE</t>
        </is>
      </c>
      <c r="P62" s="8" t="n">
        <v>1</v>
      </c>
      <c r="Q62" s="8" t="n">
        <v>50</v>
      </c>
      <c r="R62" s="7" t="inlineStr">
        <is>
          <t>https://www.ande.gov.py/finanzas/ANDE%20-%20Resumen%20Estad%C3%ADstico%202020%20-%202024.pdf</t>
        </is>
      </c>
      <c r="S62" s="6" t="inlineStr">
        <is>
          <t>ANDE-STAT-2020-2024</t>
        </is>
      </c>
      <c r="T62" s="6" t="inlineStr"/>
      <c r="U62" s="4" t="inlineStr">
        <is>
          <t>2026-09-10 23:00:00</t>
        </is>
      </c>
      <c r="V62" s="4" t="inlineStr">
        <is>
          <t>Sistema/region: Central.</t>
        </is>
      </c>
    </row>
    <row r="63">
      <c r="A63" s="6" t="inlineStr">
        <is>
          <t>R0000062</t>
        </is>
      </c>
      <c r="B63" s="6" t="inlineStr">
        <is>
          <t>2024-01-01</t>
        </is>
      </c>
      <c r="C63" s="6" t="inlineStr">
        <is>
          <t>2024-12-31</t>
        </is>
      </c>
      <c r="D63" s="6" t="inlineStr">
        <is>
          <t>year</t>
        </is>
      </c>
      <c r="E63" s="6" t="inlineStr">
        <is>
          <t>PY_REGION_ENERGY</t>
        </is>
      </c>
      <c r="F63" s="6" t="inlineStr">
        <is>
          <t>PY_REGION_CENTRAL</t>
        </is>
      </c>
      <c r="G63" s="6" t="inlineStr">
        <is>
          <t>PY</t>
        </is>
      </c>
      <c r="H63" s="6" t="inlineStr">
        <is>
          <t>PY</t>
        </is>
      </c>
      <c r="I63" s="8" t="n">
        <v>3332809</v>
      </c>
      <c r="J63" s="6" t="inlineStr">
        <is>
          <t>MWh</t>
        </is>
      </c>
      <c r="K63" s="8" t="n">
        <v>3332809</v>
      </c>
      <c r="L63" s="6" t="inlineStr">
        <is>
          <t>MWh</t>
        </is>
      </c>
      <c r="M63" s="6" t="inlineStr">
        <is>
          <t>ANDE</t>
        </is>
      </c>
      <c r="N63" s="6" t="inlineStr">
        <is>
          <t>OFFICIAL_PRIMARY</t>
        </is>
      </c>
      <c r="O63" s="9" t="inlineStr">
        <is>
          <t>OFFICIAL_AGGREGATE</t>
        </is>
      </c>
      <c r="P63" s="8" t="n">
        <v>1</v>
      </c>
      <c r="Q63" s="8" t="n">
        <v>50</v>
      </c>
      <c r="R63" s="7" t="inlineStr">
        <is>
          <t>https://www.ande.gov.py/finanzas/ANDE%20-%20Resumen%20Estad%C3%ADstico%202020%20-%202024.pdf</t>
        </is>
      </c>
      <c r="S63" s="6" t="inlineStr">
        <is>
          <t>ANDE-STAT-2020-2024</t>
        </is>
      </c>
      <c r="T63" s="6" t="inlineStr"/>
      <c r="U63" s="4" t="inlineStr">
        <is>
          <t>2026-09-10 23:00:00</t>
        </is>
      </c>
      <c r="V63" s="4" t="inlineStr">
        <is>
          <t>Sistema/region: Central.</t>
        </is>
      </c>
    </row>
    <row r="64">
      <c r="A64" s="6" t="inlineStr">
        <is>
          <t>R0000063</t>
        </is>
      </c>
      <c r="B64" s="6" t="inlineStr">
        <is>
          <t>2020-01-01</t>
        </is>
      </c>
      <c r="C64" s="6" t="inlineStr">
        <is>
          <t>2020-12-31</t>
        </is>
      </c>
      <c r="D64" s="6" t="inlineStr">
        <is>
          <t>year</t>
        </is>
      </c>
      <c r="E64" s="6" t="inlineStr">
        <is>
          <t>PY_REGION_ENERGY</t>
        </is>
      </c>
      <c r="F64" s="6" t="inlineStr">
        <is>
          <t>PY_REGION_SUR</t>
        </is>
      </c>
      <c r="G64" s="6" t="inlineStr">
        <is>
          <t>PY</t>
        </is>
      </c>
      <c r="H64" s="6" t="inlineStr">
        <is>
          <t>PY</t>
        </is>
      </c>
      <c r="I64" s="8" t="n">
        <v>1453292</v>
      </c>
      <c r="J64" s="6" t="inlineStr">
        <is>
          <t>MWh</t>
        </is>
      </c>
      <c r="K64" s="8" t="n">
        <v>1453292</v>
      </c>
      <c r="L64" s="6" t="inlineStr">
        <is>
          <t>MWh</t>
        </is>
      </c>
      <c r="M64" s="6" t="inlineStr">
        <is>
          <t>ANDE</t>
        </is>
      </c>
      <c r="N64" s="6" t="inlineStr">
        <is>
          <t>OFFICIAL_PRIMARY</t>
        </is>
      </c>
      <c r="O64" s="9" t="inlineStr">
        <is>
          <t>OFFICIAL_AGGREGATE</t>
        </is>
      </c>
      <c r="P64" s="8" t="n">
        <v>1</v>
      </c>
      <c r="Q64" s="8" t="n">
        <v>50</v>
      </c>
      <c r="R64" s="7" t="inlineStr">
        <is>
          <t>https://www.ande.gov.py/finanzas/ANDE%20-%20Resumen%20Estad%C3%ADstico%202020%20-%202024.pdf</t>
        </is>
      </c>
      <c r="S64" s="6" t="inlineStr">
        <is>
          <t>ANDE-STAT-2020-2024</t>
        </is>
      </c>
      <c r="T64" s="6" t="inlineStr"/>
      <c r="U64" s="4" t="inlineStr">
        <is>
          <t>2026-09-10 23:00:00</t>
        </is>
      </c>
      <c r="V64" s="4" t="inlineStr">
        <is>
          <t>Sistema/region: Sur.</t>
        </is>
      </c>
    </row>
    <row r="65">
      <c r="A65" s="6" t="inlineStr">
        <is>
          <t>R0000064</t>
        </is>
      </c>
      <c r="B65" s="6" t="inlineStr">
        <is>
          <t>2021-01-01</t>
        </is>
      </c>
      <c r="C65" s="6" t="inlineStr">
        <is>
          <t>2021-12-31</t>
        </is>
      </c>
      <c r="D65" s="6" t="inlineStr">
        <is>
          <t>year</t>
        </is>
      </c>
      <c r="E65" s="6" t="inlineStr">
        <is>
          <t>PY_REGION_ENERGY</t>
        </is>
      </c>
      <c r="F65" s="6" t="inlineStr">
        <is>
          <t>PY_REGION_SUR</t>
        </is>
      </c>
      <c r="G65" s="6" t="inlineStr">
        <is>
          <t>PY</t>
        </is>
      </c>
      <c r="H65" s="6" t="inlineStr">
        <is>
          <t>PY</t>
        </is>
      </c>
      <c r="I65" s="8" t="n">
        <v>1455028</v>
      </c>
      <c r="J65" s="6" t="inlineStr">
        <is>
          <t>MWh</t>
        </is>
      </c>
      <c r="K65" s="8" t="n">
        <v>1455028</v>
      </c>
      <c r="L65" s="6" t="inlineStr">
        <is>
          <t>MWh</t>
        </is>
      </c>
      <c r="M65" s="6" t="inlineStr">
        <is>
          <t>ANDE</t>
        </is>
      </c>
      <c r="N65" s="6" t="inlineStr">
        <is>
          <t>OFFICIAL_PRIMARY</t>
        </is>
      </c>
      <c r="O65" s="9" t="inlineStr">
        <is>
          <t>OFFICIAL_AGGREGATE</t>
        </is>
      </c>
      <c r="P65" s="8" t="n">
        <v>1</v>
      </c>
      <c r="Q65" s="8" t="n">
        <v>50</v>
      </c>
      <c r="R65" s="7" t="inlineStr">
        <is>
          <t>https://www.ande.gov.py/finanzas/ANDE%20-%20Resumen%20Estad%C3%ADstico%202020%20-%202024.pdf</t>
        </is>
      </c>
      <c r="S65" s="6" t="inlineStr">
        <is>
          <t>ANDE-STAT-2020-2024</t>
        </is>
      </c>
      <c r="T65" s="6" t="inlineStr"/>
      <c r="U65" s="4" t="inlineStr">
        <is>
          <t>2026-09-10 23:00:00</t>
        </is>
      </c>
      <c r="V65" s="4" t="inlineStr">
        <is>
          <t>Sistema/region: Sur.</t>
        </is>
      </c>
    </row>
    <row r="66">
      <c r="A66" s="6" t="inlineStr">
        <is>
          <t>R0000065</t>
        </is>
      </c>
      <c r="B66" s="6" t="inlineStr">
        <is>
          <t>2022-01-01</t>
        </is>
      </c>
      <c r="C66" s="6" t="inlineStr">
        <is>
          <t>2022-12-31</t>
        </is>
      </c>
      <c r="D66" s="6" t="inlineStr">
        <is>
          <t>year</t>
        </is>
      </c>
      <c r="E66" s="6" t="inlineStr">
        <is>
          <t>PY_REGION_ENERGY</t>
        </is>
      </c>
      <c r="F66" s="6" t="inlineStr">
        <is>
          <t>PY_REGION_SUR</t>
        </is>
      </c>
      <c r="G66" s="6" t="inlineStr">
        <is>
          <t>PY</t>
        </is>
      </c>
      <c r="H66" s="6" t="inlineStr">
        <is>
          <t>PY</t>
        </is>
      </c>
      <c r="I66" s="8" t="n">
        <v>1522615</v>
      </c>
      <c r="J66" s="6" t="inlineStr">
        <is>
          <t>MWh</t>
        </is>
      </c>
      <c r="K66" s="8" t="n">
        <v>1522615</v>
      </c>
      <c r="L66" s="6" t="inlineStr">
        <is>
          <t>MWh</t>
        </is>
      </c>
      <c r="M66" s="6" t="inlineStr">
        <is>
          <t>ANDE</t>
        </is>
      </c>
      <c r="N66" s="6" t="inlineStr">
        <is>
          <t>OFFICIAL_PRIMARY</t>
        </is>
      </c>
      <c r="O66" s="9" t="inlineStr">
        <is>
          <t>OFFICIAL_AGGREGATE</t>
        </is>
      </c>
      <c r="P66" s="8" t="n">
        <v>1</v>
      </c>
      <c r="Q66" s="8" t="n">
        <v>50</v>
      </c>
      <c r="R66" s="7" t="inlineStr">
        <is>
          <t>https://www.ande.gov.py/finanzas/ANDE%20-%20Resumen%20Estad%C3%ADstico%202020%20-%202024.pdf</t>
        </is>
      </c>
      <c r="S66" s="6" t="inlineStr">
        <is>
          <t>ANDE-STAT-2020-2024</t>
        </is>
      </c>
      <c r="T66" s="6" t="inlineStr"/>
      <c r="U66" s="4" t="inlineStr">
        <is>
          <t>2026-09-10 23:00:00</t>
        </is>
      </c>
      <c r="V66" s="4" t="inlineStr">
        <is>
          <t>Sistema/region: Sur.</t>
        </is>
      </c>
    </row>
    <row r="67">
      <c r="A67" s="6" t="inlineStr">
        <is>
          <t>R0000066</t>
        </is>
      </c>
      <c r="B67" s="6" t="inlineStr">
        <is>
          <t>2023-01-01</t>
        </is>
      </c>
      <c r="C67" s="6" t="inlineStr">
        <is>
          <t>2023-12-31</t>
        </is>
      </c>
      <c r="D67" s="6" t="inlineStr">
        <is>
          <t>year</t>
        </is>
      </c>
      <c r="E67" s="6" t="inlineStr">
        <is>
          <t>PY_REGION_ENERGY</t>
        </is>
      </c>
      <c r="F67" s="6" t="inlineStr">
        <is>
          <t>PY_REGION_SUR</t>
        </is>
      </c>
      <c r="G67" s="6" t="inlineStr">
        <is>
          <t>PY</t>
        </is>
      </c>
      <c r="H67" s="6" t="inlineStr">
        <is>
          <t>PY</t>
        </is>
      </c>
      <c r="I67" s="8" t="n">
        <v>1678188</v>
      </c>
      <c r="J67" s="6" t="inlineStr">
        <is>
          <t>MWh</t>
        </is>
      </c>
      <c r="K67" s="8" t="n">
        <v>1678188</v>
      </c>
      <c r="L67" s="6" t="inlineStr">
        <is>
          <t>MWh</t>
        </is>
      </c>
      <c r="M67" s="6" t="inlineStr">
        <is>
          <t>ANDE</t>
        </is>
      </c>
      <c r="N67" s="6" t="inlineStr">
        <is>
          <t>OFFICIAL_PRIMARY</t>
        </is>
      </c>
      <c r="O67" s="9" t="inlineStr">
        <is>
          <t>OFFICIAL_AGGREGATE</t>
        </is>
      </c>
      <c r="P67" s="8" t="n">
        <v>1</v>
      </c>
      <c r="Q67" s="8" t="n">
        <v>50</v>
      </c>
      <c r="R67" s="7" t="inlineStr">
        <is>
          <t>https://www.ande.gov.py/finanzas/ANDE%20-%20Resumen%20Estad%C3%ADstico%202020%20-%202024.pdf</t>
        </is>
      </c>
      <c r="S67" s="6" t="inlineStr">
        <is>
          <t>ANDE-STAT-2020-2024</t>
        </is>
      </c>
      <c r="T67" s="6" t="inlineStr"/>
      <c r="U67" s="4" t="inlineStr">
        <is>
          <t>2026-09-10 23:00:00</t>
        </is>
      </c>
      <c r="V67" s="4" t="inlineStr">
        <is>
          <t>Sistema/region: Sur.</t>
        </is>
      </c>
    </row>
    <row r="68">
      <c r="A68" s="6" t="inlineStr">
        <is>
          <t>R0000067</t>
        </is>
      </c>
      <c r="B68" s="6" t="inlineStr">
        <is>
          <t>2024-01-01</t>
        </is>
      </c>
      <c r="C68" s="6" t="inlineStr">
        <is>
          <t>2024-12-31</t>
        </is>
      </c>
      <c r="D68" s="6" t="inlineStr">
        <is>
          <t>year</t>
        </is>
      </c>
      <c r="E68" s="6" t="inlineStr">
        <is>
          <t>PY_REGION_ENERGY</t>
        </is>
      </c>
      <c r="F68" s="6" t="inlineStr">
        <is>
          <t>PY_REGION_SUR</t>
        </is>
      </c>
      <c r="G68" s="6" t="inlineStr">
        <is>
          <t>PY</t>
        </is>
      </c>
      <c r="H68" s="6" t="inlineStr">
        <is>
          <t>PY</t>
        </is>
      </c>
      <c r="I68" s="8" t="n">
        <v>1855203</v>
      </c>
      <c r="J68" s="6" t="inlineStr">
        <is>
          <t>MWh</t>
        </is>
      </c>
      <c r="K68" s="8" t="n">
        <v>1855203</v>
      </c>
      <c r="L68" s="6" t="inlineStr">
        <is>
          <t>MWh</t>
        </is>
      </c>
      <c r="M68" s="6" t="inlineStr">
        <is>
          <t>ANDE</t>
        </is>
      </c>
      <c r="N68" s="6" t="inlineStr">
        <is>
          <t>OFFICIAL_PRIMARY</t>
        </is>
      </c>
      <c r="O68" s="9" t="inlineStr">
        <is>
          <t>OFFICIAL_AGGREGATE</t>
        </is>
      </c>
      <c r="P68" s="8" t="n">
        <v>1</v>
      </c>
      <c r="Q68" s="8" t="n">
        <v>50</v>
      </c>
      <c r="R68" s="7" t="inlineStr">
        <is>
          <t>https://www.ande.gov.py/finanzas/ANDE%20-%20Resumen%20Estad%C3%ADstico%202020%20-%202024.pdf</t>
        </is>
      </c>
      <c r="S68" s="6" t="inlineStr">
        <is>
          <t>ANDE-STAT-2020-2024</t>
        </is>
      </c>
      <c r="T68" s="6" t="inlineStr"/>
      <c r="U68" s="4" t="inlineStr">
        <is>
          <t>2026-09-10 23:00:00</t>
        </is>
      </c>
      <c r="V68" s="4" t="inlineStr">
        <is>
          <t>Sistema/region: Sur.</t>
        </is>
      </c>
    </row>
    <row r="69">
      <c r="A69" s="6" t="inlineStr">
        <is>
          <t>R0000068</t>
        </is>
      </c>
      <c r="B69" s="6" t="inlineStr">
        <is>
          <t>2020-01-01</t>
        </is>
      </c>
      <c r="C69" s="6" t="inlineStr">
        <is>
          <t>2020-12-31</t>
        </is>
      </c>
      <c r="D69" s="6" t="inlineStr">
        <is>
          <t>year</t>
        </is>
      </c>
      <c r="E69" s="6" t="inlineStr">
        <is>
          <t>PY_REGION_ENERGY</t>
        </is>
      </c>
      <c r="F69" s="6" t="inlineStr">
        <is>
          <t>PY_REGION_NORTE</t>
        </is>
      </c>
      <c r="G69" s="6" t="inlineStr">
        <is>
          <t>PY</t>
        </is>
      </c>
      <c r="H69" s="6" t="inlineStr">
        <is>
          <t>PY</t>
        </is>
      </c>
      <c r="I69" s="8" t="n">
        <v>862484</v>
      </c>
      <c r="J69" s="6" t="inlineStr">
        <is>
          <t>MWh</t>
        </is>
      </c>
      <c r="K69" s="8" t="n">
        <v>862484</v>
      </c>
      <c r="L69" s="6" t="inlineStr">
        <is>
          <t>MWh</t>
        </is>
      </c>
      <c r="M69" s="6" t="inlineStr">
        <is>
          <t>ANDE</t>
        </is>
      </c>
      <c r="N69" s="6" t="inlineStr">
        <is>
          <t>OFFICIAL_PRIMARY</t>
        </is>
      </c>
      <c r="O69" s="9" t="inlineStr">
        <is>
          <t>OFFICIAL_AGGREGATE</t>
        </is>
      </c>
      <c r="P69" s="8" t="n">
        <v>1</v>
      </c>
      <c r="Q69" s="8" t="n">
        <v>50</v>
      </c>
      <c r="R69" s="7" t="inlineStr">
        <is>
          <t>https://www.ande.gov.py/finanzas/ANDE%20-%20Resumen%20Estad%C3%ADstico%202020%20-%202024.pdf</t>
        </is>
      </c>
      <c r="S69" s="6" t="inlineStr">
        <is>
          <t>ANDE-STAT-2020-2024</t>
        </is>
      </c>
      <c r="T69" s="6" t="inlineStr"/>
      <c r="U69" s="4" t="inlineStr">
        <is>
          <t>2026-09-10 23:00:00</t>
        </is>
      </c>
      <c r="V69" s="4" t="inlineStr">
        <is>
          <t>Sistema/region: Norte.</t>
        </is>
      </c>
    </row>
    <row r="70">
      <c r="A70" s="6" t="inlineStr">
        <is>
          <t>R0000069</t>
        </is>
      </c>
      <c r="B70" s="6" t="inlineStr">
        <is>
          <t>2021-01-01</t>
        </is>
      </c>
      <c r="C70" s="6" t="inlineStr">
        <is>
          <t>2021-12-31</t>
        </is>
      </c>
      <c r="D70" s="6" t="inlineStr">
        <is>
          <t>year</t>
        </is>
      </c>
      <c r="E70" s="6" t="inlineStr">
        <is>
          <t>PY_REGION_ENERGY</t>
        </is>
      </c>
      <c r="F70" s="6" t="inlineStr">
        <is>
          <t>PY_REGION_NORTE</t>
        </is>
      </c>
      <c r="G70" s="6" t="inlineStr">
        <is>
          <t>PY</t>
        </is>
      </c>
      <c r="H70" s="6" t="inlineStr">
        <is>
          <t>PY</t>
        </is>
      </c>
      <c r="I70" s="8" t="n">
        <v>943153</v>
      </c>
      <c r="J70" s="6" t="inlineStr">
        <is>
          <t>MWh</t>
        </is>
      </c>
      <c r="K70" s="8" t="n">
        <v>943153</v>
      </c>
      <c r="L70" s="6" t="inlineStr">
        <is>
          <t>MWh</t>
        </is>
      </c>
      <c r="M70" s="6" t="inlineStr">
        <is>
          <t>ANDE</t>
        </is>
      </c>
      <c r="N70" s="6" t="inlineStr">
        <is>
          <t>OFFICIAL_PRIMARY</t>
        </is>
      </c>
      <c r="O70" s="9" t="inlineStr">
        <is>
          <t>OFFICIAL_AGGREGATE</t>
        </is>
      </c>
      <c r="P70" s="8" t="n">
        <v>1</v>
      </c>
      <c r="Q70" s="8" t="n">
        <v>50</v>
      </c>
      <c r="R70" s="7" t="inlineStr">
        <is>
          <t>https://www.ande.gov.py/finanzas/ANDE%20-%20Resumen%20Estad%C3%ADstico%202020%20-%202024.pdf</t>
        </is>
      </c>
      <c r="S70" s="6" t="inlineStr">
        <is>
          <t>ANDE-STAT-2020-2024</t>
        </is>
      </c>
      <c r="T70" s="6" t="inlineStr"/>
      <c r="U70" s="4" t="inlineStr">
        <is>
          <t>2026-09-10 23:00:00</t>
        </is>
      </c>
      <c r="V70" s="4" t="inlineStr">
        <is>
          <t>Sistema/region: Norte.</t>
        </is>
      </c>
    </row>
    <row r="71">
      <c r="A71" s="6" t="inlineStr">
        <is>
          <t>R0000070</t>
        </is>
      </c>
      <c r="B71" s="6" t="inlineStr">
        <is>
          <t>2022-01-01</t>
        </is>
      </c>
      <c r="C71" s="6" t="inlineStr">
        <is>
          <t>2022-12-31</t>
        </is>
      </c>
      <c r="D71" s="6" t="inlineStr">
        <is>
          <t>year</t>
        </is>
      </c>
      <c r="E71" s="6" t="inlineStr">
        <is>
          <t>PY_REGION_ENERGY</t>
        </is>
      </c>
      <c r="F71" s="6" t="inlineStr">
        <is>
          <t>PY_REGION_NORTE</t>
        </is>
      </c>
      <c r="G71" s="6" t="inlineStr">
        <is>
          <t>PY</t>
        </is>
      </c>
      <c r="H71" s="6" t="inlineStr">
        <is>
          <t>PY</t>
        </is>
      </c>
      <c r="I71" s="8" t="n">
        <v>1005429</v>
      </c>
      <c r="J71" s="6" t="inlineStr">
        <is>
          <t>MWh</t>
        </is>
      </c>
      <c r="K71" s="8" t="n">
        <v>1005429</v>
      </c>
      <c r="L71" s="6" t="inlineStr">
        <is>
          <t>MWh</t>
        </is>
      </c>
      <c r="M71" s="6" t="inlineStr">
        <is>
          <t>ANDE</t>
        </is>
      </c>
      <c r="N71" s="6" t="inlineStr">
        <is>
          <t>OFFICIAL_PRIMARY</t>
        </is>
      </c>
      <c r="O71" s="9" t="inlineStr">
        <is>
          <t>OFFICIAL_AGGREGATE</t>
        </is>
      </c>
      <c r="P71" s="8" t="n">
        <v>1</v>
      </c>
      <c r="Q71" s="8" t="n">
        <v>50</v>
      </c>
      <c r="R71" s="7" t="inlineStr">
        <is>
          <t>https://www.ande.gov.py/finanzas/ANDE%20-%20Resumen%20Estad%C3%ADstico%202020%20-%202024.pdf</t>
        </is>
      </c>
      <c r="S71" s="6" t="inlineStr">
        <is>
          <t>ANDE-STAT-2020-2024</t>
        </is>
      </c>
      <c r="T71" s="6" t="inlineStr"/>
      <c r="U71" s="4" t="inlineStr">
        <is>
          <t>2026-09-10 23:00:00</t>
        </is>
      </c>
      <c r="V71" s="4" t="inlineStr">
        <is>
          <t>Sistema/region: Norte.</t>
        </is>
      </c>
    </row>
    <row r="72">
      <c r="A72" s="6" t="inlineStr">
        <is>
          <t>R0000071</t>
        </is>
      </c>
      <c r="B72" s="6" t="inlineStr">
        <is>
          <t>2023-01-01</t>
        </is>
      </c>
      <c r="C72" s="6" t="inlineStr">
        <is>
          <t>2023-12-31</t>
        </is>
      </c>
      <c r="D72" s="6" t="inlineStr">
        <is>
          <t>year</t>
        </is>
      </c>
      <c r="E72" s="6" t="inlineStr">
        <is>
          <t>PY_REGION_ENERGY</t>
        </is>
      </c>
      <c r="F72" s="6" t="inlineStr">
        <is>
          <t>PY_REGION_NORTE</t>
        </is>
      </c>
      <c r="G72" s="6" t="inlineStr">
        <is>
          <t>PY</t>
        </is>
      </c>
      <c r="H72" s="6" t="inlineStr">
        <is>
          <t>PY</t>
        </is>
      </c>
      <c r="I72" s="8" t="n">
        <v>1140476</v>
      </c>
      <c r="J72" s="6" t="inlineStr">
        <is>
          <t>MWh</t>
        </is>
      </c>
      <c r="K72" s="8" t="n">
        <v>1140476</v>
      </c>
      <c r="L72" s="6" t="inlineStr">
        <is>
          <t>MWh</t>
        </is>
      </c>
      <c r="M72" s="6" t="inlineStr">
        <is>
          <t>ANDE</t>
        </is>
      </c>
      <c r="N72" s="6" t="inlineStr">
        <is>
          <t>OFFICIAL_PRIMARY</t>
        </is>
      </c>
      <c r="O72" s="9" t="inlineStr">
        <is>
          <t>OFFICIAL_AGGREGATE</t>
        </is>
      </c>
      <c r="P72" s="8" t="n">
        <v>1</v>
      </c>
      <c r="Q72" s="8" t="n">
        <v>50</v>
      </c>
      <c r="R72" s="7" t="inlineStr">
        <is>
          <t>https://www.ande.gov.py/finanzas/ANDE%20-%20Resumen%20Estad%C3%ADstico%202020%20-%202024.pdf</t>
        </is>
      </c>
      <c r="S72" s="6" t="inlineStr">
        <is>
          <t>ANDE-STAT-2020-2024</t>
        </is>
      </c>
      <c r="T72" s="6" t="inlineStr"/>
      <c r="U72" s="4" t="inlineStr">
        <is>
          <t>2026-09-10 23:00:00</t>
        </is>
      </c>
      <c r="V72" s="4" t="inlineStr">
        <is>
          <t>Sistema/region: Norte.</t>
        </is>
      </c>
    </row>
    <row r="73">
      <c r="A73" s="6" t="inlineStr">
        <is>
          <t>R0000072</t>
        </is>
      </c>
      <c r="B73" s="6" t="inlineStr">
        <is>
          <t>2024-01-01</t>
        </is>
      </c>
      <c r="C73" s="6" t="inlineStr">
        <is>
          <t>2024-12-31</t>
        </is>
      </c>
      <c r="D73" s="6" t="inlineStr">
        <is>
          <t>year</t>
        </is>
      </c>
      <c r="E73" s="6" t="inlineStr">
        <is>
          <t>PY_REGION_ENERGY</t>
        </is>
      </c>
      <c r="F73" s="6" t="inlineStr">
        <is>
          <t>PY_REGION_NORTE</t>
        </is>
      </c>
      <c r="G73" s="6" t="inlineStr">
        <is>
          <t>PY</t>
        </is>
      </c>
      <c r="H73" s="6" t="inlineStr">
        <is>
          <t>PY</t>
        </is>
      </c>
      <c r="I73" s="8" t="n">
        <v>1288197</v>
      </c>
      <c r="J73" s="6" t="inlineStr">
        <is>
          <t>MWh</t>
        </is>
      </c>
      <c r="K73" s="8" t="n">
        <v>1288197</v>
      </c>
      <c r="L73" s="6" t="inlineStr">
        <is>
          <t>MWh</t>
        </is>
      </c>
      <c r="M73" s="6" t="inlineStr">
        <is>
          <t>ANDE</t>
        </is>
      </c>
      <c r="N73" s="6" t="inlineStr">
        <is>
          <t>OFFICIAL_PRIMARY</t>
        </is>
      </c>
      <c r="O73" s="9" t="inlineStr">
        <is>
          <t>OFFICIAL_AGGREGATE</t>
        </is>
      </c>
      <c r="P73" s="8" t="n">
        <v>1</v>
      </c>
      <c r="Q73" s="8" t="n">
        <v>50</v>
      </c>
      <c r="R73" s="7" t="inlineStr">
        <is>
          <t>https://www.ande.gov.py/finanzas/ANDE%20-%20Resumen%20Estad%C3%ADstico%202020%20-%202024.pdf</t>
        </is>
      </c>
      <c r="S73" s="6" t="inlineStr">
        <is>
          <t>ANDE-STAT-2020-2024</t>
        </is>
      </c>
      <c r="T73" s="6" t="inlineStr"/>
      <c r="U73" s="4" t="inlineStr">
        <is>
          <t>2026-09-10 23:00:00</t>
        </is>
      </c>
      <c r="V73" s="4" t="inlineStr">
        <is>
          <t>Sistema/region: Norte.</t>
        </is>
      </c>
    </row>
    <row r="74">
      <c r="A74" s="6" t="inlineStr">
        <is>
          <t>R0000073</t>
        </is>
      </c>
      <c r="B74" s="6" t="inlineStr">
        <is>
          <t>2020-01-01</t>
        </is>
      </c>
      <c r="C74" s="6" t="inlineStr">
        <is>
          <t>2020-12-31</t>
        </is>
      </c>
      <c r="D74" s="6" t="inlineStr">
        <is>
          <t>year</t>
        </is>
      </c>
      <c r="E74" s="6" t="inlineStr">
        <is>
          <t>PY_REGION_ENERGY</t>
        </is>
      </c>
      <c r="F74" s="6" t="inlineStr">
        <is>
          <t>PY_REGION_ESTE</t>
        </is>
      </c>
      <c r="G74" s="6" t="inlineStr">
        <is>
          <t>PY</t>
        </is>
      </c>
      <c r="H74" s="6" t="inlineStr">
        <is>
          <t>PY</t>
        </is>
      </c>
      <c r="I74" s="8" t="n">
        <v>3297053</v>
      </c>
      <c r="J74" s="6" t="inlineStr">
        <is>
          <t>MWh</t>
        </is>
      </c>
      <c r="K74" s="8" t="n">
        <v>3297053</v>
      </c>
      <c r="L74" s="6" t="inlineStr">
        <is>
          <t>MWh</t>
        </is>
      </c>
      <c r="M74" s="6" t="inlineStr">
        <is>
          <t>ANDE</t>
        </is>
      </c>
      <c r="N74" s="6" t="inlineStr">
        <is>
          <t>OFFICIAL_PRIMARY</t>
        </is>
      </c>
      <c r="O74" s="9" t="inlineStr">
        <is>
          <t>OFFICIAL_AGGREGATE</t>
        </is>
      </c>
      <c r="P74" s="8" t="n">
        <v>1</v>
      </c>
      <c r="Q74" s="8" t="n">
        <v>50</v>
      </c>
      <c r="R74" s="7" t="inlineStr">
        <is>
          <t>https://www.ande.gov.py/finanzas/ANDE%20-%20Resumen%20Estad%C3%ADstico%202020%20-%202024.pdf</t>
        </is>
      </c>
      <c r="S74" s="6" t="inlineStr">
        <is>
          <t>ANDE-STAT-2020-2024</t>
        </is>
      </c>
      <c r="T74" s="6" t="inlineStr"/>
      <c r="U74" s="4" t="inlineStr">
        <is>
          <t>2026-09-10 23:00:00</t>
        </is>
      </c>
      <c r="V74" s="4" t="inlineStr">
        <is>
          <t>Sistema/region: Este.</t>
        </is>
      </c>
    </row>
    <row r="75">
      <c r="A75" s="6" t="inlineStr">
        <is>
          <t>R0000074</t>
        </is>
      </c>
      <c r="B75" s="6" t="inlineStr">
        <is>
          <t>2021-01-01</t>
        </is>
      </c>
      <c r="C75" s="6" t="inlineStr">
        <is>
          <t>2021-12-31</t>
        </is>
      </c>
      <c r="D75" s="6" t="inlineStr">
        <is>
          <t>year</t>
        </is>
      </c>
      <c r="E75" s="6" t="inlineStr">
        <is>
          <t>PY_REGION_ENERGY</t>
        </is>
      </c>
      <c r="F75" s="6" t="inlineStr">
        <is>
          <t>PY_REGION_ESTE</t>
        </is>
      </c>
      <c r="G75" s="6" t="inlineStr">
        <is>
          <t>PY</t>
        </is>
      </c>
      <c r="H75" s="6" t="inlineStr">
        <is>
          <t>PY</t>
        </is>
      </c>
      <c r="I75" s="8" t="n">
        <v>3466103</v>
      </c>
      <c r="J75" s="6" t="inlineStr">
        <is>
          <t>MWh</t>
        </is>
      </c>
      <c r="K75" s="8" t="n">
        <v>3466103</v>
      </c>
      <c r="L75" s="6" t="inlineStr">
        <is>
          <t>MWh</t>
        </is>
      </c>
      <c r="M75" s="6" t="inlineStr">
        <is>
          <t>ANDE</t>
        </is>
      </c>
      <c r="N75" s="6" t="inlineStr">
        <is>
          <t>OFFICIAL_PRIMARY</t>
        </is>
      </c>
      <c r="O75" s="9" t="inlineStr">
        <is>
          <t>OFFICIAL_AGGREGATE</t>
        </is>
      </c>
      <c r="P75" s="8" t="n">
        <v>1</v>
      </c>
      <c r="Q75" s="8" t="n">
        <v>50</v>
      </c>
      <c r="R75" s="7" t="inlineStr">
        <is>
          <t>https://www.ande.gov.py/finanzas/ANDE%20-%20Resumen%20Estad%C3%ADstico%202020%20-%202024.pdf</t>
        </is>
      </c>
      <c r="S75" s="6" t="inlineStr">
        <is>
          <t>ANDE-STAT-2020-2024</t>
        </is>
      </c>
      <c r="T75" s="6" t="inlineStr"/>
      <c r="U75" s="4" t="inlineStr">
        <is>
          <t>2026-09-10 23:00:00</t>
        </is>
      </c>
      <c r="V75" s="4" t="inlineStr">
        <is>
          <t>Sistema/region: Este.</t>
        </is>
      </c>
    </row>
    <row r="76">
      <c r="A76" s="6" t="inlineStr">
        <is>
          <t>R0000075</t>
        </is>
      </c>
      <c r="B76" s="6" t="inlineStr">
        <is>
          <t>2022-01-01</t>
        </is>
      </c>
      <c r="C76" s="6" t="inlineStr">
        <is>
          <t>2022-12-31</t>
        </is>
      </c>
      <c r="D76" s="6" t="inlineStr">
        <is>
          <t>year</t>
        </is>
      </c>
      <c r="E76" s="6" t="inlineStr">
        <is>
          <t>PY_REGION_ENERGY</t>
        </is>
      </c>
      <c r="F76" s="6" t="inlineStr">
        <is>
          <t>PY_REGION_ESTE</t>
        </is>
      </c>
      <c r="G76" s="6" t="inlineStr">
        <is>
          <t>PY</t>
        </is>
      </c>
      <c r="H76" s="6" t="inlineStr">
        <is>
          <t>PY</t>
        </is>
      </c>
      <c r="I76" s="8" t="n">
        <v>3414894</v>
      </c>
      <c r="J76" s="6" t="inlineStr">
        <is>
          <t>MWh</t>
        </is>
      </c>
      <c r="K76" s="8" t="n">
        <v>3414894</v>
      </c>
      <c r="L76" s="6" t="inlineStr">
        <is>
          <t>MWh</t>
        </is>
      </c>
      <c r="M76" s="6" t="inlineStr">
        <is>
          <t>ANDE</t>
        </is>
      </c>
      <c r="N76" s="6" t="inlineStr">
        <is>
          <t>OFFICIAL_PRIMARY</t>
        </is>
      </c>
      <c r="O76" s="9" t="inlineStr">
        <is>
          <t>OFFICIAL_AGGREGATE</t>
        </is>
      </c>
      <c r="P76" s="8" t="n">
        <v>1</v>
      </c>
      <c r="Q76" s="8" t="n">
        <v>50</v>
      </c>
      <c r="R76" s="7" t="inlineStr">
        <is>
          <t>https://www.ande.gov.py/finanzas/ANDE%20-%20Resumen%20Estad%C3%ADstico%202020%20-%202024.pdf</t>
        </is>
      </c>
      <c r="S76" s="6" t="inlineStr">
        <is>
          <t>ANDE-STAT-2020-2024</t>
        </is>
      </c>
      <c r="T76" s="6" t="inlineStr"/>
      <c r="U76" s="4" t="inlineStr">
        <is>
          <t>2026-09-10 23:00:00</t>
        </is>
      </c>
      <c r="V76" s="4" t="inlineStr">
        <is>
          <t>Sistema/region: Este.</t>
        </is>
      </c>
    </row>
    <row r="77">
      <c r="A77" s="6" t="inlineStr">
        <is>
          <t>R0000076</t>
        </is>
      </c>
      <c r="B77" s="6" t="inlineStr">
        <is>
          <t>2023-01-01</t>
        </is>
      </c>
      <c r="C77" s="6" t="inlineStr">
        <is>
          <t>2023-12-31</t>
        </is>
      </c>
      <c r="D77" s="6" t="inlineStr">
        <is>
          <t>year</t>
        </is>
      </c>
      <c r="E77" s="6" t="inlineStr">
        <is>
          <t>PY_REGION_ENERGY</t>
        </is>
      </c>
      <c r="F77" s="6" t="inlineStr">
        <is>
          <t>PY_REGION_ESTE</t>
        </is>
      </c>
      <c r="G77" s="6" t="inlineStr">
        <is>
          <t>PY</t>
        </is>
      </c>
      <c r="H77" s="6" t="inlineStr">
        <is>
          <t>PY</t>
        </is>
      </c>
      <c r="I77" s="8" t="n">
        <v>3827806</v>
      </c>
      <c r="J77" s="6" t="inlineStr">
        <is>
          <t>MWh</t>
        </is>
      </c>
      <c r="K77" s="8" t="n">
        <v>3827806</v>
      </c>
      <c r="L77" s="6" t="inlineStr">
        <is>
          <t>MWh</t>
        </is>
      </c>
      <c r="M77" s="6" t="inlineStr">
        <is>
          <t>ANDE</t>
        </is>
      </c>
      <c r="N77" s="6" t="inlineStr">
        <is>
          <t>OFFICIAL_PRIMARY</t>
        </is>
      </c>
      <c r="O77" s="9" t="inlineStr">
        <is>
          <t>OFFICIAL_AGGREGATE</t>
        </is>
      </c>
      <c r="P77" s="8" t="n">
        <v>1</v>
      </c>
      <c r="Q77" s="8" t="n">
        <v>50</v>
      </c>
      <c r="R77" s="7" t="inlineStr">
        <is>
          <t>https://www.ande.gov.py/finanzas/ANDE%20-%20Resumen%20Estad%C3%ADstico%202020%20-%202024.pdf</t>
        </is>
      </c>
      <c r="S77" s="6" t="inlineStr">
        <is>
          <t>ANDE-STAT-2020-2024</t>
        </is>
      </c>
      <c r="T77" s="6" t="inlineStr"/>
      <c r="U77" s="4" t="inlineStr">
        <is>
          <t>2026-09-10 23:00:00</t>
        </is>
      </c>
      <c r="V77" s="4" t="inlineStr">
        <is>
          <t>Sistema/region: Este.</t>
        </is>
      </c>
    </row>
    <row r="78">
      <c r="A78" s="6" t="inlineStr">
        <is>
          <t>R0000077</t>
        </is>
      </c>
      <c r="B78" s="6" t="inlineStr">
        <is>
          <t>2024-01-01</t>
        </is>
      </c>
      <c r="C78" s="6" t="inlineStr">
        <is>
          <t>2024-12-31</t>
        </is>
      </c>
      <c r="D78" s="6" t="inlineStr">
        <is>
          <t>year</t>
        </is>
      </c>
      <c r="E78" s="6" t="inlineStr">
        <is>
          <t>PY_REGION_ENERGY</t>
        </is>
      </c>
      <c r="F78" s="6" t="inlineStr">
        <is>
          <t>PY_REGION_ESTE</t>
        </is>
      </c>
      <c r="G78" s="6" t="inlineStr">
        <is>
          <t>PY</t>
        </is>
      </c>
      <c r="H78" s="6" t="inlineStr">
        <is>
          <t>PY</t>
        </is>
      </c>
      <c r="I78" s="8" t="n">
        <v>5743596</v>
      </c>
      <c r="J78" s="6" t="inlineStr">
        <is>
          <t>MWh</t>
        </is>
      </c>
      <c r="K78" s="8" t="n">
        <v>5743596</v>
      </c>
      <c r="L78" s="6" t="inlineStr">
        <is>
          <t>MWh</t>
        </is>
      </c>
      <c r="M78" s="6" t="inlineStr">
        <is>
          <t>ANDE</t>
        </is>
      </c>
      <c r="N78" s="6" t="inlineStr">
        <is>
          <t>OFFICIAL_PRIMARY</t>
        </is>
      </c>
      <c r="O78" s="9" t="inlineStr">
        <is>
          <t>OFFICIAL_AGGREGATE</t>
        </is>
      </c>
      <c r="P78" s="8" t="n">
        <v>1</v>
      </c>
      <c r="Q78" s="8" t="n">
        <v>50</v>
      </c>
      <c r="R78" s="7" t="inlineStr">
        <is>
          <t>https://www.ande.gov.py/finanzas/ANDE%20-%20Resumen%20Estad%C3%ADstico%202020%20-%202024.pdf</t>
        </is>
      </c>
      <c r="S78" s="6" t="inlineStr">
        <is>
          <t>ANDE-STAT-2020-2024</t>
        </is>
      </c>
      <c r="T78" s="6" t="inlineStr"/>
      <c r="U78" s="4" t="inlineStr">
        <is>
          <t>2026-09-10 23:00:00</t>
        </is>
      </c>
      <c r="V78" s="4" t="inlineStr">
        <is>
          <t>Sistema/region: Este.</t>
        </is>
      </c>
    </row>
    <row r="79">
      <c r="A79" s="6" t="inlineStr">
        <is>
          <t>R0000078</t>
        </is>
      </c>
      <c r="B79" s="6" t="inlineStr">
        <is>
          <t>2020-01-01</t>
        </is>
      </c>
      <c r="C79" s="6" t="inlineStr">
        <is>
          <t>2020-12-31</t>
        </is>
      </c>
      <c r="D79" s="6" t="inlineStr">
        <is>
          <t>year</t>
        </is>
      </c>
      <c r="E79" s="6" t="inlineStr">
        <is>
          <t>PY_REGION_ENERGY</t>
        </is>
      </c>
      <c r="F79" s="6" t="inlineStr">
        <is>
          <t>PY_REGION_OESTE</t>
        </is>
      </c>
      <c r="G79" s="6" t="inlineStr">
        <is>
          <t>PY</t>
        </is>
      </c>
      <c r="H79" s="6" t="inlineStr">
        <is>
          <t>PY</t>
        </is>
      </c>
      <c r="I79" s="8" t="n">
        <v>284562</v>
      </c>
      <c r="J79" s="6" t="inlineStr">
        <is>
          <t>MWh</t>
        </is>
      </c>
      <c r="K79" s="8" t="n">
        <v>284562</v>
      </c>
      <c r="L79" s="6" t="inlineStr">
        <is>
          <t>MWh</t>
        </is>
      </c>
      <c r="M79" s="6" t="inlineStr">
        <is>
          <t>ANDE</t>
        </is>
      </c>
      <c r="N79" s="6" t="inlineStr">
        <is>
          <t>OFFICIAL_PRIMARY</t>
        </is>
      </c>
      <c r="O79" s="9" t="inlineStr">
        <is>
          <t>OFFICIAL_AGGREGATE</t>
        </is>
      </c>
      <c r="P79" s="8" t="n">
        <v>1</v>
      </c>
      <c r="Q79" s="8" t="n">
        <v>50</v>
      </c>
      <c r="R79" s="7" t="inlineStr">
        <is>
          <t>https://www.ande.gov.py/finanzas/ANDE%20-%20Resumen%20Estad%C3%ADstico%202020%20-%202024.pdf</t>
        </is>
      </c>
      <c r="S79" s="6" t="inlineStr">
        <is>
          <t>ANDE-STAT-2020-2024</t>
        </is>
      </c>
      <c r="T79" s="6" t="inlineStr"/>
      <c r="U79" s="4" t="inlineStr">
        <is>
          <t>2026-09-10 23:00:00</t>
        </is>
      </c>
      <c r="V79" s="4" t="inlineStr">
        <is>
          <t>Sistema/region: Oeste.</t>
        </is>
      </c>
    </row>
    <row r="80">
      <c r="A80" s="6" t="inlineStr">
        <is>
          <t>R0000079</t>
        </is>
      </c>
      <c r="B80" s="6" t="inlineStr">
        <is>
          <t>2021-01-01</t>
        </is>
      </c>
      <c r="C80" s="6" t="inlineStr">
        <is>
          <t>2021-12-31</t>
        </is>
      </c>
      <c r="D80" s="6" t="inlineStr">
        <is>
          <t>year</t>
        </is>
      </c>
      <c r="E80" s="6" t="inlineStr">
        <is>
          <t>PY_REGION_ENERGY</t>
        </is>
      </c>
      <c r="F80" s="6" t="inlineStr">
        <is>
          <t>PY_REGION_OESTE</t>
        </is>
      </c>
      <c r="G80" s="6" t="inlineStr">
        <is>
          <t>PY</t>
        </is>
      </c>
      <c r="H80" s="6" t="inlineStr">
        <is>
          <t>PY</t>
        </is>
      </c>
      <c r="I80" s="8" t="n">
        <v>302320</v>
      </c>
      <c r="J80" s="6" t="inlineStr">
        <is>
          <t>MWh</t>
        </is>
      </c>
      <c r="K80" s="8" t="n">
        <v>302320</v>
      </c>
      <c r="L80" s="6" t="inlineStr">
        <is>
          <t>MWh</t>
        </is>
      </c>
      <c r="M80" s="6" t="inlineStr">
        <is>
          <t>ANDE</t>
        </is>
      </c>
      <c r="N80" s="6" t="inlineStr">
        <is>
          <t>OFFICIAL_PRIMARY</t>
        </is>
      </c>
      <c r="O80" s="9" t="inlineStr">
        <is>
          <t>OFFICIAL_AGGREGATE</t>
        </is>
      </c>
      <c r="P80" s="8" t="n">
        <v>1</v>
      </c>
      <c r="Q80" s="8" t="n">
        <v>50</v>
      </c>
      <c r="R80" s="7" t="inlineStr">
        <is>
          <t>https://www.ande.gov.py/finanzas/ANDE%20-%20Resumen%20Estad%C3%ADstico%202020%20-%202024.pdf</t>
        </is>
      </c>
      <c r="S80" s="6" t="inlineStr">
        <is>
          <t>ANDE-STAT-2020-2024</t>
        </is>
      </c>
      <c r="T80" s="6" t="inlineStr"/>
      <c r="U80" s="4" t="inlineStr">
        <is>
          <t>2026-09-10 23:00:00</t>
        </is>
      </c>
      <c r="V80" s="4" t="inlineStr">
        <is>
          <t>Sistema/region: Oeste.</t>
        </is>
      </c>
    </row>
    <row r="81">
      <c r="A81" s="6" t="inlineStr">
        <is>
          <t>R0000080</t>
        </is>
      </c>
      <c r="B81" s="6" t="inlineStr">
        <is>
          <t>2022-01-01</t>
        </is>
      </c>
      <c r="C81" s="6" t="inlineStr">
        <is>
          <t>2022-12-31</t>
        </is>
      </c>
      <c r="D81" s="6" t="inlineStr">
        <is>
          <t>year</t>
        </is>
      </c>
      <c r="E81" s="6" t="inlineStr">
        <is>
          <t>PY_REGION_ENERGY</t>
        </is>
      </c>
      <c r="F81" s="6" t="inlineStr">
        <is>
          <t>PY_REGION_OESTE</t>
        </is>
      </c>
      <c r="G81" s="6" t="inlineStr">
        <is>
          <t>PY</t>
        </is>
      </c>
      <c r="H81" s="6" t="inlineStr">
        <is>
          <t>PY</t>
        </is>
      </c>
      <c r="I81" s="8" t="n">
        <v>330964</v>
      </c>
      <c r="J81" s="6" t="inlineStr">
        <is>
          <t>MWh</t>
        </is>
      </c>
      <c r="K81" s="8" t="n">
        <v>330964</v>
      </c>
      <c r="L81" s="6" t="inlineStr">
        <is>
          <t>MWh</t>
        </is>
      </c>
      <c r="M81" s="6" t="inlineStr">
        <is>
          <t>ANDE</t>
        </is>
      </c>
      <c r="N81" s="6" t="inlineStr">
        <is>
          <t>OFFICIAL_PRIMARY</t>
        </is>
      </c>
      <c r="O81" s="9" t="inlineStr">
        <is>
          <t>OFFICIAL_AGGREGATE</t>
        </is>
      </c>
      <c r="P81" s="8" t="n">
        <v>1</v>
      </c>
      <c r="Q81" s="8" t="n">
        <v>50</v>
      </c>
      <c r="R81" s="7" t="inlineStr">
        <is>
          <t>https://www.ande.gov.py/finanzas/ANDE%20-%20Resumen%20Estad%C3%ADstico%202020%20-%202024.pdf</t>
        </is>
      </c>
      <c r="S81" s="6" t="inlineStr">
        <is>
          <t>ANDE-STAT-2020-2024</t>
        </is>
      </c>
      <c r="T81" s="6" t="inlineStr"/>
      <c r="U81" s="4" t="inlineStr">
        <is>
          <t>2026-09-10 23:00:00</t>
        </is>
      </c>
      <c r="V81" s="4" t="inlineStr">
        <is>
          <t>Sistema/region: Oeste.</t>
        </is>
      </c>
    </row>
    <row r="82">
      <c r="A82" s="6" t="inlineStr">
        <is>
          <t>R0000081</t>
        </is>
      </c>
      <c r="B82" s="6" t="inlineStr">
        <is>
          <t>2023-01-01</t>
        </is>
      </c>
      <c r="C82" s="6" t="inlineStr">
        <is>
          <t>2023-12-31</t>
        </is>
      </c>
      <c r="D82" s="6" t="inlineStr">
        <is>
          <t>year</t>
        </is>
      </c>
      <c r="E82" s="6" t="inlineStr">
        <is>
          <t>PY_REGION_ENERGY</t>
        </is>
      </c>
      <c r="F82" s="6" t="inlineStr">
        <is>
          <t>PY_REGION_OESTE</t>
        </is>
      </c>
      <c r="G82" s="6" t="inlineStr">
        <is>
          <t>PY</t>
        </is>
      </c>
      <c r="H82" s="6" t="inlineStr">
        <is>
          <t>PY</t>
        </is>
      </c>
      <c r="I82" s="8" t="n">
        <v>400481</v>
      </c>
      <c r="J82" s="6" t="inlineStr">
        <is>
          <t>MWh</t>
        </is>
      </c>
      <c r="K82" s="8" t="n">
        <v>400481</v>
      </c>
      <c r="L82" s="6" t="inlineStr">
        <is>
          <t>MWh</t>
        </is>
      </c>
      <c r="M82" s="6" t="inlineStr">
        <is>
          <t>ANDE</t>
        </is>
      </c>
      <c r="N82" s="6" t="inlineStr">
        <is>
          <t>OFFICIAL_PRIMARY</t>
        </is>
      </c>
      <c r="O82" s="9" t="inlineStr">
        <is>
          <t>OFFICIAL_AGGREGATE</t>
        </is>
      </c>
      <c r="P82" s="8" t="n">
        <v>1</v>
      </c>
      <c r="Q82" s="8" t="n">
        <v>50</v>
      </c>
      <c r="R82" s="7" t="inlineStr">
        <is>
          <t>https://www.ande.gov.py/finanzas/ANDE%20-%20Resumen%20Estad%C3%ADstico%202020%20-%202024.pdf</t>
        </is>
      </c>
      <c r="S82" s="6" t="inlineStr">
        <is>
          <t>ANDE-STAT-2020-2024</t>
        </is>
      </c>
      <c r="T82" s="6" t="inlineStr"/>
      <c r="U82" s="4" t="inlineStr">
        <is>
          <t>2026-09-10 23:00:00</t>
        </is>
      </c>
      <c r="V82" s="4" t="inlineStr">
        <is>
          <t>Sistema/region: Oeste.</t>
        </is>
      </c>
    </row>
    <row r="83">
      <c r="A83" s="6" t="inlineStr">
        <is>
          <t>R0000082</t>
        </is>
      </c>
      <c r="B83" s="6" t="inlineStr">
        <is>
          <t>2024-01-01</t>
        </is>
      </c>
      <c r="C83" s="6" t="inlineStr">
        <is>
          <t>2024-12-31</t>
        </is>
      </c>
      <c r="D83" s="6" t="inlineStr">
        <is>
          <t>year</t>
        </is>
      </c>
      <c r="E83" s="6" t="inlineStr">
        <is>
          <t>PY_REGION_ENERGY</t>
        </is>
      </c>
      <c r="F83" s="6" t="inlineStr">
        <is>
          <t>PY_REGION_OESTE</t>
        </is>
      </c>
      <c r="G83" s="6" t="inlineStr">
        <is>
          <t>PY</t>
        </is>
      </c>
      <c r="H83" s="6" t="inlineStr">
        <is>
          <t>PY</t>
        </is>
      </c>
      <c r="I83" s="8" t="n">
        <v>419890</v>
      </c>
      <c r="J83" s="6" t="inlineStr">
        <is>
          <t>MWh</t>
        </is>
      </c>
      <c r="K83" s="8" t="n">
        <v>419890</v>
      </c>
      <c r="L83" s="6" t="inlineStr">
        <is>
          <t>MWh</t>
        </is>
      </c>
      <c r="M83" s="6" t="inlineStr">
        <is>
          <t>ANDE</t>
        </is>
      </c>
      <c r="N83" s="6" t="inlineStr">
        <is>
          <t>OFFICIAL_PRIMARY</t>
        </is>
      </c>
      <c r="O83" s="9" t="inlineStr">
        <is>
          <t>OFFICIAL_AGGREGATE</t>
        </is>
      </c>
      <c r="P83" s="8" t="n">
        <v>1</v>
      </c>
      <c r="Q83" s="8" t="n">
        <v>50</v>
      </c>
      <c r="R83" s="7" t="inlineStr">
        <is>
          <t>https://www.ande.gov.py/finanzas/ANDE%20-%20Resumen%20Estad%C3%ADstico%202020%20-%202024.pdf</t>
        </is>
      </c>
      <c r="S83" s="6" t="inlineStr">
        <is>
          <t>ANDE-STAT-2020-2024</t>
        </is>
      </c>
      <c r="T83" s="6" t="inlineStr"/>
      <c r="U83" s="4" t="inlineStr">
        <is>
          <t>2026-09-10 23:00:00</t>
        </is>
      </c>
      <c r="V83" s="4" t="inlineStr">
        <is>
          <t>Sistema/region: Oeste.</t>
        </is>
      </c>
    </row>
    <row r="84">
      <c r="A84" s="6" t="inlineStr">
        <is>
          <t>R0000083</t>
        </is>
      </c>
      <c r="B84" s="6" t="inlineStr">
        <is>
          <t>2020-01-01</t>
        </is>
      </c>
      <c r="C84" s="6" t="inlineStr">
        <is>
          <t>2020-12-31</t>
        </is>
      </c>
      <c r="D84" s="6" t="inlineStr">
        <is>
          <t>year</t>
        </is>
      </c>
      <c r="E84" s="6" t="inlineStr">
        <is>
          <t>PY_SYSTEMS_ENERGY</t>
        </is>
      </c>
      <c r="F84" s="6" t="inlineStr">
        <is>
          <t>PY_SIN</t>
        </is>
      </c>
      <c r="G84" s="6" t="inlineStr">
        <is>
          <t>PY</t>
        </is>
      </c>
      <c r="H84" s="6" t="inlineStr">
        <is>
          <t>PY</t>
        </is>
      </c>
      <c r="I84" s="8" t="n">
        <v>17044023</v>
      </c>
      <c r="J84" s="6" t="inlineStr">
        <is>
          <t>MWh</t>
        </is>
      </c>
      <c r="K84" s="8" t="n">
        <v>17044023</v>
      </c>
      <c r="L84" s="6" t="inlineStr">
        <is>
          <t>MWh</t>
        </is>
      </c>
      <c r="M84" s="6" t="inlineStr">
        <is>
          <t>ANDE</t>
        </is>
      </c>
      <c r="N84" s="6" t="inlineStr">
        <is>
          <t>OFFICIAL_PRIMARY</t>
        </is>
      </c>
      <c r="O84" s="9" t="inlineStr">
        <is>
          <t>OFFICIAL_AGGREGATE</t>
        </is>
      </c>
      <c r="P84" s="8" t="n">
        <v>1</v>
      </c>
      <c r="Q84" s="8" t="n">
        <v>50</v>
      </c>
      <c r="R84" s="7" t="inlineStr">
        <is>
          <t>https://www.ande.gov.py/finanzas/ANDE%20-%20Resumen%20Estad%C3%ADstico%202020%20-%202024.pdf</t>
        </is>
      </c>
      <c r="S84" s="6" t="inlineStr">
        <is>
          <t>ANDE-STAT-2020-2024</t>
        </is>
      </c>
      <c r="T84" s="6" t="inlineStr"/>
      <c r="U84" s="4" t="inlineStr">
        <is>
          <t>2026-09-10 23:00:00</t>
        </is>
      </c>
      <c r="V84" s="4" t="inlineStr">
        <is>
          <t>Sistema/region: Total Sistemas.</t>
        </is>
      </c>
    </row>
    <row r="85">
      <c r="A85" s="6" t="inlineStr">
        <is>
          <t>R0000084</t>
        </is>
      </c>
      <c r="B85" s="6" t="inlineStr">
        <is>
          <t>2021-01-01</t>
        </is>
      </c>
      <c r="C85" s="6" t="inlineStr">
        <is>
          <t>2021-12-31</t>
        </is>
      </c>
      <c r="D85" s="6" t="inlineStr">
        <is>
          <t>year</t>
        </is>
      </c>
      <c r="E85" s="6" t="inlineStr">
        <is>
          <t>PY_SYSTEMS_ENERGY</t>
        </is>
      </c>
      <c r="F85" s="6" t="inlineStr">
        <is>
          <t>PY_SIN</t>
        </is>
      </c>
      <c r="G85" s="6" t="inlineStr">
        <is>
          <t>PY</t>
        </is>
      </c>
      <c r="H85" s="6" t="inlineStr">
        <is>
          <t>PY</t>
        </is>
      </c>
      <c r="I85" s="8" t="n">
        <v>17695402</v>
      </c>
      <c r="J85" s="6" t="inlineStr">
        <is>
          <t>MWh</t>
        </is>
      </c>
      <c r="K85" s="8" t="n">
        <v>17695402</v>
      </c>
      <c r="L85" s="6" t="inlineStr">
        <is>
          <t>MWh</t>
        </is>
      </c>
      <c r="M85" s="6" t="inlineStr">
        <is>
          <t>ANDE</t>
        </is>
      </c>
      <c r="N85" s="6" t="inlineStr">
        <is>
          <t>OFFICIAL_PRIMARY</t>
        </is>
      </c>
      <c r="O85" s="9" t="inlineStr">
        <is>
          <t>OFFICIAL_AGGREGATE</t>
        </is>
      </c>
      <c r="P85" s="8" t="n">
        <v>1</v>
      </c>
      <c r="Q85" s="8" t="n">
        <v>50</v>
      </c>
      <c r="R85" s="7" t="inlineStr">
        <is>
          <t>https://www.ande.gov.py/finanzas/ANDE%20-%20Resumen%20Estad%C3%ADstico%202020%20-%202024.pdf</t>
        </is>
      </c>
      <c r="S85" s="6" t="inlineStr">
        <is>
          <t>ANDE-STAT-2020-2024</t>
        </is>
      </c>
      <c r="T85" s="6" t="inlineStr"/>
      <c r="U85" s="4" t="inlineStr">
        <is>
          <t>2026-09-10 23:00:00</t>
        </is>
      </c>
      <c r="V85" s="4" t="inlineStr">
        <is>
          <t>Sistema/region: Total Sistemas.</t>
        </is>
      </c>
    </row>
    <row r="86">
      <c r="A86" s="6" t="inlineStr">
        <is>
          <t>R0000085</t>
        </is>
      </c>
      <c r="B86" s="6" t="inlineStr">
        <is>
          <t>2022-01-01</t>
        </is>
      </c>
      <c r="C86" s="6" t="inlineStr">
        <is>
          <t>2022-12-31</t>
        </is>
      </c>
      <c r="D86" s="6" t="inlineStr">
        <is>
          <t>year</t>
        </is>
      </c>
      <c r="E86" s="6" t="inlineStr">
        <is>
          <t>PY_SYSTEMS_ENERGY</t>
        </is>
      </c>
      <c r="F86" s="6" t="inlineStr">
        <is>
          <t>PY_SIN</t>
        </is>
      </c>
      <c r="G86" s="6" t="inlineStr">
        <is>
          <t>PY</t>
        </is>
      </c>
      <c r="H86" s="6" t="inlineStr">
        <is>
          <t>PY</t>
        </is>
      </c>
      <c r="I86" s="8" t="n">
        <v>18611884</v>
      </c>
      <c r="J86" s="6" t="inlineStr">
        <is>
          <t>MWh</t>
        </is>
      </c>
      <c r="K86" s="8" t="n">
        <v>18611884</v>
      </c>
      <c r="L86" s="6" t="inlineStr">
        <is>
          <t>MWh</t>
        </is>
      </c>
      <c r="M86" s="6" t="inlineStr">
        <is>
          <t>ANDE</t>
        </is>
      </c>
      <c r="N86" s="6" t="inlineStr">
        <is>
          <t>OFFICIAL_PRIMARY</t>
        </is>
      </c>
      <c r="O86" s="9" t="inlineStr">
        <is>
          <t>OFFICIAL_AGGREGATE</t>
        </is>
      </c>
      <c r="P86" s="8" t="n">
        <v>1</v>
      </c>
      <c r="Q86" s="8" t="n">
        <v>50</v>
      </c>
      <c r="R86" s="7" t="inlineStr">
        <is>
          <t>https://www.ande.gov.py/finanzas/ANDE%20-%20Resumen%20Estad%C3%ADstico%202020%20-%202024.pdf</t>
        </is>
      </c>
      <c r="S86" s="6" t="inlineStr">
        <is>
          <t>ANDE-STAT-2020-2024</t>
        </is>
      </c>
      <c r="T86" s="6" t="inlineStr"/>
      <c r="U86" s="4" t="inlineStr">
        <is>
          <t>2026-09-10 23:00:00</t>
        </is>
      </c>
      <c r="V86" s="4" t="inlineStr">
        <is>
          <t>Sistema/region: Total Sistemas.</t>
        </is>
      </c>
    </row>
    <row r="87">
      <c r="A87" s="6" t="inlineStr">
        <is>
          <t>R0000086</t>
        </is>
      </c>
      <c r="B87" s="6" t="inlineStr">
        <is>
          <t>2023-01-01</t>
        </is>
      </c>
      <c r="C87" s="6" t="inlineStr">
        <is>
          <t>2023-12-31</t>
        </is>
      </c>
      <c r="D87" s="6" t="inlineStr">
        <is>
          <t>year</t>
        </is>
      </c>
      <c r="E87" s="6" t="inlineStr">
        <is>
          <t>PY_SYSTEMS_ENERGY</t>
        </is>
      </c>
      <c r="F87" s="6" t="inlineStr">
        <is>
          <t>PY_SIN</t>
        </is>
      </c>
      <c r="G87" s="6" t="inlineStr">
        <is>
          <t>PY</t>
        </is>
      </c>
      <c r="H87" s="6" t="inlineStr">
        <is>
          <t>PY</t>
        </is>
      </c>
      <c r="I87" s="8" t="n">
        <v>20934552</v>
      </c>
      <c r="J87" s="6" t="inlineStr">
        <is>
          <t>MWh</t>
        </is>
      </c>
      <c r="K87" s="8" t="n">
        <v>20934552</v>
      </c>
      <c r="L87" s="6" t="inlineStr">
        <is>
          <t>MWh</t>
        </is>
      </c>
      <c r="M87" s="6" t="inlineStr">
        <is>
          <t>ANDE</t>
        </is>
      </c>
      <c r="N87" s="6" t="inlineStr">
        <is>
          <t>OFFICIAL_PRIMARY</t>
        </is>
      </c>
      <c r="O87" s="9" t="inlineStr">
        <is>
          <t>OFFICIAL_AGGREGATE</t>
        </is>
      </c>
      <c r="P87" s="8" t="n">
        <v>1</v>
      </c>
      <c r="Q87" s="8" t="n">
        <v>50</v>
      </c>
      <c r="R87" s="7" t="inlineStr">
        <is>
          <t>https://www.ande.gov.py/finanzas/ANDE%20-%20Resumen%20Estad%C3%ADstico%202020%20-%202024.pdf</t>
        </is>
      </c>
      <c r="S87" s="6" t="inlineStr">
        <is>
          <t>ANDE-STAT-2020-2024</t>
        </is>
      </c>
      <c r="T87" s="6" t="inlineStr"/>
      <c r="U87" s="4" t="inlineStr">
        <is>
          <t>2026-09-10 23:00:00</t>
        </is>
      </c>
      <c r="V87" s="4" t="inlineStr">
        <is>
          <t>Sistema/region: Total Sistemas.</t>
        </is>
      </c>
    </row>
    <row r="88">
      <c r="A88" s="6" t="inlineStr">
        <is>
          <t>R0000087</t>
        </is>
      </c>
      <c r="B88" s="6" t="inlineStr">
        <is>
          <t>2024-01-01</t>
        </is>
      </c>
      <c r="C88" s="6" t="inlineStr">
        <is>
          <t>2024-12-31</t>
        </is>
      </c>
      <c r="D88" s="6" t="inlineStr">
        <is>
          <t>year</t>
        </is>
      </c>
      <c r="E88" s="6" t="inlineStr">
        <is>
          <t>PY_SYSTEMS_ENERGY</t>
        </is>
      </c>
      <c r="F88" s="6" t="inlineStr">
        <is>
          <t>PY_SIN</t>
        </is>
      </c>
      <c r="G88" s="6" t="inlineStr">
        <is>
          <t>PY</t>
        </is>
      </c>
      <c r="H88" s="6" t="inlineStr">
        <is>
          <t>PY</t>
        </is>
      </c>
      <c r="I88" s="8" t="n">
        <v>24930784</v>
      </c>
      <c r="J88" s="6" t="inlineStr">
        <is>
          <t>MWh</t>
        </is>
      </c>
      <c r="K88" s="8" t="n">
        <v>24930784</v>
      </c>
      <c r="L88" s="6" t="inlineStr">
        <is>
          <t>MWh</t>
        </is>
      </c>
      <c r="M88" s="6" t="inlineStr">
        <is>
          <t>ANDE</t>
        </is>
      </c>
      <c r="N88" s="6" t="inlineStr">
        <is>
          <t>OFFICIAL_PRIMARY</t>
        </is>
      </c>
      <c r="O88" s="9" t="inlineStr">
        <is>
          <t>OFFICIAL_AGGREGATE</t>
        </is>
      </c>
      <c r="P88" s="8" t="n">
        <v>1</v>
      </c>
      <c r="Q88" s="8" t="n">
        <v>50</v>
      </c>
      <c r="R88" s="7" t="inlineStr">
        <is>
          <t>https://www.ande.gov.py/finanzas/ANDE%20-%20Resumen%20Estad%C3%ADstico%202020%20-%202024.pdf</t>
        </is>
      </c>
      <c r="S88" s="6" t="inlineStr">
        <is>
          <t>ANDE-STAT-2020-2024</t>
        </is>
      </c>
      <c r="T88" s="6" t="inlineStr"/>
      <c r="U88" s="4" t="inlineStr">
        <is>
          <t>2026-09-10 23:00:00</t>
        </is>
      </c>
      <c r="V88" s="4" t="inlineStr">
        <is>
          <t>Sistema/region: Total Sistemas.</t>
        </is>
      </c>
    </row>
    <row r="89">
      <c r="A89" s="6" t="inlineStr">
        <is>
          <t>R0000088</t>
        </is>
      </c>
      <c r="B89" s="6" t="inlineStr">
        <is>
          <t>2020-01-01</t>
        </is>
      </c>
      <c r="C89" s="6" t="inlineStr">
        <is>
          <t>2020-12-31</t>
        </is>
      </c>
      <c r="D89" s="6" t="inlineStr">
        <is>
          <t>year</t>
        </is>
      </c>
      <c r="E89" s="6" t="inlineStr">
        <is>
          <t>PY_OWN_USE_GEN_TRANS</t>
        </is>
      </c>
      <c r="F89" s="6" t="inlineStr">
        <is>
          <t>PY_SIN</t>
        </is>
      </c>
      <c r="G89" s="6" t="inlineStr">
        <is>
          <t>PY</t>
        </is>
      </c>
      <c r="H89" s="6" t="inlineStr">
        <is>
          <t>PY</t>
        </is>
      </c>
      <c r="I89" s="8" t="n">
        <v>10977</v>
      </c>
      <c r="J89" s="6" t="inlineStr">
        <is>
          <t>MWh</t>
        </is>
      </c>
      <c r="K89" s="8" t="n">
        <v>10977</v>
      </c>
      <c r="L89" s="6" t="inlineStr">
        <is>
          <t>MWh</t>
        </is>
      </c>
      <c r="M89" s="6" t="inlineStr">
        <is>
          <t>ANDE</t>
        </is>
      </c>
      <c r="N89" s="6" t="inlineStr">
        <is>
          <t>OFFICIAL_PRIMARY</t>
        </is>
      </c>
      <c r="O89" s="9" t="inlineStr">
        <is>
          <t>OFFICIAL_AGGREGATE</t>
        </is>
      </c>
      <c r="P89" s="8" t="n">
        <v>1</v>
      </c>
      <c r="Q89" s="8" t="n">
        <v>50</v>
      </c>
      <c r="R89" s="7" t="inlineStr">
        <is>
          <t>https://www.ande.gov.py/finanzas/ANDE%20-%20Resumen%20Estad%C3%ADstico%202020%20-%202024.pdf</t>
        </is>
      </c>
      <c r="S89" s="6" t="inlineStr">
        <is>
          <t>ANDE-STAT-2020-2024</t>
        </is>
      </c>
      <c r="T89" s="6" t="inlineStr"/>
      <c r="U89" s="4" t="inlineStr">
        <is>
          <t>2026-09-10 23:00:00</t>
        </is>
      </c>
      <c r="V89" s="4" t="inlineStr">
        <is>
          <t>Sistema/region: Consumo propio Gen./Trans..</t>
        </is>
      </c>
    </row>
    <row r="90">
      <c r="A90" s="6" t="inlineStr">
        <is>
          <t>R0000089</t>
        </is>
      </c>
      <c r="B90" s="6" t="inlineStr">
        <is>
          <t>2021-01-01</t>
        </is>
      </c>
      <c r="C90" s="6" t="inlineStr">
        <is>
          <t>2021-12-31</t>
        </is>
      </c>
      <c r="D90" s="6" t="inlineStr">
        <is>
          <t>year</t>
        </is>
      </c>
      <c r="E90" s="6" t="inlineStr">
        <is>
          <t>PY_OWN_USE_GEN_TRANS</t>
        </is>
      </c>
      <c r="F90" s="6" t="inlineStr">
        <is>
          <t>PY_SIN</t>
        </is>
      </c>
      <c r="G90" s="6" t="inlineStr">
        <is>
          <t>PY</t>
        </is>
      </c>
      <c r="H90" s="6" t="inlineStr">
        <is>
          <t>PY</t>
        </is>
      </c>
      <c r="I90" s="8" t="n">
        <v>11364</v>
      </c>
      <c r="J90" s="6" t="inlineStr">
        <is>
          <t>MWh</t>
        </is>
      </c>
      <c r="K90" s="8" t="n">
        <v>11364</v>
      </c>
      <c r="L90" s="6" t="inlineStr">
        <is>
          <t>MWh</t>
        </is>
      </c>
      <c r="M90" s="6" t="inlineStr">
        <is>
          <t>ANDE</t>
        </is>
      </c>
      <c r="N90" s="6" t="inlineStr">
        <is>
          <t>OFFICIAL_PRIMARY</t>
        </is>
      </c>
      <c r="O90" s="9" t="inlineStr">
        <is>
          <t>OFFICIAL_AGGREGATE</t>
        </is>
      </c>
      <c r="P90" s="8" t="n">
        <v>1</v>
      </c>
      <c r="Q90" s="8" t="n">
        <v>50</v>
      </c>
      <c r="R90" s="7" t="inlineStr">
        <is>
          <t>https://www.ande.gov.py/finanzas/ANDE%20-%20Resumen%20Estad%C3%ADstico%202020%20-%202024.pdf</t>
        </is>
      </c>
      <c r="S90" s="6" t="inlineStr">
        <is>
          <t>ANDE-STAT-2020-2024</t>
        </is>
      </c>
      <c r="T90" s="6" t="inlineStr"/>
      <c r="U90" s="4" t="inlineStr">
        <is>
          <t>2026-09-10 23:00:00</t>
        </is>
      </c>
      <c r="V90" s="4" t="inlineStr">
        <is>
          <t>Sistema/region: Consumo propio Gen./Trans..</t>
        </is>
      </c>
    </row>
    <row r="91">
      <c r="A91" s="6" t="inlineStr">
        <is>
          <t>R0000090</t>
        </is>
      </c>
      <c r="B91" s="6" t="inlineStr">
        <is>
          <t>2022-01-01</t>
        </is>
      </c>
      <c r="C91" s="6" t="inlineStr">
        <is>
          <t>2022-12-31</t>
        </is>
      </c>
      <c r="D91" s="6" t="inlineStr">
        <is>
          <t>year</t>
        </is>
      </c>
      <c r="E91" s="6" t="inlineStr">
        <is>
          <t>PY_OWN_USE_GEN_TRANS</t>
        </is>
      </c>
      <c r="F91" s="6" t="inlineStr">
        <is>
          <t>PY_SIN</t>
        </is>
      </c>
      <c r="G91" s="6" t="inlineStr">
        <is>
          <t>PY</t>
        </is>
      </c>
      <c r="H91" s="6" t="inlineStr">
        <is>
          <t>PY</t>
        </is>
      </c>
      <c r="I91" s="8" t="n">
        <v>12696</v>
      </c>
      <c r="J91" s="6" t="inlineStr">
        <is>
          <t>MWh</t>
        </is>
      </c>
      <c r="K91" s="8" t="n">
        <v>12696</v>
      </c>
      <c r="L91" s="6" t="inlineStr">
        <is>
          <t>MWh</t>
        </is>
      </c>
      <c r="M91" s="6" t="inlineStr">
        <is>
          <t>ANDE</t>
        </is>
      </c>
      <c r="N91" s="6" t="inlineStr">
        <is>
          <t>OFFICIAL_PRIMARY</t>
        </is>
      </c>
      <c r="O91" s="9" t="inlineStr">
        <is>
          <t>OFFICIAL_AGGREGATE</t>
        </is>
      </c>
      <c r="P91" s="8" t="n">
        <v>1</v>
      </c>
      <c r="Q91" s="8" t="n">
        <v>50</v>
      </c>
      <c r="R91" s="7" t="inlineStr">
        <is>
          <t>https://www.ande.gov.py/finanzas/ANDE%20-%20Resumen%20Estad%C3%ADstico%202020%20-%202024.pdf</t>
        </is>
      </c>
      <c r="S91" s="6" t="inlineStr">
        <is>
          <t>ANDE-STAT-2020-2024</t>
        </is>
      </c>
      <c r="T91" s="6" t="inlineStr"/>
      <c r="U91" s="4" t="inlineStr">
        <is>
          <t>2026-09-10 23:00:00</t>
        </is>
      </c>
      <c r="V91" s="4" t="inlineStr">
        <is>
          <t>Sistema/region: Consumo propio Gen./Trans..</t>
        </is>
      </c>
    </row>
    <row r="92">
      <c r="A92" s="6" t="inlineStr">
        <is>
          <t>R0000091</t>
        </is>
      </c>
      <c r="B92" s="6" t="inlineStr">
        <is>
          <t>2023-01-01</t>
        </is>
      </c>
      <c r="C92" s="6" t="inlineStr">
        <is>
          <t>2023-12-31</t>
        </is>
      </c>
      <c r="D92" s="6" t="inlineStr">
        <is>
          <t>year</t>
        </is>
      </c>
      <c r="E92" s="6" t="inlineStr">
        <is>
          <t>PY_OWN_USE_GEN_TRANS</t>
        </is>
      </c>
      <c r="F92" s="6" t="inlineStr">
        <is>
          <t>PY_SIN</t>
        </is>
      </c>
      <c r="G92" s="6" t="inlineStr">
        <is>
          <t>PY</t>
        </is>
      </c>
      <c r="H92" s="6" t="inlineStr">
        <is>
          <t>PY</t>
        </is>
      </c>
      <c r="I92" s="8" t="n">
        <v>14978</v>
      </c>
      <c r="J92" s="6" t="inlineStr">
        <is>
          <t>MWh</t>
        </is>
      </c>
      <c r="K92" s="8" t="n">
        <v>14978</v>
      </c>
      <c r="L92" s="6" t="inlineStr">
        <is>
          <t>MWh</t>
        </is>
      </c>
      <c r="M92" s="6" t="inlineStr">
        <is>
          <t>ANDE</t>
        </is>
      </c>
      <c r="N92" s="6" t="inlineStr">
        <is>
          <t>OFFICIAL_PRIMARY</t>
        </is>
      </c>
      <c r="O92" s="9" t="inlineStr">
        <is>
          <t>OFFICIAL_AGGREGATE</t>
        </is>
      </c>
      <c r="P92" s="8" t="n">
        <v>1</v>
      </c>
      <c r="Q92" s="8" t="n">
        <v>50</v>
      </c>
      <c r="R92" s="7" t="inlineStr">
        <is>
          <t>https://www.ande.gov.py/finanzas/ANDE%20-%20Resumen%20Estad%C3%ADstico%202020%20-%202024.pdf</t>
        </is>
      </c>
      <c r="S92" s="6" t="inlineStr">
        <is>
          <t>ANDE-STAT-2020-2024</t>
        </is>
      </c>
      <c r="T92" s="6" t="inlineStr"/>
      <c r="U92" s="4" t="inlineStr">
        <is>
          <t>2026-09-10 23:00:00</t>
        </is>
      </c>
      <c r="V92" s="4" t="inlineStr">
        <is>
          <t>Sistema/region: Consumo propio Gen./Trans..</t>
        </is>
      </c>
    </row>
    <row r="93">
      <c r="A93" s="6" t="inlineStr">
        <is>
          <t>R0000092</t>
        </is>
      </c>
      <c r="B93" s="6" t="inlineStr">
        <is>
          <t>2024-01-01</t>
        </is>
      </c>
      <c r="C93" s="6" t="inlineStr">
        <is>
          <t>2024-12-31</t>
        </is>
      </c>
      <c r="D93" s="6" t="inlineStr">
        <is>
          <t>year</t>
        </is>
      </c>
      <c r="E93" s="6" t="inlineStr">
        <is>
          <t>PY_OWN_USE_GEN_TRANS</t>
        </is>
      </c>
      <c r="F93" s="6" t="inlineStr">
        <is>
          <t>PY_SIN</t>
        </is>
      </c>
      <c r="G93" s="6" t="inlineStr">
        <is>
          <t>PY</t>
        </is>
      </c>
      <c r="H93" s="6" t="inlineStr">
        <is>
          <t>PY</t>
        </is>
      </c>
      <c r="I93" s="8" t="n">
        <v>16005</v>
      </c>
      <c r="J93" s="6" t="inlineStr">
        <is>
          <t>MWh</t>
        </is>
      </c>
      <c r="K93" s="8" t="n">
        <v>16005</v>
      </c>
      <c r="L93" s="6" t="inlineStr">
        <is>
          <t>MWh</t>
        </is>
      </c>
      <c r="M93" s="6" t="inlineStr">
        <is>
          <t>ANDE</t>
        </is>
      </c>
      <c r="N93" s="6" t="inlineStr">
        <is>
          <t>OFFICIAL_PRIMARY</t>
        </is>
      </c>
      <c r="O93" s="9" t="inlineStr">
        <is>
          <t>OFFICIAL_AGGREGATE</t>
        </is>
      </c>
      <c r="P93" s="8" t="n">
        <v>1</v>
      </c>
      <c r="Q93" s="8" t="n">
        <v>50</v>
      </c>
      <c r="R93" s="7" t="inlineStr">
        <is>
          <t>https://www.ande.gov.py/finanzas/ANDE%20-%20Resumen%20Estad%C3%ADstico%202020%20-%202024.pdf</t>
        </is>
      </c>
      <c r="S93" s="6" t="inlineStr">
        <is>
          <t>ANDE-STAT-2020-2024</t>
        </is>
      </c>
      <c r="T93" s="6" t="inlineStr"/>
      <c r="U93" s="4" t="inlineStr">
        <is>
          <t>2026-09-10 23:00:00</t>
        </is>
      </c>
      <c r="V93" s="4" t="inlineStr">
        <is>
          <t>Sistema/region: Consumo propio Gen./Trans..</t>
        </is>
      </c>
    </row>
    <row r="94">
      <c r="A94" s="6" t="inlineStr">
        <is>
          <t>R0000093</t>
        </is>
      </c>
      <c r="B94" s="6" t="inlineStr">
        <is>
          <t>2020-01-01</t>
        </is>
      </c>
      <c r="C94" s="6" t="inlineStr">
        <is>
          <t>2020-12-31</t>
        </is>
      </c>
      <c r="D94" s="6" t="inlineStr">
        <is>
          <t>year</t>
        </is>
      </c>
      <c r="E94" s="6" t="inlineStr">
        <is>
          <t>PY_TRANSMISSION_LOSSES</t>
        </is>
      </c>
      <c r="F94" s="6" t="inlineStr">
        <is>
          <t>PY_SIN</t>
        </is>
      </c>
      <c r="G94" s="6" t="inlineStr">
        <is>
          <t>PY</t>
        </is>
      </c>
      <c r="H94" s="6" t="inlineStr">
        <is>
          <t>PY</t>
        </is>
      </c>
      <c r="I94" s="8" t="n">
        <v>900575</v>
      </c>
      <c r="J94" s="6" t="inlineStr">
        <is>
          <t>MWh</t>
        </is>
      </c>
      <c r="K94" s="8" t="n">
        <v>900575</v>
      </c>
      <c r="L94" s="6" t="inlineStr">
        <is>
          <t>MWh</t>
        </is>
      </c>
      <c r="M94" s="6" t="inlineStr">
        <is>
          <t>ANDE</t>
        </is>
      </c>
      <c r="N94" s="6" t="inlineStr">
        <is>
          <t>OFFICIAL_PRIMARY</t>
        </is>
      </c>
      <c r="O94" s="9" t="inlineStr">
        <is>
          <t>OFFICIAL_AGGREGATE</t>
        </is>
      </c>
      <c r="P94" s="8" t="n">
        <v>1</v>
      </c>
      <c r="Q94" s="8" t="n">
        <v>50</v>
      </c>
      <c r="R94" s="7" t="inlineStr">
        <is>
          <t>https://www.ande.gov.py/finanzas/ANDE%20-%20Resumen%20Estad%C3%ADstico%202020%20-%202024.pdf</t>
        </is>
      </c>
      <c r="S94" s="6" t="inlineStr">
        <is>
          <t>ANDE-STAT-2020-2024</t>
        </is>
      </c>
      <c r="T94" s="6" t="inlineStr"/>
      <c r="U94" s="4" t="inlineStr">
        <is>
          <t>2026-09-10 23:00:00</t>
        </is>
      </c>
      <c r="V94" s="4" t="inlineStr">
        <is>
          <t>Sistema/region: Pérdidas Transmisión.</t>
        </is>
      </c>
    </row>
    <row r="95">
      <c r="A95" s="6" t="inlineStr">
        <is>
          <t>R0000094</t>
        </is>
      </c>
      <c r="B95" s="6" t="inlineStr">
        <is>
          <t>2021-01-01</t>
        </is>
      </c>
      <c r="C95" s="6" t="inlineStr">
        <is>
          <t>2021-12-31</t>
        </is>
      </c>
      <c r="D95" s="6" t="inlineStr">
        <is>
          <t>year</t>
        </is>
      </c>
      <c r="E95" s="6" t="inlineStr">
        <is>
          <t>PY_TRANSMISSION_LOSSES</t>
        </is>
      </c>
      <c r="F95" s="6" t="inlineStr">
        <is>
          <t>PY_SIN</t>
        </is>
      </c>
      <c r="G95" s="6" t="inlineStr">
        <is>
          <t>PY</t>
        </is>
      </c>
      <c r="H95" s="6" t="inlineStr">
        <is>
          <t>PY</t>
        </is>
      </c>
      <c r="I95" s="8" t="n">
        <v>876556</v>
      </c>
      <c r="J95" s="6" t="inlineStr">
        <is>
          <t>MWh</t>
        </is>
      </c>
      <c r="K95" s="8" t="n">
        <v>876556</v>
      </c>
      <c r="L95" s="6" t="inlineStr">
        <is>
          <t>MWh</t>
        </is>
      </c>
      <c r="M95" s="6" t="inlineStr">
        <is>
          <t>ANDE</t>
        </is>
      </c>
      <c r="N95" s="6" t="inlineStr">
        <is>
          <t>OFFICIAL_PRIMARY</t>
        </is>
      </c>
      <c r="O95" s="9" t="inlineStr">
        <is>
          <t>OFFICIAL_AGGREGATE</t>
        </is>
      </c>
      <c r="P95" s="8" t="n">
        <v>1</v>
      </c>
      <c r="Q95" s="8" t="n">
        <v>50</v>
      </c>
      <c r="R95" s="7" t="inlineStr">
        <is>
          <t>https://www.ande.gov.py/finanzas/ANDE%20-%20Resumen%20Estad%C3%ADstico%202020%20-%202024.pdf</t>
        </is>
      </c>
      <c r="S95" s="6" t="inlineStr">
        <is>
          <t>ANDE-STAT-2020-2024</t>
        </is>
      </c>
      <c r="T95" s="6" t="inlineStr"/>
      <c r="U95" s="4" t="inlineStr">
        <is>
          <t>2026-09-10 23:00:00</t>
        </is>
      </c>
      <c r="V95" s="4" t="inlineStr">
        <is>
          <t>Sistema/region: Pérdidas Transmisión.</t>
        </is>
      </c>
    </row>
    <row r="96">
      <c r="A96" s="6" t="inlineStr">
        <is>
          <t>R0000095</t>
        </is>
      </c>
      <c r="B96" s="6" t="inlineStr">
        <is>
          <t>2022-01-01</t>
        </is>
      </c>
      <c r="C96" s="6" t="inlineStr">
        <is>
          <t>2022-12-31</t>
        </is>
      </c>
      <c r="D96" s="6" t="inlineStr">
        <is>
          <t>year</t>
        </is>
      </c>
      <c r="E96" s="6" t="inlineStr">
        <is>
          <t>PY_TRANSMISSION_LOSSES</t>
        </is>
      </c>
      <c r="F96" s="6" t="inlineStr">
        <is>
          <t>PY_SIN</t>
        </is>
      </c>
      <c r="G96" s="6" t="inlineStr">
        <is>
          <t>PY</t>
        </is>
      </c>
      <c r="H96" s="6" t="inlineStr">
        <is>
          <t>PY</t>
        </is>
      </c>
      <c r="I96" s="8" t="n">
        <v>1010034</v>
      </c>
      <c r="J96" s="6" t="inlineStr">
        <is>
          <t>MWh</t>
        </is>
      </c>
      <c r="K96" s="8" t="n">
        <v>1010034</v>
      </c>
      <c r="L96" s="6" t="inlineStr">
        <is>
          <t>MWh</t>
        </is>
      </c>
      <c r="M96" s="6" t="inlineStr">
        <is>
          <t>ANDE</t>
        </is>
      </c>
      <c r="N96" s="6" t="inlineStr">
        <is>
          <t>OFFICIAL_PRIMARY</t>
        </is>
      </c>
      <c r="O96" s="9" t="inlineStr">
        <is>
          <t>OFFICIAL_AGGREGATE</t>
        </is>
      </c>
      <c r="P96" s="8" t="n">
        <v>1</v>
      </c>
      <c r="Q96" s="8" t="n">
        <v>50</v>
      </c>
      <c r="R96" s="7" t="inlineStr">
        <is>
          <t>https://www.ande.gov.py/finanzas/ANDE%20-%20Resumen%20Estad%C3%ADstico%202020%20-%202024.pdf</t>
        </is>
      </c>
      <c r="S96" s="6" t="inlineStr">
        <is>
          <t>ANDE-STAT-2020-2024</t>
        </is>
      </c>
      <c r="T96" s="6" t="inlineStr"/>
      <c r="U96" s="4" t="inlineStr">
        <is>
          <t>2026-09-10 23:00:00</t>
        </is>
      </c>
      <c r="V96" s="4" t="inlineStr">
        <is>
          <t>Sistema/region: Pérdidas Transmisión.</t>
        </is>
      </c>
    </row>
    <row r="97">
      <c r="A97" s="6" t="inlineStr">
        <is>
          <t>R0000096</t>
        </is>
      </c>
      <c r="B97" s="6" t="inlineStr">
        <is>
          <t>2023-01-01</t>
        </is>
      </c>
      <c r="C97" s="6" t="inlineStr">
        <is>
          <t>2023-12-31</t>
        </is>
      </c>
      <c r="D97" s="6" t="inlineStr">
        <is>
          <t>year</t>
        </is>
      </c>
      <c r="E97" s="6" t="inlineStr">
        <is>
          <t>PY_TRANSMISSION_LOSSES</t>
        </is>
      </c>
      <c r="F97" s="6" t="inlineStr">
        <is>
          <t>PY_SIN</t>
        </is>
      </c>
      <c r="G97" s="6" t="inlineStr">
        <is>
          <t>PY</t>
        </is>
      </c>
      <c r="H97" s="6" t="inlineStr">
        <is>
          <t>PY</t>
        </is>
      </c>
      <c r="I97" s="8" t="n">
        <v>1129197</v>
      </c>
      <c r="J97" s="6" t="inlineStr">
        <is>
          <t>MWh</t>
        </is>
      </c>
      <c r="K97" s="8" t="n">
        <v>1129197</v>
      </c>
      <c r="L97" s="6" t="inlineStr">
        <is>
          <t>MWh</t>
        </is>
      </c>
      <c r="M97" s="6" t="inlineStr">
        <is>
          <t>ANDE</t>
        </is>
      </c>
      <c r="N97" s="6" t="inlineStr">
        <is>
          <t>OFFICIAL_PRIMARY</t>
        </is>
      </c>
      <c r="O97" s="9" t="inlineStr">
        <is>
          <t>OFFICIAL_AGGREGATE</t>
        </is>
      </c>
      <c r="P97" s="8" t="n">
        <v>1</v>
      </c>
      <c r="Q97" s="8" t="n">
        <v>50</v>
      </c>
      <c r="R97" s="7" t="inlineStr">
        <is>
          <t>https://www.ande.gov.py/finanzas/ANDE%20-%20Resumen%20Estad%C3%ADstico%202020%20-%202024.pdf</t>
        </is>
      </c>
      <c r="S97" s="6" t="inlineStr">
        <is>
          <t>ANDE-STAT-2020-2024</t>
        </is>
      </c>
      <c r="T97" s="6" t="inlineStr"/>
      <c r="U97" s="4" t="inlineStr">
        <is>
          <t>2026-09-10 23:00:00</t>
        </is>
      </c>
      <c r="V97" s="4" t="inlineStr">
        <is>
          <t>Sistema/region: Pérdidas Transmisión.</t>
        </is>
      </c>
    </row>
    <row r="98">
      <c r="A98" s="6" t="inlineStr">
        <is>
          <t>R0000097</t>
        </is>
      </c>
      <c r="B98" s="6" t="inlineStr">
        <is>
          <t>2024-01-01</t>
        </is>
      </c>
      <c r="C98" s="6" t="inlineStr">
        <is>
          <t>2024-12-31</t>
        </is>
      </c>
      <c r="D98" s="6" t="inlineStr">
        <is>
          <t>year</t>
        </is>
      </c>
      <c r="E98" s="6" t="inlineStr">
        <is>
          <t>PY_TRANSMISSION_LOSSES</t>
        </is>
      </c>
      <c r="F98" s="6" t="inlineStr">
        <is>
          <t>PY_SIN</t>
        </is>
      </c>
      <c r="G98" s="6" t="inlineStr">
        <is>
          <t>PY</t>
        </is>
      </c>
      <c r="H98" s="6" t="inlineStr">
        <is>
          <t>PY</t>
        </is>
      </c>
      <c r="I98" s="8" t="n">
        <v>1207698</v>
      </c>
      <c r="J98" s="6" t="inlineStr">
        <is>
          <t>MWh</t>
        </is>
      </c>
      <c r="K98" s="8" t="n">
        <v>1207698</v>
      </c>
      <c r="L98" s="6" t="inlineStr">
        <is>
          <t>MWh</t>
        </is>
      </c>
      <c r="M98" s="6" t="inlineStr">
        <is>
          <t>ANDE</t>
        </is>
      </c>
      <c r="N98" s="6" t="inlineStr">
        <is>
          <t>OFFICIAL_PRIMARY</t>
        </is>
      </c>
      <c r="O98" s="9" t="inlineStr">
        <is>
          <t>OFFICIAL_AGGREGATE</t>
        </is>
      </c>
      <c r="P98" s="8" t="n">
        <v>1</v>
      </c>
      <c r="Q98" s="8" t="n">
        <v>50</v>
      </c>
      <c r="R98" s="7" t="inlineStr">
        <is>
          <t>https://www.ande.gov.py/finanzas/ANDE%20-%20Resumen%20Estad%C3%ADstico%202020%20-%202024.pdf</t>
        </is>
      </c>
      <c r="S98" s="6" t="inlineStr">
        <is>
          <t>ANDE-STAT-2020-2024</t>
        </is>
      </c>
      <c r="T98" s="6" t="inlineStr"/>
      <c r="U98" s="4" t="inlineStr">
        <is>
          <t>2026-09-10 23:00:00</t>
        </is>
      </c>
      <c r="V98" s="4" t="inlineStr">
        <is>
          <t>Sistema/region: Pérdidas Transmisión.</t>
        </is>
      </c>
    </row>
    <row r="99">
      <c r="A99" s="6" t="inlineStr">
        <is>
          <t>R0000098</t>
        </is>
      </c>
      <c r="B99" s="6" t="inlineStr">
        <is>
          <t>2020-01-01</t>
        </is>
      </c>
      <c r="C99" s="6" t="inlineStr">
        <is>
          <t>2020-12-31</t>
        </is>
      </c>
      <c r="D99" s="6" t="inlineStr">
        <is>
          <t>year</t>
        </is>
      </c>
      <c r="E99" s="6" t="inlineStr">
        <is>
          <t>PY_CONSUMPTION_ENERGY</t>
        </is>
      </c>
      <c r="F99" s="6" t="inlineStr">
        <is>
          <t>PY_SIN</t>
        </is>
      </c>
      <c r="G99" s="6" t="inlineStr">
        <is>
          <t>PY</t>
        </is>
      </c>
      <c r="H99" s="6" t="inlineStr">
        <is>
          <t>PY</t>
        </is>
      </c>
      <c r="I99" s="8" t="n">
        <v>17955575</v>
      </c>
      <c r="J99" s="6" t="inlineStr">
        <is>
          <t>MWh</t>
        </is>
      </c>
      <c r="K99" s="8" t="n">
        <v>17955575</v>
      </c>
      <c r="L99" s="6" t="inlineStr">
        <is>
          <t>MWh</t>
        </is>
      </c>
      <c r="M99" s="6" t="inlineStr">
        <is>
          <t>ANDE</t>
        </is>
      </c>
      <c r="N99" s="6" t="inlineStr">
        <is>
          <t>OFFICIAL_PRIMARY</t>
        </is>
      </c>
      <c r="O99" s="9" t="inlineStr">
        <is>
          <t>OFFICIAL_AGGREGATE</t>
        </is>
      </c>
      <c r="P99" s="8" t="n">
        <v>1</v>
      </c>
      <c r="Q99" s="8" t="n">
        <v>50</v>
      </c>
      <c r="R99" s="7" t="inlineStr">
        <is>
          <t>https://www.ande.gov.py/finanzas/ANDE%20-%20Resumen%20Estad%C3%ADstico%202020%20-%202024.pdf</t>
        </is>
      </c>
      <c r="S99" s="6" t="inlineStr">
        <is>
          <t>ANDE-STAT-2020-2024</t>
        </is>
      </c>
      <c r="T99" s="6" t="inlineStr"/>
      <c r="U99" s="4" t="inlineStr">
        <is>
          <t>2026-09-10 23:00:00</t>
        </is>
      </c>
      <c r="V99" s="4" t="inlineStr">
        <is>
          <t>Sistema/region: Total Energía SIN.</t>
        </is>
      </c>
    </row>
    <row r="100">
      <c r="A100" s="6" t="inlineStr">
        <is>
          <t>R0000099</t>
        </is>
      </c>
      <c r="B100" s="6" t="inlineStr">
        <is>
          <t>2021-01-01</t>
        </is>
      </c>
      <c r="C100" s="6" t="inlineStr">
        <is>
          <t>2021-12-31</t>
        </is>
      </c>
      <c r="D100" s="6" t="inlineStr">
        <is>
          <t>year</t>
        </is>
      </c>
      <c r="E100" s="6" t="inlineStr">
        <is>
          <t>PY_CONSUMPTION_ENERGY</t>
        </is>
      </c>
      <c r="F100" s="6" t="inlineStr">
        <is>
          <t>PY_SIN</t>
        </is>
      </c>
      <c r="G100" s="6" t="inlineStr">
        <is>
          <t>PY</t>
        </is>
      </c>
      <c r="H100" s="6" t="inlineStr">
        <is>
          <t>PY</t>
        </is>
      </c>
      <c r="I100" s="8" t="n">
        <v>18583322</v>
      </c>
      <c r="J100" s="6" t="inlineStr">
        <is>
          <t>MWh</t>
        </is>
      </c>
      <c r="K100" s="8" t="n">
        <v>18583322</v>
      </c>
      <c r="L100" s="6" t="inlineStr">
        <is>
          <t>MWh</t>
        </is>
      </c>
      <c r="M100" s="6" t="inlineStr">
        <is>
          <t>ANDE</t>
        </is>
      </c>
      <c r="N100" s="6" t="inlineStr">
        <is>
          <t>OFFICIAL_PRIMARY</t>
        </is>
      </c>
      <c r="O100" s="9" t="inlineStr">
        <is>
          <t>OFFICIAL_AGGREGATE</t>
        </is>
      </c>
      <c r="P100" s="8" t="n">
        <v>1</v>
      </c>
      <c r="Q100" s="8" t="n">
        <v>50</v>
      </c>
      <c r="R100" s="7" t="inlineStr">
        <is>
          <t>https://www.ande.gov.py/finanzas/ANDE%20-%20Resumen%20Estad%C3%ADstico%202020%20-%202024.pdf</t>
        </is>
      </c>
      <c r="S100" s="6" t="inlineStr">
        <is>
          <t>ANDE-STAT-2020-2024</t>
        </is>
      </c>
      <c r="T100" s="6" t="inlineStr"/>
      <c r="U100" s="4" t="inlineStr">
        <is>
          <t>2026-09-10 23:00:00</t>
        </is>
      </c>
      <c r="V100" s="4" t="inlineStr">
        <is>
          <t>Sistema/region: Total Energía SIN.</t>
        </is>
      </c>
    </row>
    <row r="101">
      <c r="A101" s="6" t="inlineStr">
        <is>
          <t>R0000100</t>
        </is>
      </c>
      <c r="B101" s="6" t="inlineStr">
        <is>
          <t>2022-01-01</t>
        </is>
      </c>
      <c r="C101" s="6" t="inlineStr">
        <is>
          <t>2022-12-31</t>
        </is>
      </c>
      <c r="D101" s="6" t="inlineStr">
        <is>
          <t>year</t>
        </is>
      </c>
      <c r="E101" s="6" t="inlineStr">
        <is>
          <t>PY_CONSUMPTION_ENERGY</t>
        </is>
      </c>
      <c r="F101" s="6" t="inlineStr">
        <is>
          <t>PY_SIN</t>
        </is>
      </c>
      <c r="G101" s="6" t="inlineStr">
        <is>
          <t>PY</t>
        </is>
      </c>
      <c r="H101" s="6" t="inlineStr">
        <is>
          <t>PY</t>
        </is>
      </c>
      <c r="I101" s="8" t="n">
        <v>19634614</v>
      </c>
      <c r="J101" s="6" t="inlineStr">
        <is>
          <t>MWh</t>
        </is>
      </c>
      <c r="K101" s="8" t="n">
        <v>19634614</v>
      </c>
      <c r="L101" s="6" t="inlineStr">
        <is>
          <t>MWh</t>
        </is>
      </c>
      <c r="M101" s="6" t="inlineStr">
        <is>
          <t>ANDE</t>
        </is>
      </c>
      <c r="N101" s="6" t="inlineStr">
        <is>
          <t>OFFICIAL_PRIMARY</t>
        </is>
      </c>
      <c r="O101" s="9" t="inlineStr">
        <is>
          <t>OFFICIAL_AGGREGATE</t>
        </is>
      </c>
      <c r="P101" s="8" t="n">
        <v>1</v>
      </c>
      <c r="Q101" s="8" t="n">
        <v>50</v>
      </c>
      <c r="R101" s="7" t="inlineStr">
        <is>
          <t>https://www.ande.gov.py/finanzas/ANDE%20-%20Resumen%20Estad%C3%ADstico%202020%20-%202024.pdf</t>
        </is>
      </c>
      <c r="S101" s="6" t="inlineStr">
        <is>
          <t>ANDE-STAT-2020-2024</t>
        </is>
      </c>
      <c r="T101" s="6" t="inlineStr"/>
      <c r="U101" s="4" t="inlineStr">
        <is>
          <t>2026-09-10 23:00:00</t>
        </is>
      </c>
      <c r="V101" s="4" t="inlineStr">
        <is>
          <t>Sistema/region: Total Energía SIN.</t>
        </is>
      </c>
    </row>
    <row r="102">
      <c r="A102" s="6" t="inlineStr">
        <is>
          <t>R0000101</t>
        </is>
      </c>
      <c r="B102" s="6" t="inlineStr">
        <is>
          <t>2023-01-01</t>
        </is>
      </c>
      <c r="C102" s="6" t="inlineStr">
        <is>
          <t>2023-12-31</t>
        </is>
      </c>
      <c r="D102" s="6" t="inlineStr">
        <is>
          <t>year</t>
        </is>
      </c>
      <c r="E102" s="6" t="inlineStr">
        <is>
          <t>PY_CONSUMPTION_ENERGY</t>
        </is>
      </c>
      <c r="F102" s="6" t="inlineStr">
        <is>
          <t>PY_SIN</t>
        </is>
      </c>
      <c r="G102" s="6" t="inlineStr">
        <is>
          <t>PY</t>
        </is>
      </c>
      <c r="H102" s="6" t="inlineStr">
        <is>
          <t>PY</t>
        </is>
      </c>
      <c r="I102" s="8" t="n">
        <v>22078726</v>
      </c>
      <c r="J102" s="6" t="inlineStr">
        <is>
          <t>MWh</t>
        </is>
      </c>
      <c r="K102" s="8" t="n">
        <v>22078726</v>
      </c>
      <c r="L102" s="6" t="inlineStr">
        <is>
          <t>MWh</t>
        </is>
      </c>
      <c r="M102" s="6" t="inlineStr">
        <is>
          <t>ANDE</t>
        </is>
      </c>
      <c r="N102" s="6" t="inlineStr">
        <is>
          <t>OFFICIAL_PRIMARY</t>
        </is>
      </c>
      <c r="O102" s="9" t="inlineStr">
        <is>
          <t>OFFICIAL_AGGREGATE</t>
        </is>
      </c>
      <c r="P102" s="8" t="n">
        <v>1</v>
      </c>
      <c r="Q102" s="8" t="n">
        <v>50</v>
      </c>
      <c r="R102" s="7" t="inlineStr">
        <is>
          <t>https://www.ande.gov.py/finanzas/ANDE%20-%20Resumen%20Estad%C3%ADstico%202020%20-%202024.pdf</t>
        </is>
      </c>
      <c r="S102" s="6" t="inlineStr">
        <is>
          <t>ANDE-STAT-2020-2024</t>
        </is>
      </c>
      <c r="T102" s="6" t="inlineStr"/>
      <c r="U102" s="4" t="inlineStr">
        <is>
          <t>2026-09-10 23:00:00</t>
        </is>
      </c>
      <c r="V102" s="4" t="inlineStr">
        <is>
          <t>Sistema/region: Total Energía SIN.</t>
        </is>
      </c>
    </row>
    <row r="103">
      <c r="A103" s="6" t="inlineStr">
        <is>
          <t>R0000102</t>
        </is>
      </c>
      <c r="B103" s="6" t="inlineStr">
        <is>
          <t>2024-01-01</t>
        </is>
      </c>
      <c r="C103" s="6" t="inlineStr">
        <is>
          <t>2024-12-31</t>
        </is>
      </c>
      <c r="D103" s="6" t="inlineStr">
        <is>
          <t>year</t>
        </is>
      </c>
      <c r="E103" s="6" t="inlineStr">
        <is>
          <t>PY_CONSUMPTION_ENERGY</t>
        </is>
      </c>
      <c r="F103" s="6" t="inlineStr">
        <is>
          <t>PY_SIN</t>
        </is>
      </c>
      <c r="G103" s="6" t="inlineStr">
        <is>
          <t>PY</t>
        </is>
      </c>
      <c r="H103" s="6" t="inlineStr">
        <is>
          <t>PY</t>
        </is>
      </c>
      <c r="I103" s="8" t="n">
        <v>26154488</v>
      </c>
      <c r="J103" s="6" t="inlineStr">
        <is>
          <t>MWh</t>
        </is>
      </c>
      <c r="K103" s="8" t="n">
        <v>26154488</v>
      </c>
      <c r="L103" s="6" t="inlineStr">
        <is>
          <t>MWh</t>
        </is>
      </c>
      <c r="M103" s="6" t="inlineStr">
        <is>
          <t>ANDE</t>
        </is>
      </c>
      <c r="N103" s="6" t="inlineStr">
        <is>
          <t>OFFICIAL_PRIMARY</t>
        </is>
      </c>
      <c r="O103" s="9" t="inlineStr">
        <is>
          <t>OFFICIAL_AGGREGATE</t>
        </is>
      </c>
      <c r="P103" s="10" t="n">
        <v>0</v>
      </c>
      <c r="Q103" s="8" t="n">
        <v>50</v>
      </c>
      <c r="R103" s="7" t="inlineStr">
        <is>
          <t>https://www.ande.gov.py/finanzas/ANDE%20-%20Resumen%20Estad%C3%ADstico%202020%20-%202024.pdf</t>
        </is>
      </c>
      <c r="S103" s="6" t="inlineStr">
        <is>
          <t>ANDE-STAT-2020-2024</t>
        </is>
      </c>
      <c r="T103" s="6" t="inlineStr"/>
      <c r="U103" s="4" t="inlineStr">
        <is>
          <t>2026-09-10 23:00:00</t>
        </is>
      </c>
      <c r="V103" s="4" t="inlineStr">
        <is>
          <t>Sistema/region: Total Energía SIN.</t>
        </is>
      </c>
    </row>
    <row r="104">
      <c r="A104" s="6" t="inlineStr">
        <is>
          <t>R0000103</t>
        </is>
      </c>
      <c r="B104" s="6" t="inlineStr">
        <is>
          <t>2025-01-01</t>
        </is>
      </c>
      <c r="C104" s="6" t="inlineStr">
        <is>
          <t>2025-01-31</t>
        </is>
      </c>
      <c r="D104" s="6" t="inlineStr">
        <is>
          <t>month</t>
        </is>
      </c>
      <c r="E104" s="6" t="inlineStr">
        <is>
          <t>PY_MAX_DEMAND</t>
        </is>
      </c>
      <c r="F104" s="6" t="inlineStr">
        <is>
          <t>PY_SIN</t>
        </is>
      </c>
      <c r="G104" s="6" t="inlineStr">
        <is>
          <t>PY</t>
        </is>
      </c>
      <c r="H104" s="6" t="inlineStr">
        <is>
          <t>PY</t>
        </is>
      </c>
      <c r="I104" s="8" t="n">
        <v>4936</v>
      </c>
      <c r="J104" s="6" t="inlineStr">
        <is>
          <t>MW</t>
        </is>
      </c>
      <c r="K104" s="8" t="n">
        <v>4936</v>
      </c>
      <c r="L104" s="6" t="inlineStr">
        <is>
          <t>MW</t>
        </is>
      </c>
      <c r="M104" s="6" t="inlineStr">
        <is>
          <t>ANDE</t>
        </is>
      </c>
      <c r="N104" s="6" t="inlineStr">
        <is>
          <t>OFFICIAL_PRIMARY</t>
        </is>
      </c>
      <c r="O104" s="9" t="inlineStr">
        <is>
          <t>OFFICIAL_AGGREGATE</t>
        </is>
      </c>
      <c r="P104" s="8" t="n">
        <v>1</v>
      </c>
      <c r="Q104" s="8" t="n">
        <v>50</v>
      </c>
      <c r="R104" s="7" t="inlineStr">
        <is>
          <t>https://www.ande.gov.py/finanzas/BAGP%202025%20ANDE.pdf</t>
        </is>
      </c>
      <c r="S104" s="6" t="inlineStr">
        <is>
          <t>ANDE-BAGP-2025</t>
        </is>
      </c>
      <c r="T104" s="6" t="inlineStr"/>
      <c r="U104" s="4" t="inlineStr">
        <is>
          <t>2026-09-10 23:00:00</t>
        </is>
      </c>
      <c r="V104" s="4" t="inlineStr">
        <is>
          <t>Maximo mensual publicado.</t>
        </is>
      </c>
    </row>
    <row r="105">
      <c r="A105" s="6" t="inlineStr">
        <is>
          <t>R0000104</t>
        </is>
      </c>
      <c r="B105" s="6" t="inlineStr">
        <is>
          <t>2025-02-01</t>
        </is>
      </c>
      <c r="C105" s="6" t="inlineStr">
        <is>
          <t>2025-02-28</t>
        </is>
      </c>
      <c r="D105" s="6" t="inlineStr">
        <is>
          <t>month</t>
        </is>
      </c>
      <c r="E105" s="6" t="inlineStr">
        <is>
          <t>PY_MAX_DEMAND</t>
        </is>
      </c>
      <c r="F105" s="6" t="inlineStr">
        <is>
          <t>PY_SIN</t>
        </is>
      </c>
      <c r="G105" s="6" t="inlineStr">
        <is>
          <t>PY</t>
        </is>
      </c>
      <c r="H105" s="6" t="inlineStr">
        <is>
          <t>PY</t>
        </is>
      </c>
      <c r="I105" s="8" t="n">
        <v>5054</v>
      </c>
      <c r="J105" s="6" t="inlineStr">
        <is>
          <t>MW</t>
        </is>
      </c>
      <c r="K105" s="8" t="n">
        <v>5054</v>
      </c>
      <c r="L105" s="6" t="inlineStr">
        <is>
          <t>MW</t>
        </is>
      </c>
      <c r="M105" s="6" t="inlineStr">
        <is>
          <t>ANDE</t>
        </is>
      </c>
      <c r="N105" s="6" t="inlineStr">
        <is>
          <t>OFFICIAL_PRIMARY</t>
        </is>
      </c>
      <c r="O105" s="9" t="inlineStr">
        <is>
          <t>OFFICIAL_AGGREGATE</t>
        </is>
      </c>
      <c r="P105" s="8" t="n">
        <v>1</v>
      </c>
      <c r="Q105" s="8" t="n">
        <v>50</v>
      </c>
      <c r="R105" s="7" t="inlineStr">
        <is>
          <t>https://www.ande.gov.py/finanzas/BAGP%202025%20ANDE.pdf</t>
        </is>
      </c>
      <c r="S105" s="6" t="inlineStr">
        <is>
          <t>ANDE-BAGP-2025</t>
        </is>
      </c>
      <c r="T105" s="6" t="inlineStr"/>
      <c r="U105" s="4" t="inlineStr">
        <is>
          <t>2026-09-10 23:00:00</t>
        </is>
      </c>
      <c r="V105" s="4" t="inlineStr">
        <is>
          <t>Maximo mensual publicado.</t>
        </is>
      </c>
    </row>
    <row r="106">
      <c r="A106" s="6" t="inlineStr">
        <is>
          <t>R0000105</t>
        </is>
      </c>
      <c r="B106" s="6" t="inlineStr">
        <is>
          <t>2025-03-01</t>
        </is>
      </c>
      <c r="C106" s="6" t="inlineStr">
        <is>
          <t>2025-03-31</t>
        </is>
      </c>
      <c r="D106" s="6" t="inlineStr">
        <is>
          <t>month</t>
        </is>
      </c>
      <c r="E106" s="6" t="inlineStr">
        <is>
          <t>PY_MAX_DEMAND</t>
        </is>
      </c>
      <c r="F106" s="6" t="inlineStr">
        <is>
          <t>PY_SIN</t>
        </is>
      </c>
      <c r="G106" s="6" t="inlineStr">
        <is>
          <t>PY</t>
        </is>
      </c>
      <c r="H106" s="6" t="inlineStr">
        <is>
          <t>PY</t>
        </is>
      </c>
      <c r="I106" s="8" t="n">
        <v>5122</v>
      </c>
      <c r="J106" s="6" t="inlineStr">
        <is>
          <t>MW</t>
        </is>
      </c>
      <c r="K106" s="8" t="n">
        <v>5122</v>
      </c>
      <c r="L106" s="6" t="inlineStr">
        <is>
          <t>MW</t>
        </is>
      </c>
      <c r="M106" s="6" t="inlineStr">
        <is>
          <t>ANDE</t>
        </is>
      </c>
      <c r="N106" s="6" t="inlineStr">
        <is>
          <t>OFFICIAL_PRIMARY</t>
        </is>
      </c>
      <c r="O106" s="9" t="inlineStr">
        <is>
          <t>OFFICIAL_AGGREGATE</t>
        </is>
      </c>
      <c r="P106" s="8" t="n">
        <v>1</v>
      </c>
      <c r="Q106" s="8" t="n">
        <v>50</v>
      </c>
      <c r="R106" s="7" t="inlineStr">
        <is>
          <t>https://www.ande.gov.py/finanzas/BAGP%202025%20ANDE.pdf</t>
        </is>
      </c>
      <c r="S106" s="6" t="inlineStr">
        <is>
          <t>ANDE-BAGP-2025</t>
        </is>
      </c>
      <c r="T106" s="6" t="inlineStr"/>
      <c r="U106" s="4" t="inlineStr">
        <is>
          <t>2026-09-10 23:00:00</t>
        </is>
      </c>
      <c r="V106" s="4" t="inlineStr">
        <is>
          <t>Maximo mensual publicado.</t>
        </is>
      </c>
    </row>
    <row r="107">
      <c r="A107" s="6" t="inlineStr">
        <is>
          <t>R0000106</t>
        </is>
      </c>
      <c r="B107" s="6" t="inlineStr">
        <is>
          <t>2025-04-01</t>
        </is>
      </c>
      <c r="C107" s="6" t="inlineStr">
        <is>
          <t>2025-04-30</t>
        </is>
      </c>
      <c r="D107" s="6" t="inlineStr">
        <is>
          <t>month</t>
        </is>
      </c>
      <c r="E107" s="6" t="inlineStr">
        <is>
          <t>PY_MAX_DEMAND</t>
        </is>
      </c>
      <c r="F107" s="6" t="inlineStr">
        <is>
          <t>PY_SIN</t>
        </is>
      </c>
      <c r="G107" s="6" t="inlineStr">
        <is>
          <t>PY</t>
        </is>
      </c>
      <c r="H107" s="6" t="inlineStr">
        <is>
          <t>PY</t>
        </is>
      </c>
      <c r="I107" s="8" t="n">
        <v>3673</v>
      </c>
      <c r="J107" s="6" t="inlineStr">
        <is>
          <t>MW</t>
        </is>
      </c>
      <c r="K107" s="8" t="n">
        <v>3673</v>
      </c>
      <c r="L107" s="6" t="inlineStr">
        <is>
          <t>MW</t>
        </is>
      </c>
      <c r="M107" s="6" t="inlineStr">
        <is>
          <t>ANDE</t>
        </is>
      </c>
      <c r="N107" s="6" t="inlineStr">
        <is>
          <t>OFFICIAL_PRIMARY</t>
        </is>
      </c>
      <c r="O107" s="9" t="inlineStr">
        <is>
          <t>OFFICIAL_AGGREGATE</t>
        </is>
      </c>
      <c r="P107" s="8" t="n">
        <v>1</v>
      </c>
      <c r="Q107" s="8" t="n">
        <v>50</v>
      </c>
      <c r="R107" s="7" t="inlineStr">
        <is>
          <t>https://www.ande.gov.py/finanzas/BAGP%202025%20ANDE.pdf</t>
        </is>
      </c>
      <c r="S107" s="6" t="inlineStr">
        <is>
          <t>ANDE-BAGP-2025</t>
        </is>
      </c>
      <c r="T107" s="6" t="inlineStr"/>
      <c r="U107" s="4" t="inlineStr">
        <is>
          <t>2026-09-10 23:00:00</t>
        </is>
      </c>
      <c r="V107" s="4" t="inlineStr">
        <is>
          <t>Maximo mensual publicado.</t>
        </is>
      </c>
    </row>
    <row r="108">
      <c r="A108" s="6" t="inlineStr">
        <is>
          <t>R0000107</t>
        </is>
      </c>
      <c r="B108" s="6" t="inlineStr">
        <is>
          <t>2025-05-01</t>
        </is>
      </c>
      <c r="C108" s="6" t="inlineStr">
        <is>
          <t>2025-05-31</t>
        </is>
      </c>
      <c r="D108" s="6" t="inlineStr">
        <is>
          <t>month</t>
        </is>
      </c>
      <c r="E108" s="6" t="inlineStr">
        <is>
          <t>PY_MAX_DEMAND</t>
        </is>
      </c>
      <c r="F108" s="6" t="inlineStr">
        <is>
          <t>PY_SIN</t>
        </is>
      </c>
      <c r="G108" s="6" t="inlineStr">
        <is>
          <t>PY</t>
        </is>
      </c>
      <c r="H108" s="6" t="inlineStr">
        <is>
          <t>PY</t>
        </is>
      </c>
      <c r="I108" s="8" t="n">
        <v>4077</v>
      </c>
      <c r="J108" s="6" t="inlineStr">
        <is>
          <t>MW</t>
        </is>
      </c>
      <c r="K108" s="8" t="n">
        <v>4077</v>
      </c>
      <c r="L108" s="6" t="inlineStr">
        <is>
          <t>MW</t>
        </is>
      </c>
      <c r="M108" s="6" t="inlineStr">
        <is>
          <t>ANDE</t>
        </is>
      </c>
      <c r="N108" s="6" t="inlineStr">
        <is>
          <t>OFFICIAL_PRIMARY</t>
        </is>
      </c>
      <c r="O108" s="9" t="inlineStr">
        <is>
          <t>OFFICIAL_AGGREGATE</t>
        </is>
      </c>
      <c r="P108" s="8" t="n">
        <v>1</v>
      </c>
      <c r="Q108" s="8" t="n">
        <v>50</v>
      </c>
      <c r="R108" s="7" t="inlineStr">
        <is>
          <t>https://www.ande.gov.py/finanzas/BAGP%202025%20ANDE.pdf</t>
        </is>
      </c>
      <c r="S108" s="6" t="inlineStr">
        <is>
          <t>ANDE-BAGP-2025</t>
        </is>
      </c>
      <c r="T108" s="6" t="inlineStr"/>
      <c r="U108" s="4" t="inlineStr">
        <is>
          <t>2026-09-10 23:00:00</t>
        </is>
      </c>
      <c r="V108" s="4" t="inlineStr">
        <is>
          <t>Maximo mensual publicado.</t>
        </is>
      </c>
    </row>
    <row r="109">
      <c r="A109" s="6" t="inlineStr">
        <is>
          <t>R0000108</t>
        </is>
      </c>
      <c r="B109" s="6" t="inlineStr">
        <is>
          <t>2025-06-01</t>
        </is>
      </c>
      <c r="C109" s="6" t="inlineStr">
        <is>
          <t>2025-06-30</t>
        </is>
      </c>
      <c r="D109" s="6" t="inlineStr">
        <is>
          <t>month</t>
        </is>
      </c>
      <c r="E109" s="6" t="inlineStr">
        <is>
          <t>PY_MAX_DEMAND</t>
        </is>
      </c>
      <c r="F109" s="6" t="inlineStr">
        <is>
          <t>PY_SIN</t>
        </is>
      </c>
      <c r="G109" s="6" t="inlineStr">
        <is>
          <t>PY</t>
        </is>
      </c>
      <c r="H109" s="6" t="inlineStr">
        <is>
          <t>PY</t>
        </is>
      </c>
      <c r="I109" s="8" t="n">
        <v>3918</v>
      </c>
      <c r="J109" s="6" t="inlineStr">
        <is>
          <t>MW</t>
        </is>
      </c>
      <c r="K109" s="8" t="n">
        <v>3918</v>
      </c>
      <c r="L109" s="6" t="inlineStr">
        <is>
          <t>MW</t>
        </is>
      </c>
      <c r="M109" s="6" t="inlineStr">
        <is>
          <t>ANDE</t>
        </is>
      </c>
      <c r="N109" s="6" t="inlineStr">
        <is>
          <t>OFFICIAL_PRIMARY</t>
        </is>
      </c>
      <c r="O109" s="9" t="inlineStr">
        <is>
          <t>OFFICIAL_AGGREGATE</t>
        </is>
      </c>
      <c r="P109" s="8" t="n">
        <v>1</v>
      </c>
      <c r="Q109" s="8" t="n">
        <v>50</v>
      </c>
      <c r="R109" s="7" t="inlineStr">
        <is>
          <t>https://www.ande.gov.py/finanzas/BAGP%202025%20ANDE.pdf</t>
        </is>
      </c>
      <c r="S109" s="6" t="inlineStr">
        <is>
          <t>ANDE-BAGP-2025</t>
        </is>
      </c>
      <c r="T109" s="6" t="inlineStr"/>
      <c r="U109" s="4" t="inlineStr">
        <is>
          <t>2026-09-10 23:00:00</t>
        </is>
      </c>
      <c r="V109" s="4" t="inlineStr">
        <is>
          <t>Maximo mensual publicado.</t>
        </is>
      </c>
    </row>
    <row r="110">
      <c r="A110" s="6" t="inlineStr">
        <is>
          <t>R0000109</t>
        </is>
      </c>
      <c r="B110" s="6" t="inlineStr">
        <is>
          <t>2025-07-01</t>
        </is>
      </c>
      <c r="C110" s="6" t="inlineStr">
        <is>
          <t>2025-07-31</t>
        </is>
      </c>
      <c r="D110" s="6" t="inlineStr">
        <is>
          <t>month</t>
        </is>
      </c>
      <c r="E110" s="6" t="inlineStr">
        <is>
          <t>PY_MAX_DEMAND</t>
        </is>
      </c>
      <c r="F110" s="6" t="inlineStr">
        <is>
          <t>PY_SIN</t>
        </is>
      </c>
      <c r="G110" s="6" t="inlineStr">
        <is>
          <t>PY</t>
        </is>
      </c>
      <c r="H110" s="6" t="inlineStr">
        <is>
          <t>PY</t>
        </is>
      </c>
      <c r="I110" s="8" t="n">
        <v>4072</v>
      </c>
      <c r="J110" s="6" t="inlineStr">
        <is>
          <t>MW</t>
        </is>
      </c>
      <c r="K110" s="8" t="n">
        <v>4072</v>
      </c>
      <c r="L110" s="6" t="inlineStr">
        <is>
          <t>MW</t>
        </is>
      </c>
      <c r="M110" s="6" t="inlineStr">
        <is>
          <t>ANDE</t>
        </is>
      </c>
      <c r="N110" s="6" t="inlineStr">
        <is>
          <t>OFFICIAL_PRIMARY</t>
        </is>
      </c>
      <c r="O110" s="9" t="inlineStr">
        <is>
          <t>OFFICIAL_AGGREGATE</t>
        </is>
      </c>
      <c r="P110" s="8" t="n">
        <v>1</v>
      </c>
      <c r="Q110" s="8" t="n">
        <v>50</v>
      </c>
      <c r="R110" s="7" t="inlineStr">
        <is>
          <t>https://www.ande.gov.py/finanzas/BAGP%202025%20ANDE.pdf</t>
        </is>
      </c>
      <c r="S110" s="6" t="inlineStr">
        <is>
          <t>ANDE-BAGP-2025</t>
        </is>
      </c>
      <c r="T110" s="6" t="inlineStr"/>
      <c r="U110" s="4" t="inlineStr">
        <is>
          <t>2026-09-10 23:00:00</t>
        </is>
      </c>
      <c r="V110" s="4" t="inlineStr">
        <is>
          <t>Maximo mensual publicado.</t>
        </is>
      </c>
    </row>
    <row r="111">
      <c r="A111" s="6" t="inlineStr">
        <is>
          <t>R0000110</t>
        </is>
      </c>
      <c r="B111" s="6" t="inlineStr">
        <is>
          <t>2025-08-01</t>
        </is>
      </c>
      <c r="C111" s="6" t="inlineStr">
        <is>
          <t>2025-08-31</t>
        </is>
      </c>
      <c r="D111" s="6" t="inlineStr">
        <is>
          <t>month</t>
        </is>
      </c>
      <c r="E111" s="6" t="inlineStr">
        <is>
          <t>PY_MAX_DEMAND</t>
        </is>
      </c>
      <c r="F111" s="6" t="inlineStr">
        <is>
          <t>PY_SIN</t>
        </is>
      </c>
      <c r="G111" s="6" t="inlineStr">
        <is>
          <t>PY</t>
        </is>
      </c>
      <c r="H111" s="6" t="inlineStr">
        <is>
          <t>PY</t>
        </is>
      </c>
      <c r="I111" s="8" t="n">
        <v>4188</v>
      </c>
      <c r="J111" s="6" t="inlineStr">
        <is>
          <t>MW</t>
        </is>
      </c>
      <c r="K111" s="8" t="n">
        <v>4188</v>
      </c>
      <c r="L111" s="6" t="inlineStr">
        <is>
          <t>MW</t>
        </is>
      </c>
      <c r="M111" s="6" t="inlineStr">
        <is>
          <t>ANDE</t>
        </is>
      </c>
      <c r="N111" s="6" t="inlineStr">
        <is>
          <t>OFFICIAL_PRIMARY</t>
        </is>
      </c>
      <c r="O111" s="9" t="inlineStr">
        <is>
          <t>OFFICIAL_AGGREGATE</t>
        </is>
      </c>
      <c r="P111" s="8" t="n">
        <v>1</v>
      </c>
      <c r="Q111" s="8" t="n">
        <v>50</v>
      </c>
      <c r="R111" s="7" t="inlineStr">
        <is>
          <t>https://www.ande.gov.py/finanzas/BAGP%202025%20ANDE.pdf</t>
        </is>
      </c>
      <c r="S111" s="6" t="inlineStr">
        <is>
          <t>ANDE-BAGP-2025</t>
        </is>
      </c>
      <c r="T111" s="6" t="inlineStr"/>
      <c r="U111" s="4" t="inlineStr">
        <is>
          <t>2026-09-10 23:00:00</t>
        </is>
      </c>
      <c r="V111" s="4" t="inlineStr">
        <is>
          <t>Maximo mensual publicado.</t>
        </is>
      </c>
    </row>
    <row r="112">
      <c r="A112" s="6" t="inlineStr">
        <is>
          <t>R0000111</t>
        </is>
      </c>
      <c r="B112" s="6" t="inlineStr">
        <is>
          <t>2025-09-01</t>
        </is>
      </c>
      <c r="C112" s="6" t="inlineStr">
        <is>
          <t>2025-09-30</t>
        </is>
      </c>
      <c r="D112" s="6" t="inlineStr">
        <is>
          <t>month</t>
        </is>
      </c>
      <c r="E112" s="6" t="inlineStr">
        <is>
          <t>PY_MAX_DEMAND</t>
        </is>
      </c>
      <c r="F112" s="6" t="inlineStr">
        <is>
          <t>PY_SIN</t>
        </is>
      </c>
      <c r="G112" s="6" t="inlineStr">
        <is>
          <t>PY</t>
        </is>
      </c>
      <c r="H112" s="6" t="inlineStr">
        <is>
          <t>PY</t>
        </is>
      </c>
      <c r="I112" s="8" t="n">
        <v>4675</v>
      </c>
      <c r="J112" s="6" t="inlineStr">
        <is>
          <t>MW</t>
        </is>
      </c>
      <c r="K112" s="8" t="n">
        <v>4675</v>
      </c>
      <c r="L112" s="6" t="inlineStr">
        <is>
          <t>MW</t>
        </is>
      </c>
      <c r="M112" s="6" t="inlineStr">
        <is>
          <t>ANDE</t>
        </is>
      </c>
      <c r="N112" s="6" t="inlineStr">
        <is>
          <t>OFFICIAL_PRIMARY</t>
        </is>
      </c>
      <c r="O112" s="9" t="inlineStr">
        <is>
          <t>OFFICIAL_AGGREGATE</t>
        </is>
      </c>
      <c r="P112" s="8" t="n">
        <v>1</v>
      </c>
      <c r="Q112" s="8" t="n">
        <v>50</v>
      </c>
      <c r="R112" s="7" t="inlineStr">
        <is>
          <t>https://www.ande.gov.py/finanzas/BAGP%202025%20ANDE.pdf</t>
        </is>
      </c>
      <c r="S112" s="6" t="inlineStr">
        <is>
          <t>ANDE-BAGP-2025</t>
        </is>
      </c>
      <c r="T112" s="6" t="inlineStr"/>
      <c r="U112" s="4" t="inlineStr">
        <is>
          <t>2026-09-10 23:00:00</t>
        </is>
      </c>
      <c r="V112" s="4" t="inlineStr">
        <is>
          <t>Maximo mensual publicado.</t>
        </is>
      </c>
    </row>
    <row r="113">
      <c r="A113" s="6" t="inlineStr">
        <is>
          <t>R0000112</t>
        </is>
      </c>
      <c r="B113" s="6" t="inlineStr">
        <is>
          <t>2025-10-01</t>
        </is>
      </c>
      <c r="C113" s="6" t="inlineStr">
        <is>
          <t>2025-10-31</t>
        </is>
      </c>
      <c r="D113" s="6" t="inlineStr">
        <is>
          <t>month</t>
        </is>
      </c>
      <c r="E113" s="6" t="inlineStr">
        <is>
          <t>PY_MAX_DEMAND</t>
        </is>
      </c>
      <c r="F113" s="6" t="inlineStr">
        <is>
          <t>PY_SIN</t>
        </is>
      </c>
      <c r="G113" s="6" t="inlineStr">
        <is>
          <t>PY</t>
        </is>
      </c>
      <c r="H113" s="6" t="inlineStr">
        <is>
          <t>PY</t>
        </is>
      </c>
      <c r="I113" s="8" t="n">
        <v>4718</v>
      </c>
      <c r="J113" s="6" t="inlineStr">
        <is>
          <t>MW</t>
        </is>
      </c>
      <c r="K113" s="8" t="n">
        <v>4718</v>
      </c>
      <c r="L113" s="6" t="inlineStr">
        <is>
          <t>MW</t>
        </is>
      </c>
      <c r="M113" s="6" t="inlineStr">
        <is>
          <t>ANDE</t>
        </is>
      </c>
      <c r="N113" s="6" t="inlineStr">
        <is>
          <t>OFFICIAL_PRIMARY</t>
        </is>
      </c>
      <c r="O113" s="9" t="inlineStr">
        <is>
          <t>OFFICIAL_AGGREGATE</t>
        </is>
      </c>
      <c r="P113" s="8" t="n">
        <v>1</v>
      </c>
      <c r="Q113" s="8" t="n">
        <v>50</v>
      </c>
      <c r="R113" s="7" t="inlineStr">
        <is>
          <t>https://www.ande.gov.py/finanzas/BAGP%202025%20ANDE.pdf</t>
        </is>
      </c>
      <c r="S113" s="6" t="inlineStr">
        <is>
          <t>ANDE-BAGP-2025</t>
        </is>
      </c>
      <c r="T113" s="6" t="inlineStr"/>
      <c r="U113" s="4" t="inlineStr">
        <is>
          <t>2026-09-10 23:00:00</t>
        </is>
      </c>
      <c r="V113" s="4" t="inlineStr">
        <is>
          <t>Maximo mensual publicado.</t>
        </is>
      </c>
    </row>
    <row r="114">
      <c r="A114" s="6" t="inlineStr">
        <is>
          <t>R0000113</t>
        </is>
      </c>
      <c r="B114" s="6" t="inlineStr">
        <is>
          <t>2025-11-01</t>
        </is>
      </c>
      <c r="C114" s="6" t="inlineStr">
        <is>
          <t>2025-11-30</t>
        </is>
      </c>
      <c r="D114" s="6" t="inlineStr">
        <is>
          <t>month</t>
        </is>
      </c>
      <c r="E114" s="6" t="inlineStr">
        <is>
          <t>PY_MAX_DEMAND</t>
        </is>
      </c>
      <c r="F114" s="6" t="inlineStr">
        <is>
          <t>PY_SIN</t>
        </is>
      </c>
      <c r="G114" s="6" t="inlineStr">
        <is>
          <t>PY</t>
        </is>
      </c>
      <c r="H114" s="6" t="inlineStr">
        <is>
          <t>PY</t>
        </is>
      </c>
      <c r="I114" s="8" t="n">
        <v>5269</v>
      </c>
      <c r="J114" s="6" t="inlineStr">
        <is>
          <t>MW</t>
        </is>
      </c>
      <c r="K114" s="8" t="n">
        <v>5269</v>
      </c>
      <c r="L114" s="6" t="inlineStr">
        <is>
          <t>MW</t>
        </is>
      </c>
      <c r="M114" s="6" t="inlineStr">
        <is>
          <t>ANDE</t>
        </is>
      </c>
      <c r="N114" s="6" t="inlineStr">
        <is>
          <t>OFFICIAL_PRIMARY</t>
        </is>
      </c>
      <c r="O114" s="9" t="inlineStr">
        <is>
          <t>OFFICIAL_AGGREGATE</t>
        </is>
      </c>
      <c r="P114" s="8" t="n">
        <v>1</v>
      </c>
      <c r="Q114" s="8" t="n">
        <v>50</v>
      </c>
      <c r="R114" s="7" t="inlineStr">
        <is>
          <t>https://www.ande.gov.py/finanzas/BAGP%202025%20ANDE.pdf</t>
        </is>
      </c>
      <c r="S114" s="6" t="inlineStr">
        <is>
          <t>ANDE-BAGP-2025</t>
        </is>
      </c>
      <c r="T114" s="6" t="inlineStr"/>
      <c r="U114" s="4" t="inlineStr">
        <is>
          <t>2026-09-10 23:00:00</t>
        </is>
      </c>
      <c r="V114" s="4" t="inlineStr">
        <is>
          <t>Maximo mensual publicado.</t>
        </is>
      </c>
    </row>
    <row r="115">
      <c r="A115" s="6" t="inlineStr">
        <is>
          <t>R0000114</t>
        </is>
      </c>
      <c r="B115" s="6" t="inlineStr">
        <is>
          <t>2025-12-01</t>
        </is>
      </c>
      <c r="C115" s="6" t="inlineStr">
        <is>
          <t>2025-12-31</t>
        </is>
      </c>
      <c r="D115" s="6" t="inlineStr">
        <is>
          <t>month</t>
        </is>
      </c>
      <c r="E115" s="6" t="inlineStr">
        <is>
          <t>PY_MAX_DEMAND</t>
        </is>
      </c>
      <c r="F115" s="6" t="inlineStr">
        <is>
          <t>PY_SIN</t>
        </is>
      </c>
      <c r="G115" s="6" t="inlineStr">
        <is>
          <t>PY</t>
        </is>
      </c>
      <c r="H115" s="6" t="inlineStr">
        <is>
          <t>PY</t>
        </is>
      </c>
      <c r="I115" s="8" t="n">
        <v>5280</v>
      </c>
      <c r="J115" s="6" t="inlineStr">
        <is>
          <t>MW</t>
        </is>
      </c>
      <c r="K115" s="8" t="n">
        <v>5280</v>
      </c>
      <c r="L115" s="6" t="inlineStr">
        <is>
          <t>MW</t>
        </is>
      </c>
      <c r="M115" s="6" t="inlineStr">
        <is>
          <t>ANDE</t>
        </is>
      </c>
      <c r="N115" s="6" t="inlineStr">
        <is>
          <t>OFFICIAL_PRIMARY</t>
        </is>
      </c>
      <c r="O115" s="9" t="inlineStr">
        <is>
          <t>OFFICIAL_AGGREGATE</t>
        </is>
      </c>
      <c r="P115" s="8" t="n">
        <v>1</v>
      </c>
      <c r="Q115" s="8" t="n">
        <v>50</v>
      </c>
      <c r="R115" s="7" t="inlineStr">
        <is>
          <t>https://www.ande.gov.py/finanzas/BAGP%202025%20ANDE.pdf</t>
        </is>
      </c>
      <c r="S115" s="6" t="inlineStr">
        <is>
          <t>ANDE-BAGP-2025</t>
        </is>
      </c>
      <c r="T115" s="6" t="inlineStr"/>
      <c r="U115" s="4" t="inlineStr">
        <is>
          <t>2026-09-10 23:00:00</t>
        </is>
      </c>
      <c r="V115" s="4" t="inlineStr">
        <is>
          <t>Máximo anual: 5.280 MW; ANDE reportó el récord el 15/12/2025 a las 14:12.</t>
        </is>
      </c>
    </row>
    <row r="116">
      <c r="A116" s="6" t="inlineStr">
        <is>
          <t>R0000115</t>
        </is>
      </c>
      <c r="B116" s="6" t="inlineStr">
        <is>
          <t>2026-01-01</t>
        </is>
      </c>
      <c r="C116" s="6" t="inlineStr">
        <is>
          <t>2026-01-31</t>
        </is>
      </c>
      <c r="D116" s="6" t="inlineStr">
        <is>
          <t>month</t>
        </is>
      </c>
      <c r="E116" s="6" t="inlineStr">
        <is>
          <t>PY_CONSUMPTION_ENERGY</t>
        </is>
      </c>
      <c r="F116" s="6" t="inlineStr">
        <is>
          <t>PY_SIN</t>
        </is>
      </c>
      <c r="G116" s="6" t="inlineStr">
        <is>
          <t>PY</t>
        </is>
      </c>
      <c r="H116" s="6" t="inlineStr">
        <is>
          <t>PY</t>
        </is>
      </c>
      <c r="I116" s="8" t="n">
        <v>3223304</v>
      </c>
      <c r="J116" s="6" t="inlineStr">
        <is>
          <t>MWh</t>
        </is>
      </c>
      <c r="K116" s="8" t="n">
        <v>3223304</v>
      </c>
      <c r="L116" s="6" t="inlineStr">
        <is>
          <t>MWh</t>
        </is>
      </c>
      <c r="M116" s="6" t="inlineStr">
        <is>
          <t>ANDE</t>
        </is>
      </c>
      <c r="N116" s="6" t="inlineStr">
        <is>
          <t>OFFICIAL_PRIMARY</t>
        </is>
      </c>
      <c r="O116" s="9" t="inlineStr">
        <is>
          <t>OFFICIAL_AGGREGATE</t>
        </is>
      </c>
      <c r="P116" s="8" t="n">
        <v>1</v>
      </c>
      <c r="Q116" s="8" t="n">
        <v>50</v>
      </c>
      <c r="R116" s="7" t="inlineStr">
        <is>
          <t>https://www.ande.gov.py/interna.php?id=14950</t>
        </is>
      </c>
      <c r="S116" s="6" t="inlineStr">
        <is>
          <t>ANDE-ENE-2026</t>
        </is>
      </c>
      <c r="T116" s="6" t="inlineStr"/>
      <c r="U116" s="4" t="inlineStr">
        <is>
          <t>2026-09-10 23:00:00</t>
        </is>
      </c>
      <c r="V116" s="4" t="inlineStr">
        <is>
          <t>Consumo/energia abastecida publicada por ANDE.</t>
        </is>
      </c>
    </row>
    <row r="117">
      <c r="A117" s="6" t="inlineStr">
        <is>
          <t>R0000116</t>
        </is>
      </c>
      <c r="B117" s="6" t="inlineStr">
        <is>
          <t>2026-01-01</t>
        </is>
      </c>
      <c r="C117" s="6" t="inlineStr">
        <is>
          <t>2026-01-31</t>
        </is>
      </c>
      <c r="D117" s="6" t="inlineStr">
        <is>
          <t>month</t>
        </is>
      </c>
      <c r="E117" s="6" t="inlineStr">
        <is>
          <t>ENERGY_TO_PY</t>
        </is>
      </c>
      <c r="F117" s="6" t="inlineStr">
        <is>
          <t>ITAIPU</t>
        </is>
      </c>
      <c r="G117" s="6" t="inlineStr">
        <is>
          <t>ITAIPU</t>
        </is>
      </c>
      <c r="H117" s="6" t="inlineStr">
        <is>
          <t>PY</t>
        </is>
      </c>
      <c r="I117" s="8" t="n">
        <v>2619365</v>
      </c>
      <c r="J117" s="6" t="inlineStr">
        <is>
          <t>MWh</t>
        </is>
      </c>
      <c r="K117" s="8" t="n">
        <v>2619365</v>
      </c>
      <c r="L117" s="6" t="inlineStr">
        <is>
          <t>MWh</t>
        </is>
      </c>
      <c r="M117" s="6" t="inlineStr">
        <is>
          <t>ANDE</t>
        </is>
      </c>
      <c r="N117" s="6" t="inlineStr">
        <is>
          <t>OFFICIAL_PRIMARY</t>
        </is>
      </c>
      <c r="O117" s="9" t="inlineStr">
        <is>
          <t>OFFICIAL_AGGREGATE</t>
        </is>
      </c>
      <c r="P117" s="8" t="n">
        <v>1</v>
      </c>
      <c r="Q117" s="8" t="n">
        <v>50</v>
      </c>
      <c r="R117" s="7" t="inlineStr">
        <is>
          <t>https://www.ande.gov.py/interna.php?id=14950</t>
        </is>
      </c>
      <c r="S117" s="6" t="inlineStr">
        <is>
          <t>ANDE-ENE-2026</t>
        </is>
      </c>
      <c r="T117" s="6" t="inlineStr"/>
      <c r="U117" s="4" t="inlineStr">
        <is>
          <t>2026-09-10 23:00:00</t>
        </is>
      </c>
      <c r="V117" s="4" t="inlineStr">
        <is>
          <t>Aporte de Itaipu al SIN paraguayo.</t>
        </is>
      </c>
    </row>
    <row r="118">
      <c r="A118" s="6" t="inlineStr">
        <is>
          <t>R0000117</t>
        </is>
      </c>
      <c r="B118" s="6" t="inlineStr">
        <is>
          <t>2026-01-01</t>
        </is>
      </c>
      <c r="C118" s="6" t="inlineStr">
        <is>
          <t>2026-01-31</t>
        </is>
      </c>
      <c r="D118" s="6" t="inlineStr">
        <is>
          <t>month</t>
        </is>
      </c>
      <c r="E118" s="6" t="inlineStr">
        <is>
          <t>ENERGY_TO_PY</t>
        </is>
      </c>
      <c r="F118" s="6" t="inlineStr">
        <is>
          <t>YACYRETA</t>
        </is>
      </c>
      <c r="G118" s="6" t="inlineStr">
        <is>
          <t>YACYRETA</t>
        </is>
      </c>
      <c r="H118" s="6" t="inlineStr">
        <is>
          <t>PY</t>
        </is>
      </c>
      <c r="I118" s="8" t="n">
        <v>508366</v>
      </c>
      <c r="J118" s="6" t="inlineStr">
        <is>
          <t>MWh</t>
        </is>
      </c>
      <c r="K118" s="8" t="n">
        <v>508366</v>
      </c>
      <c r="L118" s="6" t="inlineStr">
        <is>
          <t>MWh</t>
        </is>
      </c>
      <c r="M118" s="6" t="inlineStr">
        <is>
          <t>ANDE</t>
        </is>
      </c>
      <c r="N118" s="6" t="inlineStr">
        <is>
          <t>OFFICIAL_PRIMARY</t>
        </is>
      </c>
      <c r="O118" s="9" t="inlineStr">
        <is>
          <t>OFFICIAL_AGGREGATE</t>
        </is>
      </c>
      <c r="P118" s="8" t="n">
        <v>1</v>
      </c>
      <c r="Q118" s="8" t="n">
        <v>50</v>
      </c>
      <c r="R118" s="7" t="inlineStr">
        <is>
          <t>https://www.ande.gov.py/interna.php?id=14950</t>
        </is>
      </c>
      <c r="S118" s="6" t="inlineStr">
        <is>
          <t>ANDE-ENE-2026</t>
        </is>
      </c>
      <c r="T118" s="6" t="inlineStr"/>
      <c r="U118" s="4" t="inlineStr">
        <is>
          <t>2026-09-10 23:00:00</t>
        </is>
      </c>
      <c r="V118" s="4" t="inlineStr">
        <is>
          <t>Aporte de Yacyreta al SIN paraguayo.</t>
        </is>
      </c>
    </row>
    <row r="119">
      <c r="A119" s="6" t="inlineStr">
        <is>
          <t>R0000118</t>
        </is>
      </c>
      <c r="B119" s="6" t="inlineStr">
        <is>
          <t>2026-01-01</t>
        </is>
      </c>
      <c r="C119" s="6" t="inlineStr">
        <is>
          <t>2026-01-31</t>
        </is>
      </c>
      <c r="D119" s="6" t="inlineStr">
        <is>
          <t>month</t>
        </is>
      </c>
      <c r="E119" s="6" t="inlineStr">
        <is>
          <t>ENERGY_TO_PY</t>
        </is>
      </c>
      <c r="F119" s="6" t="inlineStr">
        <is>
          <t>ACARAY</t>
        </is>
      </c>
      <c r="G119" s="6" t="inlineStr">
        <is>
          <t>ACARAY</t>
        </is>
      </c>
      <c r="H119" s="6" t="inlineStr">
        <is>
          <t>PY</t>
        </is>
      </c>
      <c r="I119" s="8" t="n">
        <v>95563</v>
      </c>
      <c r="J119" s="6" t="inlineStr">
        <is>
          <t>MWh</t>
        </is>
      </c>
      <c r="K119" s="8" t="n">
        <v>95563</v>
      </c>
      <c r="L119" s="6" t="inlineStr">
        <is>
          <t>MWh</t>
        </is>
      </c>
      <c r="M119" s="6" t="inlineStr">
        <is>
          <t>ANDE</t>
        </is>
      </c>
      <c r="N119" s="6" t="inlineStr">
        <is>
          <t>OFFICIAL_PRIMARY</t>
        </is>
      </c>
      <c r="O119" s="9" t="inlineStr">
        <is>
          <t>OFFICIAL_AGGREGATE</t>
        </is>
      </c>
      <c r="P119" s="8" t="n">
        <v>1</v>
      </c>
      <c r="Q119" s="8" t="n">
        <v>50</v>
      </c>
      <c r="R119" s="7" t="inlineStr">
        <is>
          <t>https://www.ande.gov.py/interna.php?id=14950</t>
        </is>
      </c>
      <c r="S119" s="6" t="inlineStr">
        <is>
          <t>ANDE-ENE-2026</t>
        </is>
      </c>
      <c r="T119" s="6" t="inlineStr"/>
      <c r="U119" s="4" t="inlineStr">
        <is>
          <t>2026-09-10 23:00:00</t>
        </is>
      </c>
      <c r="V119" s="4" t="inlineStr">
        <is>
          <t>Aporte de Acaray al SIN paraguayo.</t>
        </is>
      </c>
    </row>
    <row r="120">
      <c r="A120" s="6" t="inlineStr">
        <is>
          <t>R0000119</t>
        </is>
      </c>
      <c r="B120" s="6" t="inlineStr">
        <is>
          <t>2026-01-01</t>
        </is>
      </c>
      <c r="C120" s="6" t="inlineStr">
        <is>
          <t>2026-01-31</t>
        </is>
      </c>
      <c r="D120" s="6" t="inlineStr">
        <is>
          <t>month</t>
        </is>
      </c>
      <c r="E120" s="6" t="inlineStr">
        <is>
          <t>ENERGY_TO_PY</t>
        </is>
      </c>
      <c r="F120" s="6" t="inlineStr">
        <is>
          <t>SOLAR_PTO_ESPERANZA</t>
        </is>
      </c>
      <c r="G120" s="6" t="inlineStr">
        <is>
          <t>SOLAR_PTO_ESPERANZA</t>
        </is>
      </c>
      <c r="H120" s="6" t="inlineStr">
        <is>
          <t>PY</t>
        </is>
      </c>
      <c r="I120" s="8" t="n">
        <v>10</v>
      </c>
      <c r="J120" s="6" t="inlineStr">
        <is>
          <t>MWh</t>
        </is>
      </c>
      <c r="K120" s="8" t="n">
        <v>10</v>
      </c>
      <c r="L120" s="6" t="inlineStr">
        <is>
          <t>MWh</t>
        </is>
      </c>
      <c r="M120" s="6" t="inlineStr">
        <is>
          <t>ANDE</t>
        </is>
      </c>
      <c r="N120" s="6" t="inlineStr">
        <is>
          <t>OFFICIAL_PRIMARY</t>
        </is>
      </c>
      <c r="O120" s="9" t="inlineStr">
        <is>
          <t>OFFICIAL_AGGREGATE</t>
        </is>
      </c>
      <c r="P120" s="8" t="n">
        <v>1</v>
      </c>
      <c r="Q120" s="8" t="n">
        <v>50</v>
      </c>
      <c r="R120" s="7" t="inlineStr">
        <is>
          <t>https://www.ande.gov.py/interna.php?id=14950</t>
        </is>
      </c>
      <c r="S120" s="6" t="inlineStr">
        <is>
          <t>ANDE-ENE-2026</t>
        </is>
      </c>
      <c r="T120" s="6" t="inlineStr"/>
      <c r="U120" s="4" t="inlineStr">
        <is>
          <t>2026-09-10 23:00:00</t>
        </is>
      </c>
      <c r="V120" s="4" t="inlineStr">
        <is>
          <t>Aporte solar publicado.</t>
        </is>
      </c>
    </row>
    <row r="121">
      <c r="A121" s="6" t="inlineStr">
        <is>
          <t>R0000120</t>
        </is>
      </c>
      <c r="B121" s="6" t="inlineStr">
        <is>
          <t>2026-02-01</t>
        </is>
      </c>
      <c r="C121" s="6" t="inlineStr">
        <is>
          <t>2026-02-28</t>
        </is>
      </c>
      <c r="D121" s="6" t="inlineStr">
        <is>
          <t>month</t>
        </is>
      </c>
      <c r="E121" s="6" t="inlineStr">
        <is>
          <t>PY_CONSUMPTION_ENERGY</t>
        </is>
      </c>
      <c r="F121" s="6" t="inlineStr">
        <is>
          <t>PY_SIN</t>
        </is>
      </c>
      <c r="G121" s="6" t="inlineStr">
        <is>
          <t>PY</t>
        </is>
      </c>
      <c r="H121" s="6" t="inlineStr">
        <is>
          <t>PY</t>
        </is>
      </c>
      <c r="I121" s="8" t="n">
        <v>3087119</v>
      </c>
      <c r="J121" s="6" t="inlineStr">
        <is>
          <t>MWh</t>
        </is>
      </c>
      <c r="K121" s="8" t="n">
        <v>3087119</v>
      </c>
      <c r="L121" s="6" t="inlineStr">
        <is>
          <t>MWh</t>
        </is>
      </c>
      <c r="M121" s="6" t="inlineStr">
        <is>
          <t>ANDE</t>
        </is>
      </c>
      <c r="N121" s="6" t="inlineStr">
        <is>
          <t>OFFICIAL_PRIMARY</t>
        </is>
      </c>
      <c r="O121" s="9" t="inlineStr">
        <is>
          <t>OFFICIAL_AGGREGATE</t>
        </is>
      </c>
      <c r="P121" s="8" t="n">
        <v>1</v>
      </c>
      <c r="Q121" s="8" t="n">
        <v>50</v>
      </c>
      <c r="R121" s="7" t="inlineStr">
        <is>
          <t>https://www.ande.gov.py/interna.php?id=15049</t>
        </is>
      </c>
      <c r="S121" s="6" t="inlineStr">
        <is>
          <t>ANDE-FEB-2026</t>
        </is>
      </c>
      <c r="T121" s="6" t="inlineStr"/>
      <c r="U121" s="4" t="inlineStr">
        <is>
          <t>2026-09-10 23:00:00</t>
        </is>
      </c>
      <c r="V121" s="4" t="inlineStr">
        <is>
          <t>Consumo/energia abastecida publicada por ANDE.</t>
        </is>
      </c>
    </row>
    <row r="122">
      <c r="A122" s="6" t="inlineStr">
        <is>
          <t>R0000121</t>
        </is>
      </c>
      <c r="B122" s="6" t="inlineStr">
        <is>
          <t>2026-02-01</t>
        </is>
      </c>
      <c r="C122" s="6" t="inlineStr">
        <is>
          <t>2026-02-28</t>
        </is>
      </c>
      <c r="D122" s="6" t="inlineStr">
        <is>
          <t>month</t>
        </is>
      </c>
      <c r="E122" s="6" t="inlineStr">
        <is>
          <t>ENERGY_TO_PY</t>
        </is>
      </c>
      <c r="F122" s="6" t="inlineStr">
        <is>
          <t>ITAIPU</t>
        </is>
      </c>
      <c r="G122" s="6" t="inlineStr">
        <is>
          <t>ITAIPU</t>
        </is>
      </c>
      <c r="H122" s="6" t="inlineStr">
        <is>
          <t>PY</t>
        </is>
      </c>
      <c r="I122" s="8" t="n">
        <v>2476926</v>
      </c>
      <c r="J122" s="6" t="inlineStr">
        <is>
          <t>MWh</t>
        </is>
      </c>
      <c r="K122" s="8" t="n">
        <v>2476926</v>
      </c>
      <c r="L122" s="6" t="inlineStr">
        <is>
          <t>MWh</t>
        </is>
      </c>
      <c r="M122" s="6" t="inlineStr">
        <is>
          <t>ANDE</t>
        </is>
      </c>
      <c r="N122" s="6" t="inlineStr">
        <is>
          <t>OFFICIAL_PRIMARY</t>
        </is>
      </c>
      <c r="O122" s="9" t="inlineStr">
        <is>
          <t>OFFICIAL_AGGREGATE</t>
        </is>
      </c>
      <c r="P122" s="8" t="n">
        <v>1</v>
      </c>
      <c r="Q122" s="8" t="n">
        <v>50</v>
      </c>
      <c r="R122" s="7" t="inlineStr">
        <is>
          <t>https://www.ande.gov.py/interna.php?id=15049</t>
        </is>
      </c>
      <c r="S122" s="6" t="inlineStr">
        <is>
          <t>ANDE-FEB-2026</t>
        </is>
      </c>
      <c r="T122" s="6" t="inlineStr"/>
      <c r="U122" s="4" t="inlineStr">
        <is>
          <t>2026-09-10 23:00:00</t>
        </is>
      </c>
      <c r="V122" s="4" t="inlineStr">
        <is>
          <t>Aporte de Itaipu al SIN paraguayo.</t>
        </is>
      </c>
    </row>
    <row r="123">
      <c r="A123" s="6" t="inlineStr">
        <is>
          <t>R0000122</t>
        </is>
      </c>
      <c r="B123" s="6" t="inlineStr">
        <is>
          <t>2026-02-01</t>
        </is>
      </c>
      <c r="C123" s="6" t="inlineStr">
        <is>
          <t>2026-02-28</t>
        </is>
      </c>
      <c r="D123" s="6" t="inlineStr">
        <is>
          <t>month</t>
        </is>
      </c>
      <c r="E123" s="6" t="inlineStr">
        <is>
          <t>ENERGY_TO_PY</t>
        </is>
      </c>
      <c r="F123" s="6" t="inlineStr">
        <is>
          <t>YACYRETA</t>
        </is>
      </c>
      <c r="G123" s="6" t="inlineStr">
        <is>
          <t>YACYRETA</t>
        </is>
      </c>
      <c r="H123" s="6" t="inlineStr">
        <is>
          <t>PY</t>
        </is>
      </c>
      <c r="I123" s="8" t="n">
        <v>533159</v>
      </c>
      <c r="J123" s="6" t="inlineStr">
        <is>
          <t>MWh</t>
        </is>
      </c>
      <c r="K123" s="8" t="n">
        <v>533159</v>
      </c>
      <c r="L123" s="6" t="inlineStr">
        <is>
          <t>MWh</t>
        </is>
      </c>
      <c r="M123" s="6" t="inlineStr">
        <is>
          <t>ANDE</t>
        </is>
      </c>
      <c r="N123" s="6" t="inlineStr">
        <is>
          <t>OFFICIAL_PRIMARY</t>
        </is>
      </c>
      <c r="O123" s="9" t="inlineStr">
        <is>
          <t>OFFICIAL_AGGREGATE</t>
        </is>
      </c>
      <c r="P123" s="8" t="n">
        <v>1</v>
      </c>
      <c r="Q123" s="8" t="n">
        <v>50</v>
      </c>
      <c r="R123" s="7" t="inlineStr">
        <is>
          <t>https://www.ande.gov.py/interna.php?id=15049</t>
        </is>
      </c>
      <c r="S123" s="6" t="inlineStr">
        <is>
          <t>ANDE-FEB-2026</t>
        </is>
      </c>
      <c r="T123" s="6" t="inlineStr"/>
      <c r="U123" s="4" t="inlineStr">
        <is>
          <t>2026-09-10 23:00:00</t>
        </is>
      </c>
      <c r="V123" s="4" t="inlineStr">
        <is>
          <t>Aporte de Yacyreta al SIN paraguayo.</t>
        </is>
      </c>
    </row>
    <row r="124">
      <c r="A124" s="6" t="inlineStr">
        <is>
          <t>R0000123</t>
        </is>
      </c>
      <c r="B124" s="6" t="inlineStr">
        <is>
          <t>2026-02-01</t>
        </is>
      </c>
      <c r="C124" s="6" t="inlineStr">
        <is>
          <t>2026-02-28</t>
        </is>
      </c>
      <c r="D124" s="6" t="inlineStr">
        <is>
          <t>month</t>
        </is>
      </c>
      <c r="E124" s="6" t="inlineStr">
        <is>
          <t>ENERGY_TO_PY</t>
        </is>
      </c>
      <c r="F124" s="6" t="inlineStr">
        <is>
          <t>ACARAY</t>
        </is>
      </c>
      <c r="G124" s="6" t="inlineStr">
        <is>
          <t>ACARAY</t>
        </is>
      </c>
      <c r="H124" s="6" t="inlineStr">
        <is>
          <t>PY</t>
        </is>
      </c>
      <c r="I124" s="8" t="n">
        <v>78025</v>
      </c>
      <c r="J124" s="6" t="inlineStr">
        <is>
          <t>MWh</t>
        </is>
      </c>
      <c r="K124" s="8" t="n">
        <v>78025</v>
      </c>
      <c r="L124" s="6" t="inlineStr">
        <is>
          <t>MWh</t>
        </is>
      </c>
      <c r="M124" s="6" t="inlineStr">
        <is>
          <t>ANDE</t>
        </is>
      </c>
      <c r="N124" s="6" t="inlineStr">
        <is>
          <t>OFFICIAL_PRIMARY</t>
        </is>
      </c>
      <c r="O124" s="9" t="inlineStr">
        <is>
          <t>OFFICIAL_AGGREGATE</t>
        </is>
      </c>
      <c r="P124" s="8" t="n">
        <v>1</v>
      </c>
      <c r="Q124" s="8" t="n">
        <v>50</v>
      </c>
      <c r="R124" s="7" t="inlineStr">
        <is>
          <t>https://www.ande.gov.py/interna.php?id=15049</t>
        </is>
      </c>
      <c r="S124" s="6" t="inlineStr">
        <is>
          <t>ANDE-FEB-2026</t>
        </is>
      </c>
      <c r="T124" s="6" t="inlineStr"/>
      <c r="U124" s="4" t="inlineStr">
        <is>
          <t>2026-09-10 23:00:00</t>
        </is>
      </c>
      <c r="V124" s="4" t="inlineStr">
        <is>
          <t>Aporte de Acaray al SIN paraguayo.</t>
        </is>
      </c>
    </row>
    <row r="125">
      <c r="A125" s="6" t="inlineStr">
        <is>
          <t>R0000124</t>
        </is>
      </c>
      <c r="B125" s="6" t="inlineStr">
        <is>
          <t>2026-02-01</t>
        </is>
      </c>
      <c r="C125" s="6" t="inlineStr">
        <is>
          <t>2026-02-28</t>
        </is>
      </c>
      <c r="D125" s="6" t="inlineStr">
        <is>
          <t>month</t>
        </is>
      </c>
      <c r="E125" s="6" t="inlineStr">
        <is>
          <t>ENERGY_TO_PY</t>
        </is>
      </c>
      <c r="F125" s="6" t="inlineStr">
        <is>
          <t>SOLAR_PTO_ESPERANZA</t>
        </is>
      </c>
      <c r="G125" s="6" t="inlineStr">
        <is>
          <t>SOLAR_PTO_ESPERANZA</t>
        </is>
      </c>
      <c r="H125" s="6" t="inlineStr">
        <is>
          <t>PY</t>
        </is>
      </c>
      <c r="I125" s="8" t="n">
        <v>8.5</v>
      </c>
      <c r="J125" s="6" t="inlineStr">
        <is>
          <t>MWh</t>
        </is>
      </c>
      <c r="K125" s="8" t="n">
        <v>8.5</v>
      </c>
      <c r="L125" s="6" t="inlineStr">
        <is>
          <t>MWh</t>
        </is>
      </c>
      <c r="M125" s="6" t="inlineStr">
        <is>
          <t>ANDE</t>
        </is>
      </c>
      <c r="N125" s="6" t="inlineStr">
        <is>
          <t>OFFICIAL_PRIMARY</t>
        </is>
      </c>
      <c r="O125" s="9" t="inlineStr">
        <is>
          <t>OFFICIAL_AGGREGATE</t>
        </is>
      </c>
      <c r="P125" s="8" t="n">
        <v>1</v>
      </c>
      <c r="Q125" s="8" t="n">
        <v>50</v>
      </c>
      <c r="R125" s="7" t="inlineStr">
        <is>
          <t>https://www.ande.gov.py/interna.php?id=15049</t>
        </is>
      </c>
      <c r="S125" s="6" t="inlineStr">
        <is>
          <t>ANDE-FEB-2026</t>
        </is>
      </c>
      <c r="T125" s="6" t="inlineStr"/>
      <c r="U125" s="4" t="inlineStr">
        <is>
          <t>2026-09-10 23:00:00</t>
        </is>
      </c>
      <c r="V125" s="4" t="inlineStr">
        <is>
          <t>Aporte solar publicado.</t>
        </is>
      </c>
    </row>
    <row r="126">
      <c r="A126" s="6" t="inlineStr">
        <is>
          <t>R0000125</t>
        </is>
      </c>
      <c r="B126" s="6" t="inlineStr">
        <is>
          <t>2026-03-01</t>
        </is>
      </c>
      <c r="C126" s="6" t="inlineStr">
        <is>
          <t>2026-03-31</t>
        </is>
      </c>
      <c r="D126" s="6" t="inlineStr">
        <is>
          <t>month</t>
        </is>
      </c>
      <c r="E126" s="6" t="inlineStr">
        <is>
          <t>PY_CONSUMPTION_ENERGY</t>
        </is>
      </c>
      <c r="F126" s="6" t="inlineStr">
        <is>
          <t>PY_SIN</t>
        </is>
      </c>
      <c r="G126" s="6" t="inlineStr">
        <is>
          <t>PY</t>
        </is>
      </c>
      <c r="H126" s="6" t="inlineStr">
        <is>
          <t>PY</t>
        </is>
      </c>
      <c r="I126" s="8" t="n">
        <v>3271101</v>
      </c>
      <c r="J126" s="6" t="inlineStr">
        <is>
          <t>MWh</t>
        </is>
      </c>
      <c r="K126" s="8" t="n">
        <v>3271101</v>
      </c>
      <c r="L126" s="6" t="inlineStr">
        <is>
          <t>MWh</t>
        </is>
      </c>
      <c r="M126" s="6" t="inlineStr">
        <is>
          <t>ANDE</t>
        </is>
      </c>
      <c r="N126" s="6" t="inlineStr">
        <is>
          <t>OFFICIAL_PRIMARY</t>
        </is>
      </c>
      <c r="O126" s="9" t="inlineStr">
        <is>
          <t>OFFICIAL_AGGREGATE</t>
        </is>
      </c>
      <c r="P126" s="8" t="n">
        <v>1</v>
      </c>
      <c r="Q126" s="8" t="n">
        <v>50</v>
      </c>
      <c r="R126" s="7" t="inlineStr">
        <is>
          <t>https://www.ande.gov.py/interna.php?id=15210</t>
        </is>
      </c>
      <c r="S126" s="6" t="inlineStr">
        <is>
          <t>ANDE-MAR-2026</t>
        </is>
      </c>
      <c r="T126" s="6" t="inlineStr"/>
      <c r="U126" s="4" t="inlineStr">
        <is>
          <t>2026-09-10 23:00:00</t>
        </is>
      </c>
      <c r="V126" s="4" t="inlineStr">
        <is>
          <t>Consumo/energia abastecida publicada por ANDE.</t>
        </is>
      </c>
    </row>
    <row r="127">
      <c r="A127" s="6" t="inlineStr">
        <is>
          <t>R0000126</t>
        </is>
      </c>
      <c r="B127" s="6" t="inlineStr">
        <is>
          <t>2026-03-01</t>
        </is>
      </c>
      <c r="C127" s="6" t="inlineStr">
        <is>
          <t>2026-03-31</t>
        </is>
      </c>
      <c r="D127" s="6" t="inlineStr">
        <is>
          <t>month</t>
        </is>
      </c>
      <c r="E127" s="6" t="inlineStr">
        <is>
          <t>ENERGY_TO_PY</t>
        </is>
      </c>
      <c r="F127" s="6" t="inlineStr">
        <is>
          <t>ITAIPU</t>
        </is>
      </c>
      <c r="G127" s="6" t="inlineStr">
        <is>
          <t>ITAIPU</t>
        </is>
      </c>
      <c r="H127" s="6" t="inlineStr">
        <is>
          <t>PY</t>
        </is>
      </c>
      <c r="I127" s="8" t="n">
        <v>2671573</v>
      </c>
      <c r="J127" s="6" t="inlineStr">
        <is>
          <t>MWh</t>
        </is>
      </c>
      <c r="K127" s="8" t="n">
        <v>2671573</v>
      </c>
      <c r="L127" s="6" t="inlineStr">
        <is>
          <t>MWh</t>
        </is>
      </c>
      <c r="M127" s="6" t="inlineStr">
        <is>
          <t>ANDE</t>
        </is>
      </c>
      <c r="N127" s="6" t="inlineStr">
        <is>
          <t>OFFICIAL_PRIMARY</t>
        </is>
      </c>
      <c r="O127" s="9" t="inlineStr">
        <is>
          <t>OFFICIAL_AGGREGATE</t>
        </is>
      </c>
      <c r="P127" s="8" t="n">
        <v>1</v>
      </c>
      <c r="Q127" s="8" t="n">
        <v>50</v>
      </c>
      <c r="R127" s="7" t="inlineStr">
        <is>
          <t>https://www.ande.gov.py/interna.php?id=15210</t>
        </is>
      </c>
      <c r="S127" s="6" t="inlineStr">
        <is>
          <t>ANDE-MAR-2026</t>
        </is>
      </c>
      <c r="T127" s="6" t="inlineStr"/>
      <c r="U127" s="4" t="inlineStr">
        <is>
          <t>2026-09-10 23:00:00</t>
        </is>
      </c>
      <c r="V127" s="4" t="inlineStr">
        <is>
          <t>Aporte de Itaipu al SIN paraguayo.</t>
        </is>
      </c>
    </row>
    <row r="128">
      <c r="A128" s="6" t="inlineStr">
        <is>
          <t>R0000127</t>
        </is>
      </c>
      <c r="B128" s="6" t="inlineStr">
        <is>
          <t>2026-03-01</t>
        </is>
      </c>
      <c r="C128" s="6" t="inlineStr">
        <is>
          <t>2026-03-31</t>
        </is>
      </c>
      <c r="D128" s="6" t="inlineStr">
        <is>
          <t>month</t>
        </is>
      </c>
      <c r="E128" s="6" t="inlineStr">
        <is>
          <t>ENERGY_TO_PY</t>
        </is>
      </c>
      <c r="F128" s="6" t="inlineStr">
        <is>
          <t>YACYRETA</t>
        </is>
      </c>
      <c r="G128" s="6" t="inlineStr">
        <is>
          <t>YACYRETA</t>
        </is>
      </c>
      <c r="H128" s="6" t="inlineStr">
        <is>
          <t>PY</t>
        </is>
      </c>
      <c r="I128" s="8" t="n">
        <v>521091</v>
      </c>
      <c r="J128" s="6" t="inlineStr">
        <is>
          <t>MWh</t>
        </is>
      </c>
      <c r="K128" s="8" t="n">
        <v>521091</v>
      </c>
      <c r="L128" s="6" t="inlineStr">
        <is>
          <t>MWh</t>
        </is>
      </c>
      <c r="M128" s="6" t="inlineStr">
        <is>
          <t>ANDE</t>
        </is>
      </c>
      <c r="N128" s="6" t="inlineStr">
        <is>
          <t>OFFICIAL_PRIMARY</t>
        </is>
      </c>
      <c r="O128" s="9" t="inlineStr">
        <is>
          <t>OFFICIAL_AGGREGATE</t>
        </is>
      </c>
      <c r="P128" s="8" t="n">
        <v>1</v>
      </c>
      <c r="Q128" s="8" t="n">
        <v>50</v>
      </c>
      <c r="R128" s="7" t="inlineStr">
        <is>
          <t>https://www.ande.gov.py/interna.php?id=15210</t>
        </is>
      </c>
      <c r="S128" s="6" t="inlineStr">
        <is>
          <t>ANDE-MAR-2026</t>
        </is>
      </c>
      <c r="T128" s="6" t="inlineStr"/>
      <c r="U128" s="4" t="inlineStr">
        <is>
          <t>2026-09-10 23:00:00</t>
        </is>
      </c>
      <c r="V128" s="4" t="inlineStr">
        <is>
          <t>Aporte de Yacyreta al SIN paraguayo.</t>
        </is>
      </c>
    </row>
    <row r="129">
      <c r="A129" s="6" t="inlineStr">
        <is>
          <t>R0000128</t>
        </is>
      </c>
      <c r="B129" s="6" t="inlineStr">
        <is>
          <t>2026-03-01</t>
        </is>
      </c>
      <c r="C129" s="6" t="inlineStr">
        <is>
          <t>2026-03-31</t>
        </is>
      </c>
      <c r="D129" s="6" t="inlineStr">
        <is>
          <t>month</t>
        </is>
      </c>
      <c r="E129" s="6" t="inlineStr">
        <is>
          <t>ENERGY_TO_PY</t>
        </is>
      </c>
      <c r="F129" s="6" t="inlineStr">
        <is>
          <t>ACARAY</t>
        </is>
      </c>
      <c r="G129" s="6" t="inlineStr">
        <is>
          <t>ACARAY</t>
        </is>
      </c>
      <c r="H129" s="6" t="inlineStr">
        <is>
          <t>PY</t>
        </is>
      </c>
      <c r="I129" s="8" t="n">
        <v>78428</v>
      </c>
      <c r="J129" s="6" t="inlineStr">
        <is>
          <t>MWh</t>
        </is>
      </c>
      <c r="K129" s="8" t="n">
        <v>78428</v>
      </c>
      <c r="L129" s="6" t="inlineStr">
        <is>
          <t>MWh</t>
        </is>
      </c>
      <c r="M129" s="6" t="inlineStr">
        <is>
          <t>ANDE</t>
        </is>
      </c>
      <c r="N129" s="6" t="inlineStr">
        <is>
          <t>OFFICIAL_PRIMARY</t>
        </is>
      </c>
      <c r="O129" s="9" t="inlineStr">
        <is>
          <t>OFFICIAL_AGGREGATE</t>
        </is>
      </c>
      <c r="P129" s="8" t="n">
        <v>1</v>
      </c>
      <c r="Q129" s="8" t="n">
        <v>50</v>
      </c>
      <c r="R129" s="7" t="inlineStr">
        <is>
          <t>https://www.ande.gov.py/interna.php?id=15210</t>
        </is>
      </c>
      <c r="S129" s="6" t="inlineStr">
        <is>
          <t>ANDE-MAR-2026</t>
        </is>
      </c>
      <c r="T129" s="6" t="inlineStr"/>
      <c r="U129" s="4" t="inlineStr">
        <is>
          <t>2026-09-10 23:00:00</t>
        </is>
      </c>
      <c r="V129" s="4" t="inlineStr">
        <is>
          <t>Aporte de Acaray al SIN paraguayo.</t>
        </is>
      </c>
    </row>
    <row r="130">
      <c r="A130" s="6" t="inlineStr">
        <is>
          <t>R0000129</t>
        </is>
      </c>
      <c r="B130" s="6" t="inlineStr">
        <is>
          <t>2026-03-01</t>
        </is>
      </c>
      <c r="C130" s="6" t="inlineStr">
        <is>
          <t>2026-03-31</t>
        </is>
      </c>
      <c r="D130" s="6" t="inlineStr">
        <is>
          <t>month</t>
        </is>
      </c>
      <c r="E130" s="6" t="inlineStr">
        <is>
          <t>ENERGY_TO_PY</t>
        </is>
      </c>
      <c r="F130" s="6" t="inlineStr">
        <is>
          <t>SOLAR_PTO_ESPERANZA</t>
        </is>
      </c>
      <c r="G130" s="6" t="inlineStr">
        <is>
          <t>SOLAR_PTO_ESPERANZA</t>
        </is>
      </c>
      <c r="H130" s="6" t="inlineStr">
        <is>
          <t>PY</t>
        </is>
      </c>
      <c r="I130" s="8" t="n">
        <v>9</v>
      </c>
      <c r="J130" s="6" t="inlineStr">
        <is>
          <t>MWh</t>
        </is>
      </c>
      <c r="K130" s="8" t="n">
        <v>9</v>
      </c>
      <c r="L130" s="6" t="inlineStr">
        <is>
          <t>MWh</t>
        </is>
      </c>
      <c r="M130" s="6" t="inlineStr">
        <is>
          <t>ANDE</t>
        </is>
      </c>
      <c r="N130" s="6" t="inlineStr">
        <is>
          <t>OFFICIAL_PRIMARY</t>
        </is>
      </c>
      <c r="O130" s="9" t="inlineStr">
        <is>
          <t>OFFICIAL_AGGREGATE</t>
        </is>
      </c>
      <c r="P130" s="8" t="n">
        <v>1</v>
      </c>
      <c r="Q130" s="8" t="n">
        <v>50</v>
      </c>
      <c r="R130" s="7" t="inlineStr">
        <is>
          <t>https://www.ande.gov.py/interna.php?id=15210</t>
        </is>
      </c>
      <c r="S130" s="6" t="inlineStr">
        <is>
          <t>ANDE-MAR-2026</t>
        </is>
      </c>
      <c r="T130" s="6" t="inlineStr"/>
      <c r="U130" s="4" t="inlineStr">
        <is>
          <t>2026-09-10 23:00:00</t>
        </is>
      </c>
      <c r="V130" s="4" t="inlineStr">
        <is>
          <t>Aporte solar publicado.</t>
        </is>
      </c>
    </row>
    <row r="131">
      <c r="A131" s="6" t="inlineStr">
        <is>
          <t>R0000130</t>
        </is>
      </c>
      <c r="B131" s="6" t="inlineStr">
        <is>
          <t>2026-04-01</t>
        </is>
      </c>
      <c r="C131" s="6" t="inlineStr">
        <is>
          <t>2026-04-30</t>
        </is>
      </c>
      <c r="D131" s="6" t="inlineStr">
        <is>
          <t>month</t>
        </is>
      </c>
      <c r="E131" s="6" t="inlineStr">
        <is>
          <t>PY_CONSUMPTION_ENERGY</t>
        </is>
      </c>
      <c r="F131" s="6" t="inlineStr">
        <is>
          <t>PY_SIN</t>
        </is>
      </c>
      <c r="G131" s="6" t="inlineStr">
        <is>
          <t>PY</t>
        </is>
      </c>
      <c r="H131" s="6" t="inlineStr">
        <is>
          <t>PY</t>
        </is>
      </c>
      <c r="I131" s="8" t="n">
        <v>2643200</v>
      </c>
      <c r="J131" s="6" t="inlineStr">
        <is>
          <t>MWh</t>
        </is>
      </c>
      <c r="K131" s="8" t="n">
        <v>2643200</v>
      </c>
      <c r="L131" s="6" t="inlineStr">
        <is>
          <t>MWh</t>
        </is>
      </c>
      <c r="M131" s="6" t="inlineStr">
        <is>
          <t>ANDE</t>
        </is>
      </c>
      <c r="N131" s="6" t="inlineStr">
        <is>
          <t>OFFICIAL_PRIMARY</t>
        </is>
      </c>
      <c r="O131" s="9" t="inlineStr">
        <is>
          <t>OFFICIAL_AGGREGATE</t>
        </is>
      </c>
      <c r="P131" s="8" t="n">
        <v>1</v>
      </c>
      <c r="Q131" s="8" t="n">
        <v>50</v>
      </c>
      <c r="R131" s="7" t="inlineStr">
        <is>
          <t>https://www.ande.gov.py/interna.php?id=15297</t>
        </is>
      </c>
      <c r="S131" s="6" t="inlineStr">
        <is>
          <t>ANDE-ABR-2026</t>
        </is>
      </c>
      <c r="T131" s="6" t="inlineStr"/>
      <c r="U131" s="4" t="inlineStr">
        <is>
          <t>2026-09-10 23:00:00</t>
        </is>
      </c>
      <c r="V131" s="4" t="inlineStr">
        <is>
          <t>Consumo/energia abastecida publicada por ANDE.</t>
        </is>
      </c>
    </row>
    <row r="132">
      <c r="A132" s="6" t="inlineStr">
        <is>
          <t>R0000131</t>
        </is>
      </c>
      <c r="B132" s="6" t="inlineStr">
        <is>
          <t>2026-04-01</t>
        </is>
      </c>
      <c r="C132" s="6" t="inlineStr">
        <is>
          <t>2026-04-30</t>
        </is>
      </c>
      <c r="D132" s="6" t="inlineStr">
        <is>
          <t>month</t>
        </is>
      </c>
      <c r="E132" s="6" t="inlineStr">
        <is>
          <t>ENERGY_TO_PY</t>
        </is>
      </c>
      <c r="F132" s="6" t="inlineStr">
        <is>
          <t>ITAIPU</t>
        </is>
      </c>
      <c r="G132" s="6" t="inlineStr">
        <is>
          <t>ITAIPU</t>
        </is>
      </c>
      <c r="H132" s="6" t="inlineStr">
        <is>
          <t>PY</t>
        </is>
      </c>
      <c r="I132" s="8" t="n">
        <v>2403300</v>
      </c>
      <c r="J132" s="6" t="inlineStr">
        <is>
          <t>MWh</t>
        </is>
      </c>
      <c r="K132" s="8" t="n">
        <v>2403300</v>
      </c>
      <c r="L132" s="6" t="inlineStr">
        <is>
          <t>MWh</t>
        </is>
      </c>
      <c r="M132" s="6" t="inlineStr">
        <is>
          <t>ANDE</t>
        </is>
      </c>
      <c r="N132" s="6" t="inlineStr">
        <is>
          <t>OFFICIAL_PRIMARY</t>
        </is>
      </c>
      <c r="O132" s="9" t="inlineStr">
        <is>
          <t>OFFICIAL_AGGREGATE</t>
        </is>
      </c>
      <c r="P132" s="8" t="n">
        <v>1</v>
      </c>
      <c r="Q132" s="8" t="n">
        <v>50</v>
      </c>
      <c r="R132" s="7" t="inlineStr">
        <is>
          <t>https://www.ande.gov.py/interna.php?id=15297</t>
        </is>
      </c>
      <c r="S132" s="6" t="inlineStr">
        <is>
          <t>ANDE-ABR-2026</t>
        </is>
      </c>
      <c r="T132" s="6" t="inlineStr"/>
      <c r="U132" s="4" t="inlineStr">
        <is>
          <t>2026-09-10 23:00:00</t>
        </is>
      </c>
      <c r="V132" s="4" t="inlineStr">
        <is>
          <t>Aporte de Itaipu al SIN paraguayo.</t>
        </is>
      </c>
    </row>
    <row r="133">
      <c r="A133" s="6" t="inlineStr">
        <is>
          <t>R0000132</t>
        </is>
      </c>
      <c r="B133" s="6" t="inlineStr">
        <is>
          <t>2026-04-01</t>
        </is>
      </c>
      <c r="C133" s="6" t="inlineStr">
        <is>
          <t>2026-04-30</t>
        </is>
      </c>
      <c r="D133" s="6" t="inlineStr">
        <is>
          <t>month</t>
        </is>
      </c>
      <c r="E133" s="6" t="inlineStr">
        <is>
          <t>ENERGY_TO_PY</t>
        </is>
      </c>
      <c r="F133" s="6" t="inlineStr">
        <is>
          <t>YACYRETA</t>
        </is>
      </c>
      <c r="G133" s="6" t="inlineStr">
        <is>
          <t>YACYRETA</t>
        </is>
      </c>
      <c r="H133" s="6" t="inlineStr">
        <is>
          <t>PY</t>
        </is>
      </c>
      <c r="I133" s="8" t="n">
        <v>186100</v>
      </c>
      <c r="J133" s="6" t="inlineStr">
        <is>
          <t>MWh</t>
        </is>
      </c>
      <c r="K133" s="8" t="n">
        <v>186100</v>
      </c>
      <c r="L133" s="6" t="inlineStr">
        <is>
          <t>MWh</t>
        </is>
      </c>
      <c r="M133" s="6" t="inlineStr">
        <is>
          <t>ANDE</t>
        </is>
      </c>
      <c r="N133" s="6" t="inlineStr">
        <is>
          <t>OFFICIAL_PRIMARY</t>
        </is>
      </c>
      <c r="O133" s="9" t="inlineStr">
        <is>
          <t>OFFICIAL_AGGREGATE</t>
        </is>
      </c>
      <c r="P133" s="8" t="n">
        <v>1</v>
      </c>
      <c r="Q133" s="8" t="n">
        <v>50</v>
      </c>
      <c r="R133" s="7" t="inlineStr">
        <is>
          <t>https://www.ande.gov.py/interna.php?id=15297</t>
        </is>
      </c>
      <c r="S133" s="6" t="inlineStr">
        <is>
          <t>ANDE-ABR-2026</t>
        </is>
      </c>
      <c r="T133" s="6" t="inlineStr"/>
      <c r="U133" s="4" t="inlineStr">
        <is>
          <t>2026-09-10 23:00:00</t>
        </is>
      </c>
      <c r="V133" s="4" t="inlineStr">
        <is>
          <t>Aporte de Yacyreta al SIN paraguayo.</t>
        </is>
      </c>
    </row>
    <row r="134">
      <c r="A134" s="6" t="inlineStr">
        <is>
          <t>R0000133</t>
        </is>
      </c>
      <c r="B134" s="6" t="inlineStr">
        <is>
          <t>2026-04-01</t>
        </is>
      </c>
      <c r="C134" s="6" t="inlineStr">
        <is>
          <t>2026-04-30</t>
        </is>
      </c>
      <c r="D134" s="6" t="inlineStr">
        <is>
          <t>month</t>
        </is>
      </c>
      <c r="E134" s="6" t="inlineStr">
        <is>
          <t>ENERGY_TO_PY</t>
        </is>
      </c>
      <c r="F134" s="6" t="inlineStr">
        <is>
          <t>ACARAY</t>
        </is>
      </c>
      <c r="G134" s="6" t="inlineStr">
        <is>
          <t>ACARAY</t>
        </is>
      </c>
      <c r="H134" s="6" t="inlineStr">
        <is>
          <t>PY</t>
        </is>
      </c>
      <c r="I134" s="8" t="n">
        <v>53700</v>
      </c>
      <c r="J134" s="6" t="inlineStr">
        <is>
          <t>MWh</t>
        </is>
      </c>
      <c r="K134" s="8" t="n">
        <v>53700</v>
      </c>
      <c r="L134" s="6" t="inlineStr">
        <is>
          <t>MWh</t>
        </is>
      </c>
      <c r="M134" s="6" t="inlineStr">
        <is>
          <t>ANDE</t>
        </is>
      </c>
      <c r="N134" s="6" t="inlineStr">
        <is>
          <t>OFFICIAL_PRIMARY</t>
        </is>
      </c>
      <c r="O134" s="9" t="inlineStr">
        <is>
          <t>OFFICIAL_AGGREGATE</t>
        </is>
      </c>
      <c r="P134" s="8" t="n">
        <v>1</v>
      </c>
      <c r="Q134" s="8" t="n">
        <v>50</v>
      </c>
      <c r="R134" s="7" t="inlineStr">
        <is>
          <t>https://www.ande.gov.py/interna.php?id=15297</t>
        </is>
      </c>
      <c r="S134" s="6" t="inlineStr">
        <is>
          <t>ANDE-ABR-2026</t>
        </is>
      </c>
      <c r="T134" s="6" t="inlineStr"/>
      <c r="U134" s="4" t="inlineStr">
        <is>
          <t>2026-09-10 23:00:00</t>
        </is>
      </c>
      <c r="V134" s="4" t="inlineStr">
        <is>
          <t>Aporte de Acaray al SIN paraguayo.</t>
        </is>
      </c>
    </row>
    <row r="135">
      <c r="A135" s="6" t="inlineStr">
        <is>
          <t>R0000134</t>
        </is>
      </c>
      <c r="B135" s="6" t="inlineStr">
        <is>
          <t>2026-04-01</t>
        </is>
      </c>
      <c r="C135" s="6" t="inlineStr">
        <is>
          <t>2026-04-30</t>
        </is>
      </c>
      <c r="D135" s="6" t="inlineStr">
        <is>
          <t>month</t>
        </is>
      </c>
      <c r="E135" s="6" t="inlineStr">
        <is>
          <t>ENERGY_TO_PY</t>
        </is>
      </c>
      <c r="F135" s="6" t="inlineStr">
        <is>
          <t>SOLAR_PTO_ESPERANZA</t>
        </is>
      </c>
      <c r="G135" s="6" t="inlineStr">
        <is>
          <t>SOLAR_PTO_ESPERANZA</t>
        </is>
      </c>
      <c r="H135" s="6" t="inlineStr">
        <is>
          <t>PY</t>
        </is>
      </c>
      <c r="I135" s="8" t="n">
        <v>30</v>
      </c>
      <c r="J135" s="6" t="inlineStr">
        <is>
          <t>MWh</t>
        </is>
      </c>
      <c r="K135" s="8" t="n">
        <v>30</v>
      </c>
      <c r="L135" s="6" t="inlineStr">
        <is>
          <t>MWh</t>
        </is>
      </c>
      <c r="M135" s="6" t="inlineStr">
        <is>
          <t>ANDE</t>
        </is>
      </c>
      <c r="N135" s="6" t="inlineStr">
        <is>
          <t>OFFICIAL_PRIMARY</t>
        </is>
      </c>
      <c r="O135" s="9" t="inlineStr">
        <is>
          <t>OFFICIAL_AGGREGATE</t>
        </is>
      </c>
      <c r="P135" s="8" t="n">
        <v>1</v>
      </c>
      <c r="Q135" s="8" t="n">
        <v>50</v>
      </c>
      <c r="R135" s="7" t="inlineStr">
        <is>
          <t>https://www.ande.gov.py/interna.php?id=15297</t>
        </is>
      </c>
      <c r="S135" s="6" t="inlineStr">
        <is>
          <t>ANDE-ABR-2026</t>
        </is>
      </c>
      <c r="T135" s="6" t="inlineStr"/>
      <c r="U135" s="4" t="inlineStr">
        <is>
          <t>2026-09-10 23:00:00</t>
        </is>
      </c>
      <c r="V135" s="4" t="inlineStr">
        <is>
          <t>Aporte solar publicado.</t>
        </is>
      </c>
    </row>
    <row r="136">
      <c r="A136" s="6" t="inlineStr">
        <is>
          <t>R0000135</t>
        </is>
      </c>
      <c r="B136" s="6" t="inlineStr">
        <is>
          <t>2026-05-01</t>
        </is>
      </c>
      <c r="C136" s="6" t="inlineStr">
        <is>
          <t>2026-05-31</t>
        </is>
      </c>
      <c r="D136" s="6" t="inlineStr">
        <is>
          <t>month</t>
        </is>
      </c>
      <c r="E136" s="6" t="inlineStr">
        <is>
          <t>PY_CONSUMPTION_ENERGY</t>
        </is>
      </c>
      <c r="F136" s="6" t="inlineStr">
        <is>
          <t>PY_SIN</t>
        </is>
      </c>
      <c r="G136" s="6" t="inlineStr">
        <is>
          <t>PY</t>
        </is>
      </c>
      <c r="H136" s="6" t="inlineStr">
        <is>
          <t>PY</t>
        </is>
      </c>
      <c r="I136" s="8" t="n">
        <v>2382800</v>
      </c>
      <c r="J136" s="6" t="inlineStr">
        <is>
          <t>MWh</t>
        </is>
      </c>
      <c r="K136" s="8" t="n">
        <v>2382800</v>
      </c>
      <c r="L136" s="6" t="inlineStr">
        <is>
          <t>MWh</t>
        </is>
      </c>
      <c r="M136" s="6" t="inlineStr">
        <is>
          <t>ANDE</t>
        </is>
      </c>
      <c r="N136" s="6" t="inlineStr">
        <is>
          <t>OFFICIAL_PRIMARY</t>
        </is>
      </c>
      <c r="O136" s="9" t="inlineStr">
        <is>
          <t>OFFICIAL_AGGREGATE</t>
        </is>
      </c>
      <c r="P136" s="8" t="n">
        <v>1</v>
      </c>
      <c r="Q136" s="8" t="n">
        <v>50</v>
      </c>
      <c r="R136" s="7" t="inlineStr">
        <is>
          <t>https://www.ande.gov.py/interna.php?id=15361</t>
        </is>
      </c>
      <c r="S136" s="6" t="inlineStr">
        <is>
          <t>ANDE-MAY-2026</t>
        </is>
      </c>
      <c r="T136" s="6" t="inlineStr"/>
      <c r="U136" s="4" t="inlineStr">
        <is>
          <t>2026-09-10 23:00:00</t>
        </is>
      </c>
      <c r="V136" s="4" t="inlineStr">
        <is>
          <t>Consumo/energia abastecida publicada por ANDE.</t>
        </is>
      </c>
    </row>
    <row r="137">
      <c r="A137" s="6" t="inlineStr">
        <is>
          <t>R0000136</t>
        </is>
      </c>
      <c r="B137" s="6" t="inlineStr">
        <is>
          <t>2026-05-01</t>
        </is>
      </c>
      <c r="C137" s="6" t="inlineStr">
        <is>
          <t>2026-05-31</t>
        </is>
      </c>
      <c r="D137" s="6" t="inlineStr">
        <is>
          <t>month</t>
        </is>
      </c>
      <c r="E137" s="6" t="inlineStr">
        <is>
          <t>ENERGY_TO_PY</t>
        </is>
      </c>
      <c r="F137" s="6" t="inlineStr">
        <is>
          <t>ITAIPU</t>
        </is>
      </c>
      <c r="G137" s="6" t="inlineStr">
        <is>
          <t>ITAIPU</t>
        </is>
      </c>
      <c r="H137" s="6" t="inlineStr">
        <is>
          <t>PY</t>
        </is>
      </c>
      <c r="I137" s="8" t="n">
        <v>2262200</v>
      </c>
      <c r="J137" s="6" t="inlineStr">
        <is>
          <t>MWh</t>
        </is>
      </c>
      <c r="K137" s="8" t="n">
        <v>2262200</v>
      </c>
      <c r="L137" s="6" t="inlineStr">
        <is>
          <t>MWh</t>
        </is>
      </c>
      <c r="M137" s="6" t="inlineStr">
        <is>
          <t>ANDE</t>
        </is>
      </c>
      <c r="N137" s="6" t="inlineStr">
        <is>
          <t>OFFICIAL_PRIMARY</t>
        </is>
      </c>
      <c r="O137" s="9" t="inlineStr">
        <is>
          <t>OFFICIAL_AGGREGATE</t>
        </is>
      </c>
      <c r="P137" s="8" t="n">
        <v>1</v>
      </c>
      <c r="Q137" s="8" t="n">
        <v>50</v>
      </c>
      <c r="R137" s="7" t="inlineStr">
        <is>
          <t>https://www.ande.gov.py/interna.php?id=15361</t>
        </is>
      </c>
      <c r="S137" s="6" t="inlineStr">
        <is>
          <t>ANDE-MAY-2026</t>
        </is>
      </c>
      <c r="T137" s="6" t="inlineStr"/>
      <c r="U137" s="4" t="inlineStr">
        <is>
          <t>2026-09-10 23:00:00</t>
        </is>
      </c>
      <c r="V137" s="4" t="inlineStr">
        <is>
          <t>Aporte de Itaipu al SIN paraguayo.</t>
        </is>
      </c>
    </row>
    <row r="138">
      <c r="A138" s="6" t="inlineStr">
        <is>
          <t>R0000137</t>
        </is>
      </c>
      <c r="B138" s="6" t="inlineStr">
        <is>
          <t>2026-05-01</t>
        </is>
      </c>
      <c r="C138" s="6" t="inlineStr">
        <is>
          <t>2026-05-31</t>
        </is>
      </c>
      <c r="D138" s="6" t="inlineStr">
        <is>
          <t>month</t>
        </is>
      </c>
      <c r="E138" s="6" t="inlineStr">
        <is>
          <t>ENERGY_TO_PY</t>
        </is>
      </c>
      <c r="F138" s="6" t="inlineStr">
        <is>
          <t>YACYRETA</t>
        </is>
      </c>
      <c r="G138" s="6" t="inlineStr">
        <is>
          <t>YACYRETA</t>
        </is>
      </c>
      <c r="H138" s="6" t="inlineStr">
        <is>
          <t>PY</t>
        </is>
      </c>
      <c r="I138" s="8" t="n">
        <v>81100</v>
      </c>
      <c r="J138" s="6" t="inlineStr">
        <is>
          <t>MWh</t>
        </is>
      </c>
      <c r="K138" s="8" t="n">
        <v>81100</v>
      </c>
      <c r="L138" s="6" t="inlineStr">
        <is>
          <t>MWh</t>
        </is>
      </c>
      <c r="M138" s="6" t="inlineStr">
        <is>
          <t>ANDE</t>
        </is>
      </c>
      <c r="N138" s="6" t="inlineStr">
        <is>
          <t>OFFICIAL_PRIMARY</t>
        </is>
      </c>
      <c r="O138" s="9" t="inlineStr">
        <is>
          <t>OFFICIAL_AGGREGATE</t>
        </is>
      </c>
      <c r="P138" s="8" t="n">
        <v>1</v>
      </c>
      <c r="Q138" s="8" t="n">
        <v>50</v>
      </c>
      <c r="R138" s="7" t="inlineStr">
        <is>
          <t>https://www.ande.gov.py/interna.php?id=15361</t>
        </is>
      </c>
      <c r="S138" s="6" t="inlineStr">
        <is>
          <t>ANDE-MAY-2026</t>
        </is>
      </c>
      <c r="T138" s="6" t="inlineStr"/>
      <c r="U138" s="4" t="inlineStr">
        <is>
          <t>2026-09-10 23:00:00</t>
        </is>
      </c>
      <c r="V138" s="4" t="inlineStr">
        <is>
          <t>Aporte de Yacyreta al SIN paraguayo.</t>
        </is>
      </c>
    </row>
    <row r="139">
      <c r="A139" s="6" t="inlineStr">
        <is>
          <t>R0000138</t>
        </is>
      </c>
      <c r="B139" s="6" t="inlineStr">
        <is>
          <t>2026-05-01</t>
        </is>
      </c>
      <c r="C139" s="6" t="inlineStr">
        <is>
          <t>2026-05-31</t>
        </is>
      </c>
      <c r="D139" s="6" t="inlineStr">
        <is>
          <t>month</t>
        </is>
      </c>
      <c r="E139" s="6" t="inlineStr">
        <is>
          <t>ENERGY_TO_PY</t>
        </is>
      </c>
      <c r="F139" s="6" t="inlineStr">
        <is>
          <t>ACARAY</t>
        </is>
      </c>
      <c r="G139" s="6" t="inlineStr">
        <is>
          <t>ACARAY</t>
        </is>
      </c>
      <c r="H139" s="6" t="inlineStr">
        <is>
          <t>PY</t>
        </is>
      </c>
      <c r="I139" s="8" t="n">
        <v>39500</v>
      </c>
      <c r="J139" s="6" t="inlineStr">
        <is>
          <t>MWh</t>
        </is>
      </c>
      <c r="K139" s="8" t="n">
        <v>39500</v>
      </c>
      <c r="L139" s="6" t="inlineStr">
        <is>
          <t>MWh</t>
        </is>
      </c>
      <c r="M139" s="6" t="inlineStr">
        <is>
          <t>ANDE</t>
        </is>
      </c>
      <c r="N139" s="6" t="inlineStr">
        <is>
          <t>OFFICIAL_PRIMARY</t>
        </is>
      </c>
      <c r="O139" s="9" t="inlineStr">
        <is>
          <t>OFFICIAL_AGGREGATE</t>
        </is>
      </c>
      <c r="P139" s="8" t="n">
        <v>1</v>
      </c>
      <c r="Q139" s="8" t="n">
        <v>50</v>
      </c>
      <c r="R139" s="7" t="inlineStr">
        <is>
          <t>https://www.ande.gov.py/interna.php?id=15361</t>
        </is>
      </c>
      <c r="S139" s="6" t="inlineStr">
        <is>
          <t>ANDE-MAY-2026</t>
        </is>
      </c>
      <c r="T139" s="6" t="inlineStr"/>
      <c r="U139" s="4" t="inlineStr">
        <is>
          <t>2026-09-10 23:00:00</t>
        </is>
      </c>
      <c r="V139" s="4" t="inlineStr">
        <is>
          <t>Aporte de Acaray al SIN paraguayo.</t>
        </is>
      </c>
    </row>
    <row r="140">
      <c r="A140" s="6" t="inlineStr">
        <is>
          <t>R0000139</t>
        </is>
      </c>
      <c r="B140" s="6" t="inlineStr">
        <is>
          <t>2026-05-01</t>
        </is>
      </c>
      <c r="C140" s="6" t="inlineStr">
        <is>
          <t>2026-05-31</t>
        </is>
      </c>
      <c r="D140" s="6" t="inlineStr">
        <is>
          <t>month</t>
        </is>
      </c>
      <c r="E140" s="6" t="inlineStr">
        <is>
          <t>ENERGY_TO_PY</t>
        </is>
      </c>
      <c r="F140" s="6" t="inlineStr">
        <is>
          <t>SOLAR_PTO_ESPERANZA</t>
        </is>
      </c>
      <c r="G140" s="6" t="inlineStr">
        <is>
          <t>SOLAR_PTO_ESPERANZA</t>
        </is>
      </c>
      <c r="H140" s="6" t="inlineStr">
        <is>
          <t>PY</t>
        </is>
      </c>
      <c r="I140" s="8" t="n">
        <v>27.56</v>
      </c>
      <c r="J140" s="6" t="inlineStr">
        <is>
          <t>MWh</t>
        </is>
      </c>
      <c r="K140" s="8" t="n">
        <v>27.56</v>
      </c>
      <c r="L140" s="6" t="inlineStr">
        <is>
          <t>MWh</t>
        </is>
      </c>
      <c r="M140" s="6" t="inlineStr">
        <is>
          <t>ANDE</t>
        </is>
      </c>
      <c r="N140" s="6" t="inlineStr">
        <is>
          <t>OFFICIAL_PRIMARY</t>
        </is>
      </c>
      <c r="O140" s="9" t="inlineStr">
        <is>
          <t>OFFICIAL_AGGREGATE</t>
        </is>
      </c>
      <c r="P140" s="8" t="n">
        <v>1</v>
      </c>
      <c r="Q140" s="8" t="n">
        <v>50</v>
      </c>
      <c r="R140" s="7" t="inlineStr">
        <is>
          <t>https://www.ande.gov.py/interna.php?id=15361</t>
        </is>
      </c>
      <c r="S140" s="6" t="inlineStr">
        <is>
          <t>ANDE-MAY-2026</t>
        </is>
      </c>
      <c r="T140" s="6" t="inlineStr"/>
      <c r="U140" s="4" t="inlineStr">
        <is>
          <t>2026-09-10 23:00:00</t>
        </is>
      </c>
      <c r="V140" s="4" t="inlineStr">
        <is>
          <t>Aporte solar publicado.</t>
        </is>
      </c>
    </row>
    <row r="141">
      <c r="A141" s="6" t="inlineStr">
        <is>
          <t>R0000140</t>
        </is>
      </c>
      <c r="B141" s="6" t="inlineStr">
        <is>
          <t>2026-01-01</t>
        </is>
      </c>
      <c r="C141" s="6" t="inlineStr">
        <is>
          <t>2026-04-30</t>
        </is>
      </c>
      <c r="D141" s="6" t="inlineStr">
        <is>
          <t>period</t>
        </is>
      </c>
      <c r="E141" s="6" t="inlineStr">
        <is>
          <t>PY_CONSUMPTION_ENERGY_YTD</t>
        </is>
      </c>
      <c r="F141" s="6" t="inlineStr">
        <is>
          <t>PY_SIN</t>
        </is>
      </c>
      <c r="G141" s="6" t="inlineStr">
        <is>
          <t>PY</t>
        </is>
      </c>
      <c r="H141" s="6" t="inlineStr">
        <is>
          <t>PY</t>
        </is>
      </c>
      <c r="I141" s="8" t="n">
        <v>12204300</v>
      </c>
      <c r="J141" s="6" t="inlineStr">
        <is>
          <t>MWh</t>
        </is>
      </c>
      <c r="K141" s="8" t="n">
        <v>12204300</v>
      </c>
      <c r="L141" s="6" t="inlineStr">
        <is>
          <t>MWh</t>
        </is>
      </c>
      <c r="M141" s="6" t="inlineStr">
        <is>
          <t>ANDE</t>
        </is>
      </c>
      <c r="N141" s="6" t="inlineStr">
        <is>
          <t>OFFICIAL_PRIMARY</t>
        </is>
      </c>
      <c r="O141" s="9" t="inlineStr">
        <is>
          <t>OFFICIAL_AGGREGATE</t>
        </is>
      </c>
      <c r="P141" s="8" t="n">
        <v>1</v>
      </c>
      <c r="Q141" s="8" t="n">
        <v>50</v>
      </c>
      <c r="R141" s="7" t="inlineStr">
        <is>
          <t>https://www.ande.gov.py/interna.php?id=15297</t>
        </is>
      </c>
      <c r="S141" s="6" t="inlineStr">
        <is>
          <t>ANDE-ABR-2026</t>
        </is>
      </c>
      <c r="T141" s="6" t="inlineStr"/>
      <c r="U141" s="4" t="inlineStr">
        <is>
          <t>2026-09-10 23:00:00</t>
        </is>
      </c>
      <c r="V141" s="4" t="inlineStr">
        <is>
          <t>Acumulado enero-abril publicado por ANDE.</t>
        </is>
      </c>
    </row>
    <row r="142">
      <c r="A142" s="6" t="inlineStr">
        <is>
          <t>R0000141</t>
        </is>
      </c>
      <c r="B142" s="6" t="inlineStr">
        <is>
          <t>2026-01-01</t>
        </is>
      </c>
      <c r="C142" s="6" t="inlineStr">
        <is>
          <t>2026-05-31</t>
        </is>
      </c>
      <c r="D142" s="6" t="inlineStr">
        <is>
          <t>period</t>
        </is>
      </c>
      <c r="E142" s="6" t="inlineStr">
        <is>
          <t>PY_CONSUMPTION_ENERGY_YTD</t>
        </is>
      </c>
      <c r="F142" s="6" t="inlineStr">
        <is>
          <t>PY_SIN</t>
        </is>
      </c>
      <c r="G142" s="6" t="inlineStr">
        <is>
          <t>PY</t>
        </is>
      </c>
      <c r="H142" s="6" t="inlineStr">
        <is>
          <t>PY</t>
        </is>
      </c>
      <c r="I142" s="8" t="n">
        <v>14587100</v>
      </c>
      <c r="J142" s="6" t="inlineStr">
        <is>
          <t>MWh</t>
        </is>
      </c>
      <c r="K142" s="8" t="n">
        <v>14587100</v>
      </c>
      <c r="L142" s="6" t="inlineStr">
        <is>
          <t>MWh</t>
        </is>
      </c>
      <c r="M142" s="6" t="inlineStr">
        <is>
          <t>ANDE</t>
        </is>
      </c>
      <c r="N142" s="6" t="inlineStr">
        <is>
          <t>OFFICIAL_PRIMARY</t>
        </is>
      </c>
      <c r="O142" s="9" t="inlineStr">
        <is>
          <t>OFFICIAL_AGGREGATE</t>
        </is>
      </c>
      <c r="P142" s="8" t="n">
        <v>1</v>
      </c>
      <c r="Q142" s="8" t="n">
        <v>50</v>
      </c>
      <c r="R142" s="7" t="inlineStr">
        <is>
          <t>https://www.ande.gov.py/interna.php?id=15361</t>
        </is>
      </c>
      <c r="S142" s="6" t="inlineStr">
        <is>
          <t>ANDE-MAY-2026</t>
        </is>
      </c>
      <c r="T142" s="6" t="inlineStr"/>
      <c r="U142" s="4" t="inlineStr">
        <is>
          <t>2026-09-10 23:00:00</t>
        </is>
      </c>
      <c r="V142" s="4" t="inlineStr">
        <is>
          <t>Acumulado enero-mayo publicado por ANDE.</t>
        </is>
      </c>
    </row>
    <row r="143">
      <c r="A143" s="6" t="inlineStr">
        <is>
          <t>R0000142</t>
        </is>
      </c>
      <c r="B143" s="6" t="inlineStr">
        <is>
          <t>2025-08-14 06:23:00</t>
        </is>
      </c>
      <c r="C143" s="6" t="inlineStr">
        <is>
          <t>2025-08-14 06:23:00</t>
        </is>
      </c>
      <c r="D143" s="6" t="inlineStr">
        <is>
          <t>event</t>
        </is>
      </c>
      <c r="E143" s="6" t="inlineStr">
        <is>
          <t>PY_DEMAND</t>
        </is>
      </c>
      <c r="F143" s="6" t="inlineStr">
        <is>
          <t>PY_SIN</t>
        </is>
      </c>
      <c r="G143" s="6" t="inlineStr">
        <is>
          <t>PY</t>
        </is>
      </c>
      <c r="H143" s="6" t="inlineStr">
        <is>
          <t>PY</t>
        </is>
      </c>
      <c r="I143" s="8" t="n">
        <v>3070</v>
      </c>
      <c r="J143" s="6" t="inlineStr">
        <is>
          <t>MW</t>
        </is>
      </c>
      <c r="K143" s="8" t="n">
        <v>3070</v>
      </c>
      <c r="L143" s="6" t="inlineStr">
        <is>
          <t>MW</t>
        </is>
      </c>
      <c r="M143" s="6" t="inlineStr">
        <is>
          <t>ANDE</t>
        </is>
      </c>
      <c r="N143" s="6" t="inlineStr">
        <is>
          <t>OFFICIAL_PRIMARY</t>
        </is>
      </c>
      <c r="O143" s="9" t="inlineStr">
        <is>
          <t>OFFICIAL_MEASURED</t>
        </is>
      </c>
      <c r="P143" s="8" t="n">
        <v>1</v>
      </c>
      <c r="Q143" s="8" t="n">
        <v>50</v>
      </c>
      <c r="R143" s="7" t="inlineStr">
        <is>
          <t>https://www.ande.gov.py/interna.php?id=14173</t>
        </is>
      </c>
      <c r="S143" s="6" t="inlineStr"/>
      <c r="T143" s="6" t="inlineStr"/>
      <c r="U143" s="4" t="inlineStr">
        <is>
          <t>2026-09-10 23:00:00</t>
        </is>
      </c>
      <c r="V143" s="4" t="inlineStr">
        <is>
          <t>Evento: Avería en interruptor 220 kV de Acaray; demanda reportada al momento del inconveniente. ANDE indica abastecimiento principalmente por Itaipú; no desglosa MW por central.</t>
        </is>
      </c>
    </row>
    <row r="144">
      <c r="A144" s="6" t="inlineStr">
        <is>
          <t>R0000143</t>
        </is>
      </c>
      <c r="B144" s="6" t="inlineStr">
        <is>
          <t>2025-12-15 14:12:00</t>
        </is>
      </c>
      <c r="C144" s="6" t="inlineStr">
        <is>
          <t>2025-12-15 14:12:00</t>
        </is>
      </c>
      <c r="D144" s="6" t="inlineStr">
        <is>
          <t>event</t>
        </is>
      </c>
      <c r="E144" s="6" t="inlineStr">
        <is>
          <t>PY_DEMAND</t>
        </is>
      </c>
      <c r="F144" s="6" t="inlineStr">
        <is>
          <t>PY_SIN</t>
        </is>
      </c>
      <c r="G144" s="6" t="inlineStr">
        <is>
          <t>PY</t>
        </is>
      </c>
      <c r="H144" s="6" t="inlineStr">
        <is>
          <t>PY</t>
        </is>
      </c>
      <c r="I144" s="8" t="n">
        <v>5280</v>
      </c>
      <c r="J144" s="6" t="inlineStr">
        <is>
          <t>MW</t>
        </is>
      </c>
      <c r="K144" s="8" t="n">
        <v>5280</v>
      </c>
      <c r="L144" s="6" t="inlineStr">
        <is>
          <t>MW</t>
        </is>
      </c>
      <c r="M144" s="6" t="inlineStr">
        <is>
          <t>ANDE</t>
        </is>
      </c>
      <c r="N144" s="6" t="inlineStr">
        <is>
          <t>OFFICIAL_PRIMARY</t>
        </is>
      </c>
      <c r="O144" s="9" t="inlineStr">
        <is>
          <t>OFFICIAL_MEASURED</t>
        </is>
      </c>
      <c r="P144" s="8" t="n">
        <v>1</v>
      </c>
      <c r="Q144" s="8" t="n">
        <v>50</v>
      </c>
      <c r="R144" s="7" t="inlineStr">
        <is>
          <t>https://www.ande.gov.py/interna.php?id=14816</t>
        </is>
      </c>
      <c r="S144" s="6" t="inlineStr"/>
      <c r="T144" s="6" t="inlineStr"/>
      <c r="U144" s="4" t="inlineStr">
        <is>
          <t>2026-09-10 23:00:00</t>
        </is>
      </c>
      <c r="V144" s="4" t="inlineStr">
        <is>
          <t>Récord: Nuevo récord histórico de demanda instantánea 2025. La suma de aportes + exportación puede diferir conceptualmente de demanda según convención de signo/medición.</t>
        </is>
      </c>
    </row>
    <row r="145">
      <c r="A145" s="6" t="inlineStr">
        <is>
          <t>R0000144</t>
        </is>
      </c>
      <c r="B145" s="6" t="inlineStr">
        <is>
          <t>2025-12-15 14:12:00</t>
        </is>
      </c>
      <c r="C145" s="6" t="inlineStr">
        <is>
          <t>2025-12-15 14:12:00</t>
        </is>
      </c>
      <c r="D145" s="6" t="inlineStr">
        <is>
          <t>event</t>
        </is>
      </c>
      <c r="E145" s="6" t="inlineStr">
        <is>
          <t>POWER_TO_PY</t>
        </is>
      </c>
      <c r="F145" s="6" t="inlineStr">
        <is>
          <t>ITAIPU</t>
        </is>
      </c>
      <c r="G145" s="6" t="inlineStr">
        <is>
          <t>ITAIPU</t>
        </is>
      </c>
      <c r="H145" s="6" t="inlineStr">
        <is>
          <t>PY</t>
        </is>
      </c>
      <c r="I145" s="8" t="n">
        <v>3745</v>
      </c>
      <c r="J145" s="6" t="inlineStr">
        <is>
          <t>MW</t>
        </is>
      </c>
      <c r="K145" s="8" t="n">
        <v>3745</v>
      </c>
      <c r="L145" s="6" t="inlineStr">
        <is>
          <t>MW</t>
        </is>
      </c>
      <c r="M145" s="6" t="inlineStr">
        <is>
          <t>ANDE</t>
        </is>
      </c>
      <c r="N145" s="6" t="inlineStr">
        <is>
          <t>OFFICIAL_PRIMARY</t>
        </is>
      </c>
      <c r="O145" s="9" t="inlineStr">
        <is>
          <t>OFFICIAL_MEASURED</t>
        </is>
      </c>
      <c r="P145" s="8" t="n">
        <v>1</v>
      </c>
      <c r="Q145" s="8" t="n">
        <v>50</v>
      </c>
      <c r="R145" s="7" t="inlineStr">
        <is>
          <t>https://www.ande.gov.py/interna.php?id=14816</t>
        </is>
      </c>
      <c r="S145" s="6" t="inlineStr"/>
      <c r="T145" s="6" t="inlineStr"/>
      <c r="U145" s="4" t="inlineStr">
        <is>
          <t>2026-09-10 23:00:00</t>
        </is>
      </c>
      <c r="V145" s="4" t="inlineStr">
        <is>
          <t>Récord: Nuevo récord histórico de demanda instantánea 2025. La suma de aportes + exportación puede diferir conceptualmente de demanda según convención de signo/medición.</t>
        </is>
      </c>
    </row>
    <row r="146">
      <c r="A146" s="6" t="inlineStr">
        <is>
          <t>R0000145</t>
        </is>
      </c>
      <c r="B146" s="6" t="inlineStr">
        <is>
          <t>2025-12-15 14:12:00</t>
        </is>
      </c>
      <c r="C146" s="6" t="inlineStr">
        <is>
          <t>2025-12-15 14:12:00</t>
        </is>
      </c>
      <c r="D146" s="6" t="inlineStr">
        <is>
          <t>event</t>
        </is>
      </c>
      <c r="E146" s="6" t="inlineStr">
        <is>
          <t>POWER_TO_PY</t>
        </is>
      </c>
      <c r="F146" s="6" t="inlineStr">
        <is>
          <t>YACYRETA</t>
        </is>
      </c>
      <c r="G146" s="6" t="inlineStr">
        <is>
          <t>YACYRETA</t>
        </is>
      </c>
      <c r="H146" s="6" t="inlineStr">
        <is>
          <t>PY</t>
        </is>
      </c>
      <c r="I146" s="8" t="n">
        <v>1419</v>
      </c>
      <c r="J146" s="6" t="inlineStr">
        <is>
          <t>MW</t>
        </is>
      </c>
      <c r="K146" s="8" t="n">
        <v>1419</v>
      </c>
      <c r="L146" s="6" t="inlineStr">
        <is>
          <t>MW</t>
        </is>
      </c>
      <c r="M146" s="6" t="inlineStr">
        <is>
          <t>ANDE</t>
        </is>
      </c>
      <c r="N146" s="6" t="inlineStr">
        <is>
          <t>OFFICIAL_PRIMARY</t>
        </is>
      </c>
      <c r="O146" s="9" t="inlineStr">
        <is>
          <t>OFFICIAL_MEASURED</t>
        </is>
      </c>
      <c r="P146" s="8" t="n">
        <v>1</v>
      </c>
      <c r="Q146" s="8" t="n">
        <v>50</v>
      </c>
      <c r="R146" s="7" t="inlineStr">
        <is>
          <t>https://www.ande.gov.py/interna.php?id=14816</t>
        </is>
      </c>
      <c r="S146" s="6" t="inlineStr"/>
      <c r="T146" s="6" t="inlineStr"/>
      <c r="U146" s="4" t="inlineStr">
        <is>
          <t>2026-09-10 23:00:00</t>
        </is>
      </c>
      <c r="V146" s="4" t="inlineStr">
        <is>
          <t>Récord: Nuevo récord histórico de demanda instantánea 2025. La suma de aportes + exportación puede diferir conceptualmente de demanda según convención de signo/medición.</t>
        </is>
      </c>
    </row>
    <row r="147">
      <c r="A147" s="6" t="inlineStr">
        <is>
          <t>R0000146</t>
        </is>
      </c>
      <c r="B147" s="6" t="inlineStr">
        <is>
          <t>2025-12-15 14:12:00</t>
        </is>
      </c>
      <c r="C147" s="6" t="inlineStr">
        <is>
          <t>2025-12-15 14:12:00</t>
        </is>
      </c>
      <c r="D147" s="6" t="inlineStr">
        <is>
          <t>event</t>
        </is>
      </c>
      <c r="E147" s="6" t="inlineStr">
        <is>
          <t>POWER_TO_PY</t>
        </is>
      </c>
      <c r="F147" s="6" t="inlineStr">
        <is>
          <t>ACARAY</t>
        </is>
      </c>
      <c r="G147" s="6" t="inlineStr">
        <is>
          <t>ACARAY</t>
        </is>
      </c>
      <c r="H147" s="6" t="inlineStr">
        <is>
          <t>PY</t>
        </is>
      </c>
      <c r="I147" s="8" t="n">
        <v>132</v>
      </c>
      <c r="J147" s="6" t="inlineStr">
        <is>
          <t>MW</t>
        </is>
      </c>
      <c r="K147" s="8" t="n">
        <v>132</v>
      </c>
      <c r="L147" s="6" t="inlineStr">
        <is>
          <t>MW</t>
        </is>
      </c>
      <c r="M147" s="6" t="inlineStr">
        <is>
          <t>ANDE</t>
        </is>
      </c>
      <c r="N147" s="6" t="inlineStr">
        <is>
          <t>OFFICIAL_PRIMARY</t>
        </is>
      </c>
      <c r="O147" s="9" t="inlineStr">
        <is>
          <t>OFFICIAL_MEASURED</t>
        </is>
      </c>
      <c r="P147" s="8" t="n">
        <v>1</v>
      </c>
      <c r="Q147" s="8" t="n">
        <v>50</v>
      </c>
      <c r="R147" s="7" t="inlineStr">
        <is>
          <t>https://www.ande.gov.py/interna.php?id=14816</t>
        </is>
      </c>
      <c r="S147" s="6" t="inlineStr"/>
      <c r="T147" s="6" t="inlineStr"/>
      <c r="U147" s="4" t="inlineStr">
        <is>
          <t>2026-09-10 23:00:00</t>
        </is>
      </c>
      <c r="V147" s="4" t="inlineStr">
        <is>
          <t>Récord: Nuevo récord histórico de demanda instantánea 2025. La suma de aportes + exportación puede diferir conceptualmente de demanda según convención de signo/medición.</t>
        </is>
      </c>
    </row>
    <row r="148">
      <c r="A148" s="6" t="inlineStr">
        <is>
          <t>R0000147</t>
        </is>
      </c>
      <c r="B148" s="6" t="inlineStr">
        <is>
          <t>2025-12-15 14:12:00</t>
        </is>
      </c>
      <c r="C148" s="6" t="inlineStr">
        <is>
          <t>2025-12-15 14:12:00</t>
        </is>
      </c>
      <c r="D148" s="6" t="inlineStr">
        <is>
          <t>event</t>
        </is>
      </c>
      <c r="E148" s="6" t="inlineStr">
        <is>
          <t>PY_EXPORT_POWER</t>
        </is>
      </c>
      <c r="F148" s="6" t="inlineStr">
        <is>
          <t>PY_SIN</t>
        </is>
      </c>
      <c r="G148" s="6" t="inlineStr">
        <is>
          <t>PY</t>
        </is>
      </c>
      <c r="H148" s="6" t="inlineStr">
        <is>
          <t>EXTERNAL</t>
        </is>
      </c>
      <c r="I148" s="8" t="n">
        <v>16</v>
      </c>
      <c r="J148" s="6" t="inlineStr">
        <is>
          <t>MW</t>
        </is>
      </c>
      <c r="K148" s="8" t="n">
        <v>16</v>
      </c>
      <c r="L148" s="6" t="inlineStr">
        <is>
          <t>MW</t>
        </is>
      </c>
      <c r="M148" s="6" t="inlineStr">
        <is>
          <t>ANDE</t>
        </is>
      </c>
      <c r="N148" s="6" t="inlineStr">
        <is>
          <t>OFFICIAL_PRIMARY</t>
        </is>
      </c>
      <c r="O148" s="9" t="inlineStr">
        <is>
          <t>OFFICIAL_MEASURED</t>
        </is>
      </c>
      <c r="P148" s="8" t="n">
        <v>1</v>
      </c>
      <c r="Q148" s="8" t="n">
        <v>50</v>
      </c>
      <c r="R148" s="7" t="inlineStr">
        <is>
          <t>https://www.ande.gov.py/interna.php?id=14816</t>
        </is>
      </c>
      <c r="S148" s="6" t="inlineStr"/>
      <c r="T148" s="6" t="inlineStr"/>
      <c r="U148" s="4" t="inlineStr">
        <is>
          <t>2026-09-10 23:00:00</t>
        </is>
      </c>
      <c r="V148" s="4" t="inlineStr">
        <is>
          <t>Récord: Nuevo récord histórico de demanda instantánea 2025. La suma de aportes + exportación puede diferir conceptualmente de demanda según convención de signo/medición.</t>
        </is>
      </c>
    </row>
    <row r="149">
      <c r="A149" s="6" t="inlineStr">
        <is>
          <t>R0000148</t>
        </is>
      </c>
      <c r="B149" s="6" t="inlineStr">
        <is>
          <t>2026-01-26 00:00:00</t>
        </is>
      </c>
      <c r="C149" s="6" t="inlineStr">
        <is>
          <t>2026-01-26 00:00:00</t>
        </is>
      </c>
      <c r="D149" s="6" t="inlineStr">
        <is>
          <t>event</t>
        </is>
      </c>
      <c r="E149" s="6" t="inlineStr">
        <is>
          <t>PY_DEMAND</t>
        </is>
      </c>
      <c r="F149" s="6" t="inlineStr">
        <is>
          <t>PY_SIN</t>
        </is>
      </c>
      <c r="G149" s="6" t="inlineStr">
        <is>
          <t>PY</t>
        </is>
      </c>
      <c r="H149" s="6" t="inlineStr">
        <is>
          <t>PY</t>
        </is>
      </c>
      <c r="I149" s="8" t="n">
        <v>5752</v>
      </c>
      <c r="J149" s="6" t="inlineStr">
        <is>
          <t>MW</t>
        </is>
      </c>
      <c r="K149" s="8" t="n">
        <v>5752</v>
      </c>
      <c r="L149" s="6" t="inlineStr">
        <is>
          <t>MW</t>
        </is>
      </c>
      <c r="M149" s="6" t="inlineStr">
        <is>
          <t>ANDE</t>
        </is>
      </c>
      <c r="N149" s="6" t="inlineStr">
        <is>
          <t>OFFICIAL_PRIMARY</t>
        </is>
      </c>
      <c r="O149" s="9" t="inlineStr">
        <is>
          <t>OFFICIAL_MEASURED</t>
        </is>
      </c>
      <c r="P149" s="8" t="n">
        <v>1</v>
      </c>
      <c r="Q149" s="8" t="n">
        <v>50</v>
      </c>
      <c r="R149" s="7" t="inlineStr">
        <is>
          <t>https://www.ande.gov.py/interna.php?id=14950</t>
        </is>
      </c>
      <c r="S149" s="6" t="inlineStr"/>
      <c r="T149" s="6" t="inlineStr"/>
      <c r="U149" s="4" t="inlineStr">
        <is>
          <t>2026-09-10 23:00:00</t>
        </is>
      </c>
      <c r="V149" s="4" t="inlineStr">
        <is>
          <t>Récord: Récord histórico del SIN reportado por ANDE. No se publicó en esa nota el reparto instantáneo por central.</t>
        </is>
      </c>
    </row>
    <row r="150">
      <c r="A150" s="6" t="inlineStr">
        <is>
          <t>R0000149</t>
        </is>
      </c>
      <c r="B150" s="6" t="inlineStr">
        <is>
          <t>2026-02-18 14:05:00</t>
        </is>
      </c>
      <c r="C150" s="6" t="inlineStr">
        <is>
          <t>2026-02-18 14:05:00</t>
        </is>
      </c>
      <c r="D150" s="6" t="inlineStr">
        <is>
          <t>event</t>
        </is>
      </c>
      <c r="E150" s="6" t="inlineStr">
        <is>
          <t>PY_DEMAND</t>
        </is>
      </c>
      <c r="F150" s="6" t="inlineStr">
        <is>
          <t>PY_SIN</t>
        </is>
      </c>
      <c r="G150" s="6" t="inlineStr">
        <is>
          <t>PY</t>
        </is>
      </c>
      <c r="H150" s="6" t="inlineStr">
        <is>
          <t>PY</t>
        </is>
      </c>
      <c r="I150" s="8" t="n">
        <v>5690</v>
      </c>
      <c r="J150" s="6" t="inlineStr">
        <is>
          <t>MW</t>
        </is>
      </c>
      <c r="K150" s="8" t="n">
        <v>5690</v>
      </c>
      <c r="L150" s="6" t="inlineStr">
        <is>
          <t>MW</t>
        </is>
      </c>
      <c r="M150" s="6" t="inlineStr">
        <is>
          <t>ANDE</t>
        </is>
      </c>
      <c r="N150" s="6" t="inlineStr">
        <is>
          <t>OFFICIAL_PRIMARY</t>
        </is>
      </c>
      <c r="O150" s="9" t="inlineStr">
        <is>
          <t>OFFICIAL_MEASURED</t>
        </is>
      </c>
      <c r="P150" s="8" t="n">
        <v>1</v>
      </c>
      <c r="Q150" s="8" t="n">
        <v>50</v>
      </c>
      <c r="R150" s="7" t="inlineStr">
        <is>
          <t>https://www.ande.gov.py/interna.php?id=14999</t>
        </is>
      </c>
      <c r="S150" s="6" t="inlineStr"/>
      <c r="T150" s="6" t="inlineStr"/>
      <c r="U150" s="4" t="inlineStr">
        <is>
          <t>2026-09-10 23:00:00</t>
        </is>
      </c>
      <c r="V150" s="4" t="inlineStr">
        <is>
          <t>Pico diario: Máximo de consumo del día antes del incidente. Sistema sin perturbaciones.</t>
        </is>
      </c>
    </row>
    <row r="151">
      <c r="A151" s="6" t="inlineStr">
        <is>
          <t>R0000150</t>
        </is>
      </c>
      <c r="B151" s="6" t="inlineStr">
        <is>
          <t>2026-02-18 15:18:00</t>
        </is>
      </c>
      <c r="C151" s="6" t="inlineStr">
        <is>
          <t>2026-02-18 15:18:00</t>
        </is>
      </c>
      <c r="D151" s="6" t="inlineStr">
        <is>
          <t>event</t>
        </is>
      </c>
      <c r="E151" s="6" t="inlineStr">
        <is>
          <t>PY_DEMAND</t>
        </is>
      </c>
      <c r="F151" s="6" t="inlineStr">
        <is>
          <t>PY_SIN</t>
        </is>
      </c>
      <c r="G151" s="6" t="inlineStr">
        <is>
          <t>PY</t>
        </is>
      </c>
      <c r="H151" s="6" t="inlineStr">
        <is>
          <t>PY</t>
        </is>
      </c>
      <c r="I151" s="8" t="n">
        <v>5330</v>
      </c>
      <c r="J151" s="6" t="inlineStr">
        <is>
          <t>MW</t>
        </is>
      </c>
      <c r="K151" s="8" t="n">
        <v>5330</v>
      </c>
      <c r="L151" s="6" t="inlineStr">
        <is>
          <t>MW</t>
        </is>
      </c>
      <c r="M151" s="6" t="inlineStr">
        <is>
          <t>ANDE</t>
        </is>
      </c>
      <c r="N151" s="6" t="inlineStr">
        <is>
          <t>OFFICIAL_PRIMARY</t>
        </is>
      </c>
      <c r="O151" s="9" t="inlineStr">
        <is>
          <t>OFFICIAL_MEASURED</t>
        </is>
      </c>
      <c r="P151" s="8" t="n">
        <v>1</v>
      </c>
      <c r="Q151" s="8" t="n">
        <v>50</v>
      </c>
      <c r="R151" s="7" t="inlineStr">
        <is>
          <t>https://www.ande.gov.py/interna.php?id=14999</t>
        </is>
      </c>
      <c r="S151" s="6" t="inlineStr"/>
      <c r="T151" s="6" t="inlineStr"/>
      <c r="U151" s="4" t="inlineStr">
        <is>
          <t>2026-09-10 23:00:00</t>
        </is>
      </c>
      <c r="V151" s="4" t="inlineStr">
        <is>
          <t>Evento: Carga del sistema al inicio de la perturbación. Suma de las tres centrales = 5.330 MW, consistente con la carga reportada.</t>
        </is>
      </c>
    </row>
    <row r="152">
      <c r="A152" s="6" t="inlineStr">
        <is>
          <t>R0000151</t>
        </is>
      </c>
      <c r="B152" s="6" t="inlineStr">
        <is>
          <t>2026-02-18 15:18:00</t>
        </is>
      </c>
      <c r="C152" s="6" t="inlineStr">
        <is>
          <t>2026-02-18 15:18:00</t>
        </is>
      </c>
      <c r="D152" s="6" t="inlineStr">
        <is>
          <t>event</t>
        </is>
      </c>
      <c r="E152" s="6" t="inlineStr">
        <is>
          <t>POWER_TO_PY</t>
        </is>
      </c>
      <c r="F152" s="6" t="inlineStr">
        <is>
          <t>ITAIPU</t>
        </is>
      </c>
      <c r="G152" s="6" t="inlineStr">
        <is>
          <t>ITAIPU</t>
        </is>
      </c>
      <c r="H152" s="6" t="inlineStr">
        <is>
          <t>PY</t>
        </is>
      </c>
      <c r="I152" s="8" t="n">
        <v>3746</v>
      </c>
      <c r="J152" s="6" t="inlineStr">
        <is>
          <t>MW</t>
        </is>
      </c>
      <c r="K152" s="8" t="n">
        <v>3746</v>
      </c>
      <c r="L152" s="6" t="inlineStr">
        <is>
          <t>MW</t>
        </is>
      </c>
      <c r="M152" s="6" t="inlineStr">
        <is>
          <t>ANDE</t>
        </is>
      </c>
      <c r="N152" s="6" t="inlineStr">
        <is>
          <t>OFFICIAL_PRIMARY</t>
        </is>
      </c>
      <c r="O152" s="9" t="inlineStr">
        <is>
          <t>OFFICIAL_MEASURED</t>
        </is>
      </c>
      <c r="P152" s="8" t="n">
        <v>1</v>
      </c>
      <c r="Q152" s="8" t="n">
        <v>50</v>
      </c>
      <c r="R152" s="7" t="inlineStr">
        <is>
          <t>https://www.ande.gov.py/interna.php?id=14999</t>
        </is>
      </c>
      <c r="S152" s="6" t="inlineStr"/>
      <c r="T152" s="6" t="inlineStr"/>
      <c r="U152" s="4" t="inlineStr">
        <is>
          <t>2026-09-10 23:00:00</t>
        </is>
      </c>
      <c r="V152" s="4" t="inlineStr">
        <is>
          <t>Evento: Carga del sistema al inicio de la perturbación. Suma de las tres centrales = 5.330 MW, consistente con la carga reportada.</t>
        </is>
      </c>
    </row>
    <row r="153">
      <c r="A153" s="6" t="inlineStr">
        <is>
          <t>R0000152</t>
        </is>
      </c>
      <c r="B153" s="6" t="inlineStr">
        <is>
          <t>2026-02-18 15:18:00</t>
        </is>
      </c>
      <c r="C153" s="6" t="inlineStr">
        <is>
          <t>2026-02-18 15:18:00</t>
        </is>
      </c>
      <c r="D153" s="6" t="inlineStr">
        <is>
          <t>event</t>
        </is>
      </c>
      <c r="E153" s="6" t="inlineStr">
        <is>
          <t>POWER_TO_PY</t>
        </is>
      </c>
      <c r="F153" s="6" t="inlineStr">
        <is>
          <t>YACYRETA</t>
        </is>
      </c>
      <c r="G153" s="6" t="inlineStr">
        <is>
          <t>YACYRETA</t>
        </is>
      </c>
      <c r="H153" s="6" t="inlineStr">
        <is>
          <t>PY</t>
        </is>
      </c>
      <c r="I153" s="8" t="n">
        <v>1454</v>
      </c>
      <c r="J153" s="6" t="inlineStr">
        <is>
          <t>MW</t>
        </is>
      </c>
      <c r="K153" s="8" t="n">
        <v>1454</v>
      </c>
      <c r="L153" s="6" t="inlineStr">
        <is>
          <t>MW</t>
        </is>
      </c>
      <c r="M153" s="6" t="inlineStr">
        <is>
          <t>ANDE</t>
        </is>
      </c>
      <c r="N153" s="6" t="inlineStr">
        <is>
          <t>OFFICIAL_PRIMARY</t>
        </is>
      </c>
      <c r="O153" s="9" t="inlineStr">
        <is>
          <t>OFFICIAL_MEASURED</t>
        </is>
      </c>
      <c r="P153" s="8" t="n">
        <v>1</v>
      </c>
      <c r="Q153" s="8" t="n">
        <v>50</v>
      </c>
      <c r="R153" s="7" t="inlineStr">
        <is>
          <t>https://www.ande.gov.py/interna.php?id=14999</t>
        </is>
      </c>
      <c r="S153" s="6" t="inlineStr"/>
      <c r="T153" s="6" t="inlineStr"/>
      <c r="U153" s="4" t="inlineStr">
        <is>
          <t>2026-09-10 23:00:00</t>
        </is>
      </c>
      <c r="V153" s="4" t="inlineStr">
        <is>
          <t>Evento: Carga del sistema al inicio de la perturbación. Suma de las tres centrales = 5.330 MW, consistente con la carga reportada.</t>
        </is>
      </c>
    </row>
    <row r="154">
      <c r="A154" s="6" t="inlineStr">
        <is>
          <t>R0000153</t>
        </is>
      </c>
      <c r="B154" s="6" t="inlineStr">
        <is>
          <t>2026-02-18 15:18:00</t>
        </is>
      </c>
      <c r="C154" s="6" t="inlineStr">
        <is>
          <t>2026-02-18 15:18:00</t>
        </is>
      </c>
      <c r="D154" s="6" t="inlineStr">
        <is>
          <t>event</t>
        </is>
      </c>
      <c r="E154" s="6" t="inlineStr">
        <is>
          <t>POWER_TO_PY</t>
        </is>
      </c>
      <c r="F154" s="6" t="inlineStr">
        <is>
          <t>ACARAY</t>
        </is>
      </c>
      <c r="G154" s="6" t="inlineStr">
        <is>
          <t>ACARAY</t>
        </is>
      </c>
      <c r="H154" s="6" t="inlineStr">
        <is>
          <t>PY</t>
        </is>
      </c>
      <c r="I154" s="8" t="n">
        <v>130</v>
      </c>
      <c r="J154" s="6" t="inlineStr">
        <is>
          <t>MW</t>
        </is>
      </c>
      <c r="K154" s="8" t="n">
        <v>130</v>
      </c>
      <c r="L154" s="6" t="inlineStr">
        <is>
          <t>MW</t>
        </is>
      </c>
      <c r="M154" s="6" t="inlineStr">
        <is>
          <t>ANDE</t>
        </is>
      </c>
      <c r="N154" s="6" t="inlineStr">
        <is>
          <t>OFFICIAL_PRIMARY</t>
        </is>
      </c>
      <c r="O154" s="9" t="inlineStr">
        <is>
          <t>OFFICIAL_MEASURED</t>
        </is>
      </c>
      <c r="P154" s="8" t="n">
        <v>1</v>
      </c>
      <c r="Q154" s="8" t="n">
        <v>50</v>
      </c>
      <c r="R154" s="7" t="inlineStr">
        <is>
          <t>https://www.ande.gov.py/interna.php?id=14999</t>
        </is>
      </c>
      <c r="S154" s="6" t="inlineStr"/>
      <c r="T154" s="6" t="inlineStr"/>
      <c r="U154" s="4" t="inlineStr">
        <is>
          <t>2026-09-10 23:00:00</t>
        </is>
      </c>
      <c r="V154" s="4" t="inlineStr">
        <is>
          <t>Evento: Carga del sistema al inicio de la perturbación. Suma de las tres centrales = 5.330 MW, consistente con la carga reportada.</t>
        </is>
      </c>
    </row>
    <row r="155">
      <c r="A155" s="6" t="inlineStr">
        <is>
          <t>R0000154</t>
        </is>
      </c>
      <c r="B155" s="6" t="inlineStr">
        <is>
          <t>2022-01-01</t>
        </is>
      </c>
      <c r="C155" s="6" t="inlineStr">
        <is>
          <t>2022-07-31</t>
        </is>
      </c>
      <c r="D155" s="6" t="inlineStr">
        <is>
          <t>period</t>
        </is>
      </c>
      <c r="E155" s="6" t="inlineStr">
        <is>
          <t>ENERGY_TO_PY</t>
        </is>
      </c>
      <c r="F155" s="6" t="inlineStr">
        <is>
          <t>ITAIPU</t>
        </is>
      </c>
      <c r="G155" s="6" t="inlineStr">
        <is>
          <t>ITAIPU</t>
        </is>
      </c>
      <c r="H155" s="6" t="inlineStr">
        <is>
          <t>PY</t>
        </is>
      </c>
      <c r="I155" s="8" t="n">
        <v>9928180</v>
      </c>
      <c r="J155" s="6" t="inlineStr">
        <is>
          <t>MWh</t>
        </is>
      </c>
      <c r="K155" s="8" t="n">
        <v>9928180</v>
      </c>
      <c r="L155" s="6" t="inlineStr">
        <is>
          <t>MWh</t>
        </is>
      </c>
      <c r="M155" s="6" t="inlineStr">
        <is>
          <t>ANDE</t>
        </is>
      </c>
      <c r="N155" s="6" t="inlineStr">
        <is>
          <t>OFFICIAL_PRIMARY</t>
        </is>
      </c>
      <c r="O155" s="9" t="inlineStr">
        <is>
          <t>OFFICIAL_AGGREGATE</t>
        </is>
      </c>
      <c r="P155" s="8" t="n">
        <v>1</v>
      </c>
      <c r="Q155" s="8" t="n">
        <v>50</v>
      </c>
      <c r="R155" s="7" t="inlineStr">
        <is>
          <t>https://www.ande.gov.py/interna.php?id=10223</t>
        </is>
      </c>
      <c r="S155" s="6" t="inlineStr"/>
      <c r="T155" s="6" t="inlineStr"/>
      <c r="U155" s="4" t="inlineStr">
        <is>
          <t>2026-09-10 23:00:00</t>
        </is>
      </c>
      <c r="V155" s="4" t="inlineStr">
        <is>
          <t>Acumulado enero-julio 2022 publicado por ANDE.</t>
        </is>
      </c>
    </row>
    <row r="156">
      <c r="A156" s="6" t="inlineStr">
        <is>
          <t>R0000155</t>
        </is>
      </c>
      <c r="B156" s="6" t="inlineStr">
        <is>
          <t>2022-01-01</t>
        </is>
      </c>
      <c r="C156" s="6" t="inlineStr">
        <is>
          <t>2022-07-31</t>
        </is>
      </c>
      <c r="D156" s="6" t="inlineStr">
        <is>
          <t>period</t>
        </is>
      </c>
      <c r="E156" s="6" t="inlineStr">
        <is>
          <t>ENERGY_TO_PY</t>
        </is>
      </c>
      <c r="F156" s="6" t="inlineStr">
        <is>
          <t>YACYRETA</t>
        </is>
      </c>
      <c r="G156" s="6" t="inlineStr">
        <is>
          <t>YACYRETA</t>
        </is>
      </c>
      <c r="H156" s="6" t="inlineStr">
        <is>
          <t>PY</t>
        </is>
      </c>
      <c r="I156" s="8" t="n">
        <v>1410732</v>
      </c>
      <c r="J156" s="6" t="inlineStr">
        <is>
          <t>MWh</t>
        </is>
      </c>
      <c r="K156" s="8" t="n">
        <v>1410732</v>
      </c>
      <c r="L156" s="6" t="inlineStr">
        <is>
          <t>MWh</t>
        </is>
      </c>
      <c r="M156" s="6" t="inlineStr">
        <is>
          <t>ANDE</t>
        </is>
      </c>
      <c r="N156" s="6" t="inlineStr">
        <is>
          <t>OFFICIAL_PRIMARY</t>
        </is>
      </c>
      <c r="O156" s="9" t="inlineStr">
        <is>
          <t>OFFICIAL_AGGREGATE</t>
        </is>
      </c>
      <c r="P156" s="8" t="n">
        <v>1</v>
      </c>
      <c r="Q156" s="8" t="n">
        <v>50</v>
      </c>
      <c r="R156" s="7" t="inlineStr">
        <is>
          <t>https://www.ande.gov.py/interna.php?id=10223</t>
        </is>
      </c>
      <c r="S156" s="6" t="inlineStr"/>
      <c r="T156" s="6" t="inlineStr"/>
      <c r="U156" s="4" t="inlineStr">
        <is>
          <t>2026-09-10 23:00:00</t>
        </is>
      </c>
      <c r="V156" s="4" t="inlineStr">
        <is>
          <t>Acumulado enero-julio 2022 publicado por ANDE.</t>
        </is>
      </c>
    </row>
    <row r="157">
      <c r="A157" s="6" t="inlineStr">
        <is>
          <t>R0000156</t>
        </is>
      </c>
      <c r="B157" s="6" t="inlineStr">
        <is>
          <t>2022-01-01</t>
        </is>
      </c>
      <c r="C157" s="6" t="inlineStr">
        <is>
          <t>2022-07-31</t>
        </is>
      </c>
      <c r="D157" s="6" t="inlineStr">
        <is>
          <t>period</t>
        </is>
      </c>
      <c r="E157" s="6" t="inlineStr">
        <is>
          <t>ENERGY_TO_PY</t>
        </is>
      </c>
      <c r="F157" s="6" t="inlineStr">
        <is>
          <t>ACARAY</t>
        </is>
      </c>
      <c r="G157" s="6" t="inlineStr">
        <is>
          <t>ACARAY</t>
        </is>
      </c>
      <c r="H157" s="6" t="inlineStr">
        <is>
          <t>PY</t>
        </is>
      </c>
      <c r="I157" s="8" t="n">
        <v>244452</v>
      </c>
      <c r="J157" s="6" t="inlineStr">
        <is>
          <t>MWh</t>
        </is>
      </c>
      <c r="K157" s="8" t="n">
        <v>244452</v>
      </c>
      <c r="L157" s="6" t="inlineStr">
        <is>
          <t>MWh</t>
        </is>
      </c>
      <c r="M157" s="6" t="inlineStr">
        <is>
          <t>ANDE</t>
        </is>
      </c>
      <c r="N157" s="6" t="inlineStr">
        <is>
          <t>OFFICIAL_PRIMARY</t>
        </is>
      </c>
      <c r="O157" s="9" t="inlineStr">
        <is>
          <t>OFFICIAL_AGGREGATE</t>
        </is>
      </c>
      <c r="P157" s="8" t="n">
        <v>1</v>
      </c>
      <c r="Q157" s="8" t="n">
        <v>50</v>
      </c>
      <c r="R157" s="7" t="inlineStr">
        <is>
          <t>https://www.ande.gov.py/interna.php?id=10223</t>
        </is>
      </c>
      <c r="S157" s="6" t="inlineStr"/>
      <c r="T157" s="6" t="inlineStr"/>
      <c r="U157" s="4" t="inlineStr">
        <is>
          <t>2026-09-10 23:00:00</t>
        </is>
      </c>
      <c r="V157" s="4" t="inlineStr">
        <is>
          <t>Acumulado enero-julio 2022 publicado por ANDE.</t>
        </is>
      </c>
    </row>
    <row r="158">
      <c r="A158" s="6" t="inlineStr">
        <is>
          <t>R0000157</t>
        </is>
      </c>
      <c r="B158" s="6" t="inlineStr">
        <is>
          <t>2022-01-01</t>
        </is>
      </c>
      <c r="C158" s="6" t="inlineStr">
        <is>
          <t>2022-07-31</t>
        </is>
      </c>
      <c r="D158" s="6" t="inlineStr">
        <is>
          <t>period</t>
        </is>
      </c>
      <c r="E158" s="6" t="inlineStr">
        <is>
          <t>PY_CONSUMPTION_ENERGY</t>
        </is>
      </c>
      <c r="F158" s="6" t="inlineStr">
        <is>
          <t>PY_SIN</t>
        </is>
      </c>
      <c r="G158" s="6" t="inlineStr">
        <is>
          <t>PY</t>
        </is>
      </c>
      <c r="H158" s="6" t="inlineStr">
        <is>
          <t>PY</t>
        </is>
      </c>
      <c r="I158" s="8" t="n">
        <v>11583364</v>
      </c>
      <c r="J158" s="6" t="inlineStr">
        <is>
          <t>MWh</t>
        </is>
      </c>
      <c r="K158" s="8" t="n">
        <v>11583364</v>
      </c>
      <c r="L158" s="6" t="inlineStr">
        <is>
          <t>MWh</t>
        </is>
      </c>
      <c r="M158" s="6" t="inlineStr">
        <is>
          <t>ANDE</t>
        </is>
      </c>
      <c r="N158" s="6" t="inlineStr">
        <is>
          <t>OFFICIAL_PRIMARY</t>
        </is>
      </c>
      <c r="O158" s="9" t="inlineStr">
        <is>
          <t>OFFICIAL_AGGREGATE</t>
        </is>
      </c>
      <c r="P158" s="8" t="n">
        <v>1</v>
      </c>
      <c r="Q158" s="8" t="n">
        <v>50</v>
      </c>
      <c r="R158" s="7" t="inlineStr">
        <is>
          <t>https://www.ande.gov.py/interna.php?id=10223</t>
        </is>
      </c>
      <c r="S158" s="6" t="inlineStr"/>
      <c r="T158" s="6" t="inlineStr"/>
      <c r="U158" s="4" t="inlineStr">
        <is>
          <t>2026-09-10 23:00:00</t>
        </is>
      </c>
      <c r="V158" s="4" t="inlineStr">
        <is>
          <t>Acumulado enero-julio 2022 publicado por ANDE.</t>
        </is>
      </c>
    </row>
    <row r="159">
      <c r="A159" s="6" t="inlineStr">
        <is>
          <t>R0000158</t>
        </is>
      </c>
      <c r="B159" s="6" t="inlineStr">
        <is>
          <t>1994-08-01</t>
        </is>
      </c>
      <c r="C159" s="6" t="inlineStr">
        <is>
          <t>1994-08-31</t>
        </is>
      </c>
      <c r="D159" s="6" t="inlineStr">
        <is>
          <t>month</t>
        </is>
      </c>
      <c r="E159" s="6" t="inlineStr">
        <is>
          <t>YACYRETA_NET_ENERGY</t>
        </is>
      </c>
      <c r="F159" s="6" t="inlineStr">
        <is>
          <t>YACYRETA</t>
        </is>
      </c>
      <c r="G159" s="6" t="inlineStr">
        <is>
          <t>YACYRETA</t>
        </is>
      </c>
      <c r="H159" s="6" t="inlineStr">
        <is>
          <t>TOTAL</t>
        </is>
      </c>
      <c r="I159" s="8" t="n">
        <v>826</v>
      </c>
      <c r="J159" s="6" t="inlineStr">
        <is>
          <t>MWh</t>
        </is>
      </c>
      <c r="K159" s="8" t="n">
        <v>826</v>
      </c>
      <c r="L159" s="6" t="inlineStr">
        <is>
          <t>MWh</t>
        </is>
      </c>
      <c r="M159" s="6" t="inlineStr">
        <is>
          <t>EBY</t>
        </is>
      </c>
      <c r="N159" s="6" t="inlineStr">
        <is>
          <t>OFFICIAL_PRIMARY</t>
        </is>
      </c>
      <c r="O159" s="9" t="inlineStr">
        <is>
          <t>OFFICIAL_AGGREGATE</t>
        </is>
      </c>
      <c r="P159" s="8" t="n">
        <v>1</v>
      </c>
      <c r="Q159" s="8" t="n">
        <v>50</v>
      </c>
      <c r="R159" s="7" t="inlineStr">
        <is>
          <t>https://www.eby.gov.py/wp-content/uploads/2019/12/YacyretaEnergiasMensualesDesdePuestaenMarcha.pdf</t>
        </is>
      </c>
      <c r="S159" s="6" t="inlineStr">
        <is>
          <t>EBY-MONTHLY-1994-2012</t>
        </is>
      </c>
      <c r="T159" s="6" t="inlineStr"/>
      <c r="U159" s="4" t="inlineStr">
        <is>
          <t>2026-09-10 23:00:00</t>
        </is>
      </c>
      <c r="V159" s="4" t="inlineStr">
        <is>
          <t>Energia mensual Yacyreta desde puesta en marcha.</t>
        </is>
      </c>
    </row>
    <row r="160">
      <c r="A160" s="6" t="inlineStr">
        <is>
          <t>R0000159</t>
        </is>
      </c>
      <c r="B160" s="6" t="inlineStr">
        <is>
          <t>1994-08-01</t>
        </is>
      </c>
      <c r="C160" s="6" t="inlineStr">
        <is>
          <t>1994-08-31</t>
        </is>
      </c>
      <c r="D160" s="6" t="inlineStr">
        <is>
          <t>month</t>
        </is>
      </c>
      <c r="E160" s="6" t="inlineStr">
        <is>
          <t>ENERGY_TO_ARGENTINA</t>
        </is>
      </c>
      <c r="F160" s="6" t="inlineStr">
        <is>
          <t>YACYRETA</t>
        </is>
      </c>
      <c r="G160" s="6" t="inlineStr">
        <is>
          <t>YACYRETA</t>
        </is>
      </c>
      <c r="H160" s="6" t="inlineStr">
        <is>
          <t>SADI</t>
        </is>
      </c>
      <c r="I160" s="8" t="n">
        <v>826</v>
      </c>
      <c r="J160" s="6" t="inlineStr">
        <is>
          <t>MWh</t>
        </is>
      </c>
      <c r="K160" s="8" t="n">
        <v>826</v>
      </c>
      <c r="L160" s="6" t="inlineStr">
        <is>
          <t>MWh</t>
        </is>
      </c>
      <c r="M160" s="6" t="inlineStr">
        <is>
          <t>EBY</t>
        </is>
      </c>
      <c r="N160" s="6" t="inlineStr">
        <is>
          <t>OFFICIAL_PRIMARY</t>
        </is>
      </c>
      <c r="O160" s="9" t="inlineStr">
        <is>
          <t>OFFICIAL_AGGREGATE</t>
        </is>
      </c>
      <c r="P160" s="8" t="n">
        <v>1</v>
      </c>
      <c r="Q160" s="8" t="n">
        <v>50</v>
      </c>
      <c r="R160" s="7" t="inlineStr">
        <is>
          <t>https://www.eby.gov.py/wp-content/uploads/2019/12/YacyretaEnergiasMensualesDesdePuestaenMarcha.pdf</t>
        </is>
      </c>
      <c r="S160" s="6" t="inlineStr">
        <is>
          <t>EBY-MONTHLY-1994-2012</t>
        </is>
      </c>
      <c r="T160" s="6" t="inlineStr"/>
      <c r="U160" s="4" t="inlineStr">
        <is>
          <t>2026-09-10 23:00:00</t>
        </is>
      </c>
      <c r="V160" s="4" t="inlineStr">
        <is>
          <t>Energia mensual entregada al SADI.</t>
        </is>
      </c>
    </row>
    <row r="161">
      <c r="A161" s="6" t="inlineStr">
        <is>
          <t>R0000160</t>
        </is>
      </c>
      <c r="B161" s="6" t="inlineStr">
        <is>
          <t>1994-08-01</t>
        </is>
      </c>
      <c r="C161" s="6" t="inlineStr">
        <is>
          <t>1994-08-31</t>
        </is>
      </c>
      <c r="D161" s="6" t="inlineStr">
        <is>
          <t>month</t>
        </is>
      </c>
      <c r="E161" s="6" t="inlineStr">
        <is>
          <t>ENERGY_TO_PY</t>
        </is>
      </c>
      <c r="F161" s="6" t="inlineStr">
        <is>
          <t>YACYRETA</t>
        </is>
      </c>
      <c r="G161" s="6" t="inlineStr">
        <is>
          <t>YACYRETA</t>
        </is>
      </c>
      <c r="H161" s="6" t="inlineStr">
        <is>
          <t>SINP</t>
        </is>
      </c>
      <c r="I161" s="8" t="n">
        <v>0</v>
      </c>
      <c r="J161" s="6" t="inlineStr">
        <is>
          <t>MWh</t>
        </is>
      </c>
      <c r="K161" s="8" t="n">
        <v>0</v>
      </c>
      <c r="L161" s="6" t="inlineStr">
        <is>
          <t>MWh</t>
        </is>
      </c>
      <c r="M161" s="6" t="inlineStr">
        <is>
          <t>EBY</t>
        </is>
      </c>
      <c r="N161" s="6" t="inlineStr">
        <is>
          <t>OFFICIAL_PRIMARY</t>
        </is>
      </c>
      <c r="O161" s="9" t="inlineStr">
        <is>
          <t>OFFICIAL_AGGREGATE</t>
        </is>
      </c>
      <c r="P161" s="8" t="n">
        <v>1</v>
      </c>
      <c r="Q161" s="8" t="n">
        <v>50</v>
      </c>
      <c r="R161" s="7" t="inlineStr">
        <is>
          <t>https://www.eby.gov.py/wp-content/uploads/2019/12/YacyretaEnergiasMensualesDesdePuestaenMarcha.pdf</t>
        </is>
      </c>
      <c r="S161" s="6" t="inlineStr">
        <is>
          <t>EBY-MONTHLY-1994-2012</t>
        </is>
      </c>
      <c r="T161" s="6" t="inlineStr"/>
      <c r="U161" s="4" t="inlineStr">
        <is>
          <t>2026-09-10 23:00:00</t>
        </is>
      </c>
      <c r="V161" s="4" t="inlineStr">
        <is>
          <t>Energia mensual entregada al SINP.</t>
        </is>
      </c>
    </row>
    <row r="162">
      <c r="A162" s="6" t="inlineStr">
        <is>
          <t>R0000161</t>
        </is>
      </c>
      <c r="B162" s="6" t="inlineStr">
        <is>
          <t>1994-09-01</t>
        </is>
      </c>
      <c r="C162" s="6" t="inlineStr">
        <is>
          <t>1994-09-30</t>
        </is>
      </c>
      <c r="D162" s="6" t="inlineStr">
        <is>
          <t>month</t>
        </is>
      </c>
      <c r="E162" s="6" t="inlineStr">
        <is>
          <t>YACYRETA_NET_ENERGY</t>
        </is>
      </c>
      <c r="F162" s="6" t="inlineStr">
        <is>
          <t>YACYRETA</t>
        </is>
      </c>
      <c r="G162" s="6" t="inlineStr">
        <is>
          <t>YACYRETA</t>
        </is>
      </c>
      <c r="H162" s="6" t="inlineStr">
        <is>
          <t>TOTAL</t>
        </is>
      </c>
      <c r="I162" s="8" t="n">
        <v>55808</v>
      </c>
      <c r="J162" s="6" t="inlineStr">
        <is>
          <t>MWh</t>
        </is>
      </c>
      <c r="K162" s="8" t="n">
        <v>55808</v>
      </c>
      <c r="L162" s="6" t="inlineStr">
        <is>
          <t>MWh</t>
        </is>
      </c>
      <c r="M162" s="6" t="inlineStr">
        <is>
          <t>EBY</t>
        </is>
      </c>
      <c r="N162" s="6" t="inlineStr">
        <is>
          <t>OFFICIAL_PRIMARY</t>
        </is>
      </c>
      <c r="O162" s="9" t="inlineStr">
        <is>
          <t>OFFICIAL_AGGREGATE</t>
        </is>
      </c>
      <c r="P162" s="8" t="n">
        <v>1</v>
      </c>
      <c r="Q162" s="8" t="n">
        <v>50</v>
      </c>
      <c r="R162" s="7" t="inlineStr">
        <is>
          <t>https://www.eby.gov.py/wp-content/uploads/2019/12/YacyretaEnergiasMensualesDesdePuestaenMarcha.pdf</t>
        </is>
      </c>
      <c r="S162" s="6" t="inlineStr">
        <is>
          <t>EBY-MONTHLY-1994-2012</t>
        </is>
      </c>
      <c r="T162" s="6" t="inlineStr"/>
      <c r="U162" s="4" t="inlineStr">
        <is>
          <t>2026-09-10 23:00:00</t>
        </is>
      </c>
      <c r="V162" s="4" t="inlineStr">
        <is>
          <t>Energia mensual Yacyreta desde puesta en marcha.</t>
        </is>
      </c>
    </row>
    <row r="163">
      <c r="A163" s="6" t="inlineStr">
        <is>
          <t>R0000162</t>
        </is>
      </c>
      <c r="B163" s="6" t="inlineStr">
        <is>
          <t>1994-09-01</t>
        </is>
      </c>
      <c r="C163" s="6" t="inlineStr">
        <is>
          <t>1994-09-30</t>
        </is>
      </c>
      <c r="D163" s="6" t="inlineStr">
        <is>
          <t>month</t>
        </is>
      </c>
      <c r="E163" s="6" t="inlineStr">
        <is>
          <t>ENERGY_TO_ARGENTINA</t>
        </is>
      </c>
      <c r="F163" s="6" t="inlineStr">
        <is>
          <t>YACYRETA</t>
        </is>
      </c>
      <c r="G163" s="6" t="inlineStr">
        <is>
          <t>YACYRETA</t>
        </is>
      </c>
      <c r="H163" s="6" t="inlineStr">
        <is>
          <t>SADI</t>
        </is>
      </c>
      <c r="I163" s="8" t="n">
        <v>55808</v>
      </c>
      <c r="J163" s="6" t="inlineStr">
        <is>
          <t>MWh</t>
        </is>
      </c>
      <c r="K163" s="8" t="n">
        <v>55808</v>
      </c>
      <c r="L163" s="6" t="inlineStr">
        <is>
          <t>MWh</t>
        </is>
      </c>
      <c r="M163" s="6" t="inlineStr">
        <is>
          <t>EBY</t>
        </is>
      </c>
      <c r="N163" s="6" t="inlineStr">
        <is>
          <t>OFFICIAL_PRIMARY</t>
        </is>
      </c>
      <c r="O163" s="9" t="inlineStr">
        <is>
          <t>OFFICIAL_AGGREGATE</t>
        </is>
      </c>
      <c r="P163" s="8" t="n">
        <v>1</v>
      </c>
      <c r="Q163" s="8" t="n">
        <v>50</v>
      </c>
      <c r="R163" s="7" t="inlineStr">
        <is>
          <t>https://www.eby.gov.py/wp-content/uploads/2019/12/YacyretaEnergiasMensualesDesdePuestaenMarcha.pdf</t>
        </is>
      </c>
      <c r="S163" s="6" t="inlineStr">
        <is>
          <t>EBY-MONTHLY-1994-2012</t>
        </is>
      </c>
      <c r="T163" s="6" t="inlineStr"/>
      <c r="U163" s="4" t="inlineStr">
        <is>
          <t>2026-09-10 23:00:00</t>
        </is>
      </c>
      <c r="V163" s="4" t="inlineStr">
        <is>
          <t>Energia mensual entregada al SADI.</t>
        </is>
      </c>
    </row>
    <row r="164">
      <c r="A164" s="6" t="inlineStr">
        <is>
          <t>R0000163</t>
        </is>
      </c>
      <c r="B164" s="6" t="inlineStr">
        <is>
          <t>1994-09-01</t>
        </is>
      </c>
      <c r="C164" s="6" t="inlineStr">
        <is>
          <t>1994-09-30</t>
        </is>
      </c>
      <c r="D164" s="6" t="inlineStr">
        <is>
          <t>month</t>
        </is>
      </c>
      <c r="E164" s="6" t="inlineStr">
        <is>
          <t>ENERGY_TO_PY</t>
        </is>
      </c>
      <c r="F164" s="6" t="inlineStr">
        <is>
          <t>YACYRETA</t>
        </is>
      </c>
      <c r="G164" s="6" t="inlineStr">
        <is>
          <t>YACYRETA</t>
        </is>
      </c>
      <c r="H164" s="6" t="inlineStr">
        <is>
          <t>SINP</t>
        </is>
      </c>
      <c r="I164" s="8" t="n">
        <v>0</v>
      </c>
      <c r="J164" s="6" t="inlineStr">
        <is>
          <t>MWh</t>
        </is>
      </c>
      <c r="K164" s="8" t="n">
        <v>0</v>
      </c>
      <c r="L164" s="6" t="inlineStr">
        <is>
          <t>MWh</t>
        </is>
      </c>
      <c r="M164" s="6" t="inlineStr">
        <is>
          <t>EBY</t>
        </is>
      </c>
      <c r="N164" s="6" t="inlineStr">
        <is>
          <t>OFFICIAL_PRIMARY</t>
        </is>
      </c>
      <c r="O164" s="9" t="inlineStr">
        <is>
          <t>OFFICIAL_AGGREGATE</t>
        </is>
      </c>
      <c r="P164" s="8" t="n">
        <v>1</v>
      </c>
      <c r="Q164" s="8" t="n">
        <v>50</v>
      </c>
      <c r="R164" s="7" t="inlineStr">
        <is>
          <t>https://www.eby.gov.py/wp-content/uploads/2019/12/YacyretaEnergiasMensualesDesdePuestaenMarcha.pdf</t>
        </is>
      </c>
      <c r="S164" s="6" t="inlineStr">
        <is>
          <t>EBY-MONTHLY-1994-2012</t>
        </is>
      </c>
      <c r="T164" s="6" t="inlineStr"/>
      <c r="U164" s="4" t="inlineStr">
        <is>
          <t>2026-09-10 23:00:00</t>
        </is>
      </c>
      <c r="V164" s="4" t="inlineStr">
        <is>
          <t>Energia mensual entregada al SINP.</t>
        </is>
      </c>
    </row>
    <row r="165">
      <c r="A165" s="6" t="inlineStr">
        <is>
          <t>R0000164</t>
        </is>
      </c>
      <c r="B165" s="6" t="inlineStr">
        <is>
          <t>1994-10-01</t>
        </is>
      </c>
      <c r="C165" s="6" t="inlineStr">
        <is>
          <t>1994-10-31</t>
        </is>
      </c>
      <c r="D165" s="6" t="inlineStr">
        <is>
          <t>month</t>
        </is>
      </c>
      <c r="E165" s="6" t="inlineStr">
        <is>
          <t>YACYRETA_NET_ENERGY</t>
        </is>
      </c>
      <c r="F165" s="6" t="inlineStr">
        <is>
          <t>YACYRETA</t>
        </is>
      </c>
      <c r="G165" s="6" t="inlineStr">
        <is>
          <t>YACYRETA</t>
        </is>
      </c>
      <c r="H165" s="6" t="inlineStr">
        <is>
          <t>TOTAL</t>
        </is>
      </c>
      <c r="I165" s="8" t="n">
        <v>62043</v>
      </c>
      <c r="J165" s="6" t="inlineStr">
        <is>
          <t>MWh</t>
        </is>
      </c>
      <c r="K165" s="8" t="n">
        <v>62043</v>
      </c>
      <c r="L165" s="6" t="inlineStr">
        <is>
          <t>MWh</t>
        </is>
      </c>
      <c r="M165" s="6" t="inlineStr">
        <is>
          <t>EBY</t>
        </is>
      </c>
      <c r="N165" s="6" t="inlineStr">
        <is>
          <t>OFFICIAL_PRIMARY</t>
        </is>
      </c>
      <c r="O165" s="9" t="inlineStr">
        <is>
          <t>OFFICIAL_AGGREGATE</t>
        </is>
      </c>
      <c r="P165" s="8" t="n">
        <v>1</v>
      </c>
      <c r="Q165" s="8" t="n">
        <v>50</v>
      </c>
      <c r="R165" s="7" t="inlineStr">
        <is>
          <t>https://www.eby.gov.py/wp-content/uploads/2019/12/YacyretaEnergiasMensualesDesdePuestaenMarcha.pdf</t>
        </is>
      </c>
      <c r="S165" s="6" t="inlineStr">
        <is>
          <t>EBY-MONTHLY-1994-2012</t>
        </is>
      </c>
      <c r="T165" s="6" t="inlineStr"/>
      <c r="U165" s="4" t="inlineStr">
        <is>
          <t>2026-09-10 23:00:00</t>
        </is>
      </c>
      <c r="V165" s="4" t="inlineStr">
        <is>
          <t>Energia mensual Yacyreta desde puesta en marcha.</t>
        </is>
      </c>
    </row>
    <row r="166">
      <c r="A166" s="6" t="inlineStr">
        <is>
          <t>R0000165</t>
        </is>
      </c>
      <c r="B166" s="6" t="inlineStr">
        <is>
          <t>1994-10-01</t>
        </is>
      </c>
      <c r="C166" s="6" t="inlineStr">
        <is>
          <t>1994-10-31</t>
        </is>
      </c>
      <c r="D166" s="6" t="inlineStr">
        <is>
          <t>month</t>
        </is>
      </c>
      <c r="E166" s="6" t="inlineStr">
        <is>
          <t>ENERGY_TO_ARGENTINA</t>
        </is>
      </c>
      <c r="F166" s="6" t="inlineStr">
        <is>
          <t>YACYRETA</t>
        </is>
      </c>
      <c r="G166" s="6" t="inlineStr">
        <is>
          <t>YACYRETA</t>
        </is>
      </c>
      <c r="H166" s="6" t="inlineStr">
        <is>
          <t>SADI</t>
        </is>
      </c>
      <c r="I166" s="8" t="n">
        <v>62043</v>
      </c>
      <c r="J166" s="6" t="inlineStr">
        <is>
          <t>MWh</t>
        </is>
      </c>
      <c r="K166" s="8" t="n">
        <v>62043</v>
      </c>
      <c r="L166" s="6" t="inlineStr">
        <is>
          <t>MWh</t>
        </is>
      </c>
      <c r="M166" s="6" t="inlineStr">
        <is>
          <t>EBY</t>
        </is>
      </c>
      <c r="N166" s="6" t="inlineStr">
        <is>
          <t>OFFICIAL_PRIMARY</t>
        </is>
      </c>
      <c r="O166" s="9" t="inlineStr">
        <is>
          <t>OFFICIAL_AGGREGATE</t>
        </is>
      </c>
      <c r="P166" s="8" t="n">
        <v>1</v>
      </c>
      <c r="Q166" s="8" t="n">
        <v>50</v>
      </c>
      <c r="R166" s="7" t="inlineStr">
        <is>
          <t>https://www.eby.gov.py/wp-content/uploads/2019/12/YacyretaEnergiasMensualesDesdePuestaenMarcha.pdf</t>
        </is>
      </c>
      <c r="S166" s="6" t="inlineStr">
        <is>
          <t>EBY-MONTHLY-1994-2012</t>
        </is>
      </c>
      <c r="T166" s="6" t="inlineStr"/>
      <c r="U166" s="4" t="inlineStr">
        <is>
          <t>2026-09-10 23:00:00</t>
        </is>
      </c>
      <c r="V166" s="4" t="inlineStr">
        <is>
          <t>Energia mensual entregada al SADI.</t>
        </is>
      </c>
    </row>
    <row r="167">
      <c r="A167" s="6" t="inlineStr">
        <is>
          <t>R0000166</t>
        </is>
      </c>
      <c r="B167" s="6" t="inlineStr">
        <is>
          <t>1994-10-01</t>
        </is>
      </c>
      <c r="C167" s="6" t="inlineStr">
        <is>
          <t>1994-10-31</t>
        </is>
      </c>
      <c r="D167" s="6" t="inlineStr">
        <is>
          <t>month</t>
        </is>
      </c>
      <c r="E167" s="6" t="inlineStr">
        <is>
          <t>ENERGY_TO_PY</t>
        </is>
      </c>
      <c r="F167" s="6" t="inlineStr">
        <is>
          <t>YACYRETA</t>
        </is>
      </c>
      <c r="G167" s="6" t="inlineStr">
        <is>
          <t>YACYRETA</t>
        </is>
      </c>
      <c r="H167" s="6" t="inlineStr">
        <is>
          <t>SINP</t>
        </is>
      </c>
      <c r="I167" s="8" t="n">
        <v>0</v>
      </c>
      <c r="J167" s="6" t="inlineStr">
        <is>
          <t>MWh</t>
        </is>
      </c>
      <c r="K167" s="8" t="n">
        <v>0</v>
      </c>
      <c r="L167" s="6" t="inlineStr">
        <is>
          <t>MWh</t>
        </is>
      </c>
      <c r="M167" s="6" t="inlineStr">
        <is>
          <t>EBY</t>
        </is>
      </c>
      <c r="N167" s="6" t="inlineStr">
        <is>
          <t>OFFICIAL_PRIMARY</t>
        </is>
      </c>
      <c r="O167" s="9" t="inlineStr">
        <is>
          <t>OFFICIAL_AGGREGATE</t>
        </is>
      </c>
      <c r="P167" s="8" t="n">
        <v>1</v>
      </c>
      <c r="Q167" s="8" t="n">
        <v>50</v>
      </c>
      <c r="R167" s="7" t="inlineStr">
        <is>
          <t>https://www.eby.gov.py/wp-content/uploads/2019/12/YacyretaEnergiasMensualesDesdePuestaenMarcha.pdf</t>
        </is>
      </c>
      <c r="S167" s="6" t="inlineStr">
        <is>
          <t>EBY-MONTHLY-1994-2012</t>
        </is>
      </c>
      <c r="T167" s="6" t="inlineStr"/>
      <c r="U167" s="4" t="inlineStr">
        <is>
          <t>2026-09-10 23:00:00</t>
        </is>
      </c>
      <c r="V167" s="4" t="inlineStr">
        <is>
          <t>Energia mensual entregada al SINP.</t>
        </is>
      </c>
    </row>
    <row r="168">
      <c r="A168" s="6" t="inlineStr">
        <is>
          <t>R0000167</t>
        </is>
      </c>
      <c r="B168" s="6" t="inlineStr">
        <is>
          <t>1994-11-01</t>
        </is>
      </c>
      <c r="C168" s="6" t="inlineStr">
        <is>
          <t>1994-11-30</t>
        </is>
      </c>
      <c r="D168" s="6" t="inlineStr">
        <is>
          <t>month</t>
        </is>
      </c>
      <c r="E168" s="6" t="inlineStr">
        <is>
          <t>YACYRETA_NET_ENERGY</t>
        </is>
      </c>
      <c r="F168" s="6" t="inlineStr">
        <is>
          <t>YACYRETA</t>
        </is>
      </c>
      <c r="G168" s="6" t="inlineStr">
        <is>
          <t>YACYRETA</t>
        </is>
      </c>
      <c r="H168" s="6" t="inlineStr">
        <is>
          <t>TOTAL</t>
        </is>
      </c>
      <c r="I168" s="8" t="n">
        <v>105254</v>
      </c>
      <c r="J168" s="6" t="inlineStr">
        <is>
          <t>MWh</t>
        </is>
      </c>
      <c r="K168" s="8" t="n">
        <v>105254</v>
      </c>
      <c r="L168" s="6" t="inlineStr">
        <is>
          <t>MWh</t>
        </is>
      </c>
      <c r="M168" s="6" t="inlineStr">
        <is>
          <t>EBY</t>
        </is>
      </c>
      <c r="N168" s="6" t="inlineStr">
        <is>
          <t>OFFICIAL_PRIMARY</t>
        </is>
      </c>
      <c r="O168" s="9" t="inlineStr">
        <is>
          <t>OFFICIAL_AGGREGATE</t>
        </is>
      </c>
      <c r="P168" s="8" t="n">
        <v>1</v>
      </c>
      <c r="Q168" s="8" t="n">
        <v>50</v>
      </c>
      <c r="R168" s="7" t="inlineStr">
        <is>
          <t>https://www.eby.gov.py/wp-content/uploads/2019/12/YacyretaEnergiasMensualesDesdePuestaenMarcha.pdf</t>
        </is>
      </c>
      <c r="S168" s="6" t="inlineStr">
        <is>
          <t>EBY-MONTHLY-1994-2012</t>
        </is>
      </c>
      <c r="T168" s="6" t="inlineStr"/>
      <c r="U168" s="4" t="inlineStr">
        <is>
          <t>2026-09-10 23:00:00</t>
        </is>
      </c>
      <c r="V168" s="4" t="inlineStr">
        <is>
          <t>Energia mensual Yacyreta desde puesta en marcha.</t>
        </is>
      </c>
    </row>
    <row r="169">
      <c r="A169" s="6" t="inlineStr">
        <is>
          <t>R0000168</t>
        </is>
      </c>
      <c r="B169" s="6" t="inlineStr">
        <is>
          <t>1994-11-01</t>
        </is>
      </c>
      <c r="C169" s="6" t="inlineStr">
        <is>
          <t>1994-11-30</t>
        </is>
      </c>
      <c r="D169" s="6" t="inlineStr">
        <is>
          <t>month</t>
        </is>
      </c>
      <c r="E169" s="6" t="inlineStr">
        <is>
          <t>ENERGY_TO_ARGENTINA</t>
        </is>
      </c>
      <c r="F169" s="6" t="inlineStr">
        <is>
          <t>YACYRETA</t>
        </is>
      </c>
      <c r="G169" s="6" t="inlineStr">
        <is>
          <t>YACYRETA</t>
        </is>
      </c>
      <c r="H169" s="6" t="inlineStr">
        <is>
          <t>SADI</t>
        </is>
      </c>
      <c r="I169" s="8" t="n">
        <v>105254</v>
      </c>
      <c r="J169" s="6" t="inlineStr">
        <is>
          <t>MWh</t>
        </is>
      </c>
      <c r="K169" s="8" t="n">
        <v>105254</v>
      </c>
      <c r="L169" s="6" t="inlineStr">
        <is>
          <t>MWh</t>
        </is>
      </c>
      <c r="M169" s="6" t="inlineStr">
        <is>
          <t>EBY</t>
        </is>
      </c>
      <c r="N169" s="6" t="inlineStr">
        <is>
          <t>OFFICIAL_PRIMARY</t>
        </is>
      </c>
      <c r="O169" s="9" t="inlineStr">
        <is>
          <t>OFFICIAL_AGGREGATE</t>
        </is>
      </c>
      <c r="P169" s="8" t="n">
        <v>1</v>
      </c>
      <c r="Q169" s="8" t="n">
        <v>50</v>
      </c>
      <c r="R169" s="7" t="inlineStr">
        <is>
          <t>https://www.eby.gov.py/wp-content/uploads/2019/12/YacyretaEnergiasMensualesDesdePuestaenMarcha.pdf</t>
        </is>
      </c>
      <c r="S169" s="6" t="inlineStr">
        <is>
          <t>EBY-MONTHLY-1994-2012</t>
        </is>
      </c>
      <c r="T169" s="6" t="inlineStr"/>
      <c r="U169" s="4" t="inlineStr">
        <is>
          <t>2026-09-10 23:00:00</t>
        </is>
      </c>
      <c r="V169" s="4" t="inlineStr">
        <is>
          <t>Energia mensual entregada al SADI.</t>
        </is>
      </c>
    </row>
    <row r="170">
      <c r="A170" s="6" t="inlineStr">
        <is>
          <t>R0000169</t>
        </is>
      </c>
      <c r="B170" s="6" t="inlineStr">
        <is>
          <t>1994-11-01</t>
        </is>
      </c>
      <c r="C170" s="6" t="inlineStr">
        <is>
          <t>1994-11-30</t>
        </is>
      </c>
      <c r="D170" s="6" t="inlineStr">
        <is>
          <t>month</t>
        </is>
      </c>
      <c r="E170" s="6" t="inlineStr">
        <is>
          <t>ENERGY_TO_PY</t>
        </is>
      </c>
      <c r="F170" s="6" t="inlineStr">
        <is>
          <t>YACYRETA</t>
        </is>
      </c>
      <c r="G170" s="6" t="inlineStr">
        <is>
          <t>YACYRETA</t>
        </is>
      </c>
      <c r="H170" s="6" t="inlineStr">
        <is>
          <t>SINP</t>
        </is>
      </c>
      <c r="I170" s="8" t="n">
        <v>0</v>
      </c>
      <c r="J170" s="6" t="inlineStr">
        <is>
          <t>MWh</t>
        </is>
      </c>
      <c r="K170" s="8" t="n">
        <v>0</v>
      </c>
      <c r="L170" s="6" t="inlineStr">
        <is>
          <t>MWh</t>
        </is>
      </c>
      <c r="M170" s="6" t="inlineStr">
        <is>
          <t>EBY</t>
        </is>
      </c>
      <c r="N170" s="6" t="inlineStr">
        <is>
          <t>OFFICIAL_PRIMARY</t>
        </is>
      </c>
      <c r="O170" s="9" t="inlineStr">
        <is>
          <t>OFFICIAL_AGGREGATE</t>
        </is>
      </c>
      <c r="P170" s="8" t="n">
        <v>1</v>
      </c>
      <c r="Q170" s="8" t="n">
        <v>50</v>
      </c>
      <c r="R170" s="7" t="inlineStr">
        <is>
          <t>https://www.eby.gov.py/wp-content/uploads/2019/12/YacyretaEnergiasMensualesDesdePuestaenMarcha.pdf</t>
        </is>
      </c>
      <c r="S170" s="6" t="inlineStr">
        <is>
          <t>EBY-MONTHLY-1994-2012</t>
        </is>
      </c>
      <c r="T170" s="6" t="inlineStr"/>
      <c r="U170" s="4" t="inlineStr">
        <is>
          <t>2026-09-10 23:00:00</t>
        </is>
      </c>
      <c r="V170" s="4" t="inlineStr">
        <is>
          <t>Energia mensual entregada al SINP.</t>
        </is>
      </c>
    </row>
    <row r="171">
      <c r="A171" s="6" t="inlineStr">
        <is>
          <t>R0000170</t>
        </is>
      </c>
      <c r="B171" s="6" t="inlineStr">
        <is>
          <t>1994-12-01</t>
        </is>
      </c>
      <c r="C171" s="6" t="inlineStr">
        <is>
          <t>1994-12-31</t>
        </is>
      </c>
      <c r="D171" s="6" t="inlineStr">
        <is>
          <t>month</t>
        </is>
      </c>
      <c r="E171" s="6" t="inlineStr">
        <is>
          <t>YACYRETA_NET_ENERGY</t>
        </is>
      </c>
      <c r="F171" s="6" t="inlineStr">
        <is>
          <t>YACYRETA</t>
        </is>
      </c>
      <c r="G171" s="6" t="inlineStr">
        <is>
          <t>YACYRETA</t>
        </is>
      </c>
      <c r="H171" s="6" t="inlineStr">
        <is>
          <t>TOTAL</t>
        </is>
      </c>
      <c r="I171" s="8" t="n">
        <v>131430</v>
      </c>
      <c r="J171" s="6" t="inlineStr">
        <is>
          <t>MWh</t>
        </is>
      </c>
      <c r="K171" s="8" t="n">
        <v>131430</v>
      </c>
      <c r="L171" s="6" t="inlineStr">
        <is>
          <t>MWh</t>
        </is>
      </c>
      <c r="M171" s="6" t="inlineStr">
        <is>
          <t>EBY</t>
        </is>
      </c>
      <c r="N171" s="6" t="inlineStr">
        <is>
          <t>OFFICIAL_PRIMARY</t>
        </is>
      </c>
      <c r="O171" s="9" t="inlineStr">
        <is>
          <t>OFFICIAL_AGGREGATE</t>
        </is>
      </c>
      <c r="P171" s="8" t="n">
        <v>1</v>
      </c>
      <c r="Q171" s="8" t="n">
        <v>50</v>
      </c>
      <c r="R171" s="7" t="inlineStr">
        <is>
          <t>https://www.eby.gov.py/wp-content/uploads/2019/12/YacyretaEnergiasMensualesDesdePuestaenMarcha.pdf</t>
        </is>
      </c>
      <c r="S171" s="6" t="inlineStr">
        <is>
          <t>EBY-MONTHLY-1994-2012</t>
        </is>
      </c>
      <c r="T171" s="6" t="inlineStr"/>
      <c r="U171" s="4" t="inlineStr">
        <is>
          <t>2026-09-10 23:00:00</t>
        </is>
      </c>
      <c r="V171" s="4" t="inlineStr">
        <is>
          <t>Energia mensual Yacyreta desde puesta en marcha.</t>
        </is>
      </c>
    </row>
    <row r="172">
      <c r="A172" s="6" t="inlineStr">
        <is>
          <t>R0000171</t>
        </is>
      </c>
      <c r="B172" s="6" t="inlineStr">
        <is>
          <t>1994-12-01</t>
        </is>
      </c>
      <c r="C172" s="6" t="inlineStr">
        <is>
          <t>1994-12-31</t>
        </is>
      </c>
      <c r="D172" s="6" t="inlineStr">
        <is>
          <t>month</t>
        </is>
      </c>
      <c r="E172" s="6" t="inlineStr">
        <is>
          <t>ENERGY_TO_ARGENTINA</t>
        </is>
      </c>
      <c r="F172" s="6" t="inlineStr">
        <is>
          <t>YACYRETA</t>
        </is>
      </c>
      <c r="G172" s="6" t="inlineStr">
        <is>
          <t>YACYRETA</t>
        </is>
      </c>
      <c r="H172" s="6" t="inlineStr">
        <is>
          <t>SADI</t>
        </is>
      </c>
      <c r="I172" s="8" t="n">
        <v>131430</v>
      </c>
      <c r="J172" s="6" t="inlineStr">
        <is>
          <t>MWh</t>
        </is>
      </c>
      <c r="K172" s="8" t="n">
        <v>131430</v>
      </c>
      <c r="L172" s="6" t="inlineStr">
        <is>
          <t>MWh</t>
        </is>
      </c>
      <c r="M172" s="6" t="inlineStr">
        <is>
          <t>EBY</t>
        </is>
      </c>
      <c r="N172" s="6" t="inlineStr">
        <is>
          <t>OFFICIAL_PRIMARY</t>
        </is>
      </c>
      <c r="O172" s="9" t="inlineStr">
        <is>
          <t>OFFICIAL_AGGREGATE</t>
        </is>
      </c>
      <c r="P172" s="8" t="n">
        <v>1</v>
      </c>
      <c r="Q172" s="8" t="n">
        <v>50</v>
      </c>
      <c r="R172" s="7" t="inlineStr">
        <is>
          <t>https://www.eby.gov.py/wp-content/uploads/2019/12/YacyretaEnergiasMensualesDesdePuestaenMarcha.pdf</t>
        </is>
      </c>
      <c r="S172" s="6" t="inlineStr">
        <is>
          <t>EBY-MONTHLY-1994-2012</t>
        </is>
      </c>
      <c r="T172" s="6" t="inlineStr"/>
      <c r="U172" s="4" t="inlineStr">
        <is>
          <t>2026-09-10 23:00:00</t>
        </is>
      </c>
      <c r="V172" s="4" t="inlineStr">
        <is>
          <t>Energia mensual entregada al SADI.</t>
        </is>
      </c>
    </row>
    <row r="173">
      <c r="A173" s="6" t="inlineStr">
        <is>
          <t>R0000172</t>
        </is>
      </c>
      <c r="B173" s="6" t="inlineStr">
        <is>
          <t>1994-12-01</t>
        </is>
      </c>
      <c r="C173" s="6" t="inlineStr">
        <is>
          <t>1994-12-31</t>
        </is>
      </c>
      <c r="D173" s="6" t="inlineStr">
        <is>
          <t>month</t>
        </is>
      </c>
      <c r="E173" s="6" t="inlineStr">
        <is>
          <t>ENERGY_TO_PY</t>
        </is>
      </c>
      <c r="F173" s="6" t="inlineStr">
        <is>
          <t>YACYRETA</t>
        </is>
      </c>
      <c r="G173" s="6" t="inlineStr">
        <is>
          <t>YACYRETA</t>
        </is>
      </c>
      <c r="H173" s="6" t="inlineStr">
        <is>
          <t>SINP</t>
        </is>
      </c>
      <c r="I173" s="8" t="n">
        <v>0</v>
      </c>
      <c r="J173" s="6" t="inlineStr">
        <is>
          <t>MWh</t>
        </is>
      </c>
      <c r="K173" s="8" t="n">
        <v>0</v>
      </c>
      <c r="L173" s="6" t="inlineStr">
        <is>
          <t>MWh</t>
        </is>
      </c>
      <c r="M173" s="6" t="inlineStr">
        <is>
          <t>EBY</t>
        </is>
      </c>
      <c r="N173" s="6" t="inlineStr">
        <is>
          <t>OFFICIAL_PRIMARY</t>
        </is>
      </c>
      <c r="O173" s="9" t="inlineStr">
        <is>
          <t>OFFICIAL_AGGREGATE</t>
        </is>
      </c>
      <c r="P173" s="8" t="n">
        <v>1</v>
      </c>
      <c r="Q173" s="8" t="n">
        <v>50</v>
      </c>
      <c r="R173" s="7" t="inlineStr">
        <is>
          <t>https://www.eby.gov.py/wp-content/uploads/2019/12/YacyretaEnergiasMensualesDesdePuestaenMarcha.pdf</t>
        </is>
      </c>
      <c r="S173" s="6" t="inlineStr">
        <is>
          <t>EBY-MONTHLY-1994-2012</t>
        </is>
      </c>
      <c r="T173" s="6" t="inlineStr"/>
      <c r="U173" s="4" t="inlineStr">
        <is>
          <t>2026-09-10 23:00:00</t>
        </is>
      </c>
      <c r="V173" s="4" t="inlineStr">
        <is>
          <t>Energia mensual entregada al SINP.</t>
        </is>
      </c>
    </row>
    <row r="174">
      <c r="A174" s="6" t="inlineStr">
        <is>
          <t>R0000173</t>
        </is>
      </c>
      <c r="B174" s="6" t="inlineStr">
        <is>
          <t>1995-01-01</t>
        </is>
      </c>
      <c r="C174" s="6" t="inlineStr">
        <is>
          <t>1995-01-31</t>
        </is>
      </c>
      <c r="D174" s="6" t="inlineStr">
        <is>
          <t>month</t>
        </is>
      </c>
      <c r="E174" s="6" t="inlineStr">
        <is>
          <t>YACYRETA_NET_ENERGY</t>
        </is>
      </c>
      <c r="F174" s="6" t="inlineStr">
        <is>
          <t>YACYRETA</t>
        </is>
      </c>
      <c r="G174" s="6" t="inlineStr">
        <is>
          <t>YACYRETA</t>
        </is>
      </c>
      <c r="H174" s="6" t="inlineStr">
        <is>
          <t>TOTAL</t>
        </is>
      </c>
      <c r="I174" s="8" t="n">
        <v>82725</v>
      </c>
      <c r="J174" s="6" t="inlineStr">
        <is>
          <t>MWh</t>
        </is>
      </c>
      <c r="K174" s="8" t="n">
        <v>82725</v>
      </c>
      <c r="L174" s="6" t="inlineStr">
        <is>
          <t>MWh</t>
        </is>
      </c>
      <c r="M174" s="6" t="inlineStr">
        <is>
          <t>EBY</t>
        </is>
      </c>
      <c r="N174" s="6" t="inlineStr">
        <is>
          <t>OFFICIAL_PRIMARY</t>
        </is>
      </c>
      <c r="O174" s="9" t="inlineStr">
        <is>
          <t>OFFICIAL_AGGREGATE</t>
        </is>
      </c>
      <c r="P174" s="8" t="n">
        <v>1</v>
      </c>
      <c r="Q174" s="8" t="n">
        <v>50</v>
      </c>
      <c r="R174" s="7" t="inlineStr">
        <is>
          <t>https://www.eby.gov.py/wp-content/uploads/2019/12/YacyretaEnergiasMensualesDesdePuestaenMarcha.pdf</t>
        </is>
      </c>
      <c r="S174" s="6" t="inlineStr">
        <is>
          <t>EBY-MONTHLY-1994-2012</t>
        </is>
      </c>
      <c r="T174" s="6" t="inlineStr"/>
      <c r="U174" s="4" t="inlineStr">
        <is>
          <t>2026-09-10 23:00:00</t>
        </is>
      </c>
      <c r="V174" s="4" t="inlineStr">
        <is>
          <t>Energia mensual Yacyreta desde puesta en marcha.</t>
        </is>
      </c>
    </row>
    <row r="175">
      <c r="A175" s="6" t="inlineStr">
        <is>
          <t>R0000174</t>
        </is>
      </c>
      <c r="B175" s="6" t="inlineStr">
        <is>
          <t>1995-01-01</t>
        </is>
      </c>
      <c r="C175" s="6" t="inlineStr">
        <is>
          <t>1995-01-31</t>
        </is>
      </c>
      <c r="D175" s="6" t="inlineStr">
        <is>
          <t>month</t>
        </is>
      </c>
      <c r="E175" s="6" t="inlineStr">
        <is>
          <t>ENERGY_TO_ARGENTINA</t>
        </is>
      </c>
      <c r="F175" s="6" t="inlineStr">
        <is>
          <t>YACYRETA</t>
        </is>
      </c>
      <c r="G175" s="6" t="inlineStr">
        <is>
          <t>YACYRETA</t>
        </is>
      </c>
      <c r="H175" s="6" t="inlineStr">
        <is>
          <t>SADI</t>
        </is>
      </c>
      <c r="I175" s="8" t="n">
        <v>82725</v>
      </c>
      <c r="J175" s="6" t="inlineStr">
        <is>
          <t>MWh</t>
        </is>
      </c>
      <c r="K175" s="8" t="n">
        <v>82725</v>
      </c>
      <c r="L175" s="6" t="inlineStr">
        <is>
          <t>MWh</t>
        </is>
      </c>
      <c r="M175" s="6" t="inlineStr">
        <is>
          <t>EBY</t>
        </is>
      </c>
      <c r="N175" s="6" t="inlineStr">
        <is>
          <t>OFFICIAL_PRIMARY</t>
        </is>
      </c>
      <c r="O175" s="9" t="inlineStr">
        <is>
          <t>OFFICIAL_AGGREGATE</t>
        </is>
      </c>
      <c r="P175" s="8" t="n">
        <v>1</v>
      </c>
      <c r="Q175" s="8" t="n">
        <v>50</v>
      </c>
      <c r="R175" s="7" t="inlineStr">
        <is>
          <t>https://www.eby.gov.py/wp-content/uploads/2019/12/YacyretaEnergiasMensualesDesdePuestaenMarcha.pdf</t>
        </is>
      </c>
      <c r="S175" s="6" t="inlineStr">
        <is>
          <t>EBY-MONTHLY-1994-2012</t>
        </is>
      </c>
      <c r="T175" s="6" t="inlineStr"/>
      <c r="U175" s="4" t="inlineStr">
        <is>
          <t>2026-09-10 23:00:00</t>
        </is>
      </c>
      <c r="V175" s="4" t="inlineStr">
        <is>
          <t>Energia mensual entregada al SADI.</t>
        </is>
      </c>
    </row>
    <row r="176">
      <c r="A176" s="6" t="inlineStr">
        <is>
          <t>R0000175</t>
        </is>
      </c>
      <c r="B176" s="6" t="inlineStr">
        <is>
          <t>1995-01-01</t>
        </is>
      </c>
      <c r="C176" s="6" t="inlineStr">
        <is>
          <t>1995-01-31</t>
        </is>
      </c>
      <c r="D176" s="6" t="inlineStr">
        <is>
          <t>month</t>
        </is>
      </c>
      <c r="E176" s="6" t="inlineStr">
        <is>
          <t>ENERGY_TO_PY</t>
        </is>
      </c>
      <c r="F176" s="6" t="inlineStr">
        <is>
          <t>YACYRETA</t>
        </is>
      </c>
      <c r="G176" s="6" t="inlineStr">
        <is>
          <t>YACYRETA</t>
        </is>
      </c>
      <c r="H176" s="6" t="inlineStr">
        <is>
          <t>SINP</t>
        </is>
      </c>
      <c r="I176" s="8" t="n">
        <v>0</v>
      </c>
      <c r="J176" s="6" t="inlineStr">
        <is>
          <t>MWh</t>
        </is>
      </c>
      <c r="K176" s="8" t="n">
        <v>0</v>
      </c>
      <c r="L176" s="6" t="inlineStr">
        <is>
          <t>MWh</t>
        </is>
      </c>
      <c r="M176" s="6" t="inlineStr">
        <is>
          <t>EBY</t>
        </is>
      </c>
      <c r="N176" s="6" t="inlineStr">
        <is>
          <t>OFFICIAL_PRIMARY</t>
        </is>
      </c>
      <c r="O176" s="9" t="inlineStr">
        <is>
          <t>OFFICIAL_AGGREGATE</t>
        </is>
      </c>
      <c r="P176" s="8" t="n">
        <v>1</v>
      </c>
      <c r="Q176" s="8" t="n">
        <v>50</v>
      </c>
      <c r="R176" s="7" t="inlineStr">
        <is>
          <t>https://www.eby.gov.py/wp-content/uploads/2019/12/YacyretaEnergiasMensualesDesdePuestaenMarcha.pdf</t>
        </is>
      </c>
      <c r="S176" s="6" t="inlineStr">
        <is>
          <t>EBY-MONTHLY-1994-2012</t>
        </is>
      </c>
      <c r="T176" s="6" t="inlineStr"/>
      <c r="U176" s="4" t="inlineStr">
        <is>
          <t>2026-09-10 23:00:00</t>
        </is>
      </c>
      <c r="V176" s="4" t="inlineStr">
        <is>
          <t>Energia mensual entregada al SINP.</t>
        </is>
      </c>
    </row>
    <row r="177">
      <c r="A177" s="6" t="inlineStr">
        <is>
          <t>R0000176</t>
        </is>
      </c>
      <c r="B177" s="6" t="inlineStr">
        <is>
          <t>1995-02-01</t>
        </is>
      </c>
      <c r="C177" s="6" t="inlineStr">
        <is>
          <t>1995-02-28</t>
        </is>
      </c>
      <c r="D177" s="6" t="inlineStr">
        <is>
          <t>month</t>
        </is>
      </c>
      <c r="E177" s="6" t="inlineStr">
        <is>
          <t>YACYRETA_NET_ENERGY</t>
        </is>
      </c>
      <c r="F177" s="6" t="inlineStr">
        <is>
          <t>YACYRETA</t>
        </is>
      </c>
      <c r="G177" s="6" t="inlineStr">
        <is>
          <t>YACYRETA</t>
        </is>
      </c>
      <c r="H177" s="6" t="inlineStr">
        <is>
          <t>TOTAL</t>
        </is>
      </c>
      <c r="I177" s="8" t="n">
        <v>153902</v>
      </c>
      <c r="J177" s="6" t="inlineStr">
        <is>
          <t>MWh</t>
        </is>
      </c>
      <c r="K177" s="8" t="n">
        <v>153902</v>
      </c>
      <c r="L177" s="6" t="inlineStr">
        <is>
          <t>MWh</t>
        </is>
      </c>
      <c r="M177" s="6" t="inlineStr">
        <is>
          <t>EBY</t>
        </is>
      </c>
      <c r="N177" s="6" t="inlineStr">
        <is>
          <t>OFFICIAL_PRIMARY</t>
        </is>
      </c>
      <c r="O177" s="9" t="inlineStr">
        <is>
          <t>OFFICIAL_AGGREGATE</t>
        </is>
      </c>
      <c r="P177" s="8" t="n">
        <v>1</v>
      </c>
      <c r="Q177" s="8" t="n">
        <v>50</v>
      </c>
      <c r="R177" s="7" t="inlineStr">
        <is>
          <t>https://www.eby.gov.py/wp-content/uploads/2019/12/YacyretaEnergiasMensualesDesdePuestaenMarcha.pdf</t>
        </is>
      </c>
      <c r="S177" s="6" t="inlineStr">
        <is>
          <t>EBY-MONTHLY-1994-2012</t>
        </is>
      </c>
      <c r="T177" s="6" t="inlineStr"/>
      <c r="U177" s="4" t="inlineStr">
        <is>
          <t>2026-09-10 23:00:00</t>
        </is>
      </c>
      <c r="V177" s="4" t="inlineStr">
        <is>
          <t>Energia mensual Yacyreta desde puesta en marcha.</t>
        </is>
      </c>
    </row>
    <row r="178">
      <c r="A178" s="6" t="inlineStr">
        <is>
          <t>R0000177</t>
        </is>
      </c>
      <c r="B178" s="6" t="inlineStr">
        <is>
          <t>1995-02-01</t>
        </is>
      </c>
      <c r="C178" s="6" t="inlineStr">
        <is>
          <t>1995-02-28</t>
        </is>
      </c>
      <c r="D178" s="6" t="inlineStr">
        <is>
          <t>month</t>
        </is>
      </c>
      <c r="E178" s="6" t="inlineStr">
        <is>
          <t>ENERGY_TO_ARGENTINA</t>
        </is>
      </c>
      <c r="F178" s="6" t="inlineStr">
        <is>
          <t>YACYRETA</t>
        </is>
      </c>
      <c r="G178" s="6" t="inlineStr">
        <is>
          <t>YACYRETA</t>
        </is>
      </c>
      <c r="H178" s="6" t="inlineStr">
        <is>
          <t>SADI</t>
        </is>
      </c>
      <c r="I178" s="8" t="n">
        <v>153902</v>
      </c>
      <c r="J178" s="6" t="inlineStr">
        <is>
          <t>MWh</t>
        </is>
      </c>
      <c r="K178" s="8" t="n">
        <v>153902</v>
      </c>
      <c r="L178" s="6" t="inlineStr">
        <is>
          <t>MWh</t>
        </is>
      </c>
      <c r="M178" s="6" t="inlineStr">
        <is>
          <t>EBY</t>
        </is>
      </c>
      <c r="N178" s="6" t="inlineStr">
        <is>
          <t>OFFICIAL_PRIMARY</t>
        </is>
      </c>
      <c r="O178" s="9" t="inlineStr">
        <is>
          <t>OFFICIAL_AGGREGATE</t>
        </is>
      </c>
      <c r="P178" s="8" t="n">
        <v>1</v>
      </c>
      <c r="Q178" s="8" t="n">
        <v>50</v>
      </c>
      <c r="R178" s="7" t="inlineStr">
        <is>
          <t>https://www.eby.gov.py/wp-content/uploads/2019/12/YacyretaEnergiasMensualesDesdePuestaenMarcha.pdf</t>
        </is>
      </c>
      <c r="S178" s="6" t="inlineStr">
        <is>
          <t>EBY-MONTHLY-1994-2012</t>
        </is>
      </c>
      <c r="T178" s="6" t="inlineStr"/>
      <c r="U178" s="4" t="inlineStr">
        <is>
          <t>2026-09-10 23:00:00</t>
        </is>
      </c>
      <c r="V178" s="4" t="inlineStr">
        <is>
          <t>Energia mensual entregada al SADI.</t>
        </is>
      </c>
    </row>
    <row r="179">
      <c r="A179" s="6" t="inlineStr">
        <is>
          <t>R0000178</t>
        </is>
      </c>
      <c r="B179" s="6" t="inlineStr">
        <is>
          <t>1995-02-01</t>
        </is>
      </c>
      <c r="C179" s="6" t="inlineStr">
        <is>
          <t>1995-02-28</t>
        </is>
      </c>
      <c r="D179" s="6" t="inlineStr">
        <is>
          <t>month</t>
        </is>
      </c>
      <c r="E179" s="6" t="inlineStr">
        <is>
          <t>ENERGY_TO_PY</t>
        </is>
      </c>
      <c r="F179" s="6" t="inlineStr">
        <is>
          <t>YACYRETA</t>
        </is>
      </c>
      <c r="G179" s="6" t="inlineStr">
        <is>
          <t>YACYRETA</t>
        </is>
      </c>
      <c r="H179" s="6" t="inlineStr">
        <is>
          <t>SINP</t>
        </is>
      </c>
      <c r="I179" s="8" t="n">
        <v>0</v>
      </c>
      <c r="J179" s="6" t="inlineStr">
        <is>
          <t>MWh</t>
        </is>
      </c>
      <c r="K179" s="8" t="n">
        <v>0</v>
      </c>
      <c r="L179" s="6" t="inlineStr">
        <is>
          <t>MWh</t>
        </is>
      </c>
      <c r="M179" s="6" t="inlineStr">
        <is>
          <t>EBY</t>
        </is>
      </c>
      <c r="N179" s="6" t="inlineStr">
        <is>
          <t>OFFICIAL_PRIMARY</t>
        </is>
      </c>
      <c r="O179" s="9" t="inlineStr">
        <is>
          <t>OFFICIAL_AGGREGATE</t>
        </is>
      </c>
      <c r="P179" s="8" t="n">
        <v>1</v>
      </c>
      <c r="Q179" s="8" t="n">
        <v>50</v>
      </c>
      <c r="R179" s="7" t="inlineStr">
        <is>
          <t>https://www.eby.gov.py/wp-content/uploads/2019/12/YacyretaEnergiasMensualesDesdePuestaenMarcha.pdf</t>
        </is>
      </c>
      <c r="S179" s="6" t="inlineStr">
        <is>
          <t>EBY-MONTHLY-1994-2012</t>
        </is>
      </c>
      <c r="T179" s="6" t="inlineStr"/>
      <c r="U179" s="4" t="inlineStr">
        <is>
          <t>2026-09-10 23:00:00</t>
        </is>
      </c>
      <c r="V179" s="4" t="inlineStr">
        <is>
          <t>Energia mensual entregada al SINP.</t>
        </is>
      </c>
    </row>
    <row r="180">
      <c r="A180" s="6" t="inlineStr">
        <is>
          <t>R0000179</t>
        </is>
      </c>
      <c r="B180" s="6" t="inlineStr">
        <is>
          <t>1995-03-01</t>
        </is>
      </c>
      <c r="C180" s="6" t="inlineStr">
        <is>
          <t>1995-03-31</t>
        </is>
      </c>
      <c r="D180" s="6" t="inlineStr">
        <is>
          <t>month</t>
        </is>
      </c>
      <c r="E180" s="6" t="inlineStr">
        <is>
          <t>YACYRETA_NET_ENERGY</t>
        </is>
      </c>
      <c r="F180" s="6" t="inlineStr">
        <is>
          <t>YACYRETA</t>
        </is>
      </c>
      <c r="G180" s="6" t="inlineStr">
        <is>
          <t>YACYRETA</t>
        </is>
      </c>
      <c r="H180" s="6" t="inlineStr">
        <is>
          <t>TOTAL</t>
        </is>
      </c>
      <c r="I180" s="8" t="n">
        <v>239598</v>
      </c>
      <c r="J180" s="6" t="inlineStr">
        <is>
          <t>MWh</t>
        </is>
      </c>
      <c r="K180" s="8" t="n">
        <v>239598</v>
      </c>
      <c r="L180" s="6" t="inlineStr">
        <is>
          <t>MWh</t>
        </is>
      </c>
      <c r="M180" s="6" t="inlineStr">
        <is>
          <t>EBY</t>
        </is>
      </c>
      <c r="N180" s="6" t="inlineStr">
        <is>
          <t>OFFICIAL_PRIMARY</t>
        </is>
      </c>
      <c r="O180" s="9" t="inlineStr">
        <is>
          <t>OFFICIAL_AGGREGATE</t>
        </is>
      </c>
      <c r="P180" s="8" t="n">
        <v>1</v>
      </c>
      <c r="Q180" s="8" t="n">
        <v>50</v>
      </c>
      <c r="R180" s="7" t="inlineStr">
        <is>
          <t>https://www.eby.gov.py/wp-content/uploads/2019/12/YacyretaEnergiasMensualesDesdePuestaenMarcha.pdf</t>
        </is>
      </c>
      <c r="S180" s="6" t="inlineStr">
        <is>
          <t>EBY-MONTHLY-1994-2012</t>
        </is>
      </c>
      <c r="T180" s="6" t="inlineStr"/>
      <c r="U180" s="4" t="inlineStr">
        <is>
          <t>2026-09-10 23:00:00</t>
        </is>
      </c>
      <c r="V180" s="4" t="inlineStr">
        <is>
          <t>Energia mensual Yacyreta desde puesta en marcha.</t>
        </is>
      </c>
    </row>
    <row r="181">
      <c r="A181" s="6" t="inlineStr">
        <is>
          <t>R0000180</t>
        </is>
      </c>
      <c r="B181" s="6" t="inlineStr">
        <is>
          <t>1995-03-01</t>
        </is>
      </c>
      <c r="C181" s="6" t="inlineStr">
        <is>
          <t>1995-03-31</t>
        </is>
      </c>
      <c r="D181" s="6" t="inlineStr">
        <is>
          <t>month</t>
        </is>
      </c>
      <c r="E181" s="6" t="inlineStr">
        <is>
          <t>ENERGY_TO_ARGENTINA</t>
        </is>
      </c>
      <c r="F181" s="6" t="inlineStr">
        <is>
          <t>YACYRETA</t>
        </is>
      </c>
      <c r="G181" s="6" t="inlineStr">
        <is>
          <t>YACYRETA</t>
        </is>
      </c>
      <c r="H181" s="6" t="inlineStr">
        <is>
          <t>SADI</t>
        </is>
      </c>
      <c r="I181" s="8" t="n">
        <v>239598</v>
      </c>
      <c r="J181" s="6" t="inlineStr">
        <is>
          <t>MWh</t>
        </is>
      </c>
      <c r="K181" s="8" t="n">
        <v>239598</v>
      </c>
      <c r="L181" s="6" t="inlineStr">
        <is>
          <t>MWh</t>
        </is>
      </c>
      <c r="M181" s="6" t="inlineStr">
        <is>
          <t>EBY</t>
        </is>
      </c>
      <c r="N181" s="6" t="inlineStr">
        <is>
          <t>OFFICIAL_PRIMARY</t>
        </is>
      </c>
      <c r="O181" s="9" t="inlineStr">
        <is>
          <t>OFFICIAL_AGGREGATE</t>
        </is>
      </c>
      <c r="P181" s="8" t="n">
        <v>1</v>
      </c>
      <c r="Q181" s="8" t="n">
        <v>50</v>
      </c>
      <c r="R181" s="7" t="inlineStr">
        <is>
          <t>https://www.eby.gov.py/wp-content/uploads/2019/12/YacyretaEnergiasMensualesDesdePuestaenMarcha.pdf</t>
        </is>
      </c>
      <c r="S181" s="6" t="inlineStr">
        <is>
          <t>EBY-MONTHLY-1994-2012</t>
        </is>
      </c>
      <c r="T181" s="6" t="inlineStr"/>
      <c r="U181" s="4" t="inlineStr">
        <is>
          <t>2026-09-10 23:00:00</t>
        </is>
      </c>
      <c r="V181" s="4" t="inlineStr">
        <is>
          <t>Energia mensual entregada al SADI.</t>
        </is>
      </c>
    </row>
    <row r="182">
      <c r="A182" s="6" t="inlineStr">
        <is>
          <t>R0000181</t>
        </is>
      </c>
      <c r="B182" s="6" t="inlineStr">
        <is>
          <t>1995-03-01</t>
        </is>
      </c>
      <c r="C182" s="6" t="inlineStr">
        <is>
          <t>1995-03-31</t>
        </is>
      </c>
      <c r="D182" s="6" t="inlineStr">
        <is>
          <t>month</t>
        </is>
      </c>
      <c r="E182" s="6" t="inlineStr">
        <is>
          <t>ENERGY_TO_PY</t>
        </is>
      </c>
      <c r="F182" s="6" t="inlineStr">
        <is>
          <t>YACYRETA</t>
        </is>
      </c>
      <c r="G182" s="6" t="inlineStr">
        <is>
          <t>YACYRETA</t>
        </is>
      </c>
      <c r="H182" s="6" t="inlineStr">
        <is>
          <t>SINP</t>
        </is>
      </c>
      <c r="I182" s="8" t="n">
        <v>0</v>
      </c>
      <c r="J182" s="6" t="inlineStr">
        <is>
          <t>MWh</t>
        </is>
      </c>
      <c r="K182" s="8" t="n">
        <v>0</v>
      </c>
      <c r="L182" s="6" t="inlineStr">
        <is>
          <t>MWh</t>
        </is>
      </c>
      <c r="M182" s="6" t="inlineStr">
        <is>
          <t>EBY</t>
        </is>
      </c>
      <c r="N182" s="6" t="inlineStr">
        <is>
          <t>OFFICIAL_PRIMARY</t>
        </is>
      </c>
      <c r="O182" s="9" t="inlineStr">
        <is>
          <t>OFFICIAL_AGGREGATE</t>
        </is>
      </c>
      <c r="P182" s="8" t="n">
        <v>1</v>
      </c>
      <c r="Q182" s="8" t="n">
        <v>50</v>
      </c>
      <c r="R182" s="7" t="inlineStr">
        <is>
          <t>https://www.eby.gov.py/wp-content/uploads/2019/12/YacyretaEnergiasMensualesDesdePuestaenMarcha.pdf</t>
        </is>
      </c>
      <c r="S182" s="6" t="inlineStr">
        <is>
          <t>EBY-MONTHLY-1994-2012</t>
        </is>
      </c>
      <c r="T182" s="6" t="inlineStr"/>
      <c r="U182" s="4" t="inlineStr">
        <is>
          <t>2026-09-10 23:00:00</t>
        </is>
      </c>
      <c r="V182" s="4" t="inlineStr">
        <is>
          <t>Energia mensual entregada al SINP.</t>
        </is>
      </c>
    </row>
    <row r="183">
      <c r="A183" s="6" t="inlineStr">
        <is>
          <t>R0000182</t>
        </is>
      </c>
      <c r="B183" s="6" t="inlineStr">
        <is>
          <t>1995-04-01</t>
        </is>
      </c>
      <c r="C183" s="6" t="inlineStr">
        <is>
          <t>1995-04-30</t>
        </is>
      </c>
      <c r="D183" s="6" t="inlineStr">
        <is>
          <t>month</t>
        </is>
      </c>
      <c r="E183" s="6" t="inlineStr">
        <is>
          <t>YACYRETA_NET_ENERGY</t>
        </is>
      </c>
      <c r="F183" s="6" t="inlineStr">
        <is>
          <t>YACYRETA</t>
        </is>
      </c>
      <c r="G183" s="6" t="inlineStr">
        <is>
          <t>YACYRETA</t>
        </is>
      </c>
      <c r="H183" s="6" t="inlineStr">
        <is>
          <t>TOTAL</t>
        </is>
      </c>
      <c r="I183" s="8" t="n">
        <v>248286</v>
      </c>
      <c r="J183" s="6" t="inlineStr">
        <is>
          <t>MWh</t>
        </is>
      </c>
      <c r="K183" s="8" t="n">
        <v>248286</v>
      </c>
      <c r="L183" s="6" t="inlineStr">
        <is>
          <t>MWh</t>
        </is>
      </c>
      <c r="M183" s="6" t="inlineStr">
        <is>
          <t>EBY</t>
        </is>
      </c>
      <c r="N183" s="6" t="inlineStr">
        <is>
          <t>OFFICIAL_PRIMARY</t>
        </is>
      </c>
      <c r="O183" s="9" t="inlineStr">
        <is>
          <t>OFFICIAL_AGGREGATE</t>
        </is>
      </c>
      <c r="P183" s="8" t="n">
        <v>1</v>
      </c>
      <c r="Q183" s="8" t="n">
        <v>50</v>
      </c>
      <c r="R183" s="7" t="inlineStr">
        <is>
          <t>https://www.eby.gov.py/wp-content/uploads/2019/12/YacyretaEnergiasMensualesDesdePuestaenMarcha.pdf</t>
        </is>
      </c>
      <c r="S183" s="6" t="inlineStr">
        <is>
          <t>EBY-MONTHLY-1994-2012</t>
        </is>
      </c>
      <c r="T183" s="6" t="inlineStr"/>
      <c r="U183" s="4" t="inlineStr">
        <is>
          <t>2026-09-10 23:00:00</t>
        </is>
      </c>
      <c r="V183" s="4" t="inlineStr">
        <is>
          <t>Energia mensual Yacyreta desde puesta en marcha.</t>
        </is>
      </c>
    </row>
    <row r="184">
      <c r="A184" s="6" t="inlineStr">
        <is>
          <t>R0000183</t>
        </is>
      </c>
      <c r="B184" s="6" t="inlineStr">
        <is>
          <t>1995-04-01</t>
        </is>
      </c>
      <c r="C184" s="6" t="inlineStr">
        <is>
          <t>1995-04-30</t>
        </is>
      </c>
      <c r="D184" s="6" t="inlineStr">
        <is>
          <t>month</t>
        </is>
      </c>
      <c r="E184" s="6" t="inlineStr">
        <is>
          <t>ENERGY_TO_ARGENTINA</t>
        </is>
      </c>
      <c r="F184" s="6" t="inlineStr">
        <is>
          <t>YACYRETA</t>
        </is>
      </c>
      <c r="G184" s="6" t="inlineStr">
        <is>
          <t>YACYRETA</t>
        </is>
      </c>
      <c r="H184" s="6" t="inlineStr">
        <is>
          <t>SADI</t>
        </is>
      </c>
      <c r="I184" s="8" t="n">
        <v>248286</v>
      </c>
      <c r="J184" s="6" t="inlineStr">
        <is>
          <t>MWh</t>
        </is>
      </c>
      <c r="K184" s="8" t="n">
        <v>248286</v>
      </c>
      <c r="L184" s="6" t="inlineStr">
        <is>
          <t>MWh</t>
        </is>
      </c>
      <c r="M184" s="6" t="inlineStr">
        <is>
          <t>EBY</t>
        </is>
      </c>
      <c r="N184" s="6" t="inlineStr">
        <is>
          <t>OFFICIAL_PRIMARY</t>
        </is>
      </c>
      <c r="O184" s="9" t="inlineStr">
        <is>
          <t>OFFICIAL_AGGREGATE</t>
        </is>
      </c>
      <c r="P184" s="8" t="n">
        <v>1</v>
      </c>
      <c r="Q184" s="8" t="n">
        <v>50</v>
      </c>
      <c r="R184" s="7" t="inlineStr">
        <is>
          <t>https://www.eby.gov.py/wp-content/uploads/2019/12/YacyretaEnergiasMensualesDesdePuestaenMarcha.pdf</t>
        </is>
      </c>
      <c r="S184" s="6" t="inlineStr">
        <is>
          <t>EBY-MONTHLY-1994-2012</t>
        </is>
      </c>
      <c r="T184" s="6" t="inlineStr"/>
      <c r="U184" s="4" t="inlineStr">
        <is>
          <t>2026-09-10 23:00:00</t>
        </is>
      </c>
      <c r="V184" s="4" t="inlineStr">
        <is>
          <t>Energia mensual entregada al SADI.</t>
        </is>
      </c>
    </row>
    <row r="185">
      <c r="A185" s="6" t="inlineStr">
        <is>
          <t>R0000184</t>
        </is>
      </c>
      <c r="B185" s="6" t="inlineStr">
        <is>
          <t>1995-04-01</t>
        </is>
      </c>
      <c r="C185" s="6" t="inlineStr">
        <is>
          <t>1995-04-30</t>
        </is>
      </c>
      <c r="D185" s="6" t="inlineStr">
        <is>
          <t>month</t>
        </is>
      </c>
      <c r="E185" s="6" t="inlineStr">
        <is>
          <t>ENERGY_TO_PY</t>
        </is>
      </c>
      <c r="F185" s="6" t="inlineStr">
        <is>
          <t>YACYRETA</t>
        </is>
      </c>
      <c r="G185" s="6" t="inlineStr">
        <is>
          <t>YACYRETA</t>
        </is>
      </c>
      <c r="H185" s="6" t="inlineStr">
        <is>
          <t>SINP</t>
        </is>
      </c>
      <c r="I185" s="8" t="n">
        <v>0</v>
      </c>
      <c r="J185" s="6" t="inlineStr">
        <is>
          <t>MWh</t>
        </is>
      </c>
      <c r="K185" s="8" t="n">
        <v>0</v>
      </c>
      <c r="L185" s="6" t="inlineStr">
        <is>
          <t>MWh</t>
        </is>
      </c>
      <c r="M185" s="6" t="inlineStr">
        <is>
          <t>EBY</t>
        </is>
      </c>
      <c r="N185" s="6" t="inlineStr">
        <is>
          <t>OFFICIAL_PRIMARY</t>
        </is>
      </c>
      <c r="O185" s="9" t="inlineStr">
        <is>
          <t>OFFICIAL_AGGREGATE</t>
        </is>
      </c>
      <c r="P185" s="8" t="n">
        <v>1</v>
      </c>
      <c r="Q185" s="8" t="n">
        <v>50</v>
      </c>
      <c r="R185" s="7" t="inlineStr">
        <is>
          <t>https://www.eby.gov.py/wp-content/uploads/2019/12/YacyretaEnergiasMensualesDesdePuestaenMarcha.pdf</t>
        </is>
      </c>
      <c r="S185" s="6" t="inlineStr">
        <is>
          <t>EBY-MONTHLY-1994-2012</t>
        </is>
      </c>
      <c r="T185" s="6" t="inlineStr"/>
      <c r="U185" s="4" t="inlineStr">
        <is>
          <t>2026-09-10 23:00:00</t>
        </is>
      </c>
      <c r="V185" s="4" t="inlineStr">
        <is>
          <t>Energia mensual entregada al SINP.</t>
        </is>
      </c>
    </row>
    <row r="186">
      <c r="A186" s="6" t="inlineStr">
        <is>
          <t>R0000185</t>
        </is>
      </c>
      <c r="B186" s="6" t="inlineStr">
        <is>
          <t>1995-05-01</t>
        </is>
      </c>
      <c r="C186" s="6" t="inlineStr">
        <is>
          <t>1995-05-31</t>
        </is>
      </c>
      <c r="D186" s="6" t="inlineStr">
        <is>
          <t>month</t>
        </is>
      </c>
      <c r="E186" s="6" t="inlineStr">
        <is>
          <t>YACYRETA_NET_ENERGY</t>
        </is>
      </c>
      <c r="F186" s="6" t="inlineStr">
        <is>
          <t>YACYRETA</t>
        </is>
      </c>
      <c r="G186" s="6" t="inlineStr">
        <is>
          <t>YACYRETA</t>
        </is>
      </c>
      <c r="H186" s="6" t="inlineStr">
        <is>
          <t>TOTAL</t>
        </is>
      </c>
      <c r="I186" s="8" t="n">
        <v>340198</v>
      </c>
      <c r="J186" s="6" t="inlineStr">
        <is>
          <t>MWh</t>
        </is>
      </c>
      <c r="K186" s="8" t="n">
        <v>340198</v>
      </c>
      <c r="L186" s="6" t="inlineStr">
        <is>
          <t>MWh</t>
        </is>
      </c>
      <c r="M186" s="6" t="inlineStr">
        <is>
          <t>EBY</t>
        </is>
      </c>
      <c r="N186" s="6" t="inlineStr">
        <is>
          <t>OFFICIAL_PRIMARY</t>
        </is>
      </c>
      <c r="O186" s="9" t="inlineStr">
        <is>
          <t>OFFICIAL_AGGREGATE</t>
        </is>
      </c>
      <c r="P186" s="8" t="n">
        <v>1</v>
      </c>
      <c r="Q186" s="8" t="n">
        <v>50</v>
      </c>
      <c r="R186" s="7" t="inlineStr">
        <is>
          <t>https://www.eby.gov.py/wp-content/uploads/2019/12/YacyretaEnergiasMensualesDesdePuestaenMarcha.pdf</t>
        </is>
      </c>
      <c r="S186" s="6" t="inlineStr">
        <is>
          <t>EBY-MONTHLY-1994-2012</t>
        </is>
      </c>
      <c r="T186" s="6" t="inlineStr"/>
      <c r="U186" s="4" t="inlineStr">
        <is>
          <t>2026-09-10 23:00:00</t>
        </is>
      </c>
      <c r="V186" s="4" t="inlineStr">
        <is>
          <t>Energia mensual Yacyreta desde puesta en marcha.</t>
        </is>
      </c>
    </row>
    <row r="187">
      <c r="A187" s="6" t="inlineStr">
        <is>
          <t>R0000186</t>
        </is>
      </c>
      <c r="B187" s="6" t="inlineStr">
        <is>
          <t>1995-05-01</t>
        </is>
      </c>
      <c r="C187" s="6" t="inlineStr">
        <is>
          <t>1995-05-31</t>
        </is>
      </c>
      <c r="D187" s="6" t="inlineStr">
        <is>
          <t>month</t>
        </is>
      </c>
      <c r="E187" s="6" t="inlineStr">
        <is>
          <t>ENERGY_TO_ARGENTINA</t>
        </is>
      </c>
      <c r="F187" s="6" t="inlineStr">
        <is>
          <t>YACYRETA</t>
        </is>
      </c>
      <c r="G187" s="6" t="inlineStr">
        <is>
          <t>YACYRETA</t>
        </is>
      </c>
      <c r="H187" s="6" t="inlineStr">
        <is>
          <t>SADI</t>
        </is>
      </c>
      <c r="I187" s="8" t="n">
        <v>340198</v>
      </c>
      <c r="J187" s="6" t="inlineStr">
        <is>
          <t>MWh</t>
        </is>
      </c>
      <c r="K187" s="8" t="n">
        <v>340198</v>
      </c>
      <c r="L187" s="6" t="inlineStr">
        <is>
          <t>MWh</t>
        </is>
      </c>
      <c r="M187" s="6" t="inlineStr">
        <is>
          <t>EBY</t>
        </is>
      </c>
      <c r="N187" s="6" t="inlineStr">
        <is>
          <t>OFFICIAL_PRIMARY</t>
        </is>
      </c>
      <c r="O187" s="9" t="inlineStr">
        <is>
          <t>OFFICIAL_AGGREGATE</t>
        </is>
      </c>
      <c r="P187" s="8" t="n">
        <v>1</v>
      </c>
      <c r="Q187" s="8" t="n">
        <v>50</v>
      </c>
      <c r="R187" s="7" t="inlineStr">
        <is>
          <t>https://www.eby.gov.py/wp-content/uploads/2019/12/YacyretaEnergiasMensualesDesdePuestaenMarcha.pdf</t>
        </is>
      </c>
      <c r="S187" s="6" t="inlineStr">
        <is>
          <t>EBY-MONTHLY-1994-2012</t>
        </is>
      </c>
      <c r="T187" s="6" t="inlineStr"/>
      <c r="U187" s="4" t="inlineStr">
        <is>
          <t>2026-09-10 23:00:00</t>
        </is>
      </c>
      <c r="V187" s="4" t="inlineStr">
        <is>
          <t>Energia mensual entregada al SADI.</t>
        </is>
      </c>
    </row>
    <row r="188">
      <c r="A188" s="6" t="inlineStr">
        <is>
          <t>R0000187</t>
        </is>
      </c>
      <c r="B188" s="6" t="inlineStr">
        <is>
          <t>1995-05-01</t>
        </is>
      </c>
      <c r="C188" s="6" t="inlineStr">
        <is>
          <t>1995-05-31</t>
        </is>
      </c>
      <c r="D188" s="6" t="inlineStr">
        <is>
          <t>month</t>
        </is>
      </c>
      <c r="E188" s="6" t="inlineStr">
        <is>
          <t>ENERGY_TO_PY</t>
        </is>
      </c>
      <c r="F188" s="6" t="inlineStr">
        <is>
          <t>YACYRETA</t>
        </is>
      </c>
      <c r="G188" s="6" t="inlineStr">
        <is>
          <t>YACYRETA</t>
        </is>
      </c>
      <c r="H188" s="6" t="inlineStr">
        <is>
          <t>SINP</t>
        </is>
      </c>
      <c r="I188" s="8" t="n">
        <v>0</v>
      </c>
      <c r="J188" s="6" t="inlineStr">
        <is>
          <t>MWh</t>
        </is>
      </c>
      <c r="K188" s="8" t="n">
        <v>0</v>
      </c>
      <c r="L188" s="6" t="inlineStr">
        <is>
          <t>MWh</t>
        </is>
      </c>
      <c r="M188" s="6" t="inlineStr">
        <is>
          <t>EBY</t>
        </is>
      </c>
      <c r="N188" s="6" t="inlineStr">
        <is>
          <t>OFFICIAL_PRIMARY</t>
        </is>
      </c>
      <c r="O188" s="9" t="inlineStr">
        <is>
          <t>OFFICIAL_AGGREGATE</t>
        </is>
      </c>
      <c r="P188" s="8" t="n">
        <v>1</v>
      </c>
      <c r="Q188" s="8" t="n">
        <v>50</v>
      </c>
      <c r="R188" s="7" t="inlineStr">
        <is>
          <t>https://www.eby.gov.py/wp-content/uploads/2019/12/YacyretaEnergiasMensualesDesdePuestaenMarcha.pdf</t>
        </is>
      </c>
      <c r="S188" s="6" t="inlineStr">
        <is>
          <t>EBY-MONTHLY-1994-2012</t>
        </is>
      </c>
      <c r="T188" s="6" t="inlineStr"/>
      <c r="U188" s="4" t="inlineStr">
        <is>
          <t>2026-09-10 23:00:00</t>
        </is>
      </c>
      <c r="V188" s="4" t="inlineStr">
        <is>
          <t>Energia mensual entregada al SINP.</t>
        </is>
      </c>
    </row>
    <row r="189">
      <c r="A189" s="6" t="inlineStr">
        <is>
          <t>R0000188</t>
        </is>
      </c>
      <c r="B189" s="6" t="inlineStr">
        <is>
          <t>1995-06-01</t>
        </is>
      </c>
      <c r="C189" s="6" t="inlineStr">
        <is>
          <t>1995-06-30</t>
        </is>
      </c>
      <c r="D189" s="6" t="inlineStr">
        <is>
          <t>month</t>
        </is>
      </c>
      <c r="E189" s="6" t="inlineStr">
        <is>
          <t>YACYRETA_NET_ENERGY</t>
        </is>
      </c>
      <c r="F189" s="6" t="inlineStr">
        <is>
          <t>YACYRETA</t>
        </is>
      </c>
      <c r="G189" s="6" t="inlineStr">
        <is>
          <t>YACYRETA</t>
        </is>
      </c>
      <c r="H189" s="6" t="inlineStr">
        <is>
          <t>TOTAL</t>
        </is>
      </c>
      <c r="I189" s="8" t="n">
        <v>323527</v>
      </c>
      <c r="J189" s="6" t="inlineStr">
        <is>
          <t>MWh</t>
        </is>
      </c>
      <c r="K189" s="8" t="n">
        <v>323527</v>
      </c>
      <c r="L189" s="6" t="inlineStr">
        <is>
          <t>MWh</t>
        </is>
      </c>
      <c r="M189" s="6" t="inlineStr">
        <is>
          <t>EBY</t>
        </is>
      </c>
      <c r="N189" s="6" t="inlineStr">
        <is>
          <t>OFFICIAL_PRIMARY</t>
        </is>
      </c>
      <c r="O189" s="9" t="inlineStr">
        <is>
          <t>OFFICIAL_AGGREGATE</t>
        </is>
      </c>
      <c r="P189" s="8" t="n">
        <v>1</v>
      </c>
      <c r="Q189" s="8" t="n">
        <v>50</v>
      </c>
      <c r="R189" s="7" t="inlineStr">
        <is>
          <t>https://www.eby.gov.py/wp-content/uploads/2019/12/YacyretaEnergiasMensualesDesdePuestaenMarcha.pdf</t>
        </is>
      </c>
      <c r="S189" s="6" t="inlineStr">
        <is>
          <t>EBY-MONTHLY-1994-2012</t>
        </is>
      </c>
      <c r="T189" s="6" t="inlineStr"/>
      <c r="U189" s="4" t="inlineStr">
        <is>
          <t>2026-09-10 23:00:00</t>
        </is>
      </c>
      <c r="V189" s="4" t="inlineStr">
        <is>
          <t>Energia mensual Yacyreta desde puesta en marcha.</t>
        </is>
      </c>
    </row>
    <row r="190">
      <c r="A190" s="6" t="inlineStr">
        <is>
          <t>R0000189</t>
        </is>
      </c>
      <c r="B190" s="6" t="inlineStr">
        <is>
          <t>1995-06-01</t>
        </is>
      </c>
      <c r="C190" s="6" t="inlineStr">
        <is>
          <t>1995-06-30</t>
        </is>
      </c>
      <c r="D190" s="6" t="inlineStr">
        <is>
          <t>month</t>
        </is>
      </c>
      <c r="E190" s="6" t="inlineStr">
        <is>
          <t>ENERGY_TO_ARGENTINA</t>
        </is>
      </c>
      <c r="F190" s="6" t="inlineStr">
        <is>
          <t>YACYRETA</t>
        </is>
      </c>
      <c r="G190" s="6" t="inlineStr">
        <is>
          <t>YACYRETA</t>
        </is>
      </c>
      <c r="H190" s="6" t="inlineStr">
        <is>
          <t>SADI</t>
        </is>
      </c>
      <c r="I190" s="8" t="n">
        <v>323527</v>
      </c>
      <c r="J190" s="6" t="inlineStr">
        <is>
          <t>MWh</t>
        </is>
      </c>
      <c r="K190" s="8" t="n">
        <v>323527</v>
      </c>
      <c r="L190" s="6" t="inlineStr">
        <is>
          <t>MWh</t>
        </is>
      </c>
      <c r="M190" s="6" t="inlineStr">
        <is>
          <t>EBY</t>
        </is>
      </c>
      <c r="N190" s="6" t="inlineStr">
        <is>
          <t>OFFICIAL_PRIMARY</t>
        </is>
      </c>
      <c r="O190" s="9" t="inlineStr">
        <is>
          <t>OFFICIAL_AGGREGATE</t>
        </is>
      </c>
      <c r="P190" s="8" t="n">
        <v>1</v>
      </c>
      <c r="Q190" s="8" t="n">
        <v>50</v>
      </c>
      <c r="R190" s="7" t="inlineStr">
        <is>
          <t>https://www.eby.gov.py/wp-content/uploads/2019/12/YacyretaEnergiasMensualesDesdePuestaenMarcha.pdf</t>
        </is>
      </c>
      <c r="S190" s="6" t="inlineStr">
        <is>
          <t>EBY-MONTHLY-1994-2012</t>
        </is>
      </c>
      <c r="T190" s="6" t="inlineStr"/>
      <c r="U190" s="4" t="inlineStr">
        <is>
          <t>2026-09-10 23:00:00</t>
        </is>
      </c>
      <c r="V190" s="4" t="inlineStr">
        <is>
          <t>Energia mensual entregada al SADI.</t>
        </is>
      </c>
    </row>
    <row r="191">
      <c r="A191" s="6" t="inlineStr">
        <is>
          <t>R0000190</t>
        </is>
      </c>
      <c r="B191" s="6" t="inlineStr">
        <is>
          <t>1995-06-01</t>
        </is>
      </c>
      <c r="C191" s="6" t="inlineStr">
        <is>
          <t>1995-06-30</t>
        </is>
      </c>
      <c r="D191" s="6" t="inlineStr">
        <is>
          <t>month</t>
        </is>
      </c>
      <c r="E191" s="6" t="inlineStr">
        <is>
          <t>ENERGY_TO_PY</t>
        </is>
      </c>
      <c r="F191" s="6" t="inlineStr">
        <is>
          <t>YACYRETA</t>
        </is>
      </c>
      <c r="G191" s="6" t="inlineStr">
        <is>
          <t>YACYRETA</t>
        </is>
      </c>
      <c r="H191" s="6" t="inlineStr">
        <is>
          <t>SINP</t>
        </is>
      </c>
      <c r="I191" s="8" t="n">
        <v>0</v>
      </c>
      <c r="J191" s="6" t="inlineStr">
        <is>
          <t>MWh</t>
        </is>
      </c>
      <c r="K191" s="8" t="n">
        <v>0</v>
      </c>
      <c r="L191" s="6" t="inlineStr">
        <is>
          <t>MWh</t>
        </is>
      </c>
      <c r="M191" s="6" t="inlineStr">
        <is>
          <t>EBY</t>
        </is>
      </c>
      <c r="N191" s="6" t="inlineStr">
        <is>
          <t>OFFICIAL_PRIMARY</t>
        </is>
      </c>
      <c r="O191" s="9" t="inlineStr">
        <is>
          <t>OFFICIAL_AGGREGATE</t>
        </is>
      </c>
      <c r="P191" s="8" t="n">
        <v>1</v>
      </c>
      <c r="Q191" s="8" t="n">
        <v>50</v>
      </c>
      <c r="R191" s="7" t="inlineStr">
        <is>
          <t>https://www.eby.gov.py/wp-content/uploads/2019/12/YacyretaEnergiasMensualesDesdePuestaenMarcha.pdf</t>
        </is>
      </c>
      <c r="S191" s="6" t="inlineStr">
        <is>
          <t>EBY-MONTHLY-1994-2012</t>
        </is>
      </c>
      <c r="T191" s="6" t="inlineStr"/>
      <c r="U191" s="4" t="inlineStr">
        <is>
          <t>2026-09-10 23:00:00</t>
        </is>
      </c>
      <c r="V191" s="4" t="inlineStr">
        <is>
          <t>Energia mensual entregada al SINP.</t>
        </is>
      </c>
    </row>
    <row r="192">
      <c r="A192" s="6" t="inlineStr">
        <is>
          <t>R0000191</t>
        </is>
      </c>
      <c r="B192" s="6" t="inlineStr">
        <is>
          <t>1995-07-01</t>
        </is>
      </c>
      <c r="C192" s="6" t="inlineStr">
        <is>
          <t>1995-07-31</t>
        </is>
      </c>
      <c r="D192" s="6" t="inlineStr">
        <is>
          <t>month</t>
        </is>
      </c>
      <c r="E192" s="6" t="inlineStr">
        <is>
          <t>YACYRETA_NET_ENERGY</t>
        </is>
      </c>
      <c r="F192" s="6" t="inlineStr">
        <is>
          <t>YACYRETA</t>
        </is>
      </c>
      <c r="G192" s="6" t="inlineStr">
        <is>
          <t>YACYRETA</t>
        </is>
      </c>
      <c r="H192" s="6" t="inlineStr">
        <is>
          <t>TOTAL</t>
        </is>
      </c>
      <c r="I192" s="8" t="n">
        <v>351549</v>
      </c>
      <c r="J192" s="6" t="inlineStr">
        <is>
          <t>MWh</t>
        </is>
      </c>
      <c r="K192" s="8" t="n">
        <v>351549</v>
      </c>
      <c r="L192" s="6" t="inlineStr">
        <is>
          <t>MWh</t>
        </is>
      </c>
      <c r="M192" s="6" t="inlineStr">
        <is>
          <t>EBY</t>
        </is>
      </c>
      <c r="N192" s="6" t="inlineStr">
        <is>
          <t>OFFICIAL_PRIMARY</t>
        </is>
      </c>
      <c r="O192" s="9" t="inlineStr">
        <is>
          <t>OFFICIAL_AGGREGATE</t>
        </is>
      </c>
      <c r="P192" s="8" t="n">
        <v>1</v>
      </c>
      <c r="Q192" s="8" t="n">
        <v>50</v>
      </c>
      <c r="R192" s="7" t="inlineStr">
        <is>
          <t>https://www.eby.gov.py/wp-content/uploads/2019/12/YacyretaEnergiasMensualesDesdePuestaenMarcha.pdf</t>
        </is>
      </c>
      <c r="S192" s="6" t="inlineStr">
        <is>
          <t>EBY-MONTHLY-1994-2012</t>
        </is>
      </c>
      <c r="T192" s="6" t="inlineStr"/>
      <c r="U192" s="4" t="inlineStr">
        <is>
          <t>2026-09-10 23:00:00</t>
        </is>
      </c>
      <c r="V192" s="4" t="inlineStr">
        <is>
          <t>Energia mensual Yacyreta desde puesta en marcha.</t>
        </is>
      </c>
    </row>
    <row r="193">
      <c r="A193" s="6" t="inlineStr">
        <is>
          <t>R0000192</t>
        </is>
      </c>
      <c r="B193" s="6" t="inlineStr">
        <is>
          <t>1995-07-01</t>
        </is>
      </c>
      <c r="C193" s="6" t="inlineStr">
        <is>
          <t>1995-07-31</t>
        </is>
      </c>
      <c r="D193" s="6" t="inlineStr">
        <is>
          <t>month</t>
        </is>
      </c>
      <c r="E193" s="6" t="inlineStr">
        <is>
          <t>ENERGY_TO_ARGENTINA</t>
        </is>
      </c>
      <c r="F193" s="6" t="inlineStr">
        <is>
          <t>YACYRETA</t>
        </is>
      </c>
      <c r="G193" s="6" t="inlineStr">
        <is>
          <t>YACYRETA</t>
        </is>
      </c>
      <c r="H193" s="6" t="inlineStr">
        <is>
          <t>SADI</t>
        </is>
      </c>
      <c r="I193" s="8" t="n">
        <v>351549</v>
      </c>
      <c r="J193" s="6" t="inlineStr">
        <is>
          <t>MWh</t>
        </is>
      </c>
      <c r="K193" s="8" t="n">
        <v>351549</v>
      </c>
      <c r="L193" s="6" t="inlineStr">
        <is>
          <t>MWh</t>
        </is>
      </c>
      <c r="M193" s="6" t="inlineStr">
        <is>
          <t>EBY</t>
        </is>
      </c>
      <c r="N193" s="6" t="inlineStr">
        <is>
          <t>OFFICIAL_PRIMARY</t>
        </is>
      </c>
      <c r="O193" s="9" t="inlineStr">
        <is>
          <t>OFFICIAL_AGGREGATE</t>
        </is>
      </c>
      <c r="P193" s="8" t="n">
        <v>1</v>
      </c>
      <c r="Q193" s="8" t="n">
        <v>50</v>
      </c>
      <c r="R193" s="7" t="inlineStr">
        <is>
          <t>https://www.eby.gov.py/wp-content/uploads/2019/12/YacyretaEnergiasMensualesDesdePuestaenMarcha.pdf</t>
        </is>
      </c>
      <c r="S193" s="6" t="inlineStr">
        <is>
          <t>EBY-MONTHLY-1994-2012</t>
        </is>
      </c>
      <c r="T193" s="6" t="inlineStr"/>
      <c r="U193" s="4" t="inlineStr">
        <is>
          <t>2026-09-10 23:00:00</t>
        </is>
      </c>
      <c r="V193" s="4" t="inlineStr">
        <is>
          <t>Energia mensual entregada al SADI.</t>
        </is>
      </c>
    </row>
    <row r="194">
      <c r="A194" s="6" t="inlineStr">
        <is>
          <t>R0000193</t>
        </is>
      </c>
      <c r="B194" s="6" t="inlineStr">
        <is>
          <t>1995-07-01</t>
        </is>
      </c>
      <c r="C194" s="6" t="inlineStr">
        <is>
          <t>1995-07-31</t>
        </is>
      </c>
      <c r="D194" s="6" t="inlineStr">
        <is>
          <t>month</t>
        </is>
      </c>
      <c r="E194" s="6" t="inlineStr">
        <is>
          <t>ENERGY_TO_PY</t>
        </is>
      </c>
      <c r="F194" s="6" t="inlineStr">
        <is>
          <t>YACYRETA</t>
        </is>
      </c>
      <c r="G194" s="6" t="inlineStr">
        <is>
          <t>YACYRETA</t>
        </is>
      </c>
      <c r="H194" s="6" t="inlineStr">
        <is>
          <t>SINP</t>
        </is>
      </c>
      <c r="I194" s="8" t="n">
        <v>0</v>
      </c>
      <c r="J194" s="6" t="inlineStr">
        <is>
          <t>MWh</t>
        </is>
      </c>
      <c r="K194" s="8" t="n">
        <v>0</v>
      </c>
      <c r="L194" s="6" t="inlineStr">
        <is>
          <t>MWh</t>
        </is>
      </c>
      <c r="M194" s="6" t="inlineStr">
        <is>
          <t>EBY</t>
        </is>
      </c>
      <c r="N194" s="6" t="inlineStr">
        <is>
          <t>OFFICIAL_PRIMARY</t>
        </is>
      </c>
      <c r="O194" s="9" t="inlineStr">
        <is>
          <t>OFFICIAL_AGGREGATE</t>
        </is>
      </c>
      <c r="P194" s="8" t="n">
        <v>1</v>
      </c>
      <c r="Q194" s="8" t="n">
        <v>50</v>
      </c>
      <c r="R194" s="7" t="inlineStr">
        <is>
          <t>https://www.eby.gov.py/wp-content/uploads/2019/12/YacyretaEnergiasMensualesDesdePuestaenMarcha.pdf</t>
        </is>
      </c>
      <c r="S194" s="6" t="inlineStr">
        <is>
          <t>EBY-MONTHLY-1994-2012</t>
        </is>
      </c>
      <c r="T194" s="6" t="inlineStr"/>
      <c r="U194" s="4" t="inlineStr">
        <is>
          <t>2026-09-10 23:00:00</t>
        </is>
      </c>
      <c r="V194" s="4" t="inlineStr">
        <is>
          <t>Energia mensual entregada al SINP.</t>
        </is>
      </c>
    </row>
    <row r="195">
      <c r="A195" s="6" t="inlineStr">
        <is>
          <t>R0000194</t>
        </is>
      </c>
      <c r="B195" s="6" t="inlineStr">
        <is>
          <t>1995-08-01</t>
        </is>
      </c>
      <c r="C195" s="6" t="inlineStr">
        <is>
          <t>1995-08-31</t>
        </is>
      </c>
      <c r="D195" s="6" t="inlineStr">
        <is>
          <t>month</t>
        </is>
      </c>
      <c r="E195" s="6" t="inlineStr">
        <is>
          <t>YACYRETA_NET_ENERGY</t>
        </is>
      </c>
      <c r="F195" s="6" t="inlineStr">
        <is>
          <t>YACYRETA</t>
        </is>
      </c>
      <c r="G195" s="6" t="inlineStr">
        <is>
          <t>YACYRETA</t>
        </is>
      </c>
      <c r="H195" s="6" t="inlineStr">
        <is>
          <t>TOTAL</t>
        </is>
      </c>
      <c r="I195" s="8" t="n">
        <v>372443</v>
      </c>
      <c r="J195" s="6" t="inlineStr">
        <is>
          <t>MWh</t>
        </is>
      </c>
      <c r="K195" s="8" t="n">
        <v>372443</v>
      </c>
      <c r="L195" s="6" t="inlineStr">
        <is>
          <t>MWh</t>
        </is>
      </c>
      <c r="M195" s="6" t="inlineStr">
        <is>
          <t>EBY</t>
        </is>
      </c>
      <c r="N195" s="6" t="inlineStr">
        <is>
          <t>OFFICIAL_PRIMARY</t>
        </is>
      </c>
      <c r="O195" s="9" t="inlineStr">
        <is>
          <t>OFFICIAL_AGGREGATE</t>
        </is>
      </c>
      <c r="P195" s="8" t="n">
        <v>1</v>
      </c>
      <c r="Q195" s="8" t="n">
        <v>50</v>
      </c>
      <c r="R195" s="7" t="inlineStr">
        <is>
          <t>https://www.eby.gov.py/wp-content/uploads/2019/12/YacyretaEnergiasMensualesDesdePuestaenMarcha.pdf</t>
        </is>
      </c>
      <c r="S195" s="6" t="inlineStr">
        <is>
          <t>EBY-MONTHLY-1994-2012</t>
        </is>
      </c>
      <c r="T195" s="6" t="inlineStr"/>
      <c r="U195" s="4" t="inlineStr">
        <is>
          <t>2026-09-10 23:00:00</t>
        </is>
      </c>
      <c r="V195" s="4" t="inlineStr">
        <is>
          <t>Energia mensual Yacyreta desde puesta en marcha.</t>
        </is>
      </c>
    </row>
    <row r="196">
      <c r="A196" s="6" t="inlineStr">
        <is>
          <t>R0000195</t>
        </is>
      </c>
      <c r="B196" s="6" t="inlineStr">
        <is>
          <t>1995-08-01</t>
        </is>
      </c>
      <c r="C196" s="6" t="inlineStr">
        <is>
          <t>1995-08-31</t>
        </is>
      </c>
      <c r="D196" s="6" t="inlineStr">
        <is>
          <t>month</t>
        </is>
      </c>
      <c r="E196" s="6" t="inlineStr">
        <is>
          <t>ENERGY_TO_ARGENTINA</t>
        </is>
      </c>
      <c r="F196" s="6" t="inlineStr">
        <is>
          <t>YACYRETA</t>
        </is>
      </c>
      <c r="G196" s="6" t="inlineStr">
        <is>
          <t>YACYRETA</t>
        </is>
      </c>
      <c r="H196" s="6" t="inlineStr">
        <is>
          <t>SADI</t>
        </is>
      </c>
      <c r="I196" s="8" t="n">
        <v>372443</v>
      </c>
      <c r="J196" s="6" t="inlineStr">
        <is>
          <t>MWh</t>
        </is>
      </c>
      <c r="K196" s="8" t="n">
        <v>372443</v>
      </c>
      <c r="L196" s="6" t="inlineStr">
        <is>
          <t>MWh</t>
        </is>
      </c>
      <c r="M196" s="6" t="inlineStr">
        <is>
          <t>EBY</t>
        </is>
      </c>
      <c r="N196" s="6" t="inlineStr">
        <is>
          <t>OFFICIAL_PRIMARY</t>
        </is>
      </c>
      <c r="O196" s="9" t="inlineStr">
        <is>
          <t>OFFICIAL_AGGREGATE</t>
        </is>
      </c>
      <c r="P196" s="8" t="n">
        <v>1</v>
      </c>
      <c r="Q196" s="8" t="n">
        <v>50</v>
      </c>
      <c r="R196" s="7" t="inlineStr">
        <is>
          <t>https://www.eby.gov.py/wp-content/uploads/2019/12/YacyretaEnergiasMensualesDesdePuestaenMarcha.pdf</t>
        </is>
      </c>
      <c r="S196" s="6" t="inlineStr">
        <is>
          <t>EBY-MONTHLY-1994-2012</t>
        </is>
      </c>
      <c r="T196" s="6" t="inlineStr"/>
      <c r="U196" s="4" t="inlineStr">
        <is>
          <t>2026-09-10 23:00:00</t>
        </is>
      </c>
      <c r="V196" s="4" t="inlineStr">
        <is>
          <t>Energia mensual entregada al SADI.</t>
        </is>
      </c>
    </row>
    <row r="197">
      <c r="A197" s="6" t="inlineStr">
        <is>
          <t>R0000196</t>
        </is>
      </c>
      <c r="B197" s="6" t="inlineStr">
        <is>
          <t>1995-08-01</t>
        </is>
      </c>
      <c r="C197" s="6" t="inlineStr">
        <is>
          <t>1995-08-31</t>
        </is>
      </c>
      <c r="D197" s="6" t="inlineStr">
        <is>
          <t>month</t>
        </is>
      </c>
      <c r="E197" s="6" t="inlineStr">
        <is>
          <t>ENERGY_TO_PY</t>
        </is>
      </c>
      <c r="F197" s="6" t="inlineStr">
        <is>
          <t>YACYRETA</t>
        </is>
      </c>
      <c r="G197" s="6" t="inlineStr">
        <is>
          <t>YACYRETA</t>
        </is>
      </c>
      <c r="H197" s="6" t="inlineStr">
        <is>
          <t>SINP</t>
        </is>
      </c>
      <c r="I197" s="8" t="n">
        <v>0</v>
      </c>
      <c r="J197" s="6" t="inlineStr">
        <is>
          <t>MWh</t>
        </is>
      </c>
      <c r="K197" s="8" t="n">
        <v>0</v>
      </c>
      <c r="L197" s="6" t="inlineStr">
        <is>
          <t>MWh</t>
        </is>
      </c>
      <c r="M197" s="6" t="inlineStr">
        <is>
          <t>EBY</t>
        </is>
      </c>
      <c r="N197" s="6" t="inlineStr">
        <is>
          <t>OFFICIAL_PRIMARY</t>
        </is>
      </c>
      <c r="O197" s="9" t="inlineStr">
        <is>
          <t>OFFICIAL_AGGREGATE</t>
        </is>
      </c>
      <c r="P197" s="8" t="n">
        <v>1</v>
      </c>
      <c r="Q197" s="8" t="n">
        <v>50</v>
      </c>
      <c r="R197" s="7" t="inlineStr">
        <is>
          <t>https://www.eby.gov.py/wp-content/uploads/2019/12/YacyretaEnergiasMensualesDesdePuestaenMarcha.pdf</t>
        </is>
      </c>
      <c r="S197" s="6" t="inlineStr">
        <is>
          <t>EBY-MONTHLY-1994-2012</t>
        </is>
      </c>
      <c r="T197" s="6" t="inlineStr"/>
      <c r="U197" s="4" t="inlineStr">
        <is>
          <t>2026-09-10 23:00:00</t>
        </is>
      </c>
      <c r="V197" s="4" t="inlineStr">
        <is>
          <t>Energia mensual entregada al SINP.</t>
        </is>
      </c>
    </row>
    <row r="198">
      <c r="A198" s="6" t="inlineStr">
        <is>
          <t>R0000197</t>
        </is>
      </c>
      <c r="B198" s="6" t="inlineStr">
        <is>
          <t>1995-09-01</t>
        </is>
      </c>
      <c r="C198" s="6" t="inlineStr">
        <is>
          <t>1995-09-30</t>
        </is>
      </c>
      <c r="D198" s="6" t="inlineStr">
        <is>
          <t>month</t>
        </is>
      </c>
      <c r="E198" s="6" t="inlineStr">
        <is>
          <t>YACYRETA_NET_ENERGY</t>
        </is>
      </c>
      <c r="F198" s="6" t="inlineStr">
        <is>
          <t>YACYRETA</t>
        </is>
      </c>
      <c r="G198" s="6" t="inlineStr">
        <is>
          <t>YACYRETA</t>
        </is>
      </c>
      <c r="H198" s="6" t="inlineStr">
        <is>
          <t>TOTAL</t>
        </is>
      </c>
      <c r="I198" s="8" t="n">
        <v>395580</v>
      </c>
      <c r="J198" s="6" t="inlineStr">
        <is>
          <t>MWh</t>
        </is>
      </c>
      <c r="K198" s="8" t="n">
        <v>395580</v>
      </c>
      <c r="L198" s="6" t="inlineStr">
        <is>
          <t>MWh</t>
        </is>
      </c>
      <c r="M198" s="6" t="inlineStr">
        <is>
          <t>EBY</t>
        </is>
      </c>
      <c r="N198" s="6" t="inlineStr">
        <is>
          <t>OFFICIAL_PRIMARY</t>
        </is>
      </c>
      <c r="O198" s="9" t="inlineStr">
        <is>
          <t>OFFICIAL_AGGREGATE</t>
        </is>
      </c>
      <c r="P198" s="8" t="n">
        <v>1</v>
      </c>
      <c r="Q198" s="8" t="n">
        <v>50</v>
      </c>
      <c r="R198" s="7" t="inlineStr">
        <is>
          <t>https://www.eby.gov.py/wp-content/uploads/2019/12/YacyretaEnergiasMensualesDesdePuestaenMarcha.pdf</t>
        </is>
      </c>
      <c r="S198" s="6" t="inlineStr">
        <is>
          <t>EBY-MONTHLY-1994-2012</t>
        </is>
      </c>
      <c r="T198" s="6" t="inlineStr"/>
      <c r="U198" s="4" t="inlineStr">
        <is>
          <t>2026-09-10 23:00:00</t>
        </is>
      </c>
      <c r="V198" s="4" t="inlineStr">
        <is>
          <t>Energia mensual Yacyreta desde puesta en marcha.</t>
        </is>
      </c>
    </row>
    <row r="199">
      <c r="A199" s="6" t="inlineStr">
        <is>
          <t>R0000198</t>
        </is>
      </c>
      <c r="B199" s="6" t="inlineStr">
        <is>
          <t>1995-09-01</t>
        </is>
      </c>
      <c r="C199" s="6" t="inlineStr">
        <is>
          <t>1995-09-30</t>
        </is>
      </c>
      <c r="D199" s="6" t="inlineStr">
        <is>
          <t>month</t>
        </is>
      </c>
      <c r="E199" s="6" t="inlineStr">
        <is>
          <t>ENERGY_TO_ARGENTINA</t>
        </is>
      </c>
      <c r="F199" s="6" t="inlineStr">
        <is>
          <t>YACYRETA</t>
        </is>
      </c>
      <c r="G199" s="6" t="inlineStr">
        <is>
          <t>YACYRETA</t>
        </is>
      </c>
      <c r="H199" s="6" t="inlineStr">
        <is>
          <t>SADI</t>
        </is>
      </c>
      <c r="I199" s="8" t="n">
        <v>395580</v>
      </c>
      <c r="J199" s="6" t="inlineStr">
        <is>
          <t>MWh</t>
        </is>
      </c>
      <c r="K199" s="8" t="n">
        <v>395580</v>
      </c>
      <c r="L199" s="6" t="inlineStr">
        <is>
          <t>MWh</t>
        </is>
      </c>
      <c r="M199" s="6" t="inlineStr">
        <is>
          <t>EBY</t>
        </is>
      </c>
      <c r="N199" s="6" t="inlineStr">
        <is>
          <t>OFFICIAL_PRIMARY</t>
        </is>
      </c>
      <c r="O199" s="9" t="inlineStr">
        <is>
          <t>OFFICIAL_AGGREGATE</t>
        </is>
      </c>
      <c r="P199" s="8" t="n">
        <v>1</v>
      </c>
      <c r="Q199" s="8" t="n">
        <v>50</v>
      </c>
      <c r="R199" s="7" t="inlineStr">
        <is>
          <t>https://www.eby.gov.py/wp-content/uploads/2019/12/YacyretaEnergiasMensualesDesdePuestaenMarcha.pdf</t>
        </is>
      </c>
      <c r="S199" s="6" t="inlineStr">
        <is>
          <t>EBY-MONTHLY-1994-2012</t>
        </is>
      </c>
      <c r="T199" s="6" t="inlineStr"/>
      <c r="U199" s="4" t="inlineStr">
        <is>
          <t>2026-09-10 23:00:00</t>
        </is>
      </c>
      <c r="V199" s="4" t="inlineStr">
        <is>
          <t>Energia mensual entregada al SADI.</t>
        </is>
      </c>
    </row>
    <row r="200">
      <c r="A200" s="6" t="inlineStr">
        <is>
          <t>R0000199</t>
        </is>
      </c>
      <c r="B200" s="6" t="inlineStr">
        <is>
          <t>1995-09-01</t>
        </is>
      </c>
      <c r="C200" s="6" t="inlineStr">
        <is>
          <t>1995-09-30</t>
        </is>
      </c>
      <c r="D200" s="6" t="inlineStr">
        <is>
          <t>month</t>
        </is>
      </c>
      <c r="E200" s="6" t="inlineStr">
        <is>
          <t>ENERGY_TO_PY</t>
        </is>
      </c>
      <c r="F200" s="6" t="inlineStr">
        <is>
          <t>YACYRETA</t>
        </is>
      </c>
      <c r="G200" s="6" t="inlineStr">
        <is>
          <t>YACYRETA</t>
        </is>
      </c>
      <c r="H200" s="6" t="inlineStr">
        <is>
          <t>SINP</t>
        </is>
      </c>
      <c r="I200" s="8" t="n">
        <v>0</v>
      </c>
      <c r="J200" s="6" t="inlineStr">
        <is>
          <t>MWh</t>
        </is>
      </c>
      <c r="K200" s="8" t="n">
        <v>0</v>
      </c>
      <c r="L200" s="6" t="inlineStr">
        <is>
          <t>MWh</t>
        </is>
      </c>
      <c r="M200" s="6" t="inlineStr">
        <is>
          <t>EBY</t>
        </is>
      </c>
      <c r="N200" s="6" t="inlineStr">
        <is>
          <t>OFFICIAL_PRIMARY</t>
        </is>
      </c>
      <c r="O200" s="9" t="inlineStr">
        <is>
          <t>OFFICIAL_AGGREGATE</t>
        </is>
      </c>
      <c r="P200" s="8" t="n">
        <v>1</v>
      </c>
      <c r="Q200" s="8" t="n">
        <v>50</v>
      </c>
      <c r="R200" s="7" t="inlineStr">
        <is>
          <t>https://www.eby.gov.py/wp-content/uploads/2019/12/YacyretaEnergiasMensualesDesdePuestaenMarcha.pdf</t>
        </is>
      </c>
      <c r="S200" s="6" t="inlineStr">
        <is>
          <t>EBY-MONTHLY-1994-2012</t>
        </is>
      </c>
      <c r="T200" s="6" t="inlineStr"/>
      <c r="U200" s="4" t="inlineStr">
        <is>
          <t>2026-09-10 23:00:00</t>
        </is>
      </c>
      <c r="V200" s="4" t="inlineStr">
        <is>
          <t>Energia mensual entregada al SINP.</t>
        </is>
      </c>
    </row>
    <row r="201">
      <c r="A201" s="6" t="inlineStr">
        <is>
          <t>R0000200</t>
        </is>
      </c>
      <c r="B201" s="6" t="inlineStr">
        <is>
          <t>1995-10-01</t>
        </is>
      </c>
      <c r="C201" s="6" t="inlineStr">
        <is>
          <t>1995-10-31</t>
        </is>
      </c>
      <c r="D201" s="6" t="inlineStr">
        <is>
          <t>month</t>
        </is>
      </c>
      <c r="E201" s="6" t="inlineStr">
        <is>
          <t>YACYRETA_NET_ENERGY</t>
        </is>
      </c>
      <c r="F201" s="6" t="inlineStr">
        <is>
          <t>YACYRETA</t>
        </is>
      </c>
      <c r="G201" s="6" t="inlineStr">
        <is>
          <t>YACYRETA</t>
        </is>
      </c>
      <c r="H201" s="6" t="inlineStr">
        <is>
          <t>TOTAL</t>
        </is>
      </c>
      <c r="I201" s="8" t="n">
        <v>419897</v>
      </c>
      <c r="J201" s="6" t="inlineStr">
        <is>
          <t>MWh</t>
        </is>
      </c>
      <c r="K201" s="8" t="n">
        <v>419897</v>
      </c>
      <c r="L201" s="6" t="inlineStr">
        <is>
          <t>MWh</t>
        </is>
      </c>
      <c r="M201" s="6" t="inlineStr">
        <is>
          <t>EBY</t>
        </is>
      </c>
      <c r="N201" s="6" t="inlineStr">
        <is>
          <t>OFFICIAL_PRIMARY</t>
        </is>
      </c>
      <c r="O201" s="9" t="inlineStr">
        <is>
          <t>OFFICIAL_AGGREGATE</t>
        </is>
      </c>
      <c r="P201" s="8" t="n">
        <v>1</v>
      </c>
      <c r="Q201" s="8" t="n">
        <v>50</v>
      </c>
      <c r="R201" s="7" t="inlineStr">
        <is>
          <t>https://www.eby.gov.py/wp-content/uploads/2019/12/YacyretaEnergiasMensualesDesdePuestaenMarcha.pdf</t>
        </is>
      </c>
      <c r="S201" s="6" t="inlineStr">
        <is>
          <t>EBY-MONTHLY-1994-2012</t>
        </is>
      </c>
      <c r="T201" s="6" t="inlineStr"/>
      <c r="U201" s="4" t="inlineStr">
        <is>
          <t>2026-09-10 23:00:00</t>
        </is>
      </c>
      <c r="V201" s="4" t="inlineStr">
        <is>
          <t>Energia mensual Yacyreta desde puesta en marcha.</t>
        </is>
      </c>
    </row>
    <row r="202">
      <c r="A202" s="6" t="inlineStr">
        <is>
          <t>R0000201</t>
        </is>
      </c>
      <c r="B202" s="6" t="inlineStr">
        <is>
          <t>1995-10-01</t>
        </is>
      </c>
      <c r="C202" s="6" t="inlineStr">
        <is>
          <t>1995-10-31</t>
        </is>
      </c>
      <c r="D202" s="6" t="inlineStr">
        <is>
          <t>month</t>
        </is>
      </c>
      <c r="E202" s="6" t="inlineStr">
        <is>
          <t>ENERGY_TO_ARGENTINA</t>
        </is>
      </c>
      <c r="F202" s="6" t="inlineStr">
        <is>
          <t>YACYRETA</t>
        </is>
      </c>
      <c r="G202" s="6" t="inlineStr">
        <is>
          <t>YACYRETA</t>
        </is>
      </c>
      <c r="H202" s="6" t="inlineStr">
        <is>
          <t>SADI</t>
        </is>
      </c>
      <c r="I202" s="8" t="n">
        <v>419897</v>
      </c>
      <c r="J202" s="6" t="inlineStr">
        <is>
          <t>MWh</t>
        </is>
      </c>
      <c r="K202" s="8" t="n">
        <v>419897</v>
      </c>
      <c r="L202" s="6" t="inlineStr">
        <is>
          <t>MWh</t>
        </is>
      </c>
      <c r="M202" s="6" t="inlineStr">
        <is>
          <t>EBY</t>
        </is>
      </c>
      <c r="N202" s="6" t="inlineStr">
        <is>
          <t>OFFICIAL_PRIMARY</t>
        </is>
      </c>
      <c r="O202" s="9" t="inlineStr">
        <is>
          <t>OFFICIAL_AGGREGATE</t>
        </is>
      </c>
      <c r="P202" s="8" t="n">
        <v>1</v>
      </c>
      <c r="Q202" s="8" t="n">
        <v>50</v>
      </c>
      <c r="R202" s="7" t="inlineStr">
        <is>
          <t>https://www.eby.gov.py/wp-content/uploads/2019/12/YacyretaEnergiasMensualesDesdePuestaenMarcha.pdf</t>
        </is>
      </c>
      <c r="S202" s="6" t="inlineStr">
        <is>
          <t>EBY-MONTHLY-1994-2012</t>
        </is>
      </c>
      <c r="T202" s="6" t="inlineStr"/>
      <c r="U202" s="4" t="inlineStr">
        <is>
          <t>2026-09-10 23:00:00</t>
        </is>
      </c>
      <c r="V202" s="4" t="inlineStr">
        <is>
          <t>Energia mensual entregada al SADI.</t>
        </is>
      </c>
    </row>
    <row r="203">
      <c r="A203" s="6" t="inlineStr">
        <is>
          <t>R0000202</t>
        </is>
      </c>
      <c r="B203" s="6" t="inlineStr">
        <is>
          <t>1995-10-01</t>
        </is>
      </c>
      <c r="C203" s="6" t="inlineStr">
        <is>
          <t>1995-10-31</t>
        </is>
      </c>
      <c r="D203" s="6" t="inlineStr">
        <is>
          <t>month</t>
        </is>
      </c>
      <c r="E203" s="6" t="inlineStr">
        <is>
          <t>ENERGY_TO_PY</t>
        </is>
      </c>
      <c r="F203" s="6" t="inlineStr">
        <is>
          <t>YACYRETA</t>
        </is>
      </c>
      <c r="G203" s="6" t="inlineStr">
        <is>
          <t>YACYRETA</t>
        </is>
      </c>
      <c r="H203" s="6" t="inlineStr">
        <is>
          <t>SINP</t>
        </is>
      </c>
      <c r="I203" s="8" t="n">
        <v>0</v>
      </c>
      <c r="J203" s="6" t="inlineStr">
        <is>
          <t>MWh</t>
        </is>
      </c>
      <c r="K203" s="8" t="n">
        <v>0</v>
      </c>
      <c r="L203" s="6" t="inlineStr">
        <is>
          <t>MWh</t>
        </is>
      </c>
      <c r="M203" s="6" t="inlineStr">
        <is>
          <t>EBY</t>
        </is>
      </c>
      <c r="N203" s="6" t="inlineStr">
        <is>
          <t>OFFICIAL_PRIMARY</t>
        </is>
      </c>
      <c r="O203" s="9" t="inlineStr">
        <is>
          <t>OFFICIAL_AGGREGATE</t>
        </is>
      </c>
      <c r="P203" s="8" t="n">
        <v>1</v>
      </c>
      <c r="Q203" s="8" t="n">
        <v>50</v>
      </c>
      <c r="R203" s="7" t="inlineStr">
        <is>
          <t>https://www.eby.gov.py/wp-content/uploads/2019/12/YacyretaEnergiasMensualesDesdePuestaenMarcha.pdf</t>
        </is>
      </c>
      <c r="S203" s="6" t="inlineStr">
        <is>
          <t>EBY-MONTHLY-1994-2012</t>
        </is>
      </c>
      <c r="T203" s="6" t="inlineStr"/>
      <c r="U203" s="4" t="inlineStr">
        <is>
          <t>2026-09-10 23:00:00</t>
        </is>
      </c>
      <c r="V203" s="4" t="inlineStr">
        <is>
          <t>Energia mensual entregada al SINP.</t>
        </is>
      </c>
    </row>
    <row r="204">
      <c r="A204" s="6" t="inlineStr">
        <is>
          <t>R0000203</t>
        </is>
      </c>
      <c r="B204" s="6" t="inlineStr">
        <is>
          <t>1995-11-01</t>
        </is>
      </c>
      <c r="C204" s="6" t="inlineStr">
        <is>
          <t>1995-11-30</t>
        </is>
      </c>
      <c r="D204" s="6" t="inlineStr">
        <is>
          <t>month</t>
        </is>
      </c>
      <c r="E204" s="6" t="inlineStr">
        <is>
          <t>YACYRETA_NET_ENERGY</t>
        </is>
      </c>
      <c r="F204" s="6" t="inlineStr">
        <is>
          <t>YACYRETA</t>
        </is>
      </c>
      <c r="G204" s="6" t="inlineStr">
        <is>
          <t>YACYRETA</t>
        </is>
      </c>
      <c r="H204" s="6" t="inlineStr">
        <is>
          <t>TOTAL</t>
        </is>
      </c>
      <c r="I204" s="8" t="n">
        <v>423745</v>
      </c>
      <c r="J204" s="6" t="inlineStr">
        <is>
          <t>MWh</t>
        </is>
      </c>
      <c r="K204" s="8" t="n">
        <v>423745</v>
      </c>
      <c r="L204" s="6" t="inlineStr">
        <is>
          <t>MWh</t>
        </is>
      </c>
      <c r="M204" s="6" t="inlineStr">
        <is>
          <t>EBY</t>
        </is>
      </c>
      <c r="N204" s="6" t="inlineStr">
        <is>
          <t>OFFICIAL_PRIMARY</t>
        </is>
      </c>
      <c r="O204" s="9" t="inlineStr">
        <is>
          <t>OFFICIAL_AGGREGATE</t>
        </is>
      </c>
      <c r="P204" s="8" t="n">
        <v>1</v>
      </c>
      <c r="Q204" s="8" t="n">
        <v>50</v>
      </c>
      <c r="R204" s="7" t="inlineStr">
        <is>
          <t>https://www.eby.gov.py/wp-content/uploads/2019/12/YacyretaEnergiasMensualesDesdePuestaenMarcha.pdf</t>
        </is>
      </c>
      <c r="S204" s="6" t="inlineStr">
        <is>
          <t>EBY-MONTHLY-1994-2012</t>
        </is>
      </c>
      <c r="T204" s="6" t="inlineStr"/>
      <c r="U204" s="4" t="inlineStr">
        <is>
          <t>2026-09-10 23:00:00</t>
        </is>
      </c>
      <c r="V204" s="4" t="inlineStr">
        <is>
          <t>Energia mensual Yacyreta desde puesta en marcha.</t>
        </is>
      </c>
    </row>
    <row r="205">
      <c r="A205" s="6" t="inlineStr">
        <is>
          <t>R0000204</t>
        </is>
      </c>
      <c r="B205" s="6" t="inlineStr">
        <is>
          <t>1995-11-01</t>
        </is>
      </c>
      <c r="C205" s="6" t="inlineStr">
        <is>
          <t>1995-11-30</t>
        </is>
      </c>
      <c r="D205" s="6" t="inlineStr">
        <is>
          <t>month</t>
        </is>
      </c>
      <c r="E205" s="6" t="inlineStr">
        <is>
          <t>ENERGY_TO_ARGENTINA</t>
        </is>
      </c>
      <c r="F205" s="6" t="inlineStr">
        <is>
          <t>YACYRETA</t>
        </is>
      </c>
      <c r="G205" s="6" t="inlineStr">
        <is>
          <t>YACYRETA</t>
        </is>
      </c>
      <c r="H205" s="6" t="inlineStr">
        <is>
          <t>SADI</t>
        </is>
      </c>
      <c r="I205" s="8" t="n">
        <v>423745</v>
      </c>
      <c r="J205" s="6" t="inlineStr">
        <is>
          <t>MWh</t>
        </is>
      </c>
      <c r="K205" s="8" t="n">
        <v>423745</v>
      </c>
      <c r="L205" s="6" t="inlineStr">
        <is>
          <t>MWh</t>
        </is>
      </c>
      <c r="M205" s="6" t="inlineStr">
        <is>
          <t>EBY</t>
        </is>
      </c>
      <c r="N205" s="6" t="inlineStr">
        <is>
          <t>OFFICIAL_PRIMARY</t>
        </is>
      </c>
      <c r="O205" s="9" t="inlineStr">
        <is>
          <t>OFFICIAL_AGGREGATE</t>
        </is>
      </c>
      <c r="P205" s="8" t="n">
        <v>1</v>
      </c>
      <c r="Q205" s="8" t="n">
        <v>50</v>
      </c>
      <c r="R205" s="7" t="inlineStr">
        <is>
          <t>https://www.eby.gov.py/wp-content/uploads/2019/12/YacyretaEnergiasMensualesDesdePuestaenMarcha.pdf</t>
        </is>
      </c>
      <c r="S205" s="6" t="inlineStr">
        <is>
          <t>EBY-MONTHLY-1994-2012</t>
        </is>
      </c>
      <c r="T205" s="6" t="inlineStr"/>
      <c r="U205" s="4" t="inlineStr">
        <is>
          <t>2026-09-10 23:00:00</t>
        </is>
      </c>
      <c r="V205" s="4" t="inlineStr">
        <is>
          <t>Energia mensual entregada al SADI.</t>
        </is>
      </c>
    </row>
    <row r="206">
      <c r="A206" s="6" t="inlineStr">
        <is>
          <t>R0000205</t>
        </is>
      </c>
      <c r="B206" s="6" t="inlineStr">
        <is>
          <t>1995-11-01</t>
        </is>
      </c>
      <c r="C206" s="6" t="inlineStr">
        <is>
          <t>1995-11-30</t>
        </is>
      </c>
      <c r="D206" s="6" t="inlineStr">
        <is>
          <t>month</t>
        </is>
      </c>
      <c r="E206" s="6" t="inlineStr">
        <is>
          <t>ENERGY_TO_PY</t>
        </is>
      </c>
      <c r="F206" s="6" t="inlineStr">
        <is>
          <t>YACYRETA</t>
        </is>
      </c>
      <c r="G206" s="6" t="inlineStr">
        <is>
          <t>YACYRETA</t>
        </is>
      </c>
      <c r="H206" s="6" t="inlineStr">
        <is>
          <t>SINP</t>
        </is>
      </c>
      <c r="I206" s="8" t="n">
        <v>0</v>
      </c>
      <c r="J206" s="6" t="inlineStr">
        <is>
          <t>MWh</t>
        </is>
      </c>
      <c r="K206" s="8" t="n">
        <v>0</v>
      </c>
      <c r="L206" s="6" t="inlineStr">
        <is>
          <t>MWh</t>
        </is>
      </c>
      <c r="M206" s="6" t="inlineStr">
        <is>
          <t>EBY</t>
        </is>
      </c>
      <c r="N206" s="6" t="inlineStr">
        <is>
          <t>OFFICIAL_PRIMARY</t>
        </is>
      </c>
      <c r="O206" s="9" t="inlineStr">
        <is>
          <t>OFFICIAL_AGGREGATE</t>
        </is>
      </c>
      <c r="P206" s="8" t="n">
        <v>1</v>
      </c>
      <c r="Q206" s="8" t="n">
        <v>50</v>
      </c>
      <c r="R206" s="7" t="inlineStr">
        <is>
          <t>https://www.eby.gov.py/wp-content/uploads/2019/12/YacyretaEnergiasMensualesDesdePuestaenMarcha.pdf</t>
        </is>
      </c>
      <c r="S206" s="6" t="inlineStr">
        <is>
          <t>EBY-MONTHLY-1994-2012</t>
        </is>
      </c>
      <c r="T206" s="6" t="inlineStr"/>
      <c r="U206" s="4" t="inlineStr">
        <is>
          <t>2026-09-10 23:00:00</t>
        </is>
      </c>
      <c r="V206" s="4" t="inlineStr">
        <is>
          <t>Energia mensual entregada al SINP.</t>
        </is>
      </c>
    </row>
    <row r="207">
      <c r="A207" s="6" t="inlineStr">
        <is>
          <t>R0000206</t>
        </is>
      </c>
      <c r="B207" s="6" t="inlineStr">
        <is>
          <t>1995-12-01</t>
        </is>
      </c>
      <c r="C207" s="6" t="inlineStr">
        <is>
          <t>1995-12-31</t>
        </is>
      </c>
      <c r="D207" s="6" t="inlineStr">
        <is>
          <t>month</t>
        </is>
      </c>
      <c r="E207" s="6" t="inlineStr">
        <is>
          <t>YACYRETA_NET_ENERGY</t>
        </is>
      </c>
      <c r="F207" s="6" t="inlineStr">
        <is>
          <t>YACYRETA</t>
        </is>
      </c>
      <c r="G207" s="6" t="inlineStr">
        <is>
          <t>YACYRETA</t>
        </is>
      </c>
      <c r="H207" s="6" t="inlineStr">
        <is>
          <t>TOTAL</t>
        </is>
      </c>
      <c r="I207" s="8" t="n">
        <v>440895</v>
      </c>
      <c r="J207" s="6" t="inlineStr">
        <is>
          <t>MWh</t>
        </is>
      </c>
      <c r="K207" s="8" t="n">
        <v>440895</v>
      </c>
      <c r="L207" s="6" t="inlineStr">
        <is>
          <t>MWh</t>
        </is>
      </c>
      <c r="M207" s="6" t="inlineStr">
        <is>
          <t>EBY</t>
        </is>
      </c>
      <c r="N207" s="6" t="inlineStr">
        <is>
          <t>OFFICIAL_PRIMARY</t>
        </is>
      </c>
      <c r="O207" s="9" t="inlineStr">
        <is>
          <t>OFFICIAL_AGGREGATE</t>
        </is>
      </c>
      <c r="P207" s="8" t="n">
        <v>1</v>
      </c>
      <c r="Q207" s="8" t="n">
        <v>50</v>
      </c>
      <c r="R207" s="7" t="inlineStr">
        <is>
          <t>https://www.eby.gov.py/wp-content/uploads/2019/12/YacyretaEnergiasMensualesDesdePuestaenMarcha.pdf</t>
        </is>
      </c>
      <c r="S207" s="6" t="inlineStr">
        <is>
          <t>EBY-MONTHLY-1994-2012</t>
        </is>
      </c>
      <c r="T207" s="6" t="inlineStr"/>
      <c r="U207" s="4" t="inlineStr">
        <is>
          <t>2026-09-10 23:00:00</t>
        </is>
      </c>
      <c r="V207" s="4" t="inlineStr">
        <is>
          <t>Energia mensual Yacyreta desde puesta en marcha.</t>
        </is>
      </c>
    </row>
    <row r="208">
      <c r="A208" s="6" t="inlineStr">
        <is>
          <t>R0000207</t>
        </is>
      </c>
      <c r="B208" s="6" t="inlineStr">
        <is>
          <t>1995-12-01</t>
        </is>
      </c>
      <c r="C208" s="6" t="inlineStr">
        <is>
          <t>1995-12-31</t>
        </is>
      </c>
      <c r="D208" s="6" t="inlineStr">
        <is>
          <t>month</t>
        </is>
      </c>
      <c r="E208" s="6" t="inlineStr">
        <is>
          <t>ENERGY_TO_ARGENTINA</t>
        </is>
      </c>
      <c r="F208" s="6" t="inlineStr">
        <is>
          <t>YACYRETA</t>
        </is>
      </c>
      <c r="G208" s="6" t="inlineStr">
        <is>
          <t>YACYRETA</t>
        </is>
      </c>
      <c r="H208" s="6" t="inlineStr">
        <is>
          <t>SADI</t>
        </is>
      </c>
      <c r="I208" s="8" t="n">
        <v>440895</v>
      </c>
      <c r="J208" s="6" t="inlineStr">
        <is>
          <t>MWh</t>
        </is>
      </c>
      <c r="K208" s="8" t="n">
        <v>440895</v>
      </c>
      <c r="L208" s="6" t="inlineStr">
        <is>
          <t>MWh</t>
        </is>
      </c>
      <c r="M208" s="6" t="inlineStr">
        <is>
          <t>EBY</t>
        </is>
      </c>
      <c r="N208" s="6" t="inlineStr">
        <is>
          <t>OFFICIAL_PRIMARY</t>
        </is>
      </c>
      <c r="O208" s="9" t="inlineStr">
        <is>
          <t>OFFICIAL_AGGREGATE</t>
        </is>
      </c>
      <c r="P208" s="8" t="n">
        <v>1</v>
      </c>
      <c r="Q208" s="8" t="n">
        <v>50</v>
      </c>
      <c r="R208" s="7" t="inlineStr">
        <is>
          <t>https://www.eby.gov.py/wp-content/uploads/2019/12/YacyretaEnergiasMensualesDesdePuestaenMarcha.pdf</t>
        </is>
      </c>
      <c r="S208" s="6" t="inlineStr">
        <is>
          <t>EBY-MONTHLY-1994-2012</t>
        </is>
      </c>
      <c r="T208" s="6" t="inlineStr"/>
      <c r="U208" s="4" t="inlineStr">
        <is>
          <t>2026-09-10 23:00:00</t>
        </is>
      </c>
      <c r="V208" s="4" t="inlineStr">
        <is>
          <t>Energia mensual entregada al SADI.</t>
        </is>
      </c>
    </row>
    <row r="209">
      <c r="A209" s="6" t="inlineStr">
        <is>
          <t>R0000208</t>
        </is>
      </c>
      <c r="B209" s="6" t="inlineStr">
        <is>
          <t>1995-12-01</t>
        </is>
      </c>
      <c r="C209" s="6" t="inlineStr">
        <is>
          <t>1995-12-31</t>
        </is>
      </c>
      <c r="D209" s="6" t="inlineStr">
        <is>
          <t>month</t>
        </is>
      </c>
      <c r="E209" s="6" t="inlineStr">
        <is>
          <t>ENERGY_TO_PY</t>
        </is>
      </c>
      <c r="F209" s="6" t="inlineStr">
        <is>
          <t>YACYRETA</t>
        </is>
      </c>
      <c r="G209" s="6" t="inlineStr">
        <is>
          <t>YACYRETA</t>
        </is>
      </c>
      <c r="H209" s="6" t="inlineStr">
        <is>
          <t>SINP</t>
        </is>
      </c>
      <c r="I209" s="8" t="n">
        <v>0</v>
      </c>
      <c r="J209" s="6" t="inlineStr">
        <is>
          <t>MWh</t>
        </is>
      </c>
      <c r="K209" s="8" t="n">
        <v>0</v>
      </c>
      <c r="L209" s="6" t="inlineStr">
        <is>
          <t>MWh</t>
        </is>
      </c>
      <c r="M209" s="6" t="inlineStr">
        <is>
          <t>EBY</t>
        </is>
      </c>
      <c r="N209" s="6" t="inlineStr">
        <is>
          <t>OFFICIAL_PRIMARY</t>
        </is>
      </c>
      <c r="O209" s="9" t="inlineStr">
        <is>
          <t>OFFICIAL_AGGREGATE</t>
        </is>
      </c>
      <c r="P209" s="8" t="n">
        <v>1</v>
      </c>
      <c r="Q209" s="8" t="n">
        <v>50</v>
      </c>
      <c r="R209" s="7" t="inlineStr">
        <is>
          <t>https://www.eby.gov.py/wp-content/uploads/2019/12/YacyretaEnergiasMensualesDesdePuestaenMarcha.pdf</t>
        </is>
      </c>
      <c r="S209" s="6" t="inlineStr">
        <is>
          <t>EBY-MONTHLY-1994-2012</t>
        </is>
      </c>
      <c r="T209" s="6" t="inlineStr"/>
      <c r="U209" s="4" t="inlineStr">
        <is>
          <t>2026-09-10 23:00:00</t>
        </is>
      </c>
      <c r="V209" s="4" t="inlineStr">
        <is>
          <t>Energia mensual entregada al SINP.</t>
        </is>
      </c>
    </row>
    <row r="210">
      <c r="A210" s="6" t="inlineStr">
        <is>
          <t>R0000209</t>
        </is>
      </c>
      <c r="B210" s="6" t="inlineStr">
        <is>
          <t>1996-01-01</t>
        </is>
      </c>
      <c r="C210" s="6" t="inlineStr">
        <is>
          <t>1996-01-31</t>
        </is>
      </c>
      <c r="D210" s="6" t="inlineStr">
        <is>
          <t>month</t>
        </is>
      </c>
      <c r="E210" s="6" t="inlineStr">
        <is>
          <t>YACYRETA_NET_ENERGY</t>
        </is>
      </c>
      <c r="F210" s="6" t="inlineStr">
        <is>
          <t>YACYRETA</t>
        </is>
      </c>
      <c r="G210" s="6" t="inlineStr">
        <is>
          <t>YACYRETA</t>
        </is>
      </c>
      <c r="H210" s="6" t="inlineStr">
        <is>
          <t>TOTAL</t>
        </is>
      </c>
      <c r="I210" s="8" t="n">
        <v>432826</v>
      </c>
      <c r="J210" s="6" t="inlineStr">
        <is>
          <t>MWh</t>
        </is>
      </c>
      <c r="K210" s="8" t="n">
        <v>432826</v>
      </c>
      <c r="L210" s="6" t="inlineStr">
        <is>
          <t>MWh</t>
        </is>
      </c>
      <c r="M210" s="6" t="inlineStr">
        <is>
          <t>EBY</t>
        </is>
      </c>
      <c r="N210" s="6" t="inlineStr">
        <is>
          <t>OFFICIAL_PRIMARY</t>
        </is>
      </c>
      <c r="O210" s="9" t="inlineStr">
        <is>
          <t>OFFICIAL_AGGREGATE</t>
        </is>
      </c>
      <c r="P210" s="8" t="n">
        <v>1</v>
      </c>
      <c r="Q210" s="8" t="n">
        <v>50</v>
      </c>
      <c r="R210" s="7" t="inlineStr">
        <is>
          <t>https://www.eby.gov.py/wp-content/uploads/2019/12/YacyretaEnergiasMensualesDesdePuestaenMarcha.pdf</t>
        </is>
      </c>
      <c r="S210" s="6" t="inlineStr">
        <is>
          <t>EBY-MONTHLY-1994-2012</t>
        </is>
      </c>
      <c r="T210" s="6" t="inlineStr"/>
      <c r="U210" s="4" t="inlineStr">
        <is>
          <t>2026-09-10 23:00:00</t>
        </is>
      </c>
      <c r="V210" s="4" t="inlineStr">
        <is>
          <t>Energia mensual Yacyreta desde puesta en marcha.</t>
        </is>
      </c>
    </row>
    <row r="211">
      <c r="A211" s="6" t="inlineStr">
        <is>
          <t>R0000210</t>
        </is>
      </c>
      <c r="B211" s="6" t="inlineStr">
        <is>
          <t>1996-01-01</t>
        </is>
      </c>
      <c r="C211" s="6" t="inlineStr">
        <is>
          <t>1996-01-31</t>
        </is>
      </c>
      <c r="D211" s="6" t="inlineStr">
        <is>
          <t>month</t>
        </is>
      </c>
      <c r="E211" s="6" t="inlineStr">
        <is>
          <t>ENERGY_TO_ARGENTINA</t>
        </is>
      </c>
      <c r="F211" s="6" t="inlineStr">
        <is>
          <t>YACYRETA</t>
        </is>
      </c>
      <c r="G211" s="6" t="inlineStr">
        <is>
          <t>YACYRETA</t>
        </is>
      </c>
      <c r="H211" s="6" t="inlineStr">
        <is>
          <t>SADI</t>
        </is>
      </c>
      <c r="I211" s="8" t="n">
        <v>432826</v>
      </c>
      <c r="J211" s="6" t="inlineStr">
        <is>
          <t>MWh</t>
        </is>
      </c>
      <c r="K211" s="8" t="n">
        <v>432826</v>
      </c>
      <c r="L211" s="6" t="inlineStr">
        <is>
          <t>MWh</t>
        </is>
      </c>
      <c r="M211" s="6" t="inlineStr">
        <is>
          <t>EBY</t>
        </is>
      </c>
      <c r="N211" s="6" t="inlineStr">
        <is>
          <t>OFFICIAL_PRIMARY</t>
        </is>
      </c>
      <c r="O211" s="9" t="inlineStr">
        <is>
          <t>OFFICIAL_AGGREGATE</t>
        </is>
      </c>
      <c r="P211" s="8" t="n">
        <v>1</v>
      </c>
      <c r="Q211" s="8" t="n">
        <v>50</v>
      </c>
      <c r="R211" s="7" t="inlineStr">
        <is>
          <t>https://www.eby.gov.py/wp-content/uploads/2019/12/YacyretaEnergiasMensualesDesdePuestaenMarcha.pdf</t>
        </is>
      </c>
      <c r="S211" s="6" t="inlineStr">
        <is>
          <t>EBY-MONTHLY-1994-2012</t>
        </is>
      </c>
      <c r="T211" s="6" t="inlineStr"/>
      <c r="U211" s="4" t="inlineStr">
        <is>
          <t>2026-09-10 23:00:00</t>
        </is>
      </c>
      <c r="V211" s="4" t="inlineStr">
        <is>
          <t>Energia mensual entregada al SADI.</t>
        </is>
      </c>
    </row>
    <row r="212">
      <c r="A212" s="6" t="inlineStr">
        <is>
          <t>R0000211</t>
        </is>
      </c>
      <c r="B212" s="6" t="inlineStr">
        <is>
          <t>1996-01-01</t>
        </is>
      </c>
      <c r="C212" s="6" t="inlineStr">
        <is>
          <t>1996-01-31</t>
        </is>
      </c>
      <c r="D212" s="6" t="inlineStr">
        <is>
          <t>month</t>
        </is>
      </c>
      <c r="E212" s="6" t="inlineStr">
        <is>
          <t>ENERGY_TO_PY</t>
        </is>
      </c>
      <c r="F212" s="6" t="inlineStr">
        <is>
          <t>YACYRETA</t>
        </is>
      </c>
      <c r="G212" s="6" t="inlineStr">
        <is>
          <t>YACYRETA</t>
        </is>
      </c>
      <c r="H212" s="6" t="inlineStr">
        <is>
          <t>SINP</t>
        </is>
      </c>
      <c r="I212" s="8" t="n">
        <v>0</v>
      </c>
      <c r="J212" s="6" t="inlineStr">
        <is>
          <t>MWh</t>
        </is>
      </c>
      <c r="K212" s="8" t="n">
        <v>0</v>
      </c>
      <c r="L212" s="6" t="inlineStr">
        <is>
          <t>MWh</t>
        </is>
      </c>
      <c r="M212" s="6" t="inlineStr">
        <is>
          <t>EBY</t>
        </is>
      </c>
      <c r="N212" s="6" t="inlineStr">
        <is>
          <t>OFFICIAL_PRIMARY</t>
        </is>
      </c>
      <c r="O212" s="9" t="inlineStr">
        <is>
          <t>OFFICIAL_AGGREGATE</t>
        </is>
      </c>
      <c r="P212" s="8" t="n">
        <v>1</v>
      </c>
      <c r="Q212" s="8" t="n">
        <v>50</v>
      </c>
      <c r="R212" s="7" t="inlineStr">
        <is>
          <t>https://www.eby.gov.py/wp-content/uploads/2019/12/YacyretaEnergiasMensualesDesdePuestaenMarcha.pdf</t>
        </is>
      </c>
      <c r="S212" s="6" t="inlineStr">
        <is>
          <t>EBY-MONTHLY-1994-2012</t>
        </is>
      </c>
      <c r="T212" s="6" t="inlineStr"/>
      <c r="U212" s="4" t="inlineStr">
        <is>
          <t>2026-09-10 23:00:00</t>
        </is>
      </c>
      <c r="V212" s="4" t="inlineStr">
        <is>
          <t>Energia mensual entregada al SINP.</t>
        </is>
      </c>
    </row>
    <row r="213">
      <c r="A213" s="6" t="inlineStr">
        <is>
          <t>R0000212</t>
        </is>
      </c>
      <c r="B213" s="6" t="inlineStr">
        <is>
          <t>1996-02-01</t>
        </is>
      </c>
      <c r="C213" s="6" t="inlineStr">
        <is>
          <t>1996-02-29</t>
        </is>
      </c>
      <c r="D213" s="6" t="inlineStr">
        <is>
          <t>month</t>
        </is>
      </c>
      <c r="E213" s="6" t="inlineStr">
        <is>
          <t>YACYRETA_NET_ENERGY</t>
        </is>
      </c>
      <c r="F213" s="6" t="inlineStr">
        <is>
          <t>YACYRETA</t>
        </is>
      </c>
      <c r="G213" s="6" t="inlineStr">
        <is>
          <t>YACYRETA</t>
        </is>
      </c>
      <c r="H213" s="6" t="inlineStr">
        <is>
          <t>TOTAL</t>
        </is>
      </c>
      <c r="I213" s="8" t="n">
        <v>406332</v>
      </c>
      <c r="J213" s="6" t="inlineStr">
        <is>
          <t>MWh</t>
        </is>
      </c>
      <c r="K213" s="8" t="n">
        <v>406332</v>
      </c>
      <c r="L213" s="6" t="inlineStr">
        <is>
          <t>MWh</t>
        </is>
      </c>
      <c r="M213" s="6" t="inlineStr">
        <is>
          <t>EBY</t>
        </is>
      </c>
      <c r="N213" s="6" t="inlineStr">
        <is>
          <t>OFFICIAL_PRIMARY</t>
        </is>
      </c>
      <c r="O213" s="9" t="inlineStr">
        <is>
          <t>OFFICIAL_AGGREGATE</t>
        </is>
      </c>
      <c r="P213" s="8" t="n">
        <v>1</v>
      </c>
      <c r="Q213" s="8" t="n">
        <v>50</v>
      </c>
      <c r="R213" s="7" t="inlineStr">
        <is>
          <t>https://www.eby.gov.py/wp-content/uploads/2019/12/YacyretaEnergiasMensualesDesdePuestaenMarcha.pdf</t>
        </is>
      </c>
      <c r="S213" s="6" t="inlineStr">
        <is>
          <t>EBY-MONTHLY-1994-2012</t>
        </is>
      </c>
      <c r="T213" s="6" t="inlineStr"/>
      <c r="U213" s="4" t="inlineStr">
        <is>
          <t>2026-09-10 23:00:00</t>
        </is>
      </c>
      <c r="V213" s="4" t="inlineStr">
        <is>
          <t>Energia mensual Yacyreta desde puesta en marcha.</t>
        </is>
      </c>
    </row>
    <row r="214">
      <c r="A214" s="6" t="inlineStr">
        <is>
          <t>R0000213</t>
        </is>
      </c>
      <c r="B214" s="6" t="inlineStr">
        <is>
          <t>1996-02-01</t>
        </is>
      </c>
      <c r="C214" s="6" t="inlineStr">
        <is>
          <t>1996-02-29</t>
        </is>
      </c>
      <c r="D214" s="6" t="inlineStr">
        <is>
          <t>month</t>
        </is>
      </c>
      <c r="E214" s="6" t="inlineStr">
        <is>
          <t>ENERGY_TO_ARGENTINA</t>
        </is>
      </c>
      <c r="F214" s="6" t="inlineStr">
        <is>
          <t>YACYRETA</t>
        </is>
      </c>
      <c r="G214" s="6" t="inlineStr">
        <is>
          <t>YACYRETA</t>
        </is>
      </c>
      <c r="H214" s="6" t="inlineStr">
        <is>
          <t>SADI</t>
        </is>
      </c>
      <c r="I214" s="8" t="n">
        <v>406332</v>
      </c>
      <c r="J214" s="6" t="inlineStr">
        <is>
          <t>MWh</t>
        </is>
      </c>
      <c r="K214" s="8" t="n">
        <v>406332</v>
      </c>
      <c r="L214" s="6" t="inlineStr">
        <is>
          <t>MWh</t>
        </is>
      </c>
      <c r="M214" s="6" t="inlineStr">
        <is>
          <t>EBY</t>
        </is>
      </c>
      <c r="N214" s="6" t="inlineStr">
        <is>
          <t>OFFICIAL_PRIMARY</t>
        </is>
      </c>
      <c r="O214" s="9" t="inlineStr">
        <is>
          <t>OFFICIAL_AGGREGATE</t>
        </is>
      </c>
      <c r="P214" s="8" t="n">
        <v>1</v>
      </c>
      <c r="Q214" s="8" t="n">
        <v>50</v>
      </c>
      <c r="R214" s="7" t="inlineStr">
        <is>
          <t>https://www.eby.gov.py/wp-content/uploads/2019/12/YacyretaEnergiasMensualesDesdePuestaenMarcha.pdf</t>
        </is>
      </c>
      <c r="S214" s="6" t="inlineStr">
        <is>
          <t>EBY-MONTHLY-1994-2012</t>
        </is>
      </c>
      <c r="T214" s="6" t="inlineStr"/>
      <c r="U214" s="4" t="inlineStr">
        <is>
          <t>2026-09-10 23:00:00</t>
        </is>
      </c>
      <c r="V214" s="4" t="inlineStr">
        <is>
          <t>Energia mensual entregada al SADI.</t>
        </is>
      </c>
    </row>
    <row r="215">
      <c r="A215" s="6" t="inlineStr">
        <is>
          <t>R0000214</t>
        </is>
      </c>
      <c r="B215" s="6" t="inlineStr">
        <is>
          <t>1996-02-01</t>
        </is>
      </c>
      <c r="C215" s="6" t="inlineStr">
        <is>
          <t>1996-02-29</t>
        </is>
      </c>
      <c r="D215" s="6" t="inlineStr">
        <is>
          <t>month</t>
        </is>
      </c>
      <c r="E215" s="6" t="inlineStr">
        <is>
          <t>ENERGY_TO_PY</t>
        </is>
      </c>
      <c r="F215" s="6" t="inlineStr">
        <is>
          <t>YACYRETA</t>
        </is>
      </c>
      <c r="G215" s="6" t="inlineStr">
        <is>
          <t>YACYRETA</t>
        </is>
      </c>
      <c r="H215" s="6" t="inlineStr">
        <is>
          <t>SINP</t>
        </is>
      </c>
      <c r="I215" s="8" t="n">
        <v>0</v>
      </c>
      <c r="J215" s="6" t="inlineStr">
        <is>
          <t>MWh</t>
        </is>
      </c>
      <c r="K215" s="8" t="n">
        <v>0</v>
      </c>
      <c r="L215" s="6" t="inlineStr">
        <is>
          <t>MWh</t>
        </is>
      </c>
      <c r="M215" s="6" t="inlineStr">
        <is>
          <t>EBY</t>
        </is>
      </c>
      <c r="N215" s="6" t="inlineStr">
        <is>
          <t>OFFICIAL_PRIMARY</t>
        </is>
      </c>
      <c r="O215" s="9" t="inlineStr">
        <is>
          <t>OFFICIAL_AGGREGATE</t>
        </is>
      </c>
      <c r="P215" s="8" t="n">
        <v>1</v>
      </c>
      <c r="Q215" s="8" t="n">
        <v>50</v>
      </c>
      <c r="R215" s="7" t="inlineStr">
        <is>
          <t>https://www.eby.gov.py/wp-content/uploads/2019/12/YacyretaEnergiasMensualesDesdePuestaenMarcha.pdf</t>
        </is>
      </c>
      <c r="S215" s="6" t="inlineStr">
        <is>
          <t>EBY-MONTHLY-1994-2012</t>
        </is>
      </c>
      <c r="T215" s="6" t="inlineStr"/>
      <c r="U215" s="4" t="inlineStr">
        <is>
          <t>2026-09-10 23:00:00</t>
        </is>
      </c>
      <c r="V215" s="4" t="inlineStr">
        <is>
          <t>Energia mensual entregada al SINP.</t>
        </is>
      </c>
    </row>
    <row r="216">
      <c r="A216" s="6" t="inlineStr">
        <is>
          <t>R0000215</t>
        </is>
      </c>
      <c r="B216" s="6" t="inlineStr">
        <is>
          <t>1996-03-01</t>
        </is>
      </c>
      <c r="C216" s="6" t="inlineStr">
        <is>
          <t>1996-03-31</t>
        </is>
      </c>
      <c r="D216" s="6" t="inlineStr">
        <is>
          <t>month</t>
        </is>
      </c>
      <c r="E216" s="6" t="inlineStr">
        <is>
          <t>YACYRETA_NET_ENERGY</t>
        </is>
      </c>
      <c r="F216" s="6" t="inlineStr">
        <is>
          <t>YACYRETA</t>
        </is>
      </c>
      <c r="G216" s="6" t="inlineStr">
        <is>
          <t>YACYRETA</t>
        </is>
      </c>
      <c r="H216" s="6" t="inlineStr">
        <is>
          <t>TOTAL</t>
        </is>
      </c>
      <c r="I216" s="8" t="n">
        <v>434687</v>
      </c>
      <c r="J216" s="6" t="inlineStr">
        <is>
          <t>MWh</t>
        </is>
      </c>
      <c r="K216" s="8" t="n">
        <v>434687</v>
      </c>
      <c r="L216" s="6" t="inlineStr">
        <is>
          <t>MWh</t>
        </is>
      </c>
      <c r="M216" s="6" t="inlineStr">
        <is>
          <t>EBY</t>
        </is>
      </c>
      <c r="N216" s="6" t="inlineStr">
        <is>
          <t>OFFICIAL_PRIMARY</t>
        </is>
      </c>
      <c r="O216" s="9" t="inlineStr">
        <is>
          <t>OFFICIAL_AGGREGATE</t>
        </is>
      </c>
      <c r="P216" s="8" t="n">
        <v>1</v>
      </c>
      <c r="Q216" s="8" t="n">
        <v>50</v>
      </c>
      <c r="R216" s="7" t="inlineStr">
        <is>
          <t>https://www.eby.gov.py/wp-content/uploads/2019/12/YacyretaEnergiasMensualesDesdePuestaenMarcha.pdf</t>
        </is>
      </c>
      <c r="S216" s="6" t="inlineStr">
        <is>
          <t>EBY-MONTHLY-1994-2012</t>
        </is>
      </c>
      <c r="T216" s="6" t="inlineStr"/>
      <c r="U216" s="4" t="inlineStr">
        <is>
          <t>2026-09-10 23:00:00</t>
        </is>
      </c>
      <c r="V216" s="4" t="inlineStr">
        <is>
          <t>Energia mensual Yacyreta desde puesta en marcha.</t>
        </is>
      </c>
    </row>
    <row r="217">
      <c r="A217" s="6" t="inlineStr">
        <is>
          <t>R0000216</t>
        </is>
      </c>
      <c r="B217" s="6" t="inlineStr">
        <is>
          <t>1996-03-01</t>
        </is>
      </c>
      <c r="C217" s="6" t="inlineStr">
        <is>
          <t>1996-03-31</t>
        </is>
      </c>
      <c r="D217" s="6" t="inlineStr">
        <is>
          <t>month</t>
        </is>
      </c>
      <c r="E217" s="6" t="inlineStr">
        <is>
          <t>ENERGY_TO_ARGENTINA</t>
        </is>
      </c>
      <c r="F217" s="6" t="inlineStr">
        <is>
          <t>YACYRETA</t>
        </is>
      </c>
      <c r="G217" s="6" t="inlineStr">
        <is>
          <t>YACYRETA</t>
        </is>
      </c>
      <c r="H217" s="6" t="inlineStr">
        <is>
          <t>SADI</t>
        </is>
      </c>
      <c r="I217" s="8" t="n">
        <v>434687</v>
      </c>
      <c r="J217" s="6" t="inlineStr">
        <is>
          <t>MWh</t>
        </is>
      </c>
      <c r="K217" s="8" t="n">
        <v>434687</v>
      </c>
      <c r="L217" s="6" t="inlineStr">
        <is>
          <t>MWh</t>
        </is>
      </c>
      <c r="M217" s="6" t="inlineStr">
        <is>
          <t>EBY</t>
        </is>
      </c>
      <c r="N217" s="6" t="inlineStr">
        <is>
          <t>OFFICIAL_PRIMARY</t>
        </is>
      </c>
      <c r="O217" s="9" t="inlineStr">
        <is>
          <t>OFFICIAL_AGGREGATE</t>
        </is>
      </c>
      <c r="P217" s="8" t="n">
        <v>1</v>
      </c>
      <c r="Q217" s="8" t="n">
        <v>50</v>
      </c>
      <c r="R217" s="7" t="inlineStr">
        <is>
          <t>https://www.eby.gov.py/wp-content/uploads/2019/12/YacyretaEnergiasMensualesDesdePuestaenMarcha.pdf</t>
        </is>
      </c>
      <c r="S217" s="6" t="inlineStr">
        <is>
          <t>EBY-MONTHLY-1994-2012</t>
        </is>
      </c>
      <c r="T217" s="6" t="inlineStr"/>
      <c r="U217" s="4" t="inlineStr">
        <is>
          <t>2026-09-10 23:00:00</t>
        </is>
      </c>
      <c r="V217" s="4" t="inlineStr">
        <is>
          <t>Energia mensual entregada al SADI.</t>
        </is>
      </c>
    </row>
    <row r="218">
      <c r="A218" s="6" t="inlineStr">
        <is>
          <t>R0000217</t>
        </is>
      </c>
      <c r="B218" s="6" t="inlineStr">
        <is>
          <t>1996-03-01</t>
        </is>
      </c>
      <c r="C218" s="6" t="inlineStr">
        <is>
          <t>1996-03-31</t>
        </is>
      </c>
      <c r="D218" s="6" t="inlineStr">
        <is>
          <t>month</t>
        </is>
      </c>
      <c r="E218" s="6" t="inlineStr">
        <is>
          <t>ENERGY_TO_PY</t>
        </is>
      </c>
      <c r="F218" s="6" t="inlineStr">
        <is>
          <t>YACYRETA</t>
        </is>
      </c>
      <c r="G218" s="6" t="inlineStr">
        <is>
          <t>YACYRETA</t>
        </is>
      </c>
      <c r="H218" s="6" t="inlineStr">
        <is>
          <t>SINP</t>
        </is>
      </c>
      <c r="I218" s="8" t="n">
        <v>0</v>
      </c>
      <c r="J218" s="6" t="inlineStr">
        <is>
          <t>MWh</t>
        </is>
      </c>
      <c r="K218" s="8" t="n">
        <v>0</v>
      </c>
      <c r="L218" s="6" t="inlineStr">
        <is>
          <t>MWh</t>
        </is>
      </c>
      <c r="M218" s="6" t="inlineStr">
        <is>
          <t>EBY</t>
        </is>
      </c>
      <c r="N218" s="6" t="inlineStr">
        <is>
          <t>OFFICIAL_PRIMARY</t>
        </is>
      </c>
      <c r="O218" s="9" t="inlineStr">
        <is>
          <t>OFFICIAL_AGGREGATE</t>
        </is>
      </c>
      <c r="P218" s="8" t="n">
        <v>1</v>
      </c>
      <c r="Q218" s="8" t="n">
        <v>50</v>
      </c>
      <c r="R218" s="7" t="inlineStr">
        <is>
          <t>https://www.eby.gov.py/wp-content/uploads/2019/12/YacyretaEnergiasMensualesDesdePuestaenMarcha.pdf</t>
        </is>
      </c>
      <c r="S218" s="6" t="inlineStr">
        <is>
          <t>EBY-MONTHLY-1994-2012</t>
        </is>
      </c>
      <c r="T218" s="6" t="inlineStr"/>
      <c r="U218" s="4" t="inlineStr">
        <is>
          <t>2026-09-10 23:00:00</t>
        </is>
      </c>
      <c r="V218" s="4" t="inlineStr">
        <is>
          <t>Energia mensual entregada al SINP.</t>
        </is>
      </c>
    </row>
    <row r="219">
      <c r="A219" s="6" t="inlineStr">
        <is>
          <t>R0000218</t>
        </is>
      </c>
      <c r="B219" s="6" t="inlineStr">
        <is>
          <t>1996-04-01</t>
        </is>
      </c>
      <c r="C219" s="6" t="inlineStr">
        <is>
          <t>1996-04-30</t>
        </is>
      </c>
      <c r="D219" s="6" t="inlineStr">
        <is>
          <t>month</t>
        </is>
      </c>
      <c r="E219" s="6" t="inlineStr">
        <is>
          <t>YACYRETA_NET_ENERGY</t>
        </is>
      </c>
      <c r="F219" s="6" t="inlineStr">
        <is>
          <t>YACYRETA</t>
        </is>
      </c>
      <c r="G219" s="6" t="inlineStr">
        <is>
          <t>YACYRETA</t>
        </is>
      </c>
      <c r="H219" s="6" t="inlineStr">
        <is>
          <t>TOTAL</t>
        </is>
      </c>
      <c r="I219" s="8" t="n">
        <v>428430</v>
      </c>
      <c r="J219" s="6" t="inlineStr">
        <is>
          <t>MWh</t>
        </is>
      </c>
      <c r="K219" s="8" t="n">
        <v>428430</v>
      </c>
      <c r="L219" s="6" t="inlineStr">
        <is>
          <t>MWh</t>
        </is>
      </c>
      <c r="M219" s="6" t="inlineStr">
        <is>
          <t>EBY</t>
        </is>
      </c>
      <c r="N219" s="6" t="inlineStr">
        <is>
          <t>OFFICIAL_PRIMARY</t>
        </is>
      </c>
      <c r="O219" s="9" t="inlineStr">
        <is>
          <t>OFFICIAL_AGGREGATE</t>
        </is>
      </c>
      <c r="P219" s="8" t="n">
        <v>1</v>
      </c>
      <c r="Q219" s="8" t="n">
        <v>50</v>
      </c>
      <c r="R219" s="7" t="inlineStr">
        <is>
          <t>https://www.eby.gov.py/wp-content/uploads/2019/12/YacyretaEnergiasMensualesDesdePuestaenMarcha.pdf</t>
        </is>
      </c>
      <c r="S219" s="6" t="inlineStr">
        <is>
          <t>EBY-MONTHLY-1994-2012</t>
        </is>
      </c>
      <c r="T219" s="6" t="inlineStr"/>
      <c r="U219" s="4" t="inlineStr">
        <is>
          <t>2026-09-10 23:00:00</t>
        </is>
      </c>
      <c r="V219" s="4" t="inlineStr">
        <is>
          <t>Energia mensual Yacyreta desde puesta en marcha.</t>
        </is>
      </c>
    </row>
    <row r="220">
      <c r="A220" s="6" t="inlineStr">
        <is>
          <t>R0000219</t>
        </is>
      </c>
      <c r="B220" s="6" t="inlineStr">
        <is>
          <t>1996-04-01</t>
        </is>
      </c>
      <c r="C220" s="6" t="inlineStr">
        <is>
          <t>1996-04-30</t>
        </is>
      </c>
      <c r="D220" s="6" t="inlineStr">
        <is>
          <t>month</t>
        </is>
      </c>
      <c r="E220" s="6" t="inlineStr">
        <is>
          <t>ENERGY_TO_ARGENTINA</t>
        </is>
      </c>
      <c r="F220" s="6" t="inlineStr">
        <is>
          <t>YACYRETA</t>
        </is>
      </c>
      <c r="G220" s="6" t="inlineStr">
        <is>
          <t>YACYRETA</t>
        </is>
      </c>
      <c r="H220" s="6" t="inlineStr">
        <is>
          <t>SADI</t>
        </is>
      </c>
      <c r="I220" s="8" t="n">
        <v>428430</v>
      </c>
      <c r="J220" s="6" t="inlineStr">
        <is>
          <t>MWh</t>
        </is>
      </c>
      <c r="K220" s="8" t="n">
        <v>428430</v>
      </c>
      <c r="L220" s="6" t="inlineStr">
        <is>
          <t>MWh</t>
        </is>
      </c>
      <c r="M220" s="6" t="inlineStr">
        <is>
          <t>EBY</t>
        </is>
      </c>
      <c r="N220" s="6" t="inlineStr">
        <is>
          <t>OFFICIAL_PRIMARY</t>
        </is>
      </c>
      <c r="O220" s="9" t="inlineStr">
        <is>
          <t>OFFICIAL_AGGREGATE</t>
        </is>
      </c>
      <c r="P220" s="8" t="n">
        <v>1</v>
      </c>
      <c r="Q220" s="8" t="n">
        <v>50</v>
      </c>
      <c r="R220" s="7" t="inlineStr">
        <is>
          <t>https://www.eby.gov.py/wp-content/uploads/2019/12/YacyretaEnergiasMensualesDesdePuestaenMarcha.pdf</t>
        </is>
      </c>
      <c r="S220" s="6" t="inlineStr">
        <is>
          <t>EBY-MONTHLY-1994-2012</t>
        </is>
      </c>
      <c r="T220" s="6" t="inlineStr"/>
      <c r="U220" s="4" t="inlineStr">
        <is>
          <t>2026-09-10 23:00:00</t>
        </is>
      </c>
      <c r="V220" s="4" t="inlineStr">
        <is>
          <t>Energia mensual entregada al SADI.</t>
        </is>
      </c>
    </row>
    <row r="221">
      <c r="A221" s="6" t="inlineStr">
        <is>
          <t>R0000220</t>
        </is>
      </c>
      <c r="B221" s="6" t="inlineStr">
        <is>
          <t>1996-04-01</t>
        </is>
      </c>
      <c r="C221" s="6" t="inlineStr">
        <is>
          <t>1996-04-30</t>
        </is>
      </c>
      <c r="D221" s="6" t="inlineStr">
        <is>
          <t>month</t>
        </is>
      </c>
      <c r="E221" s="6" t="inlineStr">
        <is>
          <t>ENERGY_TO_PY</t>
        </is>
      </c>
      <c r="F221" s="6" t="inlineStr">
        <is>
          <t>YACYRETA</t>
        </is>
      </c>
      <c r="G221" s="6" t="inlineStr">
        <is>
          <t>YACYRETA</t>
        </is>
      </c>
      <c r="H221" s="6" t="inlineStr">
        <is>
          <t>SINP</t>
        </is>
      </c>
      <c r="I221" s="8" t="n">
        <v>0</v>
      </c>
      <c r="J221" s="6" t="inlineStr">
        <is>
          <t>MWh</t>
        </is>
      </c>
      <c r="K221" s="8" t="n">
        <v>0</v>
      </c>
      <c r="L221" s="6" t="inlineStr">
        <is>
          <t>MWh</t>
        </is>
      </c>
      <c r="M221" s="6" t="inlineStr">
        <is>
          <t>EBY</t>
        </is>
      </c>
      <c r="N221" s="6" t="inlineStr">
        <is>
          <t>OFFICIAL_PRIMARY</t>
        </is>
      </c>
      <c r="O221" s="9" t="inlineStr">
        <is>
          <t>OFFICIAL_AGGREGATE</t>
        </is>
      </c>
      <c r="P221" s="8" t="n">
        <v>1</v>
      </c>
      <c r="Q221" s="8" t="n">
        <v>50</v>
      </c>
      <c r="R221" s="7" t="inlineStr">
        <is>
          <t>https://www.eby.gov.py/wp-content/uploads/2019/12/YacyretaEnergiasMensualesDesdePuestaenMarcha.pdf</t>
        </is>
      </c>
      <c r="S221" s="6" t="inlineStr">
        <is>
          <t>EBY-MONTHLY-1994-2012</t>
        </is>
      </c>
      <c r="T221" s="6" t="inlineStr"/>
      <c r="U221" s="4" t="inlineStr">
        <is>
          <t>2026-09-10 23:00:00</t>
        </is>
      </c>
      <c r="V221" s="4" t="inlineStr">
        <is>
          <t>Energia mensual entregada al SINP.</t>
        </is>
      </c>
    </row>
    <row r="222">
      <c r="A222" s="6" t="inlineStr">
        <is>
          <t>R0000221</t>
        </is>
      </c>
      <c r="B222" s="6" t="inlineStr">
        <is>
          <t>1996-05-01</t>
        </is>
      </c>
      <c r="C222" s="6" t="inlineStr">
        <is>
          <t>1996-05-31</t>
        </is>
      </c>
      <c r="D222" s="6" t="inlineStr">
        <is>
          <t>month</t>
        </is>
      </c>
      <c r="E222" s="6" t="inlineStr">
        <is>
          <t>YACYRETA_NET_ENERGY</t>
        </is>
      </c>
      <c r="F222" s="6" t="inlineStr">
        <is>
          <t>YACYRETA</t>
        </is>
      </c>
      <c r="G222" s="6" t="inlineStr">
        <is>
          <t>YACYRETA</t>
        </is>
      </c>
      <c r="H222" s="6" t="inlineStr">
        <is>
          <t>TOTAL</t>
        </is>
      </c>
      <c r="I222" s="8" t="n">
        <v>443845</v>
      </c>
      <c r="J222" s="6" t="inlineStr">
        <is>
          <t>MWh</t>
        </is>
      </c>
      <c r="K222" s="8" t="n">
        <v>443845</v>
      </c>
      <c r="L222" s="6" t="inlineStr">
        <is>
          <t>MWh</t>
        </is>
      </c>
      <c r="M222" s="6" t="inlineStr">
        <is>
          <t>EBY</t>
        </is>
      </c>
      <c r="N222" s="6" t="inlineStr">
        <is>
          <t>OFFICIAL_PRIMARY</t>
        </is>
      </c>
      <c r="O222" s="9" t="inlineStr">
        <is>
          <t>OFFICIAL_AGGREGATE</t>
        </is>
      </c>
      <c r="P222" s="8" t="n">
        <v>1</v>
      </c>
      <c r="Q222" s="8" t="n">
        <v>50</v>
      </c>
      <c r="R222" s="7" t="inlineStr">
        <is>
          <t>https://www.eby.gov.py/wp-content/uploads/2019/12/YacyretaEnergiasMensualesDesdePuestaenMarcha.pdf</t>
        </is>
      </c>
      <c r="S222" s="6" t="inlineStr">
        <is>
          <t>EBY-MONTHLY-1994-2012</t>
        </is>
      </c>
      <c r="T222" s="6" t="inlineStr"/>
      <c r="U222" s="4" t="inlineStr">
        <is>
          <t>2026-09-10 23:00:00</t>
        </is>
      </c>
      <c r="V222" s="4" t="inlineStr">
        <is>
          <t>Energia mensual Yacyreta desde puesta en marcha.</t>
        </is>
      </c>
    </row>
    <row r="223">
      <c r="A223" s="6" t="inlineStr">
        <is>
          <t>R0000222</t>
        </is>
      </c>
      <c r="B223" s="6" t="inlineStr">
        <is>
          <t>1996-05-01</t>
        </is>
      </c>
      <c r="C223" s="6" t="inlineStr">
        <is>
          <t>1996-05-31</t>
        </is>
      </c>
      <c r="D223" s="6" t="inlineStr">
        <is>
          <t>month</t>
        </is>
      </c>
      <c r="E223" s="6" t="inlineStr">
        <is>
          <t>ENERGY_TO_ARGENTINA</t>
        </is>
      </c>
      <c r="F223" s="6" t="inlineStr">
        <is>
          <t>YACYRETA</t>
        </is>
      </c>
      <c r="G223" s="6" t="inlineStr">
        <is>
          <t>YACYRETA</t>
        </is>
      </c>
      <c r="H223" s="6" t="inlineStr">
        <is>
          <t>SADI</t>
        </is>
      </c>
      <c r="I223" s="8" t="n">
        <v>443845</v>
      </c>
      <c r="J223" s="6" t="inlineStr">
        <is>
          <t>MWh</t>
        </is>
      </c>
      <c r="K223" s="8" t="n">
        <v>443845</v>
      </c>
      <c r="L223" s="6" t="inlineStr">
        <is>
          <t>MWh</t>
        </is>
      </c>
      <c r="M223" s="6" t="inlineStr">
        <is>
          <t>EBY</t>
        </is>
      </c>
      <c r="N223" s="6" t="inlineStr">
        <is>
          <t>OFFICIAL_PRIMARY</t>
        </is>
      </c>
      <c r="O223" s="9" t="inlineStr">
        <is>
          <t>OFFICIAL_AGGREGATE</t>
        </is>
      </c>
      <c r="P223" s="8" t="n">
        <v>1</v>
      </c>
      <c r="Q223" s="8" t="n">
        <v>50</v>
      </c>
      <c r="R223" s="7" t="inlineStr">
        <is>
          <t>https://www.eby.gov.py/wp-content/uploads/2019/12/YacyretaEnergiasMensualesDesdePuestaenMarcha.pdf</t>
        </is>
      </c>
      <c r="S223" s="6" t="inlineStr">
        <is>
          <t>EBY-MONTHLY-1994-2012</t>
        </is>
      </c>
      <c r="T223" s="6" t="inlineStr"/>
      <c r="U223" s="4" t="inlineStr">
        <is>
          <t>2026-09-10 23:00:00</t>
        </is>
      </c>
      <c r="V223" s="4" t="inlineStr">
        <is>
          <t>Energia mensual entregada al SADI.</t>
        </is>
      </c>
    </row>
    <row r="224">
      <c r="A224" s="6" t="inlineStr">
        <is>
          <t>R0000223</t>
        </is>
      </c>
      <c r="B224" s="6" t="inlineStr">
        <is>
          <t>1996-05-01</t>
        </is>
      </c>
      <c r="C224" s="6" t="inlineStr">
        <is>
          <t>1996-05-31</t>
        </is>
      </c>
      <c r="D224" s="6" t="inlineStr">
        <is>
          <t>month</t>
        </is>
      </c>
      <c r="E224" s="6" t="inlineStr">
        <is>
          <t>ENERGY_TO_PY</t>
        </is>
      </c>
      <c r="F224" s="6" t="inlineStr">
        <is>
          <t>YACYRETA</t>
        </is>
      </c>
      <c r="G224" s="6" t="inlineStr">
        <is>
          <t>YACYRETA</t>
        </is>
      </c>
      <c r="H224" s="6" t="inlineStr">
        <is>
          <t>SINP</t>
        </is>
      </c>
      <c r="I224" s="8" t="n">
        <v>0</v>
      </c>
      <c r="J224" s="6" t="inlineStr">
        <is>
          <t>MWh</t>
        </is>
      </c>
      <c r="K224" s="8" t="n">
        <v>0</v>
      </c>
      <c r="L224" s="6" t="inlineStr">
        <is>
          <t>MWh</t>
        </is>
      </c>
      <c r="M224" s="6" t="inlineStr">
        <is>
          <t>EBY</t>
        </is>
      </c>
      <c r="N224" s="6" t="inlineStr">
        <is>
          <t>OFFICIAL_PRIMARY</t>
        </is>
      </c>
      <c r="O224" s="9" t="inlineStr">
        <is>
          <t>OFFICIAL_AGGREGATE</t>
        </is>
      </c>
      <c r="P224" s="8" t="n">
        <v>1</v>
      </c>
      <c r="Q224" s="8" t="n">
        <v>50</v>
      </c>
      <c r="R224" s="7" t="inlineStr">
        <is>
          <t>https://www.eby.gov.py/wp-content/uploads/2019/12/YacyretaEnergiasMensualesDesdePuestaenMarcha.pdf</t>
        </is>
      </c>
      <c r="S224" s="6" t="inlineStr">
        <is>
          <t>EBY-MONTHLY-1994-2012</t>
        </is>
      </c>
      <c r="T224" s="6" t="inlineStr"/>
      <c r="U224" s="4" t="inlineStr">
        <is>
          <t>2026-09-10 23:00:00</t>
        </is>
      </c>
      <c r="V224" s="4" t="inlineStr">
        <is>
          <t>Energia mensual entregada al SINP.</t>
        </is>
      </c>
    </row>
    <row r="225">
      <c r="A225" s="6" t="inlineStr">
        <is>
          <t>R0000224</t>
        </is>
      </c>
      <c r="B225" s="6" t="inlineStr">
        <is>
          <t>1996-06-01</t>
        </is>
      </c>
      <c r="C225" s="6" t="inlineStr">
        <is>
          <t>1996-06-30</t>
        </is>
      </c>
      <c r="D225" s="6" t="inlineStr">
        <is>
          <t>month</t>
        </is>
      </c>
      <c r="E225" s="6" t="inlineStr">
        <is>
          <t>YACYRETA_NET_ENERGY</t>
        </is>
      </c>
      <c r="F225" s="6" t="inlineStr">
        <is>
          <t>YACYRETA</t>
        </is>
      </c>
      <c r="G225" s="6" t="inlineStr">
        <is>
          <t>YACYRETA</t>
        </is>
      </c>
      <c r="H225" s="6" t="inlineStr">
        <is>
          <t>TOTAL</t>
        </is>
      </c>
      <c r="I225" s="8" t="n">
        <v>431606</v>
      </c>
      <c r="J225" s="6" t="inlineStr">
        <is>
          <t>MWh</t>
        </is>
      </c>
      <c r="K225" s="8" t="n">
        <v>431606</v>
      </c>
      <c r="L225" s="6" t="inlineStr">
        <is>
          <t>MWh</t>
        </is>
      </c>
      <c r="M225" s="6" t="inlineStr">
        <is>
          <t>EBY</t>
        </is>
      </c>
      <c r="N225" s="6" t="inlineStr">
        <is>
          <t>OFFICIAL_PRIMARY</t>
        </is>
      </c>
      <c r="O225" s="9" t="inlineStr">
        <is>
          <t>OFFICIAL_AGGREGATE</t>
        </is>
      </c>
      <c r="P225" s="8" t="n">
        <v>1</v>
      </c>
      <c r="Q225" s="8" t="n">
        <v>50</v>
      </c>
      <c r="R225" s="7" t="inlineStr">
        <is>
          <t>https://www.eby.gov.py/wp-content/uploads/2019/12/YacyretaEnergiasMensualesDesdePuestaenMarcha.pdf</t>
        </is>
      </c>
      <c r="S225" s="6" t="inlineStr">
        <is>
          <t>EBY-MONTHLY-1994-2012</t>
        </is>
      </c>
      <c r="T225" s="6" t="inlineStr"/>
      <c r="U225" s="4" t="inlineStr">
        <is>
          <t>2026-09-10 23:00:00</t>
        </is>
      </c>
      <c r="V225" s="4" t="inlineStr">
        <is>
          <t>Energia mensual Yacyreta desde puesta en marcha.</t>
        </is>
      </c>
    </row>
    <row r="226">
      <c r="A226" s="6" t="inlineStr">
        <is>
          <t>R0000225</t>
        </is>
      </c>
      <c r="B226" s="6" t="inlineStr">
        <is>
          <t>1996-06-01</t>
        </is>
      </c>
      <c r="C226" s="6" t="inlineStr">
        <is>
          <t>1996-06-30</t>
        </is>
      </c>
      <c r="D226" s="6" t="inlineStr">
        <is>
          <t>month</t>
        </is>
      </c>
      <c r="E226" s="6" t="inlineStr">
        <is>
          <t>ENERGY_TO_ARGENTINA</t>
        </is>
      </c>
      <c r="F226" s="6" t="inlineStr">
        <is>
          <t>YACYRETA</t>
        </is>
      </c>
      <c r="G226" s="6" t="inlineStr">
        <is>
          <t>YACYRETA</t>
        </is>
      </c>
      <c r="H226" s="6" t="inlineStr">
        <is>
          <t>SADI</t>
        </is>
      </c>
      <c r="I226" s="8" t="n">
        <v>431606</v>
      </c>
      <c r="J226" s="6" t="inlineStr">
        <is>
          <t>MWh</t>
        </is>
      </c>
      <c r="K226" s="8" t="n">
        <v>431606</v>
      </c>
      <c r="L226" s="6" t="inlineStr">
        <is>
          <t>MWh</t>
        </is>
      </c>
      <c r="M226" s="6" t="inlineStr">
        <is>
          <t>EBY</t>
        </is>
      </c>
      <c r="N226" s="6" t="inlineStr">
        <is>
          <t>OFFICIAL_PRIMARY</t>
        </is>
      </c>
      <c r="O226" s="9" t="inlineStr">
        <is>
          <t>OFFICIAL_AGGREGATE</t>
        </is>
      </c>
      <c r="P226" s="8" t="n">
        <v>1</v>
      </c>
      <c r="Q226" s="8" t="n">
        <v>50</v>
      </c>
      <c r="R226" s="7" t="inlineStr">
        <is>
          <t>https://www.eby.gov.py/wp-content/uploads/2019/12/YacyretaEnergiasMensualesDesdePuestaenMarcha.pdf</t>
        </is>
      </c>
      <c r="S226" s="6" t="inlineStr">
        <is>
          <t>EBY-MONTHLY-1994-2012</t>
        </is>
      </c>
      <c r="T226" s="6" t="inlineStr"/>
      <c r="U226" s="4" t="inlineStr">
        <is>
          <t>2026-09-10 23:00:00</t>
        </is>
      </c>
      <c r="V226" s="4" t="inlineStr">
        <is>
          <t>Energia mensual entregada al SADI.</t>
        </is>
      </c>
    </row>
    <row r="227">
      <c r="A227" s="6" t="inlineStr">
        <is>
          <t>R0000226</t>
        </is>
      </c>
      <c r="B227" s="6" t="inlineStr">
        <is>
          <t>1996-06-01</t>
        </is>
      </c>
      <c r="C227" s="6" t="inlineStr">
        <is>
          <t>1996-06-30</t>
        </is>
      </c>
      <c r="D227" s="6" t="inlineStr">
        <is>
          <t>month</t>
        </is>
      </c>
      <c r="E227" s="6" t="inlineStr">
        <is>
          <t>ENERGY_TO_PY</t>
        </is>
      </c>
      <c r="F227" s="6" t="inlineStr">
        <is>
          <t>YACYRETA</t>
        </is>
      </c>
      <c r="G227" s="6" t="inlineStr">
        <is>
          <t>YACYRETA</t>
        </is>
      </c>
      <c r="H227" s="6" t="inlineStr">
        <is>
          <t>SINP</t>
        </is>
      </c>
      <c r="I227" s="8" t="n">
        <v>0</v>
      </c>
      <c r="J227" s="6" t="inlineStr">
        <is>
          <t>MWh</t>
        </is>
      </c>
      <c r="K227" s="8" t="n">
        <v>0</v>
      </c>
      <c r="L227" s="6" t="inlineStr">
        <is>
          <t>MWh</t>
        </is>
      </c>
      <c r="M227" s="6" t="inlineStr">
        <is>
          <t>EBY</t>
        </is>
      </c>
      <c r="N227" s="6" t="inlineStr">
        <is>
          <t>OFFICIAL_PRIMARY</t>
        </is>
      </c>
      <c r="O227" s="9" t="inlineStr">
        <is>
          <t>OFFICIAL_AGGREGATE</t>
        </is>
      </c>
      <c r="P227" s="8" t="n">
        <v>1</v>
      </c>
      <c r="Q227" s="8" t="n">
        <v>50</v>
      </c>
      <c r="R227" s="7" t="inlineStr">
        <is>
          <t>https://www.eby.gov.py/wp-content/uploads/2019/12/YacyretaEnergiasMensualesDesdePuestaenMarcha.pdf</t>
        </is>
      </c>
      <c r="S227" s="6" t="inlineStr">
        <is>
          <t>EBY-MONTHLY-1994-2012</t>
        </is>
      </c>
      <c r="T227" s="6" t="inlineStr"/>
      <c r="U227" s="4" t="inlineStr">
        <is>
          <t>2026-09-10 23:00:00</t>
        </is>
      </c>
      <c r="V227" s="4" t="inlineStr">
        <is>
          <t>Energia mensual entregada al SINP.</t>
        </is>
      </c>
    </row>
    <row r="228">
      <c r="A228" s="6" t="inlineStr">
        <is>
          <t>R0000227</t>
        </is>
      </c>
      <c r="B228" s="6" t="inlineStr">
        <is>
          <t>1996-07-01</t>
        </is>
      </c>
      <c r="C228" s="6" t="inlineStr">
        <is>
          <t>1996-07-31</t>
        </is>
      </c>
      <c r="D228" s="6" t="inlineStr">
        <is>
          <t>month</t>
        </is>
      </c>
      <c r="E228" s="6" t="inlineStr">
        <is>
          <t>YACYRETA_NET_ENERGY</t>
        </is>
      </c>
      <c r="F228" s="6" t="inlineStr">
        <is>
          <t>YACYRETA</t>
        </is>
      </c>
      <c r="G228" s="6" t="inlineStr">
        <is>
          <t>YACYRETA</t>
        </is>
      </c>
      <c r="H228" s="6" t="inlineStr">
        <is>
          <t>TOTAL</t>
        </is>
      </c>
      <c r="I228" s="8" t="n">
        <v>465285</v>
      </c>
      <c r="J228" s="6" t="inlineStr">
        <is>
          <t>MWh</t>
        </is>
      </c>
      <c r="K228" s="8" t="n">
        <v>465285</v>
      </c>
      <c r="L228" s="6" t="inlineStr">
        <is>
          <t>MWh</t>
        </is>
      </c>
      <c r="M228" s="6" t="inlineStr">
        <is>
          <t>EBY</t>
        </is>
      </c>
      <c r="N228" s="6" t="inlineStr">
        <is>
          <t>OFFICIAL_PRIMARY</t>
        </is>
      </c>
      <c r="O228" s="9" t="inlineStr">
        <is>
          <t>OFFICIAL_AGGREGATE</t>
        </is>
      </c>
      <c r="P228" s="8" t="n">
        <v>1</v>
      </c>
      <c r="Q228" s="8" t="n">
        <v>50</v>
      </c>
      <c r="R228" s="7" t="inlineStr">
        <is>
          <t>https://www.eby.gov.py/wp-content/uploads/2019/12/YacyretaEnergiasMensualesDesdePuestaenMarcha.pdf</t>
        </is>
      </c>
      <c r="S228" s="6" t="inlineStr">
        <is>
          <t>EBY-MONTHLY-1994-2012</t>
        </is>
      </c>
      <c r="T228" s="6" t="inlineStr"/>
      <c r="U228" s="4" t="inlineStr">
        <is>
          <t>2026-09-10 23:00:00</t>
        </is>
      </c>
      <c r="V228" s="4" t="inlineStr">
        <is>
          <t>Energia mensual Yacyreta desde puesta en marcha.</t>
        </is>
      </c>
    </row>
    <row r="229">
      <c r="A229" s="6" t="inlineStr">
        <is>
          <t>R0000228</t>
        </is>
      </c>
      <c r="B229" s="6" t="inlineStr">
        <is>
          <t>1996-07-01</t>
        </is>
      </c>
      <c r="C229" s="6" t="inlineStr">
        <is>
          <t>1996-07-31</t>
        </is>
      </c>
      <c r="D229" s="6" t="inlineStr">
        <is>
          <t>month</t>
        </is>
      </c>
      <c r="E229" s="6" t="inlineStr">
        <is>
          <t>ENERGY_TO_ARGENTINA</t>
        </is>
      </c>
      <c r="F229" s="6" t="inlineStr">
        <is>
          <t>YACYRETA</t>
        </is>
      </c>
      <c r="G229" s="6" t="inlineStr">
        <is>
          <t>YACYRETA</t>
        </is>
      </c>
      <c r="H229" s="6" t="inlineStr">
        <is>
          <t>SADI</t>
        </is>
      </c>
      <c r="I229" s="8" t="n">
        <v>465285</v>
      </c>
      <c r="J229" s="6" t="inlineStr">
        <is>
          <t>MWh</t>
        </is>
      </c>
      <c r="K229" s="8" t="n">
        <v>465285</v>
      </c>
      <c r="L229" s="6" t="inlineStr">
        <is>
          <t>MWh</t>
        </is>
      </c>
      <c r="M229" s="6" t="inlineStr">
        <is>
          <t>EBY</t>
        </is>
      </c>
      <c r="N229" s="6" t="inlineStr">
        <is>
          <t>OFFICIAL_PRIMARY</t>
        </is>
      </c>
      <c r="O229" s="9" t="inlineStr">
        <is>
          <t>OFFICIAL_AGGREGATE</t>
        </is>
      </c>
      <c r="P229" s="8" t="n">
        <v>1</v>
      </c>
      <c r="Q229" s="8" t="n">
        <v>50</v>
      </c>
      <c r="R229" s="7" t="inlineStr">
        <is>
          <t>https://www.eby.gov.py/wp-content/uploads/2019/12/YacyretaEnergiasMensualesDesdePuestaenMarcha.pdf</t>
        </is>
      </c>
      <c r="S229" s="6" t="inlineStr">
        <is>
          <t>EBY-MONTHLY-1994-2012</t>
        </is>
      </c>
      <c r="T229" s="6" t="inlineStr"/>
      <c r="U229" s="4" t="inlineStr">
        <is>
          <t>2026-09-10 23:00:00</t>
        </is>
      </c>
      <c r="V229" s="4" t="inlineStr">
        <is>
          <t>Energia mensual entregada al SADI.</t>
        </is>
      </c>
    </row>
    <row r="230">
      <c r="A230" s="6" t="inlineStr">
        <is>
          <t>R0000229</t>
        </is>
      </c>
      <c r="B230" s="6" t="inlineStr">
        <is>
          <t>1996-07-01</t>
        </is>
      </c>
      <c r="C230" s="6" t="inlineStr">
        <is>
          <t>1996-07-31</t>
        </is>
      </c>
      <c r="D230" s="6" t="inlineStr">
        <is>
          <t>month</t>
        </is>
      </c>
      <c r="E230" s="6" t="inlineStr">
        <is>
          <t>ENERGY_TO_PY</t>
        </is>
      </c>
      <c r="F230" s="6" t="inlineStr">
        <is>
          <t>YACYRETA</t>
        </is>
      </c>
      <c r="G230" s="6" t="inlineStr">
        <is>
          <t>YACYRETA</t>
        </is>
      </c>
      <c r="H230" s="6" t="inlineStr">
        <is>
          <t>SINP</t>
        </is>
      </c>
      <c r="I230" s="8" t="n">
        <v>0</v>
      </c>
      <c r="J230" s="6" t="inlineStr">
        <is>
          <t>MWh</t>
        </is>
      </c>
      <c r="K230" s="8" t="n">
        <v>0</v>
      </c>
      <c r="L230" s="6" t="inlineStr">
        <is>
          <t>MWh</t>
        </is>
      </c>
      <c r="M230" s="6" t="inlineStr">
        <is>
          <t>EBY</t>
        </is>
      </c>
      <c r="N230" s="6" t="inlineStr">
        <is>
          <t>OFFICIAL_PRIMARY</t>
        </is>
      </c>
      <c r="O230" s="9" t="inlineStr">
        <is>
          <t>OFFICIAL_AGGREGATE</t>
        </is>
      </c>
      <c r="P230" s="8" t="n">
        <v>1</v>
      </c>
      <c r="Q230" s="8" t="n">
        <v>50</v>
      </c>
      <c r="R230" s="7" t="inlineStr">
        <is>
          <t>https://www.eby.gov.py/wp-content/uploads/2019/12/YacyretaEnergiasMensualesDesdePuestaenMarcha.pdf</t>
        </is>
      </c>
      <c r="S230" s="6" t="inlineStr">
        <is>
          <t>EBY-MONTHLY-1994-2012</t>
        </is>
      </c>
      <c r="T230" s="6" t="inlineStr"/>
      <c r="U230" s="4" t="inlineStr">
        <is>
          <t>2026-09-10 23:00:00</t>
        </is>
      </c>
      <c r="V230" s="4" t="inlineStr">
        <is>
          <t>Energia mensual entregada al SINP.</t>
        </is>
      </c>
    </row>
    <row r="231">
      <c r="A231" s="6" t="inlineStr">
        <is>
          <t>R0000230</t>
        </is>
      </c>
      <c r="B231" s="6" t="inlineStr">
        <is>
          <t>1996-08-01</t>
        </is>
      </c>
      <c r="C231" s="6" t="inlineStr">
        <is>
          <t>1996-08-31</t>
        </is>
      </c>
      <c r="D231" s="6" t="inlineStr">
        <is>
          <t>month</t>
        </is>
      </c>
      <c r="E231" s="6" t="inlineStr">
        <is>
          <t>YACYRETA_NET_ENERGY</t>
        </is>
      </c>
      <c r="F231" s="6" t="inlineStr">
        <is>
          <t>YACYRETA</t>
        </is>
      </c>
      <c r="G231" s="6" t="inlineStr">
        <is>
          <t>YACYRETA</t>
        </is>
      </c>
      <c r="H231" s="6" t="inlineStr">
        <is>
          <t>TOTAL</t>
        </is>
      </c>
      <c r="I231" s="8" t="n">
        <v>630482</v>
      </c>
      <c r="J231" s="6" t="inlineStr">
        <is>
          <t>MWh</t>
        </is>
      </c>
      <c r="K231" s="8" t="n">
        <v>630482</v>
      </c>
      <c r="L231" s="6" t="inlineStr">
        <is>
          <t>MWh</t>
        </is>
      </c>
      <c r="M231" s="6" t="inlineStr">
        <is>
          <t>EBY</t>
        </is>
      </c>
      <c r="N231" s="6" t="inlineStr">
        <is>
          <t>OFFICIAL_PRIMARY</t>
        </is>
      </c>
      <c r="O231" s="9" t="inlineStr">
        <is>
          <t>OFFICIAL_AGGREGATE</t>
        </is>
      </c>
      <c r="P231" s="8" t="n">
        <v>1</v>
      </c>
      <c r="Q231" s="8" t="n">
        <v>50</v>
      </c>
      <c r="R231" s="7" t="inlineStr">
        <is>
          <t>https://www.eby.gov.py/wp-content/uploads/2019/12/YacyretaEnergiasMensualesDesdePuestaenMarcha.pdf</t>
        </is>
      </c>
      <c r="S231" s="6" t="inlineStr">
        <is>
          <t>EBY-MONTHLY-1994-2012</t>
        </is>
      </c>
      <c r="T231" s="6" t="inlineStr"/>
      <c r="U231" s="4" t="inlineStr">
        <is>
          <t>2026-09-10 23:00:00</t>
        </is>
      </c>
      <c r="V231" s="4" t="inlineStr">
        <is>
          <t>Energia mensual Yacyreta desde puesta en marcha.</t>
        </is>
      </c>
    </row>
    <row r="232">
      <c r="A232" s="6" t="inlineStr">
        <is>
          <t>R0000231</t>
        </is>
      </c>
      <c r="B232" s="6" t="inlineStr">
        <is>
          <t>1996-08-01</t>
        </is>
      </c>
      <c r="C232" s="6" t="inlineStr">
        <is>
          <t>1996-08-31</t>
        </is>
      </c>
      <c r="D232" s="6" t="inlineStr">
        <is>
          <t>month</t>
        </is>
      </c>
      <c r="E232" s="6" t="inlineStr">
        <is>
          <t>ENERGY_TO_ARGENTINA</t>
        </is>
      </c>
      <c r="F232" s="6" t="inlineStr">
        <is>
          <t>YACYRETA</t>
        </is>
      </c>
      <c r="G232" s="6" t="inlineStr">
        <is>
          <t>YACYRETA</t>
        </is>
      </c>
      <c r="H232" s="6" t="inlineStr">
        <is>
          <t>SADI</t>
        </is>
      </c>
      <c r="I232" s="8" t="n">
        <v>630198</v>
      </c>
      <c r="J232" s="6" t="inlineStr">
        <is>
          <t>MWh</t>
        </is>
      </c>
      <c r="K232" s="8" t="n">
        <v>630198</v>
      </c>
      <c r="L232" s="6" t="inlineStr">
        <is>
          <t>MWh</t>
        </is>
      </c>
      <c r="M232" s="6" t="inlineStr">
        <is>
          <t>EBY</t>
        </is>
      </c>
      <c r="N232" s="6" t="inlineStr">
        <is>
          <t>OFFICIAL_PRIMARY</t>
        </is>
      </c>
      <c r="O232" s="9" t="inlineStr">
        <is>
          <t>OFFICIAL_AGGREGATE</t>
        </is>
      </c>
      <c r="P232" s="8" t="n">
        <v>1</v>
      </c>
      <c r="Q232" s="8" t="n">
        <v>50</v>
      </c>
      <c r="R232" s="7" t="inlineStr">
        <is>
          <t>https://www.eby.gov.py/wp-content/uploads/2019/12/YacyretaEnergiasMensualesDesdePuestaenMarcha.pdf</t>
        </is>
      </c>
      <c r="S232" s="6" t="inlineStr">
        <is>
          <t>EBY-MONTHLY-1994-2012</t>
        </is>
      </c>
      <c r="T232" s="6" t="inlineStr"/>
      <c r="U232" s="4" t="inlineStr">
        <is>
          <t>2026-09-10 23:00:00</t>
        </is>
      </c>
      <c r="V232" s="4" t="inlineStr">
        <is>
          <t>Energia mensual entregada al SADI.</t>
        </is>
      </c>
    </row>
    <row r="233">
      <c r="A233" s="6" t="inlineStr">
        <is>
          <t>R0000232</t>
        </is>
      </c>
      <c r="B233" s="6" t="inlineStr">
        <is>
          <t>1996-08-01</t>
        </is>
      </c>
      <c r="C233" s="6" t="inlineStr">
        <is>
          <t>1996-08-31</t>
        </is>
      </c>
      <c r="D233" s="6" t="inlineStr">
        <is>
          <t>month</t>
        </is>
      </c>
      <c r="E233" s="6" t="inlineStr">
        <is>
          <t>ENERGY_TO_PY</t>
        </is>
      </c>
      <c r="F233" s="6" t="inlineStr">
        <is>
          <t>YACYRETA</t>
        </is>
      </c>
      <c r="G233" s="6" t="inlineStr">
        <is>
          <t>YACYRETA</t>
        </is>
      </c>
      <c r="H233" s="6" t="inlineStr">
        <is>
          <t>SINP</t>
        </is>
      </c>
      <c r="I233" s="8" t="n">
        <v>284</v>
      </c>
      <c r="J233" s="6" t="inlineStr">
        <is>
          <t>MWh</t>
        </is>
      </c>
      <c r="K233" s="8" t="n">
        <v>284</v>
      </c>
      <c r="L233" s="6" t="inlineStr">
        <is>
          <t>MWh</t>
        </is>
      </c>
      <c r="M233" s="6" t="inlineStr">
        <is>
          <t>EBY</t>
        </is>
      </c>
      <c r="N233" s="6" t="inlineStr">
        <is>
          <t>OFFICIAL_PRIMARY</t>
        </is>
      </c>
      <c r="O233" s="9" t="inlineStr">
        <is>
          <t>OFFICIAL_AGGREGATE</t>
        </is>
      </c>
      <c r="P233" s="8" t="n">
        <v>1</v>
      </c>
      <c r="Q233" s="8" t="n">
        <v>50</v>
      </c>
      <c r="R233" s="7" t="inlineStr">
        <is>
          <t>https://www.eby.gov.py/wp-content/uploads/2019/12/YacyretaEnergiasMensualesDesdePuestaenMarcha.pdf</t>
        </is>
      </c>
      <c r="S233" s="6" t="inlineStr">
        <is>
          <t>EBY-MONTHLY-1994-2012</t>
        </is>
      </c>
      <c r="T233" s="6" t="inlineStr"/>
      <c r="U233" s="4" t="inlineStr">
        <is>
          <t>2026-09-10 23:00:00</t>
        </is>
      </c>
      <c r="V233" s="4" t="inlineStr">
        <is>
          <t>Energia mensual entregada al SINP.</t>
        </is>
      </c>
    </row>
    <row r="234">
      <c r="A234" s="6" t="inlineStr">
        <is>
          <t>R0000233</t>
        </is>
      </c>
      <c r="B234" s="6" t="inlineStr">
        <is>
          <t>1996-09-01</t>
        </is>
      </c>
      <c r="C234" s="6" t="inlineStr">
        <is>
          <t>1996-09-30</t>
        </is>
      </c>
      <c r="D234" s="6" t="inlineStr">
        <is>
          <t>month</t>
        </is>
      </c>
      <c r="E234" s="6" t="inlineStr">
        <is>
          <t>YACYRETA_NET_ENERGY</t>
        </is>
      </c>
      <c r="F234" s="6" t="inlineStr">
        <is>
          <t>YACYRETA</t>
        </is>
      </c>
      <c r="G234" s="6" t="inlineStr">
        <is>
          <t>YACYRETA</t>
        </is>
      </c>
      <c r="H234" s="6" t="inlineStr">
        <is>
          <t>TOTAL</t>
        </is>
      </c>
      <c r="I234" s="8" t="n">
        <v>625808</v>
      </c>
      <c r="J234" s="6" t="inlineStr">
        <is>
          <t>MWh</t>
        </is>
      </c>
      <c r="K234" s="8" t="n">
        <v>625808</v>
      </c>
      <c r="L234" s="6" t="inlineStr">
        <is>
          <t>MWh</t>
        </is>
      </c>
      <c r="M234" s="6" t="inlineStr">
        <is>
          <t>EBY</t>
        </is>
      </c>
      <c r="N234" s="6" t="inlineStr">
        <is>
          <t>OFFICIAL_PRIMARY</t>
        </is>
      </c>
      <c r="O234" s="9" t="inlineStr">
        <is>
          <t>OFFICIAL_AGGREGATE</t>
        </is>
      </c>
      <c r="P234" s="8" t="n">
        <v>1</v>
      </c>
      <c r="Q234" s="8" t="n">
        <v>50</v>
      </c>
      <c r="R234" s="7" t="inlineStr">
        <is>
          <t>https://www.eby.gov.py/wp-content/uploads/2019/12/YacyretaEnergiasMensualesDesdePuestaenMarcha.pdf</t>
        </is>
      </c>
      <c r="S234" s="6" t="inlineStr">
        <is>
          <t>EBY-MONTHLY-1994-2012</t>
        </is>
      </c>
      <c r="T234" s="6" t="inlineStr"/>
      <c r="U234" s="4" t="inlineStr">
        <is>
          <t>2026-09-10 23:00:00</t>
        </is>
      </c>
      <c r="V234" s="4" t="inlineStr">
        <is>
          <t>Energia mensual Yacyreta desde puesta en marcha.</t>
        </is>
      </c>
    </row>
    <row r="235">
      <c r="A235" s="6" t="inlineStr">
        <is>
          <t>R0000234</t>
        </is>
      </c>
      <c r="B235" s="6" t="inlineStr">
        <is>
          <t>1996-09-01</t>
        </is>
      </c>
      <c r="C235" s="6" t="inlineStr">
        <is>
          <t>1996-09-30</t>
        </is>
      </c>
      <c r="D235" s="6" t="inlineStr">
        <is>
          <t>month</t>
        </is>
      </c>
      <c r="E235" s="6" t="inlineStr">
        <is>
          <t>ENERGY_TO_ARGENTINA</t>
        </is>
      </c>
      <c r="F235" s="6" t="inlineStr">
        <is>
          <t>YACYRETA</t>
        </is>
      </c>
      <c r="G235" s="6" t="inlineStr">
        <is>
          <t>YACYRETA</t>
        </is>
      </c>
      <c r="H235" s="6" t="inlineStr">
        <is>
          <t>SADI</t>
        </is>
      </c>
      <c r="I235" s="8" t="n">
        <v>625808</v>
      </c>
      <c r="J235" s="6" t="inlineStr">
        <is>
          <t>MWh</t>
        </is>
      </c>
      <c r="K235" s="8" t="n">
        <v>625808</v>
      </c>
      <c r="L235" s="6" t="inlineStr">
        <is>
          <t>MWh</t>
        </is>
      </c>
      <c r="M235" s="6" t="inlineStr">
        <is>
          <t>EBY</t>
        </is>
      </c>
      <c r="N235" s="6" t="inlineStr">
        <is>
          <t>OFFICIAL_PRIMARY</t>
        </is>
      </c>
      <c r="O235" s="9" t="inlineStr">
        <is>
          <t>OFFICIAL_AGGREGATE</t>
        </is>
      </c>
      <c r="P235" s="8" t="n">
        <v>1</v>
      </c>
      <c r="Q235" s="8" t="n">
        <v>50</v>
      </c>
      <c r="R235" s="7" t="inlineStr">
        <is>
          <t>https://www.eby.gov.py/wp-content/uploads/2019/12/YacyretaEnergiasMensualesDesdePuestaenMarcha.pdf</t>
        </is>
      </c>
      <c r="S235" s="6" t="inlineStr">
        <is>
          <t>EBY-MONTHLY-1994-2012</t>
        </is>
      </c>
      <c r="T235" s="6" t="inlineStr"/>
      <c r="U235" s="4" t="inlineStr">
        <is>
          <t>2026-09-10 23:00:00</t>
        </is>
      </c>
      <c r="V235" s="4" t="inlineStr">
        <is>
          <t>Energia mensual entregada al SADI.</t>
        </is>
      </c>
    </row>
    <row r="236">
      <c r="A236" s="6" t="inlineStr">
        <is>
          <t>R0000235</t>
        </is>
      </c>
      <c r="B236" s="6" t="inlineStr">
        <is>
          <t>1996-09-01</t>
        </is>
      </c>
      <c r="C236" s="6" t="inlineStr">
        <is>
          <t>1996-09-30</t>
        </is>
      </c>
      <c r="D236" s="6" t="inlineStr">
        <is>
          <t>month</t>
        </is>
      </c>
      <c r="E236" s="6" t="inlineStr">
        <is>
          <t>ENERGY_TO_PY</t>
        </is>
      </c>
      <c r="F236" s="6" t="inlineStr">
        <is>
          <t>YACYRETA</t>
        </is>
      </c>
      <c r="G236" s="6" t="inlineStr">
        <is>
          <t>YACYRETA</t>
        </is>
      </c>
      <c r="H236" s="6" t="inlineStr">
        <is>
          <t>SINP</t>
        </is>
      </c>
      <c r="I236" s="8" t="n">
        <v>0</v>
      </c>
      <c r="J236" s="6" t="inlineStr">
        <is>
          <t>MWh</t>
        </is>
      </c>
      <c r="K236" s="8" t="n">
        <v>0</v>
      </c>
      <c r="L236" s="6" t="inlineStr">
        <is>
          <t>MWh</t>
        </is>
      </c>
      <c r="M236" s="6" t="inlineStr">
        <is>
          <t>EBY</t>
        </is>
      </c>
      <c r="N236" s="6" t="inlineStr">
        <is>
          <t>OFFICIAL_PRIMARY</t>
        </is>
      </c>
      <c r="O236" s="9" t="inlineStr">
        <is>
          <t>OFFICIAL_AGGREGATE</t>
        </is>
      </c>
      <c r="P236" s="8" t="n">
        <v>1</v>
      </c>
      <c r="Q236" s="8" t="n">
        <v>50</v>
      </c>
      <c r="R236" s="7" t="inlineStr">
        <is>
          <t>https://www.eby.gov.py/wp-content/uploads/2019/12/YacyretaEnergiasMensualesDesdePuestaenMarcha.pdf</t>
        </is>
      </c>
      <c r="S236" s="6" t="inlineStr">
        <is>
          <t>EBY-MONTHLY-1994-2012</t>
        </is>
      </c>
      <c r="T236" s="6" t="inlineStr"/>
      <c r="U236" s="4" t="inlineStr">
        <is>
          <t>2026-09-10 23:00:00</t>
        </is>
      </c>
      <c r="V236" s="4" t="inlineStr">
        <is>
          <t>Energia mensual entregada al SINP.</t>
        </is>
      </c>
    </row>
    <row r="237">
      <c r="A237" s="6" t="inlineStr">
        <is>
          <t>R0000236</t>
        </is>
      </c>
      <c r="B237" s="6" t="inlineStr">
        <is>
          <t>1996-10-01</t>
        </is>
      </c>
      <c r="C237" s="6" t="inlineStr">
        <is>
          <t>1996-10-31</t>
        </is>
      </c>
      <c r="D237" s="6" t="inlineStr">
        <is>
          <t>month</t>
        </is>
      </c>
      <c r="E237" s="6" t="inlineStr">
        <is>
          <t>YACYRETA_NET_ENERGY</t>
        </is>
      </c>
      <c r="F237" s="6" t="inlineStr">
        <is>
          <t>YACYRETA</t>
        </is>
      </c>
      <c r="G237" s="6" t="inlineStr">
        <is>
          <t>YACYRETA</t>
        </is>
      </c>
      <c r="H237" s="6" t="inlineStr">
        <is>
          <t>TOTAL</t>
        </is>
      </c>
      <c r="I237" s="8" t="n">
        <v>634449</v>
      </c>
      <c r="J237" s="6" t="inlineStr">
        <is>
          <t>MWh</t>
        </is>
      </c>
      <c r="K237" s="8" t="n">
        <v>634449</v>
      </c>
      <c r="L237" s="6" t="inlineStr">
        <is>
          <t>MWh</t>
        </is>
      </c>
      <c r="M237" s="6" t="inlineStr">
        <is>
          <t>EBY</t>
        </is>
      </c>
      <c r="N237" s="6" t="inlineStr">
        <is>
          <t>OFFICIAL_PRIMARY</t>
        </is>
      </c>
      <c r="O237" s="9" t="inlineStr">
        <is>
          <t>OFFICIAL_AGGREGATE</t>
        </is>
      </c>
      <c r="P237" s="8" t="n">
        <v>1</v>
      </c>
      <c r="Q237" s="8" t="n">
        <v>50</v>
      </c>
      <c r="R237" s="7" t="inlineStr">
        <is>
          <t>https://www.eby.gov.py/wp-content/uploads/2019/12/YacyretaEnergiasMensualesDesdePuestaenMarcha.pdf</t>
        </is>
      </c>
      <c r="S237" s="6" t="inlineStr">
        <is>
          <t>EBY-MONTHLY-1994-2012</t>
        </is>
      </c>
      <c r="T237" s="6" t="inlineStr"/>
      <c r="U237" s="4" t="inlineStr">
        <is>
          <t>2026-09-10 23:00:00</t>
        </is>
      </c>
      <c r="V237" s="4" t="inlineStr">
        <is>
          <t>Energia mensual Yacyreta desde puesta en marcha.</t>
        </is>
      </c>
    </row>
    <row r="238">
      <c r="A238" s="6" t="inlineStr">
        <is>
          <t>R0000237</t>
        </is>
      </c>
      <c r="B238" s="6" t="inlineStr">
        <is>
          <t>1996-10-01</t>
        </is>
      </c>
      <c r="C238" s="6" t="inlineStr">
        <is>
          <t>1996-10-31</t>
        </is>
      </c>
      <c r="D238" s="6" t="inlineStr">
        <is>
          <t>month</t>
        </is>
      </c>
      <c r="E238" s="6" t="inlineStr">
        <is>
          <t>ENERGY_TO_ARGENTINA</t>
        </is>
      </c>
      <c r="F238" s="6" t="inlineStr">
        <is>
          <t>YACYRETA</t>
        </is>
      </c>
      <c r="G238" s="6" t="inlineStr">
        <is>
          <t>YACYRETA</t>
        </is>
      </c>
      <c r="H238" s="6" t="inlineStr">
        <is>
          <t>SADI</t>
        </is>
      </c>
      <c r="I238" s="8" t="n">
        <v>629717</v>
      </c>
      <c r="J238" s="6" t="inlineStr">
        <is>
          <t>MWh</t>
        </is>
      </c>
      <c r="K238" s="8" t="n">
        <v>629717</v>
      </c>
      <c r="L238" s="6" t="inlineStr">
        <is>
          <t>MWh</t>
        </is>
      </c>
      <c r="M238" s="6" t="inlineStr">
        <is>
          <t>EBY</t>
        </is>
      </c>
      <c r="N238" s="6" t="inlineStr">
        <is>
          <t>OFFICIAL_PRIMARY</t>
        </is>
      </c>
      <c r="O238" s="9" t="inlineStr">
        <is>
          <t>OFFICIAL_AGGREGATE</t>
        </is>
      </c>
      <c r="P238" s="8" t="n">
        <v>1</v>
      </c>
      <c r="Q238" s="8" t="n">
        <v>50</v>
      </c>
      <c r="R238" s="7" t="inlineStr">
        <is>
          <t>https://www.eby.gov.py/wp-content/uploads/2019/12/YacyretaEnergiasMensualesDesdePuestaenMarcha.pdf</t>
        </is>
      </c>
      <c r="S238" s="6" t="inlineStr">
        <is>
          <t>EBY-MONTHLY-1994-2012</t>
        </is>
      </c>
      <c r="T238" s="6" t="inlineStr"/>
      <c r="U238" s="4" t="inlineStr">
        <is>
          <t>2026-09-10 23:00:00</t>
        </is>
      </c>
      <c r="V238" s="4" t="inlineStr">
        <is>
          <t>Energia mensual entregada al SADI.</t>
        </is>
      </c>
    </row>
    <row r="239">
      <c r="A239" s="6" t="inlineStr">
        <is>
          <t>R0000238</t>
        </is>
      </c>
      <c r="B239" s="6" t="inlineStr">
        <is>
          <t>1996-10-01</t>
        </is>
      </c>
      <c r="C239" s="6" t="inlineStr">
        <is>
          <t>1996-10-31</t>
        </is>
      </c>
      <c r="D239" s="6" t="inlineStr">
        <is>
          <t>month</t>
        </is>
      </c>
      <c r="E239" s="6" t="inlineStr">
        <is>
          <t>ENERGY_TO_PY</t>
        </is>
      </c>
      <c r="F239" s="6" t="inlineStr">
        <is>
          <t>YACYRETA</t>
        </is>
      </c>
      <c r="G239" s="6" t="inlineStr">
        <is>
          <t>YACYRETA</t>
        </is>
      </c>
      <c r="H239" s="6" t="inlineStr">
        <is>
          <t>SINP</t>
        </is>
      </c>
      <c r="I239" s="8" t="n">
        <v>4732</v>
      </c>
      <c r="J239" s="6" t="inlineStr">
        <is>
          <t>MWh</t>
        </is>
      </c>
      <c r="K239" s="8" t="n">
        <v>4732</v>
      </c>
      <c r="L239" s="6" t="inlineStr">
        <is>
          <t>MWh</t>
        </is>
      </c>
      <c r="M239" s="6" t="inlineStr">
        <is>
          <t>EBY</t>
        </is>
      </c>
      <c r="N239" s="6" t="inlineStr">
        <is>
          <t>OFFICIAL_PRIMARY</t>
        </is>
      </c>
      <c r="O239" s="9" t="inlineStr">
        <is>
          <t>OFFICIAL_AGGREGATE</t>
        </is>
      </c>
      <c r="P239" s="8" t="n">
        <v>1</v>
      </c>
      <c r="Q239" s="8" t="n">
        <v>50</v>
      </c>
      <c r="R239" s="7" t="inlineStr">
        <is>
          <t>https://www.eby.gov.py/wp-content/uploads/2019/12/YacyretaEnergiasMensualesDesdePuestaenMarcha.pdf</t>
        </is>
      </c>
      <c r="S239" s="6" t="inlineStr">
        <is>
          <t>EBY-MONTHLY-1994-2012</t>
        </is>
      </c>
      <c r="T239" s="6" t="inlineStr"/>
      <c r="U239" s="4" t="inlineStr">
        <is>
          <t>2026-09-10 23:00:00</t>
        </is>
      </c>
      <c r="V239" s="4" t="inlineStr">
        <is>
          <t>Energia mensual entregada al SINP.</t>
        </is>
      </c>
    </row>
    <row r="240">
      <c r="A240" s="6" t="inlineStr">
        <is>
          <t>R0000239</t>
        </is>
      </c>
      <c r="B240" s="6" t="inlineStr">
        <is>
          <t>1996-11-01</t>
        </is>
      </c>
      <c r="C240" s="6" t="inlineStr">
        <is>
          <t>1996-11-30</t>
        </is>
      </c>
      <c r="D240" s="6" t="inlineStr">
        <is>
          <t>month</t>
        </is>
      </c>
      <c r="E240" s="6" t="inlineStr">
        <is>
          <t>YACYRETA_NET_ENERGY</t>
        </is>
      </c>
      <c r="F240" s="6" t="inlineStr">
        <is>
          <t>YACYRETA</t>
        </is>
      </c>
      <c r="G240" s="6" t="inlineStr">
        <is>
          <t>YACYRETA</t>
        </is>
      </c>
      <c r="H240" s="6" t="inlineStr">
        <is>
          <t>TOTAL</t>
        </is>
      </c>
      <c r="I240" s="8" t="n">
        <v>684778</v>
      </c>
      <c r="J240" s="6" t="inlineStr">
        <is>
          <t>MWh</t>
        </is>
      </c>
      <c r="K240" s="8" t="n">
        <v>684778</v>
      </c>
      <c r="L240" s="6" t="inlineStr">
        <is>
          <t>MWh</t>
        </is>
      </c>
      <c r="M240" s="6" t="inlineStr">
        <is>
          <t>EBY</t>
        </is>
      </c>
      <c r="N240" s="6" t="inlineStr">
        <is>
          <t>OFFICIAL_PRIMARY</t>
        </is>
      </c>
      <c r="O240" s="9" t="inlineStr">
        <is>
          <t>OFFICIAL_AGGREGATE</t>
        </is>
      </c>
      <c r="P240" s="8" t="n">
        <v>1</v>
      </c>
      <c r="Q240" s="8" t="n">
        <v>50</v>
      </c>
      <c r="R240" s="7" t="inlineStr">
        <is>
          <t>https://www.eby.gov.py/wp-content/uploads/2019/12/YacyretaEnergiasMensualesDesdePuestaenMarcha.pdf</t>
        </is>
      </c>
      <c r="S240" s="6" t="inlineStr">
        <is>
          <t>EBY-MONTHLY-1994-2012</t>
        </is>
      </c>
      <c r="T240" s="6" t="inlineStr"/>
      <c r="U240" s="4" t="inlineStr">
        <is>
          <t>2026-09-10 23:00:00</t>
        </is>
      </c>
      <c r="V240" s="4" t="inlineStr">
        <is>
          <t>Energia mensual Yacyreta desde puesta en marcha.</t>
        </is>
      </c>
    </row>
    <row r="241">
      <c r="A241" s="6" t="inlineStr">
        <is>
          <t>R0000240</t>
        </is>
      </c>
      <c r="B241" s="6" t="inlineStr">
        <is>
          <t>1996-11-01</t>
        </is>
      </c>
      <c r="C241" s="6" t="inlineStr">
        <is>
          <t>1996-11-30</t>
        </is>
      </c>
      <c r="D241" s="6" t="inlineStr">
        <is>
          <t>month</t>
        </is>
      </c>
      <c r="E241" s="6" t="inlineStr">
        <is>
          <t>ENERGY_TO_ARGENTINA</t>
        </is>
      </c>
      <c r="F241" s="6" t="inlineStr">
        <is>
          <t>YACYRETA</t>
        </is>
      </c>
      <c r="G241" s="6" t="inlineStr">
        <is>
          <t>YACYRETA</t>
        </is>
      </c>
      <c r="H241" s="6" t="inlineStr">
        <is>
          <t>SADI</t>
        </is>
      </c>
      <c r="I241" s="8" t="n">
        <v>683510</v>
      </c>
      <c r="J241" s="6" t="inlineStr">
        <is>
          <t>MWh</t>
        </is>
      </c>
      <c r="K241" s="8" t="n">
        <v>683510</v>
      </c>
      <c r="L241" s="6" t="inlineStr">
        <is>
          <t>MWh</t>
        </is>
      </c>
      <c r="M241" s="6" t="inlineStr">
        <is>
          <t>EBY</t>
        </is>
      </c>
      <c r="N241" s="6" t="inlineStr">
        <is>
          <t>OFFICIAL_PRIMARY</t>
        </is>
      </c>
      <c r="O241" s="9" t="inlineStr">
        <is>
          <t>OFFICIAL_AGGREGATE</t>
        </is>
      </c>
      <c r="P241" s="8" t="n">
        <v>1</v>
      </c>
      <c r="Q241" s="8" t="n">
        <v>50</v>
      </c>
      <c r="R241" s="7" t="inlineStr">
        <is>
          <t>https://www.eby.gov.py/wp-content/uploads/2019/12/YacyretaEnergiasMensualesDesdePuestaenMarcha.pdf</t>
        </is>
      </c>
      <c r="S241" s="6" t="inlineStr">
        <is>
          <t>EBY-MONTHLY-1994-2012</t>
        </is>
      </c>
      <c r="T241" s="6" t="inlineStr"/>
      <c r="U241" s="4" t="inlineStr">
        <is>
          <t>2026-09-10 23:00:00</t>
        </is>
      </c>
      <c r="V241" s="4" t="inlineStr">
        <is>
          <t>Energia mensual entregada al SADI.</t>
        </is>
      </c>
    </row>
    <row r="242">
      <c r="A242" s="6" t="inlineStr">
        <is>
          <t>R0000241</t>
        </is>
      </c>
      <c r="B242" s="6" t="inlineStr">
        <is>
          <t>1996-11-01</t>
        </is>
      </c>
      <c r="C242" s="6" t="inlineStr">
        <is>
          <t>1996-11-30</t>
        </is>
      </c>
      <c r="D242" s="6" t="inlineStr">
        <is>
          <t>month</t>
        </is>
      </c>
      <c r="E242" s="6" t="inlineStr">
        <is>
          <t>ENERGY_TO_PY</t>
        </is>
      </c>
      <c r="F242" s="6" t="inlineStr">
        <is>
          <t>YACYRETA</t>
        </is>
      </c>
      <c r="G242" s="6" t="inlineStr">
        <is>
          <t>YACYRETA</t>
        </is>
      </c>
      <c r="H242" s="6" t="inlineStr">
        <is>
          <t>SINP</t>
        </is>
      </c>
      <c r="I242" s="8" t="n">
        <v>1269</v>
      </c>
      <c r="J242" s="6" t="inlineStr">
        <is>
          <t>MWh</t>
        </is>
      </c>
      <c r="K242" s="8" t="n">
        <v>1269</v>
      </c>
      <c r="L242" s="6" t="inlineStr">
        <is>
          <t>MWh</t>
        </is>
      </c>
      <c r="M242" s="6" t="inlineStr">
        <is>
          <t>EBY</t>
        </is>
      </c>
      <c r="N242" s="6" t="inlineStr">
        <is>
          <t>OFFICIAL_PRIMARY</t>
        </is>
      </c>
      <c r="O242" s="9" t="inlineStr">
        <is>
          <t>OFFICIAL_AGGREGATE</t>
        </is>
      </c>
      <c r="P242" s="8" t="n">
        <v>1</v>
      </c>
      <c r="Q242" s="8" t="n">
        <v>50</v>
      </c>
      <c r="R242" s="7" t="inlineStr">
        <is>
          <t>https://www.eby.gov.py/wp-content/uploads/2019/12/YacyretaEnergiasMensualesDesdePuestaenMarcha.pdf</t>
        </is>
      </c>
      <c r="S242" s="6" t="inlineStr">
        <is>
          <t>EBY-MONTHLY-1994-2012</t>
        </is>
      </c>
      <c r="T242" s="6" t="inlineStr"/>
      <c r="U242" s="4" t="inlineStr">
        <is>
          <t>2026-09-10 23:00:00</t>
        </is>
      </c>
      <c r="V242" s="4" t="inlineStr">
        <is>
          <t>Energia mensual entregada al SINP.</t>
        </is>
      </c>
    </row>
    <row r="243">
      <c r="A243" s="6" t="inlineStr">
        <is>
          <t>R0000242</t>
        </is>
      </c>
      <c r="B243" s="6" t="inlineStr">
        <is>
          <t>1996-12-01</t>
        </is>
      </c>
      <c r="C243" s="6" t="inlineStr">
        <is>
          <t>1996-12-31</t>
        </is>
      </c>
      <c r="D243" s="6" t="inlineStr">
        <is>
          <t>month</t>
        </is>
      </c>
      <c r="E243" s="6" t="inlineStr">
        <is>
          <t>YACYRETA_NET_ENERGY</t>
        </is>
      </c>
      <c r="F243" s="6" t="inlineStr">
        <is>
          <t>YACYRETA</t>
        </is>
      </c>
      <c r="G243" s="6" t="inlineStr">
        <is>
          <t>YACYRETA</t>
        </is>
      </c>
      <c r="H243" s="6" t="inlineStr">
        <is>
          <t>TOTAL</t>
        </is>
      </c>
      <c r="I243" s="8" t="n">
        <v>719896</v>
      </c>
      <c r="J243" s="6" t="inlineStr">
        <is>
          <t>MWh</t>
        </is>
      </c>
      <c r="K243" s="8" t="n">
        <v>719896</v>
      </c>
      <c r="L243" s="6" t="inlineStr">
        <is>
          <t>MWh</t>
        </is>
      </c>
      <c r="M243" s="6" t="inlineStr">
        <is>
          <t>EBY</t>
        </is>
      </c>
      <c r="N243" s="6" t="inlineStr">
        <is>
          <t>OFFICIAL_PRIMARY</t>
        </is>
      </c>
      <c r="O243" s="9" t="inlineStr">
        <is>
          <t>OFFICIAL_AGGREGATE</t>
        </is>
      </c>
      <c r="P243" s="8" t="n">
        <v>1</v>
      </c>
      <c r="Q243" s="8" t="n">
        <v>50</v>
      </c>
      <c r="R243" s="7" t="inlineStr">
        <is>
          <t>https://www.eby.gov.py/wp-content/uploads/2019/12/YacyretaEnergiasMensualesDesdePuestaenMarcha.pdf</t>
        </is>
      </c>
      <c r="S243" s="6" t="inlineStr">
        <is>
          <t>EBY-MONTHLY-1994-2012</t>
        </is>
      </c>
      <c r="T243" s="6" t="inlineStr"/>
      <c r="U243" s="4" t="inlineStr">
        <is>
          <t>2026-09-10 23:00:00</t>
        </is>
      </c>
      <c r="V243" s="4" t="inlineStr">
        <is>
          <t>Energia mensual Yacyreta desde puesta en marcha.</t>
        </is>
      </c>
    </row>
    <row r="244">
      <c r="A244" s="6" t="inlineStr">
        <is>
          <t>R0000243</t>
        </is>
      </c>
      <c r="B244" s="6" t="inlineStr">
        <is>
          <t>1996-12-01</t>
        </is>
      </c>
      <c r="C244" s="6" t="inlineStr">
        <is>
          <t>1996-12-31</t>
        </is>
      </c>
      <c r="D244" s="6" t="inlineStr">
        <is>
          <t>month</t>
        </is>
      </c>
      <c r="E244" s="6" t="inlineStr">
        <is>
          <t>ENERGY_TO_ARGENTINA</t>
        </is>
      </c>
      <c r="F244" s="6" t="inlineStr">
        <is>
          <t>YACYRETA</t>
        </is>
      </c>
      <c r="G244" s="6" t="inlineStr">
        <is>
          <t>YACYRETA</t>
        </is>
      </c>
      <c r="H244" s="6" t="inlineStr">
        <is>
          <t>SADI</t>
        </is>
      </c>
      <c r="I244" s="8" t="n">
        <v>719896</v>
      </c>
      <c r="J244" s="6" t="inlineStr">
        <is>
          <t>MWh</t>
        </is>
      </c>
      <c r="K244" s="8" t="n">
        <v>719896</v>
      </c>
      <c r="L244" s="6" t="inlineStr">
        <is>
          <t>MWh</t>
        </is>
      </c>
      <c r="M244" s="6" t="inlineStr">
        <is>
          <t>EBY</t>
        </is>
      </c>
      <c r="N244" s="6" t="inlineStr">
        <is>
          <t>OFFICIAL_PRIMARY</t>
        </is>
      </c>
      <c r="O244" s="9" t="inlineStr">
        <is>
          <t>OFFICIAL_AGGREGATE</t>
        </is>
      </c>
      <c r="P244" s="8" t="n">
        <v>1</v>
      </c>
      <c r="Q244" s="8" t="n">
        <v>50</v>
      </c>
      <c r="R244" s="7" t="inlineStr">
        <is>
          <t>https://www.eby.gov.py/wp-content/uploads/2019/12/YacyretaEnergiasMensualesDesdePuestaenMarcha.pdf</t>
        </is>
      </c>
      <c r="S244" s="6" t="inlineStr">
        <is>
          <t>EBY-MONTHLY-1994-2012</t>
        </is>
      </c>
      <c r="T244" s="6" t="inlineStr"/>
      <c r="U244" s="4" t="inlineStr">
        <is>
          <t>2026-09-10 23:00:00</t>
        </is>
      </c>
      <c r="V244" s="4" t="inlineStr">
        <is>
          <t>Energia mensual entregada al SADI.</t>
        </is>
      </c>
    </row>
    <row r="245">
      <c r="A245" s="6" t="inlineStr">
        <is>
          <t>R0000244</t>
        </is>
      </c>
      <c r="B245" s="6" t="inlineStr">
        <is>
          <t>1996-12-01</t>
        </is>
      </c>
      <c r="C245" s="6" t="inlineStr">
        <is>
          <t>1996-12-31</t>
        </is>
      </c>
      <c r="D245" s="6" t="inlineStr">
        <is>
          <t>month</t>
        </is>
      </c>
      <c r="E245" s="6" t="inlineStr">
        <is>
          <t>ENERGY_TO_PY</t>
        </is>
      </c>
      <c r="F245" s="6" t="inlineStr">
        <is>
          <t>YACYRETA</t>
        </is>
      </c>
      <c r="G245" s="6" t="inlineStr">
        <is>
          <t>YACYRETA</t>
        </is>
      </c>
      <c r="H245" s="6" t="inlineStr">
        <is>
          <t>SINP</t>
        </is>
      </c>
      <c r="I245" s="8" t="n">
        <v>0</v>
      </c>
      <c r="J245" s="6" t="inlineStr">
        <is>
          <t>MWh</t>
        </is>
      </c>
      <c r="K245" s="8" t="n">
        <v>0</v>
      </c>
      <c r="L245" s="6" t="inlineStr">
        <is>
          <t>MWh</t>
        </is>
      </c>
      <c r="M245" s="6" t="inlineStr">
        <is>
          <t>EBY</t>
        </is>
      </c>
      <c r="N245" s="6" t="inlineStr">
        <is>
          <t>OFFICIAL_PRIMARY</t>
        </is>
      </c>
      <c r="O245" s="9" t="inlineStr">
        <is>
          <t>OFFICIAL_AGGREGATE</t>
        </is>
      </c>
      <c r="P245" s="8" t="n">
        <v>1</v>
      </c>
      <c r="Q245" s="8" t="n">
        <v>50</v>
      </c>
      <c r="R245" s="7" t="inlineStr">
        <is>
          <t>https://www.eby.gov.py/wp-content/uploads/2019/12/YacyretaEnergiasMensualesDesdePuestaenMarcha.pdf</t>
        </is>
      </c>
      <c r="S245" s="6" t="inlineStr">
        <is>
          <t>EBY-MONTHLY-1994-2012</t>
        </is>
      </c>
      <c r="T245" s="6" t="inlineStr"/>
      <c r="U245" s="4" t="inlineStr">
        <is>
          <t>2026-09-10 23:00:00</t>
        </is>
      </c>
      <c r="V245" s="4" t="inlineStr">
        <is>
          <t>Energia mensual entregada al SINP.</t>
        </is>
      </c>
    </row>
    <row r="246">
      <c r="A246" s="6" t="inlineStr">
        <is>
          <t>R0000245</t>
        </is>
      </c>
      <c r="B246" s="6" t="inlineStr">
        <is>
          <t>1997-01-01</t>
        </is>
      </c>
      <c r="C246" s="6" t="inlineStr">
        <is>
          <t>1997-01-31</t>
        </is>
      </c>
      <c r="D246" s="6" t="inlineStr">
        <is>
          <t>month</t>
        </is>
      </c>
      <c r="E246" s="6" t="inlineStr">
        <is>
          <t>YACYRETA_NET_ENERGY</t>
        </is>
      </c>
      <c r="F246" s="6" t="inlineStr">
        <is>
          <t>YACYRETA</t>
        </is>
      </c>
      <c r="G246" s="6" t="inlineStr">
        <is>
          <t>YACYRETA</t>
        </is>
      </c>
      <c r="H246" s="6" t="inlineStr">
        <is>
          <t>TOTAL</t>
        </is>
      </c>
      <c r="I246" s="8" t="n">
        <v>695640</v>
      </c>
      <c r="J246" s="6" t="inlineStr">
        <is>
          <t>MWh</t>
        </is>
      </c>
      <c r="K246" s="8" t="n">
        <v>695640</v>
      </c>
      <c r="L246" s="6" t="inlineStr">
        <is>
          <t>MWh</t>
        </is>
      </c>
      <c r="M246" s="6" t="inlineStr">
        <is>
          <t>EBY</t>
        </is>
      </c>
      <c r="N246" s="6" t="inlineStr">
        <is>
          <t>OFFICIAL_PRIMARY</t>
        </is>
      </c>
      <c r="O246" s="9" t="inlineStr">
        <is>
          <t>OFFICIAL_AGGREGATE</t>
        </is>
      </c>
      <c r="P246" s="8" t="n">
        <v>1</v>
      </c>
      <c r="Q246" s="8" t="n">
        <v>50</v>
      </c>
      <c r="R246" s="7" t="inlineStr">
        <is>
          <t>https://www.eby.gov.py/wp-content/uploads/2019/12/YacyretaEnergiasMensualesDesdePuestaenMarcha.pdf</t>
        </is>
      </c>
      <c r="S246" s="6" t="inlineStr">
        <is>
          <t>EBY-MONTHLY-1994-2012</t>
        </is>
      </c>
      <c r="T246" s="6" t="inlineStr"/>
      <c r="U246" s="4" t="inlineStr">
        <is>
          <t>2026-09-10 23:00:00</t>
        </is>
      </c>
      <c r="V246" s="4" t="inlineStr">
        <is>
          <t>Energia mensual Yacyreta desde puesta en marcha.</t>
        </is>
      </c>
    </row>
    <row r="247">
      <c r="A247" s="6" t="inlineStr">
        <is>
          <t>R0000246</t>
        </is>
      </c>
      <c r="B247" s="6" t="inlineStr">
        <is>
          <t>1997-01-01</t>
        </is>
      </c>
      <c r="C247" s="6" t="inlineStr">
        <is>
          <t>1997-01-31</t>
        </is>
      </c>
      <c r="D247" s="6" t="inlineStr">
        <is>
          <t>month</t>
        </is>
      </c>
      <c r="E247" s="6" t="inlineStr">
        <is>
          <t>ENERGY_TO_ARGENTINA</t>
        </is>
      </c>
      <c r="F247" s="6" t="inlineStr">
        <is>
          <t>YACYRETA</t>
        </is>
      </c>
      <c r="G247" s="6" t="inlineStr">
        <is>
          <t>YACYRETA</t>
        </is>
      </c>
      <c r="H247" s="6" t="inlineStr">
        <is>
          <t>SADI</t>
        </is>
      </c>
      <c r="I247" s="8" t="n">
        <v>660696</v>
      </c>
      <c r="J247" s="6" t="inlineStr">
        <is>
          <t>MWh</t>
        </is>
      </c>
      <c r="K247" s="8" t="n">
        <v>660696</v>
      </c>
      <c r="L247" s="6" t="inlineStr">
        <is>
          <t>MWh</t>
        </is>
      </c>
      <c r="M247" s="6" t="inlineStr">
        <is>
          <t>EBY</t>
        </is>
      </c>
      <c r="N247" s="6" t="inlineStr">
        <is>
          <t>OFFICIAL_PRIMARY</t>
        </is>
      </c>
      <c r="O247" s="9" t="inlineStr">
        <is>
          <t>OFFICIAL_AGGREGATE</t>
        </is>
      </c>
      <c r="P247" s="8" t="n">
        <v>1</v>
      </c>
      <c r="Q247" s="8" t="n">
        <v>50</v>
      </c>
      <c r="R247" s="7" t="inlineStr">
        <is>
          <t>https://www.eby.gov.py/wp-content/uploads/2019/12/YacyretaEnergiasMensualesDesdePuestaenMarcha.pdf</t>
        </is>
      </c>
      <c r="S247" s="6" t="inlineStr">
        <is>
          <t>EBY-MONTHLY-1994-2012</t>
        </is>
      </c>
      <c r="T247" s="6" t="inlineStr"/>
      <c r="U247" s="4" t="inlineStr">
        <is>
          <t>2026-09-10 23:00:00</t>
        </is>
      </c>
      <c r="V247" s="4" t="inlineStr">
        <is>
          <t>Energia mensual entregada al SADI.</t>
        </is>
      </c>
    </row>
    <row r="248">
      <c r="A248" s="6" t="inlineStr">
        <is>
          <t>R0000247</t>
        </is>
      </c>
      <c r="B248" s="6" t="inlineStr">
        <is>
          <t>1997-01-01</t>
        </is>
      </c>
      <c r="C248" s="6" t="inlineStr">
        <is>
          <t>1997-01-31</t>
        </is>
      </c>
      <c r="D248" s="6" t="inlineStr">
        <is>
          <t>month</t>
        </is>
      </c>
      <c r="E248" s="6" t="inlineStr">
        <is>
          <t>ENERGY_TO_PY</t>
        </is>
      </c>
      <c r="F248" s="6" t="inlineStr">
        <is>
          <t>YACYRETA</t>
        </is>
      </c>
      <c r="G248" s="6" t="inlineStr">
        <is>
          <t>YACYRETA</t>
        </is>
      </c>
      <c r="H248" s="6" t="inlineStr">
        <is>
          <t>SINP</t>
        </is>
      </c>
      <c r="I248" s="8" t="n">
        <v>34944</v>
      </c>
      <c r="J248" s="6" t="inlineStr">
        <is>
          <t>MWh</t>
        </is>
      </c>
      <c r="K248" s="8" t="n">
        <v>34944</v>
      </c>
      <c r="L248" s="6" t="inlineStr">
        <is>
          <t>MWh</t>
        </is>
      </c>
      <c r="M248" s="6" t="inlineStr">
        <is>
          <t>EBY</t>
        </is>
      </c>
      <c r="N248" s="6" t="inlineStr">
        <is>
          <t>OFFICIAL_PRIMARY</t>
        </is>
      </c>
      <c r="O248" s="9" t="inlineStr">
        <is>
          <t>OFFICIAL_AGGREGATE</t>
        </is>
      </c>
      <c r="P248" s="8" t="n">
        <v>1</v>
      </c>
      <c r="Q248" s="8" t="n">
        <v>50</v>
      </c>
      <c r="R248" s="7" t="inlineStr">
        <is>
          <t>https://www.eby.gov.py/wp-content/uploads/2019/12/YacyretaEnergiasMensualesDesdePuestaenMarcha.pdf</t>
        </is>
      </c>
      <c r="S248" s="6" t="inlineStr">
        <is>
          <t>EBY-MONTHLY-1994-2012</t>
        </is>
      </c>
      <c r="T248" s="6" t="inlineStr"/>
      <c r="U248" s="4" t="inlineStr">
        <is>
          <t>2026-09-10 23:00:00</t>
        </is>
      </c>
      <c r="V248" s="4" t="inlineStr">
        <is>
          <t>Energia mensual entregada al SINP.</t>
        </is>
      </c>
    </row>
    <row r="249">
      <c r="A249" s="6" t="inlineStr">
        <is>
          <t>R0000248</t>
        </is>
      </c>
      <c r="B249" s="6" t="inlineStr">
        <is>
          <t>1997-02-01</t>
        </is>
      </c>
      <c r="C249" s="6" t="inlineStr">
        <is>
          <t>1997-02-28</t>
        </is>
      </c>
      <c r="D249" s="6" t="inlineStr">
        <is>
          <t>month</t>
        </is>
      </c>
      <c r="E249" s="6" t="inlineStr">
        <is>
          <t>YACYRETA_NET_ENERGY</t>
        </is>
      </c>
      <c r="F249" s="6" t="inlineStr">
        <is>
          <t>YACYRETA</t>
        </is>
      </c>
      <c r="G249" s="6" t="inlineStr">
        <is>
          <t>YACYRETA</t>
        </is>
      </c>
      <c r="H249" s="6" t="inlineStr">
        <is>
          <t>TOTAL</t>
        </is>
      </c>
      <c r="I249" s="8" t="n">
        <v>478448</v>
      </c>
      <c r="J249" s="6" t="inlineStr">
        <is>
          <t>MWh</t>
        </is>
      </c>
      <c r="K249" s="8" t="n">
        <v>478448</v>
      </c>
      <c r="L249" s="6" t="inlineStr">
        <is>
          <t>MWh</t>
        </is>
      </c>
      <c r="M249" s="6" t="inlineStr">
        <is>
          <t>EBY</t>
        </is>
      </c>
      <c r="N249" s="6" t="inlineStr">
        <is>
          <t>OFFICIAL_PRIMARY</t>
        </is>
      </c>
      <c r="O249" s="9" t="inlineStr">
        <is>
          <t>OFFICIAL_AGGREGATE</t>
        </is>
      </c>
      <c r="P249" s="8" t="n">
        <v>1</v>
      </c>
      <c r="Q249" s="8" t="n">
        <v>50</v>
      </c>
      <c r="R249" s="7" t="inlineStr">
        <is>
          <t>https://www.eby.gov.py/wp-content/uploads/2019/12/YacyretaEnergiasMensualesDesdePuestaenMarcha.pdf</t>
        </is>
      </c>
      <c r="S249" s="6" t="inlineStr">
        <is>
          <t>EBY-MONTHLY-1994-2012</t>
        </is>
      </c>
      <c r="T249" s="6" t="inlineStr"/>
      <c r="U249" s="4" t="inlineStr">
        <is>
          <t>2026-09-10 23:00:00</t>
        </is>
      </c>
      <c r="V249" s="4" t="inlineStr">
        <is>
          <t>Energia mensual Yacyreta desde puesta en marcha.</t>
        </is>
      </c>
    </row>
    <row r="250">
      <c r="A250" s="6" t="inlineStr">
        <is>
          <t>R0000249</t>
        </is>
      </c>
      <c r="B250" s="6" t="inlineStr">
        <is>
          <t>1997-02-01</t>
        </is>
      </c>
      <c r="C250" s="6" t="inlineStr">
        <is>
          <t>1997-02-28</t>
        </is>
      </c>
      <c r="D250" s="6" t="inlineStr">
        <is>
          <t>month</t>
        </is>
      </c>
      <c r="E250" s="6" t="inlineStr">
        <is>
          <t>ENERGY_TO_ARGENTINA</t>
        </is>
      </c>
      <c r="F250" s="6" t="inlineStr">
        <is>
          <t>YACYRETA</t>
        </is>
      </c>
      <c r="G250" s="6" t="inlineStr">
        <is>
          <t>YACYRETA</t>
        </is>
      </c>
      <c r="H250" s="6" t="inlineStr">
        <is>
          <t>SADI</t>
        </is>
      </c>
      <c r="I250" s="8" t="n">
        <v>452618</v>
      </c>
      <c r="J250" s="6" t="inlineStr">
        <is>
          <t>MWh</t>
        </is>
      </c>
      <c r="K250" s="8" t="n">
        <v>452618</v>
      </c>
      <c r="L250" s="6" t="inlineStr">
        <is>
          <t>MWh</t>
        </is>
      </c>
      <c r="M250" s="6" t="inlineStr">
        <is>
          <t>EBY</t>
        </is>
      </c>
      <c r="N250" s="6" t="inlineStr">
        <is>
          <t>OFFICIAL_PRIMARY</t>
        </is>
      </c>
      <c r="O250" s="9" t="inlineStr">
        <is>
          <t>OFFICIAL_AGGREGATE</t>
        </is>
      </c>
      <c r="P250" s="8" t="n">
        <v>1</v>
      </c>
      <c r="Q250" s="8" t="n">
        <v>50</v>
      </c>
      <c r="R250" s="7" t="inlineStr">
        <is>
          <t>https://www.eby.gov.py/wp-content/uploads/2019/12/YacyretaEnergiasMensualesDesdePuestaenMarcha.pdf</t>
        </is>
      </c>
      <c r="S250" s="6" t="inlineStr">
        <is>
          <t>EBY-MONTHLY-1994-2012</t>
        </is>
      </c>
      <c r="T250" s="6" t="inlineStr"/>
      <c r="U250" s="4" t="inlineStr">
        <is>
          <t>2026-09-10 23:00:00</t>
        </is>
      </c>
      <c r="V250" s="4" t="inlineStr">
        <is>
          <t>Energia mensual entregada al SADI.</t>
        </is>
      </c>
    </row>
    <row r="251">
      <c r="A251" s="6" t="inlineStr">
        <is>
          <t>R0000250</t>
        </is>
      </c>
      <c r="B251" s="6" t="inlineStr">
        <is>
          <t>1997-02-01</t>
        </is>
      </c>
      <c r="C251" s="6" t="inlineStr">
        <is>
          <t>1997-02-28</t>
        </is>
      </c>
      <c r="D251" s="6" t="inlineStr">
        <is>
          <t>month</t>
        </is>
      </c>
      <c r="E251" s="6" t="inlineStr">
        <is>
          <t>ENERGY_TO_PY</t>
        </is>
      </c>
      <c r="F251" s="6" t="inlineStr">
        <is>
          <t>YACYRETA</t>
        </is>
      </c>
      <c r="G251" s="6" t="inlineStr">
        <is>
          <t>YACYRETA</t>
        </is>
      </c>
      <c r="H251" s="6" t="inlineStr">
        <is>
          <t>SINP</t>
        </is>
      </c>
      <c r="I251" s="8" t="n">
        <v>25830</v>
      </c>
      <c r="J251" s="6" t="inlineStr">
        <is>
          <t>MWh</t>
        </is>
      </c>
      <c r="K251" s="8" t="n">
        <v>25830</v>
      </c>
      <c r="L251" s="6" t="inlineStr">
        <is>
          <t>MWh</t>
        </is>
      </c>
      <c r="M251" s="6" t="inlineStr">
        <is>
          <t>EBY</t>
        </is>
      </c>
      <c r="N251" s="6" t="inlineStr">
        <is>
          <t>OFFICIAL_PRIMARY</t>
        </is>
      </c>
      <c r="O251" s="9" t="inlineStr">
        <is>
          <t>OFFICIAL_AGGREGATE</t>
        </is>
      </c>
      <c r="P251" s="8" t="n">
        <v>1</v>
      </c>
      <c r="Q251" s="8" t="n">
        <v>50</v>
      </c>
      <c r="R251" s="7" t="inlineStr">
        <is>
          <t>https://www.eby.gov.py/wp-content/uploads/2019/12/YacyretaEnergiasMensualesDesdePuestaenMarcha.pdf</t>
        </is>
      </c>
      <c r="S251" s="6" t="inlineStr">
        <is>
          <t>EBY-MONTHLY-1994-2012</t>
        </is>
      </c>
      <c r="T251" s="6" t="inlineStr"/>
      <c r="U251" s="4" t="inlineStr">
        <is>
          <t>2026-09-10 23:00:00</t>
        </is>
      </c>
      <c r="V251" s="4" t="inlineStr">
        <is>
          <t>Energia mensual entregada al SINP.</t>
        </is>
      </c>
    </row>
    <row r="252">
      <c r="A252" s="6" t="inlineStr">
        <is>
          <t>R0000251</t>
        </is>
      </c>
      <c r="B252" s="6" t="inlineStr">
        <is>
          <t>1997-03-01</t>
        </is>
      </c>
      <c r="C252" s="6" t="inlineStr">
        <is>
          <t>1997-03-31</t>
        </is>
      </c>
      <c r="D252" s="6" t="inlineStr">
        <is>
          <t>month</t>
        </is>
      </c>
      <c r="E252" s="6" t="inlineStr">
        <is>
          <t>YACYRETA_NET_ENERGY</t>
        </is>
      </c>
      <c r="F252" s="6" t="inlineStr">
        <is>
          <t>YACYRETA</t>
        </is>
      </c>
      <c r="G252" s="6" t="inlineStr">
        <is>
          <t>YACYRETA</t>
        </is>
      </c>
      <c r="H252" s="6" t="inlineStr">
        <is>
          <t>TOTAL</t>
        </is>
      </c>
      <c r="I252" s="8" t="n">
        <v>853970</v>
      </c>
      <c r="J252" s="6" t="inlineStr">
        <is>
          <t>MWh</t>
        </is>
      </c>
      <c r="K252" s="8" t="n">
        <v>853970</v>
      </c>
      <c r="L252" s="6" t="inlineStr">
        <is>
          <t>MWh</t>
        </is>
      </c>
      <c r="M252" s="6" t="inlineStr">
        <is>
          <t>EBY</t>
        </is>
      </c>
      <c r="N252" s="6" t="inlineStr">
        <is>
          <t>OFFICIAL_PRIMARY</t>
        </is>
      </c>
      <c r="O252" s="9" t="inlineStr">
        <is>
          <t>OFFICIAL_AGGREGATE</t>
        </is>
      </c>
      <c r="P252" s="8" t="n">
        <v>1</v>
      </c>
      <c r="Q252" s="8" t="n">
        <v>50</v>
      </c>
      <c r="R252" s="7" t="inlineStr">
        <is>
          <t>https://www.eby.gov.py/wp-content/uploads/2019/12/YacyretaEnergiasMensualesDesdePuestaenMarcha.pdf</t>
        </is>
      </c>
      <c r="S252" s="6" t="inlineStr">
        <is>
          <t>EBY-MONTHLY-1994-2012</t>
        </is>
      </c>
      <c r="T252" s="6" t="inlineStr"/>
      <c r="U252" s="4" t="inlineStr">
        <is>
          <t>2026-09-10 23:00:00</t>
        </is>
      </c>
      <c r="V252" s="4" t="inlineStr">
        <is>
          <t>Energia mensual Yacyreta desde puesta en marcha.</t>
        </is>
      </c>
    </row>
    <row r="253">
      <c r="A253" s="6" t="inlineStr">
        <is>
          <t>R0000252</t>
        </is>
      </c>
      <c r="B253" s="6" t="inlineStr">
        <is>
          <t>1997-03-01</t>
        </is>
      </c>
      <c r="C253" s="6" t="inlineStr">
        <is>
          <t>1997-03-31</t>
        </is>
      </c>
      <c r="D253" s="6" t="inlineStr">
        <is>
          <t>month</t>
        </is>
      </c>
      <c r="E253" s="6" t="inlineStr">
        <is>
          <t>ENERGY_TO_ARGENTINA</t>
        </is>
      </c>
      <c r="F253" s="6" t="inlineStr">
        <is>
          <t>YACYRETA</t>
        </is>
      </c>
      <c r="G253" s="6" t="inlineStr">
        <is>
          <t>YACYRETA</t>
        </is>
      </c>
      <c r="H253" s="6" t="inlineStr">
        <is>
          <t>SADI</t>
        </is>
      </c>
      <c r="I253" s="8" t="n">
        <v>834124</v>
      </c>
      <c r="J253" s="6" t="inlineStr">
        <is>
          <t>MWh</t>
        </is>
      </c>
      <c r="K253" s="8" t="n">
        <v>834124</v>
      </c>
      <c r="L253" s="6" t="inlineStr">
        <is>
          <t>MWh</t>
        </is>
      </c>
      <c r="M253" s="6" t="inlineStr">
        <is>
          <t>EBY</t>
        </is>
      </c>
      <c r="N253" s="6" t="inlineStr">
        <is>
          <t>OFFICIAL_PRIMARY</t>
        </is>
      </c>
      <c r="O253" s="9" t="inlineStr">
        <is>
          <t>OFFICIAL_AGGREGATE</t>
        </is>
      </c>
      <c r="P253" s="8" t="n">
        <v>1</v>
      </c>
      <c r="Q253" s="8" t="n">
        <v>50</v>
      </c>
      <c r="R253" s="7" t="inlineStr">
        <is>
          <t>https://www.eby.gov.py/wp-content/uploads/2019/12/YacyretaEnergiasMensualesDesdePuestaenMarcha.pdf</t>
        </is>
      </c>
      <c r="S253" s="6" t="inlineStr">
        <is>
          <t>EBY-MONTHLY-1994-2012</t>
        </is>
      </c>
      <c r="T253" s="6" t="inlineStr"/>
      <c r="U253" s="4" t="inlineStr">
        <is>
          <t>2026-09-10 23:00:00</t>
        </is>
      </c>
      <c r="V253" s="4" t="inlineStr">
        <is>
          <t>Energia mensual entregada al SADI.</t>
        </is>
      </c>
    </row>
    <row r="254">
      <c r="A254" s="6" t="inlineStr">
        <is>
          <t>R0000253</t>
        </is>
      </c>
      <c r="B254" s="6" t="inlineStr">
        <is>
          <t>1997-03-01</t>
        </is>
      </c>
      <c r="C254" s="6" t="inlineStr">
        <is>
          <t>1997-03-31</t>
        </is>
      </c>
      <c r="D254" s="6" t="inlineStr">
        <is>
          <t>month</t>
        </is>
      </c>
      <c r="E254" s="6" t="inlineStr">
        <is>
          <t>ENERGY_TO_PY</t>
        </is>
      </c>
      <c r="F254" s="6" t="inlineStr">
        <is>
          <t>YACYRETA</t>
        </is>
      </c>
      <c r="G254" s="6" t="inlineStr">
        <is>
          <t>YACYRETA</t>
        </is>
      </c>
      <c r="H254" s="6" t="inlineStr">
        <is>
          <t>SINP</t>
        </is>
      </c>
      <c r="I254" s="8" t="n">
        <v>19846</v>
      </c>
      <c r="J254" s="6" t="inlineStr">
        <is>
          <t>MWh</t>
        </is>
      </c>
      <c r="K254" s="8" t="n">
        <v>19846</v>
      </c>
      <c r="L254" s="6" t="inlineStr">
        <is>
          <t>MWh</t>
        </is>
      </c>
      <c r="M254" s="6" t="inlineStr">
        <is>
          <t>EBY</t>
        </is>
      </c>
      <c r="N254" s="6" t="inlineStr">
        <is>
          <t>OFFICIAL_PRIMARY</t>
        </is>
      </c>
      <c r="O254" s="9" t="inlineStr">
        <is>
          <t>OFFICIAL_AGGREGATE</t>
        </is>
      </c>
      <c r="P254" s="8" t="n">
        <v>1</v>
      </c>
      <c r="Q254" s="8" t="n">
        <v>50</v>
      </c>
      <c r="R254" s="7" t="inlineStr">
        <is>
          <t>https://www.eby.gov.py/wp-content/uploads/2019/12/YacyretaEnergiasMensualesDesdePuestaenMarcha.pdf</t>
        </is>
      </c>
      <c r="S254" s="6" t="inlineStr">
        <is>
          <t>EBY-MONTHLY-1994-2012</t>
        </is>
      </c>
      <c r="T254" s="6" t="inlineStr"/>
      <c r="U254" s="4" t="inlineStr">
        <is>
          <t>2026-09-10 23:00:00</t>
        </is>
      </c>
      <c r="V254" s="4" t="inlineStr">
        <is>
          <t>Energia mensual entregada al SINP.</t>
        </is>
      </c>
    </row>
    <row r="255">
      <c r="A255" s="6" t="inlineStr">
        <is>
          <t>R0000254</t>
        </is>
      </c>
      <c r="B255" s="6" t="inlineStr">
        <is>
          <t>1997-04-01</t>
        </is>
      </c>
      <c r="C255" s="6" t="inlineStr">
        <is>
          <t>1997-04-30</t>
        </is>
      </c>
      <c r="D255" s="6" t="inlineStr">
        <is>
          <t>month</t>
        </is>
      </c>
      <c r="E255" s="6" t="inlineStr">
        <is>
          <t>YACYRETA_NET_ENERGY</t>
        </is>
      </c>
      <c r="F255" s="6" t="inlineStr">
        <is>
          <t>YACYRETA</t>
        </is>
      </c>
      <c r="G255" s="6" t="inlineStr">
        <is>
          <t>YACYRETA</t>
        </is>
      </c>
      <c r="H255" s="6" t="inlineStr">
        <is>
          <t>TOTAL</t>
        </is>
      </c>
      <c r="I255" s="8" t="n">
        <v>849365</v>
      </c>
      <c r="J255" s="6" t="inlineStr">
        <is>
          <t>MWh</t>
        </is>
      </c>
      <c r="K255" s="8" t="n">
        <v>849365</v>
      </c>
      <c r="L255" s="6" t="inlineStr">
        <is>
          <t>MWh</t>
        </is>
      </c>
      <c r="M255" s="6" t="inlineStr">
        <is>
          <t>EBY</t>
        </is>
      </c>
      <c r="N255" s="6" t="inlineStr">
        <is>
          <t>OFFICIAL_PRIMARY</t>
        </is>
      </c>
      <c r="O255" s="9" t="inlineStr">
        <is>
          <t>OFFICIAL_AGGREGATE</t>
        </is>
      </c>
      <c r="P255" s="8" t="n">
        <v>1</v>
      </c>
      <c r="Q255" s="8" t="n">
        <v>50</v>
      </c>
      <c r="R255" s="7" t="inlineStr">
        <is>
          <t>https://www.eby.gov.py/wp-content/uploads/2019/12/YacyretaEnergiasMensualesDesdePuestaenMarcha.pdf</t>
        </is>
      </c>
      <c r="S255" s="6" t="inlineStr">
        <is>
          <t>EBY-MONTHLY-1994-2012</t>
        </is>
      </c>
      <c r="T255" s="6" t="inlineStr"/>
      <c r="U255" s="4" t="inlineStr">
        <is>
          <t>2026-09-10 23:00:00</t>
        </is>
      </c>
      <c r="V255" s="4" t="inlineStr">
        <is>
          <t>Energia mensual Yacyreta desde puesta en marcha.</t>
        </is>
      </c>
    </row>
    <row r="256">
      <c r="A256" s="6" t="inlineStr">
        <is>
          <t>R0000255</t>
        </is>
      </c>
      <c r="B256" s="6" t="inlineStr">
        <is>
          <t>1997-04-01</t>
        </is>
      </c>
      <c r="C256" s="6" t="inlineStr">
        <is>
          <t>1997-04-30</t>
        </is>
      </c>
      <c r="D256" s="6" t="inlineStr">
        <is>
          <t>month</t>
        </is>
      </c>
      <c r="E256" s="6" t="inlineStr">
        <is>
          <t>ENERGY_TO_ARGENTINA</t>
        </is>
      </c>
      <c r="F256" s="6" t="inlineStr">
        <is>
          <t>YACYRETA</t>
        </is>
      </c>
      <c r="G256" s="6" t="inlineStr">
        <is>
          <t>YACYRETA</t>
        </is>
      </c>
      <c r="H256" s="6" t="inlineStr">
        <is>
          <t>SADI</t>
        </is>
      </c>
      <c r="I256" s="8" t="n">
        <v>823118</v>
      </c>
      <c r="J256" s="6" t="inlineStr">
        <is>
          <t>MWh</t>
        </is>
      </c>
      <c r="K256" s="8" t="n">
        <v>823118</v>
      </c>
      <c r="L256" s="6" t="inlineStr">
        <is>
          <t>MWh</t>
        </is>
      </c>
      <c r="M256" s="6" t="inlineStr">
        <is>
          <t>EBY</t>
        </is>
      </c>
      <c r="N256" s="6" t="inlineStr">
        <is>
          <t>OFFICIAL_PRIMARY</t>
        </is>
      </c>
      <c r="O256" s="9" t="inlineStr">
        <is>
          <t>OFFICIAL_AGGREGATE</t>
        </is>
      </c>
      <c r="P256" s="8" t="n">
        <v>1</v>
      </c>
      <c r="Q256" s="8" t="n">
        <v>50</v>
      </c>
      <c r="R256" s="7" t="inlineStr">
        <is>
          <t>https://www.eby.gov.py/wp-content/uploads/2019/12/YacyretaEnergiasMensualesDesdePuestaenMarcha.pdf</t>
        </is>
      </c>
      <c r="S256" s="6" t="inlineStr">
        <is>
          <t>EBY-MONTHLY-1994-2012</t>
        </is>
      </c>
      <c r="T256" s="6" t="inlineStr"/>
      <c r="U256" s="4" t="inlineStr">
        <is>
          <t>2026-09-10 23:00:00</t>
        </is>
      </c>
      <c r="V256" s="4" t="inlineStr">
        <is>
          <t>Energia mensual entregada al SADI.</t>
        </is>
      </c>
    </row>
    <row r="257">
      <c r="A257" s="6" t="inlineStr">
        <is>
          <t>R0000256</t>
        </is>
      </c>
      <c r="B257" s="6" t="inlineStr">
        <is>
          <t>1997-04-01</t>
        </is>
      </c>
      <c r="C257" s="6" t="inlineStr">
        <is>
          <t>1997-04-30</t>
        </is>
      </c>
      <c r="D257" s="6" t="inlineStr">
        <is>
          <t>month</t>
        </is>
      </c>
      <c r="E257" s="6" t="inlineStr">
        <is>
          <t>ENERGY_TO_PY</t>
        </is>
      </c>
      <c r="F257" s="6" t="inlineStr">
        <is>
          <t>YACYRETA</t>
        </is>
      </c>
      <c r="G257" s="6" t="inlineStr">
        <is>
          <t>YACYRETA</t>
        </is>
      </c>
      <c r="H257" s="6" t="inlineStr">
        <is>
          <t>SINP</t>
        </is>
      </c>
      <c r="I257" s="8" t="n">
        <v>26247</v>
      </c>
      <c r="J257" s="6" t="inlineStr">
        <is>
          <t>MWh</t>
        </is>
      </c>
      <c r="K257" s="8" t="n">
        <v>26247</v>
      </c>
      <c r="L257" s="6" t="inlineStr">
        <is>
          <t>MWh</t>
        </is>
      </c>
      <c r="M257" s="6" t="inlineStr">
        <is>
          <t>EBY</t>
        </is>
      </c>
      <c r="N257" s="6" t="inlineStr">
        <is>
          <t>OFFICIAL_PRIMARY</t>
        </is>
      </c>
      <c r="O257" s="9" t="inlineStr">
        <is>
          <t>OFFICIAL_AGGREGATE</t>
        </is>
      </c>
      <c r="P257" s="8" t="n">
        <v>1</v>
      </c>
      <c r="Q257" s="8" t="n">
        <v>50</v>
      </c>
      <c r="R257" s="7" t="inlineStr">
        <is>
          <t>https://www.eby.gov.py/wp-content/uploads/2019/12/YacyretaEnergiasMensualesDesdePuestaenMarcha.pdf</t>
        </is>
      </c>
      <c r="S257" s="6" t="inlineStr">
        <is>
          <t>EBY-MONTHLY-1994-2012</t>
        </is>
      </c>
      <c r="T257" s="6" t="inlineStr"/>
      <c r="U257" s="4" t="inlineStr">
        <is>
          <t>2026-09-10 23:00:00</t>
        </is>
      </c>
      <c r="V257" s="4" t="inlineStr">
        <is>
          <t>Energia mensual entregada al SINP.</t>
        </is>
      </c>
    </row>
    <row r="258">
      <c r="A258" s="6" t="inlineStr">
        <is>
          <t>R0000257</t>
        </is>
      </c>
      <c r="B258" s="6" t="inlineStr">
        <is>
          <t>1997-05-01</t>
        </is>
      </c>
      <c r="C258" s="6" t="inlineStr">
        <is>
          <t>1997-05-31</t>
        </is>
      </c>
      <c r="D258" s="6" t="inlineStr">
        <is>
          <t>month</t>
        </is>
      </c>
      <c r="E258" s="6" t="inlineStr">
        <is>
          <t>YACYRETA_NET_ENERGY</t>
        </is>
      </c>
      <c r="F258" s="6" t="inlineStr">
        <is>
          <t>YACYRETA</t>
        </is>
      </c>
      <c r="G258" s="6" t="inlineStr">
        <is>
          <t>YACYRETA</t>
        </is>
      </c>
      <c r="H258" s="6" t="inlineStr">
        <is>
          <t>TOTAL</t>
        </is>
      </c>
      <c r="I258" s="8" t="n">
        <v>906280</v>
      </c>
      <c r="J258" s="6" t="inlineStr">
        <is>
          <t>MWh</t>
        </is>
      </c>
      <c r="K258" s="8" t="n">
        <v>906280</v>
      </c>
      <c r="L258" s="6" t="inlineStr">
        <is>
          <t>MWh</t>
        </is>
      </c>
      <c r="M258" s="6" t="inlineStr">
        <is>
          <t>EBY</t>
        </is>
      </c>
      <c r="N258" s="6" t="inlineStr">
        <is>
          <t>OFFICIAL_PRIMARY</t>
        </is>
      </c>
      <c r="O258" s="9" t="inlineStr">
        <is>
          <t>OFFICIAL_AGGREGATE</t>
        </is>
      </c>
      <c r="P258" s="8" t="n">
        <v>1</v>
      </c>
      <c r="Q258" s="8" t="n">
        <v>50</v>
      </c>
      <c r="R258" s="7" t="inlineStr">
        <is>
          <t>https://www.eby.gov.py/wp-content/uploads/2019/12/YacyretaEnergiasMensualesDesdePuestaenMarcha.pdf</t>
        </is>
      </c>
      <c r="S258" s="6" t="inlineStr">
        <is>
          <t>EBY-MONTHLY-1994-2012</t>
        </is>
      </c>
      <c r="T258" s="6" t="inlineStr"/>
      <c r="U258" s="4" t="inlineStr">
        <is>
          <t>2026-09-10 23:00:00</t>
        </is>
      </c>
      <c r="V258" s="4" t="inlineStr">
        <is>
          <t>Energia mensual Yacyreta desde puesta en marcha.</t>
        </is>
      </c>
    </row>
    <row r="259">
      <c r="A259" s="6" t="inlineStr">
        <is>
          <t>R0000258</t>
        </is>
      </c>
      <c r="B259" s="6" t="inlineStr">
        <is>
          <t>1997-05-01</t>
        </is>
      </c>
      <c r="C259" s="6" t="inlineStr">
        <is>
          <t>1997-05-31</t>
        </is>
      </c>
      <c r="D259" s="6" t="inlineStr">
        <is>
          <t>month</t>
        </is>
      </c>
      <c r="E259" s="6" t="inlineStr">
        <is>
          <t>ENERGY_TO_ARGENTINA</t>
        </is>
      </c>
      <c r="F259" s="6" t="inlineStr">
        <is>
          <t>YACYRETA</t>
        </is>
      </c>
      <c r="G259" s="6" t="inlineStr">
        <is>
          <t>YACYRETA</t>
        </is>
      </c>
      <c r="H259" s="6" t="inlineStr">
        <is>
          <t>SADI</t>
        </is>
      </c>
      <c r="I259" s="8" t="n">
        <v>889830</v>
      </c>
      <c r="J259" s="6" t="inlineStr">
        <is>
          <t>MWh</t>
        </is>
      </c>
      <c r="K259" s="8" t="n">
        <v>889830</v>
      </c>
      <c r="L259" s="6" t="inlineStr">
        <is>
          <t>MWh</t>
        </is>
      </c>
      <c r="M259" s="6" t="inlineStr">
        <is>
          <t>EBY</t>
        </is>
      </c>
      <c r="N259" s="6" t="inlineStr">
        <is>
          <t>OFFICIAL_PRIMARY</t>
        </is>
      </c>
      <c r="O259" s="9" t="inlineStr">
        <is>
          <t>OFFICIAL_AGGREGATE</t>
        </is>
      </c>
      <c r="P259" s="8" t="n">
        <v>1</v>
      </c>
      <c r="Q259" s="8" t="n">
        <v>50</v>
      </c>
      <c r="R259" s="7" t="inlineStr">
        <is>
          <t>https://www.eby.gov.py/wp-content/uploads/2019/12/YacyretaEnergiasMensualesDesdePuestaenMarcha.pdf</t>
        </is>
      </c>
      <c r="S259" s="6" t="inlineStr">
        <is>
          <t>EBY-MONTHLY-1994-2012</t>
        </is>
      </c>
      <c r="T259" s="6" t="inlineStr"/>
      <c r="U259" s="4" t="inlineStr">
        <is>
          <t>2026-09-10 23:00:00</t>
        </is>
      </c>
      <c r="V259" s="4" t="inlineStr">
        <is>
          <t>Energia mensual entregada al SADI.</t>
        </is>
      </c>
    </row>
    <row r="260">
      <c r="A260" s="6" t="inlineStr">
        <is>
          <t>R0000259</t>
        </is>
      </c>
      <c r="B260" s="6" t="inlineStr">
        <is>
          <t>1997-05-01</t>
        </is>
      </c>
      <c r="C260" s="6" t="inlineStr">
        <is>
          <t>1997-05-31</t>
        </is>
      </c>
      <c r="D260" s="6" t="inlineStr">
        <is>
          <t>month</t>
        </is>
      </c>
      <c r="E260" s="6" t="inlineStr">
        <is>
          <t>ENERGY_TO_PY</t>
        </is>
      </c>
      <c r="F260" s="6" t="inlineStr">
        <is>
          <t>YACYRETA</t>
        </is>
      </c>
      <c r="G260" s="6" t="inlineStr">
        <is>
          <t>YACYRETA</t>
        </is>
      </c>
      <c r="H260" s="6" t="inlineStr">
        <is>
          <t>SINP</t>
        </is>
      </c>
      <c r="I260" s="8" t="n">
        <v>16450</v>
      </c>
      <c r="J260" s="6" t="inlineStr">
        <is>
          <t>MWh</t>
        </is>
      </c>
      <c r="K260" s="8" t="n">
        <v>16450</v>
      </c>
      <c r="L260" s="6" t="inlineStr">
        <is>
          <t>MWh</t>
        </is>
      </c>
      <c r="M260" s="6" t="inlineStr">
        <is>
          <t>EBY</t>
        </is>
      </c>
      <c r="N260" s="6" t="inlineStr">
        <is>
          <t>OFFICIAL_PRIMARY</t>
        </is>
      </c>
      <c r="O260" s="9" t="inlineStr">
        <is>
          <t>OFFICIAL_AGGREGATE</t>
        </is>
      </c>
      <c r="P260" s="8" t="n">
        <v>1</v>
      </c>
      <c r="Q260" s="8" t="n">
        <v>50</v>
      </c>
      <c r="R260" s="7" t="inlineStr">
        <is>
          <t>https://www.eby.gov.py/wp-content/uploads/2019/12/YacyretaEnergiasMensualesDesdePuestaenMarcha.pdf</t>
        </is>
      </c>
      <c r="S260" s="6" t="inlineStr">
        <is>
          <t>EBY-MONTHLY-1994-2012</t>
        </is>
      </c>
      <c r="T260" s="6" t="inlineStr"/>
      <c r="U260" s="4" t="inlineStr">
        <is>
          <t>2026-09-10 23:00:00</t>
        </is>
      </c>
      <c r="V260" s="4" t="inlineStr">
        <is>
          <t>Energia mensual entregada al SINP.</t>
        </is>
      </c>
    </row>
    <row r="261">
      <c r="A261" s="6" t="inlineStr">
        <is>
          <t>R0000260</t>
        </is>
      </c>
      <c r="B261" s="6" t="inlineStr">
        <is>
          <t>1997-06-01</t>
        </is>
      </c>
      <c r="C261" s="6" t="inlineStr">
        <is>
          <t>1997-06-30</t>
        </is>
      </c>
      <c r="D261" s="6" t="inlineStr">
        <is>
          <t>month</t>
        </is>
      </c>
      <c r="E261" s="6" t="inlineStr">
        <is>
          <t>YACYRETA_NET_ENERGY</t>
        </is>
      </c>
      <c r="F261" s="6" t="inlineStr">
        <is>
          <t>YACYRETA</t>
        </is>
      </c>
      <c r="G261" s="6" t="inlineStr">
        <is>
          <t>YACYRETA</t>
        </is>
      </c>
      <c r="H261" s="6" t="inlineStr">
        <is>
          <t>TOTAL</t>
        </is>
      </c>
      <c r="I261" s="8" t="n">
        <v>924734</v>
      </c>
      <c r="J261" s="6" t="inlineStr">
        <is>
          <t>MWh</t>
        </is>
      </c>
      <c r="K261" s="8" t="n">
        <v>924734</v>
      </c>
      <c r="L261" s="6" t="inlineStr">
        <is>
          <t>MWh</t>
        </is>
      </c>
      <c r="M261" s="6" t="inlineStr">
        <is>
          <t>EBY</t>
        </is>
      </c>
      <c r="N261" s="6" t="inlineStr">
        <is>
          <t>OFFICIAL_PRIMARY</t>
        </is>
      </c>
      <c r="O261" s="9" t="inlineStr">
        <is>
          <t>OFFICIAL_AGGREGATE</t>
        </is>
      </c>
      <c r="P261" s="8" t="n">
        <v>1</v>
      </c>
      <c r="Q261" s="8" t="n">
        <v>50</v>
      </c>
      <c r="R261" s="7" t="inlineStr">
        <is>
          <t>https://www.eby.gov.py/wp-content/uploads/2019/12/YacyretaEnergiasMensualesDesdePuestaenMarcha.pdf</t>
        </is>
      </c>
      <c r="S261" s="6" t="inlineStr">
        <is>
          <t>EBY-MONTHLY-1994-2012</t>
        </is>
      </c>
      <c r="T261" s="6" t="inlineStr"/>
      <c r="U261" s="4" t="inlineStr">
        <is>
          <t>2026-09-10 23:00:00</t>
        </is>
      </c>
      <c r="V261" s="4" t="inlineStr">
        <is>
          <t>Energia mensual Yacyreta desde puesta en marcha.</t>
        </is>
      </c>
    </row>
    <row r="262">
      <c r="A262" s="6" t="inlineStr">
        <is>
          <t>R0000261</t>
        </is>
      </c>
      <c r="B262" s="6" t="inlineStr">
        <is>
          <t>1997-06-01</t>
        </is>
      </c>
      <c r="C262" s="6" t="inlineStr">
        <is>
          <t>1997-06-30</t>
        </is>
      </c>
      <c r="D262" s="6" t="inlineStr">
        <is>
          <t>month</t>
        </is>
      </c>
      <c r="E262" s="6" t="inlineStr">
        <is>
          <t>ENERGY_TO_ARGENTINA</t>
        </is>
      </c>
      <c r="F262" s="6" t="inlineStr">
        <is>
          <t>YACYRETA</t>
        </is>
      </c>
      <c r="G262" s="6" t="inlineStr">
        <is>
          <t>YACYRETA</t>
        </is>
      </c>
      <c r="H262" s="6" t="inlineStr">
        <is>
          <t>SADI</t>
        </is>
      </c>
      <c r="I262" s="8" t="n">
        <v>915508</v>
      </c>
      <c r="J262" s="6" t="inlineStr">
        <is>
          <t>MWh</t>
        </is>
      </c>
      <c r="K262" s="8" t="n">
        <v>915508</v>
      </c>
      <c r="L262" s="6" t="inlineStr">
        <is>
          <t>MWh</t>
        </is>
      </c>
      <c r="M262" s="6" t="inlineStr">
        <is>
          <t>EBY</t>
        </is>
      </c>
      <c r="N262" s="6" t="inlineStr">
        <is>
          <t>OFFICIAL_PRIMARY</t>
        </is>
      </c>
      <c r="O262" s="9" t="inlineStr">
        <is>
          <t>OFFICIAL_AGGREGATE</t>
        </is>
      </c>
      <c r="P262" s="8" t="n">
        <v>1</v>
      </c>
      <c r="Q262" s="8" t="n">
        <v>50</v>
      </c>
      <c r="R262" s="7" t="inlineStr">
        <is>
          <t>https://www.eby.gov.py/wp-content/uploads/2019/12/YacyretaEnergiasMensualesDesdePuestaenMarcha.pdf</t>
        </is>
      </c>
      <c r="S262" s="6" t="inlineStr">
        <is>
          <t>EBY-MONTHLY-1994-2012</t>
        </is>
      </c>
      <c r="T262" s="6" t="inlineStr"/>
      <c r="U262" s="4" t="inlineStr">
        <is>
          <t>2026-09-10 23:00:00</t>
        </is>
      </c>
      <c r="V262" s="4" t="inlineStr">
        <is>
          <t>Energia mensual entregada al SADI.</t>
        </is>
      </c>
    </row>
    <row r="263">
      <c r="A263" s="6" t="inlineStr">
        <is>
          <t>R0000262</t>
        </is>
      </c>
      <c r="B263" s="6" t="inlineStr">
        <is>
          <t>1997-06-01</t>
        </is>
      </c>
      <c r="C263" s="6" t="inlineStr">
        <is>
          <t>1997-06-30</t>
        </is>
      </c>
      <c r="D263" s="6" t="inlineStr">
        <is>
          <t>month</t>
        </is>
      </c>
      <c r="E263" s="6" t="inlineStr">
        <is>
          <t>ENERGY_TO_PY</t>
        </is>
      </c>
      <c r="F263" s="6" t="inlineStr">
        <is>
          <t>YACYRETA</t>
        </is>
      </c>
      <c r="G263" s="6" t="inlineStr">
        <is>
          <t>YACYRETA</t>
        </is>
      </c>
      <c r="H263" s="6" t="inlineStr">
        <is>
          <t>SINP</t>
        </is>
      </c>
      <c r="I263" s="8" t="n">
        <v>9226</v>
      </c>
      <c r="J263" s="6" t="inlineStr">
        <is>
          <t>MWh</t>
        </is>
      </c>
      <c r="K263" s="8" t="n">
        <v>9226</v>
      </c>
      <c r="L263" s="6" t="inlineStr">
        <is>
          <t>MWh</t>
        </is>
      </c>
      <c r="M263" s="6" t="inlineStr">
        <is>
          <t>EBY</t>
        </is>
      </c>
      <c r="N263" s="6" t="inlineStr">
        <is>
          <t>OFFICIAL_PRIMARY</t>
        </is>
      </c>
      <c r="O263" s="9" t="inlineStr">
        <is>
          <t>OFFICIAL_AGGREGATE</t>
        </is>
      </c>
      <c r="P263" s="8" t="n">
        <v>1</v>
      </c>
      <c r="Q263" s="8" t="n">
        <v>50</v>
      </c>
      <c r="R263" s="7" t="inlineStr">
        <is>
          <t>https://www.eby.gov.py/wp-content/uploads/2019/12/YacyretaEnergiasMensualesDesdePuestaenMarcha.pdf</t>
        </is>
      </c>
      <c r="S263" s="6" t="inlineStr">
        <is>
          <t>EBY-MONTHLY-1994-2012</t>
        </is>
      </c>
      <c r="T263" s="6" t="inlineStr"/>
      <c r="U263" s="4" t="inlineStr">
        <is>
          <t>2026-09-10 23:00:00</t>
        </is>
      </c>
      <c r="V263" s="4" t="inlineStr">
        <is>
          <t>Energia mensual entregada al SINP.</t>
        </is>
      </c>
    </row>
    <row r="264">
      <c r="A264" s="6" t="inlineStr">
        <is>
          <t>R0000263</t>
        </is>
      </c>
      <c r="B264" s="6" t="inlineStr">
        <is>
          <t>1997-07-01</t>
        </is>
      </c>
      <c r="C264" s="6" t="inlineStr">
        <is>
          <t>1997-07-31</t>
        </is>
      </c>
      <c r="D264" s="6" t="inlineStr">
        <is>
          <t>month</t>
        </is>
      </c>
      <c r="E264" s="6" t="inlineStr">
        <is>
          <t>YACYRETA_NET_ENERGY</t>
        </is>
      </c>
      <c r="F264" s="6" t="inlineStr">
        <is>
          <t>YACYRETA</t>
        </is>
      </c>
      <c r="G264" s="6" t="inlineStr">
        <is>
          <t>YACYRETA</t>
        </is>
      </c>
      <c r="H264" s="6" t="inlineStr">
        <is>
          <t>TOTAL</t>
        </is>
      </c>
      <c r="I264" s="8" t="n">
        <v>924942</v>
      </c>
      <c r="J264" s="6" t="inlineStr">
        <is>
          <t>MWh</t>
        </is>
      </c>
      <c r="K264" s="8" t="n">
        <v>924942</v>
      </c>
      <c r="L264" s="6" t="inlineStr">
        <is>
          <t>MWh</t>
        </is>
      </c>
      <c r="M264" s="6" t="inlineStr">
        <is>
          <t>EBY</t>
        </is>
      </c>
      <c r="N264" s="6" t="inlineStr">
        <is>
          <t>OFFICIAL_PRIMARY</t>
        </is>
      </c>
      <c r="O264" s="9" t="inlineStr">
        <is>
          <t>OFFICIAL_AGGREGATE</t>
        </is>
      </c>
      <c r="P264" s="8" t="n">
        <v>1</v>
      </c>
      <c r="Q264" s="8" t="n">
        <v>50</v>
      </c>
      <c r="R264" s="7" t="inlineStr">
        <is>
          <t>https://www.eby.gov.py/wp-content/uploads/2019/12/YacyretaEnergiasMensualesDesdePuestaenMarcha.pdf</t>
        </is>
      </c>
      <c r="S264" s="6" t="inlineStr">
        <is>
          <t>EBY-MONTHLY-1994-2012</t>
        </is>
      </c>
      <c r="T264" s="6" t="inlineStr"/>
      <c r="U264" s="4" t="inlineStr">
        <is>
          <t>2026-09-10 23:00:00</t>
        </is>
      </c>
      <c r="V264" s="4" t="inlineStr">
        <is>
          <t>Energia mensual Yacyreta desde puesta en marcha.</t>
        </is>
      </c>
    </row>
    <row r="265">
      <c r="A265" s="6" t="inlineStr">
        <is>
          <t>R0000264</t>
        </is>
      </c>
      <c r="B265" s="6" t="inlineStr">
        <is>
          <t>1997-07-01</t>
        </is>
      </c>
      <c r="C265" s="6" t="inlineStr">
        <is>
          <t>1997-07-31</t>
        </is>
      </c>
      <c r="D265" s="6" t="inlineStr">
        <is>
          <t>month</t>
        </is>
      </c>
      <c r="E265" s="6" t="inlineStr">
        <is>
          <t>ENERGY_TO_ARGENTINA</t>
        </is>
      </c>
      <c r="F265" s="6" t="inlineStr">
        <is>
          <t>YACYRETA</t>
        </is>
      </c>
      <c r="G265" s="6" t="inlineStr">
        <is>
          <t>YACYRETA</t>
        </is>
      </c>
      <c r="H265" s="6" t="inlineStr">
        <is>
          <t>SADI</t>
        </is>
      </c>
      <c r="I265" s="8" t="n">
        <v>914578</v>
      </c>
      <c r="J265" s="6" t="inlineStr">
        <is>
          <t>MWh</t>
        </is>
      </c>
      <c r="K265" s="8" t="n">
        <v>914578</v>
      </c>
      <c r="L265" s="6" t="inlineStr">
        <is>
          <t>MWh</t>
        </is>
      </c>
      <c r="M265" s="6" t="inlineStr">
        <is>
          <t>EBY</t>
        </is>
      </c>
      <c r="N265" s="6" t="inlineStr">
        <is>
          <t>OFFICIAL_PRIMARY</t>
        </is>
      </c>
      <c r="O265" s="9" t="inlineStr">
        <is>
          <t>OFFICIAL_AGGREGATE</t>
        </is>
      </c>
      <c r="P265" s="8" t="n">
        <v>1</v>
      </c>
      <c r="Q265" s="8" t="n">
        <v>50</v>
      </c>
      <c r="R265" s="7" t="inlineStr">
        <is>
          <t>https://www.eby.gov.py/wp-content/uploads/2019/12/YacyretaEnergiasMensualesDesdePuestaenMarcha.pdf</t>
        </is>
      </c>
      <c r="S265" s="6" t="inlineStr">
        <is>
          <t>EBY-MONTHLY-1994-2012</t>
        </is>
      </c>
      <c r="T265" s="6" t="inlineStr"/>
      <c r="U265" s="4" t="inlineStr">
        <is>
          <t>2026-09-10 23:00:00</t>
        </is>
      </c>
      <c r="V265" s="4" t="inlineStr">
        <is>
          <t>Energia mensual entregada al SADI.</t>
        </is>
      </c>
    </row>
    <row r="266">
      <c r="A266" s="6" t="inlineStr">
        <is>
          <t>R0000265</t>
        </is>
      </c>
      <c r="B266" s="6" t="inlineStr">
        <is>
          <t>1997-07-01</t>
        </is>
      </c>
      <c r="C266" s="6" t="inlineStr">
        <is>
          <t>1997-07-31</t>
        </is>
      </c>
      <c r="D266" s="6" t="inlineStr">
        <is>
          <t>month</t>
        </is>
      </c>
      <c r="E266" s="6" t="inlineStr">
        <is>
          <t>ENERGY_TO_PY</t>
        </is>
      </c>
      <c r="F266" s="6" t="inlineStr">
        <is>
          <t>YACYRETA</t>
        </is>
      </c>
      <c r="G266" s="6" t="inlineStr">
        <is>
          <t>YACYRETA</t>
        </is>
      </c>
      <c r="H266" s="6" t="inlineStr">
        <is>
          <t>SINP</t>
        </is>
      </c>
      <c r="I266" s="8" t="n">
        <v>10364</v>
      </c>
      <c r="J266" s="6" t="inlineStr">
        <is>
          <t>MWh</t>
        </is>
      </c>
      <c r="K266" s="8" t="n">
        <v>10364</v>
      </c>
      <c r="L266" s="6" t="inlineStr">
        <is>
          <t>MWh</t>
        </is>
      </c>
      <c r="M266" s="6" t="inlineStr">
        <is>
          <t>EBY</t>
        </is>
      </c>
      <c r="N266" s="6" t="inlineStr">
        <is>
          <t>OFFICIAL_PRIMARY</t>
        </is>
      </c>
      <c r="O266" s="9" t="inlineStr">
        <is>
          <t>OFFICIAL_AGGREGATE</t>
        </is>
      </c>
      <c r="P266" s="8" t="n">
        <v>1</v>
      </c>
      <c r="Q266" s="8" t="n">
        <v>50</v>
      </c>
      <c r="R266" s="7" t="inlineStr">
        <is>
          <t>https://www.eby.gov.py/wp-content/uploads/2019/12/YacyretaEnergiasMensualesDesdePuestaenMarcha.pdf</t>
        </is>
      </c>
      <c r="S266" s="6" t="inlineStr">
        <is>
          <t>EBY-MONTHLY-1994-2012</t>
        </is>
      </c>
      <c r="T266" s="6" t="inlineStr"/>
      <c r="U266" s="4" t="inlineStr">
        <is>
          <t>2026-09-10 23:00:00</t>
        </is>
      </c>
      <c r="V266" s="4" t="inlineStr">
        <is>
          <t>Energia mensual entregada al SINP.</t>
        </is>
      </c>
    </row>
    <row r="267">
      <c r="A267" s="6" t="inlineStr">
        <is>
          <t>R0000266</t>
        </is>
      </c>
      <c r="B267" s="6" t="inlineStr">
        <is>
          <t>1997-08-01</t>
        </is>
      </c>
      <c r="C267" s="6" t="inlineStr">
        <is>
          <t>1997-08-31</t>
        </is>
      </c>
      <c r="D267" s="6" t="inlineStr">
        <is>
          <t>month</t>
        </is>
      </c>
      <c r="E267" s="6" t="inlineStr">
        <is>
          <t>YACYRETA_NET_ENERGY</t>
        </is>
      </c>
      <c r="F267" s="6" t="inlineStr">
        <is>
          <t>YACYRETA</t>
        </is>
      </c>
      <c r="G267" s="6" t="inlineStr">
        <is>
          <t>YACYRETA</t>
        </is>
      </c>
      <c r="H267" s="6" t="inlineStr">
        <is>
          <t>TOTAL</t>
        </is>
      </c>
      <c r="I267" s="8" t="n">
        <v>922860</v>
      </c>
      <c r="J267" s="6" t="inlineStr">
        <is>
          <t>MWh</t>
        </is>
      </c>
      <c r="K267" s="8" t="n">
        <v>922860</v>
      </c>
      <c r="L267" s="6" t="inlineStr">
        <is>
          <t>MWh</t>
        </is>
      </c>
      <c r="M267" s="6" t="inlineStr">
        <is>
          <t>EBY</t>
        </is>
      </c>
      <c r="N267" s="6" t="inlineStr">
        <is>
          <t>OFFICIAL_PRIMARY</t>
        </is>
      </c>
      <c r="O267" s="9" t="inlineStr">
        <is>
          <t>OFFICIAL_AGGREGATE</t>
        </is>
      </c>
      <c r="P267" s="8" t="n">
        <v>1</v>
      </c>
      <c r="Q267" s="8" t="n">
        <v>50</v>
      </c>
      <c r="R267" s="7" t="inlineStr">
        <is>
          <t>https://www.eby.gov.py/wp-content/uploads/2019/12/YacyretaEnergiasMensualesDesdePuestaenMarcha.pdf</t>
        </is>
      </c>
      <c r="S267" s="6" t="inlineStr">
        <is>
          <t>EBY-MONTHLY-1994-2012</t>
        </is>
      </c>
      <c r="T267" s="6" t="inlineStr"/>
      <c r="U267" s="4" t="inlineStr">
        <is>
          <t>2026-09-10 23:00:00</t>
        </is>
      </c>
      <c r="V267" s="4" t="inlineStr">
        <is>
          <t>Energia mensual Yacyreta desde puesta en marcha.</t>
        </is>
      </c>
    </row>
    <row r="268">
      <c r="A268" s="6" t="inlineStr">
        <is>
          <t>R0000267</t>
        </is>
      </c>
      <c r="B268" s="6" t="inlineStr">
        <is>
          <t>1997-08-01</t>
        </is>
      </c>
      <c r="C268" s="6" t="inlineStr">
        <is>
          <t>1997-08-31</t>
        </is>
      </c>
      <c r="D268" s="6" t="inlineStr">
        <is>
          <t>month</t>
        </is>
      </c>
      <c r="E268" s="6" t="inlineStr">
        <is>
          <t>ENERGY_TO_ARGENTINA</t>
        </is>
      </c>
      <c r="F268" s="6" t="inlineStr">
        <is>
          <t>YACYRETA</t>
        </is>
      </c>
      <c r="G268" s="6" t="inlineStr">
        <is>
          <t>YACYRETA</t>
        </is>
      </c>
      <c r="H268" s="6" t="inlineStr">
        <is>
          <t>SADI</t>
        </is>
      </c>
      <c r="I268" s="8" t="n">
        <v>914902</v>
      </c>
      <c r="J268" s="6" t="inlineStr">
        <is>
          <t>MWh</t>
        </is>
      </c>
      <c r="K268" s="8" t="n">
        <v>914902</v>
      </c>
      <c r="L268" s="6" t="inlineStr">
        <is>
          <t>MWh</t>
        </is>
      </c>
      <c r="M268" s="6" t="inlineStr">
        <is>
          <t>EBY</t>
        </is>
      </c>
      <c r="N268" s="6" t="inlineStr">
        <is>
          <t>OFFICIAL_PRIMARY</t>
        </is>
      </c>
      <c r="O268" s="9" t="inlineStr">
        <is>
          <t>OFFICIAL_AGGREGATE</t>
        </is>
      </c>
      <c r="P268" s="8" t="n">
        <v>1</v>
      </c>
      <c r="Q268" s="8" t="n">
        <v>50</v>
      </c>
      <c r="R268" s="7" t="inlineStr">
        <is>
          <t>https://www.eby.gov.py/wp-content/uploads/2019/12/YacyretaEnergiasMensualesDesdePuestaenMarcha.pdf</t>
        </is>
      </c>
      <c r="S268" s="6" t="inlineStr">
        <is>
          <t>EBY-MONTHLY-1994-2012</t>
        </is>
      </c>
      <c r="T268" s="6" t="inlineStr"/>
      <c r="U268" s="4" t="inlineStr">
        <is>
          <t>2026-09-10 23:00:00</t>
        </is>
      </c>
      <c r="V268" s="4" t="inlineStr">
        <is>
          <t>Energia mensual entregada al SADI.</t>
        </is>
      </c>
    </row>
    <row r="269">
      <c r="A269" s="6" t="inlineStr">
        <is>
          <t>R0000268</t>
        </is>
      </c>
      <c r="B269" s="6" t="inlineStr">
        <is>
          <t>1997-08-01</t>
        </is>
      </c>
      <c r="C269" s="6" t="inlineStr">
        <is>
          <t>1997-08-31</t>
        </is>
      </c>
      <c r="D269" s="6" t="inlineStr">
        <is>
          <t>month</t>
        </is>
      </c>
      <c r="E269" s="6" t="inlineStr">
        <is>
          <t>ENERGY_TO_PY</t>
        </is>
      </c>
      <c r="F269" s="6" t="inlineStr">
        <is>
          <t>YACYRETA</t>
        </is>
      </c>
      <c r="G269" s="6" t="inlineStr">
        <is>
          <t>YACYRETA</t>
        </is>
      </c>
      <c r="H269" s="6" t="inlineStr">
        <is>
          <t>SINP</t>
        </is>
      </c>
      <c r="I269" s="8" t="n">
        <v>7958</v>
      </c>
      <c r="J269" s="6" t="inlineStr">
        <is>
          <t>MWh</t>
        </is>
      </c>
      <c r="K269" s="8" t="n">
        <v>7958</v>
      </c>
      <c r="L269" s="6" t="inlineStr">
        <is>
          <t>MWh</t>
        </is>
      </c>
      <c r="M269" s="6" t="inlineStr">
        <is>
          <t>EBY</t>
        </is>
      </c>
      <c r="N269" s="6" t="inlineStr">
        <is>
          <t>OFFICIAL_PRIMARY</t>
        </is>
      </c>
      <c r="O269" s="9" t="inlineStr">
        <is>
          <t>OFFICIAL_AGGREGATE</t>
        </is>
      </c>
      <c r="P269" s="8" t="n">
        <v>1</v>
      </c>
      <c r="Q269" s="8" t="n">
        <v>50</v>
      </c>
      <c r="R269" s="7" t="inlineStr">
        <is>
          <t>https://www.eby.gov.py/wp-content/uploads/2019/12/YacyretaEnergiasMensualesDesdePuestaenMarcha.pdf</t>
        </is>
      </c>
      <c r="S269" s="6" t="inlineStr">
        <is>
          <t>EBY-MONTHLY-1994-2012</t>
        </is>
      </c>
      <c r="T269" s="6" t="inlineStr"/>
      <c r="U269" s="4" t="inlineStr">
        <is>
          <t>2026-09-10 23:00:00</t>
        </is>
      </c>
      <c r="V269" s="4" t="inlineStr">
        <is>
          <t>Energia mensual entregada al SINP.</t>
        </is>
      </c>
    </row>
    <row r="270">
      <c r="A270" s="6" t="inlineStr">
        <is>
          <t>R0000269</t>
        </is>
      </c>
      <c r="B270" s="6" t="inlineStr">
        <is>
          <t>1997-09-01</t>
        </is>
      </c>
      <c r="C270" s="6" t="inlineStr">
        <is>
          <t>1997-09-30</t>
        </is>
      </c>
      <c r="D270" s="6" t="inlineStr">
        <is>
          <t>month</t>
        </is>
      </c>
      <c r="E270" s="6" t="inlineStr">
        <is>
          <t>YACYRETA_NET_ENERGY</t>
        </is>
      </c>
      <c r="F270" s="6" t="inlineStr">
        <is>
          <t>YACYRETA</t>
        </is>
      </c>
      <c r="G270" s="6" t="inlineStr">
        <is>
          <t>YACYRETA</t>
        </is>
      </c>
      <c r="H270" s="6" t="inlineStr">
        <is>
          <t>TOTAL</t>
        </is>
      </c>
      <c r="I270" s="8" t="n">
        <v>874894</v>
      </c>
      <c r="J270" s="6" t="inlineStr">
        <is>
          <t>MWh</t>
        </is>
      </c>
      <c r="K270" s="8" t="n">
        <v>874894</v>
      </c>
      <c r="L270" s="6" t="inlineStr">
        <is>
          <t>MWh</t>
        </is>
      </c>
      <c r="M270" s="6" t="inlineStr">
        <is>
          <t>EBY</t>
        </is>
      </c>
      <c r="N270" s="6" t="inlineStr">
        <is>
          <t>OFFICIAL_PRIMARY</t>
        </is>
      </c>
      <c r="O270" s="9" t="inlineStr">
        <is>
          <t>OFFICIAL_AGGREGATE</t>
        </is>
      </c>
      <c r="P270" s="8" t="n">
        <v>1</v>
      </c>
      <c r="Q270" s="8" t="n">
        <v>50</v>
      </c>
      <c r="R270" s="7" t="inlineStr">
        <is>
          <t>https://www.eby.gov.py/wp-content/uploads/2019/12/YacyretaEnergiasMensualesDesdePuestaenMarcha.pdf</t>
        </is>
      </c>
      <c r="S270" s="6" t="inlineStr">
        <is>
          <t>EBY-MONTHLY-1994-2012</t>
        </is>
      </c>
      <c r="T270" s="6" t="inlineStr"/>
      <c r="U270" s="4" t="inlineStr">
        <is>
          <t>2026-09-10 23:00:00</t>
        </is>
      </c>
      <c r="V270" s="4" t="inlineStr">
        <is>
          <t>Energia mensual Yacyreta desde puesta en marcha.</t>
        </is>
      </c>
    </row>
    <row r="271">
      <c r="A271" s="6" t="inlineStr">
        <is>
          <t>R0000270</t>
        </is>
      </c>
      <c r="B271" s="6" t="inlineStr">
        <is>
          <t>1997-09-01</t>
        </is>
      </c>
      <c r="C271" s="6" t="inlineStr">
        <is>
          <t>1997-09-30</t>
        </is>
      </c>
      <c r="D271" s="6" t="inlineStr">
        <is>
          <t>month</t>
        </is>
      </c>
      <c r="E271" s="6" t="inlineStr">
        <is>
          <t>ENERGY_TO_ARGENTINA</t>
        </is>
      </c>
      <c r="F271" s="6" t="inlineStr">
        <is>
          <t>YACYRETA</t>
        </is>
      </c>
      <c r="G271" s="6" t="inlineStr">
        <is>
          <t>YACYRETA</t>
        </is>
      </c>
      <c r="H271" s="6" t="inlineStr">
        <is>
          <t>SADI</t>
        </is>
      </c>
      <c r="I271" s="8" t="n">
        <v>866096</v>
      </c>
      <c r="J271" s="6" t="inlineStr">
        <is>
          <t>MWh</t>
        </is>
      </c>
      <c r="K271" s="8" t="n">
        <v>866096</v>
      </c>
      <c r="L271" s="6" t="inlineStr">
        <is>
          <t>MWh</t>
        </is>
      </c>
      <c r="M271" s="6" t="inlineStr">
        <is>
          <t>EBY</t>
        </is>
      </c>
      <c r="N271" s="6" t="inlineStr">
        <is>
          <t>OFFICIAL_PRIMARY</t>
        </is>
      </c>
      <c r="O271" s="9" t="inlineStr">
        <is>
          <t>OFFICIAL_AGGREGATE</t>
        </is>
      </c>
      <c r="P271" s="8" t="n">
        <v>1</v>
      </c>
      <c r="Q271" s="8" t="n">
        <v>50</v>
      </c>
      <c r="R271" s="7" t="inlineStr">
        <is>
          <t>https://www.eby.gov.py/wp-content/uploads/2019/12/YacyretaEnergiasMensualesDesdePuestaenMarcha.pdf</t>
        </is>
      </c>
      <c r="S271" s="6" t="inlineStr">
        <is>
          <t>EBY-MONTHLY-1994-2012</t>
        </is>
      </c>
      <c r="T271" s="6" t="inlineStr"/>
      <c r="U271" s="4" t="inlineStr">
        <is>
          <t>2026-09-10 23:00:00</t>
        </is>
      </c>
      <c r="V271" s="4" t="inlineStr">
        <is>
          <t>Energia mensual entregada al SADI.</t>
        </is>
      </c>
    </row>
    <row r="272">
      <c r="A272" s="6" t="inlineStr">
        <is>
          <t>R0000271</t>
        </is>
      </c>
      <c r="B272" s="6" t="inlineStr">
        <is>
          <t>1997-09-01</t>
        </is>
      </c>
      <c r="C272" s="6" t="inlineStr">
        <is>
          <t>1997-09-30</t>
        </is>
      </c>
      <c r="D272" s="6" t="inlineStr">
        <is>
          <t>month</t>
        </is>
      </c>
      <c r="E272" s="6" t="inlineStr">
        <is>
          <t>ENERGY_TO_PY</t>
        </is>
      </c>
      <c r="F272" s="6" t="inlineStr">
        <is>
          <t>YACYRETA</t>
        </is>
      </c>
      <c r="G272" s="6" t="inlineStr">
        <is>
          <t>YACYRETA</t>
        </is>
      </c>
      <c r="H272" s="6" t="inlineStr">
        <is>
          <t>SINP</t>
        </is>
      </c>
      <c r="I272" s="8" t="n">
        <v>8798</v>
      </c>
      <c r="J272" s="6" t="inlineStr">
        <is>
          <t>MWh</t>
        </is>
      </c>
      <c r="K272" s="8" t="n">
        <v>8798</v>
      </c>
      <c r="L272" s="6" t="inlineStr">
        <is>
          <t>MWh</t>
        </is>
      </c>
      <c r="M272" s="6" t="inlineStr">
        <is>
          <t>EBY</t>
        </is>
      </c>
      <c r="N272" s="6" t="inlineStr">
        <is>
          <t>OFFICIAL_PRIMARY</t>
        </is>
      </c>
      <c r="O272" s="9" t="inlineStr">
        <is>
          <t>OFFICIAL_AGGREGATE</t>
        </is>
      </c>
      <c r="P272" s="8" t="n">
        <v>1</v>
      </c>
      <c r="Q272" s="8" t="n">
        <v>50</v>
      </c>
      <c r="R272" s="7" t="inlineStr">
        <is>
          <t>https://www.eby.gov.py/wp-content/uploads/2019/12/YacyretaEnergiasMensualesDesdePuestaenMarcha.pdf</t>
        </is>
      </c>
      <c r="S272" s="6" t="inlineStr">
        <is>
          <t>EBY-MONTHLY-1994-2012</t>
        </is>
      </c>
      <c r="T272" s="6" t="inlineStr"/>
      <c r="U272" s="4" t="inlineStr">
        <is>
          <t>2026-09-10 23:00:00</t>
        </is>
      </c>
      <c r="V272" s="4" t="inlineStr">
        <is>
          <t>Energia mensual entregada al SINP.</t>
        </is>
      </c>
    </row>
    <row r="273">
      <c r="A273" s="6" t="inlineStr">
        <is>
          <t>R0000272</t>
        </is>
      </c>
      <c r="B273" s="6" t="inlineStr">
        <is>
          <t>1997-10-01</t>
        </is>
      </c>
      <c r="C273" s="6" t="inlineStr">
        <is>
          <t>1997-10-31</t>
        </is>
      </c>
      <c r="D273" s="6" t="inlineStr">
        <is>
          <t>month</t>
        </is>
      </c>
      <c r="E273" s="6" t="inlineStr">
        <is>
          <t>YACYRETA_NET_ENERGY</t>
        </is>
      </c>
      <c r="F273" s="6" t="inlineStr">
        <is>
          <t>YACYRETA</t>
        </is>
      </c>
      <c r="G273" s="6" t="inlineStr">
        <is>
          <t>YACYRETA</t>
        </is>
      </c>
      <c r="H273" s="6" t="inlineStr">
        <is>
          <t>TOTAL</t>
        </is>
      </c>
      <c r="I273" s="8" t="n">
        <v>863159</v>
      </c>
      <c r="J273" s="6" t="inlineStr">
        <is>
          <t>MWh</t>
        </is>
      </c>
      <c r="K273" s="8" t="n">
        <v>863159</v>
      </c>
      <c r="L273" s="6" t="inlineStr">
        <is>
          <t>MWh</t>
        </is>
      </c>
      <c r="M273" s="6" t="inlineStr">
        <is>
          <t>EBY</t>
        </is>
      </c>
      <c r="N273" s="6" t="inlineStr">
        <is>
          <t>OFFICIAL_PRIMARY</t>
        </is>
      </c>
      <c r="O273" s="9" t="inlineStr">
        <is>
          <t>OFFICIAL_AGGREGATE</t>
        </is>
      </c>
      <c r="P273" s="8" t="n">
        <v>1</v>
      </c>
      <c r="Q273" s="8" t="n">
        <v>50</v>
      </c>
      <c r="R273" s="7" t="inlineStr">
        <is>
          <t>https://www.eby.gov.py/wp-content/uploads/2019/12/YacyretaEnergiasMensualesDesdePuestaenMarcha.pdf</t>
        </is>
      </c>
      <c r="S273" s="6" t="inlineStr">
        <is>
          <t>EBY-MONTHLY-1994-2012</t>
        </is>
      </c>
      <c r="T273" s="6" t="inlineStr"/>
      <c r="U273" s="4" t="inlineStr">
        <is>
          <t>2026-09-10 23:00:00</t>
        </is>
      </c>
      <c r="V273" s="4" t="inlineStr">
        <is>
          <t>Energia mensual Yacyreta desde puesta en marcha.</t>
        </is>
      </c>
    </row>
    <row r="274">
      <c r="A274" s="6" t="inlineStr">
        <is>
          <t>R0000273</t>
        </is>
      </c>
      <c r="B274" s="6" t="inlineStr">
        <is>
          <t>1997-10-01</t>
        </is>
      </c>
      <c r="C274" s="6" t="inlineStr">
        <is>
          <t>1997-10-31</t>
        </is>
      </c>
      <c r="D274" s="6" t="inlineStr">
        <is>
          <t>month</t>
        </is>
      </c>
      <c r="E274" s="6" t="inlineStr">
        <is>
          <t>ENERGY_TO_ARGENTINA</t>
        </is>
      </c>
      <c r="F274" s="6" t="inlineStr">
        <is>
          <t>YACYRETA</t>
        </is>
      </c>
      <c r="G274" s="6" t="inlineStr">
        <is>
          <t>YACYRETA</t>
        </is>
      </c>
      <c r="H274" s="6" t="inlineStr">
        <is>
          <t>SADI</t>
        </is>
      </c>
      <c r="I274" s="8" t="n">
        <v>857272</v>
      </c>
      <c r="J274" s="6" t="inlineStr">
        <is>
          <t>MWh</t>
        </is>
      </c>
      <c r="K274" s="8" t="n">
        <v>857272</v>
      </c>
      <c r="L274" s="6" t="inlineStr">
        <is>
          <t>MWh</t>
        </is>
      </c>
      <c r="M274" s="6" t="inlineStr">
        <is>
          <t>EBY</t>
        </is>
      </c>
      <c r="N274" s="6" t="inlineStr">
        <is>
          <t>OFFICIAL_PRIMARY</t>
        </is>
      </c>
      <c r="O274" s="9" t="inlineStr">
        <is>
          <t>OFFICIAL_AGGREGATE</t>
        </is>
      </c>
      <c r="P274" s="8" t="n">
        <v>1</v>
      </c>
      <c r="Q274" s="8" t="n">
        <v>50</v>
      </c>
      <c r="R274" s="7" t="inlineStr">
        <is>
          <t>https://www.eby.gov.py/wp-content/uploads/2019/12/YacyretaEnergiasMensualesDesdePuestaenMarcha.pdf</t>
        </is>
      </c>
      <c r="S274" s="6" t="inlineStr">
        <is>
          <t>EBY-MONTHLY-1994-2012</t>
        </is>
      </c>
      <c r="T274" s="6" t="inlineStr"/>
      <c r="U274" s="4" t="inlineStr">
        <is>
          <t>2026-09-10 23:00:00</t>
        </is>
      </c>
      <c r="V274" s="4" t="inlineStr">
        <is>
          <t>Energia mensual entregada al SADI.</t>
        </is>
      </c>
    </row>
    <row r="275">
      <c r="A275" s="6" t="inlineStr">
        <is>
          <t>R0000274</t>
        </is>
      </c>
      <c r="B275" s="6" t="inlineStr">
        <is>
          <t>1997-10-01</t>
        </is>
      </c>
      <c r="C275" s="6" t="inlineStr">
        <is>
          <t>1997-10-31</t>
        </is>
      </c>
      <c r="D275" s="6" t="inlineStr">
        <is>
          <t>month</t>
        </is>
      </c>
      <c r="E275" s="6" t="inlineStr">
        <is>
          <t>ENERGY_TO_PY</t>
        </is>
      </c>
      <c r="F275" s="6" t="inlineStr">
        <is>
          <t>YACYRETA</t>
        </is>
      </c>
      <c r="G275" s="6" t="inlineStr">
        <is>
          <t>YACYRETA</t>
        </is>
      </c>
      <c r="H275" s="6" t="inlineStr">
        <is>
          <t>SINP</t>
        </is>
      </c>
      <c r="I275" s="8" t="n">
        <v>5887</v>
      </c>
      <c r="J275" s="6" t="inlineStr">
        <is>
          <t>MWh</t>
        </is>
      </c>
      <c r="K275" s="8" t="n">
        <v>5887</v>
      </c>
      <c r="L275" s="6" t="inlineStr">
        <is>
          <t>MWh</t>
        </is>
      </c>
      <c r="M275" s="6" t="inlineStr">
        <is>
          <t>EBY</t>
        </is>
      </c>
      <c r="N275" s="6" t="inlineStr">
        <is>
          <t>OFFICIAL_PRIMARY</t>
        </is>
      </c>
      <c r="O275" s="9" t="inlineStr">
        <is>
          <t>OFFICIAL_AGGREGATE</t>
        </is>
      </c>
      <c r="P275" s="8" t="n">
        <v>1</v>
      </c>
      <c r="Q275" s="8" t="n">
        <v>50</v>
      </c>
      <c r="R275" s="7" t="inlineStr">
        <is>
          <t>https://www.eby.gov.py/wp-content/uploads/2019/12/YacyretaEnergiasMensualesDesdePuestaenMarcha.pdf</t>
        </is>
      </c>
      <c r="S275" s="6" t="inlineStr">
        <is>
          <t>EBY-MONTHLY-1994-2012</t>
        </is>
      </c>
      <c r="T275" s="6" t="inlineStr"/>
      <c r="U275" s="4" t="inlineStr">
        <is>
          <t>2026-09-10 23:00:00</t>
        </is>
      </c>
      <c r="V275" s="4" t="inlineStr">
        <is>
          <t>Energia mensual entregada al SINP.</t>
        </is>
      </c>
    </row>
    <row r="276">
      <c r="A276" s="6" t="inlineStr">
        <is>
          <t>R0000275</t>
        </is>
      </c>
      <c r="B276" s="6" t="inlineStr">
        <is>
          <t>1997-11-01</t>
        </is>
      </c>
      <c r="C276" s="6" t="inlineStr">
        <is>
          <t>1997-11-30</t>
        </is>
      </c>
      <c r="D276" s="6" t="inlineStr">
        <is>
          <t>month</t>
        </is>
      </c>
      <c r="E276" s="6" t="inlineStr">
        <is>
          <t>YACYRETA_NET_ENERGY</t>
        </is>
      </c>
      <c r="F276" s="6" t="inlineStr">
        <is>
          <t>YACYRETA</t>
        </is>
      </c>
      <c r="G276" s="6" t="inlineStr">
        <is>
          <t>YACYRETA</t>
        </is>
      </c>
      <c r="H276" s="6" t="inlineStr">
        <is>
          <t>TOTAL</t>
        </is>
      </c>
      <c r="I276" s="8" t="n">
        <v>892706</v>
      </c>
      <c r="J276" s="6" t="inlineStr">
        <is>
          <t>MWh</t>
        </is>
      </c>
      <c r="K276" s="8" t="n">
        <v>892706</v>
      </c>
      <c r="L276" s="6" t="inlineStr">
        <is>
          <t>MWh</t>
        </is>
      </c>
      <c r="M276" s="6" t="inlineStr">
        <is>
          <t>EBY</t>
        </is>
      </c>
      <c r="N276" s="6" t="inlineStr">
        <is>
          <t>OFFICIAL_PRIMARY</t>
        </is>
      </c>
      <c r="O276" s="9" t="inlineStr">
        <is>
          <t>OFFICIAL_AGGREGATE</t>
        </is>
      </c>
      <c r="P276" s="8" t="n">
        <v>1</v>
      </c>
      <c r="Q276" s="8" t="n">
        <v>50</v>
      </c>
      <c r="R276" s="7" t="inlineStr">
        <is>
          <t>https://www.eby.gov.py/wp-content/uploads/2019/12/YacyretaEnergiasMensualesDesdePuestaenMarcha.pdf</t>
        </is>
      </c>
      <c r="S276" s="6" t="inlineStr">
        <is>
          <t>EBY-MONTHLY-1994-2012</t>
        </is>
      </c>
      <c r="T276" s="6" t="inlineStr"/>
      <c r="U276" s="4" t="inlineStr">
        <is>
          <t>2026-09-10 23:00:00</t>
        </is>
      </c>
      <c r="V276" s="4" t="inlineStr">
        <is>
          <t>Energia mensual Yacyreta desde puesta en marcha.</t>
        </is>
      </c>
    </row>
    <row r="277">
      <c r="A277" s="6" t="inlineStr">
        <is>
          <t>R0000276</t>
        </is>
      </c>
      <c r="B277" s="6" t="inlineStr">
        <is>
          <t>1997-11-01</t>
        </is>
      </c>
      <c r="C277" s="6" t="inlineStr">
        <is>
          <t>1997-11-30</t>
        </is>
      </c>
      <c r="D277" s="6" t="inlineStr">
        <is>
          <t>month</t>
        </is>
      </c>
      <c r="E277" s="6" t="inlineStr">
        <is>
          <t>ENERGY_TO_ARGENTINA</t>
        </is>
      </c>
      <c r="F277" s="6" t="inlineStr">
        <is>
          <t>YACYRETA</t>
        </is>
      </c>
      <c r="G277" s="6" t="inlineStr">
        <is>
          <t>YACYRETA</t>
        </is>
      </c>
      <c r="H277" s="6" t="inlineStr">
        <is>
          <t>SADI</t>
        </is>
      </c>
      <c r="I277" s="8" t="n">
        <v>880936</v>
      </c>
      <c r="J277" s="6" t="inlineStr">
        <is>
          <t>MWh</t>
        </is>
      </c>
      <c r="K277" s="8" t="n">
        <v>880936</v>
      </c>
      <c r="L277" s="6" t="inlineStr">
        <is>
          <t>MWh</t>
        </is>
      </c>
      <c r="M277" s="6" t="inlineStr">
        <is>
          <t>EBY</t>
        </is>
      </c>
      <c r="N277" s="6" t="inlineStr">
        <is>
          <t>OFFICIAL_PRIMARY</t>
        </is>
      </c>
      <c r="O277" s="9" t="inlineStr">
        <is>
          <t>OFFICIAL_AGGREGATE</t>
        </is>
      </c>
      <c r="P277" s="8" t="n">
        <v>1</v>
      </c>
      <c r="Q277" s="8" t="n">
        <v>50</v>
      </c>
      <c r="R277" s="7" t="inlineStr">
        <is>
          <t>https://www.eby.gov.py/wp-content/uploads/2019/12/YacyretaEnergiasMensualesDesdePuestaenMarcha.pdf</t>
        </is>
      </c>
      <c r="S277" s="6" t="inlineStr">
        <is>
          <t>EBY-MONTHLY-1994-2012</t>
        </is>
      </c>
      <c r="T277" s="6" t="inlineStr"/>
      <c r="U277" s="4" t="inlineStr">
        <is>
          <t>2026-09-10 23:00:00</t>
        </is>
      </c>
      <c r="V277" s="4" t="inlineStr">
        <is>
          <t>Energia mensual entregada al SADI.</t>
        </is>
      </c>
    </row>
    <row r="278">
      <c r="A278" s="6" t="inlineStr">
        <is>
          <t>R0000277</t>
        </is>
      </c>
      <c r="B278" s="6" t="inlineStr">
        <is>
          <t>1997-11-01</t>
        </is>
      </c>
      <c r="C278" s="6" t="inlineStr">
        <is>
          <t>1997-11-30</t>
        </is>
      </c>
      <c r="D278" s="6" t="inlineStr">
        <is>
          <t>month</t>
        </is>
      </c>
      <c r="E278" s="6" t="inlineStr">
        <is>
          <t>ENERGY_TO_PY</t>
        </is>
      </c>
      <c r="F278" s="6" t="inlineStr">
        <is>
          <t>YACYRETA</t>
        </is>
      </c>
      <c r="G278" s="6" t="inlineStr">
        <is>
          <t>YACYRETA</t>
        </is>
      </c>
      <c r="H278" s="6" t="inlineStr">
        <is>
          <t>SINP</t>
        </is>
      </c>
      <c r="I278" s="8" t="n">
        <v>11770</v>
      </c>
      <c r="J278" s="6" t="inlineStr">
        <is>
          <t>MWh</t>
        </is>
      </c>
      <c r="K278" s="8" t="n">
        <v>11770</v>
      </c>
      <c r="L278" s="6" t="inlineStr">
        <is>
          <t>MWh</t>
        </is>
      </c>
      <c r="M278" s="6" t="inlineStr">
        <is>
          <t>EBY</t>
        </is>
      </c>
      <c r="N278" s="6" t="inlineStr">
        <is>
          <t>OFFICIAL_PRIMARY</t>
        </is>
      </c>
      <c r="O278" s="9" t="inlineStr">
        <is>
          <t>OFFICIAL_AGGREGATE</t>
        </is>
      </c>
      <c r="P278" s="8" t="n">
        <v>1</v>
      </c>
      <c r="Q278" s="8" t="n">
        <v>50</v>
      </c>
      <c r="R278" s="7" t="inlineStr">
        <is>
          <t>https://www.eby.gov.py/wp-content/uploads/2019/12/YacyretaEnergiasMensualesDesdePuestaenMarcha.pdf</t>
        </is>
      </c>
      <c r="S278" s="6" t="inlineStr">
        <is>
          <t>EBY-MONTHLY-1994-2012</t>
        </is>
      </c>
      <c r="T278" s="6" t="inlineStr"/>
      <c r="U278" s="4" t="inlineStr">
        <is>
          <t>2026-09-10 23:00:00</t>
        </is>
      </c>
      <c r="V278" s="4" t="inlineStr">
        <is>
          <t>Energia mensual entregada al SINP.</t>
        </is>
      </c>
    </row>
    <row r="279">
      <c r="A279" s="6" t="inlineStr">
        <is>
          <t>R0000278</t>
        </is>
      </c>
      <c r="B279" s="6" t="inlineStr">
        <is>
          <t>1997-12-01</t>
        </is>
      </c>
      <c r="C279" s="6" t="inlineStr">
        <is>
          <t>1997-12-31</t>
        </is>
      </c>
      <c r="D279" s="6" t="inlineStr">
        <is>
          <t>month</t>
        </is>
      </c>
      <c r="E279" s="6" t="inlineStr">
        <is>
          <t>YACYRETA_NET_ENERGY</t>
        </is>
      </c>
      <c r="F279" s="6" t="inlineStr">
        <is>
          <t>YACYRETA</t>
        </is>
      </c>
      <c r="G279" s="6" t="inlineStr">
        <is>
          <t>YACYRETA</t>
        </is>
      </c>
      <c r="H279" s="6" t="inlineStr">
        <is>
          <t>TOTAL</t>
        </is>
      </c>
      <c r="I279" s="8" t="n">
        <v>1055293</v>
      </c>
      <c r="J279" s="6" t="inlineStr">
        <is>
          <t>MWh</t>
        </is>
      </c>
      <c r="K279" s="8" t="n">
        <v>1055293</v>
      </c>
      <c r="L279" s="6" t="inlineStr">
        <is>
          <t>MWh</t>
        </is>
      </c>
      <c r="M279" s="6" t="inlineStr">
        <is>
          <t>EBY</t>
        </is>
      </c>
      <c r="N279" s="6" t="inlineStr">
        <is>
          <t>OFFICIAL_PRIMARY</t>
        </is>
      </c>
      <c r="O279" s="9" t="inlineStr">
        <is>
          <t>OFFICIAL_AGGREGATE</t>
        </is>
      </c>
      <c r="P279" s="8" t="n">
        <v>1</v>
      </c>
      <c r="Q279" s="8" t="n">
        <v>50</v>
      </c>
      <c r="R279" s="7" t="inlineStr">
        <is>
          <t>https://www.eby.gov.py/wp-content/uploads/2019/12/YacyretaEnergiasMensualesDesdePuestaenMarcha.pdf</t>
        </is>
      </c>
      <c r="S279" s="6" t="inlineStr">
        <is>
          <t>EBY-MONTHLY-1994-2012</t>
        </is>
      </c>
      <c r="T279" s="6" t="inlineStr"/>
      <c r="U279" s="4" t="inlineStr">
        <is>
          <t>2026-09-10 23:00:00</t>
        </is>
      </c>
      <c r="V279" s="4" t="inlineStr">
        <is>
          <t>Energia mensual Yacyreta desde puesta en marcha.</t>
        </is>
      </c>
    </row>
    <row r="280">
      <c r="A280" s="6" t="inlineStr">
        <is>
          <t>R0000279</t>
        </is>
      </c>
      <c r="B280" s="6" t="inlineStr">
        <is>
          <t>1997-12-01</t>
        </is>
      </c>
      <c r="C280" s="6" t="inlineStr">
        <is>
          <t>1997-12-31</t>
        </is>
      </c>
      <c r="D280" s="6" t="inlineStr">
        <is>
          <t>month</t>
        </is>
      </c>
      <c r="E280" s="6" t="inlineStr">
        <is>
          <t>ENERGY_TO_ARGENTINA</t>
        </is>
      </c>
      <c r="F280" s="6" t="inlineStr">
        <is>
          <t>YACYRETA</t>
        </is>
      </c>
      <c r="G280" s="6" t="inlineStr">
        <is>
          <t>YACYRETA</t>
        </is>
      </c>
      <c r="H280" s="6" t="inlineStr">
        <is>
          <t>SADI</t>
        </is>
      </c>
      <c r="I280" s="8" t="n">
        <v>1047310</v>
      </c>
      <c r="J280" s="6" t="inlineStr">
        <is>
          <t>MWh</t>
        </is>
      </c>
      <c r="K280" s="8" t="n">
        <v>1047310</v>
      </c>
      <c r="L280" s="6" t="inlineStr">
        <is>
          <t>MWh</t>
        </is>
      </c>
      <c r="M280" s="6" t="inlineStr">
        <is>
          <t>EBY</t>
        </is>
      </c>
      <c r="N280" s="6" t="inlineStr">
        <is>
          <t>OFFICIAL_PRIMARY</t>
        </is>
      </c>
      <c r="O280" s="9" t="inlineStr">
        <is>
          <t>OFFICIAL_AGGREGATE</t>
        </is>
      </c>
      <c r="P280" s="8" t="n">
        <v>1</v>
      </c>
      <c r="Q280" s="8" t="n">
        <v>50</v>
      </c>
      <c r="R280" s="7" t="inlineStr">
        <is>
          <t>https://www.eby.gov.py/wp-content/uploads/2019/12/YacyretaEnergiasMensualesDesdePuestaenMarcha.pdf</t>
        </is>
      </c>
      <c r="S280" s="6" t="inlineStr">
        <is>
          <t>EBY-MONTHLY-1994-2012</t>
        </is>
      </c>
      <c r="T280" s="6" t="inlineStr"/>
      <c r="U280" s="4" t="inlineStr">
        <is>
          <t>2026-09-10 23:00:00</t>
        </is>
      </c>
      <c r="V280" s="4" t="inlineStr">
        <is>
          <t>Energia mensual entregada al SADI.</t>
        </is>
      </c>
    </row>
    <row r="281">
      <c r="A281" s="6" t="inlineStr">
        <is>
          <t>R0000280</t>
        </is>
      </c>
      <c r="B281" s="6" t="inlineStr">
        <is>
          <t>1997-12-01</t>
        </is>
      </c>
      <c r="C281" s="6" t="inlineStr">
        <is>
          <t>1997-12-31</t>
        </is>
      </c>
      <c r="D281" s="6" t="inlineStr">
        <is>
          <t>month</t>
        </is>
      </c>
      <c r="E281" s="6" t="inlineStr">
        <is>
          <t>ENERGY_TO_PY</t>
        </is>
      </c>
      <c r="F281" s="6" t="inlineStr">
        <is>
          <t>YACYRETA</t>
        </is>
      </c>
      <c r="G281" s="6" t="inlineStr">
        <is>
          <t>YACYRETA</t>
        </is>
      </c>
      <c r="H281" s="6" t="inlineStr">
        <is>
          <t>SINP</t>
        </is>
      </c>
      <c r="I281" s="8" t="n">
        <v>7983</v>
      </c>
      <c r="J281" s="6" t="inlineStr">
        <is>
          <t>MWh</t>
        </is>
      </c>
      <c r="K281" s="8" t="n">
        <v>7983</v>
      </c>
      <c r="L281" s="6" t="inlineStr">
        <is>
          <t>MWh</t>
        </is>
      </c>
      <c r="M281" s="6" t="inlineStr">
        <is>
          <t>EBY</t>
        </is>
      </c>
      <c r="N281" s="6" t="inlineStr">
        <is>
          <t>OFFICIAL_PRIMARY</t>
        </is>
      </c>
      <c r="O281" s="9" t="inlineStr">
        <is>
          <t>OFFICIAL_AGGREGATE</t>
        </is>
      </c>
      <c r="P281" s="8" t="n">
        <v>1</v>
      </c>
      <c r="Q281" s="8" t="n">
        <v>50</v>
      </c>
      <c r="R281" s="7" t="inlineStr">
        <is>
          <t>https://www.eby.gov.py/wp-content/uploads/2019/12/YacyretaEnergiasMensualesDesdePuestaenMarcha.pdf</t>
        </is>
      </c>
      <c r="S281" s="6" t="inlineStr">
        <is>
          <t>EBY-MONTHLY-1994-2012</t>
        </is>
      </c>
      <c r="T281" s="6" t="inlineStr"/>
      <c r="U281" s="4" t="inlineStr">
        <is>
          <t>2026-09-10 23:00:00</t>
        </is>
      </c>
      <c r="V281" s="4" t="inlineStr">
        <is>
          <t>Energia mensual entregada al SINP.</t>
        </is>
      </c>
    </row>
    <row r="282">
      <c r="A282" s="6" t="inlineStr">
        <is>
          <t>R0000281</t>
        </is>
      </c>
      <c r="B282" s="6" t="inlineStr">
        <is>
          <t>1998-01-01</t>
        </is>
      </c>
      <c r="C282" s="6" t="inlineStr">
        <is>
          <t>1998-01-31</t>
        </is>
      </c>
      <c r="D282" s="6" t="inlineStr">
        <is>
          <t>month</t>
        </is>
      </c>
      <c r="E282" s="6" t="inlineStr">
        <is>
          <t>YACYRETA_NET_ENERGY</t>
        </is>
      </c>
      <c r="F282" s="6" t="inlineStr">
        <is>
          <t>YACYRETA</t>
        </is>
      </c>
      <c r="G282" s="6" t="inlineStr">
        <is>
          <t>YACYRETA</t>
        </is>
      </c>
      <c r="H282" s="6" t="inlineStr">
        <is>
          <t>TOTAL</t>
        </is>
      </c>
      <c r="I282" s="8" t="n">
        <v>1026100</v>
      </c>
      <c r="J282" s="6" t="inlineStr">
        <is>
          <t>MWh</t>
        </is>
      </c>
      <c r="K282" s="8" t="n">
        <v>1026100</v>
      </c>
      <c r="L282" s="6" t="inlineStr">
        <is>
          <t>MWh</t>
        </is>
      </c>
      <c r="M282" s="6" t="inlineStr">
        <is>
          <t>EBY</t>
        </is>
      </c>
      <c r="N282" s="6" t="inlineStr">
        <is>
          <t>OFFICIAL_PRIMARY</t>
        </is>
      </c>
      <c r="O282" s="9" t="inlineStr">
        <is>
          <t>OFFICIAL_AGGREGATE</t>
        </is>
      </c>
      <c r="P282" s="8" t="n">
        <v>1</v>
      </c>
      <c r="Q282" s="8" t="n">
        <v>50</v>
      </c>
      <c r="R282" s="7" t="inlineStr">
        <is>
          <t>https://www.eby.gov.py/wp-content/uploads/2019/12/YacyretaEnergiasMensualesDesdePuestaenMarcha.pdf</t>
        </is>
      </c>
      <c r="S282" s="6" t="inlineStr">
        <is>
          <t>EBY-MONTHLY-1994-2012</t>
        </is>
      </c>
      <c r="T282" s="6" t="inlineStr"/>
      <c r="U282" s="4" t="inlineStr">
        <is>
          <t>2026-09-10 23:00:00</t>
        </is>
      </c>
      <c r="V282" s="4" t="inlineStr">
        <is>
          <t>Energia mensual Yacyreta desde puesta en marcha.</t>
        </is>
      </c>
    </row>
    <row r="283">
      <c r="A283" s="6" t="inlineStr">
        <is>
          <t>R0000282</t>
        </is>
      </c>
      <c r="B283" s="6" t="inlineStr">
        <is>
          <t>1998-01-01</t>
        </is>
      </c>
      <c r="C283" s="6" t="inlineStr">
        <is>
          <t>1998-01-31</t>
        </is>
      </c>
      <c r="D283" s="6" t="inlineStr">
        <is>
          <t>month</t>
        </is>
      </c>
      <c r="E283" s="6" t="inlineStr">
        <is>
          <t>ENERGY_TO_ARGENTINA</t>
        </is>
      </c>
      <c r="F283" s="6" t="inlineStr">
        <is>
          <t>YACYRETA</t>
        </is>
      </c>
      <c r="G283" s="6" t="inlineStr">
        <is>
          <t>YACYRETA</t>
        </is>
      </c>
      <c r="H283" s="6" t="inlineStr">
        <is>
          <t>SADI</t>
        </is>
      </c>
      <c r="I283" s="8" t="n">
        <v>1015768</v>
      </c>
      <c r="J283" s="6" t="inlineStr">
        <is>
          <t>MWh</t>
        </is>
      </c>
      <c r="K283" s="8" t="n">
        <v>1015768</v>
      </c>
      <c r="L283" s="6" t="inlineStr">
        <is>
          <t>MWh</t>
        </is>
      </c>
      <c r="M283" s="6" t="inlineStr">
        <is>
          <t>EBY</t>
        </is>
      </c>
      <c r="N283" s="6" t="inlineStr">
        <is>
          <t>OFFICIAL_PRIMARY</t>
        </is>
      </c>
      <c r="O283" s="9" t="inlineStr">
        <is>
          <t>OFFICIAL_AGGREGATE</t>
        </is>
      </c>
      <c r="P283" s="8" t="n">
        <v>1</v>
      </c>
      <c r="Q283" s="8" t="n">
        <v>50</v>
      </c>
      <c r="R283" s="7" t="inlineStr">
        <is>
          <t>https://www.eby.gov.py/wp-content/uploads/2019/12/YacyretaEnergiasMensualesDesdePuestaenMarcha.pdf</t>
        </is>
      </c>
      <c r="S283" s="6" t="inlineStr">
        <is>
          <t>EBY-MONTHLY-1994-2012</t>
        </is>
      </c>
      <c r="T283" s="6" t="inlineStr"/>
      <c r="U283" s="4" t="inlineStr">
        <is>
          <t>2026-09-10 23:00:00</t>
        </is>
      </c>
      <c r="V283" s="4" t="inlineStr">
        <is>
          <t>Energia mensual entregada al SADI.</t>
        </is>
      </c>
    </row>
    <row r="284">
      <c r="A284" s="6" t="inlineStr">
        <is>
          <t>R0000283</t>
        </is>
      </c>
      <c r="B284" s="6" t="inlineStr">
        <is>
          <t>1998-01-01</t>
        </is>
      </c>
      <c r="C284" s="6" t="inlineStr">
        <is>
          <t>1998-01-31</t>
        </is>
      </c>
      <c r="D284" s="6" t="inlineStr">
        <is>
          <t>month</t>
        </is>
      </c>
      <c r="E284" s="6" t="inlineStr">
        <is>
          <t>ENERGY_TO_PY</t>
        </is>
      </c>
      <c r="F284" s="6" t="inlineStr">
        <is>
          <t>YACYRETA</t>
        </is>
      </c>
      <c r="G284" s="6" t="inlineStr">
        <is>
          <t>YACYRETA</t>
        </is>
      </c>
      <c r="H284" s="6" t="inlineStr">
        <is>
          <t>SINP</t>
        </is>
      </c>
      <c r="I284" s="8" t="n">
        <v>10332</v>
      </c>
      <c r="J284" s="6" t="inlineStr">
        <is>
          <t>MWh</t>
        </is>
      </c>
      <c r="K284" s="8" t="n">
        <v>10332</v>
      </c>
      <c r="L284" s="6" t="inlineStr">
        <is>
          <t>MWh</t>
        </is>
      </c>
      <c r="M284" s="6" t="inlineStr">
        <is>
          <t>EBY</t>
        </is>
      </c>
      <c r="N284" s="6" t="inlineStr">
        <is>
          <t>OFFICIAL_PRIMARY</t>
        </is>
      </c>
      <c r="O284" s="9" t="inlineStr">
        <is>
          <t>OFFICIAL_AGGREGATE</t>
        </is>
      </c>
      <c r="P284" s="8" t="n">
        <v>1</v>
      </c>
      <c r="Q284" s="8" t="n">
        <v>50</v>
      </c>
      <c r="R284" s="7" t="inlineStr">
        <is>
          <t>https://www.eby.gov.py/wp-content/uploads/2019/12/YacyretaEnergiasMensualesDesdePuestaenMarcha.pdf</t>
        </is>
      </c>
      <c r="S284" s="6" t="inlineStr">
        <is>
          <t>EBY-MONTHLY-1994-2012</t>
        </is>
      </c>
      <c r="T284" s="6" t="inlineStr"/>
      <c r="U284" s="4" t="inlineStr">
        <is>
          <t>2026-09-10 23:00:00</t>
        </is>
      </c>
      <c r="V284" s="4" t="inlineStr">
        <is>
          <t>Energia mensual entregada al SINP.</t>
        </is>
      </c>
    </row>
    <row r="285">
      <c r="A285" s="6" t="inlineStr">
        <is>
          <t>R0000284</t>
        </is>
      </c>
      <c r="B285" s="6" t="inlineStr">
        <is>
          <t>1998-02-01</t>
        </is>
      </c>
      <c r="C285" s="6" t="inlineStr">
        <is>
          <t>1998-02-28</t>
        </is>
      </c>
      <c r="D285" s="6" t="inlineStr">
        <is>
          <t>month</t>
        </is>
      </c>
      <c r="E285" s="6" t="inlineStr">
        <is>
          <t>YACYRETA_NET_ENERGY</t>
        </is>
      </c>
      <c r="F285" s="6" t="inlineStr">
        <is>
          <t>YACYRETA</t>
        </is>
      </c>
      <c r="G285" s="6" t="inlineStr">
        <is>
          <t>YACYRETA</t>
        </is>
      </c>
      <c r="H285" s="6" t="inlineStr">
        <is>
          <t>TOTAL</t>
        </is>
      </c>
      <c r="I285" s="8" t="n">
        <v>879220</v>
      </c>
      <c r="J285" s="6" t="inlineStr">
        <is>
          <t>MWh</t>
        </is>
      </c>
      <c r="K285" s="8" t="n">
        <v>879220</v>
      </c>
      <c r="L285" s="6" t="inlineStr">
        <is>
          <t>MWh</t>
        </is>
      </c>
      <c r="M285" s="6" t="inlineStr">
        <is>
          <t>EBY</t>
        </is>
      </c>
      <c r="N285" s="6" t="inlineStr">
        <is>
          <t>OFFICIAL_PRIMARY</t>
        </is>
      </c>
      <c r="O285" s="9" t="inlineStr">
        <is>
          <t>OFFICIAL_AGGREGATE</t>
        </is>
      </c>
      <c r="P285" s="8" t="n">
        <v>1</v>
      </c>
      <c r="Q285" s="8" t="n">
        <v>50</v>
      </c>
      <c r="R285" s="7" t="inlineStr">
        <is>
          <t>https://www.eby.gov.py/wp-content/uploads/2019/12/YacyretaEnergiasMensualesDesdePuestaenMarcha.pdf</t>
        </is>
      </c>
      <c r="S285" s="6" t="inlineStr">
        <is>
          <t>EBY-MONTHLY-1994-2012</t>
        </is>
      </c>
      <c r="T285" s="6" t="inlineStr"/>
      <c r="U285" s="4" t="inlineStr">
        <is>
          <t>2026-09-10 23:00:00</t>
        </is>
      </c>
      <c r="V285" s="4" t="inlineStr">
        <is>
          <t>Energia mensual Yacyreta desde puesta en marcha.</t>
        </is>
      </c>
    </row>
    <row r="286">
      <c r="A286" s="6" t="inlineStr">
        <is>
          <t>R0000285</t>
        </is>
      </c>
      <c r="B286" s="6" t="inlineStr">
        <is>
          <t>1998-02-01</t>
        </is>
      </c>
      <c r="C286" s="6" t="inlineStr">
        <is>
          <t>1998-02-28</t>
        </is>
      </c>
      <c r="D286" s="6" t="inlineStr">
        <is>
          <t>month</t>
        </is>
      </c>
      <c r="E286" s="6" t="inlineStr">
        <is>
          <t>ENERGY_TO_ARGENTINA</t>
        </is>
      </c>
      <c r="F286" s="6" t="inlineStr">
        <is>
          <t>YACYRETA</t>
        </is>
      </c>
      <c r="G286" s="6" t="inlineStr">
        <is>
          <t>YACYRETA</t>
        </is>
      </c>
      <c r="H286" s="6" t="inlineStr">
        <is>
          <t>SADI</t>
        </is>
      </c>
      <c r="I286" s="8" t="n">
        <v>872082</v>
      </c>
      <c r="J286" s="6" t="inlineStr">
        <is>
          <t>MWh</t>
        </is>
      </c>
      <c r="K286" s="8" t="n">
        <v>872082</v>
      </c>
      <c r="L286" s="6" t="inlineStr">
        <is>
          <t>MWh</t>
        </is>
      </c>
      <c r="M286" s="6" t="inlineStr">
        <is>
          <t>EBY</t>
        </is>
      </c>
      <c r="N286" s="6" t="inlineStr">
        <is>
          <t>OFFICIAL_PRIMARY</t>
        </is>
      </c>
      <c r="O286" s="9" t="inlineStr">
        <is>
          <t>OFFICIAL_AGGREGATE</t>
        </is>
      </c>
      <c r="P286" s="8" t="n">
        <v>1</v>
      </c>
      <c r="Q286" s="8" t="n">
        <v>50</v>
      </c>
      <c r="R286" s="7" t="inlineStr">
        <is>
          <t>https://www.eby.gov.py/wp-content/uploads/2019/12/YacyretaEnergiasMensualesDesdePuestaenMarcha.pdf</t>
        </is>
      </c>
      <c r="S286" s="6" t="inlineStr">
        <is>
          <t>EBY-MONTHLY-1994-2012</t>
        </is>
      </c>
      <c r="T286" s="6" t="inlineStr"/>
      <c r="U286" s="4" t="inlineStr">
        <is>
          <t>2026-09-10 23:00:00</t>
        </is>
      </c>
      <c r="V286" s="4" t="inlineStr">
        <is>
          <t>Energia mensual entregada al SADI.</t>
        </is>
      </c>
    </row>
    <row r="287">
      <c r="A287" s="6" t="inlineStr">
        <is>
          <t>R0000286</t>
        </is>
      </c>
      <c r="B287" s="6" t="inlineStr">
        <is>
          <t>1998-02-01</t>
        </is>
      </c>
      <c r="C287" s="6" t="inlineStr">
        <is>
          <t>1998-02-28</t>
        </is>
      </c>
      <c r="D287" s="6" t="inlineStr">
        <is>
          <t>month</t>
        </is>
      </c>
      <c r="E287" s="6" t="inlineStr">
        <is>
          <t>ENERGY_TO_PY</t>
        </is>
      </c>
      <c r="F287" s="6" t="inlineStr">
        <is>
          <t>YACYRETA</t>
        </is>
      </c>
      <c r="G287" s="6" t="inlineStr">
        <is>
          <t>YACYRETA</t>
        </is>
      </c>
      <c r="H287" s="6" t="inlineStr">
        <is>
          <t>SINP</t>
        </is>
      </c>
      <c r="I287" s="8" t="n">
        <v>7139</v>
      </c>
      <c r="J287" s="6" t="inlineStr">
        <is>
          <t>MWh</t>
        </is>
      </c>
      <c r="K287" s="8" t="n">
        <v>7139</v>
      </c>
      <c r="L287" s="6" t="inlineStr">
        <is>
          <t>MWh</t>
        </is>
      </c>
      <c r="M287" s="6" t="inlineStr">
        <is>
          <t>EBY</t>
        </is>
      </c>
      <c r="N287" s="6" t="inlineStr">
        <is>
          <t>OFFICIAL_PRIMARY</t>
        </is>
      </c>
      <c r="O287" s="9" t="inlineStr">
        <is>
          <t>OFFICIAL_AGGREGATE</t>
        </is>
      </c>
      <c r="P287" s="8" t="n">
        <v>1</v>
      </c>
      <c r="Q287" s="8" t="n">
        <v>50</v>
      </c>
      <c r="R287" s="7" t="inlineStr">
        <is>
          <t>https://www.eby.gov.py/wp-content/uploads/2019/12/YacyretaEnergiasMensualesDesdePuestaenMarcha.pdf</t>
        </is>
      </c>
      <c r="S287" s="6" t="inlineStr">
        <is>
          <t>EBY-MONTHLY-1994-2012</t>
        </is>
      </c>
      <c r="T287" s="6" t="inlineStr"/>
      <c r="U287" s="4" t="inlineStr">
        <is>
          <t>2026-09-10 23:00:00</t>
        </is>
      </c>
      <c r="V287" s="4" t="inlineStr">
        <is>
          <t>Energia mensual entregada al SINP.</t>
        </is>
      </c>
    </row>
    <row r="288">
      <c r="A288" s="6" t="inlineStr">
        <is>
          <t>R0000287</t>
        </is>
      </c>
      <c r="B288" s="6" t="inlineStr">
        <is>
          <t>1998-03-01</t>
        </is>
      </c>
      <c r="C288" s="6" t="inlineStr">
        <is>
          <t>1998-03-31</t>
        </is>
      </c>
      <c r="D288" s="6" t="inlineStr">
        <is>
          <t>month</t>
        </is>
      </c>
      <c r="E288" s="6" t="inlineStr">
        <is>
          <t>YACYRETA_NET_ENERGY</t>
        </is>
      </c>
      <c r="F288" s="6" t="inlineStr">
        <is>
          <t>YACYRETA</t>
        </is>
      </c>
      <c r="G288" s="6" t="inlineStr">
        <is>
          <t>YACYRETA</t>
        </is>
      </c>
      <c r="H288" s="6" t="inlineStr">
        <is>
          <t>TOTAL</t>
        </is>
      </c>
      <c r="I288" s="8" t="n">
        <v>997980</v>
      </c>
      <c r="J288" s="6" t="inlineStr">
        <is>
          <t>MWh</t>
        </is>
      </c>
      <c r="K288" s="8" t="n">
        <v>997980</v>
      </c>
      <c r="L288" s="6" t="inlineStr">
        <is>
          <t>MWh</t>
        </is>
      </c>
      <c r="M288" s="6" t="inlineStr">
        <is>
          <t>EBY</t>
        </is>
      </c>
      <c r="N288" s="6" t="inlineStr">
        <is>
          <t>OFFICIAL_PRIMARY</t>
        </is>
      </c>
      <c r="O288" s="9" t="inlineStr">
        <is>
          <t>OFFICIAL_AGGREGATE</t>
        </is>
      </c>
      <c r="P288" s="8" t="n">
        <v>1</v>
      </c>
      <c r="Q288" s="8" t="n">
        <v>50</v>
      </c>
      <c r="R288" s="7" t="inlineStr">
        <is>
          <t>https://www.eby.gov.py/wp-content/uploads/2019/12/YacyretaEnergiasMensualesDesdePuestaenMarcha.pdf</t>
        </is>
      </c>
      <c r="S288" s="6" t="inlineStr">
        <is>
          <t>EBY-MONTHLY-1994-2012</t>
        </is>
      </c>
      <c r="T288" s="6" t="inlineStr"/>
      <c r="U288" s="4" t="inlineStr">
        <is>
          <t>2026-09-10 23:00:00</t>
        </is>
      </c>
      <c r="V288" s="4" t="inlineStr">
        <is>
          <t>Energia mensual Yacyreta desde puesta en marcha.</t>
        </is>
      </c>
    </row>
    <row r="289">
      <c r="A289" s="6" t="inlineStr">
        <is>
          <t>R0000288</t>
        </is>
      </c>
      <c r="B289" s="6" t="inlineStr">
        <is>
          <t>1998-03-01</t>
        </is>
      </c>
      <c r="C289" s="6" t="inlineStr">
        <is>
          <t>1998-03-31</t>
        </is>
      </c>
      <c r="D289" s="6" t="inlineStr">
        <is>
          <t>month</t>
        </is>
      </c>
      <c r="E289" s="6" t="inlineStr">
        <is>
          <t>ENERGY_TO_ARGENTINA</t>
        </is>
      </c>
      <c r="F289" s="6" t="inlineStr">
        <is>
          <t>YACYRETA</t>
        </is>
      </c>
      <c r="G289" s="6" t="inlineStr">
        <is>
          <t>YACYRETA</t>
        </is>
      </c>
      <c r="H289" s="6" t="inlineStr">
        <is>
          <t>SADI</t>
        </is>
      </c>
      <c r="I289" s="8" t="n">
        <v>989198</v>
      </c>
      <c r="J289" s="6" t="inlineStr">
        <is>
          <t>MWh</t>
        </is>
      </c>
      <c r="K289" s="8" t="n">
        <v>989198</v>
      </c>
      <c r="L289" s="6" t="inlineStr">
        <is>
          <t>MWh</t>
        </is>
      </c>
      <c r="M289" s="6" t="inlineStr">
        <is>
          <t>EBY</t>
        </is>
      </c>
      <c r="N289" s="6" t="inlineStr">
        <is>
          <t>OFFICIAL_PRIMARY</t>
        </is>
      </c>
      <c r="O289" s="9" t="inlineStr">
        <is>
          <t>OFFICIAL_AGGREGATE</t>
        </is>
      </c>
      <c r="P289" s="8" t="n">
        <v>1</v>
      </c>
      <c r="Q289" s="8" t="n">
        <v>50</v>
      </c>
      <c r="R289" s="7" t="inlineStr">
        <is>
          <t>https://www.eby.gov.py/wp-content/uploads/2019/12/YacyretaEnergiasMensualesDesdePuestaenMarcha.pdf</t>
        </is>
      </c>
      <c r="S289" s="6" t="inlineStr">
        <is>
          <t>EBY-MONTHLY-1994-2012</t>
        </is>
      </c>
      <c r="T289" s="6" t="inlineStr"/>
      <c r="U289" s="4" t="inlineStr">
        <is>
          <t>2026-09-10 23:00:00</t>
        </is>
      </c>
      <c r="V289" s="4" t="inlineStr">
        <is>
          <t>Energia mensual entregada al SADI.</t>
        </is>
      </c>
    </row>
    <row r="290">
      <c r="A290" s="6" t="inlineStr">
        <is>
          <t>R0000289</t>
        </is>
      </c>
      <c r="B290" s="6" t="inlineStr">
        <is>
          <t>1998-03-01</t>
        </is>
      </c>
      <c r="C290" s="6" t="inlineStr">
        <is>
          <t>1998-03-31</t>
        </is>
      </c>
      <c r="D290" s="6" t="inlineStr">
        <is>
          <t>month</t>
        </is>
      </c>
      <c r="E290" s="6" t="inlineStr">
        <is>
          <t>ENERGY_TO_PY</t>
        </is>
      </c>
      <c r="F290" s="6" t="inlineStr">
        <is>
          <t>YACYRETA</t>
        </is>
      </c>
      <c r="G290" s="6" t="inlineStr">
        <is>
          <t>YACYRETA</t>
        </is>
      </c>
      <c r="H290" s="6" t="inlineStr">
        <is>
          <t>SINP</t>
        </is>
      </c>
      <c r="I290" s="8" t="n">
        <v>8782</v>
      </c>
      <c r="J290" s="6" t="inlineStr">
        <is>
          <t>MWh</t>
        </is>
      </c>
      <c r="K290" s="8" t="n">
        <v>8782</v>
      </c>
      <c r="L290" s="6" t="inlineStr">
        <is>
          <t>MWh</t>
        </is>
      </c>
      <c r="M290" s="6" t="inlineStr">
        <is>
          <t>EBY</t>
        </is>
      </c>
      <c r="N290" s="6" t="inlineStr">
        <is>
          <t>OFFICIAL_PRIMARY</t>
        </is>
      </c>
      <c r="O290" s="9" t="inlineStr">
        <is>
          <t>OFFICIAL_AGGREGATE</t>
        </is>
      </c>
      <c r="P290" s="8" t="n">
        <v>1</v>
      </c>
      <c r="Q290" s="8" t="n">
        <v>50</v>
      </c>
      <c r="R290" s="7" t="inlineStr">
        <is>
          <t>https://www.eby.gov.py/wp-content/uploads/2019/12/YacyretaEnergiasMensualesDesdePuestaenMarcha.pdf</t>
        </is>
      </c>
      <c r="S290" s="6" t="inlineStr">
        <is>
          <t>EBY-MONTHLY-1994-2012</t>
        </is>
      </c>
      <c r="T290" s="6" t="inlineStr"/>
      <c r="U290" s="4" t="inlineStr">
        <is>
          <t>2026-09-10 23:00:00</t>
        </is>
      </c>
      <c r="V290" s="4" t="inlineStr">
        <is>
          <t>Energia mensual entregada al SINP.</t>
        </is>
      </c>
    </row>
    <row r="291">
      <c r="A291" s="6" t="inlineStr">
        <is>
          <t>R0000290</t>
        </is>
      </c>
      <c r="B291" s="6" t="inlineStr">
        <is>
          <t>1998-04-01</t>
        </is>
      </c>
      <c r="C291" s="6" t="inlineStr">
        <is>
          <t>1998-04-30</t>
        </is>
      </c>
      <c r="D291" s="6" t="inlineStr">
        <is>
          <t>month</t>
        </is>
      </c>
      <c r="E291" s="6" t="inlineStr">
        <is>
          <t>YACYRETA_NET_ENERGY</t>
        </is>
      </c>
      <c r="F291" s="6" t="inlineStr">
        <is>
          <t>YACYRETA</t>
        </is>
      </c>
      <c r="G291" s="6" t="inlineStr">
        <is>
          <t>YACYRETA</t>
        </is>
      </c>
      <c r="H291" s="6" t="inlineStr">
        <is>
          <t>TOTAL</t>
        </is>
      </c>
      <c r="I291" s="8" t="n">
        <v>853028</v>
      </c>
      <c r="J291" s="6" t="inlineStr">
        <is>
          <t>MWh</t>
        </is>
      </c>
      <c r="K291" s="8" t="n">
        <v>853028</v>
      </c>
      <c r="L291" s="6" t="inlineStr">
        <is>
          <t>MWh</t>
        </is>
      </c>
      <c r="M291" s="6" t="inlineStr">
        <is>
          <t>EBY</t>
        </is>
      </c>
      <c r="N291" s="6" t="inlineStr">
        <is>
          <t>OFFICIAL_PRIMARY</t>
        </is>
      </c>
      <c r="O291" s="9" t="inlineStr">
        <is>
          <t>OFFICIAL_AGGREGATE</t>
        </is>
      </c>
      <c r="P291" s="8" t="n">
        <v>1</v>
      </c>
      <c r="Q291" s="8" t="n">
        <v>50</v>
      </c>
      <c r="R291" s="7" t="inlineStr">
        <is>
          <t>https://www.eby.gov.py/wp-content/uploads/2019/12/YacyretaEnergiasMensualesDesdePuestaenMarcha.pdf</t>
        </is>
      </c>
      <c r="S291" s="6" t="inlineStr">
        <is>
          <t>EBY-MONTHLY-1994-2012</t>
        </is>
      </c>
      <c r="T291" s="6" t="inlineStr"/>
      <c r="U291" s="4" t="inlineStr">
        <is>
          <t>2026-09-10 23:00:00</t>
        </is>
      </c>
      <c r="V291" s="4" t="inlineStr">
        <is>
          <t>Energia mensual Yacyreta desde puesta en marcha.</t>
        </is>
      </c>
    </row>
    <row r="292">
      <c r="A292" s="6" t="inlineStr">
        <is>
          <t>R0000291</t>
        </is>
      </c>
      <c r="B292" s="6" t="inlineStr">
        <is>
          <t>1998-04-01</t>
        </is>
      </c>
      <c r="C292" s="6" t="inlineStr">
        <is>
          <t>1998-04-30</t>
        </is>
      </c>
      <c r="D292" s="6" t="inlineStr">
        <is>
          <t>month</t>
        </is>
      </c>
      <c r="E292" s="6" t="inlineStr">
        <is>
          <t>ENERGY_TO_ARGENTINA</t>
        </is>
      </c>
      <c r="F292" s="6" t="inlineStr">
        <is>
          <t>YACYRETA</t>
        </is>
      </c>
      <c r="G292" s="6" t="inlineStr">
        <is>
          <t>YACYRETA</t>
        </is>
      </c>
      <c r="H292" s="6" t="inlineStr">
        <is>
          <t>SADI</t>
        </is>
      </c>
      <c r="I292" s="8" t="n">
        <v>833977</v>
      </c>
      <c r="J292" s="6" t="inlineStr">
        <is>
          <t>MWh</t>
        </is>
      </c>
      <c r="K292" s="8" t="n">
        <v>833977</v>
      </c>
      <c r="L292" s="6" t="inlineStr">
        <is>
          <t>MWh</t>
        </is>
      </c>
      <c r="M292" s="6" t="inlineStr">
        <is>
          <t>EBY</t>
        </is>
      </c>
      <c r="N292" s="6" t="inlineStr">
        <is>
          <t>OFFICIAL_PRIMARY</t>
        </is>
      </c>
      <c r="O292" s="9" t="inlineStr">
        <is>
          <t>OFFICIAL_AGGREGATE</t>
        </is>
      </c>
      <c r="P292" s="8" t="n">
        <v>1</v>
      </c>
      <c r="Q292" s="8" t="n">
        <v>50</v>
      </c>
      <c r="R292" s="7" t="inlineStr">
        <is>
          <t>https://www.eby.gov.py/wp-content/uploads/2019/12/YacyretaEnergiasMensualesDesdePuestaenMarcha.pdf</t>
        </is>
      </c>
      <c r="S292" s="6" t="inlineStr">
        <is>
          <t>EBY-MONTHLY-1994-2012</t>
        </is>
      </c>
      <c r="T292" s="6" t="inlineStr"/>
      <c r="U292" s="4" t="inlineStr">
        <is>
          <t>2026-09-10 23:00:00</t>
        </is>
      </c>
      <c r="V292" s="4" t="inlineStr">
        <is>
          <t>Energia mensual entregada al SADI.</t>
        </is>
      </c>
    </row>
    <row r="293">
      <c r="A293" s="6" t="inlineStr">
        <is>
          <t>R0000292</t>
        </is>
      </c>
      <c r="B293" s="6" t="inlineStr">
        <is>
          <t>1998-04-01</t>
        </is>
      </c>
      <c r="C293" s="6" t="inlineStr">
        <is>
          <t>1998-04-30</t>
        </is>
      </c>
      <c r="D293" s="6" t="inlineStr">
        <is>
          <t>month</t>
        </is>
      </c>
      <c r="E293" s="6" t="inlineStr">
        <is>
          <t>ENERGY_TO_PY</t>
        </is>
      </c>
      <c r="F293" s="6" t="inlineStr">
        <is>
          <t>YACYRETA</t>
        </is>
      </c>
      <c r="G293" s="6" t="inlineStr">
        <is>
          <t>YACYRETA</t>
        </is>
      </c>
      <c r="H293" s="6" t="inlineStr">
        <is>
          <t>SINP</t>
        </is>
      </c>
      <c r="I293" s="8" t="n">
        <v>19051</v>
      </c>
      <c r="J293" s="6" t="inlineStr">
        <is>
          <t>MWh</t>
        </is>
      </c>
      <c r="K293" s="8" t="n">
        <v>19051</v>
      </c>
      <c r="L293" s="6" t="inlineStr">
        <is>
          <t>MWh</t>
        </is>
      </c>
      <c r="M293" s="6" t="inlineStr">
        <is>
          <t>EBY</t>
        </is>
      </c>
      <c r="N293" s="6" t="inlineStr">
        <is>
          <t>OFFICIAL_PRIMARY</t>
        </is>
      </c>
      <c r="O293" s="9" t="inlineStr">
        <is>
          <t>OFFICIAL_AGGREGATE</t>
        </is>
      </c>
      <c r="P293" s="8" t="n">
        <v>1</v>
      </c>
      <c r="Q293" s="8" t="n">
        <v>50</v>
      </c>
      <c r="R293" s="7" t="inlineStr">
        <is>
          <t>https://www.eby.gov.py/wp-content/uploads/2019/12/YacyretaEnergiasMensualesDesdePuestaenMarcha.pdf</t>
        </is>
      </c>
      <c r="S293" s="6" t="inlineStr">
        <is>
          <t>EBY-MONTHLY-1994-2012</t>
        </is>
      </c>
      <c r="T293" s="6" t="inlineStr"/>
      <c r="U293" s="4" t="inlineStr">
        <is>
          <t>2026-09-10 23:00:00</t>
        </is>
      </c>
      <c r="V293" s="4" t="inlineStr">
        <is>
          <t>Energia mensual entregada al SINP.</t>
        </is>
      </c>
    </row>
    <row r="294">
      <c r="A294" s="6" t="inlineStr">
        <is>
          <t>R0000293</t>
        </is>
      </c>
      <c r="B294" s="6" t="inlineStr">
        <is>
          <t>1998-05-01</t>
        </is>
      </c>
      <c r="C294" s="6" t="inlineStr">
        <is>
          <t>1998-05-31</t>
        </is>
      </c>
      <c r="D294" s="6" t="inlineStr">
        <is>
          <t>month</t>
        </is>
      </c>
      <c r="E294" s="6" t="inlineStr">
        <is>
          <t>YACYRETA_NET_ENERGY</t>
        </is>
      </c>
      <c r="F294" s="6" t="inlineStr">
        <is>
          <t>YACYRETA</t>
        </is>
      </c>
      <c r="G294" s="6" t="inlineStr">
        <is>
          <t>YACYRETA</t>
        </is>
      </c>
      <c r="H294" s="6" t="inlineStr">
        <is>
          <t>TOTAL</t>
        </is>
      </c>
      <c r="I294" s="8" t="n">
        <v>988412</v>
      </c>
      <c r="J294" s="6" t="inlineStr">
        <is>
          <t>MWh</t>
        </is>
      </c>
      <c r="K294" s="8" t="n">
        <v>988412</v>
      </c>
      <c r="L294" s="6" t="inlineStr">
        <is>
          <t>MWh</t>
        </is>
      </c>
      <c r="M294" s="6" t="inlineStr">
        <is>
          <t>EBY</t>
        </is>
      </c>
      <c r="N294" s="6" t="inlineStr">
        <is>
          <t>OFFICIAL_PRIMARY</t>
        </is>
      </c>
      <c r="O294" s="9" t="inlineStr">
        <is>
          <t>OFFICIAL_AGGREGATE</t>
        </is>
      </c>
      <c r="P294" s="8" t="n">
        <v>1</v>
      </c>
      <c r="Q294" s="8" t="n">
        <v>50</v>
      </c>
      <c r="R294" s="7" t="inlineStr">
        <is>
          <t>https://www.eby.gov.py/wp-content/uploads/2019/12/YacyretaEnergiasMensualesDesdePuestaenMarcha.pdf</t>
        </is>
      </c>
      <c r="S294" s="6" t="inlineStr">
        <is>
          <t>EBY-MONTHLY-1994-2012</t>
        </is>
      </c>
      <c r="T294" s="6" t="inlineStr"/>
      <c r="U294" s="4" t="inlineStr">
        <is>
          <t>2026-09-10 23:00:00</t>
        </is>
      </c>
      <c r="V294" s="4" t="inlineStr">
        <is>
          <t>Energia mensual Yacyreta desde puesta en marcha.</t>
        </is>
      </c>
    </row>
    <row r="295">
      <c r="A295" s="6" t="inlineStr">
        <is>
          <t>R0000294</t>
        </is>
      </c>
      <c r="B295" s="6" t="inlineStr">
        <is>
          <t>1998-05-01</t>
        </is>
      </c>
      <c r="C295" s="6" t="inlineStr">
        <is>
          <t>1998-05-31</t>
        </is>
      </c>
      <c r="D295" s="6" t="inlineStr">
        <is>
          <t>month</t>
        </is>
      </c>
      <c r="E295" s="6" t="inlineStr">
        <is>
          <t>ENERGY_TO_ARGENTINA</t>
        </is>
      </c>
      <c r="F295" s="6" t="inlineStr">
        <is>
          <t>YACYRETA</t>
        </is>
      </c>
      <c r="G295" s="6" t="inlineStr">
        <is>
          <t>YACYRETA</t>
        </is>
      </c>
      <c r="H295" s="6" t="inlineStr">
        <is>
          <t>SADI</t>
        </is>
      </c>
      <c r="I295" s="8" t="n">
        <v>979854</v>
      </c>
      <c r="J295" s="6" t="inlineStr">
        <is>
          <t>MWh</t>
        </is>
      </c>
      <c r="K295" s="8" t="n">
        <v>979854</v>
      </c>
      <c r="L295" s="6" t="inlineStr">
        <is>
          <t>MWh</t>
        </is>
      </c>
      <c r="M295" s="6" t="inlineStr">
        <is>
          <t>EBY</t>
        </is>
      </c>
      <c r="N295" s="6" t="inlineStr">
        <is>
          <t>OFFICIAL_PRIMARY</t>
        </is>
      </c>
      <c r="O295" s="9" t="inlineStr">
        <is>
          <t>OFFICIAL_AGGREGATE</t>
        </is>
      </c>
      <c r="P295" s="8" t="n">
        <v>1</v>
      </c>
      <c r="Q295" s="8" t="n">
        <v>50</v>
      </c>
      <c r="R295" s="7" t="inlineStr">
        <is>
          <t>https://www.eby.gov.py/wp-content/uploads/2019/12/YacyretaEnergiasMensualesDesdePuestaenMarcha.pdf</t>
        </is>
      </c>
      <c r="S295" s="6" t="inlineStr">
        <is>
          <t>EBY-MONTHLY-1994-2012</t>
        </is>
      </c>
      <c r="T295" s="6" t="inlineStr"/>
      <c r="U295" s="4" t="inlineStr">
        <is>
          <t>2026-09-10 23:00:00</t>
        </is>
      </c>
      <c r="V295" s="4" t="inlineStr">
        <is>
          <t>Energia mensual entregada al SADI.</t>
        </is>
      </c>
    </row>
    <row r="296">
      <c r="A296" s="6" t="inlineStr">
        <is>
          <t>R0000295</t>
        </is>
      </c>
      <c r="B296" s="6" t="inlineStr">
        <is>
          <t>1998-05-01</t>
        </is>
      </c>
      <c r="C296" s="6" t="inlineStr">
        <is>
          <t>1998-05-31</t>
        </is>
      </c>
      <c r="D296" s="6" t="inlineStr">
        <is>
          <t>month</t>
        </is>
      </c>
      <c r="E296" s="6" t="inlineStr">
        <is>
          <t>ENERGY_TO_PY</t>
        </is>
      </c>
      <c r="F296" s="6" t="inlineStr">
        <is>
          <t>YACYRETA</t>
        </is>
      </c>
      <c r="G296" s="6" t="inlineStr">
        <is>
          <t>YACYRETA</t>
        </is>
      </c>
      <c r="H296" s="6" t="inlineStr">
        <is>
          <t>SINP</t>
        </is>
      </c>
      <c r="I296" s="8" t="n">
        <v>8558</v>
      </c>
      <c r="J296" s="6" t="inlineStr">
        <is>
          <t>MWh</t>
        </is>
      </c>
      <c r="K296" s="8" t="n">
        <v>8558</v>
      </c>
      <c r="L296" s="6" t="inlineStr">
        <is>
          <t>MWh</t>
        </is>
      </c>
      <c r="M296" s="6" t="inlineStr">
        <is>
          <t>EBY</t>
        </is>
      </c>
      <c r="N296" s="6" t="inlineStr">
        <is>
          <t>OFFICIAL_PRIMARY</t>
        </is>
      </c>
      <c r="O296" s="9" t="inlineStr">
        <is>
          <t>OFFICIAL_AGGREGATE</t>
        </is>
      </c>
      <c r="P296" s="8" t="n">
        <v>1</v>
      </c>
      <c r="Q296" s="8" t="n">
        <v>50</v>
      </c>
      <c r="R296" s="7" t="inlineStr">
        <is>
          <t>https://www.eby.gov.py/wp-content/uploads/2019/12/YacyretaEnergiasMensualesDesdePuestaenMarcha.pdf</t>
        </is>
      </c>
      <c r="S296" s="6" t="inlineStr">
        <is>
          <t>EBY-MONTHLY-1994-2012</t>
        </is>
      </c>
      <c r="T296" s="6" t="inlineStr"/>
      <c r="U296" s="4" t="inlineStr">
        <is>
          <t>2026-09-10 23:00:00</t>
        </is>
      </c>
      <c r="V296" s="4" t="inlineStr">
        <is>
          <t>Energia mensual entregada al SINP.</t>
        </is>
      </c>
    </row>
    <row r="297">
      <c r="A297" s="6" t="inlineStr">
        <is>
          <t>R0000296</t>
        </is>
      </c>
      <c r="B297" s="6" t="inlineStr">
        <is>
          <t>1998-06-01</t>
        </is>
      </c>
      <c r="C297" s="6" t="inlineStr">
        <is>
          <t>1998-06-30</t>
        </is>
      </c>
      <c r="D297" s="6" t="inlineStr">
        <is>
          <t>month</t>
        </is>
      </c>
      <c r="E297" s="6" t="inlineStr">
        <is>
          <t>YACYRETA_NET_ENERGY</t>
        </is>
      </c>
      <c r="F297" s="6" t="inlineStr">
        <is>
          <t>YACYRETA</t>
        </is>
      </c>
      <c r="G297" s="6" t="inlineStr">
        <is>
          <t>YACYRETA</t>
        </is>
      </c>
      <c r="H297" s="6" t="inlineStr">
        <is>
          <t>TOTAL</t>
        </is>
      </c>
      <c r="I297" s="8" t="n">
        <v>1069650</v>
      </c>
      <c r="J297" s="6" t="inlineStr">
        <is>
          <t>MWh</t>
        </is>
      </c>
      <c r="K297" s="8" t="n">
        <v>1069650</v>
      </c>
      <c r="L297" s="6" t="inlineStr">
        <is>
          <t>MWh</t>
        </is>
      </c>
      <c r="M297" s="6" t="inlineStr">
        <is>
          <t>EBY</t>
        </is>
      </c>
      <c r="N297" s="6" t="inlineStr">
        <is>
          <t>OFFICIAL_PRIMARY</t>
        </is>
      </c>
      <c r="O297" s="9" t="inlineStr">
        <is>
          <t>OFFICIAL_AGGREGATE</t>
        </is>
      </c>
      <c r="P297" s="8" t="n">
        <v>1</v>
      </c>
      <c r="Q297" s="8" t="n">
        <v>50</v>
      </c>
      <c r="R297" s="7" t="inlineStr">
        <is>
          <t>https://www.eby.gov.py/wp-content/uploads/2019/12/YacyretaEnergiasMensualesDesdePuestaenMarcha.pdf</t>
        </is>
      </c>
      <c r="S297" s="6" t="inlineStr">
        <is>
          <t>EBY-MONTHLY-1994-2012</t>
        </is>
      </c>
      <c r="T297" s="6" t="inlineStr"/>
      <c r="U297" s="4" t="inlineStr">
        <is>
          <t>2026-09-10 23:00:00</t>
        </is>
      </c>
      <c r="V297" s="4" t="inlineStr">
        <is>
          <t>Energia mensual Yacyreta desde puesta en marcha.</t>
        </is>
      </c>
    </row>
    <row r="298">
      <c r="A298" s="6" t="inlineStr">
        <is>
          <t>R0000297</t>
        </is>
      </c>
      <c r="B298" s="6" t="inlineStr">
        <is>
          <t>1998-06-01</t>
        </is>
      </c>
      <c r="C298" s="6" t="inlineStr">
        <is>
          <t>1998-06-30</t>
        </is>
      </c>
      <c r="D298" s="6" t="inlineStr">
        <is>
          <t>month</t>
        </is>
      </c>
      <c r="E298" s="6" t="inlineStr">
        <is>
          <t>ENERGY_TO_ARGENTINA</t>
        </is>
      </c>
      <c r="F298" s="6" t="inlineStr">
        <is>
          <t>YACYRETA</t>
        </is>
      </c>
      <c r="G298" s="6" t="inlineStr">
        <is>
          <t>YACYRETA</t>
        </is>
      </c>
      <c r="H298" s="6" t="inlineStr">
        <is>
          <t>SADI</t>
        </is>
      </c>
      <c r="I298" s="8" t="n">
        <v>1058430</v>
      </c>
      <c r="J298" s="6" t="inlineStr">
        <is>
          <t>MWh</t>
        </is>
      </c>
      <c r="K298" s="8" t="n">
        <v>1058430</v>
      </c>
      <c r="L298" s="6" t="inlineStr">
        <is>
          <t>MWh</t>
        </is>
      </c>
      <c r="M298" s="6" t="inlineStr">
        <is>
          <t>EBY</t>
        </is>
      </c>
      <c r="N298" s="6" t="inlineStr">
        <is>
          <t>OFFICIAL_PRIMARY</t>
        </is>
      </c>
      <c r="O298" s="9" t="inlineStr">
        <is>
          <t>OFFICIAL_AGGREGATE</t>
        </is>
      </c>
      <c r="P298" s="8" t="n">
        <v>1</v>
      </c>
      <c r="Q298" s="8" t="n">
        <v>50</v>
      </c>
      <c r="R298" s="7" t="inlineStr">
        <is>
          <t>https://www.eby.gov.py/wp-content/uploads/2019/12/YacyretaEnergiasMensualesDesdePuestaenMarcha.pdf</t>
        </is>
      </c>
      <c r="S298" s="6" t="inlineStr">
        <is>
          <t>EBY-MONTHLY-1994-2012</t>
        </is>
      </c>
      <c r="T298" s="6" t="inlineStr"/>
      <c r="U298" s="4" t="inlineStr">
        <is>
          <t>2026-09-10 23:00:00</t>
        </is>
      </c>
      <c r="V298" s="4" t="inlineStr">
        <is>
          <t>Energia mensual entregada al SADI.</t>
        </is>
      </c>
    </row>
    <row r="299">
      <c r="A299" s="6" t="inlineStr">
        <is>
          <t>R0000298</t>
        </is>
      </c>
      <c r="B299" s="6" t="inlineStr">
        <is>
          <t>1998-06-01</t>
        </is>
      </c>
      <c r="C299" s="6" t="inlineStr">
        <is>
          <t>1998-06-30</t>
        </is>
      </c>
      <c r="D299" s="6" t="inlineStr">
        <is>
          <t>month</t>
        </is>
      </c>
      <c r="E299" s="6" t="inlineStr">
        <is>
          <t>ENERGY_TO_PY</t>
        </is>
      </c>
      <c r="F299" s="6" t="inlineStr">
        <is>
          <t>YACYRETA</t>
        </is>
      </c>
      <c r="G299" s="6" t="inlineStr">
        <is>
          <t>YACYRETA</t>
        </is>
      </c>
      <c r="H299" s="6" t="inlineStr">
        <is>
          <t>SINP</t>
        </is>
      </c>
      <c r="I299" s="8" t="n">
        <v>11220</v>
      </c>
      <c r="J299" s="6" t="inlineStr">
        <is>
          <t>MWh</t>
        </is>
      </c>
      <c r="K299" s="8" t="n">
        <v>11220</v>
      </c>
      <c r="L299" s="6" t="inlineStr">
        <is>
          <t>MWh</t>
        </is>
      </c>
      <c r="M299" s="6" t="inlineStr">
        <is>
          <t>EBY</t>
        </is>
      </c>
      <c r="N299" s="6" t="inlineStr">
        <is>
          <t>OFFICIAL_PRIMARY</t>
        </is>
      </c>
      <c r="O299" s="9" t="inlineStr">
        <is>
          <t>OFFICIAL_AGGREGATE</t>
        </is>
      </c>
      <c r="P299" s="8" t="n">
        <v>1</v>
      </c>
      <c r="Q299" s="8" t="n">
        <v>50</v>
      </c>
      <c r="R299" s="7" t="inlineStr">
        <is>
          <t>https://www.eby.gov.py/wp-content/uploads/2019/12/YacyretaEnergiasMensualesDesdePuestaenMarcha.pdf</t>
        </is>
      </c>
      <c r="S299" s="6" t="inlineStr">
        <is>
          <t>EBY-MONTHLY-1994-2012</t>
        </is>
      </c>
      <c r="T299" s="6" t="inlineStr"/>
      <c r="U299" s="4" t="inlineStr">
        <is>
          <t>2026-09-10 23:00:00</t>
        </is>
      </c>
      <c r="V299" s="4" t="inlineStr">
        <is>
          <t>Energia mensual entregada al SINP.</t>
        </is>
      </c>
    </row>
    <row r="300">
      <c r="A300" s="6" t="inlineStr">
        <is>
          <t>R0000299</t>
        </is>
      </c>
      <c r="B300" s="6" t="inlineStr">
        <is>
          <t>1998-07-01</t>
        </is>
      </c>
      <c r="C300" s="6" t="inlineStr">
        <is>
          <t>1998-07-31</t>
        </is>
      </c>
      <c r="D300" s="6" t="inlineStr">
        <is>
          <t>month</t>
        </is>
      </c>
      <c r="E300" s="6" t="inlineStr">
        <is>
          <t>YACYRETA_NET_ENERGY</t>
        </is>
      </c>
      <c r="F300" s="6" t="inlineStr">
        <is>
          <t>YACYRETA</t>
        </is>
      </c>
      <c r="G300" s="6" t="inlineStr">
        <is>
          <t>YACYRETA</t>
        </is>
      </c>
      <c r="H300" s="6" t="inlineStr">
        <is>
          <t>TOTAL</t>
        </is>
      </c>
      <c r="I300" s="8" t="n">
        <v>1102135</v>
      </c>
      <c r="J300" s="6" t="inlineStr">
        <is>
          <t>MWh</t>
        </is>
      </c>
      <c r="K300" s="8" t="n">
        <v>1102135</v>
      </c>
      <c r="L300" s="6" t="inlineStr">
        <is>
          <t>MWh</t>
        </is>
      </c>
      <c r="M300" s="6" t="inlineStr">
        <is>
          <t>EBY</t>
        </is>
      </c>
      <c r="N300" s="6" t="inlineStr">
        <is>
          <t>OFFICIAL_PRIMARY</t>
        </is>
      </c>
      <c r="O300" s="9" t="inlineStr">
        <is>
          <t>OFFICIAL_AGGREGATE</t>
        </is>
      </c>
      <c r="P300" s="8" t="n">
        <v>1</v>
      </c>
      <c r="Q300" s="8" t="n">
        <v>50</v>
      </c>
      <c r="R300" s="7" t="inlineStr">
        <is>
          <t>https://www.eby.gov.py/wp-content/uploads/2019/12/YacyretaEnergiasMensualesDesdePuestaenMarcha.pdf</t>
        </is>
      </c>
      <c r="S300" s="6" t="inlineStr">
        <is>
          <t>EBY-MONTHLY-1994-2012</t>
        </is>
      </c>
      <c r="T300" s="6" t="inlineStr"/>
      <c r="U300" s="4" t="inlineStr">
        <is>
          <t>2026-09-10 23:00:00</t>
        </is>
      </c>
      <c r="V300" s="4" t="inlineStr">
        <is>
          <t>Energia mensual Yacyreta desde puesta en marcha.</t>
        </is>
      </c>
    </row>
    <row r="301">
      <c r="A301" s="6" t="inlineStr">
        <is>
          <t>R0000300</t>
        </is>
      </c>
      <c r="B301" s="6" t="inlineStr">
        <is>
          <t>1998-07-01</t>
        </is>
      </c>
      <c r="C301" s="6" t="inlineStr">
        <is>
          <t>1998-07-31</t>
        </is>
      </c>
      <c r="D301" s="6" t="inlineStr">
        <is>
          <t>month</t>
        </is>
      </c>
      <c r="E301" s="6" t="inlineStr">
        <is>
          <t>ENERGY_TO_ARGENTINA</t>
        </is>
      </c>
      <c r="F301" s="6" t="inlineStr">
        <is>
          <t>YACYRETA</t>
        </is>
      </c>
      <c r="G301" s="6" t="inlineStr">
        <is>
          <t>YACYRETA</t>
        </is>
      </c>
      <c r="H301" s="6" t="inlineStr">
        <is>
          <t>SADI</t>
        </is>
      </c>
      <c r="I301" s="8" t="n">
        <v>1094334</v>
      </c>
      <c r="J301" s="6" t="inlineStr">
        <is>
          <t>MWh</t>
        </is>
      </c>
      <c r="K301" s="8" t="n">
        <v>1094334</v>
      </c>
      <c r="L301" s="6" t="inlineStr">
        <is>
          <t>MWh</t>
        </is>
      </c>
      <c r="M301" s="6" t="inlineStr">
        <is>
          <t>EBY</t>
        </is>
      </c>
      <c r="N301" s="6" t="inlineStr">
        <is>
          <t>OFFICIAL_PRIMARY</t>
        </is>
      </c>
      <c r="O301" s="9" t="inlineStr">
        <is>
          <t>OFFICIAL_AGGREGATE</t>
        </is>
      </c>
      <c r="P301" s="8" t="n">
        <v>1</v>
      </c>
      <c r="Q301" s="8" t="n">
        <v>50</v>
      </c>
      <c r="R301" s="7" t="inlineStr">
        <is>
          <t>https://www.eby.gov.py/wp-content/uploads/2019/12/YacyretaEnergiasMensualesDesdePuestaenMarcha.pdf</t>
        </is>
      </c>
      <c r="S301" s="6" t="inlineStr">
        <is>
          <t>EBY-MONTHLY-1994-2012</t>
        </is>
      </c>
      <c r="T301" s="6" t="inlineStr"/>
      <c r="U301" s="4" t="inlineStr">
        <is>
          <t>2026-09-10 23:00:00</t>
        </is>
      </c>
      <c r="V301" s="4" t="inlineStr">
        <is>
          <t>Energia mensual entregada al SADI.</t>
        </is>
      </c>
    </row>
    <row r="302">
      <c r="A302" s="6" t="inlineStr">
        <is>
          <t>R0000301</t>
        </is>
      </c>
      <c r="B302" s="6" t="inlineStr">
        <is>
          <t>1998-07-01</t>
        </is>
      </c>
      <c r="C302" s="6" t="inlineStr">
        <is>
          <t>1998-07-31</t>
        </is>
      </c>
      <c r="D302" s="6" t="inlineStr">
        <is>
          <t>month</t>
        </is>
      </c>
      <c r="E302" s="6" t="inlineStr">
        <is>
          <t>ENERGY_TO_PY</t>
        </is>
      </c>
      <c r="F302" s="6" t="inlineStr">
        <is>
          <t>YACYRETA</t>
        </is>
      </c>
      <c r="G302" s="6" t="inlineStr">
        <is>
          <t>YACYRETA</t>
        </is>
      </c>
      <c r="H302" s="6" t="inlineStr">
        <is>
          <t>SINP</t>
        </is>
      </c>
      <c r="I302" s="8" t="n">
        <v>7801</v>
      </c>
      <c r="J302" s="6" t="inlineStr">
        <is>
          <t>MWh</t>
        </is>
      </c>
      <c r="K302" s="8" t="n">
        <v>7801</v>
      </c>
      <c r="L302" s="6" t="inlineStr">
        <is>
          <t>MWh</t>
        </is>
      </c>
      <c r="M302" s="6" t="inlineStr">
        <is>
          <t>EBY</t>
        </is>
      </c>
      <c r="N302" s="6" t="inlineStr">
        <is>
          <t>OFFICIAL_PRIMARY</t>
        </is>
      </c>
      <c r="O302" s="9" t="inlineStr">
        <is>
          <t>OFFICIAL_AGGREGATE</t>
        </is>
      </c>
      <c r="P302" s="8" t="n">
        <v>1</v>
      </c>
      <c r="Q302" s="8" t="n">
        <v>50</v>
      </c>
      <c r="R302" s="7" t="inlineStr">
        <is>
          <t>https://www.eby.gov.py/wp-content/uploads/2019/12/YacyretaEnergiasMensualesDesdePuestaenMarcha.pdf</t>
        </is>
      </c>
      <c r="S302" s="6" t="inlineStr">
        <is>
          <t>EBY-MONTHLY-1994-2012</t>
        </is>
      </c>
      <c r="T302" s="6" t="inlineStr"/>
      <c r="U302" s="4" t="inlineStr">
        <is>
          <t>2026-09-10 23:00:00</t>
        </is>
      </c>
      <c r="V302" s="4" t="inlineStr">
        <is>
          <t>Energia mensual entregada al SINP.</t>
        </is>
      </c>
    </row>
    <row r="303">
      <c r="A303" s="6" t="inlineStr">
        <is>
          <t>R0000302</t>
        </is>
      </c>
      <c r="B303" s="6" t="inlineStr">
        <is>
          <t>1998-08-01</t>
        </is>
      </c>
      <c r="C303" s="6" t="inlineStr">
        <is>
          <t>1998-08-31</t>
        </is>
      </c>
      <c r="D303" s="6" t="inlineStr">
        <is>
          <t>month</t>
        </is>
      </c>
      <c r="E303" s="6" t="inlineStr">
        <is>
          <t>YACYRETA_NET_ENERGY</t>
        </is>
      </c>
      <c r="F303" s="6" t="inlineStr">
        <is>
          <t>YACYRETA</t>
        </is>
      </c>
      <c r="G303" s="6" t="inlineStr">
        <is>
          <t>YACYRETA</t>
        </is>
      </c>
      <c r="H303" s="6" t="inlineStr">
        <is>
          <t>TOTAL</t>
        </is>
      </c>
      <c r="I303" s="8" t="n">
        <v>1039960</v>
      </c>
      <c r="J303" s="6" t="inlineStr">
        <is>
          <t>MWh</t>
        </is>
      </c>
      <c r="K303" s="8" t="n">
        <v>1039960</v>
      </c>
      <c r="L303" s="6" t="inlineStr">
        <is>
          <t>MWh</t>
        </is>
      </c>
      <c r="M303" s="6" t="inlineStr">
        <is>
          <t>EBY</t>
        </is>
      </c>
      <c r="N303" s="6" t="inlineStr">
        <is>
          <t>OFFICIAL_PRIMARY</t>
        </is>
      </c>
      <c r="O303" s="9" t="inlineStr">
        <is>
          <t>OFFICIAL_AGGREGATE</t>
        </is>
      </c>
      <c r="P303" s="8" t="n">
        <v>1</v>
      </c>
      <c r="Q303" s="8" t="n">
        <v>50</v>
      </c>
      <c r="R303" s="7" t="inlineStr">
        <is>
          <t>https://www.eby.gov.py/wp-content/uploads/2019/12/YacyretaEnergiasMensualesDesdePuestaenMarcha.pdf</t>
        </is>
      </c>
      <c r="S303" s="6" t="inlineStr">
        <is>
          <t>EBY-MONTHLY-1994-2012</t>
        </is>
      </c>
      <c r="T303" s="6" t="inlineStr"/>
      <c r="U303" s="4" t="inlineStr">
        <is>
          <t>2026-09-10 23:00:00</t>
        </is>
      </c>
      <c r="V303" s="4" t="inlineStr">
        <is>
          <t>Energia mensual Yacyreta desde puesta en marcha.</t>
        </is>
      </c>
    </row>
    <row r="304">
      <c r="A304" s="6" t="inlineStr">
        <is>
          <t>R0000303</t>
        </is>
      </c>
      <c r="B304" s="6" t="inlineStr">
        <is>
          <t>1998-08-01</t>
        </is>
      </c>
      <c r="C304" s="6" t="inlineStr">
        <is>
          <t>1998-08-31</t>
        </is>
      </c>
      <c r="D304" s="6" t="inlineStr">
        <is>
          <t>month</t>
        </is>
      </c>
      <c r="E304" s="6" t="inlineStr">
        <is>
          <t>ENERGY_TO_ARGENTINA</t>
        </is>
      </c>
      <c r="F304" s="6" t="inlineStr">
        <is>
          <t>YACYRETA</t>
        </is>
      </c>
      <c r="G304" s="6" t="inlineStr">
        <is>
          <t>YACYRETA</t>
        </is>
      </c>
      <c r="H304" s="6" t="inlineStr">
        <is>
          <t>SADI</t>
        </is>
      </c>
      <c r="I304" s="8" t="n">
        <v>1033611</v>
      </c>
      <c r="J304" s="6" t="inlineStr">
        <is>
          <t>MWh</t>
        </is>
      </c>
      <c r="K304" s="8" t="n">
        <v>1033611</v>
      </c>
      <c r="L304" s="6" t="inlineStr">
        <is>
          <t>MWh</t>
        </is>
      </c>
      <c r="M304" s="6" t="inlineStr">
        <is>
          <t>EBY</t>
        </is>
      </c>
      <c r="N304" s="6" t="inlineStr">
        <is>
          <t>OFFICIAL_PRIMARY</t>
        </is>
      </c>
      <c r="O304" s="9" t="inlineStr">
        <is>
          <t>OFFICIAL_AGGREGATE</t>
        </is>
      </c>
      <c r="P304" s="8" t="n">
        <v>1</v>
      </c>
      <c r="Q304" s="8" t="n">
        <v>50</v>
      </c>
      <c r="R304" s="7" t="inlineStr">
        <is>
          <t>https://www.eby.gov.py/wp-content/uploads/2019/12/YacyretaEnergiasMensualesDesdePuestaenMarcha.pdf</t>
        </is>
      </c>
      <c r="S304" s="6" t="inlineStr">
        <is>
          <t>EBY-MONTHLY-1994-2012</t>
        </is>
      </c>
      <c r="T304" s="6" t="inlineStr"/>
      <c r="U304" s="4" t="inlineStr">
        <is>
          <t>2026-09-10 23:00:00</t>
        </is>
      </c>
      <c r="V304" s="4" t="inlineStr">
        <is>
          <t>Energia mensual entregada al SADI.</t>
        </is>
      </c>
    </row>
    <row r="305">
      <c r="A305" s="6" t="inlineStr">
        <is>
          <t>R0000304</t>
        </is>
      </c>
      <c r="B305" s="6" t="inlineStr">
        <is>
          <t>1998-08-01</t>
        </is>
      </c>
      <c r="C305" s="6" t="inlineStr">
        <is>
          <t>1998-08-31</t>
        </is>
      </c>
      <c r="D305" s="6" t="inlineStr">
        <is>
          <t>month</t>
        </is>
      </c>
      <c r="E305" s="6" t="inlineStr">
        <is>
          <t>ENERGY_TO_PY</t>
        </is>
      </c>
      <c r="F305" s="6" t="inlineStr">
        <is>
          <t>YACYRETA</t>
        </is>
      </c>
      <c r="G305" s="6" t="inlineStr">
        <is>
          <t>YACYRETA</t>
        </is>
      </c>
      <c r="H305" s="6" t="inlineStr">
        <is>
          <t>SINP</t>
        </is>
      </c>
      <c r="I305" s="8" t="n">
        <v>6350</v>
      </c>
      <c r="J305" s="6" t="inlineStr">
        <is>
          <t>MWh</t>
        </is>
      </c>
      <c r="K305" s="8" t="n">
        <v>6350</v>
      </c>
      <c r="L305" s="6" t="inlineStr">
        <is>
          <t>MWh</t>
        </is>
      </c>
      <c r="M305" s="6" t="inlineStr">
        <is>
          <t>EBY</t>
        </is>
      </c>
      <c r="N305" s="6" t="inlineStr">
        <is>
          <t>OFFICIAL_PRIMARY</t>
        </is>
      </c>
      <c r="O305" s="9" t="inlineStr">
        <is>
          <t>OFFICIAL_AGGREGATE</t>
        </is>
      </c>
      <c r="P305" s="8" t="n">
        <v>1</v>
      </c>
      <c r="Q305" s="8" t="n">
        <v>50</v>
      </c>
      <c r="R305" s="7" t="inlineStr">
        <is>
          <t>https://www.eby.gov.py/wp-content/uploads/2019/12/YacyretaEnergiasMensualesDesdePuestaenMarcha.pdf</t>
        </is>
      </c>
      <c r="S305" s="6" t="inlineStr">
        <is>
          <t>EBY-MONTHLY-1994-2012</t>
        </is>
      </c>
      <c r="T305" s="6" t="inlineStr"/>
      <c r="U305" s="4" t="inlineStr">
        <is>
          <t>2026-09-10 23:00:00</t>
        </is>
      </c>
      <c r="V305" s="4" t="inlineStr">
        <is>
          <t>Energia mensual entregada al SINP.</t>
        </is>
      </c>
    </row>
    <row r="306">
      <c r="A306" s="6" t="inlineStr">
        <is>
          <t>R0000305</t>
        </is>
      </c>
      <c r="B306" s="6" t="inlineStr">
        <is>
          <t>1998-09-01</t>
        </is>
      </c>
      <c r="C306" s="6" t="inlineStr">
        <is>
          <t>1998-09-30</t>
        </is>
      </c>
      <c r="D306" s="6" t="inlineStr">
        <is>
          <t>month</t>
        </is>
      </c>
      <c r="E306" s="6" t="inlineStr">
        <is>
          <t>YACYRETA_NET_ENERGY</t>
        </is>
      </c>
      <c r="F306" s="6" t="inlineStr">
        <is>
          <t>YACYRETA</t>
        </is>
      </c>
      <c r="G306" s="6" t="inlineStr">
        <is>
          <t>YACYRETA</t>
        </is>
      </c>
      <c r="H306" s="6" t="inlineStr">
        <is>
          <t>TOTAL</t>
        </is>
      </c>
      <c r="I306" s="8" t="n">
        <v>993949</v>
      </c>
      <c r="J306" s="6" t="inlineStr">
        <is>
          <t>MWh</t>
        </is>
      </c>
      <c r="K306" s="8" t="n">
        <v>993949</v>
      </c>
      <c r="L306" s="6" t="inlineStr">
        <is>
          <t>MWh</t>
        </is>
      </c>
      <c r="M306" s="6" t="inlineStr">
        <is>
          <t>EBY</t>
        </is>
      </c>
      <c r="N306" s="6" t="inlineStr">
        <is>
          <t>OFFICIAL_PRIMARY</t>
        </is>
      </c>
      <c r="O306" s="9" t="inlineStr">
        <is>
          <t>OFFICIAL_AGGREGATE</t>
        </is>
      </c>
      <c r="P306" s="8" t="n">
        <v>1</v>
      </c>
      <c r="Q306" s="8" t="n">
        <v>50</v>
      </c>
      <c r="R306" s="7" t="inlineStr">
        <is>
          <t>https://www.eby.gov.py/wp-content/uploads/2019/12/YacyretaEnergiasMensualesDesdePuestaenMarcha.pdf</t>
        </is>
      </c>
      <c r="S306" s="6" t="inlineStr">
        <is>
          <t>EBY-MONTHLY-1994-2012</t>
        </is>
      </c>
      <c r="T306" s="6" t="inlineStr"/>
      <c r="U306" s="4" t="inlineStr">
        <is>
          <t>2026-09-10 23:00:00</t>
        </is>
      </c>
      <c r="V306" s="4" t="inlineStr">
        <is>
          <t>Energia mensual Yacyreta desde puesta en marcha.</t>
        </is>
      </c>
    </row>
    <row r="307">
      <c r="A307" s="6" t="inlineStr">
        <is>
          <t>R0000306</t>
        </is>
      </c>
      <c r="B307" s="6" t="inlineStr">
        <is>
          <t>1998-09-01</t>
        </is>
      </c>
      <c r="C307" s="6" t="inlineStr">
        <is>
          <t>1998-09-30</t>
        </is>
      </c>
      <c r="D307" s="6" t="inlineStr">
        <is>
          <t>month</t>
        </is>
      </c>
      <c r="E307" s="6" t="inlineStr">
        <is>
          <t>ENERGY_TO_ARGENTINA</t>
        </is>
      </c>
      <c r="F307" s="6" t="inlineStr">
        <is>
          <t>YACYRETA</t>
        </is>
      </c>
      <c r="G307" s="6" t="inlineStr">
        <is>
          <t>YACYRETA</t>
        </is>
      </c>
      <c r="H307" s="6" t="inlineStr">
        <is>
          <t>SADI</t>
        </is>
      </c>
      <c r="I307" s="8" t="n">
        <v>987876</v>
      </c>
      <c r="J307" s="6" t="inlineStr">
        <is>
          <t>MWh</t>
        </is>
      </c>
      <c r="K307" s="8" t="n">
        <v>987876</v>
      </c>
      <c r="L307" s="6" t="inlineStr">
        <is>
          <t>MWh</t>
        </is>
      </c>
      <c r="M307" s="6" t="inlineStr">
        <is>
          <t>EBY</t>
        </is>
      </c>
      <c r="N307" s="6" t="inlineStr">
        <is>
          <t>OFFICIAL_PRIMARY</t>
        </is>
      </c>
      <c r="O307" s="9" t="inlineStr">
        <is>
          <t>OFFICIAL_AGGREGATE</t>
        </is>
      </c>
      <c r="P307" s="8" t="n">
        <v>1</v>
      </c>
      <c r="Q307" s="8" t="n">
        <v>50</v>
      </c>
      <c r="R307" s="7" t="inlineStr">
        <is>
          <t>https://www.eby.gov.py/wp-content/uploads/2019/12/YacyretaEnergiasMensualesDesdePuestaenMarcha.pdf</t>
        </is>
      </c>
      <c r="S307" s="6" t="inlineStr">
        <is>
          <t>EBY-MONTHLY-1994-2012</t>
        </is>
      </c>
      <c r="T307" s="6" t="inlineStr"/>
      <c r="U307" s="4" t="inlineStr">
        <is>
          <t>2026-09-10 23:00:00</t>
        </is>
      </c>
      <c r="V307" s="4" t="inlineStr">
        <is>
          <t>Energia mensual entregada al SADI.</t>
        </is>
      </c>
    </row>
    <row r="308">
      <c r="A308" s="6" t="inlineStr">
        <is>
          <t>R0000307</t>
        </is>
      </c>
      <c r="B308" s="6" t="inlineStr">
        <is>
          <t>1998-09-01</t>
        </is>
      </c>
      <c r="C308" s="6" t="inlineStr">
        <is>
          <t>1998-09-30</t>
        </is>
      </c>
      <c r="D308" s="6" t="inlineStr">
        <is>
          <t>month</t>
        </is>
      </c>
      <c r="E308" s="6" t="inlineStr">
        <is>
          <t>ENERGY_TO_PY</t>
        </is>
      </c>
      <c r="F308" s="6" t="inlineStr">
        <is>
          <t>YACYRETA</t>
        </is>
      </c>
      <c r="G308" s="6" t="inlineStr">
        <is>
          <t>YACYRETA</t>
        </is>
      </c>
      <c r="H308" s="6" t="inlineStr">
        <is>
          <t>SINP</t>
        </is>
      </c>
      <c r="I308" s="8" t="n">
        <v>6073</v>
      </c>
      <c r="J308" s="6" t="inlineStr">
        <is>
          <t>MWh</t>
        </is>
      </c>
      <c r="K308" s="8" t="n">
        <v>6073</v>
      </c>
      <c r="L308" s="6" t="inlineStr">
        <is>
          <t>MWh</t>
        </is>
      </c>
      <c r="M308" s="6" t="inlineStr">
        <is>
          <t>EBY</t>
        </is>
      </c>
      <c r="N308" s="6" t="inlineStr">
        <is>
          <t>OFFICIAL_PRIMARY</t>
        </is>
      </c>
      <c r="O308" s="9" t="inlineStr">
        <is>
          <t>OFFICIAL_AGGREGATE</t>
        </is>
      </c>
      <c r="P308" s="8" t="n">
        <v>1</v>
      </c>
      <c r="Q308" s="8" t="n">
        <v>50</v>
      </c>
      <c r="R308" s="7" t="inlineStr">
        <is>
          <t>https://www.eby.gov.py/wp-content/uploads/2019/12/YacyretaEnergiasMensualesDesdePuestaenMarcha.pdf</t>
        </is>
      </c>
      <c r="S308" s="6" t="inlineStr">
        <is>
          <t>EBY-MONTHLY-1994-2012</t>
        </is>
      </c>
      <c r="T308" s="6" t="inlineStr"/>
      <c r="U308" s="4" t="inlineStr">
        <is>
          <t>2026-09-10 23:00:00</t>
        </is>
      </c>
      <c r="V308" s="4" t="inlineStr">
        <is>
          <t>Energia mensual entregada al SINP.</t>
        </is>
      </c>
    </row>
    <row r="309">
      <c r="A309" s="6" t="inlineStr">
        <is>
          <t>R0000308</t>
        </is>
      </c>
      <c r="B309" s="6" t="inlineStr">
        <is>
          <t>1998-10-01</t>
        </is>
      </c>
      <c r="C309" s="6" t="inlineStr">
        <is>
          <t>1998-10-31</t>
        </is>
      </c>
      <c r="D309" s="6" t="inlineStr">
        <is>
          <t>month</t>
        </is>
      </c>
      <c r="E309" s="6" t="inlineStr">
        <is>
          <t>YACYRETA_NET_ENERGY</t>
        </is>
      </c>
      <c r="F309" s="6" t="inlineStr">
        <is>
          <t>YACYRETA</t>
        </is>
      </c>
      <c r="G309" s="6" t="inlineStr">
        <is>
          <t>YACYRETA</t>
        </is>
      </c>
      <c r="H309" s="6" t="inlineStr">
        <is>
          <t>TOTAL</t>
        </is>
      </c>
      <c r="I309" s="8" t="n">
        <v>833916</v>
      </c>
      <c r="J309" s="6" t="inlineStr">
        <is>
          <t>MWh</t>
        </is>
      </c>
      <c r="K309" s="8" t="n">
        <v>833916</v>
      </c>
      <c r="L309" s="6" t="inlineStr">
        <is>
          <t>MWh</t>
        </is>
      </c>
      <c r="M309" s="6" t="inlineStr">
        <is>
          <t>EBY</t>
        </is>
      </c>
      <c r="N309" s="6" t="inlineStr">
        <is>
          <t>OFFICIAL_PRIMARY</t>
        </is>
      </c>
      <c r="O309" s="9" t="inlineStr">
        <is>
          <t>OFFICIAL_AGGREGATE</t>
        </is>
      </c>
      <c r="P309" s="8" t="n">
        <v>1</v>
      </c>
      <c r="Q309" s="8" t="n">
        <v>50</v>
      </c>
      <c r="R309" s="7" t="inlineStr">
        <is>
          <t>https://www.eby.gov.py/wp-content/uploads/2019/12/YacyretaEnergiasMensualesDesdePuestaenMarcha.pdf</t>
        </is>
      </c>
      <c r="S309" s="6" t="inlineStr">
        <is>
          <t>EBY-MONTHLY-1994-2012</t>
        </is>
      </c>
      <c r="T309" s="6" t="inlineStr"/>
      <c r="U309" s="4" t="inlineStr">
        <is>
          <t>2026-09-10 23:00:00</t>
        </is>
      </c>
      <c r="V309" s="4" t="inlineStr">
        <is>
          <t>Energia mensual Yacyreta desde puesta en marcha.</t>
        </is>
      </c>
    </row>
    <row r="310">
      <c r="A310" s="6" t="inlineStr">
        <is>
          <t>R0000309</t>
        </is>
      </c>
      <c r="B310" s="6" t="inlineStr">
        <is>
          <t>1998-10-01</t>
        </is>
      </c>
      <c r="C310" s="6" t="inlineStr">
        <is>
          <t>1998-10-31</t>
        </is>
      </c>
      <c r="D310" s="6" t="inlineStr">
        <is>
          <t>month</t>
        </is>
      </c>
      <c r="E310" s="6" t="inlineStr">
        <is>
          <t>ENERGY_TO_ARGENTINA</t>
        </is>
      </c>
      <c r="F310" s="6" t="inlineStr">
        <is>
          <t>YACYRETA</t>
        </is>
      </c>
      <c r="G310" s="6" t="inlineStr">
        <is>
          <t>YACYRETA</t>
        </is>
      </c>
      <c r="H310" s="6" t="inlineStr">
        <is>
          <t>SADI</t>
        </is>
      </c>
      <c r="I310" s="8" t="n">
        <v>830070</v>
      </c>
      <c r="J310" s="6" t="inlineStr">
        <is>
          <t>MWh</t>
        </is>
      </c>
      <c r="K310" s="8" t="n">
        <v>830070</v>
      </c>
      <c r="L310" s="6" t="inlineStr">
        <is>
          <t>MWh</t>
        </is>
      </c>
      <c r="M310" s="6" t="inlineStr">
        <is>
          <t>EBY</t>
        </is>
      </c>
      <c r="N310" s="6" t="inlineStr">
        <is>
          <t>OFFICIAL_PRIMARY</t>
        </is>
      </c>
      <c r="O310" s="9" t="inlineStr">
        <is>
          <t>OFFICIAL_AGGREGATE</t>
        </is>
      </c>
      <c r="P310" s="8" t="n">
        <v>1</v>
      </c>
      <c r="Q310" s="8" t="n">
        <v>50</v>
      </c>
      <c r="R310" s="7" t="inlineStr">
        <is>
          <t>https://www.eby.gov.py/wp-content/uploads/2019/12/YacyretaEnergiasMensualesDesdePuestaenMarcha.pdf</t>
        </is>
      </c>
      <c r="S310" s="6" t="inlineStr">
        <is>
          <t>EBY-MONTHLY-1994-2012</t>
        </is>
      </c>
      <c r="T310" s="6" t="inlineStr"/>
      <c r="U310" s="4" t="inlineStr">
        <is>
          <t>2026-09-10 23:00:00</t>
        </is>
      </c>
      <c r="V310" s="4" t="inlineStr">
        <is>
          <t>Energia mensual entregada al SADI.</t>
        </is>
      </c>
    </row>
    <row r="311">
      <c r="A311" s="6" t="inlineStr">
        <is>
          <t>R0000310</t>
        </is>
      </c>
      <c r="B311" s="6" t="inlineStr">
        <is>
          <t>1998-10-01</t>
        </is>
      </c>
      <c r="C311" s="6" t="inlineStr">
        <is>
          <t>1998-10-31</t>
        </is>
      </c>
      <c r="D311" s="6" t="inlineStr">
        <is>
          <t>month</t>
        </is>
      </c>
      <c r="E311" s="6" t="inlineStr">
        <is>
          <t>ENERGY_TO_PY</t>
        </is>
      </c>
      <c r="F311" s="6" t="inlineStr">
        <is>
          <t>YACYRETA</t>
        </is>
      </c>
      <c r="G311" s="6" t="inlineStr">
        <is>
          <t>YACYRETA</t>
        </is>
      </c>
      <c r="H311" s="6" t="inlineStr">
        <is>
          <t>SINP</t>
        </is>
      </c>
      <c r="I311" s="8" t="n">
        <v>3846</v>
      </c>
      <c r="J311" s="6" t="inlineStr">
        <is>
          <t>MWh</t>
        </is>
      </c>
      <c r="K311" s="8" t="n">
        <v>3846</v>
      </c>
      <c r="L311" s="6" t="inlineStr">
        <is>
          <t>MWh</t>
        </is>
      </c>
      <c r="M311" s="6" t="inlineStr">
        <is>
          <t>EBY</t>
        </is>
      </c>
      <c r="N311" s="6" t="inlineStr">
        <is>
          <t>OFFICIAL_PRIMARY</t>
        </is>
      </c>
      <c r="O311" s="9" t="inlineStr">
        <is>
          <t>OFFICIAL_AGGREGATE</t>
        </is>
      </c>
      <c r="P311" s="8" t="n">
        <v>1</v>
      </c>
      <c r="Q311" s="8" t="n">
        <v>50</v>
      </c>
      <c r="R311" s="7" t="inlineStr">
        <is>
          <t>https://www.eby.gov.py/wp-content/uploads/2019/12/YacyretaEnergiasMensualesDesdePuestaenMarcha.pdf</t>
        </is>
      </c>
      <c r="S311" s="6" t="inlineStr">
        <is>
          <t>EBY-MONTHLY-1994-2012</t>
        </is>
      </c>
      <c r="T311" s="6" t="inlineStr"/>
      <c r="U311" s="4" t="inlineStr">
        <is>
          <t>2026-09-10 23:00:00</t>
        </is>
      </c>
      <c r="V311" s="4" t="inlineStr">
        <is>
          <t>Energia mensual entregada al SINP.</t>
        </is>
      </c>
    </row>
    <row r="312">
      <c r="A312" s="6" t="inlineStr">
        <is>
          <t>R0000311</t>
        </is>
      </c>
      <c r="B312" s="6" t="inlineStr">
        <is>
          <t>1998-11-01</t>
        </is>
      </c>
      <c r="C312" s="6" t="inlineStr">
        <is>
          <t>1998-11-30</t>
        </is>
      </c>
      <c r="D312" s="6" t="inlineStr">
        <is>
          <t>month</t>
        </is>
      </c>
      <c r="E312" s="6" t="inlineStr">
        <is>
          <t>YACYRETA_NET_ENERGY</t>
        </is>
      </c>
      <c r="F312" s="6" t="inlineStr">
        <is>
          <t>YACYRETA</t>
        </is>
      </c>
      <c r="G312" s="6" t="inlineStr">
        <is>
          <t>YACYRETA</t>
        </is>
      </c>
      <c r="H312" s="6" t="inlineStr">
        <is>
          <t>TOTAL</t>
        </is>
      </c>
      <c r="I312" s="8" t="n">
        <v>994867</v>
      </c>
      <c r="J312" s="6" t="inlineStr">
        <is>
          <t>MWh</t>
        </is>
      </c>
      <c r="K312" s="8" t="n">
        <v>994867</v>
      </c>
      <c r="L312" s="6" t="inlineStr">
        <is>
          <t>MWh</t>
        </is>
      </c>
      <c r="M312" s="6" t="inlineStr">
        <is>
          <t>EBY</t>
        </is>
      </c>
      <c r="N312" s="6" t="inlineStr">
        <is>
          <t>OFFICIAL_PRIMARY</t>
        </is>
      </c>
      <c r="O312" s="9" t="inlineStr">
        <is>
          <t>OFFICIAL_AGGREGATE</t>
        </is>
      </c>
      <c r="P312" s="8" t="n">
        <v>1</v>
      </c>
      <c r="Q312" s="8" t="n">
        <v>50</v>
      </c>
      <c r="R312" s="7" t="inlineStr">
        <is>
          <t>https://www.eby.gov.py/wp-content/uploads/2019/12/YacyretaEnergiasMensualesDesdePuestaenMarcha.pdf</t>
        </is>
      </c>
      <c r="S312" s="6" t="inlineStr">
        <is>
          <t>EBY-MONTHLY-1994-2012</t>
        </is>
      </c>
      <c r="T312" s="6" t="inlineStr"/>
      <c r="U312" s="4" t="inlineStr">
        <is>
          <t>2026-09-10 23:00:00</t>
        </is>
      </c>
      <c r="V312" s="4" t="inlineStr">
        <is>
          <t>Energia mensual Yacyreta desde puesta en marcha.</t>
        </is>
      </c>
    </row>
    <row r="313">
      <c r="A313" s="6" t="inlineStr">
        <is>
          <t>R0000312</t>
        </is>
      </c>
      <c r="B313" s="6" t="inlineStr">
        <is>
          <t>1998-11-01</t>
        </is>
      </c>
      <c r="C313" s="6" t="inlineStr">
        <is>
          <t>1998-11-30</t>
        </is>
      </c>
      <c r="D313" s="6" t="inlineStr">
        <is>
          <t>month</t>
        </is>
      </c>
      <c r="E313" s="6" t="inlineStr">
        <is>
          <t>ENERGY_TO_ARGENTINA</t>
        </is>
      </c>
      <c r="F313" s="6" t="inlineStr">
        <is>
          <t>YACYRETA</t>
        </is>
      </c>
      <c r="G313" s="6" t="inlineStr">
        <is>
          <t>YACYRETA</t>
        </is>
      </c>
      <c r="H313" s="6" t="inlineStr">
        <is>
          <t>SADI</t>
        </is>
      </c>
      <c r="I313" s="8" t="n">
        <v>980785</v>
      </c>
      <c r="J313" s="6" t="inlineStr">
        <is>
          <t>MWh</t>
        </is>
      </c>
      <c r="K313" s="8" t="n">
        <v>980785</v>
      </c>
      <c r="L313" s="6" t="inlineStr">
        <is>
          <t>MWh</t>
        </is>
      </c>
      <c r="M313" s="6" t="inlineStr">
        <is>
          <t>EBY</t>
        </is>
      </c>
      <c r="N313" s="6" t="inlineStr">
        <is>
          <t>OFFICIAL_PRIMARY</t>
        </is>
      </c>
      <c r="O313" s="9" t="inlineStr">
        <is>
          <t>OFFICIAL_AGGREGATE</t>
        </is>
      </c>
      <c r="P313" s="8" t="n">
        <v>1</v>
      </c>
      <c r="Q313" s="8" t="n">
        <v>50</v>
      </c>
      <c r="R313" s="7" t="inlineStr">
        <is>
          <t>https://www.eby.gov.py/wp-content/uploads/2019/12/YacyretaEnergiasMensualesDesdePuestaenMarcha.pdf</t>
        </is>
      </c>
      <c r="S313" s="6" t="inlineStr">
        <is>
          <t>EBY-MONTHLY-1994-2012</t>
        </is>
      </c>
      <c r="T313" s="6" t="inlineStr"/>
      <c r="U313" s="4" t="inlineStr">
        <is>
          <t>2026-09-10 23:00:00</t>
        </is>
      </c>
      <c r="V313" s="4" t="inlineStr">
        <is>
          <t>Energia mensual entregada al SADI.</t>
        </is>
      </c>
    </row>
    <row r="314">
      <c r="A314" s="6" t="inlineStr">
        <is>
          <t>R0000313</t>
        </is>
      </c>
      <c r="B314" s="6" t="inlineStr">
        <is>
          <t>1998-11-01</t>
        </is>
      </c>
      <c r="C314" s="6" t="inlineStr">
        <is>
          <t>1998-11-30</t>
        </is>
      </c>
      <c r="D314" s="6" t="inlineStr">
        <is>
          <t>month</t>
        </is>
      </c>
      <c r="E314" s="6" t="inlineStr">
        <is>
          <t>ENERGY_TO_PY</t>
        </is>
      </c>
      <c r="F314" s="6" t="inlineStr">
        <is>
          <t>YACYRETA</t>
        </is>
      </c>
      <c r="G314" s="6" t="inlineStr">
        <is>
          <t>YACYRETA</t>
        </is>
      </c>
      <c r="H314" s="6" t="inlineStr">
        <is>
          <t>SINP</t>
        </is>
      </c>
      <c r="I314" s="8" t="n">
        <v>14082</v>
      </c>
      <c r="J314" s="6" t="inlineStr">
        <is>
          <t>MWh</t>
        </is>
      </c>
      <c r="K314" s="8" t="n">
        <v>14082</v>
      </c>
      <c r="L314" s="6" t="inlineStr">
        <is>
          <t>MWh</t>
        </is>
      </c>
      <c r="M314" s="6" t="inlineStr">
        <is>
          <t>EBY</t>
        </is>
      </c>
      <c r="N314" s="6" t="inlineStr">
        <is>
          <t>OFFICIAL_PRIMARY</t>
        </is>
      </c>
      <c r="O314" s="9" t="inlineStr">
        <is>
          <t>OFFICIAL_AGGREGATE</t>
        </is>
      </c>
      <c r="P314" s="8" t="n">
        <v>1</v>
      </c>
      <c r="Q314" s="8" t="n">
        <v>50</v>
      </c>
      <c r="R314" s="7" t="inlineStr">
        <is>
          <t>https://www.eby.gov.py/wp-content/uploads/2019/12/YacyretaEnergiasMensualesDesdePuestaenMarcha.pdf</t>
        </is>
      </c>
      <c r="S314" s="6" t="inlineStr">
        <is>
          <t>EBY-MONTHLY-1994-2012</t>
        </is>
      </c>
      <c r="T314" s="6" t="inlineStr"/>
      <c r="U314" s="4" t="inlineStr">
        <is>
          <t>2026-09-10 23:00:00</t>
        </is>
      </c>
      <c r="V314" s="4" t="inlineStr">
        <is>
          <t>Energia mensual entregada al SINP.</t>
        </is>
      </c>
    </row>
    <row r="315">
      <c r="A315" s="6" t="inlineStr">
        <is>
          <t>R0000314</t>
        </is>
      </c>
      <c r="B315" s="6" t="inlineStr">
        <is>
          <t>1998-12-01</t>
        </is>
      </c>
      <c r="C315" s="6" t="inlineStr">
        <is>
          <t>1998-12-31</t>
        </is>
      </c>
      <c r="D315" s="6" t="inlineStr">
        <is>
          <t>month</t>
        </is>
      </c>
      <c r="E315" s="6" t="inlineStr">
        <is>
          <t>YACYRETA_NET_ENERGY</t>
        </is>
      </c>
      <c r="F315" s="6" t="inlineStr">
        <is>
          <t>YACYRETA</t>
        </is>
      </c>
      <c r="G315" s="6" t="inlineStr">
        <is>
          <t>YACYRETA</t>
        </is>
      </c>
      <c r="H315" s="6" t="inlineStr">
        <is>
          <t>TOTAL</t>
        </is>
      </c>
      <c r="I315" s="8" t="n">
        <v>954498</v>
      </c>
      <c r="J315" s="6" t="inlineStr">
        <is>
          <t>MWh</t>
        </is>
      </c>
      <c r="K315" s="8" t="n">
        <v>954498</v>
      </c>
      <c r="L315" s="6" t="inlineStr">
        <is>
          <t>MWh</t>
        </is>
      </c>
      <c r="M315" s="6" t="inlineStr">
        <is>
          <t>EBY</t>
        </is>
      </c>
      <c r="N315" s="6" t="inlineStr">
        <is>
          <t>OFFICIAL_PRIMARY</t>
        </is>
      </c>
      <c r="O315" s="9" t="inlineStr">
        <is>
          <t>OFFICIAL_AGGREGATE</t>
        </is>
      </c>
      <c r="P315" s="8" t="n">
        <v>1</v>
      </c>
      <c r="Q315" s="8" t="n">
        <v>50</v>
      </c>
      <c r="R315" s="7" t="inlineStr">
        <is>
          <t>https://www.eby.gov.py/wp-content/uploads/2019/12/YacyretaEnergiasMensualesDesdePuestaenMarcha.pdf</t>
        </is>
      </c>
      <c r="S315" s="6" t="inlineStr">
        <is>
          <t>EBY-MONTHLY-1994-2012</t>
        </is>
      </c>
      <c r="T315" s="6" t="inlineStr"/>
      <c r="U315" s="4" t="inlineStr">
        <is>
          <t>2026-09-10 23:00:00</t>
        </is>
      </c>
      <c r="V315" s="4" t="inlineStr">
        <is>
          <t>Energia mensual Yacyreta desde puesta en marcha.</t>
        </is>
      </c>
    </row>
    <row r="316">
      <c r="A316" s="6" t="inlineStr">
        <is>
          <t>R0000315</t>
        </is>
      </c>
      <c r="B316" s="6" t="inlineStr">
        <is>
          <t>1998-12-01</t>
        </is>
      </c>
      <c r="C316" s="6" t="inlineStr">
        <is>
          <t>1998-12-31</t>
        </is>
      </c>
      <c r="D316" s="6" t="inlineStr">
        <is>
          <t>month</t>
        </is>
      </c>
      <c r="E316" s="6" t="inlineStr">
        <is>
          <t>ENERGY_TO_ARGENTINA</t>
        </is>
      </c>
      <c r="F316" s="6" t="inlineStr">
        <is>
          <t>YACYRETA</t>
        </is>
      </c>
      <c r="G316" s="6" t="inlineStr">
        <is>
          <t>YACYRETA</t>
        </is>
      </c>
      <c r="H316" s="6" t="inlineStr">
        <is>
          <t>SADI</t>
        </is>
      </c>
      <c r="I316" s="8" t="n">
        <v>941325</v>
      </c>
      <c r="J316" s="6" t="inlineStr">
        <is>
          <t>MWh</t>
        </is>
      </c>
      <c r="K316" s="8" t="n">
        <v>941325</v>
      </c>
      <c r="L316" s="6" t="inlineStr">
        <is>
          <t>MWh</t>
        </is>
      </c>
      <c r="M316" s="6" t="inlineStr">
        <is>
          <t>EBY</t>
        </is>
      </c>
      <c r="N316" s="6" t="inlineStr">
        <is>
          <t>OFFICIAL_PRIMARY</t>
        </is>
      </c>
      <c r="O316" s="9" t="inlineStr">
        <is>
          <t>OFFICIAL_AGGREGATE</t>
        </is>
      </c>
      <c r="P316" s="8" t="n">
        <v>1</v>
      </c>
      <c r="Q316" s="8" t="n">
        <v>50</v>
      </c>
      <c r="R316" s="7" t="inlineStr">
        <is>
          <t>https://www.eby.gov.py/wp-content/uploads/2019/12/YacyretaEnergiasMensualesDesdePuestaenMarcha.pdf</t>
        </is>
      </c>
      <c r="S316" s="6" t="inlineStr">
        <is>
          <t>EBY-MONTHLY-1994-2012</t>
        </is>
      </c>
      <c r="T316" s="6" t="inlineStr"/>
      <c r="U316" s="4" t="inlineStr">
        <is>
          <t>2026-09-10 23:00:00</t>
        </is>
      </c>
      <c r="V316" s="4" t="inlineStr">
        <is>
          <t>Energia mensual entregada al SADI.</t>
        </is>
      </c>
    </row>
    <row r="317">
      <c r="A317" s="6" t="inlineStr">
        <is>
          <t>R0000316</t>
        </is>
      </c>
      <c r="B317" s="6" t="inlineStr">
        <is>
          <t>1998-12-01</t>
        </is>
      </c>
      <c r="C317" s="6" t="inlineStr">
        <is>
          <t>1998-12-31</t>
        </is>
      </c>
      <c r="D317" s="6" t="inlineStr">
        <is>
          <t>month</t>
        </is>
      </c>
      <c r="E317" s="6" t="inlineStr">
        <is>
          <t>ENERGY_TO_PY</t>
        </is>
      </c>
      <c r="F317" s="6" t="inlineStr">
        <is>
          <t>YACYRETA</t>
        </is>
      </c>
      <c r="G317" s="6" t="inlineStr">
        <is>
          <t>YACYRETA</t>
        </is>
      </c>
      <c r="H317" s="6" t="inlineStr">
        <is>
          <t>SINP</t>
        </is>
      </c>
      <c r="I317" s="8" t="n">
        <v>13173</v>
      </c>
      <c r="J317" s="6" t="inlineStr">
        <is>
          <t>MWh</t>
        </is>
      </c>
      <c r="K317" s="8" t="n">
        <v>13173</v>
      </c>
      <c r="L317" s="6" t="inlineStr">
        <is>
          <t>MWh</t>
        </is>
      </c>
      <c r="M317" s="6" t="inlineStr">
        <is>
          <t>EBY</t>
        </is>
      </c>
      <c r="N317" s="6" t="inlineStr">
        <is>
          <t>OFFICIAL_PRIMARY</t>
        </is>
      </c>
      <c r="O317" s="9" t="inlineStr">
        <is>
          <t>OFFICIAL_AGGREGATE</t>
        </is>
      </c>
      <c r="P317" s="8" t="n">
        <v>1</v>
      </c>
      <c r="Q317" s="8" t="n">
        <v>50</v>
      </c>
      <c r="R317" s="7" t="inlineStr">
        <is>
          <t>https://www.eby.gov.py/wp-content/uploads/2019/12/YacyretaEnergiasMensualesDesdePuestaenMarcha.pdf</t>
        </is>
      </c>
      <c r="S317" s="6" t="inlineStr">
        <is>
          <t>EBY-MONTHLY-1994-2012</t>
        </is>
      </c>
      <c r="T317" s="6" t="inlineStr"/>
      <c r="U317" s="4" t="inlineStr">
        <is>
          <t>2026-09-10 23:00:00</t>
        </is>
      </c>
      <c r="V317" s="4" t="inlineStr">
        <is>
          <t>Energia mensual entregada al SINP.</t>
        </is>
      </c>
    </row>
    <row r="318">
      <c r="A318" s="6" t="inlineStr">
        <is>
          <t>R0000317</t>
        </is>
      </c>
      <c r="B318" s="6" t="inlineStr">
        <is>
          <t>1999-01-01</t>
        </is>
      </c>
      <c r="C318" s="6" t="inlineStr">
        <is>
          <t>1999-01-31</t>
        </is>
      </c>
      <c r="D318" s="6" t="inlineStr">
        <is>
          <t>month</t>
        </is>
      </c>
      <c r="E318" s="6" t="inlineStr">
        <is>
          <t>YACYRETA_NET_ENERGY</t>
        </is>
      </c>
      <c r="F318" s="6" t="inlineStr">
        <is>
          <t>YACYRETA</t>
        </is>
      </c>
      <c r="G318" s="6" t="inlineStr">
        <is>
          <t>YACYRETA</t>
        </is>
      </c>
      <c r="H318" s="6" t="inlineStr">
        <is>
          <t>TOTAL</t>
        </is>
      </c>
      <c r="I318" s="8" t="n">
        <v>1069093</v>
      </c>
      <c r="J318" s="6" t="inlineStr">
        <is>
          <t>MWh</t>
        </is>
      </c>
      <c r="K318" s="8" t="n">
        <v>1069093</v>
      </c>
      <c r="L318" s="6" t="inlineStr">
        <is>
          <t>MWh</t>
        </is>
      </c>
      <c r="M318" s="6" t="inlineStr">
        <is>
          <t>EBY</t>
        </is>
      </c>
      <c r="N318" s="6" t="inlineStr">
        <is>
          <t>OFFICIAL_PRIMARY</t>
        </is>
      </c>
      <c r="O318" s="9" t="inlineStr">
        <is>
          <t>OFFICIAL_AGGREGATE</t>
        </is>
      </c>
      <c r="P318" s="8" t="n">
        <v>1</v>
      </c>
      <c r="Q318" s="8" t="n">
        <v>50</v>
      </c>
      <c r="R318" s="7" t="inlineStr">
        <is>
          <t>https://www.eby.gov.py/wp-content/uploads/2019/12/YacyretaEnergiasMensualesDesdePuestaenMarcha.pdf</t>
        </is>
      </c>
      <c r="S318" s="6" t="inlineStr">
        <is>
          <t>EBY-MONTHLY-1994-2012</t>
        </is>
      </c>
      <c r="T318" s="6" t="inlineStr"/>
      <c r="U318" s="4" t="inlineStr">
        <is>
          <t>2026-09-10 23:00:00</t>
        </is>
      </c>
      <c r="V318" s="4" t="inlineStr">
        <is>
          <t>Energia mensual Yacyreta desde puesta en marcha.</t>
        </is>
      </c>
    </row>
    <row r="319">
      <c r="A319" s="6" t="inlineStr">
        <is>
          <t>R0000318</t>
        </is>
      </c>
      <c r="B319" s="6" t="inlineStr">
        <is>
          <t>1999-01-01</t>
        </is>
      </c>
      <c r="C319" s="6" t="inlineStr">
        <is>
          <t>1999-01-31</t>
        </is>
      </c>
      <c r="D319" s="6" t="inlineStr">
        <is>
          <t>month</t>
        </is>
      </c>
      <c r="E319" s="6" t="inlineStr">
        <is>
          <t>ENERGY_TO_ARGENTINA</t>
        </is>
      </c>
      <c r="F319" s="6" t="inlineStr">
        <is>
          <t>YACYRETA</t>
        </is>
      </c>
      <c r="G319" s="6" t="inlineStr">
        <is>
          <t>YACYRETA</t>
        </is>
      </c>
      <c r="H319" s="6" t="inlineStr">
        <is>
          <t>SADI</t>
        </is>
      </c>
      <c r="I319" s="8" t="n">
        <v>1063419</v>
      </c>
      <c r="J319" s="6" t="inlineStr">
        <is>
          <t>MWh</t>
        </is>
      </c>
      <c r="K319" s="8" t="n">
        <v>1063419</v>
      </c>
      <c r="L319" s="6" t="inlineStr">
        <is>
          <t>MWh</t>
        </is>
      </c>
      <c r="M319" s="6" t="inlineStr">
        <is>
          <t>EBY</t>
        </is>
      </c>
      <c r="N319" s="6" t="inlineStr">
        <is>
          <t>OFFICIAL_PRIMARY</t>
        </is>
      </c>
      <c r="O319" s="9" t="inlineStr">
        <is>
          <t>OFFICIAL_AGGREGATE</t>
        </is>
      </c>
      <c r="P319" s="8" t="n">
        <v>1</v>
      </c>
      <c r="Q319" s="8" t="n">
        <v>50</v>
      </c>
      <c r="R319" s="7" t="inlineStr">
        <is>
          <t>https://www.eby.gov.py/wp-content/uploads/2019/12/YacyretaEnergiasMensualesDesdePuestaenMarcha.pdf</t>
        </is>
      </c>
      <c r="S319" s="6" t="inlineStr">
        <is>
          <t>EBY-MONTHLY-1994-2012</t>
        </is>
      </c>
      <c r="T319" s="6" t="inlineStr"/>
      <c r="U319" s="4" t="inlineStr">
        <is>
          <t>2026-09-10 23:00:00</t>
        </is>
      </c>
      <c r="V319" s="4" t="inlineStr">
        <is>
          <t>Energia mensual entregada al SADI.</t>
        </is>
      </c>
    </row>
    <row r="320">
      <c r="A320" s="6" t="inlineStr">
        <is>
          <t>R0000319</t>
        </is>
      </c>
      <c r="B320" s="6" t="inlineStr">
        <is>
          <t>1999-01-01</t>
        </is>
      </c>
      <c r="C320" s="6" t="inlineStr">
        <is>
          <t>1999-01-31</t>
        </is>
      </c>
      <c r="D320" s="6" t="inlineStr">
        <is>
          <t>month</t>
        </is>
      </c>
      <c r="E320" s="6" t="inlineStr">
        <is>
          <t>ENERGY_TO_PY</t>
        </is>
      </c>
      <c r="F320" s="6" t="inlineStr">
        <is>
          <t>YACYRETA</t>
        </is>
      </c>
      <c r="G320" s="6" t="inlineStr">
        <is>
          <t>YACYRETA</t>
        </is>
      </c>
      <c r="H320" s="6" t="inlineStr">
        <is>
          <t>SINP</t>
        </is>
      </c>
      <c r="I320" s="8" t="n">
        <v>5674</v>
      </c>
      <c r="J320" s="6" t="inlineStr">
        <is>
          <t>MWh</t>
        </is>
      </c>
      <c r="K320" s="8" t="n">
        <v>5674</v>
      </c>
      <c r="L320" s="6" t="inlineStr">
        <is>
          <t>MWh</t>
        </is>
      </c>
      <c r="M320" s="6" t="inlineStr">
        <is>
          <t>EBY</t>
        </is>
      </c>
      <c r="N320" s="6" t="inlineStr">
        <is>
          <t>OFFICIAL_PRIMARY</t>
        </is>
      </c>
      <c r="O320" s="9" t="inlineStr">
        <is>
          <t>OFFICIAL_AGGREGATE</t>
        </is>
      </c>
      <c r="P320" s="8" t="n">
        <v>1</v>
      </c>
      <c r="Q320" s="8" t="n">
        <v>50</v>
      </c>
      <c r="R320" s="7" t="inlineStr">
        <is>
          <t>https://www.eby.gov.py/wp-content/uploads/2019/12/YacyretaEnergiasMensualesDesdePuestaenMarcha.pdf</t>
        </is>
      </c>
      <c r="S320" s="6" t="inlineStr">
        <is>
          <t>EBY-MONTHLY-1994-2012</t>
        </is>
      </c>
      <c r="T320" s="6" t="inlineStr"/>
      <c r="U320" s="4" t="inlineStr">
        <is>
          <t>2026-09-10 23:00:00</t>
        </is>
      </c>
      <c r="V320" s="4" t="inlineStr">
        <is>
          <t>Energia mensual entregada al SINP.</t>
        </is>
      </c>
    </row>
    <row r="321">
      <c r="A321" s="6" t="inlineStr">
        <is>
          <t>R0000320</t>
        </is>
      </c>
      <c r="B321" s="6" t="inlineStr">
        <is>
          <t>1999-02-01</t>
        </is>
      </c>
      <c r="C321" s="6" t="inlineStr">
        <is>
          <t>1999-02-28</t>
        </is>
      </c>
      <c r="D321" s="6" t="inlineStr">
        <is>
          <t>month</t>
        </is>
      </c>
      <c r="E321" s="6" t="inlineStr">
        <is>
          <t>YACYRETA_NET_ENERGY</t>
        </is>
      </c>
      <c r="F321" s="6" t="inlineStr">
        <is>
          <t>YACYRETA</t>
        </is>
      </c>
      <c r="G321" s="6" t="inlineStr">
        <is>
          <t>YACYRETA</t>
        </is>
      </c>
      <c r="H321" s="6" t="inlineStr">
        <is>
          <t>TOTAL</t>
        </is>
      </c>
      <c r="I321" s="8" t="n">
        <v>938959</v>
      </c>
      <c r="J321" s="6" t="inlineStr">
        <is>
          <t>MWh</t>
        </is>
      </c>
      <c r="K321" s="8" t="n">
        <v>938959</v>
      </c>
      <c r="L321" s="6" t="inlineStr">
        <is>
          <t>MWh</t>
        </is>
      </c>
      <c r="M321" s="6" t="inlineStr">
        <is>
          <t>EBY</t>
        </is>
      </c>
      <c r="N321" s="6" t="inlineStr">
        <is>
          <t>OFFICIAL_PRIMARY</t>
        </is>
      </c>
      <c r="O321" s="9" t="inlineStr">
        <is>
          <t>OFFICIAL_AGGREGATE</t>
        </is>
      </c>
      <c r="P321" s="8" t="n">
        <v>1</v>
      </c>
      <c r="Q321" s="8" t="n">
        <v>50</v>
      </c>
      <c r="R321" s="7" t="inlineStr">
        <is>
          <t>https://www.eby.gov.py/wp-content/uploads/2019/12/YacyretaEnergiasMensualesDesdePuestaenMarcha.pdf</t>
        </is>
      </c>
      <c r="S321" s="6" t="inlineStr">
        <is>
          <t>EBY-MONTHLY-1994-2012</t>
        </is>
      </c>
      <c r="T321" s="6" t="inlineStr"/>
      <c r="U321" s="4" t="inlineStr">
        <is>
          <t>2026-09-10 23:00:00</t>
        </is>
      </c>
      <c r="V321" s="4" t="inlineStr">
        <is>
          <t>Energia mensual Yacyreta desde puesta en marcha.</t>
        </is>
      </c>
    </row>
    <row r="322">
      <c r="A322" s="6" t="inlineStr">
        <is>
          <t>R0000321</t>
        </is>
      </c>
      <c r="B322" s="6" t="inlineStr">
        <is>
          <t>1999-02-01</t>
        </is>
      </c>
      <c r="C322" s="6" t="inlineStr">
        <is>
          <t>1999-02-28</t>
        </is>
      </c>
      <c r="D322" s="6" t="inlineStr">
        <is>
          <t>month</t>
        </is>
      </c>
      <c r="E322" s="6" t="inlineStr">
        <is>
          <t>ENERGY_TO_ARGENTINA</t>
        </is>
      </c>
      <c r="F322" s="6" t="inlineStr">
        <is>
          <t>YACYRETA</t>
        </is>
      </c>
      <c r="G322" s="6" t="inlineStr">
        <is>
          <t>YACYRETA</t>
        </is>
      </c>
      <c r="H322" s="6" t="inlineStr">
        <is>
          <t>SADI</t>
        </is>
      </c>
      <c r="I322" s="8" t="n">
        <v>933865</v>
      </c>
      <c r="J322" s="6" t="inlineStr">
        <is>
          <t>MWh</t>
        </is>
      </c>
      <c r="K322" s="8" t="n">
        <v>933865</v>
      </c>
      <c r="L322" s="6" t="inlineStr">
        <is>
          <t>MWh</t>
        </is>
      </c>
      <c r="M322" s="6" t="inlineStr">
        <is>
          <t>EBY</t>
        </is>
      </c>
      <c r="N322" s="6" t="inlineStr">
        <is>
          <t>OFFICIAL_PRIMARY</t>
        </is>
      </c>
      <c r="O322" s="9" t="inlineStr">
        <is>
          <t>OFFICIAL_AGGREGATE</t>
        </is>
      </c>
      <c r="P322" s="8" t="n">
        <v>1</v>
      </c>
      <c r="Q322" s="8" t="n">
        <v>50</v>
      </c>
      <c r="R322" s="7" t="inlineStr">
        <is>
          <t>https://www.eby.gov.py/wp-content/uploads/2019/12/YacyretaEnergiasMensualesDesdePuestaenMarcha.pdf</t>
        </is>
      </c>
      <c r="S322" s="6" t="inlineStr">
        <is>
          <t>EBY-MONTHLY-1994-2012</t>
        </is>
      </c>
      <c r="T322" s="6" t="inlineStr"/>
      <c r="U322" s="4" t="inlineStr">
        <is>
          <t>2026-09-10 23:00:00</t>
        </is>
      </c>
      <c r="V322" s="4" t="inlineStr">
        <is>
          <t>Energia mensual entregada al SADI.</t>
        </is>
      </c>
    </row>
    <row r="323">
      <c r="A323" s="6" t="inlineStr">
        <is>
          <t>R0000322</t>
        </is>
      </c>
      <c r="B323" s="6" t="inlineStr">
        <is>
          <t>1999-02-01</t>
        </is>
      </c>
      <c r="C323" s="6" t="inlineStr">
        <is>
          <t>1999-02-28</t>
        </is>
      </c>
      <c r="D323" s="6" t="inlineStr">
        <is>
          <t>month</t>
        </is>
      </c>
      <c r="E323" s="6" t="inlineStr">
        <is>
          <t>ENERGY_TO_PY</t>
        </is>
      </c>
      <c r="F323" s="6" t="inlineStr">
        <is>
          <t>YACYRETA</t>
        </is>
      </c>
      <c r="G323" s="6" t="inlineStr">
        <is>
          <t>YACYRETA</t>
        </is>
      </c>
      <c r="H323" s="6" t="inlineStr">
        <is>
          <t>SINP</t>
        </is>
      </c>
      <c r="I323" s="8" t="n">
        <v>5094</v>
      </c>
      <c r="J323" s="6" t="inlineStr">
        <is>
          <t>MWh</t>
        </is>
      </c>
      <c r="K323" s="8" t="n">
        <v>5094</v>
      </c>
      <c r="L323" s="6" t="inlineStr">
        <is>
          <t>MWh</t>
        </is>
      </c>
      <c r="M323" s="6" t="inlineStr">
        <is>
          <t>EBY</t>
        </is>
      </c>
      <c r="N323" s="6" t="inlineStr">
        <is>
          <t>OFFICIAL_PRIMARY</t>
        </is>
      </c>
      <c r="O323" s="9" t="inlineStr">
        <is>
          <t>OFFICIAL_AGGREGATE</t>
        </is>
      </c>
      <c r="P323" s="8" t="n">
        <v>1</v>
      </c>
      <c r="Q323" s="8" t="n">
        <v>50</v>
      </c>
      <c r="R323" s="7" t="inlineStr">
        <is>
          <t>https://www.eby.gov.py/wp-content/uploads/2019/12/YacyretaEnergiasMensualesDesdePuestaenMarcha.pdf</t>
        </is>
      </c>
      <c r="S323" s="6" t="inlineStr">
        <is>
          <t>EBY-MONTHLY-1994-2012</t>
        </is>
      </c>
      <c r="T323" s="6" t="inlineStr"/>
      <c r="U323" s="4" t="inlineStr">
        <is>
          <t>2026-09-10 23:00:00</t>
        </is>
      </c>
      <c r="V323" s="4" t="inlineStr">
        <is>
          <t>Energia mensual entregada al SINP.</t>
        </is>
      </c>
    </row>
    <row r="324">
      <c r="A324" s="6" t="inlineStr">
        <is>
          <t>R0000323</t>
        </is>
      </c>
      <c r="B324" s="6" t="inlineStr">
        <is>
          <t>1999-03-01</t>
        </is>
      </c>
      <c r="C324" s="6" t="inlineStr">
        <is>
          <t>1999-03-31</t>
        </is>
      </c>
      <c r="D324" s="6" t="inlineStr">
        <is>
          <t>month</t>
        </is>
      </c>
      <c r="E324" s="6" t="inlineStr">
        <is>
          <t>YACYRETA_NET_ENERGY</t>
        </is>
      </c>
      <c r="F324" s="6" t="inlineStr">
        <is>
          <t>YACYRETA</t>
        </is>
      </c>
      <c r="G324" s="6" t="inlineStr">
        <is>
          <t>YACYRETA</t>
        </is>
      </c>
      <c r="H324" s="6" t="inlineStr">
        <is>
          <t>TOTAL</t>
        </is>
      </c>
      <c r="I324" s="8" t="n">
        <v>993182</v>
      </c>
      <c r="J324" s="6" t="inlineStr">
        <is>
          <t>MWh</t>
        </is>
      </c>
      <c r="K324" s="8" t="n">
        <v>993182</v>
      </c>
      <c r="L324" s="6" t="inlineStr">
        <is>
          <t>MWh</t>
        </is>
      </c>
      <c r="M324" s="6" t="inlineStr">
        <is>
          <t>EBY</t>
        </is>
      </c>
      <c r="N324" s="6" t="inlineStr">
        <is>
          <t>OFFICIAL_PRIMARY</t>
        </is>
      </c>
      <c r="O324" s="9" t="inlineStr">
        <is>
          <t>OFFICIAL_AGGREGATE</t>
        </is>
      </c>
      <c r="P324" s="8" t="n">
        <v>1</v>
      </c>
      <c r="Q324" s="8" t="n">
        <v>50</v>
      </c>
      <c r="R324" s="7" t="inlineStr">
        <is>
          <t>https://www.eby.gov.py/wp-content/uploads/2019/12/YacyretaEnergiasMensualesDesdePuestaenMarcha.pdf</t>
        </is>
      </c>
      <c r="S324" s="6" t="inlineStr">
        <is>
          <t>EBY-MONTHLY-1994-2012</t>
        </is>
      </c>
      <c r="T324" s="6" t="inlineStr"/>
      <c r="U324" s="4" t="inlineStr">
        <is>
          <t>2026-09-10 23:00:00</t>
        </is>
      </c>
      <c r="V324" s="4" t="inlineStr">
        <is>
          <t>Energia mensual Yacyreta desde puesta en marcha.</t>
        </is>
      </c>
    </row>
    <row r="325">
      <c r="A325" s="6" t="inlineStr">
        <is>
          <t>R0000324</t>
        </is>
      </c>
      <c r="B325" s="6" t="inlineStr">
        <is>
          <t>1999-03-01</t>
        </is>
      </c>
      <c r="C325" s="6" t="inlineStr">
        <is>
          <t>1999-03-31</t>
        </is>
      </c>
      <c r="D325" s="6" t="inlineStr">
        <is>
          <t>month</t>
        </is>
      </c>
      <c r="E325" s="6" t="inlineStr">
        <is>
          <t>ENERGY_TO_ARGENTINA</t>
        </is>
      </c>
      <c r="F325" s="6" t="inlineStr">
        <is>
          <t>YACYRETA</t>
        </is>
      </c>
      <c r="G325" s="6" t="inlineStr">
        <is>
          <t>YACYRETA</t>
        </is>
      </c>
      <c r="H325" s="6" t="inlineStr">
        <is>
          <t>SADI</t>
        </is>
      </c>
      <c r="I325" s="8" t="n">
        <v>985801</v>
      </c>
      <c r="J325" s="6" t="inlineStr">
        <is>
          <t>MWh</t>
        </is>
      </c>
      <c r="K325" s="8" t="n">
        <v>985801</v>
      </c>
      <c r="L325" s="6" t="inlineStr">
        <is>
          <t>MWh</t>
        </is>
      </c>
      <c r="M325" s="6" t="inlineStr">
        <is>
          <t>EBY</t>
        </is>
      </c>
      <c r="N325" s="6" t="inlineStr">
        <is>
          <t>OFFICIAL_PRIMARY</t>
        </is>
      </c>
      <c r="O325" s="9" t="inlineStr">
        <is>
          <t>OFFICIAL_AGGREGATE</t>
        </is>
      </c>
      <c r="P325" s="8" t="n">
        <v>1</v>
      </c>
      <c r="Q325" s="8" t="n">
        <v>50</v>
      </c>
      <c r="R325" s="7" t="inlineStr">
        <is>
          <t>https://www.eby.gov.py/wp-content/uploads/2019/12/YacyretaEnergiasMensualesDesdePuestaenMarcha.pdf</t>
        </is>
      </c>
      <c r="S325" s="6" t="inlineStr">
        <is>
          <t>EBY-MONTHLY-1994-2012</t>
        </is>
      </c>
      <c r="T325" s="6" t="inlineStr"/>
      <c r="U325" s="4" t="inlineStr">
        <is>
          <t>2026-09-10 23:00:00</t>
        </is>
      </c>
      <c r="V325" s="4" t="inlineStr">
        <is>
          <t>Energia mensual entregada al SADI.</t>
        </is>
      </c>
    </row>
    <row r="326">
      <c r="A326" s="6" t="inlineStr">
        <is>
          <t>R0000325</t>
        </is>
      </c>
      <c r="B326" s="6" t="inlineStr">
        <is>
          <t>1999-03-01</t>
        </is>
      </c>
      <c r="C326" s="6" t="inlineStr">
        <is>
          <t>1999-03-31</t>
        </is>
      </c>
      <c r="D326" s="6" t="inlineStr">
        <is>
          <t>month</t>
        </is>
      </c>
      <c r="E326" s="6" t="inlineStr">
        <is>
          <t>ENERGY_TO_PY</t>
        </is>
      </c>
      <c r="F326" s="6" t="inlineStr">
        <is>
          <t>YACYRETA</t>
        </is>
      </c>
      <c r="G326" s="6" t="inlineStr">
        <is>
          <t>YACYRETA</t>
        </is>
      </c>
      <c r="H326" s="6" t="inlineStr">
        <is>
          <t>SINP</t>
        </is>
      </c>
      <c r="I326" s="8" t="n">
        <v>7381</v>
      </c>
      <c r="J326" s="6" t="inlineStr">
        <is>
          <t>MWh</t>
        </is>
      </c>
      <c r="K326" s="8" t="n">
        <v>7381</v>
      </c>
      <c r="L326" s="6" t="inlineStr">
        <is>
          <t>MWh</t>
        </is>
      </c>
      <c r="M326" s="6" t="inlineStr">
        <is>
          <t>EBY</t>
        </is>
      </c>
      <c r="N326" s="6" t="inlineStr">
        <is>
          <t>OFFICIAL_PRIMARY</t>
        </is>
      </c>
      <c r="O326" s="9" t="inlineStr">
        <is>
          <t>OFFICIAL_AGGREGATE</t>
        </is>
      </c>
      <c r="P326" s="8" t="n">
        <v>1</v>
      </c>
      <c r="Q326" s="8" t="n">
        <v>50</v>
      </c>
      <c r="R326" s="7" t="inlineStr">
        <is>
          <t>https://www.eby.gov.py/wp-content/uploads/2019/12/YacyretaEnergiasMensualesDesdePuestaenMarcha.pdf</t>
        </is>
      </c>
      <c r="S326" s="6" t="inlineStr">
        <is>
          <t>EBY-MONTHLY-1994-2012</t>
        </is>
      </c>
      <c r="T326" s="6" t="inlineStr"/>
      <c r="U326" s="4" t="inlineStr">
        <is>
          <t>2026-09-10 23:00:00</t>
        </is>
      </c>
      <c r="V326" s="4" t="inlineStr">
        <is>
          <t>Energia mensual entregada al SINP.</t>
        </is>
      </c>
    </row>
    <row r="327">
      <c r="A327" s="6" t="inlineStr">
        <is>
          <t>R0000326</t>
        </is>
      </c>
      <c r="B327" s="6" t="inlineStr">
        <is>
          <t>1999-04-01</t>
        </is>
      </c>
      <c r="C327" s="6" t="inlineStr">
        <is>
          <t>1999-04-30</t>
        </is>
      </c>
      <c r="D327" s="6" t="inlineStr">
        <is>
          <t>month</t>
        </is>
      </c>
      <c r="E327" s="6" t="inlineStr">
        <is>
          <t>YACYRETA_NET_ENERGY</t>
        </is>
      </c>
      <c r="F327" s="6" t="inlineStr">
        <is>
          <t>YACYRETA</t>
        </is>
      </c>
      <c r="G327" s="6" t="inlineStr">
        <is>
          <t>YACYRETA</t>
        </is>
      </c>
      <c r="H327" s="6" t="inlineStr">
        <is>
          <t>TOTAL</t>
        </is>
      </c>
      <c r="I327" s="8" t="n">
        <v>1067994</v>
      </c>
      <c r="J327" s="6" t="inlineStr">
        <is>
          <t>MWh</t>
        </is>
      </c>
      <c r="K327" s="8" t="n">
        <v>1067994</v>
      </c>
      <c r="L327" s="6" t="inlineStr">
        <is>
          <t>MWh</t>
        </is>
      </c>
      <c r="M327" s="6" t="inlineStr">
        <is>
          <t>EBY</t>
        </is>
      </c>
      <c r="N327" s="6" t="inlineStr">
        <is>
          <t>OFFICIAL_PRIMARY</t>
        </is>
      </c>
      <c r="O327" s="9" t="inlineStr">
        <is>
          <t>OFFICIAL_AGGREGATE</t>
        </is>
      </c>
      <c r="P327" s="8" t="n">
        <v>1</v>
      </c>
      <c r="Q327" s="8" t="n">
        <v>50</v>
      </c>
      <c r="R327" s="7" t="inlineStr">
        <is>
          <t>https://www.eby.gov.py/wp-content/uploads/2019/12/YacyretaEnergiasMensualesDesdePuestaenMarcha.pdf</t>
        </is>
      </c>
      <c r="S327" s="6" t="inlineStr">
        <is>
          <t>EBY-MONTHLY-1994-2012</t>
        </is>
      </c>
      <c r="T327" s="6" t="inlineStr"/>
      <c r="U327" s="4" t="inlineStr">
        <is>
          <t>2026-09-10 23:00:00</t>
        </is>
      </c>
      <c r="V327" s="4" t="inlineStr">
        <is>
          <t>Energia mensual Yacyreta desde puesta en marcha.</t>
        </is>
      </c>
    </row>
    <row r="328">
      <c r="A328" s="6" t="inlineStr">
        <is>
          <t>R0000327</t>
        </is>
      </c>
      <c r="B328" s="6" t="inlineStr">
        <is>
          <t>1999-04-01</t>
        </is>
      </c>
      <c r="C328" s="6" t="inlineStr">
        <is>
          <t>1999-04-30</t>
        </is>
      </c>
      <c r="D328" s="6" t="inlineStr">
        <is>
          <t>month</t>
        </is>
      </c>
      <c r="E328" s="6" t="inlineStr">
        <is>
          <t>ENERGY_TO_ARGENTINA</t>
        </is>
      </c>
      <c r="F328" s="6" t="inlineStr">
        <is>
          <t>YACYRETA</t>
        </is>
      </c>
      <c r="G328" s="6" t="inlineStr">
        <is>
          <t>YACYRETA</t>
        </is>
      </c>
      <c r="H328" s="6" t="inlineStr">
        <is>
          <t>SADI</t>
        </is>
      </c>
      <c r="I328" s="8" t="n">
        <v>1063012</v>
      </c>
      <c r="J328" s="6" t="inlineStr">
        <is>
          <t>MWh</t>
        </is>
      </c>
      <c r="K328" s="8" t="n">
        <v>1063012</v>
      </c>
      <c r="L328" s="6" t="inlineStr">
        <is>
          <t>MWh</t>
        </is>
      </c>
      <c r="M328" s="6" t="inlineStr">
        <is>
          <t>EBY</t>
        </is>
      </c>
      <c r="N328" s="6" t="inlineStr">
        <is>
          <t>OFFICIAL_PRIMARY</t>
        </is>
      </c>
      <c r="O328" s="9" t="inlineStr">
        <is>
          <t>OFFICIAL_AGGREGATE</t>
        </is>
      </c>
      <c r="P328" s="8" t="n">
        <v>1</v>
      </c>
      <c r="Q328" s="8" t="n">
        <v>50</v>
      </c>
      <c r="R328" s="7" t="inlineStr">
        <is>
          <t>https://www.eby.gov.py/wp-content/uploads/2019/12/YacyretaEnergiasMensualesDesdePuestaenMarcha.pdf</t>
        </is>
      </c>
      <c r="S328" s="6" t="inlineStr">
        <is>
          <t>EBY-MONTHLY-1994-2012</t>
        </is>
      </c>
      <c r="T328" s="6" t="inlineStr"/>
      <c r="U328" s="4" t="inlineStr">
        <is>
          <t>2026-09-10 23:00:00</t>
        </is>
      </c>
      <c r="V328" s="4" t="inlineStr">
        <is>
          <t>Energia mensual entregada al SADI.</t>
        </is>
      </c>
    </row>
    <row r="329">
      <c r="A329" s="6" t="inlineStr">
        <is>
          <t>R0000328</t>
        </is>
      </c>
      <c r="B329" s="6" t="inlineStr">
        <is>
          <t>1999-04-01</t>
        </is>
      </c>
      <c r="C329" s="6" t="inlineStr">
        <is>
          <t>1999-04-30</t>
        </is>
      </c>
      <c r="D329" s="6" t="inlineStr">
        <is>
          <t>month</t>
        </is>
      </c>
      <c r="E329" s="6" t="inlineStr">
        <is>
          <t>ENERGY_TO_PY</t>
        </is>
      </c>
      <c r="F329" s="6" t="inlineStr">
        <is>
          <t>YACYRETA</t>
        </is>
      </c>
      <c r="G329" s="6" t="inlineStr">
        <is>
          <t>YACYRETA</t>
        </is>
      </c>
      <c r="H329" s="6" t="inlineStr">
        <is>
          <t>SINP</t>
        </is>
      </c>
      <c r="I329" s="8" t="n">
        <v>4983</v>
      </c>
      <c r="J329" s="6" t="inlineStr">
        <is>
          <t>MWh</t>
        </is>
      </c>
      <c r="K329" s="8" t="n">
        <v>4983</v>
      </c>
      <c r="L329" s="6" t="inlineStr">
        <is>
          <t>MWh</t>
        </is>
      </c>
      <c r="M329" s="6" t="inlineStr">
        <is>
          <t>EBY</t>
        </is>
      </c>
      <c r="N329" s="6" t="inlineStr">
        <is>
          <t>OFFICIAL_PRIMARY</t>
        </is>
      </c>
      <c r="O329" s="9" t="inlineStr">
        <is>
          <t>OFFICIAL_AGGREGATE</t>
        </is>
      </c>
      <c r="P329" s="8" t="n">
        <v>1</v>
      </c>
      <c r="Q329" s="8" t="n">
        <v>50</v>
      </c>
      <c r="R329" s="7" t="inlineStr">
        <is>
          <t>https://www.eby.gov.py/wp-content/uploads/2019/12/YacyretaEnergiasMensualesDesdePuestaenMarcha.pdf</t>
        </is>
      </c>
      <c r="S329" s="6" t="inlineStr">
        <is>
          <t>EBY-MONTHLY-1994-2012</t>
        </is>
      </c>
      <c r="T329" s="6" t="inlineStr"/>
      <c r="U329" s="4" t="inlineStr">
        <is>
          <t>2026-09-10 23:00:00</t>
        </is>
      </c>
      <c r="V329" s="4" t="inlineStr">
        <is>
          <t>Energia mensual entregada al SINP.</t>
        </is>
      </c>
    </row>
    <row r="330">
      <c r="A330" s="6" t="inlineStr">
        <is>
          <t>R0000329</t>
        </is>
      </c>
      <c r="B330" s="6" t="inlineStr">
        <is>
          <t>1999-05-01</t>
        </is>
      </c>
      <c r="C330" s="6" t="inlineStr">
        <is>
          <t>1999-05-31</t>
        </is>
      </c>
      <c r="D330" s="6" t="inlineStr">
        <is>
          <t>month</t>
        </is>
      </c>
      <c r="E330" s="6" t="inlineStr">
        <is>
          <t>YACYRETA_NET_ENERGY</t>
        </is>
      </c>
      <c r="F330" s="6" t="inlineStr">
        <is>
          <t>YACYRETA</t>
        </is>
      </c>
      <c r="G330" s="6" t="inlineStr">
        <is>
          <t>YACYRETA</t>
        </is>
      </c>
      <c r="H330" s="6" t="inlineStr">
        <is>
          <t>TOTAL</t>
        </is>
      </c>
      <c r="I330" s="8" t="n">
        <v>1042262</v>
      </c>
      <c r="J330" s="6" t="inlineStr">
        <is>
          <t>MWh</t>
        </is>
      </c>
      <c r="K330" s="8" t="n">
        <v>1042262</v>
      </c>
      <c r="L330" s="6" t="inlineStr">
        <is>
          <t>MWh</t>
        </is>
      </c>
      <c r="M330" s="6" t="inlineStr">
        <is>
          <t>EBY</t>
        </is>
      </c>
      <c r="N330" s="6" t="inlineStr">
        <is>
          <t>OFFICIAL_PRIMARY</t>
        </is>
      </c>
      <c r="O330" s="9" t="inlineStr">
        <is>
          <t>OFFICIAL_AGGREGATE</t>
        </is>
      </c>
      <c r="P330" s="8" t="n">
        <v>1</v>
      </c>
      <c r="Q330" s="8" t="n">
        <v>50</v>
      </c>
      <c r="R330" s="7" t="inlineStr">
        <is>
          <t>https://www.eby.gov.py/wp-content/uploads/2019/12/YacyretaEnergiasMensualesDesdePuestaenMarcha.pdf</t>
        </is>
      </c>
      <c r="S330" s="6" t="inlineStr">
        <is>
          <t>EBY-MONTHLY-1994-2012</t>
        </is>
      </c>
      <c r="T330" s="6" t="inlineStr"/>
      <c r="U330" s="4" t="inlineStr">
        <is>
          <t>2026-09-10 23:00:00</t>
        </is>
      </c>
      <c r="V330" s="4" t="inlineStr">
        <is>
          <t>Energia mensual Yacyreta desde puesta en marcha.</t>
        </is>
      </c>
    </row>
    <row r="331">
      <c r="A331" s="6" t="inlineStr">
        <is>
          <t>R0000330</t>
        </is>
      </c>
      <c r="B331" s="6" t="inlineStr">
        <is>
          <t>1999-05-01</t>
        </is>
      </c>
      <c r="C331" s="6" t="inlineStr">
        <is>
          <t>1999-05-31</t>
        </is>
      </c>
      <c r="D331" s="6" t="inlineStr">
        <is>
          <t>month</t>
        </is>
      </c>
      <c r="E331" s="6" t="inlineStr">
        <is>
          <t>ENERGY_TO_ARGENTINA</t>
        </is>
      </c>
      <c r="F331" s="6" t="inlineStr">
        <is>
          <t>YACYRETA</t>
        </is>
      </c>
      <c r="G331" s="6" t="inlineStr">
        <is>
          <t>YACYRETA</t>
        </is>
      </c>
      <c r="H331" s="6" t="inlineStr">
        <is>
          <t>SADI</t>
        </is>
      </c>
      <c r="I331" s="8" t="n">
        <v>1038626</v>
      </c>
      <c r="J331" s="6" t="inlineStr">
        <is>
          <t>MWh</t>
        </is>
      </c>
      <c r="K331" s="8" t="n">
        <v>1038626</v>
      </c>
      <c r="L331" s="6" t="inlineStr">
        <is>
          <t>MWh</t>
        </is>
      </c>
      <c r="M331" s="6" t="inlineStr">
        <is>
          <t>EBY</t>
        </is>
      </c>
      <c r="N331" s="6" t="inlineStr">
        <is>
          <t>OFFICIAL_PRIMARY</t>
        </is>
      </c>
      <c r="O331" s="9" t="inlineStr">
        <is>
          <t>OFFICIAL_AGGREGATE</t>
        </is>
      </c>
      <c r="P331" s="8" t="n">
        <v>1</v>
      </c>
      <c r="Q331" s="8" t="n">
        <v>50</v>
      </c>
      <c r="R331" s="7" t="inlineStr">
        <is>
          <t>https://www.eby.gov.py/wp-content/uploads/2019/12/YacyretaEnergiasMensualesDesdePuestaenMarcha.pdf</t>
        </is>
      </c>
      <c r="S331" s="6" t="inlineStr">
        <is>
          <t>EBY-MONTHLY-1994-2012</t>
        </is>
      </c>
      <c r="T331" s="6" t="inlineStr"/>
      <c r="U331" s="4" t="inlineStr">
        <is>
          <t>2026-09-10 23:00:00</t>
        </is>
      </c>
      <c r="V331" s="4" t="inlineStr">
        <is>
          <t>Energia mensual entregada al SADI.</t>
        </is>
      </c>
    </row>
    <row r="332">
      <c r="A332" s="6" t="inlineStr">
        <is>
          <t>R0000331</t>
        </is>
      </c>
      <c r="B332" s="6" t="inlineStr">
        <is>
          <t>1999-05-01</t>
        </is>
      </c>
      <c r="C332" s="6" t="inlineStr">
        <is>
          <t>1999-05-31</t>
        </is>
      </c>
      <c r="D332" s="6" t="inlineStr">
        <is>
          <t>month</t>
        </is>
      </c>
      <c r="E332" s="6" t="inlineStr">
        <is>
          <t>ENERGY_TO_PY</t>
        </is>
      </c>
      <c r="F332" s="6" t="inlineStr">
        <is>
          <t>YACYRETA</t>
        </is>
      </c>
      <c r="G332" s="6" t="inlineStr">
        <is>
          <t>YACYRETA</t>
        </is>
      </c>
      <c r="H332" s="6" t="inlineStr">
        <is>
          <t>SINP</t>
        </is>
      </c>
      <c r="I332" s="8" t="n">
        <v>3636</v>
      </c>
      <c r="J332" s="6" t="inlineStr">
        <is>
          <t>MWh</t>
        </is>
      </c>
      <c r="K332" s="8" t="n">
        <v>3636</v>
      </c>
      <c r="L332" s="6" t="inlineStr">
        <is>
          <t>MWh</t>
        </is>
      </c>
      <c r="M332" s="6" t="inlineStr">
        <is>
          <t>EBY</t>
        </is>
      </c>
      <c r="N332" s="6" t="inlineStr">
        <is>
          <t>OFFICIAL_PRIMARY</t>
        </is>
      </c>
      <c r="O332" s="9" t="inlineStr">
        <is>
          <t>OFFICIAL_AGGREGATE</t>
        </is>
      </c>
      <c r="P332" s="8" t="n">
        <v>1</v>
      </c>
      <c r="Q332" s="8" t="n">
        <v>50</v>
      </c>
      <c r="R332" s="7" t="inlineStr">
        <is>
          <t>https://www.eby.gov.py/wp-content/uploads/2019/12/YacyretaEnergiasMensualesDesdePuestaenMarcha.pdf</t>
        </is>
      </c>
      <c r="S332" s="6" t="inlineStr">
        <is>
          <t>EBY-MONTHLY-1994-2012</t>
        </is>
      </c>
      <c r="T332" s="6" t="inlineStr"/>
      <c r="U332" s="4" t="inlineStr">
        <is>
          <t>2026-09-10 23:00:00</t>
        </is>
      </c>
      <c r="V332" s="4" t="inlineStr">
        <is>
          <t>Energia mensual entregada al SINP.</t>
        </is>
      </c>
    </row>
    <row r="333">
      <c r="A333" s="6" t="inlineStr">
        <is>
          <t>R0000332</t>
        </is>
      </c>
      <c r="B333" s="6" t="inlineStr">
        <is>
          <t>1999-06-01</t>
        </is>
      </c>
      <c r="C333" s="6" t="inlineStr">
        <is>
          <t>1999-06-30</t>
        </is>
      </c>
      <c r="D333" s="6" t="inlineStr">
        <is>
          <t>month</t>
        </is>
      </c>
      <c r="E333" s="6" t="inlineStr">
        <is>
          <t>YACYRETA_NET_ENERGY</t>
        </is>
      </c>
      <c r="F333" s="6" t="inlineStr">
        <is>
          <t>YACYRETA</t>
        </is>
      </c>
      <c r="G333" s="6" t="inlineStr">
        <is>
          <t>YACYRETA</t>
        </is>
      </c>
      <c r="H333" s="6" t="inlineStr">
        <is>
          <t>TOTAL</t>
        </is>
      </c>
      <c r="I333" s="8" t="n">
        <v>1028792</v>
      </c>
      <c r="J333" s="6" t="inlineStr">
        <is>
          <t>MWh</t>
        </is>
      </c>
      <c r="K333" s="8" t="n">
        <v>1028792</v>
      </c>
      <c r="L333" s="6" t="inlineStr">
        <is>
          <t>MWh</t>
        </is>
      </c>
      <c r="M333" s="6" t="inlineStr">
        <is>
          <t>EBY</t>
        </is>
      </c>
      <c r="N333" s="6" t="inlineStr">
        <is>
          <t>OFFICIAL_PRIMARY</t>
        </is>
      </c>
      <c r="O333" s="9" t="inlineStr">
        <is>
          <t>OFFICIAL_AGGREGATE</t>
        </is>
      </c>
      <c r="P333" s="8" t="n">
        <v>1</v>
      </c>
      <c r="Q333" s="8" t="n">
        <v>50</v>
      </c>
      <c r="R333" s="7" t="inlineStr">
        <is>
          <t>https://www.eby.gov.py/wp-content/uploads/2019/12/YacyretaEnergiasMensualesDesdePuestaenMarcha.pdf</t>
        </is>
      </c>
      <c r="S333" s="6" t="inlineStr">
        <is>
          <t>EBY-MONTHLY-1994-2012</t>
        </is>
      </c>
      <c r="T333" s="6" t="inlineStr"/>
      <c r="U333" s="4" t="inlineStr">
        <is>
          <t>2026-09-10 23:00:00</t>
        </is>
      </c>
      <c r="V333" s="4" t="inlineStr">
        <is>
          <t>Energia mensual Yacyreta desde puesta en marcha.</t>
        </is>
      </c>
    </row>
    <row r="334">
      <c r="A334" s="6" t="inlineStr">
        <is>
          <t>R0000333</t>
        </is>
      </c>
      <c r="B334" s="6" t="inlineStr">
        <is>
          <t>1999-06-01</t>
        </is>
      </c>
      <c r="C334" s="6" t="inlineStr">
        <is>
          <t>1999-06-30</t>
        </is>
      </c>
      <c r="D334" s="6" t="inlineStr">
        <is>
          <t>month</t>
        </is>
      </c>
      <c r="E334" s="6" t="inlineStr">
        <is>
          <t>ENERGY_TO_ARGENTINA</t>
        </is>
      </c>
      <c r="F334" s="6" t="inlineStr">
        <is>
          <t>YACYRETA</t>
        </is>
      </c>
      <c r="G334" s="6" t="inlineStr">
        <is>
          <t>YACYRETA</t>
        </is>
      </c>
      <c r="H334" s="6" t="inlineStr">
        <is>
          <t>SADI</t>
        </is>
      </c>
      <c r="I334" s="8" t="n">
        <v>1025109</v>
      </c>
      <c r="J334" s="6" t="inlineStr">
        <is>
          <t>MWh</t>
        </is>
      </c>
      <c r="K334" s="8" t="n">
        <v>1025109</v>
      </c>
      <c r="L334" s="6" t="inlineStr">
        <is>
          <t>MWh</t>
        </is>
      </c>
      <c r="M334" s="6" t="inlineStr">
        <is>
          <t>EBY</t>
        </is>
      </c>
      <c r="N334" s="6" t="inlineStr">
        <is>
          <t>OFFICIAL_PRIMARY</t>
        </is>
      </c>
      <c r="O334" s="9" t="inlineStr">
        <is>
          <t>OFFICIAL_AGGREGATE</t>
        </is>
      </c>
      <c r="P334" s="8" t="n">
        <v>1</v>
      </c>
      <c r="Q334" s="8" t="n">
        <v>50</v>
      </c>
      <c r="R334" s="7" t="inlineStr">
        <is>
          <t>https://www.eby.gov.py/wp-content/uploads/2019/12/YacyretaEnergiasMensualesDesdePuestaenMarcha.pdf</t>
        </is>
      </c>
      <c r="S334" s="6" t="inlineStr">
        <is>
          <t>EBY-MONTHLY-1994-2012</t>
        </is>
      </c>
      <c r="T334" s="6" t="inlineStr"/>
      <c r="U334" s="4" t="inlineStr">
        <is>
          <t>2026-09-10 23:00:00</t>
        </is>
      </c>
      <c r="V334" s="4" t="inlineStr">
        <is>
          <t>Energia mensual entregada al SADI.</t>
        </is>
      </c>
    </row>
    <row r="335">
      <c r="A335" s="6" t="inlineStr">
        <is>
          <t>R0000334</t>
        </is>
      </c>
      <c r="B335" s="6" t="inlineStr">
        <is>
          <t>1999-06-01</t>
        </is>
      </c>
      <c r="C335" s="6" t="inlineStr">
        <is>
          <t>1999-06-30</t>
        </is>
      </c>
      <c r="D335" s="6" t="inlineStr">
        <is>
          <t>month</t>
        </is>
      </c>
      <c r="E335" s="6" t="inlineStr">
        <is>
          <t>ENERGY_TO_PY</t>
        </is>
      </c>
      <c r="F335" s="6" t="inlineStr">
        <is>
          <t>YACYRETA</t>
        </is>
      </c>
      <c r="G335" s="6" t="inlineStr">
        <is>
          <t>YACYRETA</t>
        </is>
      </c>
      <c r="H335" s="6" t="inlineStr">
        <is>
          <t>SINP</t>
        </is>
      </c>
      <c r="I335" s="8" t="n">
        <v>3683</v>
      </c>
      <c r="J335" s="6" t="inlineStr">
        <is>
          <t>MWh</t>
        </is>
      </c>
      <c r="K335" s="8" t="n">
        <v>3683</v>
      </c>
      <c r="L335" s="6" t="inlineStr">
        <is>
          <t>MWh</t>
        </is>
      </c>
      <c r="M335" s="6" t="inlineStr">
        <is>
          <t>EBY</t>
        </is>
      </c>
      <c r="N335" s="6" t="inlineStr">
        <is>
          <t>OFFICIAL_PRIMARY</t>
        </is>
      </c>
      <c r="O335" s="9" t="inlineStr">
        <is>
          <t>OFFICIAL_AGGREGATE</t>
        </is>
      </c>
      <c r="P335" s="8" t="n">
        <v>1</v>
      </c>
      <c r="Q335" s="8" t="n">
        <v>50</v>
      </c>
      <c r="R335" s="7" t="inlineStr">
        <is>
          <t>https://www.eby.gov.py/wp-content/uploads/2019/12/YacyretaEnergiasMensualesDesdePuestaenMarcha.pdf</t>
        </is>
      </c>
      <c r="S335" s="6" t="inlineStr">
        <is>
          <t>EBY-MONTHLY-1994-2012</t>
        </is>
      </c>
      <c r="T335" s="6" t="inlineStr"/>
      <c r="U335" s="4" t="inlineStr">
        <is>
          <t>2026-09-10 23:00:00</t>
        </is>
      </c>
      <c r="V335" s="4" t="inlineStr">
        <is>
          <t>Energia mensual entregada al SINP.</t>
        </is>
      </c>
    </row>
    <row r="336">
      <c r="A336" s="6" t="inlineStr">
        <is>
          <t>R0000335</t>
        </is>
      </c>
      <c r="B336" s="6" t="inlineStr">
        <is>
          <t>1999-07-01</t>
        </is>
      </c>
      <c r="C336" s="6" t="inlineStr">
        <is>
          <t>1999-07-31</t>
        </is>
      </c>
      <c r="D336" s="6" t="inlineStr">
        <is>
          <t>month</t>
        </is>
      </c>
      <c r="E336" s="6" t="inlineStr">
        <is>
          <t>YACYRETA_NET_ENERGY</t>
        </is>
      </c>
      <c r="F336" s="6" t="inlineStr">
        <is>
          <t>YACYRETA</t>
        </is>
      </c>
      <c r="G336" s="6" t="inlineStr">
        <is>
          <t>YACYRETA</t>
        </is>
      </c>
      <c r="H336" s="6" t="inlineStr">
        <is>
          <t>TOTAL</t>
        </is>
      </c>
      <c r="I336" s="8" t="n">
        <v>1116528</v>
      </c>
      <c r="J336" s="6" t="inlineStr">
        <is>
          <t>MWh</t>
        </is>
      </c>
      <c r="K336" s="8" t="n">
        <v>1116528</v>
      </c>
      <c r="L336" s="6" t="inlineStr">
        <is>
          <t>MWh</t>
        </is>
      </c>
      <c r="M336" s="6" t="inlineStr">
        <is>
          <t>EBY</t>
        </is>
      </c>
      <c r="N336" s="6" t="inlineStr">
        <is>
          <t>OFFICIAL_PRIMARY</t>
        </is>
      </c>
      <c r="O336" s="9" t="inlineStr">
        <is>
          <t>OFFICIAL_AGGREGATE</t>
        </is>
      </c>
      <c r="P336" s="8" t="n">
        <v>1</v>
      </c>
      <c r="Q336" s="8" t="n">
        <v>50</v>
      </c>
      <c r="R336" s="7" t="inlineStr">
        <is>
          <t>https://www.eby.gov.py/wp-content/uploads/2019/12/YacyretaEnergiasMensualesDesdePuestaenMarcha.pdf</t>
        </is>
      </c>
      <c r="S336" s="6" t="inlineStr">
        <is>
          <t>EBY-MONTHLY-1994-2012</t>
        </is>
      </c>
      <c r="T336" s="6" t="inlineStr"/>
      <c r="U336" s="4" t="inlineStr">
        <is>
          <t>2026-09-10 23:00:00</t>
        </is>
      </c>
      <c r="V336" s="4" t="inlineStr">
        <is>
          <t>Energia mensual Yacyreta desde puesta en marcha.</t>
        </is>
      </c>
    </row>
    <row r="337">
      <c r="A337" s="6" t="inlineStr">
        <is>
          <t>R0000336</t>
        </is>
      </c>
      <c r="B337" s="6" t="inlineStr">
        <is>
          <t>1999-07-01</t>
        </is>
      </c>
      <c r="C337" s="6" t="inlineStr">
        <is>
          <t>1999-07-31</t>
        </is>
      </c>
      <c r="D337" s="6" t="inlineStr">
        <is>
          <t>month</t>
        </is>
      </c>
      <c r="E337" s="6" t="inlineStr">
        <is>
          <t>ENERGY_TO_ARGENTINA</t>
        </is>
      </c>
      <c r="F337" s="6" t="inlineStr">
        <is>
          <t>YACYRETA</t>
        </is>
      </c>
      <c r="G337" s="6" t="inlineStr">
        <is>
          <t>YACYRETA</t>
        </is>
      </c>
      <c r="H337" s="6" t="inlineStr">
        <is>
          <t>SADI</t>
        </is>
      </c>
      <c r="I337" s="8" t="n">
        <v>1113769</v>
      </c>
      <c r="J337" s="6" t="inlineStr">
        <is>
          <t>MWh</t>
        </is>
      </c>
      <c r="K337" s="8" t="n">
        <v>1113769</v>
      </c>
      <c r="L337" s="6" t="inlineStr">
        <is>
          <t>MWh</t>
        </is>
      </c>
      <c r="M337" s="6" t="inlineStr">
        <is>
          <t>EBY</t>
        </is>
      </c>
      <c r="N337" s="6" t="inlineStr">
        <is>
          <t>OFFICIAL_PRIMARY</t>
        </is>
      </c>
      <c r="O337" s="9" t="inlineStr">
        <is>
          <t>OFFICIAL_AGGREGATE</t>
        </is>
      </c>
      <c r="P337" s="8" t="n">
        <v>1</v>
      </c>
      <c r="Q337" s="8" t="n">
        <v>50</v>
      </c>
      <c r="R337" s="7" t="inlineStr">
        <is>
          <t>https://www.eby.gov.py/wp-content/uploads/2019/12/YacyretaEnergiasMensualesDesdePuestaenMarcha.pdf</t>
        </is>
      </c>
      <c r="S337" s="6" t="inlineStr">
        <is>
          <t>EBY-MONTHLY-1994-2012</t>
        </is>
      </c>
      <c r="T337" s="6" t="inlineStr"/>
      <c r="U337" s="4" t="inlineStr">
        <is>
          <t>2026-09-10 23:00:00</t>
        </is>
      </c>
      <c r="V337" s="4" t="inlineStr">
        <is>
          <t>Energia mensual entregada al SADI.</t>
        </is>
      </c>
    </row>
    <row r="338">
      <c r="A338" s="6" t="inlineStr">
        <is>
          <t>R0000337</t>
        </is>
      </c>
      <c r="B338" s="6" t="inlineStr">
        <is>
          <t>1999-07-01</t>
        </is>
      </c>
      <c r="C338" s="6" t="inlineStr">
        <is>
          <t>1999-07-31</t>
        </is>
      </c>
      <c r="D338" s="6" t="inlineStr">
        <is>
          <t>month</t>
        </is>
      </c>
      <c r="E338" s="6" t="inlineStr">
        <is>
          <t>ENERGY_TO_PY</t>
        </is>
      </c>
      <c r="F338" s="6" t="inlineStr">
        <is>
          <t>YACYRETA</t>
        </is>
      </c>
      <c r="G338" s="6" t="inlineStr">
        <is>
          <t>YACYRETA</t>
        </is>
      </c>
      <c r="H338" s="6" t="inlineStr">
        <is>
          <t>SINP</t>
        </is>
      </c>
      <c r="I338" s="8" t="n">
        <v>2759</v>
      </c>
      <c r="J338" s="6" t="inlineStr">
        <is>
          <t>MWh</t>
        </is>
      </c>
      <c r="K338" s="8" t="n">
        <v>2759</v>
      </c>
      <c r="L338" s="6" t="inlineStr">
        <is>
          <t>MWh</t>
        </is>
      </c>
      <c r="M338" s="6" t="inlineStr">
        <is>
          <t>EBY</t>
        </is>
      </c>
      <c r="N338" s="6" t="inlineStr">
        <is>
          <t>OFFICIAL_PRIMARY</t>
        </is>
      </c>
      <c r="O338" s="9" t="inlineStr">
        <is>
          <t>OFFICIAL_AGGREGATE</t>
        </is>
      </c>
      <c r="P338" s="8" t="n">
        <v>1</v>
      </c>
      <c r="Q338" s="8" t="n">
        <v>50</v>
      </c>
      <c r="R338" s="7" t="inlineStr">
        <is>
          <t>https://www.eby.gov.py/wp-content/uploads/2019/12/YacyretaEnergiasMensualesDesdePuestaenMarcha.pdf</t>
        </is>
      </c>
      <c r="S338" s="6" t="inlineStr">
        <is>
          <t>EBY-MONTHLY-1994-2012</t>
        </is>
      </c>
      <c r="T338" s="6" t="inlineStr"/>
      <c r="U338" s="4" t="inlineStr">
        <is>
          <t>2026-09-10 23:00:00</t>
        </is>
      </c>
      <c r="V338" s="4" t="inlineStr">
        <is>
          <t>Energia mensual entregada al SINP.</t>
        </is>
      </c>
    </row>
    <row r="339">
      <c r="A339" s="6" t="inlineStr">
        <is>
          <t>R0000338</t>
        </is>
      </c>
      <c r="B339" s="6" t="inlineStr">
        <is>
          <t>1999-08-01</t>
        </is>
      </c>
      <c r="C339" s="6" t="inlineStr">
        <is>
          <t>1999-08-31</t>
        </is>
      </c>
      <c r="D339" s="6" t="inlineStr">
        <is>
          <t>month</t>
        </is>
      </c>
      <c r="E339" s="6" t="inlineStr">
        <is>
          <t>YACYRETA_NET_ENERGY</t>
        </is>
      </c>
      <c r="F339" s="6" t="inlineStr">
        <is>
          <t>YACYRETA</t>
        </is>
      </c>
      <c r="G339" s="6" t="inlineStr">
        <is>
          <t>YACYRETA</t>
        </is>
      </c>
      <c r="H339" s="6" t="inlineStr">
        <is>
          <t>TOTAL</t>
        </is>
      </c>
      <c r="I339" s="8" t="n">
        <v>960502</v>
      </c>
      <c r="J339" s="6" t="inlineStr">
        <is>
          <t>MWh</t>
        </is>
      </c>
      <c r="K339" s="8" t="n">
        <v>960502</v>
      </c>
      <c r="L339" s="6" t="inlineStr">
        <is>
          <t>MWh</t>
        </is>
      </c>
      <c r="M339" s="6" t="inlineStr">
        <is>
          <t>EBY</t>
        </is>
      </c>
      <c r="N339" s="6" t="inlineStr">
        <is>
          <t>OFFICIAL_PRIMARY</t>
        </is>
      </c>
      <c r="O339" s="9" t="inlineStr">
        <is>
          <t>OFFICIAL_AGGREGATE</t>
        </is>
      </c>
      <c r="P339" s="8" t="n">
        <v>1</v>
      </c>
      <c r="Q339" s="8" t="n">
        <v>50</v>
      </c>
      <c r="R339" s="7" t="inlineStr">
        <is>
          <t>https://www.eby.gov.py/wp-content/uploads/2019/12/YacyretaEnergiasMensualesDesdePuestaenMarcha.pdf</t>
        </is>
      </c>
      <c r="S339" s="6" t="inlineStr">
        <is>
          <t>EBY-MONTHLY-1994-2012</t>
        </is>
      </c>
      <c r="T339" s="6" t="inlineStr"/>
      <c r="U339" s="4" t="inlineStr">
        <is>
          <t>2026-09-10 23:00:00</t>
        </is>
      </c>
      <c r="V339" s="4" t="inlineStr">
        <is>
          <t>Energia mensual Yacyreta desde puesta en marcha.</t>
        </is>
      </c>
    </row>
    <row r="340">
      <c r="A340" s="6" t="inlineStr">
        <is>
          <t>R0000339</t>
        </is>
      </c>
      <c r="B340" s="6" t="inlineStr">
        <is>
          <t>1999-08-01</t>
        </is>
      </c>
      <c r="C340" s="6" t="inlineStr">
        <is>
          <t>1999-08-31</t>
        </is>
      </c>
      <c r="D340" s="6" t="inlineStr">
        <is>
          <t>month</t>
        </is>
      </c>
      <c r="E340" s="6" t="inlineStr">
        <is>
          <t>ENERGY_TO_ARGENTINA</t>
        </is>
      </c>
      <c r="F340" s="6" t="inlineStr">
        <is>
          <t>YACYRETA</t>
        </is>
      </c>
      <c r="G340" s="6" t="inlineStr">
        <is>
          <t>YACYRETA</t>
        </is>
      </c>
      <c r="H340" s="6" t="inlineStr">
        <is>
          <t>SADI</t>
        </is>
      </c>
      <c r="I340" s="8" t="n">
        <v>958191</v>
      </c>
      <c r="J340" s="6" t="inlineStr">
        <is>
          <t>MWh</t>
        </is>
      </c>
      <c r="K340" s="8" t="n">
        <v>958191</v>
      </c>
      <c r="L340" s="6" t="inlineStr">
        <is>
          <t>MWh</t>
        </is>
      </c>
      <c r="M340" s="6" t="inlineStr">
        <is>
          <t>EBY</t>
        </is>
      </c>
      <c r="N340" s="6" t="inlineStr">
        <is>
          <t>OFFICIAL_PRIMARY</t>
        </is>
      </c>
      <c r="O340" s="9" t="inlineStr">
        <is>
          <t>OFFICIAL_AGGREGATE</t>
        </is>
      </c>
      <c r="P340" s="8" t="n">
        <v>1</v>
      </c>
      <c r="Q340" s="8" t="n">
        <v>50</v>
      </c>
      <c r="R340" s="7" t="inlineStr">
        <is>
          <t>https://www.eby.gov.py/wp-content/uploads/2019/12/YacyretaEnergiasMensualesDesdePuestaenMarcha.pdf</t>
        </is>
      </c>
      <c r="S340" s="6" t="inlineStr">
        <is>
          <t>EBY-MONTHLY-1994-2012</t>
        </is>
      </c>
      <c r="T340" s="6" t="inlineStr"/>
      <c r="U340" s="4" t="inlineStr">
        <is>
          <t>2026-09-10 23:00:00</t>
        </is>
      </c>
      <c r="V340" s="4" t="inlineStr">
        <is>
          <t>Energia mensual entregada al SADI.</t>
        </is>
      </c>
    </row>
    <row r="341">
      <c r="A341" s="6" t="inlineStr">
        <is>
          <t>R0000340</t>
        </is>
      </c>
      <c r="B341" s="6" t="inlineStr">
        <is>
          <t>1999-08-01</t>
        </is>
      </c>
      <c r="C341" s="6" t="inlineStr">
        <is>
          <t>1999-08-31</t>
        </is>
      </c>
      <c r="D341" s="6" t="inlineStr">
        <is>
          <t>month</t>
        </is>
      </c>
      <c r="E341" s="6" t="inlineStr">
        <is>
          <t>ENERGY_TO_PY</t>
        </is>
      </c>
      <c r="F341" s="6" t="inlineStr">
        <is>
          <t>YACYRETA</t>
        </is>
      </c>
      <c r="G341" s="6" t="inlineStr">
        <is>
          <t>YACYRETA</t>
        </is>
      </c>
      <c r="H341" s="6" t="inlineStr">
        <is>
          <t>SINP</t>
        </is>
      </c>
      <c r="I341" s="8" t="n">
        <v>2311</v>
      </c>
      <c r="J341" s="6" t="inlineStr">
        <is>
          <t>MWh</t>
        </is>
      </c>
      <c r="K341" s="8" t="n">
        <v>2311</v>
      </c>
      <c r="L341" s="6" t="inlineStr">
        <is>
          <t>MWh</t>
        </is>
      </c>
      <c r="M341" s="6" t="inlineStr">
        <is>
          <t>EBY</t>
        </is>
      </c>
      <c r="N341" s="6" t="inlineStr">
        <is>
          <t>OFFICIAL_PRIMARY</t>
        </is>
      </c>
      <c r="O341" s="9" t="inlineStr">
        <is>
          <t>OFFICIAL_AGGREGATE</t>
        </is>
      </c>
      <c r="P341" s="8" t="n">
        <v>1</v>
      </c>
      <c r="Q341" s="8" t="n">
        <v>50</v>
      </c>
      <c r="R341" s="7" t="inlineStr">
        <is>
          <t>https://www.eby.gov.py/wp-content/uploads/2019/12/YacyretaEnergiasMensualesDesdePuestaenMarcha.pdf</t>
        </is>
      </c>
      <c r="S341" s="6" t="inlineStr">
        <is>
          <t>EBY-MONTHLY-1994-2012</t>
        </is>
      </c>
      <c r="T341" s="6" t="inlineStr"/>
      <c r="U341" s="4" t="inlineStr">
        <is>
          <t>2026-09-10 23:00:00</t>
        </is>
      </c>
      <c r="V341" s="4" t="inlineStr">
        <is>
          <t>Energia mensual entregada al SINP.</t>
        </is>
      </c>
    </row>
    <row r="342">
      <c r="A342" s="6" t="inlineStr">
        <is>
          <t>R0000341</t>
        </is>
      </c>
      <c r="B342" s="6" t="inlineStr">
        <is>
          <t>1999-09-01</t>
        </is>
      </c>
      <c r="C342" s="6" t="inlineStr">
        <is>
          <t>1999-09-30</t>
        </is>
      </c>
      <c r="D342" s="6" t="inlineStr">
        <is>
          <t>month</t>
        </is>
      </c>
      <c r="E342" s="6" t="inlineStr">
        <is>
          <t>YACYRETA_NET_ENERGY</t>
        </is>
      </c>
      <c r="F342" s="6" t="inlineStr">
        <is>
          <t>YACYRETA</t>
        </is>
      </c>
      <c r="G342" s="6" t="inlineStr">
        <is>
          <t>YACYRETA</t>
        </is>
      </c>
      <c r="H342" s="6" t="inlineStr">
        <is>
          <t>TOTAL</t>
        </is>
      </c>
      <c r="I342" s="8" t="n">
        <v>936925</v>
      </c>
      <c r="J342" s="6" t="inlineStr">
        <is>
          <t>MWh</t>
        </is>
      </c>
      <c r="K342" s="8" t="n">
        <v>936925</v>
      </c>
      <c r="L342" s="6" t="inlineStr">
        <is>
          <t>MWh</t>
        </is>
      </c>
      <c r="M342" s="6" t="inlineStr">
        <is>
          <t>EBY</t>
        </is>
      </c>
      <c r="N342" s="6" t="inlineStr">
        <is>
          <t>OFFICIAL_PRIMARY</t>
        </is>
      </c>
      <c r="O342" s="9" t="inlineStr">
        <is>
          <t>OFFICIAL_AGGREGATE</t>
        </is>
      </c>
      <c r="P342" s="8" t="n">
        <v>1</v>
      </c>
      <c r="Q342" s="8" t="n">
        <v>50</v>
      </c>
      <c r="R342" s="7" t="inlineStr">
        <is>
          <t>https://www.eby.gov.py/wp-content/uploads/2019/12/YacyretaEnergiasMensualesDesdePuestaenMarcha.pdf</t>
        </is>
      </c>
      <c r="S342" s="6" t="inlineStr">
        <is>
          <t>EBY-MONTHLY-1994-2012</t>
        </is>
      </c>
      <c r="T342" s="6" t="inlineStr"/>
      <c r="U342" s="4" t="inlineStr">
        <is>
          <t>2026-09-10 23:00:00</t>
        </is>
      </c>
      <c r="V342" s="4" t="inlineStr">
        <is>
          <t>Energia mensual Yacyreta desde puesta en marcha.</t>
        </is>
      </c>
    </row>
    <row r="343">
      <c r="A343" s="6" t="inlineStr">
        <is>
          <t>R0000342</t>
        </is>
      </c>
      <c r="B343" s="6" t="inlineStr">
        <is>
          <t>1999-09-01</t>
        </is>
      </c>
      <c r="C343" s="6" t="inlineStr">
        <is>
          <t>1999-09-30</t>
        </is>
      </c>
      <c r="D343" s="6" t="inlineStr">
        <is>
          <t>month</t>
        </is>
      </c>
      <c r="E343" s="6" t="inlineStr">
        <is>
          <t>ENERGY_TO_ARGENTINA</t>
        </is>
      </c>
      <c r="F343" s="6" t="inlineStr">
        <is>
          <t>YACYRETA</t>
        </is>
      </c>
      <c r="G343" s="6" t="inlineStr">
        <is>
          <t>YACYRETA</t>
        </is>
      </c>
      <c r="H343" s="6" t="inlineStr">
        <is>
          <t>SADI</t>
        </is>
      </c>
      <c r="I343" s="8" t="n">
        <v>934967</v>
      </c>
      <c r="J343" s="6" t="inlineStr">
        <is>
          <t>MWh</t>
        </is>
      </c>
      <c r="K343" s="8" t="n">
        <v>934967</v>
      </c>
      <c r="L343" s="6" t="inlineStr">
        <is>
          <t>MWh</t>
        </is>
      </c>
      <c r="M343" s="6" t="inlineStr">
        <is>
          <t>EBY</t>
        </is>
      </c>
      <c r="N343" s="6" t="inlineStr">
        <is>
          <t>OFFICIAL_PRIMARY</t>
        </is>
      </c>
      <c r="O343" s="9" t="inlineStr">
        <is>
          <t>OFFICIAL_AGGREGATE</t>
        </is>
      </c>
      <c r="P343" s="8" t="n">
        <v>1</v>
      </c>
      <c r="Q343" s="8" t="n">
        <v>50</v>
      </c>
      <c r="R343" s="7" t="inlineStr">
        <is>
          <t>https://www.eby.gov.py/wp-content/uploads/2019/12/YacyretaEnergiasMensualesDesdePuestaenMarcha.pdf</t>
        </is>
      </c>
      <c r="S343" s="6" t="inlineStr">
        <is>
          <t>EBY-MONTHLY-1994-2012</t>
        </is>
      </c>
      <c r="T343" s="6" t="inlineStr"/>
      <c r="U343" s="4" t="inlineStr">
        <is>
          <t>2026-09-10 23:00:00</t>
        </is>
      </c>
      <c r="V343" s="4" t="inlineStr">
        <is>
          <t>Energia mensual entregada al SADI.</t>
        </is>
      </c>
    </row>
    <row r="344">
      <c r="A344" s="6" t="inlineStr">
        <is>
          <t>R0000343</t>
        </is>
      </c>
      <c r="B344" s="6" t="inlineStr">
        <is>
          <t>1999-09-01</t>
        </is>
      </c>
      <c r="C344" s="6" t="inlineStr">
        <is>
          <t>1999-09-30</t>
        </is>
      </c>
      <c r="D344" s="6" t="inlineStr">
        <is>
          <t>month</t>
        </is>
      </c>
      <c r="E344" s="6" t="inlineStr">
        <is>
          <t>ENERGY_TO_PY</t>
        </is>
      </c>
      <c r="F344" s="6" t="inlineStr">
        <is>
          <t>YACYRETA</t>
        </is>
      </c>
      <c r="G344" s="6" t="inlineStr">
        <is>
          <t>YACYRETA</t>
        </is>
      </c>
      <c r="H344" s="6" t="inlineStr">
        <is>
          <t>SINP</t>
        </is>
      </c>
      <c r="I344" s="8" t="n">
        <v>1958</v>
      </c>
      <c r="J344" s="6" t="inlineStr">
        <is>
          <t>MWh</t>
        </is>
      </c>
      <c r="K344" s="8" t="n">
        <v>1958</v>
      </c>
      <c r="L344" s="6" t="inlineStr">
        <is>
          <t>MWh</t>
        </is>
      </c>
      <c r="M344" s="6" t="inlineStr">
        <is>
          <t>EBY</t>
        </is>
      </c>
      <c r="N344" s="6" t="inlineStr">
        <is>
          <t>OFFICIAL_PRIMARY</t>
        </is>
      </c>
      <c r="O344" s="9" t="inlineStr">
        <is>
          <t>OFFICIAL_AGGREGATE</t>
        </is>
      </c>
      <c r="P344" s="8" t="n">
        <v>1</v>
      </c>
      <c r="Q344" s="8" t="n">
        <v>50</v>
      </c>
      <c r="R344" s="7" t="inlineStr">
        <is>
          <t>https://www.eby.gov.py/wp-content/uploads/2019/12/YacyretaEnergiasMensualesDesdePuestaenMarcha.pdf</t>
        </is>
      </c>
      <c r="S344" s="6" t="inlineStr">
        <is>
          <t>EBY-MONTHLY-1994-2012</t>
        </is>
      </c>
      <c r="T344" s="6" t="inlineStr"/>
      <c r="U344" s="4" t="inlineStr">
        <is>
          <t>2026-09-10 23:00:00</t>
        </is>
      </c>
      <c r="V344" s="4" t="inlineStr">
        <is>
          <t>Energia mensual entregada al SINP.</t>
        </is>
      </c>
    </row>
    <row r="345">
      <c r="A345" s="6" t="inlineStr">
        <is>
          <t>R0000344</t>
        </is>
      </c>
      <c r="B345" s="6" t="inlineStr">
        <is>
          <t>1999-10-01</t>
        </is>
      </c>
      <c r="C345" s="6" t="inlineStr">
        <is>
          <t>1999-10-31</t>
        </is>
      </c>
      <c r="D345" s="6" t="inlineStr">
        <is>
          <t>month</t>
        </is>
      </c>
      <c r="E345" s="6" t="inlineStr">
        <is>
          <t>YACYRETA_NET_ENERGY</t>
        </is>
      </c>
      <c r="F345" s="6" t="inlineStr">
        <is>
          <t>YACYRETA</t>
        </is>
      </c>
      <c r="G345" s="6" t="inlineStr">
        <is>
          <t>YACYRETA</t>
        </is>
      </c>
      <c r="H345" s="6" t="inlineStr">
        <is>
          <t>TOTAL</t>
        </is>
      </c>
      <c r="I345" s="8" t="n">
        <v>911281</v>
      </c>
      <c r="J345" s="6" t="inlineStr">
        <is>
          <t>MWh</t>
        </is>
      </c>
      <c r="K345" s="8" t="n">
        <v>911281</v>
      </c>
      <c r="L345" s="6" t="inlineStr">
        <is>
          <t>MWh</t>
        </is>
      </c>
      <c r="M345" s="6" t="inlineStr">
        <is>
          <t>EBY</t>
        </is>
      </c>
      <c r="N345" s="6" t="inlineStr">
        <is>
          <t>OFFICIAL_PRIMARY</t>
        </is>
      </c>
      <c r="O345" s="9" t="inlineStr">
        <is>
          <t>OFFICIAL_AGGREGATE</t>
        </is>
      </c>
      <c r="P345" s="8" t="n">
        <v>1</v>
      </c>
      <c r="Q345" s="8" t="n">
        <v>50</v>
      </c>
      <c r="R345" s="7" t="inlineStr">
        <is>
          <t>https://www.eby.gov.py/wp-content/uploads/2019/12/YacyretaEnergiasMensualesDesdePuestaenMarcha.pdf</t>
        </is>
      </c>
      <c r="S345" s="6" t="inlineStr">
        <is>
          <t>EBY-MONTHLY-1994-2012</t>
        </is>
      </c>
      <c r="T345" s="6" t="inlineStr"/>
      <c r="U345" s="4" t="inlineStr">
        <is>
          <t>2026-09-10 23:00:00</t>
        </is>
      </c>
      <c r="V345" s="4" t="inlineStr">
        <is>
          <t>Energia mensual Yacyreta desde puesta en marcha.</t>
        </is>
      </c>
    </row>
    <row r="346">
      <c r="A346" s="6" t="inlineStr">
        <is>
          <t>R0000345</t>
        </is>
      </c>
      <c r="B346" s="6" t="inlineStr">
        <is>
          <t>1999-10-01</t>
        </is>
      </c>
      <c r="C346" s="6" t="inlineStr">
        <is>
          <t>1999-10-31</t>
        </is>
      </c>
      <c r="D346" s="6" t="inlineStr">
        <is>
          <t>month</t>
        </is>
      </c>
      <c r="E346" s="6" t="inlineStr">
        <is>
          <t>ENERGY_TO_ARGENTINA</t>
        </is>
      </c>
      <c r="F346" s="6" t="inlineStr">
        <is>
          <t>YACYRETA</t>
        </is>
      </c>
      <c r="G346" s="6" t="inlineStr">
        <is>
          <t>YACYRETA</t>
        </is>
      </c>
      <c r="H346" s="6" t="inlineStr">
        <is>
          <t>SADI</t>
        </is>
      </c>
      <c r="I346" s="8" t="n">
        <v>908320</v>
      </c>
      <c r="J346" s="6" t="inlineStr">
        <is>
          <t>MWh</t>
        </is>
      </c>
      <c r="K346" s="8" t="n">
        <v>908320</v>
      </c>
      <c r="L346" s="6" t="inlineStr">
        <is>
          <t>MWh</t>
        </is>
      </c>
      <c r="M346" s="6" t="inlineStr">
        <is>
          <t>EBY</t>
        </is>
      </c>
      <c r="N346" s="6" t="inlineStr">
        <is>
          <t>OFFICIAL_PRIMARY</t>
        </is>
      </c>
      <c r="O346" s="9" t="inlineStr">
        <is>
          <t>OFFICIAL_AGGREGATE</t>
        </is>
      </c>
      <c r="P346" s="8" t="n">
        <v>1</v>
      </c>
      <c r="Q346" s="8" t="n">
        <v>50</v>
      </c>
      <c r="R346" s="7" t="inlineStr">
        <is>
          <t>https://www.eby.gov.py/wp-content/uploads/2019/12/YacyretaEnergiasMensualesDesdePuestaenMarcha.pdf</t>
        </is>
      </c>
      <c r="S346" s="6" t="inlineStr">
        <is>
          <t>EBY-MONTHLY-1994-2012</t>
        </is>
      </c>
      <c r="T346" s="6" t="inlineStr"/>
      <c r="U346" s="4" t="inlineStr">
        <is>
          <t>2026-09-10 23:00:00</t>
        </is>
      </c>
      <c r="V346" s="4" t="inlineStr">
        <is>
          <t>Energia mensual entregada al SADI.</t>
        </is>
      </c>
    </row>
    <row r="347">
      <c r="A347" s="6" t="inlineStr">
        <is>
          <t>R0000346</t>
        </is>
      </c>
      <c r="B347" s="6" t="inlineStr">
        <is>
          <t>1999-10-01</t>
        </is>
      </c>
      <c r="C347" s="6" t="inlineStr">
        <is>
          <t>1999-10-31</t>
        </is>
      </c>
      <c r="D347" s="6" t="inlineStr">
        <is>
          <t>month</t>
        </is>
      </c>
      <c r="E347" s="6" t="inlineStr">
        <is>
          <t>ENERGY_TO_PY</t>
        </is>
      </c>
      <c r="F347" s="6" t="inlineStr">
        <is>
          <t>YACYRETA</t>
        </is>
      </c>
      <c r="G347" s="6" t="inlineStr">
        <is>
          <t>YACYRETA</t>
        </is>
      </c>
      <c r="H347" s="6" t="inlineStr">
        <is>
          <t>SINP</t>
        </is>
      </c>
      <c r="I347" s="8" t="n">
        <v>2961</v>
      </c>
      <c r="J347" s="6" t="inlineStr">
        <is>
          <t>MWh</t>
        </is>
      </c>
      <c r="K347" s="8" t="n">
        <v>2961</v>
      </c>
      <c r="L347" s="6" t="inlineStr">
        <is>
          <t>MWh</t>
        </is>
      </c>
      <c r="M347" s="6" t="inlineStr">
        <is>
          <t>EBY</t>
        </is>
      </c>
      <c r="N347" s="6" t="inlineStr">
        <is>
          <t>OFFICIAL_PRIMARY</t>
        </is>
      </c>
      <c r="O347" s="9" t="inlineStr">
        <is>
          <t>OFFICIAL_AGGREGATE</t>
        </is>
      </c>
      <c r="P347" s="8" t="n">
        <v>1</v>
      </c>
      <c r="Q347" s="8" t="n">
        <v>50</v>
      </c>
      <c r="R347" s="7" t="inlineStr">
        <is>
          <t>https://www.eby.gov.py/wp-content/uploads/2019/12/YacyretaEnergiasMensualesDesdePuestaenMarcha.pdf</t>
        </is>
      </c>
      <c r="S347" s="6" t="inlineStr">
        <is>
          <t>EBY-MONTHLY-1994-2012</t>
        </is>
      </c>
      <c r="T347" s="6" t="inlineStr"/>
      <c r="U347" s="4" t="inlineStr">
        <is>
          <t>2026-09-10 23:00:00</t>
        </is>
      </c>
      <c r="V347" s="4" t="inlineStr">
        <is>
          <t>Energia mensual entregada al SINP.</t>
        </is>
      </c>
    </row>
    <row r="348">
      <c r="A348" s="6" t="inlineStr">
        <is>
          <t>R0000347</t>
        </is>
      </c>
      <c r="B348" s="6" t="inlineStr">
        <is>
          <t>1999-11-01</t>
        </is>
      </c>
      <c r="C348" s="6" t="inlineStr">
        <is>
          <t>1999-11-30</t>
        </is>
      </c>
      <c r="D348" s="6" t="inlineStr">
        <is>
          <t>month</t>
        </is>
      </c>
      <c r="E348" s="6" t="inlineStr">
        <is>
          <t>YACYRETA_NET_ENERGY</t>
        </is>
      </c>
      <c r="F348" s="6" t="inlineStr">
        <is>
          <t>YACYRETA</t>
        </is>
      </c>
      <c r="G348" s="6" t="inlineStr">
        <is>
          <t>YACYRETA</t>
        </is>
      </c>
      <c r="H348" s="6" t="inlineStr">
        <is>
          <t>TOTAL</t>
        </is>
      </c>
      <c r="I348" s="8" t="n">
        <v>861553</v>
      </c>
      <c r="J348" s="6" t="inlineStr">
        <is>
          <t>MWh</t>
        </is>
      </c>
      <c r="K348" s="8" t="n">
        <v>861553</v>
      </c>
      <c r="L348" s="6" t="inlineStr">
        <is>
          <t>MWh</t>
        </is>
      </c>
      <c r="M348" s="6" t="inlineStr">
        <is>
          <t>EBY</t>
        </is>
      </c>
      <c r="N348" s="6" t="inlineStr">
        <is>
          <t>OFFICIAL_PRIMARY</t>
        </is>
      </c>
      <c r="O348" s="9" t="inlineStr">
        <is>
          <t>OFFICIAL_AGGREGATE</t>
        </is>
      </c>
      <c r="P348" s="8" t="n">
        <v>1</v>
      </c>
      <c r="Q348" s="8" t="n">
        <v>50</v>
      </c>
      <c r="R348" s="7" t="inlineStr">
        <is>
          <t>https://www.eby.gov.py/wp-content/uploads/2019/12/YacyretaEnergiasMensualesDesdePuestaenMarcha.pdf</t>
        </is>
      </c>
      <c r="S348" s="6" t="inlineStr">
        <is>
          <t>EBY-MONTHLY-1994-2012</t>
        </is>
      </c>
      <c r="T348" s="6" t="inlineStr"/>
      <c r="U348" s="4" t="inlineStr">
        <is>
          <t>2026-09-10 23:00:00</t>
        </is>
      </c>
      <c r="V348" s="4" t="inlineStr">
        <is>
          <t>Energia mensual Yacyreta desde puesta en marcha.</t>
        </is>
      </c>
    </row>
    <row r="349">
      <c r="A349" s="6" t="inlineStr">
        <is>
          <t>R0000348</t>
        </is>
      </c>
      <c r="B349" s="6" t="inlineStr">
        <is>
          <t>1999-11-01</t>
        </is>
      </c>
      <c r="C349" s="6" t="inlineStr">
        <is>
          <t>1999-11-30</t>
        </is>
      </c>
      <c r="D349" s="6" t="inlineStr">
        <is>
          <t>month</t>
        </is>
      </c>
      <c r="E349" s="6" t="inlineStr">
        <is>
          <t>ENERGY_TO_ARGENTINA</t>
        </is>
      </c>
      <c r="F349" s="6" t="inlineStr">
        <is>
          <t>YACYRETA</t>
        </is>
      </c>
      <c r="G349" s="6" t="inlineStr">
        <is>
          <t>YACYRETA</t>
        </is>
      </c>
      <c r="H349" s="6" t="inlineStr">
        <is>
          <t>SADI</t>
        </is>
      </c>
      <c r="I349" s="8" t="n">
        <v>859502</v>
      </c>
      <c r="J349" s="6" t="inlineStr">
        <is>
          <t>MWh</t>
        </is>
      </c>
      <c r="K349" s="8" t="n">
        <v>859502</v>
      </c>
      <c r="L349" s="6" t="inlineStr">
        <is>
          <t>MWh</t>
        </is>
      </c>
      <c r="M349" s="6" t="inlineStr">
        <is>
          <t>EBY</t>
        </is>
      </c>
      <c r="N349" s="6" t="inlineStr">
        <is>
          <t>OFFICIAL_PRIMARY</t>
        </is>
      </c>
      <c r="O349" s="9" t="inlineStr">
        <is>
          <t>OFFICIAL_AGGREGATE</t>
        </is>
      </c>
      <c r="P349" s="8" t="n">
        <v>1</v>
      </c>
      <c r="Q349" s="8" t="n">
        <v>50</v>
      </c>
      <c r="R349" s="7" t="inlineStr">
        <is>
          <t>https://www.eby.gov.py/wp-content/uploads/2019/12/YacyretaEnergiasMensualesDesdePuestaenMarcha.pdf</t>
        </is>
      </c>
      <c r="S349" s="6" t="inlineStr">
        <is>
          <t>EBY-MONTHLY-1994-2012</t>
        </is>
      </c>
      <c r="T349" s="6" t="inlineStr"/>
      <c r="U349" s="4" t="inlineStr">
        <is>
          <t>2026-09-10 23:00:00</t>
        </is>
      </c>
      <c r="V349" s="4" t="inlineStr">
        <is>
          <t>Energia mensual entregada al SADI.</t>
        </is>
      </c>
    </row>
    <row r="350">
      <c r="A350" s="6" t="inlineStr">
        <is>
          <t>R0000349</t>
        </is>
      </c>
      <c r="B350" s="6" t="inlineStr">
        <is>
          <t>1999-11-01</t>
        </is>
      </c>
      <c r="C350" s="6" t="inlineStr">
        <is>
          <t>1999-11-30</t>
        </is>
      </c>
      <c r="D350" s="6" t="inlineStr">
        <is>
          <t>month</t>
        </is>
      </c>
      <c r="E350" s="6" t="inlineStr">
        <is>
          <t>ENERGY_TO_PY</t>
        </is>
      </c>
      <c r="F350" s="6" t="inlineStr">
        <is>
          <t>YACYRETA</t>
        </is>
      </c>
      <c r="G350" s="6" t="inlineStr">
        <is>
          <t>YACYRETA</t>
        </is>
      </c>
      <c r="H350" s="6" t="inlineStr">
        <is>
          <t>SINP</t>
        </is>
      </c>
      <c r="I350" s="8" t="n">
        <v>2051</v>
      </c>
      <c r="J350" s="6" t="inlineStr">
        <is>
          <t>MWh</t>
        </is>
      </c>
      <c r="K350" s="8" t="n">
        <v>2051</v>
      </c>
      <c r="L350" s="6" t="inlineStr">
        <is>
          <t>MWh</t>
        </is>
      </c>
      <c r="M350" s="6" t="inlineStr">
        <is>
          <t>EBY</t>
        </is>
      </c>
      <c r="N350" s="6" t="inlineStr">
        <is>
          <t>OFFICIAL_PRIMARY</t>
        </is>
      </c>
      <c r="O350" s="9" t="inlineStr">
        <is>
          <t>OFFICIAL_AGGREGATE</t>
        </is>
      </c>
      <c r="P350" s="8" t="n">
        <v>1</v>
      </c>
      <c r="Q350" s="8" t="n">
        <v>50</v>
      </c>
      <c r="R350" s="7" t="inlineStr">
        <is>
          <t>https://www.eby.gov.py/wp-content/uploads/2019/12/YacyretaEnergiasMensualesDesdePuestaenMarcha.pdf</t>
        </is>
      </c>
      <c r="S350" s="6" t="inlineStr">
        <is>
          <t>EBY-MONTHLY-1994-2012</t>
        </is>
      </c>
      <c r="T350" s="6" t="inlineStr"/>
      <c r="U350" s="4" t="inlineStr">
        <is>
          <t>2026-09-10 23:00:00</t>
        </is>
      </c>
      <c r="V350" s="4" t="inlineStr">
        <is>
          <t>Energia mensual entregada al SINP.</t>
        </is>
      </c>
    </row>
    <row r="351">
      <c r="A351" s="6" t="inlineStr">
        <is>
          <t>R0000350</t>
        </is>
      </c>
      <c r="B351" s="6" t="inlineStr">
        <is>
          <t>1999-12-01</t>
        </is>
      </c>
      <c r="C351" s="6" t="inlineStr">
        <is>
          <t>1999-12-31</t>
        </is>
      </c>
      <c r="D351" s="6" t="inlineStr">
        <is>
          <t>month</t>
        </is>
      </c>
      <c r="E351" s="6" t="inlineStr">
        <is>
          <t>YACYRETA_NET_ENERGY</t>
        </is>
      </c>
      <c r="F351" s="6" t="inlineStr">
        <is>
          <t>YACYRETA</t>
        </is>
      </c>
      <c r="G351" s="6" t="inlineStr">
        <is>
          <t>YACYRETA</t>
        </is>
      </c>
      <c r="H351" s="6" t="inlineStr">
        <is>
          <t>TOTAL</t>
        </is>
      </c>
      <c r="I351" s="8" t="n">
        <v>952374</v>
      </c>
      <c r="J351" s="6" t="inlineStr">
        <is>
          <t>MWh</t>
        </is>
      </c>
      <c r="K351" s="8" t="n">
        <v>952374</v>
      </c>
      <c r="L351" s="6" t="inlineStr">
        <is>
          <t>MWh</t>
        </is>
      </c>
      <c r="M351" s="6" t="inlineStr">
        <is>
          <t>EBY</t>
        </is>
      </c>
      <c r="N351" s="6" t="inlineStr">
        <is>
          <t>OFFICIAL_PRIMARY</t>
        </is>
      </c>
      <c r="O351" s="9" t="inlineStr">
        <is>
          <t>OFFICIAL_AGGREGATE</t>
        </is>
      </c>
      <c r="P351" s="8" t="n">
        <v>1</v>
      </c>
      <c r="Q351" s="8" t="n">
        <v>50</v>
      </c>
      <c r="R351" s="7" t="inlineStr">
        <is>
          <t>https://www.eby.gov.py/wp-content/uploads/2019/12/YacyretaEnergiasMensualesDesdePuestaenMarcha.pdf</t>
        </is>
      </c>
      <c r="S351" s="6" t="inlineStr">
        <is>
          <t>EBY-MONTHLY-1994-2012</t>
        </is>
      </c>
      <c r="T351" s="6" t="inlineStr"/>
      <c r="U351" s="4" t="inlineStr">
        <is>
          <t>2026-09-10 23:00:00</t>
        </is>
      </c>
      <c r="V351" s="4" t="inlineStr">
        <is>
          <t>Energia mensual Yacyreta desde puesta en marcha.</t>
        </is>
      </c>
    </row>
    <row r="352">
      <c r="A352" s="6" t="inlineStr">
        <is>
          <t>R0000351</t>
        </is>
      </c>
      <c r="B352" s="6" t="inlineStr">
        <is>
          <t>1999-12-01</t>
        </is>
      </c>
      <c r="C352" s="6" t="inlineStr">
        <is>
          <t>1999-12-31</t>
        </is>
      </c>
      <c r="D352" s="6" t="inlineStr">
        <is>
          <t>month</t>
        </is>
      </c>
      <c r="E352" s="6" t="inlineStr">
        <is>
          <t>ENERGY_TO_ARGENTINA</t>
        </is>
      </c>
      <c r="F352" s="6" t="inlineStr">
        <is>
          <t>YACYRETA</t>
        </is>
      </c>
      <c r="G352" s="6" t="inlineStr">
        <is>
          <t>YACYRETA</t>
        </is>
      </c>
      <c r="H352" s="6" t="inlineStr">
        <is>
          <t>SADI</t>
        </is>
      </c>
      <c r="I352" s="8" t="n">
        <v>949058</v>
      </c>
      <c r="J352" s="6" t="inlineStr">
        <is>
          <t>MWh</t>
        </is>
      </c>
      <c r="K352" s="8" t="n">
        <v>949058</v>
      </c>
      <c r="L352" s="6" t="inlineStr">
        <is>
          <t>MWh</t>
        </is>
      </c>
      <c r="M352" s="6" t="inlineStr">
        <is>
          <t>EBY</t>
        </is>
      </c>
      <c r="N352" s="6" t="inlineStr">
        <is>
          <t>OFFICIAL_PRIMARY</t>
        </is>
      </c>
      <c r="O352" s="9" t="inlineStr">
        <is>
          <t>OFFICIAL_AGGREGATE</t>
        </is>
      </c>
      <c r="P352" s="8" t="n">
        <v>1</v>
      </c>
      <c r="Q352" s="8" t="n">
        <v>50</v>
      </c>
      <c r="R352" s="7" t="inlineStr">
        <is>
          <t>https://www.eby.gov.py/wp-content/uploads/2019/12/YacyretaEnergiasMensualesDesdePuestaenMarcha.pdf</t>
        </is>
      </c>
      <c r="S352" s="6" t="inlineStr">
        <is>
          <t>EBY-MONTHLY-1994-2012</t>
        </is>
      </c>
      <c r="T352" s="6" t="inlineStr"/>
      <c r="U352" s="4" t="inlineStr">
        <is>
          <t>2026-09-10 23:00:00</t>
        </is>
      </c>
      <c r="V352" s="4" t="inlineStr">
        <is>
          <t>Energia mensual entregada al SADI.</t>
        </is>
      </c>
    </row>
    <row r="353">
      <c r="A353" s="6" t="inlineStr">
        <is>
          <t>R0000352</t>
        </is>
      </c>
      <c r="B353" s="6" t="inlineStr">
        <is>
          <t>1999-12-01</t>
        </is>
      </c>
      <c r="C353" s="6" t="inlineStr">
        <is>
          <t>1999-12-31</t>
        </is>
      </c>
      <c r="D353" s="6" t="inlineStr">
        <is>
          <t>month</t>
        </is>
      </c>
      <c r="E353" s="6" t="inlineStr">
        <is>
          <t>ENERGY_TO_PY</t>
        </is>
      </c>
      <c r="F353" s="6" t="inlineStr">
        <is>
          <t>YACYRETA</t>
        </is>
      </c>
      <c r="G353" s="6" t="inlineStr">
        <is>
          <t>YACYRETA</t>
        </is>
      </c>
      <c r="H353" s="6" t="inlineStr">
        <is>
          <t>SINP</t>
        </is>
      </c>
      <c r="I353" s="8" t="n">
        <v>3316</v>
      </c>
      <c r="J353" s="6" t="inlineStr">
        <is>
          <t>MWh</t>
        </is>
      </c>
      <c r="K353" s="8" t="n">
        <v>3316</v>
      </c>
      <c r="L353" s="6" t="inlineStr">
        <is>
          <t>MWh</t>
        </is>
      </c>
      <c r="M353" s="6" t="inlineStr">
        <is>
          <t>EBY</t>
        </is>
      </c>
      <c r="N353" s="6" t="inlineStr">
        <is>
          <t>OFFICIAL_PRIMARY</t>
        </is>
      </c>
      <c r="O353" s="9" t="inlineStr">
        <is>
          <t>OFFICIAL_AGGREGATE</t>
        </is>
      </c>
      <c r="P353" s="8" t="n">
        <v>1</v>
      </c>
      <c r="Q353" s="8" t="n">
        <v>50</v>
      </c>
      <c r="R353" s="7" t="inlineStr">
        <is>
          <t>https://www.eby.gov.py/wp-content/uploads/2019/12/YacyretaEnergiasMensualesDesdePuestaenMarcha.pdf</t>
        </is>
      </c>
      <c r="S353" s="6" t="inlineStr">
        <is>
          <t>EBY-MONTHLY-1994-2012</t>
        </is>
      </c>
      <c r="T353" s="6" t="inlineStr"/>
      <c r="U353" s="4" t="inlineStr">
        <is>
          <t>2026-09-10 23:00:00</t>
        </is>
      </c>
      <c r="V353" s="4" t="inlineStr">
        <is>
          <t>Energia mensual entregada al SINP.</t>
        </is>
      </c>
    </row>
    <row r="354">
      <c r="A354" s="6" t="inlineStr">
        <is>
          <t>R0000353</t>
        </is>
      </c>
      <c r="B354" s="6" t="inlineStr">
        <is>
          <t>2000-01-01</t>
        </is>
      </c>
      <c r="C354" s="6" t="inlineStr">
        <is>
          <t>2000-01-31</t>
        </is>
      </c>
      <c r="D354" s="6" t="inlineStr">
        <is>
          <t>month</t>
        </is>
      </c>
      <c r="E354" s="6" t="inlineStr">
        <is>
          <t>YACYRETA_NET_ENERGY</t>
        </is>
      </c>
      <c r="F354" s="6" t="inlineStr">
        <is>
          <t>YACYRETA</t>
        </is>
      </c>
      <c r="G354" s="6" t="inlineStr">
        <is>
          <t>YACYRETA</t>
        </is>
      </c>
      <c r="H354" s="6" t="inlineStr">
        <is>
          <t>TOTAL</t>
        </is>
      </c>
      <c r="I354" s="8" t="n">
        <v>880531</v>
      </c>
      <c r="J354" s="6" t="inlineStr">
        <is>
          <t>MWh</t>
        </is>
      </c>
      <c r="K354" s="8" t="n">
        <v>880531</v>
      </c>
      <c r="L354" s="6" t="inlineStr">
        <is>
          <t>MWh</t>
        </is>
      </c>
      <c r="M354" s="6" t="inlineStr">
        <is>
          <t>EBY</t>
        </is>
      </c>
      <c r="N354" s="6" t="inlineStr">
        <is>
          <t>OFFICIAL_PRIMARY</t>
        </is>
      </c>
      <c r="O354" s="9" t="inlineStr">
        <is>
          <t>OFFICIAL_AGGREGATE</t>
        </is>
      </c>
      <c r="P354" s="8" t="n">
        <v>1</v>
      </c>
      <c r="Q354" s="8" t="n">
        <v>50</v>
      </c>
      <c r="R354" s="7" t="inlineStr">
        <is>
          <t>https://www.eby.gov.py/wp-content/uploads/2019/12/YacyretaEnergiasMensualesDesdePuestaenMarcha.pdf</t>
        </is>
      </c>
      <c r="S354" s="6" t="inlineStr">
        <is>
          <t>EBY-MONTHLY-1994-2012</t>
        </is>
      </c>
      <c r="T354" s="6" t="inlineStr"/>
      <c r="U354" s="4" t="inlineStr">
        <is>
          <t>2026-09-10 23:00:00</t>
        </is>
      </c>
      <c r="V354" s="4" t="inlineStr">
        <is>
          <t>Energia mensual Yacyreta desde puesta en marcha.</t>
        </is>
      </c>
    </row>
    <row r="355">
      <c r="A355" s="6" t="inlineStr">
        <is>
          <t>R0000354</t>
        </is>
      </c>
      <c r="B355" s="6" t="inlineStr">
        <is>
          <t>2000-01-01</t>
        </is>
      </c>
      <c r="C355" s="6" t="inlineStr">
        <is>
          <t>2000-01-31</t>
        </is>
      </c>
      <c r="D355" s="6" t="inlineStr">
        <is>
          <t>month</t>
        </is>
      </c>
      <c r="E355" s="6" t="inlineStr">
        <is>
          <t>ENERGY_TO_ARGENTINA</t>
        </is>
      </c>
      <c r="F355" s="6" t="inlineStr">
        <is>
          <t>YACYRETA</t>
        </is>
      </c>
      <c r="G355" s="6" t="inlineStr">
        <is>
          <t>YACYRETA</t>
        </is>
      </c>
      <c r="H355" s="6" t="inlineStr">
        <is>
          <t>SADI</t>
        </is>
      </c>
      <c r="I355" s="8" t="n">
        <v>878745</v>
      </c>
      <c r="J355" s="6" t="inlineStr">
        <is>
          <t>MWh</t>
        </is>
      </c>
      <c r="K355" s="8" t="n">
        <v>878745</v>
      </c>
      <c r="L355" s="6" t="inlineStr">
        <is>
          <t>MWh</t>
        </is>
      </c>
      <c r="M355" s="6" t="inlineStr">
        <is>
          <t>EBY</t>
        </is>
      </c>
      <c r="N355" s="6" t="inlineStr">
        <is>
          <t>OFFICIAL_PRIMARY</t>
        </is>
      </c>
      <c r="O355" s="9" t="inlineStr">
        <is>
          <t>OFFICIAL_AGGREGATE</t>
        </is>
      </c>
      <c r="P355" s="8" t="n">
        <v>1</v>
      </c>
      <c r="Q355" s="8" t="n">
        <v>50</v>
      </c>
      <c r="R355" s="7" t="inlineStr">
        <is>
          <t>https://www.eby.gov.py/wp-content/uploads/2019/12/YacyretaEnergiasMensualesDesdePuestaenMarcha.pdf</t>
        </is>
      </c>
      <c r="S355" s="6" t="inlineStr">
        <is>
          <t>EBY-MONTHLY-1994-2012</t>
        </is>
      </c>
      <c r="T355" s="6" t="inlineStr"/>
      <c r="U355" s="4" t="inlineStr">
        <is>
          <t>2026-09-10 23:00:00</t>
        </is>
      </c>
      <c r="V355" s="4" t="inlineStr">
        <is>
          <t>Energia mensual entregada al SADI.</t>
        </is>
      </c>
    </row>
    <row r="356">
      <c r="A356" s="6" t="inlineStr">
        <is>
          <t>R0000355</t>
        </is>
      </c>
      <c r="B356" s="6" t="inlineStr">
        <is>
          <t>2000-01-01</t>
        </is>
      </c>
      <c r="C356" s="6" t="inlineStr">
        <is>
          <t>2000-01-31</t>
        </is>
      </c>
      <c r="D356" s="6" t="inlineStr">
        <is>
          <t>month</t>
        </is>
      </c>
      <c r="E356" s="6" t="inlineStr">
        <is>
          <t>ENERGY_TO_PY</t>
        </is>
      </c>
      <c r="F356" s="6" t="inlineStr">
        <is>
          <t>YACYRETA</t>
        </is>
      </c>
      <c r="G356" s="6" t="inlineStr">
        <is>
          <t>YACYRETA</t>
        </is>
      </c>
      <c r="H356" s="6" t="inlineStr">
        <is>
          <t>SINP</t>
        </is>
      </c>
      <c r="I356" s="8" t="n">
        <v>1786</v>
      </c>
      <c r="J356" s="6" t="inlineStr">
        <is>
          <t>MWh</t>
        </is>
      </c>
      <c r="K356" s="8" t="n">
        <v>1786</v>
      </c>
      <c r="L356" s="6" t="inlineStr">
        <is>
          <t>MWh</t>
        </is>
      </c>
      <c r="M356" s="6" t="inlineStr">
        <is>
          <t>EBY</t>
        </is>
      </c>
      <c r="N356" s="6" t="inlineStr">
        <is>
          <t>OFFICIAL_PRIMARY</t>
        </is>
      </c>
      <c r="O356" s="9" t="inlineStr">
        <is>
          <t>OFFICIAL_AGGREGATE</t>
        </is>
      </c>
      <c r="P356" s="8" t="n">
        <v>1</v>
      </c>
      <c r="Q356" s="8" t="n">
        <v>50</v>
      </c>
      <c r="R356" s="7" t="inlineStr">
        <is>
          <t>https://www.eby.gov.py/wp-content/uploads/2019/12/YacyretaEnergiasMensualesDesdePuestaenMarcha.pdf</t>
        </is>
      </c>
      <c r="S356" s="6" t="inlineStr">
        <is>
          <t>EBY-MONTHLY-1994-2012</t>
        </is>
      </c>
      <c r="T356" s="6" t="inlineStr"/>
      <c r="U356" s="4" t="inlineStr">
        <is>
          <t>2026-09-10 23:00:00</t>
        </is>
      </c>
      <c r="V356" s="4" t="inlineStr">
        <is>
          <t>Energia mensual entregada al SINP.</t>
        </is>
      </c>
    </row>
    <row r="357">
      <c r="A357" s="6" t="inlineStr">
        <is>
          <t>R0000356</t>
        </is>
      </c>
      <c r="B357" s="6" t="inlineStr">
        <is>
          <t>2000-02-01</t>
        </is>
      </c>
      <c r="C357" s="6" t="inlineStr">
        <is>
          <t>2000-02-29</t>
        </is>
      </c>
      <c r="D357" s="6" t="inlineStr">
        <is>
          <t>month</t>
        </is>
      </c>
      <c r="E357" s="6" t="inlineStr">
        <is>
          <t>YACYRETA_NET_ENERGY</t>
        </is>
      </c>
      <c r="F357" s="6" t="inlineStr">
        <is>
          <t>YACYRETA</t>
        </is>
      </c>
      <c r="G357" s="6" t="inlineStr">
        <is>
          <t>YACYRETA</t>
        </is>
      </c>
      <c r="H357" s="6" t="inlineStr">
        <is>
          <t>TOTAL</t>
        </is>
      </c>
      <c r="I357" s="8" t="n">
        <v>859110</v>
      </c>
      <c r="J357" s="6" t="inlineStr">
        <is>
          <t>MWh</t>
        </is>
      </c>
      <c r="K357" s="8" t="n">
        <v>859110</v>
      </c>
      <c r="L357" s="6" t="inlineStr">
        <is>
          <t>MWh</t>
        </is>
      </c>
      <c r="M357" s="6" t="inlineStr">
        <is>
          <t>EBY</t>
        </is>
      </c>
      <c r="N357" s="6" t="inlineStr">
        <is>
          <t>OFFICIAL_PRIMARY</t>
        </is>
      </c>
      <c r="O357" s="9" t="inlineStr">
        <is>
          <t>OFFICIAL_AGGREGATE</t>
        </is>
      </c>
      <c r="P357" s="8" t="n">
        <v>1</v>
      </c>
      <c r="Q357" s="8" t="n">
        <v>50</v>
      </c>
      <c r="R357" s="7" t="inlineStr">
        <is>
          <t>https://www.eby.gov.py/wp-content/uploads/2019/12/YacyretaEnergiasMensualesDesdePuestaenMarcha.pdf</t>
        </is>
      </c>
      <c r="S357" s="6" t="inlineStr">
        <is>
          <t>EBY-MONTHLY-1994-2012</t>
        </is>
      </c>
      <c r="T357" s="6" t="inlineStr"/>
      <c r="U357" s="4" t="inlineStr">
        <is>
          <t>2026-09-10 23:00:00</t>
        </is>
      </c>
      <c r="V357" s="4" t="inlineStr">
        <is>
          <t>Energia mensual Yacyreta desde puesta en marcha.</t>
        </is>
      </c>
    </row>
    <row r="358">
      <c r="A358" s="6" t="inlineStr">
        <is>
          <t>R0000357</t>
        </is>
      </c>
      <c r="B358" s="6" t="inlineStr">
        <is>
          <t>2000-02-01</t>
        </is>
      </c>
      <c r="C358" s="6" t="inlineStr">
        <is>
          <t>2000-02-29</t>
        </is>
      </c>
      <c r="D358" s="6" t="inlineStr">
        <is>
          <t>month</t>
        </is>
      </c>
      <c r="E358" s="6" t="inlineStr">
        <is>
          <t>ENERGY_TO_ARGENTINA</t>
        </is>
      </c>
      <c r="F358" s="6" t="inlineStr">
        <is>
          <t>YACYRETA</t>
        </is>
      </c>
      <c r="G358" s="6" t="inlineStr">
        <is>
          <t>YACYRETA</t>
        </is>
      </c>
      <c r="H358" s="6" t="inlineStr">
        <is>
          <t>SADI</t>
        </is>
      </c>
      <c r="I358" s="8" t="n">
        <v>856894</v>
      </c>
      <c r="J358" s="6" t="inlineStr">
        <is>
          <t>MWh</t>
        </is>
      </c>
      <c r="K358" s="8" t="n">
        <v>856894</v>
      </c>
      <c r="L358" s="6" t="inlineStr">
        <is>
          <t>MWh</t>
        </is>
      </c>
      <c r="M358" s="6" t="inlineStr">
        <is>
          <t>EBY</t>
        </is>
      </c>
      <c r="N358" s="6" t="inlineStr">
        <is>
          <t>OFFICIAL_PRIMARY</t>
        </is>
      </c>
      <c r="O358" s="9" t="inlineStr">
        <is>
          <t>OFFICIAL_AGGREGATE</t>
        </is>
      </c>
      <c r="P358" s="8" t="n">
        <v>1</v>
      </c>
      <c r="Q358" s="8" t="n">
        <v>50</v>
      </c>
      <c r="R358" s="7" t="inlineStr">
        <is>
          <t>https://www.eby.gov.py/wp-content/uploads/2019/12/YacyretaEnergiasMensualesDesdePuestaenMarcha.pdf</t>
        </is>
      </c>
      <c r="S358" s="6" t="inlineStr">
        <is>
          <t>EBY-MONTHLY-1994-2012</t>
        </is>
      </c>
      <c r="T358" s="6" t="inlineStr"/>
      <c r="U358" s="4" t="inlineStr">
        <is>
          <t>2026-09-10 23:00:00</t>
        </is>
      </c>
      <c r="V358" s="4" t="inlineStr">
        <is>
          <t>Energia mensual entregada al SADI.</t>
        </is>
      </c>
    </row>
    <row r="359">
      <c r="A359" s="6" t="inlineStr">
        <is>
          <t>R0000358</t>
        </is>
      </c>
      <c r="B359" s="6" t="inlineStr">
        <is>
          <t>2000-02-01</t>
        </is>
      </c>
      <c r="C359" s="6" t="inlineStr">
        <is>
          <t>2000-02-29</t>
        </is>
      </c>
      <c r="D359" s="6" t="inlineStr">
        <is>
          <t>month</t>
        </is>
      </c>
      <c r="E359" s="6" t="inlineStr">
        <is>
          <t>ENERGY_TO_PY</t>
        </is>
      </c>
      <c r="F359" s="6" t="inlineStr">
        <is>
          <t>YACYRETA</t>
        </is>
      </c>
      <c r="G359" s="6" t="inlineStr">
        <is>
          <t>YACYRETA</t>
        </is>
      </c>
      <c r="H359" s="6" t="inlineStr">
        <is>
          <t>SINP</t>
        </is>
      </c>
      <c r="I359" s="8" t="n">
        <v>2216</v>
      </c>
      <c r="J359" s="6" t="inlineStr">
        <is>
          <t>MWh</t>
        </is>
      </c>
      <c r="K359" s="8" t="n">
        <v>2216</v>
      </c>
      <c r="L359" s="6" t="inlineStr">
        <is>
          <t>MWh</t>
        </is>
      </c>
      <c r="M359" s="6" t="inlineStr">
        <is>
          <t>EBY</t>
        </is>
      </c>
      <c r="N359" s="6" t="inlineStr">
        <is>
          <t>OFFICIAL_PRIMARY</t>
        </is>
      </c>
      <c r="O359" s="9" t="inlineStr">
        <is>
          <t>OFFICIAL_AGGREGATE</t>
        </is>
      </c>
      <c r="P359" s="8" t="n">
        <v>1</v>
      </c>
      <c r="Q359" s="8" t="n">
        <v>50</v>
      </c>
      <c r="R359" s="7" t="inlineStr">
        <is>
          <t>https://www.eby.gov.py/wp-content/uploads/2019/12/YacyretaEnergiasMensualesDesdePuestaenMarcha.pdf</t>
        </is>
      </c>
      <c r="S359" s="6" t="inlineStr">
        <is>
          <t>EBY-MONTHLY-1994-2012</t>
        </is>
      </c>
      <c r="T359" s="6" t="inlineStr"/>
      <c r="U359" s="4" t="inlineStr">
        <is>
          <t>2026-09-10 23:00:00</t>
        </is>
      </c>
      <c r="V359" s="4" t="inlineStr">
        <is>
          <t>Energia mensual entregada al SINP.</t>
        </is>
      </c>
    </row>
    <row r="360">
      <c r="A360" s="6" t="inlineStr">
        <is>
          <t>R0000359</t>
        </is>
      </c>
      <c r="B360" s="6" t="inlineStr">
        <is>
          <t>2000-03-01</t>
        </is>
      </c>
      <c r="C360" s="6" t="inlineStr">
        <is>
          <t>2000-03-31</t>
        </is>
      </c>
      <c r="D360" s="6" t="inlineStr">
        <is>
          <t>month</t>
        </is>
      </c>
      <c r="E360" s="6" t="inlineStr">
        <is>
          <t>YACYRETA_NET_ENERGY</t>
        </is>
      </c>
      <c r="F360" s="6" t="inlineStr">
        <is>
          <t>YACYRETA</t>
        </is>
      </c>
      <c r="G360" s="6" t="inlineStr">
        <is>
          <t>YACYRETA</t>
        </is>
      </c>
      <c r="H360" s="6" t="inlineStr">
        <is>
          <t>TOTAL</t>
        </is>
      </c>
      <c r="I360" s="8" t="n">
        <v>988559</v>
      </c>
      <c r="J360" s="6" t="inlineStr">
        <is>
          <t>MWh</t>
        </is>
      </c>
      <c r="K360" s="8" t="n">
        <v>988559</v>
      </c>
      <c r="L360" s="6" t="inlineStr">
        <is>
          <t>MWh</t>
        </is>
      </c>
      <c r="M360" s="6" t="inlineStr">
        <is>
          <t>EBY</t>
        </is>
      </c>
      <c r="N360" s="6" t="inlineStr">
        <is>
          <t>OFFICIAL_PRIMARY</t>
        </is>
      </c>
      <c r="O360" s="9" t="inlineStr">
        <is>
          <t>OFFICIAL_AGGREGATE</t>
        </is>
      </c>
      <c r="P360" s="8" t="n">
        <v>1</v>
      </c>
      <c r="Q360" s="8" t="n">
        <v>50</v>
      </c>
      <c r="R360" s="7" t="inlineStr">
        <is>
          <t>https://www.eby.gov.py/wp-content/uploads/2019/12/YacyretaEnergiasMensualesDesdePuestaenMarcha.pdf</t>
        </is>
      </c>
      <c r="S360" s="6" t="inlineStr">
        <is>
          <t>EBY-MONTHLY-1994-2012</t>
        </is>
      </c>
      <c r="T360" s="6" t="inlineStr"/>
      <c r="U360" s="4" t="inlineStr">
        <is>
          <t>2026-09-10 23:00:00</t>
        </is>
      </c>
      <c r="V360" s="4" t="inlineStr">
        <is>
          <t>Energia mensual Yacyreta desde puesta en marcha.</t>
        </is>
      </c>
    </row>
    <row r="361">
      <c r="A361" s="6" t="inlineStr">
        <is>
          <t>R0000360</t>
        </is>
      </c>
      <c r="B361" s="6" t="inlineStr">
        <is>
          <t>2000-03-01</t>
        </is>
      </c>
      <c r="C361" s="6" t="inlineStr">
        <is>
          <t>2000-03-31</t>
        </is>
      </c>
      <c r="D361" s="6" t="inlineStr">
        <is>
          <t>month</t>
        </is>
      </c>
      <c r="E361" s="6" t="inlineStr">
        <is>
          <t>ENERGY_TO_ARGENTINA</t>
        </is>
      </c>
      <c r="F361" s="6" t="inlineStr">
        <is>
          <t>YACYRETA</t>
        </is>
      </c>
      <c r="G361" s="6" t="inlineStr">
        <is>
          <t>YACYRETA</t>
        </is>
      </c>
      <c r="H361" s="6" t="inlineStr">
        <is>
          <t>SADI</t>
        </is>
      </c>
      <c r="I361" s="8" t="n">
        <v>984762</v>
      </c>
      <c r="J361" s="6" t="inlineStr">
        <is>
          <t>MWh</t>
        </is>
      </c>
      <c r="K361" s="8" t="n">
        <v>984762</v>
      </c>
      <c r="L361" s="6" t="inlineStr">
        <is>
          <t>MWh</t>
        </is>
      </c>
      <c r="M361" s="6" t="inlineStr">
        <is>
          <t>EBY</t>
        </is>
      </c>
      <c r="N361" s="6" t="inlineStr">
        <is>
          <t>OFFICIAL_PRIMARY</t>
        </is>
      </c>
      <c r="O361" s="9" t="inlineStr">
        <is>
          <t>OFFICIAL_AGGREGATE</t>
        </is>
      </c>
      <c r="P361" s="8" t="n">
        <v>1</v>
      </c>
      <c r="Q361" s="8" t="n">
        <v>50</v>
      </c>
      <c r="R361" s="7" t="inlineStr">
        <is>
          <t>https://www.eby.gov.py/wp-content/uploads/2019/12/YacyretaEnergiasMensualesDesdePuestaenMarcha.pdf</t>
        </is>
      </c>
      <c r="S361" s="6" t="inlineStr">
        <is>
          <t>EBY-MONTHLY-1994-2012</t>
        </is>
      </c>
      <c r="T361" s="6" t="inlineStr"/>
      <c r="U361" s="4" t="inlineStr">
        <is>
          <t>2026-09-10 23:00:00</t>
        </is>
      </c>
      <c r="V361" s="4" t="inlineStr">
        <is>
          <t>Energia mensual entregada al SADI.</t>
        </is>
      </c>
    </row>
    <row r="362">
      <c r="A362" s="6" t="inlineStr">
        <is>
          <t>R0000361</t>
        </is>
      </c>
      <c r="B362" s="6" t="inlineStr">
        <is>
          <t>2000-03-01</t>
        </is>
      </c>
      <c r="C362" s="6" t="inlineStr">
        <is>
          <t>2000-03-31</t>
        </is>
      </c>
      <c r="D362" s="6" t="inlineStr">
        <is>
          <t>month</t>
        </is>
      </c>
      <c r="E362" s="6" t="inlineStr">
        <is>
          <t>ENERGY_TO_PY</t>
        </is>
      </c>
      <c r="F362" s="6" t="inlineStr">
        <is>
          <t>YACYRETA</t>
        </is>
      </c>
      <c r="G362" s="6" t="inlineStr">
        <is>
          <t>YACYRETA</t>
        </is>
      </c>
      <c r="H362" s="6" t="inlineStr">
        <is>
          <t>SINP</t>
        </is>
      </c>
      <c r="I362" s="8" t="n">
        <v>3797</v>
      </c>
      <c r="J362" s="6" t="inlineStr">
        <is>
          <t>MWh</t>
        </is>
      </c>
      <c r="K362" s="8" t="n">
        <v>3797</v>
      </c>
      <c r="L362" s="6" t="inlineStr">
        <is>
          <t>MWh</t>
        </is>
      </c>
      <c r="M362" s="6" t="inlineStr">
        <is>
          <t>EBY</t>
        </is>
      </c>
      <c r="N362" s="6" t="inlineStr">
        <is>
          <t>OFFICIAL_PRIMARY</t>
        </is>
      </c>
      <c r="O362" s="9" t="inlineStr">
        <is>
          <t>OFFICIAL_AGGREGATE</t>
        </is>
      </c>
      <c r="P362" s="8" t="n">
        <v>1</v>
      </c>
      <c r="Q362" s="8" t="n">
        <v>50</v>
      </c>
      <c r="R362" s="7" t="inlineStr">
        <is>
          <t>https://www.eby.gov.py/wp-content/uploads/2019/12/YacyretaEnergiasMensualesDesdePuestaenMarcha.pdf</t>
        </is>
      </c>
      <c r="S362" s="6" t="inlineStr">
        <is>
          <t>EBY-MONTHLY-1994-2012</t>
        </is>
      </c>
      <c r="T362" s="6" t="inlineStr"/>
      <c r="U362" s="4" t="inlineStr">
        <is>
          <t>2026-09-10 23:00:00</t>
        </is>
      </c>
      <c r="V362" s="4" t="inlineStr">
        <is>
          <t>Energia mensual entregada al SINP.</t>
        </is>
      </c>
    </row>
    <row r="363">
      <c r="A363" s="6" t="inlineStr">
        <is>
          <t>R0000362</t>
        </is>
      </c>
      <c r="B363" s="6" t="inlineStr">
        <is>
          <t>2000-04-01</t>
        </is>
      </c>
      <c r="C363" s="6" t="inlineStr">
        <is>
          <t>2000-04-30</t>
        </is>
      </c>
      <c r="D363" s="6" t="inlineStr">
        <is>
          <t>month</t>
        </is>
      </c>
      <c r="E363" s="6" t="inlineStr">
        <is>
          <t>YACYRETA_NET_ENERGY</t>
        </is>
      </c>
      <c r="F363" s="6" t="inlineStr">
        <is>
          <t>YACYRETA</t>
        </is>
      </c>
      <c r="G363" s="6" t="inlineStr">
        <is>
          <t>YACYRETA</t>
        </is>
      </c>
      <c r="H363" s="6" t="inlineStr">
        <is>
          <t>TOTAL</t>
        </is>
      </c>
      <c r="I363" s="8" t="n">
        <v>932685</v>
      </c>
      <c r="J363" s="6" t="inlineStr">
        <is>
          <t>MWh</t>
        </is>
      </c>
      <c r="K363" s="8" t="n">
        <v>932685</v>
      </c>
      <c r="L363" s="6" t="inlineStr">
        <is>
          <t>MWh</t>
        </is>
      </c>
      <c r="M363" s="6" t="inlineStr">
        <is>
          <t>EBY</t>
        </is>
      </c>
      <c r="N363" s="6" t="inlineStr">
        <is>
          <t>OFFICIAL_PRIMARY</t>
        </is>
      </c>
      <c r="O363" s="9" t="inlineStr">
        <is>
          <t>OFFICIAL_AGGREGATE</t>
        </is>
      </c>
      <c r="P363" s="8" t="n">
        <v>1</v>
      </c>
      <c r="Q363" s="8" t="n">
        <v>50</v>
      </c>
      <c r="R363" s="7" t="inlineStr">
        <is>
          <t>https://www.eby.gov.py/wp-content/uploads/2019/12/YacyretaEnergiasMensualesDesdePuestaenMarcha.pdf</t>
        </is>
      </c>
      <c r="S363" s="6" t="inlineStr">
        <is>
          <t>EBY-MONTHLY-1994-2012</t>
        </is>
      </c>
      <c r="T363" s="6" t="inlineStr"/>
      <c r="U363" s="4" t="inlineStr">
        <is>
          <t>2026-09-10 23:00:00</t>
        </is>
      </c>
      <c r="V363" s="4" t="inlineStr">
        <is>
          <t>Energia mensual Yacyreta desde puesta en marcha.</t>
        </is>
      </c>
    </row>
    <row r="364">
      <c r="A364" s="6" t="inlineStr">
        <is>
          <t>R0000363</t>
        </is>
      </c>
      <c r="B364" s="6" t="inlineStr">
        <is>
          <t>2000-04-01</t>
        </is>
      </c>
      <c r="C364" s="6" t="inlineStr">
        <is>
          <t>2000-04-30</t>
        </is>
      </c>
      <c r="D364" s="6" t="inlineStr">
        <is>
          <t>month</t>
        </is>
      </c>
      <c r="E364" s="6" t="inlineStr">
        <is>
          <t>ENERGY_TO_ARGENTINA</t>
        </is>
      </c>
      <c r="F364" s="6" t="inlineStr">
        <is>
          <t>YACYRETA</t>
        </is>
      </c>
      <c r="G364" s="6" t="inlineStr">
        <is>
          <t>YACYRETA</t>
        </is>
      </c>
      <c r="H364" s="6" t="inlineStr">
        <is>
          <t>SADI</t>
        </is>
      </c>
      <c r="I364" s="8" t="n">
        <v>930146</v>
      </c>
      <c r="J364" s="6" t="inlineStr">
        <is>
          <t>MWh</t>
        </is>
      </c>
      <c r="K364" s="8" t="n">
        <v>930146</v>
      </c>
      <c r="L364" s="6" t="inlineStr">
        <is>
          <t>MWh</t>
        </is>
      </c>
      <c r="M364" s="6" t="inlineStr">
        <is>
          <t>EBY</t>
        </is>
      </c>
      <c r="N364" s="6" t="inlineStr">
        <is>
          <t>OFFICIAL_PRIMARY</t>
        </is>
      </c>
      <c r="O364" s="9" t="inlineStr">
        <is>
          <t>OFFICIAL_AGGREGATE</t>
        </is>
      </c>
      <c r="P364" s="8" t="n">
        <v>1</v>
      </c>
      <c r="Q364" s="8" t="n">
        <v>50</v>
      </c>
      <c r="R364" s="7" t="inlineStr">
        <is>
          <t>https://www.eby.gov.py/wp-content/uploads/2019/12/YacyretaEnergiasMensualesDesdePuestaenMarcha.pdf</t>
        </is>
      </c>
      <c r="S364" s="6" t="inlineStr">
        <is>
          <t>EBY-MONTHLY-1994-2012</t>
        </is>
      </c>
      <c r="T364" s="6" t="inlineStr"/>
      <c r="U364" s="4" t="inlineStr">
        <is>
          <t>2026-09-10 23:00:00</t>
        </is>
      </c>
      <c r="V364" s="4" t="inlineStr">
        <is>
          <t>Energia mensual entregada al SADI.</t>
        </is>
      </c>
    </row>
    <row r="365">
      <c r="A365" s="6" t="inlineStr">
        <is>
          <t>R0000364</t>
        </is>
      </c>
      <c r="B365" s="6" t="inlineStr">
        <is>
          <t>2000-04-01</t>
        </is>
      </c>
      <c r="C365" s="6" t="inlineStr">
        <is>
          <t>2000-04-30</t>
        </is>
      </c>
      <c r="D365" s="6" t="inlineStr">
        <is>
          <t>month</t>
        </is>
      </c>
      <c r="E365" s="6" t="inlineStr">
        <is>
          <t>ENERGY_TO_PY</t>
        </is>
      </c>
      <c r="F365" s="6" t="inlineStr">
        <is>
          <t>YACYRETA</t>
        </is>
      </c>
      <c r="G365" s="6" t="inlineStr">
        <is>
          <t>YACYRETA</t>
        </is>
      </c>
      <c r="H365" s="6" t="inlineStr">
        <is>
          <t>SINP</t>
        </is>
      </c>
      <c r="I365" s="8" t="n">
        <v>2539</v>
      </c>
      <c r="J365" s="6" t="inlineStr">
        <is>
          <t>MWh</t>
        </is>
      </c>
      <c r="K365" s="8" t="n">
        <v>2539</v>
      </c>
      <c r="L365" s="6" t="inlineStr">
        <is>
          <t>MWh</t>
        </is>
      </c>
      <c r="M365" s="6" t="inlineStr">
        <is>
          <t>EBY</t>
        </is>
      </c>
      <c r="N365" s="6" t="inlineStr">
        <is>
          <t>OFFICIAL_PRIMARY</t>
        </is>
      </c>
      <c r="O365" s="9" t="inlineStr">
        <is>
          <t>OFFICIAL_AGGREGATE</t>
        </is>
      </c>
      <c r="P365" s="8" t="n">
        <v>1</v>
      </c>
      <c r="Q365" s="8" t="n">
        <v>50</v>
      </c>
      <c r="R365" s="7" t="inlineStr">
        <is>
          <t>https://www.eby.gov.py/wp-content/uploads/2019/12/YacyretaEnergiasMensualesDesdePuestaenMarcha.pdf</t>
        </is>
      </c>
      <c r="S365" s="6" t="inlineStr">
        <is>
          <t>EBY-MONTHLY-1994-2012</t>
        </is>
      </c>
      <c r="T365" s="6" t="inlineStr"/>
      <c r="U365" s="4" t="inlineStr">
        <is>
          <t>2026-09-10 23:00:00</t>
        </is>
      </c>
      <c r="V365" s="4" t="inlineStr">
        <is>
          <t>Energia mensual entregada al SINP.</t>
        </is>
      </c>
    </row>
    <row r="366">
      <c r="A366" s="6" t="inlineStr">
        <is>
          <t>R0000365</t>
        </is>
      </c>
      <c r="B366" s="6" t="inlineStr">
        <is>
          <t>2000-05-01</t>
        </is>
      </c>
      <c r="C366" s="6" t="inlineStr">
        <is>
          <t>2000-05-31</t>
        </is>
      </c>
      <c r="D366" s="6" t="inlineStr">
        <is>
          <t>month</t>
        </is>
      </c>
      <c r="E366" s="6" t="inlineStr">
        <is>
          <t>YACYRETA_NET_ENERGY</t>
        </is>
      </c>
      <c r="F366" s="6" t="inlineStr">
        <is>
          <t>YACYRETA</t>
        </is>
      </c>
      <c r="G366" s="6" t="inlineStr">
        <is>
          <t>YACYRETA</t>
        </is>
      </c>
      <c r="H366" s="6" t="inlineStr">
        <is>
          <t>TOTAL</t>
        </is>
      </c>
      <c r="I366" s="8" t="n">
        <v>960706</v>
      </c>
      <c r="J366" s="6" t="inlineStr">
        <is>
          <t>MWh</t>
        </is>
      </c>
      <c r="K366" s="8" t="n">
        <v>960706</v>
      </c>
      <c r="L366" s="6" t="inlineStr">
        <is>
          <t>MWh</t>
        </is>
      </c>
      <c r="M366" s="6" t="inlineStr">
        <is>
          <t>EBY</t>
        </is>
      </c>
      <c r="N366" s="6" t="inlineStr">
        <is>
          <t>OFFICIAL_PRIMARY</t>
        </is>
      </c>
      <c r="O366" s="9" t="inlineStr">
        <is>
          <t>OFFICIAL_AGGREGATE</t>
        </is>
      </c>
      <c r="P366" s="8" t="n">
        <v>1</v>
      </c>
      <c r="Q366" s="8" t="n">
        <v>50</v>
      </c>
      <c r="R366" s="7" t="inlineStr">
        <is>
          <t>https://www.eby.gov.py/wp-content/uploads/2019/12/YacyretaEnergiasMensualesDesdePuestaenMarcha.pdf</t>
        </is>
      </c>
      <c r="S366" s="6" t="inlineStr">
        <is>
          <t>EBY-MONTHLY-1994-2012</t>
        </is>
      </c>
      <c r="T366" s="6" t="inlineStr"/>
      <c r="U366" s="4" t="inlineStr">
        <is>
          <t>2026-09-10 23:00:00</t>
        </is>
      </c>
      <c r="V366" s="4" t="inlineStr">
        <is>
          <t>Energia mensual Yacyreta desde puesta en marcha.</t>
        </is>
      </c>
    </row>
    <row r="367">
      <c r="A367" s="6" t="inlineStr">
        <is>
          <t>R0000366</t>
        </is>
      </c>
      <c r="B367" s="6" t="inlineStr">
        <is>
          <t>2000-05-01</t>
        </is>
      </c>
      <c r="C367" s="6" t="inlineStr">
        <is>
          <t>2000-05-31</t>
        </is>
      </c>
      <c r="D367" s="6" t="inlineStr">
        <is>
          <t>month</t>
        </is>
      </c>
      <c r="E367" s="6" t="inlineStr">
        <is>
          <t>ENERGY_TO_ARGENTINA</t>
        </is>
      </c>
      <c r="F367" s="6" t="inlineStr">
        <is>
          <t>YACYRETA</t>
        </is>
      </c>
      <c r="G367" s="6" t="inlineStr">
        <is>
          <t>YACYRETA</t>
        </is>
      </c>
      <c r="H367" s="6" t="inlineStr">
        <is>
          <t>SADI</t>
        </is>
      </c>
      <c r="I367" s="8" t="n">
        <v>953339</v>
      </c>
      <c r="J367" s="6" t="inlineStr">
        <is>
          <t>MWh</t>
        </is>
      </c>
      <c r="K367" s="8" t="n">
        <v>953339</v>
      </c>
      <c r="L367" s="6" t="inlineStr">
        <is>
          <t>MWh</t>
        </is>
      </c>
      <c r="M367" s="6" t="inlineStr">
        <is>
          <t>EBY</t>
        </is>
      </c>
      <c r="N367" s="6" t="inlineStr">
        <is>
          <t>OFFICIAL_PRIMARY</t>
        </is>
      </c>
      <c r="O367" s="9" t="inlineStr">
        <is>
          <t>OFFICIAL_AGGREGATE</t>
        </is>
      </c>
      <c r="P367" s="8" t="n">
        <v>1</v>
      </c>
      <c r="Q367" s="8" t="n">
        <v>50</v>
      </c>
      <c r="R367" s="7" t="inlineStr">
        <is>
          <t>https://www.eby.gov.py/wp-content/uploads/2019/12/YacyretaEnergiasMensualesDesdePuestaenMarcha.pdf</t>
        </is>
      </c>
      <c r="S367" s="6" t="inlineStr">
        <is>
          <t>EBY-MONTHLY-1994-2012</t>
        </is>
      </c>
      <c r="T367" s="6" t="inlineStr"/>
      <c r="U367" s="4" t="inlineStr">
        <is>
          <t>2026-09-10 23:00:00</t>
        </is>
      </c>
      <c r="V367" s="4" t="inlineStr">
        <is>
          <t>Energia mensual entregada al SADI.</t>
        </is>
      </c>
    </row>
    <row r="368">
      <c r="A368" s="6" t="inlineStr">
        <is>
          <t>R0000367</t>
        </is>
      </c>
      <c r="B368" s="6" t="inlineStr">
        <is>
          <t>2000-05-01</t>
        </is>
      </c>
      <c r="C368" s="6" t="inlineStr">
        <is>
          <t>2000-05-31</t>
        </is>
      </c>
      <c r="D368" s="6" t="inlineStr">
        <is>
          <t>month</t>
        </is>
      </c>
      <c r="E368" s="6" t="inlineStr">
        <is>
          <t>ENERGY_TO_PY</t>
        </is>
      </c>
      <c r="F368" s="6" t="inlineStr">
        <is>
          <t>YACYRETA</t>
        </is>
      </c>
      <c r="G368" s="6" t="inlineStr">
        <is>
          <t>YACYRETA</t>
        </is>
      </c>
      <c r="H368" s="6" t="inlineStr">
        <is>
          <t>SINP</t>
        </is>
      </c>
      <c r="I368" s="8" t="n">
        <v>7367</v>
      </c>
      <c r="J368" s="6" t="inlineStr">
        <is>
          <t>MWh</t>
        </is>
      </c>
      <c r="K368" s="8" t="n">
        <v>7367</v>
      </c>
      <c r="L368" s="6" t="inlineStr">
        <is>
          <t>MWh</t>
        </is>
      </c>
      <c r="M368" s="6" t="inlineStr">
        <is>
          <t>EBY</t>
        </is>
      </c>
      <c r="N368" s="6" t="inlineStr">
        <is>
          <t>OFFICIAL_PRIMARY</t>
        </is>
      </c>
      <c r="O368" s="9" t="inlineStr">
        <is>
          <t>OFFICIAL_AGGREGATE</t>
        </is>
      </c>
      <c r="P368" s="8" t="n">
        <v>1</v>
      </c>
      <c r="Q368" s="8" t="n">
        <v>50</v>
      </c>
      <c r="R368" s="7" t="inlineStr">
        <is>
          <t>https://www.eby.gov.py/wp-content/uploads/2019/12/YacyretaEnergiasMensualesDesdePuestaenMarcha.pdf</t>
        </is>
      </c>
      <c r="S368" s="6" t="inlineStr">
        <is>
          <t>EBY-MONTHLY-1994-2012</t>
        </is>
      </c>
      <c r="T368" s="6" t="inlineStr"/>
      <c r="U368" s="4" t="inlineStr">
        <is>
          <t>2026-09-10 23:00:00</t>
        </is>
      </c>
      <c r="V368" s="4" t="inlineStr">
        <is>
          <t>Energia mensual entregada al SINP.</t>
        </is>
      </c>
    </row>
    <row r="369">
      <c r="A369" s="6" t="inlineStr">
        <is>
          <t>R0000368</t>
        </is>
      </c>
      <c r="B369" s="6" t="inlineStr">
        <is>
          <t>2000-06-01</t>
        </is>
      </c>
      <c r="C369" s="6" t="inlineStr">
        <is>
          <t>2000-06-30</t>
        </is>
      </c>
      <c r="D369" s="6" t="inlineStr">
        <is>
          <t>month</t>
        </is>
      </c>
      <c r="E369" s="6" t="inlineStr">
        <is>
          <t>YACYRETA_NET_ENERGY</t>
        </is>
      </c>
      <c r="F369" s="6" t="inlineStr">
        <is>
          <t>YACYRETA</t>
        </is>
      </c>
      <c r="G369" s="6" t="inlineStr">
        <is>
          <t>YACYRETA</t>
        </is>
      </c>
      <c r="H369" s="6" t="inlineStr">
        <is>
          <t>TOTAL</t>
        </is>
      </c>
      <c r="I369" s="8" t="n">
        <v>940476</v>
      </c>
      <c r="J369" s="6" t="inlineStr">
        <is>
          <t>MWh</t>
        </is>
      </c>
      <c r="K369" s="8" t="n">
        <v>940476</v>
      </c>
      <c r="L369" s="6" t="inlineStr">
        <is>
          <t>MWh</t>
        </is>
      </c>
      <c r="M369" s="6" t="inlineStr">
        <is>
          <t>EBY</t>
        </is>
      </c>
      <c r="N369" s="6" t="inlineStr">
        <is>
          <t>OFFICIAL_PRIMARY</t>
        </is>
      </c>
      <c r="O369" s="9" t="inlineStr">
        <is>
          <t>OFFICIAL_AGGREGATE</t>
        </is>
      </c>
      <c r="P369" s="8" t="n">
        <v>1</v>
      </c>
      <c r="Q369" s="8" t="n">
        <v>50</v>
      </c>
      <c r="R369" s="7" t="inlineStr">
        <is>
          <t>https://www.eby.gov.py/wp-content/uploads/2019/12/YacyretaEnergiasMensualesDesdePuestaenMarcha.pdf</t>
        </is>
      </c>
      <c r="S369" s="6" t="inlineStr">
        <is>
          <t>EBY-MONTHLY-1994-2012</t>
        </is>
      </c>
      <c r="T369" s="6" t="inlineStr"/>
      <c r="U369" s="4" t="inlineStr">
        <is>
          <t>2026-09-10 23:00:00</t>
        </is>
      </c>
      <c r="V369" s="4" t="inlineStr">
        <is>
          <t>Energia mensual Yacyreta desde puesta en marcha.</t>
        </is>
      </c>
    </row>
    <row r="370">
      <c r="A370" s="6" t="inlineStr">
        <is>
          <t>R0000369</t>
        </is>
      </c>
      <c r="B370" s="6" t="inlineStr">
        <is>
          <t>2000-06-01</t>
        </is>
      </c>
      <c r="C370" s="6" t="inlineStr">
        <is>
          <t>2000-06-30</t>
        </is>
      </c>
      <c r="D370" s="6" t="inlineStr">
        <is>
          <t>month</t>
        </is>
      </c>
      <c r="E370" s="6" t="inlineStr">
        <is>
          <t>ENERGY_TO_ARGENTINA</t>
        </is>
      </c>
      <c r="F370" s="6" t="inlineStr">
        <is>
          <t>YACYRETA</t>
        </is>
      </c>
      <c r="G370" s="6" t="inlineStr">
        <is>
          <t>YACYRETA</t>
        </is>
      </c>
      <c r="H370" s="6" t="inlineStr">
        <is>
          <t>SADI</t>
        </is>
      </c>
      <c r="I370" s="8" t="n">
        <v>938778</v>
      </c>
      <c r="J370" s="6" t="inlineStr">
        <is>
          <t>MWh</t>
        </is>
      </c>
      <c r="K370" s="8" t="n">
        <v>938778</v>
      </c>
      <c r="L370" s="6" t="inlineStr">
        <is>
          <t>MWh</t>
        </is>
      </c>
      <c r="M370" s="6" t="inlineStr">
        <is>
          <t>EBY</t>
        </is>
      </c>
      <c r="N370" s="6" t="inlineStr">
        <is>
          <t>OFFICIAL_PRIMARY</t>
        </is>
      </c>
      <c r="O370" s="9" t="inlineStr">
        <is>
          <t>OFFICIAL_AGGREGATE</t>
        </is>
      </c>
      <c r="P370" s="8" t="n">
        <v>1</v>
      </c>
      <c r="Q370" s="8" t="n">
        <v>50</v>
      </c>
      <c r="R370" s="7" t="inlineStr">
        <is>
          <t>https://www.eby.gov.py/wp-content/uploads/2019/12/YacyretaEnergiasMensualesDesdePuestaenMarcha.pdf</t>
        </is>
      </c>
      <c r="S370" s="6" t="inlineStr">
        <is>
          <t>EBY-MONTHLY-1994-2012</t>
        </is>
      </c>
      <c r="T370" s="6" t="inlineStr"/>
      <c r="U370" s="4" t="inlineStr">
        <is>
          <t>2026-09-10 23:00:00</t>
        </is>
      </c>
      <c r="V370" s="4" t="inlineStr">
        <is>
          <t>Energia mensual entregada al SADI.</t>
        </is>
      </c>
    </row>
    <row r="371">
      <c r="A371" s="6" t="inlineStr">
        <is>
          <t>R0000370</t>
        </is>
      </c>
      <c r="B371" s="6" t="inlineStr">
        <is>
          <t>2000-06-01</t>
        </is>
      </c>
      <c r="C371" s="6" t="inlineStr">
        <is>
          <t>2000-06-30</t>
        </is>
      </c>
      <c r="D371" s="6" t="inlineStr">
        <is>
          <t>month</t>
        </is>
      </c>
      <c r="E371" s="6" t="inlineStr">
        <is>
          <t>ENERGY_TO_PY</t>
        </is>
      </c>
      <c r="F371" s="6" t="inlineStr">
        <is>
          <t>YACYRETA</t>
        </is>
      </c>
      <c r="G371" s="6" t="inlineStr">
        <is>
          <t>YACYRETA</t>
        </is>
      </c>
      <c r="H371" s="6" t="inlineStr">
        <is>
          <t>SINP</t>
        </is>
      </c>
      <c r="I371" s="8" t="n">
        <v>1698</v>
      </c>
      <c r="J371" s="6" t="inlineStr">
        <is>
          <t>MWh</t>
        </is>
      </c>
      <c r="K371" s="8" t="n">
        <v>1698</v>
      </c>
      <c r="L371" s="6" t="inlineStr">
        <is>
          <t>MWh</t>
        </is>
      </c>
      <c r="M371" s="6" t="inlineStr">
        <is>
          <t>EBY</t>
        </is>
      </c>
      <c r="N371" s="6" t="inlineStr">
        <is>
          <t>OFFICIAL_PRIMARY</t>
        </is>
      </c>
      <c r="O371" s="9" t="inlineStr">
        <is>
          <t>OFFICIAL_AGGREGATE</t>
        </is>
      </c>
      <c r="P371" s="8" t="n">
        <v>1</v>
      </c>
      <c r="Q371" s="8" t="n">
        <v>50</v>
      </c>
      <c r="R371" s="7" t="inlineStr">
        <is>
          <t>https://www.eby.gov.py/wp-content/uploads/2019/12/YacyretaEnergiasMensualesDesdePuestaenMarcha.pdf</t>
        </is>
      </c>
      <c r="S371" s="6" t="inlineStr">
        <is>
          <t>EBY-MONTHLY-1994-2012</t>
        </is>
      </c>
      <c r="T371" s="6" t="inlineStr"/>
      <c r="U371" s="4" t="inlineStr">
        <is>
          <t>2026-09-10 23:00:00</t>
        </is>
      </c>
      <c r="V371" s="4" t="inlineStr">
        <is>
          <t>Energia mensual entregada al SINP.</t>
        </is>
      </c>
    </row>
    <row r="372">
      <c r="A372" s="6" t="inlineStr">
        <is>
          <t>R0000371</t>
        </is>
      </c>
      <c r="B372" s="6" t="inlineStr">
        <is>
          <t>2000-07-01</t>
        </is>
      </c>
      <c r="C372" s="6" t="inlineStr">
        <is>
          <t>2000-07-31</t>
        </is>
      </c>
      <c r="D372" s="6" t="inlineStr">
        <is>
          <t>month</t>
        </is>
      </c>
      <c r="E372" s="6" t="inlineStr">
        <is>
          <t>YACYRETA_NET_ENERGY</t>
        </is>
      </c>
      <c r="F372" s="6" t="inlineStr">
        <is>
          <t>YACYRETA</t>
        </is>
      </c>
      <c r="G372" s="6" t="inlineStr">
        <is>
          <t>YACYRETA</t>
        </is>
      </c>
      <c r="H372" s="6" t="inlineStr">
        <is>
          <t>TOTAL</t>
        </is>
      </c>
      <c r="I372" s="8" t="n">
        <v>993673</v>
      </c>
      <c r="J372" s="6" t="inlineStr">
        <is>
          <t>MWh</t>
        </is>
      </c>
      <c r="K372" s="8" t="n">
        <v>993673</v>
      </c>
      <c r="L372" s="6" t="inlineStr">
        <is>
          <t>MWh</t>
        </is>
      </c>
      <c r="M372" s="6" t="inlineStr">
        <is>
          <t>EBY</t>
        </is>
      </c>
      <c r="N372" s="6" t="inlineStr">
        <is>
          <t>OFFICIAL_PRIMARY</t>
        </is>
      </c>
      <c r="O372" s="9" t="inlineStr">
        <is>
          <t>OFFICIAL_AGGREGATE</t>
        </is>
      </c>
      <c r="P372" s="8" t="n">
        <v>1</v>
      </c>
      <c r="Q372" s="8" t="n">
        <v>50</v>
      </c>
      <c r="R372" s="7" t="inlineStr">
        <is>
          <t>https://www.eby.gov.py/wp-content/uploads/2019/12/YacyretaEnergiasMensualesDesdePuestaenMarcha.pdf</t>
        </is>
      </c>
      <c r="S372" s="6" t="inlineStr">
        <is>
          <t>EBY-MONTHLY-1994-2012</t>
        </is>
      </c>
      <c r="T372" s="6" t="inlineStr"/>
      <c r="U372" s="4" t="inlineStr">
        <is>
          <t>2026-09-10 23:00:00</t>
        </is>
      </c>
      <c r="V372" s="4" t="inlineStr">
        <is>
          <t>Energia mensual Yacyreta desde puesta en marcha.</t>
        </is>
      </c>
    </row>
    <row r="373">
      <c r="A373" s="6" t="inlineStr">
        <is>
          <t>R0000372</t>
        </is>
      </c>
      <c r="B373" s="6" t="inlineStr">
        <is>
          <t>2000-07-01</t>
        </is>
      </c>
      <c r="C373" s="6" t="inlineStr">
        <is>
          <t>2000-07-31</t>
        </is>
      </c>
      <c r="D373" s="6" t="inlineStr">
        <is>
          <t>month</t>
        </is>
      </c>
      <c r="E373" s="6" t="inlineStr">
        <is>
          <t>ENERGY_TO_ARGENTINA</t>
        </is>
      </c>
      <c r="F373" s="6" t="inlineStr">
        <is>
          <t>YACYRETA</t>
        </is>
      </c>
      <c r="G373" s="6" t="inlineStr">
        <is>
          <t>YACYRETA</t>
        </is>
      </c>
      <c r="H373" s="6" t="inlineStr">
        <is>
          <t>SADI</t>
        </is>
      </c>
      <c r="I373" s="8" t="n">
        <v>992504</v>
      </c>
      <c r="J373" s="6" t="inlineStr">
        <is>
          <t>MWh</t>
        </is>
      </c>
      <c r="K373" s="8" t="n">
        <v>992504</v>
      </c>
      <c r="L373" s="6" t="inlineStr">
        <is>
          <t>MWh</t>
        </is>
      </c>
      <c r="M373" s="6" t="inlineStr">
        <is>
          <t>EBY</t>
        </is>
      </c>
      <c r="N373" s="6" t="inlineStr">
        <is>
          <t>OFFICIAL_PRIMARY</t>
        </is>
      </c>
      <c r="O373" s="9" t="inlineStr">
        <is>
          <t>OFFICIAL_AGGREGATE</t>
        </is>
      </c>
      <c r="P373" s="8" t="n">
        <v>1</v>
      </c>
      <c r="Q373" s="8" t="n">
        <v>50</v>
      </c>
      <c r="R373" s="7" t="inlineStr">
        <is>
          <t>https://www.eby.gov.py/wp-content/uploads/2019/12/YacyretaEnergiasMensualesDesdePuestaenMarcha.pdf</t>
        </is>
      </c>
      <c r="S373" s="6" t="inlineStr">
        <is>
          <t>EBY-MONTHLY-1994-2012</t>
        </is>
      </c>
      <c r="T373" s="6" t="inlineStr"/>
      <c r="U373" s="4" t="inlineStr">
        <is>
          <t>2026-09-10 23:00:00</t>
        </is>
      </c>
      <c r="V373" s="4" t="inlineStr">
        <is>
          <t>Energia mensual entregada al SADI.</t>
        </is>
      </c>
    </row>
    <row r="374">
      <c r="A374" s="6" t="inlineStr">
        <is>
          <t>R0000373</t>
        </is>
      </c>
      <c r="B374" s="6" t="inlineStr">
        <is>
          <t>2000-07-01</t>
        </is>
      </c>
      <c r="C374" s="6" t="inlineStr">
        <is>
          <t>2000-07-31</t>
        </is>
      </c>
      <c r="D374" s="6" t="inlineStr">
        <is>
          <t>month</t>
        </is>
      </c>
      <c r="E374" s="6" t="inlineStr">
        <is>
          <t>ENERGY_TO_PY</t>
        </is>
      </c>
      <c r="F374" s="6" t="inlineStr">
        <is>
          <t>YACYRETA</t>
        </is>
      </c>
      <c r="G374" s="6" t="inlineStr">
        <is>
          <t>YACYRETA</t>
        </is>
      </c>
      <c r="H374" s="6" t="inlineStr">
        <is>
          <t>SINP</t>
        </is>
      </c>
      <c r="I374" s="8" t="n">
        <v>1169</v>
      </c>
      <c r="J374" s="6" t="inlineStr">
        <is>
          <t>MWh</t>
        </is>
      </c>
      <c r="K374" s="8" t="n">
        <v>1169</v>
      </c>
      <c r="L374" s="6" t="inlineStr">
        <is>
          <t>MWh</t>
        </is>
      </c>
      <c r="M374" s="6" t="inlineStr">
        <is>
          <t>EBY</t>
        </is>
      </c>
      <c r="N374" s="6" t="inlineStr">
        <is>
          <t>OFFICIAL_PRIMARY</t>
        </is>
      </c>
      <c r="O374" s="9" t="inlineStr">
        <is>
          <t>OFFICIAL_AGGREGATE</t>
        </is>
      </c>
      <c r="P374" s="8" t="n">
        <v>1</v>
      </c>
      <c r="Q374" s="8" t="n">
        <v>50</v>
      </c>
      <c r="R374" s="7" t="inlineStr">
        <is>
          <t>https://www.eby.gov.py/wp-content/uploads/2019/12/YacyretaEnergiasMensualesDesdePuestaenMarcha.pdf</t>
        </is>
      </c>
      <c r="S374" s="6" t="inlineStr">
        <is>
          <t>EBY-MONTHLY-1994-2012</t>
        </is>
      </c>
      <c r="T374" s="6" t="inlineStr"/>
      <c r="U374" s="4" t="inlineStr">
        <is>
          <t>2026-09-10 23:00:00</t>
        </is>
      </c>
      <c r="V374" s="4" t="inlineStr">
        <is>
          <t>Energia mensual entregada al SINP.</t>
        </is>
      </c>
    </row>
    <row r="375">
      <c r="A375" s="6" t="inlineStr">
        <is>
          <t>R0000374</t>
        </is>
      </c>
      <c r="B375" s="6" t="inlineStr">
        <is>
          <t>2000-08-01</t>
        </is>
      </c>
      <c r="C375" s="6" t="inlineStr">
        <is>
          <t>2000-08-31</t>
        </is>
      </c>
      <c r="D375" s="6" t="inlineStr">
        <is>
          <t>month</t>
        </is>
      </c>
      <c r="E375" s="6" t="inlineStr">
        <is>
          <t>YACYRETA_NET_ENERGY</t>
        </is>
      </c>
      <c r="F375" s="6" t="inlineStr">
        <is>
          <t>YACYRETA</t>
        </is>
      </c>
      <c r="G375" s="6" t="inlineStr">
        <is>
          <t>YACYRETA</t>
        </is>
      </c>
      <c r="H375" s="6" t="inlineStr">
        <is>
          <t>TOTAL</t>
        </is>
      </c>
      <c r="I375" s="8" t="n">
        <v>936847</v>
      </c>
      <c r="J375" s="6" t="inlineStr">
        <is>
          <t>MWh</t>
        </is>
      </c>
      <c r="K375" s="8" t="n">
        <v>936847</v>
      </c>
      <c r="L375" s="6" t="inlineStr">
        <is>
          <t>MWh</t>
        </is>
      </c>
      <c r="M375" s="6" t="inlineStr">
        <is>
          <t>EBY</t>
        </is>
      </c>
      <c r="N375" s="6" t="inlineStr">
        <is>
          <t>OFFICIAL_PRIMARY</t>
        </is>
      </c>
      <c r="O375" s="9" t="inlineStr">
        <is>
          <t>OFFICIAL_AGGREGATE</t>
        </is>
      </c>
      <c r="P375" s="8" t="n">
        <v>1</v>
      </c>
      <c r="Q375" s="8" t="n">
        <v>50</v>
      </c>
      <c r="R375" s="7" t="inlineStr">
        <is>
          <t>https://www.eby.gov.py/wp-content/uploads/2019/12/YacyretaEnergiasMensualesDesdePuestaenMarcha.pdf</t>
        </is>
      </c>
      <c r="S375" s="6" t="inlineStr">
        <is>
          <t>EBY-MONTHLY-1994-2012</t>
        </is>
      </c>
      <c r="T375" s="6" t="inlineStr"/>
      <c r="U375" s="4" t="inlineStr">
        <is>
          <t>2026-09-10 23:00:00</t>
        </is>
      </c>
      <c r="V375" s="4" t="inlineStr">
        <is>
          <t>Energia mensual Yacyreta desde puesta en marcha.</t>
        </is>
      </c>
    </row>
    <row r="376">
      <c r="A376" s="6" t="inlineStr">
        <is>
          <t>R0000375</t>
        </is>
      </c>
      <c r="B376" s="6" t="inlineStr">
        <is>
          <t>2000-08-01</t>
        </is>
      </c>
      <c r="C376" s="6" t="inlineStr">
        <is>
          <t>2000-08-31</t>
        </is>
      </c>
      <c r="D376" s="6" t="inlineStr">
        <is>
          <t>month</t>
        </is>
      </c>
      <c r="E376" s="6" t="inlineStr">
        <is>
          <t>ENERGY_TO_ARGENTINA</t>
        </is>
      </c>
      <c r="F376" s="6" t="inlineStr">
        <is>
          <t>YACYRETA</t>
        </is>
      </c>
      <c r="G376" s="6" t="inlineStr">
        <is>
          <t>YACYRETA</t>
        </is>
      </c>
      <c r="H376" s="6" t="inlineStr">
        <is>
          <t>SADI</t>
        </is>
      </c>
      <c r="I376" s="8" t="n">
        <v>935052</v>
      </c>
      <c r="J376" s="6" t="inlineStr">
        <is>
          <t>MWh</t>
        </is>
      </c>
      <c r="K376" s="8" t="n">
        <v>935052</v>
      </c>
      <c r="L376" s="6" t="inlineStr">
        <is>
          <t>MWh</t>
        </is>
      </c>
      <c r="M376" s="6" t="inlineStr">
        <is>
          <t>EBY</t>
        </is>
      </c>
      <c r="N376" s="6" t="inlineStr">
        <is>
          <t>OFFICIAL_PRIMARY</t>
        </is>
      </c>
      <c r="O376" s="9" t="inlineStr">
        <is>
          <t>OFFICIAL_AGGREGATE</t>
        </is>
      </c>
      <c r="P376" s="8" t="n">
        <v>1</v>
      </c>
      <c r="Q376" s="8" t="n">
        <v>50</v>
      </c>
      <c r="R376" s="7" t="inlineStr">
        <is>
          <t>https://www.eby.gov.py/wp-content/uploads/2019/12/YacyretaEnergiasMensualesDesdePuestaenMarcha.pdf</t>
        </is>
      </c>
      <c r="S376" s="6" t="inlineStr">
        <is>
          <t>EBY-MONTHLY-1994-2012</t>
        </is>
      </c>
      <c r="T376" s="6" t="inlineStr"/>
      <c r="U376" s="4" t="inlineStr">
        <is>
          <t>2026-09-10 23:00:00</t>
        </is>
      </c>
      <c r="V376" s="4" t="inlineStr">
        <is>
          <t>Energia mensual entregada al SADI.</t>
        </is>
      </c>
    </row>
    <row r="377">
      <c r="A377" s="6" t="inlineStr">
        <is>
          <t>R0000376</t>
        </is>
      </c>
      <c r="B377" s="6" t="inlineStr">
        <is>
          <t>2000-08-01</t>
        </is>
      </c>
      <c r="C377" s="6" t="inlineStr">
        <is>
          <t>2000-08-31</t>
        </is>
      </c>
      <c r="D377" s="6" t="inlineStr">
        <is>
          <t>month</t>
        </is>
      </c>
      <c r="E377" s="6" t="inlineStr">
        <is>
          <t>ENERGY_TO_PY</t>
        </is>
      </c>
      <c r="F377" s="6" t="inlineStr">
        <is>
          <t>YACYRETA</t>
        </is>
      </c>
      <c r="G377" s="6" t="inlineStr">
        <is>
          <t>YACYRETA</t>
        </is>
      </c>
      <c r="H377" s="6" t="inlineStr">
        <is>
          <t>SINP</t>
        </is>
      </c>
      <c r="I377" s="8" t="n">
        <v>1795</v>
      </c>
      <c r="J377" s="6" t="inlineStr">
        <is>
          <t>MWh</t>
        </is>
      </c>
      <c r="K377" s="8" t="n">
        <v>1795</v>
      </c>
      <c r="L377" s="6" t="inlineStr">
        <is>
          <t>MWh</t>
        </is>
      </c>
      <c r="M377" s="6" t="inlineStr">
        <is>
          <t>EBY</t>
        </is>
      </c>
      <c r="N377" s="6" t="inlineStr">
        <is>
          <t>OFFICIAL_PRIMARY</t>
        </is>
      </c>
      <c r="O377" s="9" t="inlineStr">
        <is>
          <t>OFFICIAL_AGGREGATE</t>
        </is>
      </c>
      <c r="P377" s="8" t="n">
        <v>1</v>
      </c>
      <c r="Q377" s="8" t="n">
        <v>50</v>
      </c>
      <c r="R377" s="7" t="inlineStr">
        <is>
          <t>https://www.eby.gov.py/wp-content/uploads/2019/12/YacyretaEnergiasMensualesDesdePuestaenMarcha.pdf</t>
        </is>
      </c>
      <c r="S377" s="6" t="inlineStr">
        <is>
          <t>EBY-MONTHLY-1994-2012</t>
        </is>
      </c>
      <c r="T377" s="6" t="inlineStr"/>
      <c r="U377" s="4" t="inlineStr">
        <is>
          <t>2026-09-10 23:00:00</t>
        </is>
      </c>
      <c r="V377" s="4" t="inlineStr">
        <is>
          <t>Energia mensual entregada al SINP.</t>
        </is>
      </c>
    </row>
    <row r="378">
      <c r="A378" s="6" t="inlineStr">
        <is>
          <t>R0000377</t>
        </is>
      </c>
      <c r="B378" s="6" t="inlineStr">
        <is>
          <t>2000-09-01</t>
        </is>
      </c>
      <c r="C378" s="6" t="inlineStr">
        <is>
          <t>2000-09-30</t>
        </is>
      </c>
      <c r="D378" s="6" t="inlineStr">
        <is>
          <t>month</t>
        </is>
      </c>
      <c r="E378" s="6" t="inlineStr">
        <is>
          <t>YACYRETA_NET_ENERGY</t>
        </is>
      </c>
      <c r="F378" s="6" t="inlineStr">
        <is>
          <t>YACYRETA</t>
        </is>
      </c>
      <c r="G378" s="6" t="inlineStr">
        <is>
          <t>YACYRETA</t>
        </is>
      </c>
      <c r="H378" s="6" t="inlineStr">
        <is>
          <t>TOTAL</t>
        </is>
      </c>
      <c r="I378" s="8" t="n">
        <v>1142040</v>
      </c>
      <c r="J378" s="6" t="inlineStr">
        <is>
          <t>MWh</t>
        </is>
      </c>
      <c r="K378" s="8" t="n">
        <v>1142040</v>
      </c>
      <c r="L378" s="6" t="inlineStr">
        <is>
          <t>MWh</t>
        </is>
      </c>
      <c r="M378" s="6" t="inlineStr">
        <is>
          <t>EBY</t>
        </is>
      </c>
      <c r="N378" s="6" t="inlineStr">
        <is>
          <t>OFFICIAL_PRIMARY</t>
        </is>
      </c>
      <c r="O378" s="9" t="inlineStr">
        <is>
          <t>OFFICIAL_AGGREGATE</t>
        </is>
      </c>
      <c r="P378" s="8" t="n">
        <v>1</v>
      </c>
      <c r="Q378" s="8" t="n">
        <v>50</v>
      </c>
      <c r="R378" s="7" t="inlineStr">
        <is>
          <t>https://www.eby.gov.py/wp-content/uploads/2019/12/YacyretaEnergiasMensualesDesdePuestaenMarcha.pdf</t>
        </is>
      </c>
      <c r="S378" s="6" t="inlineStr">
        <is>
          <t>EBY-MONTHLY-1994-2012</t>
        </is>
      </c>
      <c r="T378" s="6" t="inlineStr"/>
      <c r="U378" s="4" t="inlineStr">
        <is>
          <t>2026-09-10 23:00:00</t>
        </is>
      </c>
      <c r="V378" s="4" t="inlineStr">
        <is>
          <t>Energia mensual Yacyreta desde puesta en marcha.</t>
        </is>
      </c>
    </row>
    <row r="379">
      <c r="A379" s="6" t="inlineStr">
        <is>
          <t>R0000378</t>
        </is>
      </c>
      <c r="B379" s="6" t="inlineStr">
        <is>
          <t>2000-09-01</t>
        </is>
      </c>
      <c r="C379" s="6" t="inlineStr">
        <is>
          <t>2000-09-30</t>
        </is>
      </c>
      <c r="D379" s="6" t="inlineStr">
        <is>
          <t>month</t>
        </is>
      </c>
      <c r="E379" s="6" t="inlineStr">
        <is>
          <t>ENERGY_TO_ARGENTINA</t>
        </is>
      </c>
      <c r="F379" s="6" t="inlineStr">
        <is>
          <t>YACYRETA</t>
        </is>
      </c>
      <c r="G379" s="6" t="inlineStr">
        <is>
          <t>YACYRETA</t>
        </is>
      </c>
      <c r="H379" s="6" t="inlineStr">
        <is>
          <t>SADI</t>
        </is>
      </c>
      <c r="I379" s="8" t="n">
        <v>1140632</v>
      </c>
      <c r="J379" s="6" t="inlineStr">
        <is>
          <t>MWh</t>
        </is>
      </c>
      <c r="K379" s="8" t="n">
        <v>1140632</v>
      </c>
      <c r="L379" s="6" t="inlineStr">
        <is>
          <t>MWh</t>
        </is>
      </c>
      <c r="M379" s="6" t="inlineStr">
        <is>
          <t>EBY</t>
        </is>
      </c>
      <c r="N379" s="6" t="inlineStr">
        <is>
          <t>OFFICIAL_PRIMARY</t>
        </is>
      </c>
      <c r="O379" s="9" t="inlineStr">
        <is>
          <t>OFFICIAL_AGGREGATE</t>
        </is>
      </c>
      <c r="P379" s="8" t="n">
        <v>1</v>
      </c>
      <c r="Q379" s="8" t="n">
        <v>50</v>
      </c>
      <c r="R379" s="7" t="inlineStr">
        <is>
          <t>https://www.eby.gov.py/wp-content/uploads/2019/12/YacyretaEnergiasMensualesDesdePuestaenMarcha.pdf</t>
        </is>
      </c>
      <c r="S379" s="6" t="inlineStr">
        <is>
          <t>EBY-MONTHLY-1994-2012</t>
        </is>
      </c>
      <c r="T379" s="6" t="inlineStr"/>
      <c r="U379" s="4" t="inlineStr">
        <is>
          <t>2026-09-10 23:00:00</t>
        </is>
      </c>
      <c r="V379" s="4" t="inlineStr">
        <is>
          <t>Energia mensual entregada al SADI.</t>
        </is>
      </c>
    </row>
    <row r="380">
      <c r="A380" s="6" t="inlineStr">
        <is>
          <t>R0000379</t>
        </is>
      </c>
      <c r="B380" s="6" t="inlineStr">
        <is>
          <t>2000-09-01</t>
        </is>
      </c>
      <c r="C380" s="6" t="inlineStr">
        <is>
          <t>2000-09-30</t>
        </is>
      </c>
      <c r="D380" s="6" t="inlineStr">
        <is>
          <t>month</t>
        </is>
      </c>
      <c r="E380" s="6" t="inlineStr">
        <is>
          <t>ENERGY_TO_PY</t>
        </is>
      </c>
      <c r="F380" s="6" t="inlineStr">
        <is>
          <t>YACYRETA</t>
        </is>
      </c>
      <c r="G380" s="6" t="inlineStr">
        <is>
          <t>YACYRETA</t>
        </is>
      </c>
      <c r="H380" s="6" t="inlineStr">
        <is>
          <t>SINP</t>
        </is>
      </c>
      <c r="I380" s="8" t="n">
        <v>1408</v>
      </c>
      <c r="J380" s="6" t="inlineStr">
        <is>
          <t>MWh</t>
        </is>
      </c>
      <c r="K380" s="8" t="n">
        <v>1408</v>
      </c>
      <c r="L380" s="6" t="inlineStr">
        <is>
          <t>MWh</t>
        </is>
      </c>
      <c r="M380" s="6" t="inlineStr">
        <is>
          <t>EBY</t>
        </is>
      </c>
      <c r="N380" s="6" t="inlineStr">
        <is>
          <t>OFFICIAL_PRIMARY</t>
        </is>
      </c>
      <c r="O380" s="9" t="inlineStr">
        <is>
          <t>OFFICIAL_AGGREGATE</t>
        </is>
      </c>
      <c r="P380" s="8" t="n">
        <v>1</v>
      </c>
      <c r="Q380" s="8" t="n">
        <v>50</v>
      </c>
      <c r="R380" s="7" t="inlineStr">
        <is>
          <t>https://www.eby.gov.py/wp-content/uploads/2019/12/YacyretaEnergiasMensualesDesdePuestaenMarcha.pdf</t>
        </is>
      </c>
      <c r="S380" s="6" t="inlineStr">
        <is>
          <t>EBY-MONTHLY-1994-2012</t>
        </is>
      </c>
      <c r="T380" s="6" t="inlineStr"/>
      <c r="U380" s="4" t="inlineStr">
        <is>
          <t>2026-09-10 23:00:00</t>
        </is>
      </c>
      <c r="V380" s="4" t="inlineStr">
        <is>
          <t>Energia mensual entregada al SINP.</t>
        </is>
      </c>
    </row>
    <row r="381">
      <c r="A381" s="6" t="inlineStr">
        <is>
          <t>R0000380</t>
        </is>
      </c>
      <c r="B381" s="6" t="inlineStr">
        <is>
          <t>2000-10-01</t>
        </is>
      </c>
      <c r="C381" s="6" t="inlineStr">
        <is>
          <t>2000-10-31</t>
        </is>
      </c>
      <c r="D381" s="6" t="inlineStr">
        <is>
          <t>month</t>
        </is>
      </c>
      <c r="E381" s="6" t="inlineStr">
        <is>
          <t>YACYRETA_NET_ENERGY</t>
        </is>
      </c>
      <c r="F381" s="6" t="inlineStr">
        <is>
          <t>YACYRETA</t>
        </is>
      </c>
      <c r="G381" s="6" t="inlineStr">
        <is>
          <t>YACYRETA</t>
        </is>
      </c>
      <c r="H381" s="6" t="inlineStr">
        <is>
          <t>TOTAL</t>
        </is>
      </c>
      <c r="I381" s="8" t="n">
        <v>1114048</v>
      </c>
      <c r="J381" s="6" t="inlineStr">
        <is>
          <t>MWh</t>
        </is>
      </c>
      <c r="K381" s="8" t="n">
        <v>1114048</v>
      </c>
      <c r="L381" s="6" t="inlineStr">
        <is>
          <t>MWh</t>
        </is>
      </c>
      <c r="M381" s="6" t="inlineStr">
        <is>
          <t>EBY</t>
        </is>
      </c>
      <c r="N381" s="6" t="inlineStr">
        <is>
          <t>OFFICIAL_PRIMARY</t>
        </is>
      </c>
      <c r="O381" s="9" t="inlineStr">
        <is>
          <t>OFFICIAL_AGGREGATE</t>
        </is>
      </c>
      <c r="P381" s="8" t="n">
        <v>1</v>
      </c>
      <c r="Q381" s="8" t="n">
        <v>50</v>
      </c>
      <c r="R381" s="7" t="inlineStr">
        <is>
          <t>https://www.eby.gov.py/wp-content/uploads/2019/12/YacyretaEnergiasMensualesDesdePuestaenMarcha.pdf</t>
        </is>
      </c>
      <c r="S381" s="6" t="inlineStr">
        <is>
          <t>EBY-MONTHLY-1994-2012</t>
        </is>
      </c>
      <c r="T381" s="6" t="inlineStr"/>
      <c r="U381" s="4" t="inlineStr">
        <is>
          <t>2026-09-10 23:00:00</t>
        </is>
      </c>
      <c r="V381" s="4" t="inlineStr">
        <is>
          <t>Energia mensual Yacyreta desde puesta en marcha.</t>
        </is>
      </c>
    </row>
    <row r="382">
      <c r="A382" s="6" t="inlineStr">
        <is>
          <t>R0000381</t>
        </is>
      </c>
      <c r="B382" s="6" t="inlineStr">
        <is>
          <t>2000-10-01</t>
        </is>
      </c>
      <c r="C382" s="6" t="inlineStr">
        <is>
          <t>2000-10-31</t>
        </is>
      </c>
      <c r="D382" s="6" t="inlineStr">
        <is>
          <t>month</t>
        </is>
      </c>
      <c r="E382" s="6" t="inlineStr">
        <is>
          <t>ENERGY_TO_ARGENTINA</t>
        </is>
      </c>
      <c r="F382" s="6" t="inlineStr">
        <is>
          <t>YACYRETA</t>
        </is>
      </c>
      <c r="G382" s="6" t="inlineStr">
        <is>
          <t>YACYRETA</t>
        </is>
      </c>
      <c r="H382" s="6" t="inlineStr">
        <is>
          <t>SADI</t>
        </is>
      </c>
      <c r="I382" s="8" t="n">
        <v>1112416</v>
      </c>
      <c r="J382" s="6" t="inlineStr">
        <is>
          <t>MWh</t>
        </is>
      </c>
      <c r="K382" s="8" t="n">
        <v>1112416</v>
      </c>
      <c r="L382" s="6" t="inlineStr">
        <is>
          <t>MWh</t>
        </is>
      </c>
      <c r="M382" s="6" t="inlineStr">
        <is>
          <t>EBY</t>
        </is>
      </c>
      <c r="N382" s="6" t="inlineStr">
        <is>
          <t>OFFICIAL_PRIMARY</t>
        </is>
      </c>
      <c r="O382" s="9" t="inlineStr">
        <is>
          <t>OFFICIAL_AGGREGATE</t>
        </is>
      </c>
      <c r="P382" s="8" t="n">
        <v>1</v>
      </c>
      <c r="Q382" s="8" t="n">
        <v>50</v>
      </c>
      <c r="R382" s="7" t="inlineStr">
        <is>
          <t>https://www.eby.gov.py/wp-content/uploads/2019/12/YacyretaEnergiasMensualesDesdePuestaenMarcha.pdf</t>
        </is>
      </c>
      <c r="S382" s="6" t="inlineStr">
        <is>
          <t>EBY-MONTHLY-1994-2012</t>
        </is>
      </c>
      <c r="T382" s="6" t="inlineStr"/>
      <c r="U382" s="4" t="inlineStr">
        <is>
          <t>2026-09-10 23:00:00</t>
        </is>
      </c>
      <c r="V382" s="4" t="inlineStr">
        <is>
          <t>Energia mensual entregada al SADI.</t>
        </is>
      </c>
    </row>
    <row r="383">
      <c r="A383" s="6" t="inlineStr">
        <is>
          <t>R0000382</t>
        </is>
      </c>
      <c r="B383" s="6" t="inlineStr">
        <is>
          <t>2000-10-01</t>
        </is>
      </c>
      <c r="C383" s="6" t="inlineStr">
        <is>
          <t>2000-10-31</t>
        </is>
      </c>
      <c r="D383" s="6" t="inlineStr">
        <is>
          <t>month</t>
        </is>
      </c>
      <c r="E383" s="6" t="inlineStr">
        <is>
          <t>ENERGY_TO_PY</t>
        </is>
      </c>
      <c r="F383" s="6" t="inlineStr">
        <is>
          <t>YACYRETA</t>
        </is>
      </c>
      <c r="G383" s="6" t="inlineStr">
        <is>
          <t>YACYRETA</t>
        </is>
      </c>
      <c r="H383" s="6" t="inlineStr">
        <is>
          <t>SINP</t>
        </is>
      </c>
      <c r="I383" s="8" t="n">
        <v>1632</v>
      </c>
      <c r="J383" s="6" t="inlineStr">
        <is>
          <t>MWh</t>
        </is>
      </c>
      <c r="K383" s="8" t="n">
        <v>1632</v>
      </c>
      <c r="L383" s="6" t="inlineStr">
        <is>
          <t>MWh</t>
        </is>
      </c>
      <c r="M383" s="6" t="inlineStr">
        <is>
          <t>EBY</t>
        </is>
      </c>
      <c r="N383" s="6" t="inlineStr">
        <is>
          <t>OFFICIAL_PRIMARY</t>
        </is>
      </c>
      <c r="O383" s="9" t="inlineStr">
        <is>
          <t>OFFICIAL_AGGREGATE</t>
        </is>
      </c>
      <c r="P383" s="8" t="n">
        <v>1</v>
      </c>
      <c r="Q383" s="8" t="n">
        <v>50</v>
      </c>
      <c r="R383" s="7" t="inlineStr">
        <is>
          <t>https://www.eby.gov.py/wp-content/uploads/2019/12/YacyretaEnergiasMensualesDesdePuestaenMarcha.pdf</t>
        </is>
      </c>
      <c r="S383" s="6" t="inlineStr">
        <is>
          <t>EBY-MONTHLY-1994-2012</t>
        </is>
      </c>
      <c r="T383" s="6" t="inlineStr"/>
      <c r="U383" s="4" t="inlineStr">
        <is>
          <t>2026-09-10 23:00:00</t>
        </is>
      </c>
      <c r="V383" s="4" t="inlineStr">
        <is>
          <t>Energia mensual entregada al SINP.</t>
        </is>
      </c>
    </row>
    <row r="384">
      <c r="A384" s="6" t="inlineStr">
        <is>
          <t>R0000383</t>
        </is>
      </c>
      <c r="B384" s="6" t="inlineStr">
        <is>
          <t>2000-11-01</t>
        </is>
      </c>
      <c r="C384" s="6" t="inlineStr">
        <is>
          <t>2000-11-30</t>
        </is>
      </c>
      <c r="D384" s="6" t="inlineStr">
        <is>
          <t>month</t>
        </is>
      </c>
      <c r="E384" s="6" t="inlineStr">
        <is>
          <t>YACYRETA_NET_ENERGY</t>
        </is>
      </c>
      <c r="F384" s="6" t="inlineStr">
        <is>
          <t>YACYRETA</t>
        </is>
      </c>
      <c r="G384" s="6" t="inlineStr">
        <is>
          <t>YACYRETA</t>
        </is>
      </c>
      <c r="H384" s="6" t="inlineStr">
        <is>
          <t>TOTAL</t>
        </is>
      </c>
      <c r="I384" s="8" t="n">
        <v>1089727</v>
      </c>
      <c r="J384" s="6" t="inlineStr">
        <is>
          <t>MWh</t>
        </is>
      </c>
      <c r="K384" s="8" t="n">
        <v>1089727</v>
      </c>
      <c r="L384" s="6" t="inlineStr">
        <is>
          <t>MWh</t>
        </is>
      </c>
      <c r="M384" s="6" t="inlineStr">
        <is>
          <t>EBY</t>
        </is>
      </c>
      <c r="N384" s="6" t="inlineStr">
        <is>
          <t>OFFICIAL_PRIMARY</t>
        </is>
      </c>
      <c r="O384" s="9" t="inlineStr">
        <is>
          <t>OFFICIAL_AGGREGATE</t>
        </is>
      </c>
      <c r="P384" s="8" t="n">
        <v>1</v>
      </c>
      <c r="Q384" s="8" t="n">
        <v>50</v>
      </c>
      <c r="R384" s="7" t="inlineStr">
        <is>
          <t>https://www.eby.gov.py/wp-content/uploads/2019/12/YacyretaEnergiasMensualesDesdePuestaenMarcha.pdf</t>
        </is>
      </c>
      <c r="S384" s="6" t="inlineStr">
        <is>
          <t>EBY-MONTHLY-1994-2012</t>
        </is>
      </c>
      <c r="T384" s="6" t="inlineStr"/>
      <c r="U384" s="4" t="inlineStr">
        <is>
          <t>2026-09-10 23:00:00</t>
        </is>
      </c>
      <c r="V384" s="4" t="inlineStr">
        <is>
          <t>Energia mensual Yacyreta desde puesta en marcha.</t>
        </is>
      </c>
    </row>
    <row r="385">
      <c r="A385" s="6" t="inlineStr">
        <is>
          <t>R0000384</t>
        </is>
      </c>
      <c r="B385" s="6" t="inlineStr">
        <is>
          <t>2000-11-01</t>
        </is>
      </c>
      <c r="C385" s="6" t="inlineStr">
        <is>
          <t>2000-11-30</t>
        </is>
      </c>
      <c r="D385" s="6" t="inlineStr">
        <is>
          <t>month</t>
        </is>
      </c>
      <c r="E385" s="6" t="inlineStr">
        <is>
          <t>ENERGY_TO_ARGENTINA</t>
        </is>
      </c>
      <c r="F385" s="6" t="inlineStr">
        <is>
          <t>YACYRETA</t>
        </is>
      </c>
      <c r="G385" s="6" t="inlineStr">
        <is>
          <t>YACYRETA</t>
        </is>
      </c>
      <c r="H385" s="6" t="inlineStr">
        <is>
          <t>SADI</t>
        </is>
      </c>
      <c r="I385" s="8" t="n">
        <v>1088054</v>
      </c>
      <c r="J385" s="6" t="inlineStr">
        <is>
          <t>MWh</t>
        </is>
      </c>
      <c r="K385" s="8" t="n">
        <v>1088054</v>
      </c>
      <c r="L385" s="6" t="inlineStr">
        <is>
          <t>MWh</t>
        </is>
      </c>
      <c r="M385" s="6" t="inlineStr">
        <is>
          <t>EBY</t>
        </is>
      </c>
      <c r="N385" s="6" t="inlineStr">
        <is>
          <t>OFFICIAL_PRIMARY</t>
        </is>
      </c>
      <c r="O385" s="9" t="inlineStr">
        <is>
          <t>OFFICIAL_AGGREGATE</t>
        </is>
      </c>
      <c r="P385" s="8" t="n">
        <v>1</v>
      </c>
      <c r="Q385" s="8" t="n">
        <v>50</v>
      </c>
      <c r="R385" s="7" t="inlineStr">
        <is>
          <t>https://www.eby.gov.py/wp-content/uploads/2019/12/YacyretaEnergiasMensualesDesdePuestaenMarcha.pdf</t>
        </is>
      </c>
      <c r="S385" s="6" t="inlineStr">
        <is>
          <t>EBY-MONTHLY-1994-2012</t>
        </is>
      </c>
      <c r="T385" s="6" t="inlineStr"/>
      <c r="U385" s="4" t="inlineStr">
        <is>
          <t>2026-09-10 23:00:00</t>
        </is>
      </c>
      <c r="V385" s="4" t="inlineStr">
        <is>
          <t>Energia mensual entregada al SADI.</t>
        </is>
      </c>
    </row>
    <row r="386">
      <c r="A386" s="6" t="inlineStr">
        <is>
          <t>R0000385</t>
        </is>
      </c>
      <c r="B386" s="6" t="inlineStr">
        <is>
          <t>2000-11-01</t>
        </is>
      </c>
      <c r="C386" s="6" t="inlineStr">
        <is>
          <t>2000-11-30</t>
        </is>
      </c>
      <c r="D386" s="6" t="inlineStr">
        <is>
          <t>month</t>
        </is>
      </c>
      <c r="E386" s="6" t="inlineStr">
        <is>
          <t>ENERGY_TO_PY</t>
        </is>
      </c>
      <c r="F386" s="6" t="inlineStr">
        <is>
          <t>YACYRETA</t>
        </is>
      </c>
      <c r="G386" s="6" t="inlineStr">
        <is>
          <t>YACYRETA</t>
        </is>
      </c>
      <c r="H386" s="6" t="inlineStr">
        <is>
          <t>SINP</t>
        </is>
      </c>
      <c r="I386" s="8" t="n">
        <v>1673</v>
      </c>
      <c r="J386" s="6" t="inlineStr">
        <is>
          <t>MWh</t>
        </is>
      </c>
      <c r="K386" s="8" t="n">
        <v>1673</v>
      </c>
      <c r="L386" s="6" t="inlineStr">
        <is>
          <t>MWh</t>
        </is>
      </c>
      <c r="M386" s="6" t="inlineStr">
        <is>
          <t>EBY</t>
        </is>
      </c>
      <c r="N386" s="6" t="inlineStr">
        <is>
          <t>OFFICIAL_PRIMARY</t>
        </is>
      </c>
      <c r="O386" s="9" t="inlineStr">
        <is>
          <t>OFFICIAL_AGGREGATE</t>
        </is>
      </c>
      <c r="P386" s="8" t="n">
        <v>1</v>
      </c>
      <c r="Q386" s="8" t="n">
        <v>50</v>
      </c>
      <c r="R386" s="7" t="inlineStr">
        <is>
          <t>https://www.eby.gov.py/wp-content/uploads/2019/12/YacyretaEnergiasMensualesDesdePuestaenMarcha.pdf</t>
        </is>
      </c>
      <c r="S386" s="6" t="inlineStr">
        <is>
          <t>EBY-MONTHLY-1994-2012</t>
        </is>
      </c>
      <c r="T386" s="6" t="inlineStr"/>
      <c r="U386" s="4" t="inlineStr">
        <is>
          <t>2026-09-10 23:00:00</t>
        </is>
      </c>
      <c r="V386" s="4" t="inlineStr">
        <is>
          <t>Energia mensual entregada al SINP.</t>
        </is>
      </c>
    </row>
    <row r="387">
      <c r="A387" s="6" t="inlineStr">
        <is>
          <t>R0000386</t>
        </is>
      </c>
      <c r="B387" s="6" t="inlineStr">
        <is>
          <t>2000-12-01</t>
        </is>
      </c>
      <c r="C387" s="6" t="inlineStr">
        <is>
          <t>2000-12-31</t>
        </is>
      </c>
      <c r="D387" s="6" t="inlineStr">
        <is>
          <t>month</t>
        </is>
      </c>
      <c r="E387" s="6" t="inlineStr">
        <is>
          <t>YACYRETA_NET_ENERGY</t>
        </is>
      </c>
      <c r="F387" s="6" t="inlineStr">
        <is>
          <t>YACYRETA</t>
        </is>
      </c>
      <c r="G387" s="6" t="inlineStr">
        <is>
          <t>YACYRETA</t>
        </is>
      </c>
      <c r="H387" s="6" t="inlineStr">
        <is>
          <t>TOTAL</t>
        </is>
      </c>
      <c r="I387" s="8" t="n">
        <v>1051954</v>
      </c>
      <c r="J387" s="6" t="inlineStr">
        <is>
          <t>MWh</t>
        </is>
      </c>
      <c r="K387" s="8" t="n">
        <v>1051954</v>
      </c>
      <c r="L387" s="6" t="inlineStr">
        <is>
          <t>MWh</t>
        </is>
      </c>
      <c r="M387" s="6" t="inlineStr">
        <is>
          <t>EBY</t>
        </is>
      </c>
      <c r="N387" s="6" t="inlineStr">
        <is>
          <t>OFFICIAL_PRIMARY</t>
        </is>
      </c>
      <c r="O387" s="9" t="inlineStr">
        <is>
          <t>OFFICIAL_AGGREGATE</t>
        </is>
      </c>
      <c r="P387" s="8" t="n">
        <v>1</v>
      </c>
      <c r="Q387" s="8" t="n">
        <v>50</v>
      </c>
      <c r="R387" s="7" t="inlineStr">
        <is>
          <t>https://www.eby.gov.py/wp-content/uploads/2019/12/YacyretaEnergiasMensualesDesdePuestaenMarcha.pdf</t>
        </is>
      </c>
      <c r="S387" s="6" t="inlineStr">
        <is>
          <t>EBY-MONTHLY-1994-2012</t>
        </is>
      </c>
      <c r="T387" s="6" t="inlineStr"/>
      <c r="U387" s="4" t="inlineStr">
        <is>
          <t>2026-09-10 23:00:00</t>
        </is>
      </c>
      <c r="V387" s="4" t="inlineStr">
        <is>
          <t>Energia mensual Yacyreta desde puesta en marcha.</t>
        </is>
      </c>
    </row>
    <row r="388">
      <c r="A388" s="6" t="inlineStr">
        <is>
          <t>R0000387</t>
        </is>
      </c>
      <c r="B388" s="6" t="inlineStr">
        <is>
          <t>2000-12-01</t>
        </is>
      </c>
      <c r="C388" s="6" t="inlineStr">
        <is>
          <t>2000-12-31</t>
        </is>
      </c>
      <c r="D388" s="6" t="inlineStr">
        <is>
          <t>month</t>
        </is>
      </c>
      <c r="E388" s="6" t="inlineStr">
        <is>
          <t>ENERGY_TO_ARGENTINA</t>
        </is>
      </c>
      <c r="F388" s="6" t="inlineStr">
        <is>
          <t>YACYRETA</t>
        </is>
      </c>
      <c r="G388" s="6" t="inlineStr">
        <is>
          <t>YACYRETA</t>
        </is>
      </c>
      <c r="H388" s="6" t="inlineStr">
        <is>
          <t>SADI</t>
        </is>
      </c>
      <c r="I388" s="8" t="n">
        <v>1048706</v>
      </c>
      <c r="J388" s="6" t="inlineStr">
        <is>
          <t>MWh</t>
        </is>
      </c>
      <c r="K388" s="8" t="n">
        <v>1048706</v>
      </c>
      <c r="L388" s="6" t="inlineStr">
        <is>
          <t>MWh</t>
        </is>
      </c>
      <c r="M388" s="6" t="inlineStr">
        <is>
          <t>EBY</t>
        </is>
      </c>
      <c r="N388" s="6" t="inlineStr">
        <is>
          <t>OFFICIAL_PRIMARY</t>
        </is>
      </c>
      <c r="O388" s="9" t="inlineStr">
        <is>
          <t>OFFICIAL_AGGREGATE</t>
        </is>
      </c>
      <c r="P388" s="8" t="n">
        <v>1</v>
      </c>
      <c r="Q388" s="8" t="n">
        <v>50</v>
      </c>
      <c r="R388" s="7" t="inlineStr">
        <is>
          <t>https://www.eby.gov.py/wp-content/uploads/2019/12/YacyretaEnergiasMensualesDesdePuestaenMarcha.pdf</t>
        </is>
      </c>
      <c r="S388" s="6" t="inlineStr">
        <is>
          <t>EBY-MONTHLY-1994-2012</t>
        </is>
      </c>
      <c r="T388" s="6" t="inlineStr"/>
      <c r="U388" s="4" t="inlineStr">
        <is>
          <t>2026-09-10 23:00:00</t>
        </is>
      </c>
      <c r="V388" s="4" t="inlineStr">
        <is>
          <t>Energia mensual entregada al SADI.</t>
        </is>
      </c>
    </row>
    <row r="389">
      <c r="A389" s="6" t="inlineStr">
        <is>
          <t>R0000388</t>
        </is>
      </c>
      <c r="B389" s="6" t="inlineStr">
        <is>
          <t>2000-12-01</t>
        </is>
      </c>
      <c r="C389" s="6" t="inlineStr">
        <is>
          <t>2000-12-31</t>
        </is>
      </c>
      <c r="D389" s="6" t="inlineStr">
        <is>
          <t>month</t>
        </is>
      </c>
      <c r="E389" s="6" t="inlineStr">
        <is>
          <t>ENERGY_TO_PY</t>
        </is>
      </c>
      <c r="F389" s="6" t="inlineStr">
        <is>
          <t>YACYRETA</t>
        </is>
      </c>
      <c r="G389" s="6" t="inlineStr">
        <is>
          <t>YACYRETA</t>
        </is>
      </c>
      <c r="H389" s="6" t="inlineStr">
        <is>
          <t>SINP</t>
        </is>
      </c>
      <c r="I389" s="8" t="n">
        <v>3248</v>
      </c>
      <c r="J389" s="6" t="inlineStr">
        <is>
          <t>MWh</t>
        </is>
      </c>
      <c r="K389" s="8" t="n">
        <v>3248</v>
      </c>
      <c r="L389" s="6" t="inlineStr">
        <is>
          <t>MWh</t>
        </is>
      </c>
      <c r="M389" s="6" t="inlineStr">
        <is>
          <t>EBY</t>
        </is>
      </c>
      <c r="N389" s="6" t="inlineStr">
        <is>
          <t>OFFICIAL_PRIMARY</t>
        </is>
      </c>
      <c r="O389" s="9" t="inlineStr">
        <is>
          <t>OFFICIAL_AGGREGATE</t>
        </is>
      </c>
      <c r="P389" s="8" t="n">
        <v>1</v>
      </c>
      <c r="Q389" s="8" t="n">
        <v>50</v>
      </c>
      <c r="R389" s="7" t="inlineStr">
        <is>
          <t>https://www.eby.gov.py/wp-content/uploads/2019/12/YacyretaEnergiasMensualesDesdePuestaenMarcha.pdf</t>
        </is>
      </c>
      <c r="S389" s="6" t="inlineStr">
        <is>
          <t>EBY-MONTHLY-1994-2012</t>
        </is>
      </c>
      <c r="T389" s="6" t="inlineStr"/>
      <c r="U389" s="4" t="inlineStr">
        <is>
          <t>2026-09-10 23:00:00</t>
        </is>
      </c>
      <c r="V389" s="4" t="inlineStr">
        <is>
          <t>Energia mensual entregada al SINP.</t>
        </is>
      </c>
    </row>
    <row r="390">
      <c r="A390" s="6" t="inlineStr">
        <is>
          <t>R0000389</t>
        </is>
      </c>
      <c r="B390" s="6" t="inlineStr">
        <is>
          <t>2001-01-01</t>
        </is>
      </c>
      <c r="C390" s="6" t="inlineStr">
        <is>
          <t>2001-01-31</t>
        </is>
      </c>
      <c r="D390" s="6" t="inlineStr">
        <is>
          <t>month</t>
        </is>
      </c>
      <c r="E390" s="6" t="inlineStr">
        <is>
          <t>YACYRETA_NET_ENERGY</t>
        </is>
      </c>
      <c r="F390" s="6" t="inlineStr">
        <is>
          <t>YACYRETA</t>
        </is>
      </c>
      <c r="G390" s="6" t="inlineStr">
        <is>
          <t>YACYRETA</t>
        </is>
      </c>
      <c r="H390" s="6" t="inlineStr">
        <is>
          <t>TOTAL</t>
        </is>
      </c>
      <c r="I390" s="8" t="n">
        <v>1118135</v>
      </c>
      <c r="J390" s="6" t="inlineStr">
        <is>
          <t>MWh</t>
        </is>
      </c>
      <c r="K390" s="8" t="n">
        <v>1118135</v>
      </c>
      <c r="L390" s="6" t="inlineStr">
        <is>
          <t>MWh</t>
        </is>
      </c>
      <c r="M390" s="6" t="inlineStr">
        <is>
          <t>EBY</t>
        </is>
      </c>
      <c r="N390" s="6" t="inlineStr">
        <is>
          <t>OFFICIAL_PRIMARY</t>
        </is>
      </c>
      <c r="O390" s="9" t="inlineStr">
        <is>
          <t>OFFICIAL_AGGREGATE</t>
        </is>
      </c>
      <c r="P390" s="8" t="n">
        <v>1</v>
      </c>
      <c r="Q390" s="8" t="n">
        <v>50</v>
      </c>
      <c r="R390" s="7" t="inlineStr">
        <is>
          <t>https://www.eby.gov.py/wp-content/uploads/2019/12/YacyretaEnergiasMensualesDesdePuestaenMarcha.pdf</t>
        </is>
      </c>
      <c r="S390" s="6" t="inlineStr">
        <is>
          <t>EBY-MONTHLY-1994-2012</t>
        </is>
      </c>
      <c r="T390" s="6" t="inlineStr"/>
      <c r="U390" s="4" t="inlineStr">
        <is>
          <t>2026-09-10 23:00:00</t>
        </is>
      </c>
      <c r="V390" s="4" t="inlineStr">
        <is>
          <t>Energia mensual Yacyreta desde puesta en marcha.</t>
        </is>
      </c>
    </row>
    <row r="391">
      <c r="A391" s="6" t="inlineStr">
        <is>
          <t>R0000390</t>
        </is>
      </c>
      <c r="B391" s="6" t="inlineStr">
        <is>
          <t>2001-01-01</t>
        </is>
      </c>
      <c r="C391" s="6" t="inlineStr">
        <is>
          <t>2001-01-31</t>
        </is>
      </c>
      <c r="D391" s="6" t="inlineStr">
        <is>
          <t>month</t>
        </is>
      </c>
      <c r="E391" s="6" t="inlineStr">
        <is>
          <t>ENERGY_TO_ARGENTINA</t>
        </is>
      </c>
      <c r="F391" s="6" t="inlineStr">
        <is>
          <t>YACYRETA</t>
        </is>
      </c>
      <c r="G391" s="6" t="inlineStr">
        <is>
          <t>YACYRETA</t>
        </is>
      </c>
      <c r="H391" s="6" t="inlineStr">
        <is>
          <t>SADI</t>
        </is>
      </c>
      <c r="I391" s="8" t="n">
        <v>1116134</v>
      </c>
      <c r="J391" s="6" t="inlineStr">
        <is>
          <t>MWh</t>
        </is>
      </c>
      <c r="K391" s="8" t="n">
        <v>1116134</v>
      </c>
      <c r="L391" s="6" t="inlineStr">
        <is>
          <t>MWh</t>
        </is>
      </c>
      <c r="M391" s="6" t="inlineStr">
        <is>
          <t>EBY</t>
        </is>
      </c>
      <c r="N391" s="6" t="inlineStr">
        <is>
          <t>OFFICIAL_PRIMARY</t>
        </is>
      </c>
      <c r="O391" s="9" t="inlineStr">
        <is>
          <t>OFFICIAL_AGGREGATE</t>
        </is>
      </c>
      <c r="P391" s="8" t="n">
        <v>1</v>
      </c>
      <c r="Q391" s="8" t="n">
        <v>50</v>
      </c>
      <c r="R391" s="7" t="inlineStr">
        <is>
          <t>https://www.eby.gov.py/wp-content/uploads/2019/12/YacyretaEnergiasMensualesDesdePuestaenMarcha.pdf</t>
        </is>
      </c>
      <c r="S391" s="6" t="inlineStr">
        <is>
          <t>EBY-MONTHLY-1994-2012</t>
        </is>
      </c>
      <c r="T391" s="6" t="inlineStr"/>
      <c r="U391" s="4" t="inlineStr">
        <is>
          <t>2026-09-10 23:00:00</t>
        </is>
      </c>
      <c r="V391" s="4" t="inlineStr">
        <is>
          <t>Energia mensual entregada al SADI.</t>
        </is>
      </c>
    </row>
    <row r="392">
      <c r="A392" s="6" t="inlineStr">
        <is>
          <t>R0000391</t>
        </is>
      </c>
      <c r="B392" s="6" t="inlineStr">
        <is>
          <t>2001-01-01</t>
        </is>
      </c>
      <c r="C392" s="6" t="inlineStr">
        <is>
          <t>2001-01-31</t>
        </is>
      </c>
      <c r="D392" s="6" t="inlineStr">
        <is>
          <t>month</t>
        </is>
      </c>
      <c r="E392" s="6" t="inlineStr">
        <is>
          <t>ENERGY_TO_PY</t>
        </is>
      </c>
      <c r="F392" s="6" t="inlineStr">
        <is>
          <t>YACYRETA</t>
        </is>
      </c>
      <c r="G392" s="6" t="inlineStr">
        <is>
          <t>YACYRETA</t>
        </is>
      </c>
      <c r="H392" s="6" t="inlineStr">
        <is>
          <t>SINP</t>
        </is>
      </c>
      <c r="I392" s="8" t="n">
        <v>2001</v>
      </c>
      <c r="J392" s="6" t="inlineStr">
        <is>
          <t>MWh</t>
        </is>
      </c>
      <c r="K392" s="8" t="n">
        <v>2001</v>
      </c>
      <c r="L392" s="6" t="inlineStr">
        <is>
          <t>MWh</t>
        </is>
      </c>
      <c r="M392" s="6" t="inlineStr">
        <is>
          <t>EBY</t>
        </is>
      </c>
      <c r="N392" s="6" t="inlineStr">
        <is>
          <t>OFFICIAL_PRIMARY</t>
        </is>
      </c>
      <c r="O392" s="9" t="inlineStr">
        <is>
          <t>OFFICIAL_AGGREGATE</t>
        </is>
      </c>
      <c r="P392" s="8" t="n">
        <v>1</v>
      </c>
      <c r="Q392" s="8" t="n">
        <v>50</v>
      </c>
      <c r="R392" s="7" t="inlineStr">
        <is>
          <t>https://www.eby.gov.py/wp-content/uploads/2019/12/YacyretaEnergiasMensualesDesdePuestaenMarcha.pdf</t>
        </is>
      </c>
      <c r="S392" s="6" t="inlineStr">
        <is>
          <t>EBY-MONTHLY-1994-2012</t>
        </is>
      </c>
      <c r="T392" s="6" t="inlineStr"/>
      <c r="U392" s="4" t="inlineStr">
        <is>
          <t>2026-09-10 23:00:00</t>
        </is>
      </c>
      <c r="V392" s="4" t="inlineStr">
        <is>
          <t>Energia mensual entregada al SINP.</t>
        </is>
      </c>
    </row>
    <row r="393">
      <c r="A393" s="6" t="inlineStr">
        <is>
          <t>R0000392</t>
        </is>
      </c>
      <c r="B393" s="6" t="inlineStr">
        <is>
          <t>2001-02-01</t>
        </is>
      </c>
      <c r="C393" s="6" t="inlineStr">
        <is>
          <t>2001-02-28</t>
        </is>
      </c>
      <c r="D393" s="6" t="inlineStr">
        <is>
          <t>month</t>
        </is>
      </c>
      <c r="E393" s="6" t="inlineStr">
        <is>
          <t>YACYRETA_NET_ENERGY</t>
        </is>
      </c>
      <c r="F393" s="6" t="inlineStr">
        <is>
          <t>YACYRETA</t>
        </is>
      </c>
      <c r="G393" s="6" t="inlineStr">
        <is>
          <t>YACYRETA</t>
        </is>
      </c>
      <c r="H393" s="6" t="inlineStr">
        <is>
          <t>TOTAL</t>
        </is>
      </c>
      <c r="I393" s="8" t="n">
        <v>1130985</v>
      </c>
      <c r="J393" s="6" t="inlineStr">
        <is>
          <t>MWh</t>
        </is>
      </c>
      <c r="K393" s="8" t="n">
        <v>1130985</v>
      </c>
      <c r="L393" s="6" t="inlineStr">
        <is>
          <t>MWh</t>
        </is>
      </c>
      <c r="M393" s="6" t="inlineStr">
        <is>
          <t>EBY</t>
        </is>
      </c>
      <c r="N393" s="6" t="inlineStr">
        <is>
          <t>OFFICIAL_PRIMARY</t>
        </is>
      </c>
      <c r="O393" s="9" t="inlineStr">
        <is>
          <t>OFFICIAL_AGGREGATE</t>
        </is>
      </c>
      <c r="P393" s="8" t="n">
        <v>1</v>
      </c>
      <c r="Q393" s="8" t="n">
        <v>50</v>
      </c>
      <c r="R393" s="7" t="inlineStr">
        <is>
          <t>https://www.eby.gov.py/wp-content/uploads/2019/12/YacyretaEnergiasMensualesDesdePuestaenMarcha.pdf</t>
        </is>
      </c>
      <c r="S393" s="6" t="inlineStr">
        <is>
          <t>EBY-MONTHLY-1994-2012</t>
        </is>
      </c>
      <c r="T393" s="6" t="inlineStr"/>
      <c r="U393" s="4" t="inlineStr">
        <is>
          <t>2026-09-10 23:00:00</t>
        </is>
      </c>
      <c r="V393" s="4" t="inlineStr">
        <is>
          <t>Energia mensual Yacyreta desde puesta en marcha.</t>
        </is>
      </c>
    </row>
    <row r="394">
      <c r="A394" s="6" t="inlineStr">
        <is>
          <t>R0000393</t>
        </is>
      </c>
      <c r="B394" s="6" t="inlineStr">
        <is>
          <t>2001-02-01</t>
        </is>
      </c>
      <c r="C394" s="6" t="inlineStr">
        <is>
          <t>2001-02-28</t>
        </is>
      </c>
      <c r="D394" s="6" t="inlineStr">
        <is>
          <t>month</t>
        </is>
      </c>
      <c r="E394" s="6" t="inlineStr">
        <is>
          <t>ENERGY_TO_ARGENTINA</t>
        </is>
      </c>
      <c r="F394" s="6" t="inlineStr">
        <is>
          <t>YACYRETA</t>
        </is>
      </c>
      <c r="G394" s="6" t="inlineStr">
        <is>
          <t>YACYRETA</t>
        </is>
      </c>
      <c r="H394" s="6" t="inlineStr">
        <is>
          <t>SADI</t>
        </is>
      </c>
      <c r="I394" s="8" t="n">
        <v>1129266</v>
      </c>
      <c r="J394" s="6" t="inlineStr">
        <is>
          <t>MWh</t>
        </is>
      </c>
      <c r="K394" s="8" t="n">
        <v>1129266</v>
      </c>
      <c r="L394" s="6" t="inlineStr">
        <is>
          <t>MWh</t>
        </is>
      </c>
      <c r="M394" s="6" t="inlineStr">
        <is>
          <t>EBY</t>
        </is>
      </c>
      <c r="N394" s="6" t="inlineStr">
        <is>
          <t>OFFICIAL_PRIMARY</t>
        </is>
      </c>
      <c r="O394" s="9" t="inlineStr">
        <is>
          <t>OFFICIAL_AGGREGATE</t>
        </is>
      </c>
      <c r="P394" s="8" t="n">
        <v>1</v>
      </c>
      <c r="Q394" s="8" t="n">
        <v>50</v>
      </c>
      <c r="R394" s="7" t="inlineStr">
        <is>
          <t>https://www.eby.gov.py/wp-content/uploads/2019/12/YacyretaEnergiasMensualesDesdePuestaenMarcha.pdf</t>
        </is>
      </c>
      <c r="S394" s="6" t="inlineStr">
        <is>
          <t>EBY-MONTHLY-1994-2012</t>
        </is>
      </c>
      <c r="T394" s="6" t="inlineStr"/>
      <c r="U394" s="4" t="inlineStr">
        <is>
          <t>2026-09-10 23:00:00</t>
        </is>
      </c>
      <c r="V394" s="4" t="inlineStr">
        <is>
          <t>Energia mensual entregada al SADI.</t>
        </is>
      </c>
    </row>
    <row r="395">
      <c r="A395" s="6" t="inlineStr">
        <is>
          <t>R0000394</t>
        </is>
      </c>
      <c r="B395" s="6" t="inlineStr">
        <is>
          <t>2001-02-01</t>
        </is>
      </c>
      <c r="C395" s="6" t="inlineStr">
        <is>
          <t>2001-02-28</t>
        </is>
      </c>
      <c r="D395" s="6" t="inlineStr">
        <is>
          <t>month</t>
        </is>
      </c>
      <c r="E395" s="6" t="inlineStr">
        <is>
          <t>ENERGY_TO_PY</t>
        </is>
      </c>
      <c r="F395" s="6" t="inlineStr">
        <is>
          <t>YACYRETA</t>
        </is>
      </c>
      <c r="G395" s="6" t="inlineStr">
        <is>
          <t>YACYRETA</t>
        </is>
      </c>
      <c r="H395" s="6" t="inlineStr">
        <is>
          <t>SINP</t>
        </is>
      </c>
      <c r="I395" s="8" t="n">
        <v>1719</v>
      </c>
      <c r="J395" s="6" t="inlineStr">
        <is>
          <t>MWh</t>
        </is>
      </c>
      <c r="K395" s="8" t="n">
        <v>1719</v>
      </c>
      <c r="L395" s="6" t="inlineStr">
        <is>
          <t>MWh</t>
        </is>
      </c>
      <c r="M395" s="6" t="inlineStr">
        <is>
          <t>EBY</t>
        </is>
      </c>
      <c r="N395" s="6" t="inlineStr">
        <is>
          <t>OFFICIAL_PRIMARY</t>
        </is>
      </c>
      <c r="O395" s="9" t="inlineStr">
        <is>
          <t>OFFICIAL_AGGREGATE</t>
        </is>
      </c>
      <c r="P395" s="8" t="n">
        <v>1</v>
      </c>
      <c r="Q395" s="8" t="n">
        <v>50</v>
      </c>
      <c r="R395" s="7" t="inlineStr">
        <is>
          <t>https://www.eby.gov.py/wp-content/uploads/2019/12/YacyretaEnergiasMensualesDesdePuestaenMarcha.pdf</t>
        </is>
      </c>
      <c r="S395" s="6" t="inlineStr">
        <is>
          <t>EBY-MONTHLY-1994-2012</t>
        </is>
      </c>
      <c r="T395" s="6" t="inlineStr"/>
      <c r="U395" s="4" t="inlineStr">
        <is>
          <t>2026-09-10 23:00:00</t>
        </is>
      </c>
      <c r="V395" s="4" t="inlineStr">
        <is>
          <t>Energia mensual entregada al SINP.</t>
        </is>
      </c>
    </row>
    <row r="396">
      <c r="A396" s="6" t="inlineStr">
        <is>
          <t>R0000395</t>
        </is>
      </c>
      <c r="B396" s="6" t="inlineStr">
        <is>
          <t>2001-03-01</t>
        </is>
      </c>
      <c r="C396" s="6" t="inlineStr">
        <is>
          <t>2001-03-31</t>
        </is>
      </c>
      <c r="D396" s="6" t="inlineStr">
        <is>
          <t>month</t>
        </is>
      </c>
      <c r="E396" s="6" t="inlineStr">
        <is>
          <t>YACYRETA_NET_ENERGY</t>
        </is>
      </c>
      <c r="F396" s="6" t="inlineStr">
        <is>
          <t>YACYRETA</t>
        </is>
      </c>
      <c r="G396" s="6" t="inlineStr">
        <is>
          <t>YACYRETA</t>
        </is>
      </c>
      <c r="H396" s="6" t="inlineStr">
        <is>
          <t>TOTAL</t>
        </is>
      </c>
      <c r="I396" s="8" t="n">
        <v>1126356</v>
      </c>
      <c r="J396" s="6" t="inlineStr">
        <is>
          <t>MWh</t>
        </is>
      </c>
      <c r="K396" s="8" t="n">
        <v>1126356</v>
      </c>
      <c r="L396" s="6" t="inlineStr">
        <is>
          <t>MWh</t>
        </is>
      </c>
      <c r="M396" s="6" t="inlineStr">
        <is>
          <t>EBY</t>
        </is>
      </c>
      <c r="N396" s="6" t="inlineStr">
        <is>
          <t>OFFICIAL_PRIMARY</t>
        </is>
      </c>
      <c r="O396" s="9" t="inlineStr">
        <is>
          <t>OFFICIAL_AGGREGATE</t>
        </is>
      </c>
      <c r="P396" s="8" t="n">
        <v>1</v>
      </c>
      <c r="Q396" s="8" t="n">
        <v>50</v>
      </c>
      <c r="R396" s="7" t="inlineStr">
        <is>
          <t>https://www.eby.gov.py/wp-content/uploads/2019/12/YacyretaEnergiasMensualesDesdePuestaenMarcha.pdf</t>
        </is>
      </c>
      <c r="S396" s="6" t="inlineStr">
        <is>
          <t>EBY-MONTHLY-1994-2012</t>
        </is>
      </c>
      <c r="T396" s="6" t="inlineStr"/>
      <c r="U396" s="4" t="inlineStr">
        <is>
          <t>2026-09-10 23:00:00</t>
        </is>
      </c>
      <c r="V396" s="4" t="inlineStr">
        <is>
          <t>Energia mensual Yacyreta desde puesta en marcha.</t>
        </is>
      </c>
    </row>
    <row r="397">
      <c r="A397" s="6" t="inlineStr">
        <is>
          <t>R0000396</t>
        </is>
      </c>
      <c r="B397" s="6" t="inlineStr">
        <is>
          <t>2001-03-01</t>
        </is>
      </c>
      <c r="C397" s="6" t="inlineStr">
        <is>
          <t>2001-03-31</t>
        </is>
      </c>
      <c r="D397" s="6" t="inlineStr">
        <is>
          <t>month</t>
        </is>
      </c>
      <c r="E397" s="6" t="inlineStr">
        <is>
          <t>ENERGY_TO_ARGENTINA</t>
        </is>
      </c>
      <c r="F397" s="6" t="inlineStr">
        <is>
          <t>YACYRETA</t>
        </is>
      </c>
      <c r="G397" s="6" t="inlineStr">
        <is>
          <t>YACYRETA</t>
        </is>
      </c>
      <c r="H397" s="6" t="inlineStr">
        <is>
          <t>SADI</t>
        </is>
      </c>
      <c r="I397" s="8" t="n">
        <v>1123998</v>
      </c>
      <c r="J397" s="6" t="inlineStr">
        <is>
          <t>MWh</t>
        </is>
      </c>
      <c r="K397" s="8" t="n">
        <v>1123998</v>
      </c>
      <c r="L397" s="6" t="inlineStr">
        <is>
          <t>MWh</t>
        </is>
      </c>
      <c r="M397" s="6" t="inlineStr">
        <is>
          <t>EBY</t>
        </is>
      </c>
      <c r="N397" s="6" t="inlineStr">
        <is>
          <t>OFFICIAL_PRIMARY</t>
        </is>
      </c>
      <c r="O397" s="9" t="inlineStr">
        <is>
          <t>OFFICIAL_AGGREGATE</t>
        </is>
      </c>
      <c r="P397" s="8" t="n">
        <v>1</v>
      </c>
      <c r="Q397" s="8" t="n">
        <v>50</v>
      </c>
      <c r="R397" s="7" t="inlineStr">
        <is>
          <t>https://www.eby.gov.py/wp-content/uploads/2019/12/YacyretaEnergiasMensualesDesdePuestaenMarcha.pdf</t>
        </is>
      </c>
      <c r="S397" s="6" t="inlineStr">
        <is>
          <t>EBY-MONTHLY-1994-2012</t>
        </is>
      </c>
      <c r="T397" s="6" t="inlineStr"/>
      <c r="U397" s="4" t="inlineStr">
        <is>
          <t>2026-09-10 23:00:00</t>
        </is>
      </c>
      <c r="V397" s="4" t="inlineStr">
        <is>
          <t>Energia mensual entregada al SADI.</t>
        </is>
      </c>
    </row>
    <row r="398">
      <c r="A398" s="6" t="inlineStr">
        <is>
          <t>R0000397</t>
        </is>
      </c>
      <c r="B398" s="6" t="inlineStr">
        <is>
          <t>2001-03-01</t>
        </is>
      </c>
      <c r="C398" s="6" t="inlineStr">
        <is>
          <t>2001-03-31</t>
        </is>
      </c>
      <c r="D398" s="6" t="inlineStr">
        <is>
          <t>month</t>
        </is>
      </c>
      <c r="E398" s="6" t="inlineStr">
        <is>
          <t>ENERGY_TO_PY</t>
        </is>
      </c>
      <c r="F398" s="6" t="inlineStr">
        <is>
          <t>YACYRETA</t>
        </is>
      </c>
      <c r="G398" s="6" t="inlineStr">
        <is>
          <t>YACYRETA</t>
        </is>
      </c>
      <c r="H398" s="6" t="inlineStr">
        <is>
          <t>SINP</t>
        </is>
      </c>
      <c r="I398" s="8" t="n">
        <v>2358</v>
      </c>
      <c r="J398" s="6" t="inlineStr">
        <is>
          <t>MWh</t>
        </is>
      </c>
      <c r="K398" s="8" t="n">
        <v>2358</v>
      </c>
      <c r="L398" s="6" t="inlineStr">
        <is>
          <t>MWh</t>
        </is>
      </c>
      <c r="M398" s="6" t="inlineStr">
        <is>
          <t>EBY</t>
        </is>
      </c>
      <c r="N398" s="6" t="inlineStr">
        <is>
          <t>OFFICIAL_PRIMARY</t>
        </is>
      </c>
      <c r="O398" s="9" t="inlineStr">
        <is>
          <t>OFFICIAL_AGGREGATE</t>
        </is>
      </c>
      <c r="P398" s="8" t="n">
        <v>1</v>
      </c>
      <c r="Q398" s="8" t="n">
        <v>50</v>
      </c>
      <c r="R398" s="7" t="inlineStr">
        <is>
          <t>https://www.eby.gov.py/wp-content/uploads/2019/12/YacyretaEnergiasMensualesDesdePuestaenMarcha.pdf</t>
        </is>
      </c>
      <c r="S398" s="6" t="inlineStr">
        <is>
          <t>EBY-MONTHLY-1994-2012</t>
        </is>
      </c>
      <c r="T398" s="6" t="inlineStr"/>
      <c r="U398" s="4" t="inlineStr">
        <is>
          <t>2026-09-10 23:00:00</t>
        </is>
      </c>
      <c r="V398" s="4" t="inlineStr">
        <is>
          <t>Energia mensual entregada al SINP.</t>
        </is>
      </c>
    </row>
    <row r="399">
      <c r="A399" s="6" t="inlineStr">
        <is>
          <t>R0000398</t>
        </is>
      </c>
      <c r="B399" s="6" t="inlineStr">
        <is>
          <t>2001-04-01</t>
        </is>
      </c>
      <c r="C399" s="6" t="inlineStr">
        <is>
          <t>2001-04-30</t>
        </is>
      </c>
      <c r="D399" s="6" t="inlineStr">
        <is>
          <t>month</t>
        </is>
      </c>
      <c r="E399" s="6" t="inlineStr">
        <is>
          <t>YACYRETA_NET_ENERGY</t>
        </is>
      </c>
      <c r="F399" s="6" t="inlineStr">
        <is>
          <t>YACYRETA</t>
        </is>
      </c>
      <c r="G399" s="6" t="inlineStr">
        <is>
          <t>YACYRETA</t>
        </is>
      </c>
      <c r="H399" s="6" t="inlineStr">
        <is>
          <t>TOTAL</t>
        </is>
      </c>
      <c r="I399" s="8" t="n">
        <v>1050735</v>
      </c>
      <c r="J399" s="6" t="inlineStr">
        <is>
          <t>MWh</t>
        </is>
      </c>
      <c r="K399" s="8" t="n">
        <v>1050735</v>
      </c>
      <c r="L399" s="6" t="inlineStr">
        <is>
          <t>MWh</t>
        </is>
      </c>
      <c r="M399" s="6" t="inlineStr">
        <is>
          <t>EBY</t>
        </is>
      </c>
      <c r="N399" s="6" t="inlineStr">
        <is>
          <t>OFFICIAL_PRIMARY</t>
        </is>
      </c>
      <c r="O399" s="9" t="inlineStr">
        <is>
          <t>OFFICIAL_AGGREGATE</t>
        </is>
      </c>
      <c r="P399" s="8" t="n">
        <v>1</v>
      </c>
      <c r="Q399" s="8" t="n">
        <v>50</v>
      </c>
      <c r="R399" s="7" t="inlineStr">
        <is>
          <t>https://www.eby.gov.py/wp-content/uploads/2019/12/YacyretaEnergiasMensualesDesdePuestaenMarcha.pdf</t>
        </is>
      </c>
      <c r="S399" s="6" t="inlineStr">
        <is>
          <t>EBY-MONTHLY-1994-2012</t>
        </is>
      </c>
      <c r="T399" s="6" t="inlineStr"/>
      <c r="U399" s="4" t="inlineStr">
        <is>
          <t>2026-09-10 23:00:00</t>
        </is>
      </c>
      <c r="V399" s="4" t="inlineStr">
        <is>
          <t>Energia mensual Yacyreta desde puesta en marcha.</t>
        </is>
      </c>
    </row>
    <row r="400">
      <c r="A400" s="6" t="inlineStr">
        <is>
          <t>R0000399</t>
        </is>
      </c>
      <c r="B400" s="6" t="inlineStr">
        <is>
          <t>2001-04-01</t>
        </is>
      </c>
      <c r="C400" s="6" t="inlineStr">
        <is>
          <t>2001-04-30</t>
        </is>
      </c>
      <c r="D400" s="6" t="inlineStr">
        <is>
          <t>month</t>
        </is>
      </c>
      <c r="E400" s="6" t="inlineStr">
        <is>
          <t>ENERGY_TO_ARGENTINA</t>
        </is>
      </c>
      <c r="F400" s="6" t="inlineStr">
        <is>
          <t>YACYRETA</t>
        </is>
      </c>
      <c r="G400" s="6" t="inlineStr">
        <is>
          <t>YACYRETA</t>
        </is>
      </c>
      <c r="H400" s="6" t="inlineStr">
        <is>
          <t>SADI</t>
        </is>
      </c>
      <c r="I400" s="8" t="n">
        <v>1049006</v>
      </c>
      <c r="J400" s="6" t="inlineStr">
        <is>
          <t>MWh</t>
        </is>
      </c>
      <c r="K400" s="8" t="n">
        <v>1049006</v>
      </c>
      <c r="L400" s="6" t="inlineStr">
        <is>
          <t>MWh</t>
        </is>
      </c>
      <c r="M400" s="6" t="inlineStr">
        <is>
          <t>EBY</t>
        </is>
      </c>
      <c r="N400" s="6" t="inlineStr">
        <is>
          <t>OFFICIAL_PRIMARY</t>
        </is>
      </c>
      <c r="O400" s="9" t="inlineStr">
        <is>
          <t>OFFICIAL_AGGREGATE</t>
        </is>
      </c>
      <c r="P400" s="8" t="n">
        <v>1</v>
      </c>
      <c r="Q400" s="8" t="n">
        <v>50</v>
      </c>
      <c r="R400" s="7" t="inlineStr">
        <is>
          <t>https://www.eby.gov.py/wp-content/uploads/2019/12/YacyretaEnergiasMensualesDesdePuestaenMarcha.pdf</t>
        </is>
      </c>
      <c r="S400" s="6" t="inlineStr">
        <is>
          <t>EBY-MONTHLY-1994-2012</t>
        </is>
      </c>
      <c r="T400" s="6" t="inlineStr"/>
      <c r="U400" s="4" t="inlineStr">
        <is>
          <t>2026-09-10 23:00:00</t>
        </is>
      </c>
      <c r="V400" s="4" t="inlineStr">
        <is>
          <t>Energia mensual entregada al SADI.</t>
        </is>
      </c>
    </row>
    <row r="401">
      <c r="A401" s="6" t="inlineStr">
        <is>
          <t>R0000400</t>
        </is>
      </c>
      <c r="B401" s="6" t="inlineStr">
        <is>
          <t>2001-04-01</t>
        </is>
      </c>
      <c r="C401" s="6" t="inlineStr">
        <is>
          <t>2001-04-30</t>
        </is>
      </c>
      <c r="D401" s="6" t="inlineStr">
        <is>
          <t>month</t>
        </is>
      </c>
      <c r="E401" s="6" t="inlineStr">
        <is>
          <t>ENERGY_TO_PY</t>
        </is>
      </c>
      <c r="F401" s="6" t="inlineStr">
        <is>
          <t>YACYRETA</t>
        </is>
      </c>
      <c r="G401" s="6" t="inlineStr">
        <is>
          <t>YACYRETA</t>
        </is>
      </c>
      <c r="H401" s="6" t="inlineStr">
        <is>
          <t>SINP</t>
        </is>
      </c>
      <c r="I401" s="8" t="n">
        <v>1729</v>
      </c>
      <c r="J401" s="6" t="inlineStr">
        <is>
          <t>MWh</t>
        </is>
      </c>
      <c r="K401" s="8" t="n">
        <v>1729</v>
      </c>
      <c r="L401" s="6" t="inlineStr">
        <is>
          <t>MWh</t>
        </is>
      </c>
      <c r="M401" s="6" t="inlineStr">
        <is>
          <t>EBY</t>
        </is>
      </c>
      <c r="N401" s="6" t="inlineStr">
        <is>
          <t>OFFICIAL_PRIMARY</t>
        </is>
      </c>
      <c r="O401" s="9" t="inlineStr">
        <is>
          <t>OFFICIAL_AGGREGATE</t>
        </is>
      </c>
      <c r="P401" s="8" t="n">
        <v>1</v>
      </c>
      <c r="Q401" s="8" t="n">
        <v>50</v>
      </c>
      <c r="R401" s="7" t="inlineStr">
        <is>
          <t>https://www.eby.gov.py/wp-content/uploads/2019/12/YacyretaEnergiasMensualesDesdePuestaenMarcha.pdf</t>
        </is>
      </c>
      <c r="S401" s="6" t="inlineStr">
        <is>
          <t>EBY-MONTHLY-1994-2012</t>
        </is>
      </c>
      <c r="T401" s="6" t="inlineStr"/>
      <c r="U401" s="4" t="inlineStr">
        <is>
          <t>2026-09-10 23:00:00</t>
        </is>
      </c>
      <c r="V401" s="4" t="inlineStr">
        <is>
          <t>Energia mensual entregada al SINP.</t>
        </is>
      </c>
    </row>
    <row r="402">
      <c r="A402" s="6" t="inlineStr">
        <is>
          <t>R0000401</t>
        </is>
      </c>
      <c r="B402" s="6" t="inlineStr">
        <is>
          <t>2001-05-01</t>
        </is>
      </c>
      <c r="C402" s="6" t="inlineStr">
        <is>
          <t>2001-05-31</t>
        </is>
      </c>
      <c r="D402" s="6" t="inlineStr">
        <is>
          <t>month</t>
        </is>
      </c>
      <c r="E402" s="6" t="inlineStr">
        <is>
          <t>YACYRETA_NET_ENERGY</t>
        </is>
      </c>
      <c r="F402" s="6" t="inlineStr">
        <is>
          <t>YACYRETA</t>
        </is>
      </c>
      <c r="G402" s="6" t="inlineStr">
        <is>
          <t>YACYRETA</t>
        </is>
      </c>
      <c r="H402" s="6" t="inlineStr">
        <is>
          <t>TOTAL</t>
        </is>
      </c>
      <c r="I402" s="8" t="n">
        <v>979352</v>
      </c>
      <c r="J402" s="6" t="inlineStr">
        <is>
          <t>MWh</t>
        </is>
      </c>
      <c r="K402" s="8" t="n">
        <v>979352</v>
      </c>
      <c r="L402" s="6" t="inlineStr">
        <is>
          <t>MWh</t>
        </is>
      </c>
      <c r="M402" s="6" t="inlineStr">
        <is>
          <t>EBY</t>
        </is>
      </c>
      <c r="N402" s="6" t="inlineStr">
        <is>
          <t>OFFICIAL_PRIMARY</t>
        </is>
      </c>
      <c r="O402" s="9" t="inlineStr">
        <is>
          <t>OFFICIAL_AGGREGATE</t>
        </is>
      </c>
      <c r="P402" s="8" t="n">
        <v>1</v>
      </c>
      <c r="Q402" s="8" t="n">
        <v>50</v>
      </c>
      <c r="R402" s="7" t="inlineStr">
        <is>
          <t>https://www.eby.gov.py/wp-content/uploads/2019/12/YacyretaEnergiasMensualesDesdePuestaenMarcha.pdf</t>
        </is>
      </c>
      <c r="S402" s="6" t="inlineStr">
        <is>
          <t>EBY-MONTHLY-1994-2012</t>
        </is>
      </c>
      <c r="T402" s="6" t="inlineStr"/>
      <c r="U402" s="4" t="inlineStr">
        <is>
          <t>2026-09-10 23:00:00</t>
        </is>
      </c>
      <c r="V402" s="4" t="inlineStr">
        <is>
          <t>Energia mensual Yacyreta desde puesta en marcha.</t>
        </is>
      </c>
    </row>
    <row r="403">
      <c r="A403" s="6" t="inlineStr">
        <is>
          <t>R0000402</t>
        </is>
      </c>
      <c r="B403" s="6" t="inlineStr">
        <is>
          <t>2001-05-01</t>
        </is>
      </c>
      <c r="C403" s="6" t="inlineStr">
        <is>
          <t>2001-05-31</t>
        </is>
      </c>
      <c r="D403" s="6" t="inlineStr">
        <is>
          <t>month</t>
        </is>
      </c>
      <c r="E403" s="6" t="inlineStr">
        <is>
          <t>ENERGY_TO_ARGENTINA</t>
        </is>
      </c>
      <c r="F403" s="6" t="inlineStr">
        <is>
          <t>YACYRETA</t>
        </is>
      </c>
      <c r="G403" s="6" t="inlineStr">
        <is>
          <t>YACYRETA</t>
        </is>
      </c>
      <c r="H403" s="6" t="inlineStr">
        <is>
          <t>SADI</t>
        </is>
      </c>
      <c r="I403" s="8" t="n">
        <v>977673</v>
      </c>
      <c r="J403" s="6" t="inlineStr">
        <is>
          <t>MWh</t>
        </is>
      </c>
      <c r="K403" s="8" t="n">
        <v>977673</v>
      </c>
      <c r="L403" s="6" t="inlineStr">
        <is>
          <t>MWh</t>
        </is>
      </c>
      <c r="M403" s="6" t="inlineStr">
        <is>
          <t>EBY</t>
        </is>
      </c>
      <c r="N403" s="6" t="inlineStr">
        <is>
          <t>OFFICIAL_PRIMARY</t>
        </is>
      </c>
      <c r="O403" s="9" t="inlineStr">
        <is>
          <t>OFFICIAL_AGGREGATE</t>
        </is>
      </c>
      <c r="P403" s="8" t="n">
        <v>1</v>
      </c>
      <c r="Q403" s="8" t="n">
        <v>50</v>
      </c>
      <c r="R403" s="7" t="inlineStr">
        <is>
          <t>https://www.eby.gov.py/wp-content/uploads/2019/12/YacyretaEnergiasMensualesDesdePuestaenMarcha.pdf</t>
        </is>
      </c>
      <c r="S403" s="6" t="inlineStr">
        <is>
          <t>EBY-MONTHLY-1994-2012</t>
        </is>
      </c>
      <c r="T403" s="6" t="inlineStr"/>
      <c r="U403" s="4" t="inlineStr">
        <is>
          <t>2026-09-10 23:00:00</t>
        </is>
      </c>
      <c r="V403" s="4" t="inlineStr">
        <is>
          <t>Energia mensual entregada al SADI.</t>
        </is>
      </c>
    </row>
    <row r="404">
      <c r="A404" s="6" t="inlineStr">
        <is>
          <t>R0000403</t>
        </is>
      </c>
      <c r="B404" s="6" t="inlineStr">
        <is>
          <t>2001-05-01</t>
        </is>
      </c>
      <c r="C404" s="6" t="inlineStr">
        <is>
          <t>2001-05-31</t>
        </is>
      </c>
      <c r="D404" s="6" t="inlineStr">
        <is>
          <t>month</t>
        </is>
      </c>
      <c r="E404" s="6" t="inlineStr">
        <is>
          <t>ENERGY_TO_PY</t>
        </is>
      </c>
      <c r="F404" s="6" t="inlineStr">
        <is>
          <t>YACYRETA</t>
        </is>
      </c>
      <c r="G404" s="6" t="inlineStr">
        <is>
          <t>YACYRETA</t>
        </is>
      </c>
      <c r="H404" s="6" t="inlineStr">
        <is>
          <t>SINP</t>
        </is>
      </c>
      <c r="I404" s="8" t="n">
        <v>1679</v>
      </c>
      <c r="J404" s="6" t="inlineStr">
        <is>
          <t>MWh</t>
        </is>
      </c>
      <c r="K404" s="8" t="n">
        <v>1679</v>
      </c>
      <c r="L404" s="6" t="inlineStr">
        <is>
          <t>MWh</t>
        </is>
      </c>
      <c r="M404" s="6" t="inlineStr">
        <is>
          <t>EBY</t>
        </is>
      </c>
      <c r="N404" s="6" t="inlineStr">
        <is>
          <t>OFFICIAL_PRIMARY</t>
        </is>
      </c>
      <c r="O404" s="9" t="inlineStr">
        <is>
          <t>OFFICIAL_AGGREGATE</t>
        </is>
      </c>
      <c r="P404" s="8" t="n">
        <v>1</v>
      </c>
      <c r="Q404" s="8" t="n">
        <v>50</v>
      </c>
      <c r="R404" s="7" t="inlineStr">
        <is>
          <t>https://www.eby.gov.py/wp-content/uploads/2019/12/YacyretaEnergiasMensualesDesdePuestaenMarcha.pdf</t>
        </is>
      </c>
      <c r="S404" s="6" t="inlineStr">
        <is>
          <t>EBY-MONTHLY-1994-2012</t>
        </is>
      </c>
      <c r="T404" s="6" t="inlineStr"/>
      <c r="U404" s="4" t="inlineStr">
        <is>
          <t>2026-09-10 23:00:00</t>
        </is>
      </c>
      <c r="V404" s="4" t="inlineStr">
        <is>
          <t>Energia mensual entregada al SINP.</t>
        </is>
      </c>
    </row>
    <row r="405">
      <c r="A405" s="6" t="inlineStr">
        <is>
          <t>R0000404</t>
        </is>
      </c>
      <c r="B405" s="6" t="inlineStr">
        <is>
          <t>2001-06-01</t>
        </is>
      </c>
      <c r="C405" s="6" t="inlineStr">
        <is>
          <t>2001-06-30</t>
        </is>
      </c>
      <c r="D405" s="6" t="inlineStr">
        <is>
          <t>month</t>
        </is>
      </c>
      <c r="E405" s="6" t="inlineStr">
        <is>
          <t>YACYRETA_NET_ENERGY</t>
        </is>
      </c>
      <c r="F405" s="6" t="inlineStr">
        <is>
          <t>YACYRETA</t>
        </is>
      </c>
      <c r="G405" s="6" t="inlineStr">
        <is>
          <t>YACYRETA</t>
        </is>
      </c>
      <c r="H405" s="6" t="inlineStr">
        <is>
          <t>TOTAL</t>
        </is>
      </c>
      <c r="I405" s="8" t="n">
        <v>858912</v>
      </c>
      <c r="J405" s="6" t="inlineStr">
        <is>
          <t>MWh</t>
        </is>
      </c>
      <c r="K405" s="8" t="n">
        <v>858912</v>
      </c>
      <c r="L405" s="6" t="inlineStr">
        <is>
          <t>MWh</t>
        </is>
      </c>
      <c r="M405" s="6" t="inlineStr">
        <is>
          <t>EBY</t>
        </is>
      </c>
      <c r="N405" s="6" t="inlineStr">
        <is>
          <t>OFFICIAL_PRIMARY</t>
        </is>
      </c>
      <c r="O405" s="9" t="inlineStr">
        <is>
          <t>OFFICIAL_AGGREGATE</t>
        </is>
      </c>
      <c r="P405" s="8" t="n">
        <v>1</v>
      </c>
      <c r="Q405" s="8" t="n">
        <v>50</v>
      </c>
      <c r="R405" s="7" t="inlineStr">
        <is>
          <t>https://www.eby.gov.py/wp-content/uploads/2019/12/YacyretaEnergiasMensualesDesdePuestaenMarcha.pdf</t>
        </is>
      </c>
      <c r="S405" s="6" t="inlineStr">
        <is>
          <t>EBY-MONTHLY-1994-2012</t>
        </is>
      </c>
      <c r="T405" s="6" t="inlineStr"/>
      <c r="U405" s="4" t="inlineStr">
        <is>
          <t>2026-09-10 23:00:00</t>
        </is>
      </c>
      <c r="V405" s="4" t="inlineStr">
        <is>
          <t>Energia mensual Yacyreta desde puesta en marcha.</t>
        </is>
      </c>
    </row>
    <row r="406">
      <c r="A406" s="6" t="inlineStr">
        <is>
          <t>R0000405</t>
        </is>
      </c>
      <c r="B406" s="6" t="inlineStr">
        <is>
          <t>2001-06-01</t>
        </is>
      </c>
      <c r="C406" s="6" t="inlineStr">
        <is>
          <t>2001-06-30</t>
        </is>
      </c>
      <c r="D406" s="6" t="inlineStr">
        <is>
          <t>month</t>
        </is>
      </c>
      <c r="E406" s="6" t="inlineStr">
        <is>
          <t>ENERGY_TO_ARGENTINA</t>
        </is>
      </c>
      <c r="F406" s="6" t="inlineStr">
        <is>
          <t>YACYRETA</t>
        </is>
      </c>
      <c r="G406" s="6" t="inlineStr">
        <is>
          <t>YACYRETA</t>
        </is>
      </c>
      <c r="H406" s="6" t="inlineStr">
        <is>
          <t>SADI</t>
        </is>
      </c>
      <c r="I406" s="8" t="n">
        <v>855728</v>
      </c>
      <c r="J406" s="6" t="inlineStr">
        <is>
          <t>MWh</t>
        </is>
      </c>
      <c r="K406" s="8" t="n">
        <v>855728</v>
      </c>
      <c r="L406" s="6" t="inlineStr">
        <is>
          <t>MWh</t>
        </is>
      </c>
      <c r="M406" s="6" t="inlineStr">
        <is>
          <t>EBY</t>
        </is>
      </c>
      <c r="N406" s="6" t="inlineStr">
        <is>
          <t>OFFICIAL_PRIMARY</t>
        </is>
      </c>
      <c r="O406" s="9" t="inlineStr">
        <is>
          <t>OFFICIAL_AGGREGATE</t>
        </is>
      </c>
      <c r="P406" s="8" t="n">
        <v>1</v>
      </c>
      <c r="Q406" s="8" t="n">
        <v>50</v>
      </c>
      <c r="R406" s="7" t="inlineStr">
        <is>
          <t>https://www.eby.gov.py/wp-content/uploads/2019/12/YacyretaEnergiasMensualesDesdePuestaenMarcha.pdf</t>
        </is>
      </c>
      <c r="S406" s="6" t="inlineStr">
        <is>
          <t>EBY-MONTHLY-1994-2012</t>
        </is>
      </c>
      <c r="T406" s="6" t="inlineStr"/>
      <c r="U406" s="4" t="inlineStr">
        <is>
          <t>2026-09-10 23:00:00</t>
        </is>
      </c>
      <c r="V406" s="4" t="inlineStr">
        <is>
          <t>Energia mensual entregada al SADI.</t>
        </is>
      </c>
    </row>
    <row r="407">
      <c r="A407" s="6" t="inlineStr">
        <is>
          <t>R0000406</t>
        </is>
      </c>
      <c r="B407" s="6" t="inlineStr">
        <is>
          <t>2001-06-01</t>
        </is>
      </c>
      <c r="C407" s="6" t="inlineStr">
        <is>
          <t>2001-06-30</t>
        </is>
      </c>
      <c r="D407" s="6" t="inlineStr">
        <is>
          <t>month</t>
        </is>
      </c>
      <c r="E407" s="6" t="inlineStr">
        <is>
          <t>ENERGY_TO_PY</t>
        </is>
      </c>
      <c r="F407" s="6" t="inlineStr">
        <is>
          <t>YACYRETA</t>
        </is>
      </c>
      <c r="G407" s="6" t="inlineStr">
        <is>
          <t>YACYRETA</t>
        </is>
      </c>
      <c r="H407" s="6" t="inlineStr">
        <is>
          <t>SINP</t>
        </is>
      </c>
      <c r="I407" s="8" t="n">
        <v>3184</v>
      </c>
      <c r="J407" s="6" t="inlineStr">
        <is>
          <t>MWh</t>
        </is>
      </c>
      <c r="K407" s="8" t="n">
        <v>3184</v>
      </c>
      <c r="L407" s="6" t="inlineStr">
        <is>
          <t>MWh</t>
        </is>
      </c>
      <c r="M407" s="6" t="inlineStr">
        <is>
          <t>EBY</t>
        </is>
      </c>
      <c r="N407" s="6" t="inlineStr">
        <is>
          <t>OFFICIAL_PRIMARY</t>
        </is>
      </c>
      <c r="O407" s="9" t="inlineStr">
        <is>
          <t>OFFICIAL_AGGREGATE</t>
        </is>
      </c>
      <c r="P407" s="8" t="n">
        <v>1</v>
      </c>
      <c r="Q407" s="8" t="n">
        <v>50</v>
      </c>
      <c r="R407" s="7" t="inlineStr">
        <is>
          <t>https://www.eby.gov.py/wp-content/uploads/2019/12/YacyretaEnergiasMensualesDesdePuestaenMarcha.pdf</t>
        </is>
      </c>
      <c r="S407" s="6" t="inlineStr">
        <is>
          <t>EBY-MONTHLY-1994-2012</t>
        </is>
      </c>
      <c r="T407" s="6" t="inlineStr"/>
      <c r="U407" s="4" t="inlineStr">
        <is>
          <t>2026-09-10 23:00:00</t>
        </is>
      </c>
      <c r="V407" s="4" t="inlineStr">
        <is>
          <t>Energia mensual entregada al SINP.</t>
        </is>
      </c>
    </row>
    <row r="408">
      <c r="A408" s="6" t="inlineStr">
        <is>
          <t>R0000407</t>
        </is>
      </c>
      <c r="B408" s="6" t="inlineStr">
        <is>
          <t>2001-07-01</t>
        </is>
      </c>
      <c r="C408" s="6" t="inlineStr">
        <is>
          <t>2001-07-31</t>
        </is>
      </c>
      <c r="D408" s="6" t="inlineStr">
        <is>
          <t>month</t>
        </is>
      </c>
      <c r="E408" s="6" t="inlineStr">
        <is>
          <t>YACYRETA_NET_ENERGY</t>
        </is>
      </c>
      <c r="F408" s="6" t="inlineStr">
        <is>
          <t>YACYRETA</t>
        </is>
      </c>
      <c r="G408" s="6" t="inlineStr">
        <is>
          <t>YACYRETA</t>
        </is>
      </c>
      <c r="H408" s="6" t="inlineStr">
        <is>
          <t>TOTAL</t>
        </is>
      </c>
      <c r="I408" s="8" t="n">
        <v>873994</v>
      </c>
      <c r="J408" s="6" t="inlineStr">
        <is>
          <t>MWh</t>
        </is>
      </c>
      <c r="K408" s="8" t="n">
        <v>873994</v>
      </c>
      <c r="L408" s="6" t="inlineStr">
        <is>
          <t>MWh</t>
        </is>
      </c>
      <c r="M408" s="6" t="inlineStr">
        <is>
          <t>EBY</t>
        </is>
      </c>
      <c r="N408" s="6" t="inlineStr">
        <is>
          <t>OFFICIAL_PRIMARY</t>
        </is>
      </c>
      <c r="O408" s="9" t="inlineStr">
        <is>
          <t>OFFICIAL_AGGREGATE</t>
        </is>
      </c>
      <c r="P408" s="8" t="n">
        <v>1</v>
      </c>
      <c r="Q408" s="8" t="n">
        <v>50</v>
      </c>
      <c r="R408" s="7" t="inlineStr">
        <is>
          <t>https://www.eby.gov.py/wp-content/uploads/2019/12/YacyretaEnergiasMensualesDesdePuestaenMarcha.pdf</t>
        </is>
      </c>
      <c r="S408" s="6" t="inlineStr">
        <is>
          <t>EBY-MONTHLY-1994-2012</t>
        </is>
      </c>
      <c r="T408" s="6" t="inlineStr"/>
      <c r="U408" s="4" t="inlineStr">
        <is>
          <t>2026-09-10 23:00:00</t>
        </is>
      </c>
      <c r="V408" s="4" t="inlineStr">
        <is>
          <t>Energia mensual Yacyreta desde puesta en marcha.</t>
        </is>
      </c>
    </row>
    <row r="409">
      <c r="A409" s="6" t="inlineStr">
        <is>
          <t>R0000408</t>
        </is>
      </c>
      <c r="B409" s="6" t="inlineStr">
        <is>
          <t>2001-07-01</t>
        </is>
      </c>
      <c r="C409" s="6" t="inlineStr">
        <is>
          <t>2001-07-31</t>
        </is>
      </c>
      <c r="D409" s="6" t="inlineStr">
        <is>
          <t>month</t>
        </is>
      </c>
      <c r="E409" s="6" t="inlineStr">
        <is>
          <t>ENERGY_TO_ARGENTINA</t>
        </is>
      </c>
      <c r="F409" s="6" t="inlineStr">
        <is>
          <t>YACYRETA</t>
        </is>
      </c>
      <c r="G409" s="6" t="inlineStr">
        <is>
          <t>YACYRETA</t>
        </is>
      </c>
      <c r="H409" s="6" t="inlineStr">
        <is>
          <t>SADI</t>
        </is>
      </c>
      <c r="I409" s="8" t="n">
        <v>872830</v>
      </c>
      <c r="J409" s="6" t="inlineStr">
        <is>
          <t>MWh</t>
        </is>
      </c>
      <c r="K409" s="8" t="n">
        <v>872830</v>
      </c>
      <c r="L409" s="6" t="inlineStr">
        <is>
          <t>MWh</t>
        </is>
      </c>
      <c r="M409" s="6" t="inlineStr">
        <is>
          <t>EBY</t>
        </is>
      </c>
      <c r="N409" s="6" t="inlineStr">
        <is>
          <t>OFFICIAL_PRIMARY</t>
        </is>
      </c>
      <c r="O409" s="9" t="inlineStr">
        <is>
          <t>OFFICIAL_AGGREGATE</t>
        </is>
      </c>
      <c r="P409" s="8" t="n">
        <v>1</v>
      </c>
      <c r="Q409" s="8" t="n">
        <v>50</v>
      </c>
      <c r="R409" s="7" t="inlineStr">
        <is>
          <t>https://www.eby.gov.py/wp-content/uploads/2019/12/YacyretaEnergiasMensualesDesdePuestaenMarcha.pdf</t>
        </is>
      </c>
      <c r="S409" s="6" t="inlineStr">
        <is>
          <t>EBY-MONTHLY-1994-2012</t>
        </is>
      </c>
      <c r="T409" s="6" t="inlineStr"/>
      <c r="U409" s="4" t="inlineStr">
        <is>
          <t>2026-09-10 23:00:00</t>
        </is>
      </c>
      <c r="V409" s="4" t="inlineStr">
        <is>
          <t>Energia mensual entregada al SADI.</t>
        </is>
      </c>
    </row>
    <row r="410">
      <c r="A410" s="6" t="inlineStr">
        <is>
          <t>R0000409</t>
        </is>
      </c>
      <c r="B410" s="6" t="inlineStr">
        <is>
          <t>2001-07-01</t>
        </is>
      </c>
      <c r="C410" s="6" t="inlineStr">
        <is>
          <t>2001-07-31</t>
        </is>
      </c>
      <c r="D410" s="6" t="inlineStr">
        <is>
          <t>month</t>
        </is>
      </c>
      <c r="E410" s="6" t="inlineStr">
        <is>
          <t>ENERGY_TO_PY</t>
        </is>
      </c>
      <c r="F410" s="6" t="inlineStr">
        <is>
          <t>YACYRETA</t>
        </is>
      </c>
      <c r="G410" s="6" t="inlineStr">
        <is>
          <t>YACYRETA</t>
        </is>
      </c>
      <c r="H410" s="6" t="inlineStr">
        <is>
          <t>SINP</t>
        </is>
      </c>
      <c r="I410" s="8" t="n">
        <v>1164</v>
      </c>
      <c r="J410" s="6" t="inlineStr">
        <is>
          <t>MWh</t>
        </is>
      </c>
      <c r="K410" s="8" t="n">
        <v>1164</v>
      </c>
      <c r="L410" s="6" t="inlineStr">
        <is>
          <t>MWh</t>
        </is>
      </c>
      <c r="M410" s="6" t="inlineStr">
        <is>
          <t>EBY</t>
        </is>
      </c>
      <c r="N410" s="6" t="inlineStr">
        <is>
          <t>OFFICIAL_PRIMARY</t>
        </is>
      </c>
      <c r="O410" s="9" t="inlineStr">
        <is>
          <t>OFFICIAL_AGGREGATE</t>
        </is>
      </c>
      <c r="P410" s="8" t="n">
        <v>1</v>
      </c>
      <c r="Q410" s="8" t="n">
        <v>50</v>
      </c>
      <c r="R410" s="7" t="inlineStr">
        <is>
          <t>https://www.eby.gov.py/wp-content/uploads/2019/12/YacyretaEnergiasMensualesDesdePuestaenMarcha.pdf</t>
        </is>
      </c>
      <c r="S410" s="6" t="inlineStr">
        <is>
          <t>EBY-MONTHLY-1994-2012</t>
        </is>
      </c>
      <c r="T410" s="6" t="inlineStr"/>
      <c r="U410" s="4" t="inlineStr">
        <is>
          <t>2026-09-10 23:00:00</t>
        </is>
      </c>
      <c r="V410" s="4" t="inlineStr">
        <is>
          <t>Energia mensual entregada al SINP.</t>
        </is>
      </c>
    </row>
    <row r="411">
      <c r="A411" s="6" t="inlineStr">
        <is>
          <t>R0000410</t>
        </is>
      </c>
      <c r="B411" s="6" t="inlineStr">
        <is>
          <t>2001-08-01</t>
        </is>
      </c>
      <c r="C411" s="6" t="inlineStr">
        <is>
          <t>2001-08-31</t>
        </is>
      </c>
      <c r="D411" s="6" t="inlineStr">
        <is>
          <t>month</t>
        </is>
      </c>
      <c r="E411" s="6" t="inlineStr">
        <is>
          <t>YACYRETA_NET_ENERGY</t>
        </is>
      </c>
      <c r="F411" s="6" t="inlineStr">
        <is>
          <t>YACYRETA</t>
        </is>
      </c>
      <c r="G411" s="6" t="inlineStr">
        <is>
          <t>YACYRETA</t>
        </is>
      </c>
      <c r="H411" s="6" t="inlineStr">
        <is>
          <t>TOTAL</t>
        </is>
      </c>
      <c r="I411" s="8" t="n">
        <v>781922</v>
      </c>
      <c r="J411" s="6" t="inlineStr">
        <is>
          <t>MWh</t>
        </is>
      </c>
      <c r="K411" s="8" t="n">
        <v>781922</v>
      </c>
      <c r="L411" s="6" t="inlineStr">
        <is>
          <t>MWh</t>
        </is>
      </c>
      <c r="M411" s="6" t="inlineStr">
        <is>
          <t>EBY</t>
        </is>
      </c>
      <c r="N411" s="6" t="inlineStr">
        <is>
          <t>OFFICIAL_PRIMARY</t>
        </is>
      </c>
      <c r="O411" s="9" t="inlineStr">
        <is>
          <t>OFFICIAL_AGGREGATE</t>
        </is>
      </c>
      <c r="P411" s="8" t="n">
        <v>1</v>
      </c>
      <c r="Q411" s="8" t="n">
        <v>50</v>
      </c>
      <c r="R411" s="7" t="inlineStr">
        <is>
          <t>https://www.eby.gov.py/wp-content/uploads/2019/12/YacyretaEnergiasMensualesDesdePuestaenMarcha.pdf</t>
        </is>
      </c>
      <c r="S411" s="6" t="inlineStr">
        <is>
          <t>EBY-MONTHLY-1994-2012</t>
        </is>
      </c>
      <c r="T411" s="6" t="inlineStr"/>
      <c r="U411" s="4" t="inlineStr">
        <is>
          <t>2026-09-10 23:00:00</t>
        </is>
      </c>
      <c r="V411" s="4" t="inlineStr">
        <is>
          <t>Energia mensual Yacyreta desde puesta en marcha.</t>
        </is>
      </c>
    </row>
    <row r="412">
      <c r="A412" s="6" t="inlineStr">
        <is>
          <t>R0000411</t>
        </is>
      </c>
      <c r="B412" s="6" t="inlineStr">
        <is>
          <t>2001-08-01</t>
        </is>
      </c>
      <c r="C412" s="6" t="inlineStr">
        <is>
          <t>2001-08-31</t>
        </is>
      </c>
      <c r="D412" s="6" t="inlineStr">
        <is>
          <t>month</t>
        </is>
      </c>
      <c r="E412" s="6" t="inlineStr">
        <is>
          <t>ENERGY_TO_ARGENTINA</t>
        </is>
      </c>
      <c r="F412" s="6" t="inlineStr">
        <is>
          <t>YACYRETA</t>
        </is>
      </c>
      <c r="G412" s="6" t="inlineStr">
        <is>
          <t>YACYRETA</t>
        </is>
      </c>
      <c r="H412" s="6" t="inlineStr">
        <is>
          <t>SADI</t>
        </is>
      </c>
      <c r="I412" s="8" t="n">
        <v>781196</v>
      </c>
      <c r="J412" s="6" t="inlineStr">
        <is>
          <t>MWh</t>
        </is>
      </c>
      <c r="K412" s="8" t="n">
        <v>781196</v>
      </c>
      <c r="L412" s="6" t="inlineStr">
        <is>
          <t>MWh</t>
        </is>
      </c>
      <c r="M412" s="6" t="inlineStr">
        <is>
          <t>EBY</t>
        </is>
      </c>
      <c r="N412" s="6" t="inlineStr">
        <is>
          <t>OFFICIAL_PRIMARY</t>
        </is>
      </c>
      <c r="O412" s="9" t="inlineStr">
        <is>
          <t>OFFICIAL_AGGREGATE</t>
        </is>
      </c>
      <c r="P412" s="8" t="n">
        <v>1</v>
      </c>
      <c r="Q412" s="8" t="n">
        <v>50</v>
      </c>
      <c r="R412" s="7" t="inlineStr">
        <is>
          <t>https://www.eby.gov.py/wp-content/uploads/2019/12/YacyretaEnergiasMensualesDesdePuestaenMarcha.pdf</t>
        </is>
      </c>
      <c r="S412" s="6" t="inlineStr">
        <is>
          <t>EBY-MONTHLY-1994-2012</t>
        </is>
      </c>
      <c r="T412" s="6" t="inlineStr"/>
      <c r="U412" s="4" t="inlineStr">
        <is>
          <t>2026-09-10 23:00:00</t>
        </is>
      </c>
      <c r="V412" s="4" t="inlineStr">
        <is>
          <t>Energia mensual entregada al SADI.</t>
        </is>
      </c>
    </row>
    <row r="413">
      <c r="A413" s="6" t="inlineStr">
        <is>
          <t>R0000412</t>
        </is>
      </c>
      <c r="B413" s="6" t="inlineStr">
        <is>
          <t>2001-08-01</t>
        </is>
      </c>
      <c r="C413" s="6" t="inlineStr">
        <is>
          <t>2001-08-31</t>
        </is>
      </c>
      <c r="D413" s="6" t="inlineStr">
        <is>
          <t>month</t>
        </is>
      </c>
      <c r="E413" s="6" t="inlineStr">
        <is>
          <t>ENERGY_TO_PY</t>
        </is>
      </c>
      <c r="F413" s="6" t="inlineStr">
        <is>
          <t>YACYRETA</t>
        </is>
      </c>
      <c r="G413" s="6" t="inlineStr">
        <is>
          <t>YACYRETA</t>
        </is>
      </c>
      <c r="H413" s="6" t="inlineStr">
        <is>
          <t>SINP</t>
        </is>
      </c>
      <c r="I413" s="8" t="n">
        <v>726</v>
      </c>
      <c r="J413" s="6" t="inlineStr">
        <is>
          <t>MWh</t>
        </is>
      </c>
      <c r="K413" s="8" t="n">
        <v>726</v>
      </c>
      <c r="L413" s="6" t="inlineStr">
        <is>
          <t>MWh</t>
        </is>
      </c>
      <c r="M413" s="6" t="inlineStr">
        <is>
          <t>EBY</t>
        </is>
      </c>
      <c r="N413" s="6" t="inlineStr">
        <is>
          <t>OFFICIAL_PRIMARY</t>
        </is>
      </c>
      <c r="O413" s="9" t="inlineStr">
        <is>
          <t>OFFICIAL_AGGREGATE</t>
        </is>
      </c>
      <c r="P413" s="8" t="n">
        <v>1</v>
      </c>
      <c r="Q413" s="8" t="n">
        <v>50</v>
      </c>
      <c r="R413" s="7" t="inlineStr">
        <is>
          <t>https://www.eby.gov.py/wp-content/uploads/2019/12/YacyretaEnergiasMensualesDesdePuestaenMarcha.pdf</t>
        </is>
      </c>
      <c r="S413" s="6" t="inlineStr">
        <is>
          <t>EBY-MONTHLY-1994-2012</t>
        </is>
      </c>
      <c r="T413" s="6" t="inlineStr"/>
      <c r="U413" s="4" t="inlineStr">
        <is>
          <t>2026-09-10 23:00:00</t>
        </is>
      </c>
      <c r="V413" s="4" t="inlineStr">
        <is>
          <t>Energia mensual entregada al SINP.</t>
        </is>
      </c>
    </row>
    <row r="414">
      <c r="A414" s="6" t="inlineStr">
        <is>
          <t>R0000413</t>
        </is>
      </c>
      <c r="B414" s="6" t="inlineStr">
        <is>
          <t>2001-09-01</t>
        </is>
      </c>
      <c r="C414" s="6" t="inlineStr">
        <is>
          <t>2001-09-30</t>
        </is>
      </c>
      <c r="D414" s="6" t="inlineStr">
        <is>
          <t>month</t>
        </is>
      </c>
      <c r="E414" s="6" t="inlineStr">
        <is>
          <t>YACYRETA_NET_ENERGY</t>
        </is>
      </c>
      <c r="F414" s="6" t="inlineStr">
        <is>
          <t>YACYRETA</t>
        </is>
      </c>
      <c r="G414" s="6" t="inlineStr">
        <is>
          <t>YACYRETA</t>
        </is>
      </c>
      <c r="H414" s="6" t="inlineStr">
        <is>
          <t>TOTAL</t>
        </is>
      </c>
      <c r="I414" s="8" t="n">
        <v>767967</v>
      </c>
      <c r="J414" s="6" t="inlineStr">
        <is>
          <t>MWh</t>
        </is>
      </c>
      <c r="K414" s="8" t="n">
        <v>767967</v>
      </c>
      <c r="L414" s="6" t="inlineStr">
        <is>
          <t>MWh</t>
        </is>
      </c>
      <c r="M414" s="6" t="inlineStr">
        <is>
          <t>EBY</t>
        </is>
      </c>
      <c r="N414" s="6" t="inlineStr">
        <is>
          <t>OFFICIAL_PRIMARY</t>
        </is>
      </c>
      <c r="O414" s="9" t="inlineStr">
        <is>
          <t>OFFICIAL_AGGREGATE</t>
        </is>
      </c>
      <c r="P414" s="8" t="n">
        <v>1</v>
      </c>
      <c r="Q414" s="8" t="n">
        <v>50</v>
      </c>
      <c r="R414" s="7" t="inlineStr">
        <is>
          <t>https://www.eby.gov.py/wp-content/uploads/2019/12/YacyretaEnergiasMensualesDesdePuestaenMarcha.pdf</t>
        </is>
      </c>
      <c r="S414" s="6" t="inlineStr">
        <is>
          <t>EBY-MONTHLY-1994-2012</t>
        </is>
      </c>
      <c r="T414" s="6" t="inlineStr"/>
      <c r="U414" s="4" t="inlineStr">
        <is>
          <t>2026-09-10 23:00:00</t>
        </is>
      </c>
      <c r="V414" s="4" t="inlineStr">
        <is>
          <t>Energia mensual Yacyreta desde puesta en marcha.</t>
        </is>
      </c>
    </row>
    <row r="415">
      <c r="A415" s="6" t="inlineStr">
        <is>
          <t>R0000414</t>
        </is>
      </c>
      <c r="B415" s="6" t="inlineStr">
        <is>
          <t>2001-09-01</t>
        </is>
      </c>
      <c r="C415" s="6" t="inlineStr">
        <is>
          <t>2001-09-30</t>
        </is>
      </c>
      <c r="D415" s="6" t="inlineStr">
        <is>
          <t>month</t>
        </is>
      </c>
      <c r="E415" s="6" t="inlineStr">
        <is>
          <t>ENERGY_TO_ARGENTINA</t>
        </is>
      </c>
      <c r="F415" s="6" t="inlineStr">
        <is>
          <t>YACYRETA</t>
        </is>
      </c>
      <c r="G415" s="6" t="inlineStr">
        <is>
          <t>YACYRETA</t>
        </is>
      </c>
      <c r="H415" s="6" t="inlineStr">
        <is>
          <t>SADI</t>
        </is>
      </c>
      <c r="I415" s="8" t="n">
        <v>763664</v>
      </c>
      <c r="J415" s="6" t="inlineStr">
        <is>
          <t>MWh</t>
        </is>
      </c>
      <c r="K415" s="8" t="n">
        <v>763664</v>
      </c>
      <c r="L415" s="6" t="inlineStr">
        <is>
          <t>MWh</t>
        </is>
      </c>
      <c r="M415" s="6" t="inlineStr">
        <is>
          <t>EBY</t>
        </is>
      </c>
      <c r="N415" s="6" t="inlineStr">
        <is>
          <t>OFFICIAL_PRIMARY</t>
        </is>
      </c>
      <c r="O415" s="9" t="inlineStr">
        <is>
          <t>OFFICIAL_AGGREGATE</t>
        </is>
      </c>
      <c r="P415" s="8" t="n">
        <v>1</v>
      </c>
      <c r="Q415" s="8" t="n">
        <v>50</v>
      </c>
      <c r="R415" s="7" t="inlineStr">
        <is>
          <t>https://www.eby.gov.py/wp-content/uploads/2019/12/YacyretaEnergiasMensualesDesdePuestaenMarcha.pdf</t>
        </is>
      </c>
      <c r="S415" s="6" t="inlineStr">
        <is>
          <t>EBY-MONTHLY-1994-2012</t>
        </is>
      </c>
      <c r="T415" s="6" t="inlineStr"/>
      <c r="U415" s="4" t="inlineStr">
        <is>
          <t>2026-09-10 23:00:00</t>
        </is>
      </c>
      <c r="V415" s="4" t="inlineStr">
        <is>
          <t>Energia mensual entregada al SADI.</t>
        </is>
      </c>
    </row>
    <row r="416">
      <c r="A416" s="6" t="inlineStr">
        <is>
          <t>R0000415</t>
        </is>
      </c>
      <c r="B416" s="6" t="inlineStr">
        <is>
          <t>2001-09-01</t>
        </is>
      </c>
      <c r="C416" s="6" t="inlineStr">
        <is>
          <t>2001-09-30</t>
        </is>
      </c>
      <c r="D416" s="6" t="inlineStr">
        <is>
          <t>month</t>
        </is>
      </c>
      <c r="E416" s="6" t="inlineStr">
        <is>
          <t>ENERGY_TO_PY</t>
        </is>
      </c>
      <c r="F416" s="6" t="inlineStr">
        <is>
          <t>YACYRETA</t>
        </is>
      </c>
      <c r="G416" s="6" t="inlineStr">
        <is>
          <t>YACYRETA</t>
        </is>
      </c>
      <c r="H416" s="6" t="inlineStr">
        <is>
          <t>SINP</t>
        </is>
      </c>
      <c r="I416" s="8" t="n">
        <v>4303</v>
      </c>
      <c r="J416" s="6" t="inlineStr">
        <is>
          <t>MWh</t>
        </is>
      </c>
      <c r="K416" s="8" t="n">
        <v>4303</v>
      </c>
      <c r="L416" s="6" t="inlineStr">
        <is>
          <t>MWh</t>
        </is>
      </c>
      <c r="M416" s="6" t="inlineStr">
        <is>
          <t>EBY</t>
        </is>
      </c>
      <c r="N416" s="6" t="inlineStr">
        <is>
          <t>OFFICIAL_PRIMARY</t>
        </is>
      </c>
      <c r="O416" s="9" t="inlineStr">
        <is>
          <t>OFFICIAL_AGGREGATE</t>
        </is>
      </c>
      <c r="P416" s="8" t="n">
        <v>1</v>
      </c>
      <c r="Q416" s="8" t="n">
        <v>50</v>
      </c>
      <c r="R416" s="7" t="inlineStr">
        <is>
          <t>https://www.eby.gov.py/wp-content/uploads/2019/12/YacyretaEnergiasMensualesDesdePuestaenMarcha.pdf</t>
        </is>
      </c>
      <c r="S416" s="6" t="inlineStr">
        <is>
          <t>EBY-MONTHLY-1994-2012</t>
        </is>
      </c>
      <c r="T416" s="6" t="inlineStr"/>
      <c r="U416" s="4" t="inlineStr">
        <is>
          <t>2026-09-10 23:00:00</t>
        </is>
      </c>
      <c r="V416" s="4" t="inlineStr">
        <is>
          <t>Energia mensual entregada al SINP.</t>
        </is>
      </c>
    </row>
    <row r="417">
      <c r="A417" s="6" t="inlineStr">
        <is>
          <t>R0000416</t>
        </is>
      </c>
      <c r="B417" s="6" t="inlineStr">
        <is>
          <t>2001-10-01</t>
        </is>
      </c>
      <c r="C417" s="6" t="inlineStr">
        <is>
          <t>2001-10-31</t>
        </is>
      </c>
      <c r="D417" s="6" t="inlineStr">
        <is>
          <t>month</t>
        </is>
      </c>
      <c r="E417" s="6" t="inlineStr">
        <is>
          <t>YACYRETA_NET_ENERGY</t>
        </is>
      </c>
      <c r="F417" s="6" t="inlineStr">
        <is>
          <t>YACYRETA</t>
        </is>
      </c>
      <c r="G417" s="6" t="inlineStr">
        <is>
          <t>YACYRETA</t>
        </is>
      </c>
      <c r="H417" s="6" t="inlineStr">
        <is>
          <t>TOTAL</t>
        </is>
      </c>
      <c r="I417" s="8" t="n">
        <v>1063843</v>
      </c>
      <c r="J417" s="6" t="inlineStr">
        <is>
          <t>MWh</t>
        </is>
      </c>
      <c r="K417" s="8" t="n">
        <v>1063843</v>
      </c>
      <c r="L417" s="6" t="inlineStr">
        <is>
          <t>MWh</t>
        </is>
      </c>
      <c r="M417" s="6" t="inlineStr">
        <is>
          <t>EBY</t>
        </is>
      </c>
      <c r="N417" s="6" t="inlineStr">
        <is>
          <t>OFFICIAL_PRIMARY</t>
        </is>
      </c>
      <c r="O417" s="9" t="inlineStr">
        <is>
          <t>OFFICIAL_AGGREGATE</t>
        </is>
      </c>
      <c r="P417" s="8" t="n">
        <v>1</v>
      </c>
      <c r="Q417" s="8" t="n">
        <v>50</v>
      </c>
      <c r="R417" s="7" t="inlineStr">
        <is>
          <t>https://www.eby.gov.py/wp-content/uploads/2019/12/YacyretaEnergiasMensualesDesdePuestaenMarcha.pdf</t>
        </is>
      </c>
      <c r="S417" s="6" t="inlineStr">
        <is>
          <t>EBY-MONTHLY-1994-2012</t>
        </is>
      </c>
      <c r="T417" s="6" t="inlineStr"/>
      <c r="U417" s="4" t="inlineStr">
        <is>
          <t>2026-09-10 23:00:00</t>
        </is>
      </c>
      <c r="V417" s="4" t="inlineStr">
        <is>
          <t>Energia mensual Yacyreta desde puesta en marcha.</t>
        </is>
      </c>
    </row>
    <row r="418">
      <c r="A418" s="6" t="inlineStr">
        <is>
          <t>R0000417</t>
        </is>
      </c>
      <c r="B418" s="6" t="inlineStr">
        <is>
          <t>2001-10-01</t>
        </is>
      </c>
      <c r="C418" s="6" t="inlineStr">
        <is>
          <t>2001-10-31</t>
        </is>
      </c>
      <c r="D418" s="6" t="inlineStr">
        <is>
          <t>month</t>
        </is>
      </c>
      <c r="E418" s="6" t="inlineStr">
        <is>
          <t>ENERGY_TO_ARGENTINA</t>
        </is>
      </c>
      <c r="F418" s="6" t="inlineStr">
        <is>
          <t>YACYRETA</t>
        </is>
      </c>
      <c r="G418" s="6" t="inlineStr">
        <is>
          <t>YACYRETA</t>
        </is>
      </c>
      <c r="H418" s="6" t="inlineStr">
        <is>
          <t>SADI</t>
        </is>
      </c>
      <c r="I418" s="8" t="n">
        <v>1029174</v>
      </c>
      <c r="J418" s="6" t="inlineStr">
        <is>
          <t>MWh</t>
        </is>
      </c>
      <c r="K418" s="8" t="n">
        <v>1029174</v>
      </c>
      <c r="L418" s="6" t="inlineStr">
        <is>
          <t>MWh</t>
        </is>
      </c>
      <c r="M418" s="6" t="inlineStr">
        <is>
          <t>EBY</t>
        </is>
      </c>
      <c r="N418" s="6" t="inlineStr">
        <is>
          <t>OFFICIAL_PRIMARY</t>
        </is>
      </c>
      <c r="O418" s="9" t="inlineStr">
        <is>
          <t>OFFICIAL_AGGREGATE</t>
        </is>
      </c>
      <c r="P418" s="8" t="n">
        <v>1</v>
      </c>
      <c r="Q418" s="8" t="n">
        <v>50</v>
      </c>
      <c r="R418" s="7" t="inlineStr">
        <is>
          <t>https://www.eby.gov.py/wp-content/uploads/2019/12/YacyretaEnergiasMensualesDesdePuestaenMarcha.pdf</t>
        </is>
      </c>
      <c r="S418" s="6" t="inlineStr">
        <is>
          <t>EBY-MONTHLY-1994-2012</t>
        </is>
      </c>
      <c r="T418" s="6" t="inlineStr"/>
      <c r="U418" s="4" t="inlineStr">
        <is>
          <t>2026-09-10 23:00:00</t>
        </is>
      </c>
      <c r="V418" s="4" t="inlineStr">
        <is>
          <t>Energia mensual entregada al SADI.</t>
        </is>
      </c>
    </row>
    <row r="419">
      <c r="A419" s="6" t="inlineStr">
        <is>
          <t>R0000418</t>
        </is>
      </c>
      <c r="B419" s="6" t="inlineStr">
        <is>
          <t>2001-10-01</t>
        </is>
      </c>
      <c r="C419" s="6" t="inlineStr">
        <is>
          <t>2001-10-31</t>
        </is>
      </c>
      <c r="D419" s="6" t="inlineStr">
        <is>
          <t>month</t>
        </is>
      </c>
      <c r="E419" s="6" t="inlineStr">
        <is>
          <t>ENERGY_TO_PY</t>
        </is>
      </c>
      <c r="F419" s="6" t="inlineStr">
        <is>
          <t>YACYRETA</t>
        </is>
      </c>
      <c r="G419" s="6" t="inlineStr">
        <is>
          <t>YACYRETA</t>
        </is>
      </c>
      <c r="H419" s="6" t="inlineStr">
        <is>
          <t>SINP</t>
        </is>
      </c>
      <c r="I419" s="8" t="n">
        <v>34669</v>
      </c>
      <c r="J419" s="6" t="inlineStr">
        <is>
          <t>MWh</t>
        </is>
      </c>
      <c r="K419" s="8" t="n">
        <v>34669</v>
      </c>
      <c r="L419" s="6" t="inlineStr">
        <is>
          <t>MWh</t>
        </is>
      </c>
      <c r="M419" s="6" t="inlineStr">
        <is>
          <t>EBY</t>
        </is>
      </c>
      <c r="N419" s="6" t="inlineStr">
        <is>
          <t>OFFICIAL_PRIMARY</t>
        </is>
      </c>
      <c r="O419" s="9" t="inlineStr">
        <is>
          <t>OFFICIAL_AGGREGATE</t>
        </is>
      </c>
      <c r="P419" s="8" t="n">
        <v>1</v>
      </c>
      <c r="Q419" s="8" t="n">
        <v>50</v>
      </c>
      <c r="R419" s="7" t="inlineStr">
        <is>
          <t>https://www.eby.gov.py/wp-content/uploads/2019/12/YacyretaEnergiasMensualesDesdePuestaenMarcha.pdf</t>
        </is>
      </c>
      <c r="S419" s="6" t="inlineStr">
        <is>
          <t>EBY-MONTHLY-1994-2012</t>
        </is>
      </c>
      <c r="T419" s="6" t="inlineStr"/>
      <c r="U419" s="4" t="inlineStr">
        <is>
          <t>2026-09-10 23:00:00</t>
        </is>
      </c>
      <c r="V419" s="4" t="inlineStr">
        <is>
          <t>Energia mensual entregada al SINP.</t>
        </is>
      </c>
    </row>
    <row r="420">
      <c r="A420" s="6" t="inlineStr">
        <is>
          <t>R0000419</t>
        </is>
      </c>
      <c r="B420" s="6" t="inlineStr">
        <is>
          <t>2001-11-01</t>
        </is>
      </c>
      <c r="C420" s="6" t="inlineStr">
        <is>
          <t>2001-11-30</t>
        </is>
      </c>
      <c r="D420" s="6" t="inlineStr">
        <is>
          <t>month</t>
        </is>
      </c>
      <c r="E420" s="6" t="inlineStr">
        <is>
          <t>YACYRETA_NET_ENERGY</t>
        </is>
      </c>
      <c r="F420" s="6" t="inlineStr">
        <is>
          <t>YACYRETA</t>
        </is>
      </c>
      <c r="G420" s="6" t="inlineStr">
        <is>
          <t>YACYRETA</t>
        </is>
      </c>
      <c r="H420" s="6" t="inlineStr">
        <is>
          <t>TOTAL</t>
        </is>
      </c>
      <c r="I420" s="8" t="n">
        <v>852959</v>
      </c>
      <c r="J420" s="6" t="inlineStr">
        <is>
          <t>MWh</t>
        </is>
      </c>
      <c r="K420" s="8" t="n">
        <v>852959</v>
      </c>
      <c r="L420" s="6" t="inlineStr">
        <is>
          <t>MWh</t>
        </is>
      </c>
      <c r="M420" s="6" t="inlineStr">
        <is>
          <t>EBY</t>
        </is>
      </c>
      <c r="N420" s="6" t="inlineStr">
        <is>
          <t>OFFICIAL_PRIMARY</t>
        </is>
      </c>
      <c r="O420" s="9" t="inlineStr">
        <is>
          <t>OFFICIAL_AGGREGATE</t>
        </is>
      </c>
      <c r="P420" s="8" t="n">
        <v>1</v>
      </c>
      <c r="Q420" s="8" t="n">
        <v>50</v>
      </c>
      <c r="R420" s="7" t="inlineStr">
        <is>
          <t>https://www.eby.gov.py/wp-content/uploads/2019/12/YacyretaEnergiasMensualesDesdePuestaenMarcha.pdf</t>
        </is>
      </c>
      <c r="S420" s="6" t="inlineStr">
        <is>
          <t>EBY-MONTHLY-1994-2012</t>
        </is>
      </c>
      <c r="T420" s="6" t="inlineStr"/>
      <c r="U420" s="4" t="inlineStr">
        <is>
          <t>2026-09-10 23:00:00</t>
        </is>
      </c>
      <c r="V420" s="4" t="inlineStr">
        <is>
          <t>Energia mensual Yacyreta desde puesta en marcha.</t>
        </is>
      </c>
    </row>
    <row r="421">
      <c r="A421" s="6" t="inlineStr">
        <is>
          <t>R0000420</t>
        </is>
      </c>
      <c r="B421" s="6" t="inlineStr">
        <is>
          <t>2001-11-01</t>
        </is>
      </c>
      <c r="C421" s="6" t="inlineStr">
        <is>
          <t>2001-11-30</t>
        </is>
      </c>
      <c r="D421" s="6" t="inlineStr">
        <is>
          <t>month</t>
        </is>
      </c>
      <c r="E421" s="6" t="inlineStr">
        <is>
          <t>ENERGY_TO_ARGENTINA</t>
        </is>
      </c>
      <c r="F421" s="6" t="inlineStr">
        <is>
          <t>YACYRETA</t>
        </is>
      </c>
      <c r="G421" s="6" t="inlineStr">
        <is>
          <t>YACYRETA</t>
        </is>
      </c>
      <c r="H421" s="6" t="inlineStr">
        <is>
          <t>SADI</t>
        </is>
      </c>
      <c r="I421" s="8" t="n">
        <v>826682</v>
      </c>
      <c r="J421" s="6" t="inlineStr">
        <is>
          <t>MWh</t>
        </is>
      </c>
      <c r="K421" s="8" t="n">
        <v>826682</v>
      </c>
      <c r="L421" s="6" t="inlineStr">
        <is>
          <t>MWh</t>
        </is>
      </c>
      <c r="M421" s="6" t="inlineStr">
        <is>
          <t>EBY</t>
        </is>
      </c>
      <c r="N421" s="6" t="inlineStr">
        <is>
          <t>OFFICIAL_PRIMARY</t>
        </is>
      </c>
      <c r="O421" s="9" t="inlineStr">
        <is>
          <t>OFFICIAL_AGGREGATE</t>
        </is>
      </c>
      <c r="P421" s="8" t="n">
        <v>1</v>
      </c>
      <c r="Q421" s="8" t="n">
        <v>50</v>
      </c>
      <c r="R421" s="7" t="inlineStr">
        <is>
          <t>https://www.eby.gov.py/wp-content/uploads/2019/12/YacyretaEnergiasMensualesDesdePuestaenMarcha.pdf</t>
        </is>
      </c>
      <c r="S421" s="6" t="inlineStr">
        <is>
          <t>EBY-MONTHLY-1994-2012</t>
        </is>
      </c>
      <c r="T421" s="6" t="inlineStr"/>
      <c r="U421" s="4" t="inlineStr">
        <is>
          <t>2026-09-10 23:00:00</t>
        </is>
      </c>
      <c r="V421" s="4" t="inlineStr">
        <is>
          <t>Energia mensual entregada al SADI.</t>
        </is>
      </c>
    </row>
    <row r="422">
      <c r="A422" s="6" t="inlineStr">
        <is>
          <t>R0000421</t>
        </is>
      </c>
      <c r="B422" s="6" t="inlineStr">
        <is>
          <t>2001-11-01</t>
        </is>
      </c>
      <c r="C422" s="6" t="inlineStr">
        <is>
          <t>2001-11-30</t>
        </is>
      </c>
      <c r="D422" s="6" t="inlineStr">
        <is>
          <t>month</t>
        </is>
      </c>
      <c r="E422" s="6" t="inlineStr">
        <is>
          <t>ENERGY_TO_PY</t>
        </is>
      </c>
      <c r="F422" s="6" t="inlineStr">
        <is>
          <t>YACYRETA</t>
        </is>
      </c>
      <c r="G422" s="6" t="inlineStr">
        <is>
          <t>YACYRETA</t>
        </is>
      </c>
      <c r="H422" s="6" t="inlineStr">
        <is>
          <t>SINP</t>
        </is>
      </c>
      <c r="I422" s="8" t="n">
        <v>26277</v>
      </c>
      <c r="J422" s="6" t="inlineStr">
        <is>
          <t>MWh</t>
        </is>
      </c>
      <c r="K422" s="8" t="n">
        <v>26277</v>
      </c>
      <c r="L422" s="6" t="inlineStr">
        <is>
          <t>MWh</t>
        </is>
      </c>
      <c r="M422" s="6" t="inlineStr">
        <is>
          <t>EBY</t>
        </is>
      </c>
      <c r="N422" s="6" t="inlineStr">
        <is>
          <t>OFFICIAL_PRIMARY</t>
        </is>
      </c>
      <c r="O422" s="9" t="inlineStr">
        <is>
          <t>OFFICIAL_AGGREGATE</t>
        </is>
      </c>
      <c r="P422" s="8" t="n">
        <v>1</v>
      </c>
      <c r="Q422" s="8" t="n">
        <v>50</v>
      </c>
      <c r="R422" s="7" t="inlineStr">
        <is>
          <t>https://www.eby.gov.py/wp-content/uploads/2019/12/YacyretaEnergiasMensualesDesdePuestaenMarcha.pdf</t>
        </is>
      </c>
      <c r="S422" s="6" t="inlineStr">
        <is>
          <t>EBY-MONTHLY-1994-2012</t>
        </is>
      </c>
      <c r="T422" s="6" t="inlineStr"/>
      <c r="U422" s="4" t="inlineStr">
        <is>
          <t>2026-09-10 23:00:00</t>
        </is>
      </c>
      <c r="V422" s="4" t="inlineStr">
        <is>
          <t>Energia mensual entregada al SINP.</t>
        </is>
      </c>
    </row>
    <row r="423">
      <c r="A423" s="6" t="inlineStr">
        <is>
          <t>R0000422</t>
        </is>
      </c>
      <c r="B423" s="6" t="inlineStr">
        <is>
          <t>2001-12-01</t>
        </is>
      </c>
      <c r="C423" s="6" t="inlineStr">
        <is>
          <t>2001-12-31</t>
        </is>
      </c>
      <c r="D423" s="6" t="inlineStr">
        <is>
          <t>month</t>
        </is>
      </c>
      <c r="E423" s="6" t="inlineStr">
        <is>
          <t>YACYRETA_NET_ENERGY</t>
        </is>
      </c>
      <c r="F423" s="6" t="inlineStr">
        <is>
          <t>YACYRETA</t>
        </is>
      </c>
      <c r="G423" s="6" t="inlineStr">
        <is>
          <t>YACYRETA</t>
        </is>
      </c>
      <c r="H423" s="6" t="inlineStr">
        <is>
          <t>TOTAL</t>
        </is>
      </c>
      <c r="I423" s="8" t="n">
        <v>902334</v>
      </c>
      <c r="J423" s="6" t="inlineStr">
        <is>
          <t>MWh</t>
        </is>
      </c>
      <c r="K423" s="8" t="n">
        <v>902334</v>
      </c>
      <c r="L423" s="6" t="inlineStr">
        <is>
          <t>MWh</t>
        </is>
      </c>
      <c r="M423" s="6" t="inlineStr">
        <is>
          <t>EBY</t>
        </is>
      </c>
      <c r="N423" s="6" t="inlineStr">
        <is>
          <t>OFFICIAL_PRIMARY</t>
        </is>
      </c>
      <c r="O423" s="9" t="inlineStr">
        <is>
          <t>OFFICIAL_AGGREGATE</t>
        </is>
      </c>
      <c r="P423" s="8" t="n">
        <v>1</v>
      </c>
      <c r="Q423" s="8" t="n">
        <v>50</v>
      </c>
      <c r="R423" s="7" t="inlineStr">
        <is>
          <t>https://www.eby.gov.py/wp-content/uploads/2019/12/YacyretaEnergiasMensualesDesdePuestaenMarcha.pdf</t>
        </is>
      </c>
      <c r="S423" s="6" t="inlineStr">
        <is>
          <t>EBY-MONTHLY-1994-2012</t>
        </is>
      </c>
      <c r="T423" s="6" t="inlineStr"/>
      <c r="U423" s="4" t="inlineStr">
        <is>
          <t>2026-09-10 23:00:00</t>
        </is>
      </c>
      <c r="V423" s="4" t="inlineStr">
        <is>
          <t>Energia mensual Yacyreta desde puesta en marcha.</t>
        </is>
      </c>
    </row>
    <row r="424">
      <c r="A424" s="6" t="inlineStr">
        <is>
          <t>R0000423</t>
        </is>
      </c>
      <c r="B424" s="6" t="inlineStr">
        <is>
          <t>2001-12-01</t>
        </is>
      </c>
      <c r="C424" s="6" t="inlineStr">
        <is>
          <t>2001-12-31</t>
        </is>
      </c>
      <c r="D424" s="6" t="inlineStr">
        <is>
          <t>month</t>
        </is>
      </c>
      <c r="E424" s="6" t="inlineStr">
        <is>
          <t>ENERGY_TO_ARGENTINA</t>
        </is>
      </c>
      <c r="F424" s="6" t="inlineStr">
        <is>
          <t>YACYRETA</t>
        </is>
      </c>
      <c r="G424" s="6" t="inlineStr">
        <is>
          <t>YACYRETA</t>
        </is>
      </c>
      <c r="H424" s="6" t="inlineStr">
        <is>
          <t>SADI</t>
        </is>
      </c>
      <c r="I424" s="8" t="n">
        <v>896324</v>
      </c>
      <c r="J424" s="6" t="inlineStr">
        <is>
          <t>MWh</t>
        </is>
      </c>
      <c r="K424" s="8" t="n">
        <v>896324</v>
      </c>
      <c r="L424" s="6" t="inlineStr">
        <is>
          <t>MWh</t>
        </is>
      </c>
      <c r="M424" s="6" t="inlineStr">
        <is>
          <t>EBY</t>
        </is>
      </c>
      <c r="N424" s="6" t="inlineStr">
        <is>
          <t>OFFICIAL_PRIMARY</t>
        </is>
      </c>
      <c r="O424" s="9" t="inlineStr">
        <is>
          <t>OFFICIAL_AGGREGATE</t>
        </is>
      </c>
      <c r="P424" s="8" t="n">
        <v>1</v>
      </c>
      <c r="Q424" s="8" t="n">
        <v>50</v>
      </c>
      <c r="R424" s="7" t="inlineStr">
        <is>
          <t>https://www.eby.gov.py/wp-content/uploads/2019/12/YacyretaEnergiasMensualesDesdePuestaenMarcha.pdf</t>
        </is>
      </c>
      <c r="S424" s="6" t="inlineStr">
        <is>
          <t>EBY-MONTHLY-1994-2012</t>
        </is>
      </c>
      <c r="T424" s="6" t="inlineStr"/>
      <c r="U424" s="4" t="inlineStr">
        <is>
          <t>2026-09-10 23:00:00</t>
        </is>
      </c>
      <c r="V424" s="4" t="inlineStr">
        <is>
          <t>Energia mensual entregada al SADI.</t>
        </is>
      </c>
    </row>
    <row r="425">
      <c r="A425" s="6" t="inlineStr">
        <is>
          <t>R0000424</t>
        </is>
      </c>
      <c r="B425" s="6" t="inlineStr">
        <is>
          <t>2001-12-01</t>
        </is>
      </c>
      <c r="C425" s="6" t="inlineStr">
        <is>
          <t>2001-12-31</t>
        </is>
      </c>
      <c r="D425" s="6" t="inlineStr">
        <is>
          <t>month</t>
        </is>
      </c>
      <c r="E425" s="6" t="inlineStr">
        <is>
          <t>ENERGY_TO_PY</t>
        </is>
      </c>
      <c r="F425" s="6" t="inlineStr">
        <is>
          <t>YACYRETA</t>
        </is>
      </c>
      <c r="G425" s="6" t="inlineStr">
        <is>
          <t>YACYRETA</t>
        </is>
      </c>
      <c r="H425" s="6" t="inlineStr">
        <is>
          <t>SINP</t>
        </is>
      </c>
      <c r="I425" s="8" t="n">
        <v>6011</v>
      </c>
      <c r="J425" s="6" t="inlineStr">
        <is>
          <t>MWh</t>
        </is>
      </c>
      <c r="K425" s="8" t="n">
        <v>6011</v>
      </c>
      <c r="L425" s="6" t="inlineStr">
        <is>
          <t>MWh</t>
        </is>
      </c>
      <c r="M425" s="6" t="inlineStr">
        <is>
          <t>EBY</t>
        </is>
      </c>
      <c r="N425" s="6" t="inlineStr">
        <is>
          <t>OFFICIAL_PRIMARY</t>
        </is>
      </c>
      <c r="O425" s="9" t="inlineStr">
        <is>
          <t>OFFICIAL_AGGREGATE</t>
        </is>
      </c>
      <c r="P425" s="8" t="n">
        <v>1</v>
      </c>
      <c r="Q425" s="8" t="n">
        <v>50</v>
      </c>
      <c r="R425" s="7" t="inlineStr">
        <is>
          <t>https://www.eby.gov.py/wp-content/uploads/2019/12/YacyretaEnergiasMensualesDesdePuestaenMarcha.pdf</t>
        </is>
      </c>
      <c r="S425" s="6" t="inlineStr">
        <is>
          <t>EBY-MONTHLY-1994-2012</t>
        </is>
      </c>
      <c r="T425" s="6" t="inlineStr"/>
      <c r="U425" s="4" t="inlineStr">
        <is>
          <t>2026-09-10 23:00:00</t>
        </is>
      </c>
      <c r="V425" s="4" t="inlineStr">
        <is>
          <t>Energia mensual entregada al SINP.</t>
        </is>
      </c>
    </row>
    <row r="426">
      <c r="A426" s="6" t="inlineStr">
        <is>
          <t>R0000425</t>
        </is>
      </c>
      <c r="B426" s="6" t="inlineStr">
        <is>
          <t>2002-01-01</t>
        </is>
      </c>
      <c r="C426" s="6" t="inlineStr">
        <is>
          <t>2002-01-31</t>
        </is>
      </c>
      <c r="D426" s="6" t="inlineStr">
        <is>
          <t>month</t>
        </is>
      </c>
      <c r="E426" s="6" t="inlineStr">
        <is>
          <t>YACYRETA_NET_ENERGY</t>
        </is>
      </c>
      <c r="F426" s="6" t="inlineStr">
        <is>
          <t>YACYRETA</t>
        </is>
      </c>
      <c r="G426" s="6" t="inlineStr">
        <is>
          <t>YACYRETA</t>
        </is>
      </c>
      <c r="H426" s="6" t="inlineStr">
        <is>
          <t>TOTAL</t>
        </is>
      </c>
      <c r="I426" s="8" t="n">
        <v>948700</v>
      </c>
      <c r="J426" s="6" t="inlineStr">
        <is>
          <t>MWh</t>
        </is>
      </c>
      <c r="K426" s="8" t="n">
        <v>948700</v>
      </c>
      <c r="L426" s="6" t="inlineStr">
        <is>
          <t>MWh</t>
        </is>
      </c>
      <c r="M426" s="6" t="inlineStr">
        <is>
          <t>EBY</t>
        </is>
      </c>
      <c r="N426" s="6" t="inlineStr">
        <is>
          <t>OFFICIAL_PRIMARY</t>
        </is>
      </c>
      <c r="O426" s="9" t="inlineStr">
        <is>
          <t>OFFICIAL_AGGREGATE</t>
        </is>
      </c>
      <c r="P426" s="8" t="n">
        <v>1</v>
      </c>
      <c r="Q426" s="8" t="n">
        <v>50</v>
      </c>
      <c r="R426" s="7" t="inlineStr">
        <is>
          <t>https://www.eby.gov.py/wp-content/uploads/2019/12/YacyretaEnergiasMensualesDesdePuestaenMarcha.pdf</t>
        </is>
      </c>
      <c r="S426" s="6" t="inlineStr">
        <is>
          <t>EBY-MONTHLY-1994-2012</t>
        </is>
      </c>
      <c r="T426" s="6" t="inlineStr"/>
      <c r="U426" s="4" t="inlineStr">
        <is>
          <t>2026-09-10 23:00:00</t>
        </is>
      </c>
      <c r="V426" s="4" t="inlineStr">
        <is>
          <t>Energia mensual Yacyreta desde puesta en marcha.</t>
        </is>
      </c>
    </row>
    <row r="427">
      <c r="A427" s="6" t="inlineStr">
        <is>
          <t>R0000426</t>
        </is>
      </c>
      <c r="B427" s="6" t="inlineStr">
        <is>
          <t>2002-01-01</t>
        </is>
      </c>
      <c r="C427" s="6" t="inlineStr">
        <is>
          <t>2002-01-31</t>
        </is>
      </c>
      <c r="D427" s="6" t="inlineStr">
        <is>
          <t>month</t>
        </is>
      </c>
      <c r="E427" s="6" t="inlineStr">
        <is>
          <t>ENERGY_TO_ARGENTINA</t>
        </is>
      </c>
      <c r="F427" s="6" t="inlineStr">
        <is>
          <t>YACYRETA</t>
        </is>
      </c>
      <c r="G427" s="6" t="inlineStr">
        <is>
          <t>YACYRETA</t>
        </is>
      </c>
      <c r="H427" s="6" t="inlineStr">
        <is>
          <t>SADI</t>
        </is>
      </c>
      <c r="I427" s="8" t="n">
        <v>946880</v>
      </c>
      <c r="J427" s="6" t="inlineStr">
        <is>
          <t>MWh</t>
        </is>
      </c>
      <c r="K427" s="8" t="n">
        <v>946880</v>
      </c>
      <c r="L427" s="6" t="inlineStr">
        <is>
          <t>MWh</t>
        </is>
      </c>
      <c r="M427" s="6" t="inlineStr">
        <is>
          <t>EBY</t>
        </is>
      </c>
      <c r="N427" s="6" t="inlineStr">
        <is>
          <t>OFFICIAL_PRIMARY</t>
        </is>
      </c>
      <c r="O427" s="9" t="inlineStr">
        <is>
          <t>OFFICIAL_AGGREGATE</t>
        </is>
      </c>
      <c r="P427" s="8" t="n">
        <v>1</v>
      </c>
      <c r="Q427" s="8" t="n">
        <v>50</v>
      </c>
      <c r="R427" s="7" t="inlineStr">
        <is>
          <t>https://www.eby.gov.py/wp-content/uploads/2019/12/YacyretaEnergiasMensualesDesdePuestaenMarcha.pdf</t>
        </is>
      </c>
      <c r="S427" s="6" t="inlineStr">
        <is>
          <t>EBY-MONTHLY-1994-2012</t>
        </is>
      </c>
      <c r="T427" s="6" t="inlineStr"/>
      <c r="U427" s="4" t="inlineStr">
        <is>
          <t>2026-09-10 23:00:00</t>
        </is>
      </c>
      <c r="V427" s="4" t="inlineStr">
        <is>
          <t>Energia mensual entregada al SADI.</t>
        </is>
      </c>
    </row>
    <row r="428">
      <c r="A428" s="6" t="inlineStr">
        <is>
          <t>R0000427</t>
        </is>
      </c>
      <c r="B428" s="6" t="inlineStr">
        <is>
          <t>2002-01-01</t>
        </is>
      </c>
      <c r="C428" s="6" t="inlineStr">
        <is>
          <t>2002-01-31</t>
        </is>
      </c>
      <c r="D428" s="6" t="inlineStr">
        <is>
          <t>month</t>
        </is>
      </c>
      <c r="E428" s="6" t="inlineStr">
        <is>
          <t>ENERGY_TO_PY</t>
        </is>
      </c>
      <c r="F428" s="6" t="inlineStr">
        <is>
          <t>YACYRETA</t>
        </is>
      </c>
      <c r="G428" s="6" t="inlineStr">
        <is>
          <t>YACYRETA</t>
        </is>
      </c>
      <c r="H428" s="6" t="inlineStr">
        <is>
          <t>SINP</t>
        </is>
      </c>
      <c r="I428" s="8" t="n">
        <v>1820</v>
      </c>
      <c r="J428" s="6" t="inlineStr">
        <is>
          <t>MWh</t>
        </is>
      </c>
      <c r="K428" s="8" t="n">
        <v>1820</v>
      </c>
      <c r="L428" s="6" t="inlineStr">
        <is>
          <t>MWh</t>
        </is>
      </c>
      <c r="M428" s="6" t="inlineStr">
        <is>
          <t>EBY</t>
        </is>
      </c>
      <c r="N428" s="6" t="inlineStr">
        <is>
          <t>OFFICIAL_PRIMARY</t>
        </is>
      </c>
      <c r="O428" s="9" t="inlineStr">
        <is>
          <t>OFFICIAL_AGGREGATE</t>
        </is>
      </c>
      <c r="P428" s="8" t="n">
        <v>1</v>
      </c>
      <c r="Q428" s="8" t="n">
        <v>50</v>
      </c>
      <c r="R428" s="7" t="inlineStr">
        <is>
          <t>https://www.eby.gov.py/wp-content/uploads/2019/12/YacyretaEnergiasMensualesDesdePuestaenMarcha.pdf</t>
        </is>
      </c>
      <c r="S428" s="6" t="inlineStr">
        <is>
          <t>EBY-MONTHLY-1994-2012</t>
        </is>
      </c>
      <c r="T428" s="6" t="inlineStr"/>
      <c r="U428" s="4" t="inlineStr">
        <is>
          <t>2026-09-10 23:00:00</t>
        </is>
      </c>
      <c r="V428" s="4" t="inlineStr">
        <is>
          <t>Energia mensual entregada al SINP.</t>
        </is>
      </c>
    </row>
    <row r="429">
      <c r="A429" s="6" t="inlineStr">
        <is>
          <t>R0000428</t>
        </is>
      </c>
      <c r="B429" s="6" t="inlineStr">
        <is>
          <t>2002-02-01</t>
        </is>
      </c>
      <c r="C429" s="6" t="inlineStr">
        <is>
          <t>2002-02-28</t>
        </is>
      </c>
      <c r="D429" s="6" t="inlineStr">
        <is>
          <t>month</t>
        </is>
      </c>
      <c r="E429" s="6" t="inlineStr">
        <is>
          <t>YACYRETA_NET_ENERGY</t>
        </is>
      </c>
      <c r="F429" s="6" t="inlineStr">
        <is>
          <t>YACYRETA</t>
        </is>
      </c>
      <c r="G429" s="6" t="inlineStr">
        <is>
          <t>YACYRETA</t>
        </is>
      </c>
      <c r="H429" s="6" t="inlineStr">
        <is>
          <t>TOTAL</t>
        </is>
      </c>
      <c r="I429" s="8" t="n">
        <v>1068235</v>
      </c>
      <c r="J429" s="6" t="inlineStr">
        <is>
          <t>MWh</t>
        </is>
      </c>
      <c r="K429" s="8" t="n">
        <v>1068235</v>
      </c>
      <c r="L429" s="6" t="inlineStr">
        <is>
          <t>MWh</t>
        </is>
      </c>
      <c r="M429" s="6" t="inlineStr">
        <is>
          <t>EBY</t>
        </is>
      </c>
      <c r="N429" s="6" t="inlineStr">
        <is>
          <t>OFFICIAL_PRIMARY</t>
        </is>
      </c>
      <c r="O429" s="9" t="inlineStr">
        <is>
          <t>OFFICIAL_AGGREGATE</t>
        </is>
      </c>
      <c r="P429" s="8" t="n">
        <v>1</v>
      </c>
      <c r="Q429" s="8" t="n">
        <v>50</v>
      </c>
      <c r="R429" s="7" t="inlineStr">
        <is>
          <t>https://www.eby.gov.py/wp-content/uploads/2019/12/YacyretaEnergiasMensualesDesdePuestaenMarcha.pdf</t>
        </is>
      </c>
      <c r="S429" s="6" t="inlineStr">
        <is>
          <t>EBY-MONTHLY-1994-2012</t>
        </is>
      </c>
      <c r="T429" s="6" t="inlineStr"/>
      <c r="U429" s="4" t="inlineStr">
        <is>
          <t>2026-09-10 23:00:00</t>
        </is>
      </c>
      <c r="V429" s="4" t="inlineStr">
        <is>
          <t>Energia mensual Yacyreta desde puesta en marcha.</t>
        </is>
      </c>
    </row>
    <row r="430">
      <c r="A430" s="6" t="inlineStr">
        <is>
          <t>R0000429</t>
        </is>
      </c>
      <c r="B430" s="6" t="inlineStr">
        <is>
          <t>2002-02-01</t>
        </is>
      </c>
      <c r="C430" s="6" t="inlineStr">
        <is>
          <t>2002-02-28</t>
        </is>
      </c>
      <c r="D430" s="6" t="inlineStr">
        <is>
          <t>month</t>
        </is>
      </c>
      <c r="E430" s="6" t="inlineStr">
        <is>
          <t>ENERGY_TO_ARGENTINA</t>
        </is>
      </c>
      <c r="F430" s="6" t="inlineStr">
        <is>
          <t>YACYRETA</t>
        </is>
      </c>
      <c r="G430" s="6" t="inlineStr">
        <is>
          <t>YACYRETA</t>
        </is>
      </c>
      <c r="H430" s="6" t="inlineStr">
        <is>
          <t>SADI</t>
        </is>
      </c>
      <c r="I430" s="8" t="n">
        <v>1066034</v>
      </c>
      <c r="J430" s="6" t="inlineStr">
        <is>
          <t>MWh</t>
        </is>
      </c>
      <c r="K430" s="8" t="n">
        <v>1066034</v>
      </c>
      <c r="L430" s="6" t="inlineStr">
        <is>
          <t>MWh</t>
        </is>
      </c>
      <c r="M430" s="6" t="inlineStr">
        <is>
          <t>EBY</t>
        </is>
      </c>
      <c r="N430" s="6" t="inlineStr">
        <is>
          <t>OFFICIAL_PRIMARY</t>
        </is>
      </c>
      <c r="O430" s="9" t="inlineStr">
        <is>
          <t>OFFICIAL_AGGREGATE</t>
        </is>
      </c>
      <c r="P430" s="8" t="n">
        <v>1</v>
      </c>
      <c r="Q430" s="8" t="n">
        <v>50</v>
      </c>
      <c r="R430" s="7" t="inlineStr">
        <is>
          <t>https://www.eby.gov.py/wp-content/uploads/2019/12/YacyretaEnergiasMensualesDesdePuestaenMarcha.pdf</t>
        </is>
      </c>
      <c r="S430" s="6" t="inlineStr">
        <is>
          <t>EBY-MONTHLY-1994-2012</t>
        </is>
      </c>
      <c r="T430" s="6" t="inlineStr"/>
      <c r="U430" s="4" t="inlineStr">
        <is>
          <t>2026-09-10 23:00:00</t>
        </is>
      </c>
      <c r="V430" s="4" t="inlineStr">
        <is>
          <t>Energia mensual entregada al SADI.</t>
        </is>
      </c>
    </row>
    <row r="431">
      <c r="A431" s="6" t="inlineStr">
        <is>
          <t>R0000430</t>
        </is>
      </c>
      <c r="B431" s="6" t="inlineStr">
        <is>
          <t>2002-02-01</t>
        </is>
      </c>
      <c r="C431" s="6" t="inlineStr">
        <is>
          <t>2002-02-28</t>
        </is>
      </c>
      <c r="D431" s="6" t="inlineStr">
        <is>
          <t>month</t>
        </is>
      </c>
      <c r="E431" s="6" t="inlineStr">
        <is>
          <t>ENERGY_TO_PY</t>
        </is>
      </c>
      <c r="F431" s="6" t="inlineStr">
        <is>
          <t>YACYRETA</t>
        </is>
      </c>
      <c r="G431" s="6" t="inlineStr">
        <is>
          <t>YACYRETA</t>
        </is>
      </c>
      <c r="H431" s="6" t="inlineStr">
        <is>
          <t>SINP</t>
        </is>
      </c>
      <c r="I431" s="8" t="n">
        <v>2201</v>
      </c>
      <c r="J431" s="6" t="inlineStr">
        <is>
          <t>MWh</t>
        </is>
      </c>
      <c r="K431" s="8" t="n">
        <v>2201</v>
      </c>
      <c r="L431" s="6" t="inlineStr">
        <is>
          <t>MWh</t>
        </is>
      </c>
      <c r="M431" s="6" t="inlineStr">
        <is>
          <t>EBY</t>
        </is>
      </c>
      <c r="N431" s="6" t="inlineStr">
        <is>
          <t>OFFICIAL_PRIMARY</t>
        </is>
      </c>
      <c r="O431" s="9" t="inlineStr">
        <is>
          <t>OFFICIAL_AGGREGATE</t>
        </is>
      </c>
      <c r="P431" s="8" t="n">
        <v>1</v>
      </c>
      <c r="Q431" s="8" t="n">
        <v>50</v>
      </c>
      <c r="R431" s="7" t="inlineStr">
        <is>
          <t>https://www.eby.gov.py/wp-content/uploads/2019/12/YacyretaEnergiasMensualesDesdePuestaenMarcha.pdf</t>
        </is>
      </c>
      <c r="S431" s="6" t="inlineStr">
        <is>
          <t>EBY-MONTHLY-1994-2012</t>
        </is>
      </c>
      <c r="T431" s="6" t="inlineStr"/>
      <c r="U431" s="4" t="inlineStr">
        <is>
          <t>2026-09-10 23:00:00</t>
        </is>
      </c>
      <c r="V431" s="4" t="inlineStr">
        <is>
          <t>Energia mensual entregada al SINP.</t>
        </is>
      </c>
    </row>
    <row r="432">
      <c r="A432" s="6" t="inlineStr">
        <is>
          <t>R0000431</t>
        </is>
      </c>
      <c r="B432" s="6" t="inlineStr">
        <is>
          <t>2002-03-01</t>
        </is>
      </c>
      <c r="C432" s="6" t="inlineStr">
        <is>
          <t>2002-03-31</t>
        </is>
      </c>
      <c r="D432" s="6" t="inlineStr">
        <is>
          <t>month</t>
        </is>
      </c>
      <c r="E432" s="6" t="inlineStr">
        <is>
          <t>YACYRETA_NET_ENERGY</t>
        </is>
      </c>
      <c r="F432" s="6" t="inlineStr">
        <is>
          <t>YACYRETA</t>
        </is>
      </c>
      <c r="G432" s="6" t="inlineStr">
        <is>
          <t>YACYRETA</t>
        </is>
      </c>
      <c r="H432" s="6" t="inlineStr">
        <is>
          <t>TOTAL</t>
        </is>
      </c>
      <c r="I432" s="8" t="n">
        <v>1106161</v>
      </c>
      <c r="J432" s="6" t="inlineStr">
        <is>
          <t>MWh</t>
        </is>
      </c>
      <c r="K432" s="8" t="n">
        <v>1106161</v>
      </c>
      <c r="L432" s="6" t="inlineStr">
        <is>
          <t>MWh</t>
        </is>
      </c>
      <c r="M432" s="6" t="inlineStr">
        <is>
          <t>EBY</t>
        </is>
      </c>
      <c r="N432" s="6" t="inlineStr">
        <is>
          <t>OFFICIAL_PRIMARY</t>
        </is>
      </c>
      <c r="O432" s="9" t="inlineStr">
        <is>
          <t>OFFICIAL_AGGREGATE</t>
        </is>
      </c>
      <c r="P432" s="8" t="n">
        <v>1</v>
      </c>
      <c r="Q432" s="8" t="n">
        <v>50</v>
      </c>
      <c r="R432" s="7" t="inlineStr">
        <is>
          <t>https://www.eby.gov.py/wp-content/uploads/2019/12/YacyretaEnergiasMensualesDesdePuestaenMarcha.pdf</t>
        </is>
      </c>
      <c r="S432" s="6" t="inlineStr">
        <is>
          <t>EBY-MONTHLY-1994-2012</t>
        </is>
      </c>
      <c r="T432" s="6" t="inlineStr"/>
      <c r="U432" s="4" t="inlineStr">
        <is>
          <t>2026-09-10 23:00:00</t>
        </is>
      </c>
      <c r="V432" s="4" t="inlineStr">
        <is>
          <t>Energia mensual Yacyreta desde puesta en marcha.</t>
        </is>
      </c>
    </row>
    <row r="433">
      <c r="A433" s="6" t="inlineStr">
        <is>
          <t>R0000432</t>
        </is>
      </c>
      <c r="B433" s="6" t="inlineStr">
        <is>
          <t>2002-03-01</t>
        </is>
      </c>
      <c r="C433" s="6" t="inlineStr">
        <is>
          <t>2002-03-31</t>
        </is>
      </c>
      <c r="D433" s="6" t="inlineStr">
        <is>
          <t>month</t>
        </is>
      </c>
      <c r="E433" s="6" t="inlineStr">
        <is>
          <t>ENERGY_TO_ARGENTINA</t>
        </is>
      </c>
      <c r="F433" s="6" t="inlineStr">
        <is>
          <t>YACYRETA</t>
        </is>
      </c>
      <c r="G433" s="6" t="inlineStr">
        <is>
          <t>YACYRETA</t>
        </is>
      </c>
      <c r="H433" s="6" t="inlineStr">
        <is>
          <t>SADI</t>
        </is>
      </c>
      <c r="I433" s="8" t="n">
        <v>1098658</v>
      </c>
      <c r="J433" s="6" t="inlineStr">
        <is>
          <t>MWh</t>
        </is>
      </c>
      <c r="K433" s="8" t="n">
        <v>1098658</v>
      </c>
      <c r="L433" s="6" t="inlineStr">
        <is>
          <t>MWh</t>
        </is>
      </c>
      <c r="M433" s="6" t="inlineStr">
        <is>
          <t>EBY</t>
        </is>
      </c>
      <c r="N433" s="6" t="inlineStr">
        <is>
          <t>OFFICIAL_PRIMARY</t>
        </is>
      </c>
      <c r="O433" s="9" t="inlineStr">
        <is>
          <t>OFFICIAL_AGGREGATE</t>
        </is>
      </c>
      <c r="P433" s="8" t="n">
        <v>1</v>
      </c>
      <c r="Q433" s="8" t="n">
        <v>50</v>
      </c>
      <c r="R433" s="7" t="inlineStr">
        <is>
          <t>https://www.eby.gov.py/wp-content/uploads/2019/12/YacyretaEnergiasMensualesDesdePuestaenMarcha.pdf</t>
        </is>
      </c>
      <c r="S433" s="6" t="inlineStr">
        <is>
          <t>EBY-MONTHLY-1994-2012</t>
        </is>
      </c>
      <c r="T433" s="6" t="inlineStr"/>
      <c r="U433" s="4" t="inlineStr">
        <is>
          <t>2026-09-10 23:00:00</t>
        </is>
      </c>
      <c r="V433" s="4" t="inlineStr">
        <is>
          <t>Energia mensual entregada al SADI.</t>
        </is>
      </c>
    </row>
    <row r="434">
      <c r="A434" s="6" t="inlineStr">
        <is>
          <t>R0000433</t>
        </is>
      </c>
      <c r="B434" s="6" t="inlineStr">
        <is>
          <t>2002-03-01</t>
        </is>
      </c>
      <c r="C434" s="6" t="inlineStr">
        <is>
          <t>2002-03-31</t>
        </is>
      </c>
      <c r="D434" s="6" t="inlineStr">
        <is>
          <t>month</t>
        </is>
      </c>
      <c r="E434" s="6" t="inlineStr">
        <is>
          <t>ENERGY_TO_PY</t>
        </is>
      </c>
      <c r="F434" s="6" t="inlineStr">
        <is>
          <t>YACYRETA</t>
        </is>
      </c>
      <c r="G434" s="6" t="inlineStr">
        <is>
          <t>YACYRETA</t>
        </is>
      </c>
      <c r="H434" s="6" t="inlineStr">
        <is>
          <t>SINP</t>
        </is>
      </c>
      <c r="I434" s="8" t="n">
        <v>7503</v>
      </c>
      <c r="J434" s="6" t="inlineStr">
        <is>
          <t>MWh</t>
        </is>
      </c>
      <c r="K434" s="8" t="n">
        <v>7503</v>
      </c>
      <c r="L434" s="6" t="inlineStr">
        <is>
          <t>MWh</t>
        </is>
      </c>
      <c r="M434" s="6" t="inlineStr">
        <is>
          <t>EBY</t>
        </is>
      </c>
      <c r="N434" s="6" t="inlineStr">
        <is>
          <t>OFFICIAL_PRIMARY</t>
        </is>
      </c>
      <c r="O434" s="9" t="inlineStr">
        <is>
          <t>OFFICIAL_AGGREGATE</t>
        </is>
      </c>
      <c r="P434" s="8" t="n">
        <v>1</v>
      </c>
      <c r="Q434" s="8" t="n">
        <v>50</v>
      </c>
      <c r="R434" s="7" t="inlineStr">
        <is>
          <t>https://www.eby.gov.py/wp-content/uploads/2019/12/YacyretaEnergiasMensualesDesdePuestaenMarcha.pdf</t>
        </is>
      </c>
      <c r="S434" s="6" t="inlineStr">
        <is>
          <t>EBY-MONTHLY-1994-2012</t>
        </is>
      </c>
      <c r="T434" s="6" t="inlineStr"/>
      <c r="U434" s="4" t="inlineStr">
        <is>
          <t>2026-09-10 23:00:00</t>
        </is>
      </c>
      <c r="V434" s="4" t="inlineStr">
        <is>
          <t>Energia mensual entregada al SINP.</t>
        </is>
      </c>
    </row>
    <row r="435">
      <c r="A435" s="6" t="inlineStr">
        <is>
          <t>R0000434</t>
        </is>
      </c>
      <c r="B435" s="6" t="inlineStr">
        <is>
          <t>2002-04-01</t>
        </is>
      </c>
      <c r="C435" s="6" t="inlineStr">
        <is>
          <t>2002-04-30</t>
        </is>
      </c>
      <c r="D435" s="6" t="inlineStr">
        <is>
          <t>month</t>
        </is>
      </c>
      <c r="E435" s="6" t="inlineStr">
        <is>
          <t>YACYRETA_NET_ENERGY</t>
        </is>
      </c>
      <c r="F435" s="6" t="inlineStr">
        <is>
          <t>YACYRETA</t>
        </is>
      </c>
      <c r="G435" s="6" t="inlineStr">
        <is>
          <t>YACYRETA</t>
        </is>
      </c>
      <c r="H435" s="6" t="inlineStr">
        <is>
          <t>TOTAL</t>
        </is>
      </c>
      <c r="I435" s="8" t="n">
        <v>972585</v>
      </c>
      <c r="J435" s="6" t="inlineStr">
        <is>
          <t>MWh</t>
        </is>
      </c>
      <c r="K435" s="8" t="n">
        <v>972585</v>
      </c>
      <c r="L435" s="6" t="inlineStr">
        <is>
          <t>MWh</t>
        </is>
      </c>
      <c r="M435" s="6" t="inlineStr">
        <is>
          <t>EBY</t>
        </is>
      </c>
      <c r="N435" s="6" t="inlineStr">
        <is>
          <t>OFFICIAL_PRIMARY</t>
        </is>
      </c>
      <c r="O435" s="9" t="inlineStr">
        <is>
          <t>OFFICIAL_AGGREGATE</t>
        </is>
      </c>
      <c r="P435" s="8" t="n">
        <v>1</v>
      </c>
      <c r="Q435" s="8" t="n">
        <v>50</v>
      </c>
      <c r="R435" s="7" t="inlineStr">
        <is>
          <t>https://www.eby.gov.py/wp-content/uploads/2019/12/YacyretaEnergiasMensualesDesdePuestaenMarcha.pdf</t>
        </is>
      </c>
      <c r="S435" s="6" t="inlineStr">
        <is>
          <t>EBY-MONTHLY-1994-2012</t>
        </is>
      </c>
      <c r="T435" s="6" t="inlineStr"/>
      <c r="U435" s="4" t="inlineStr">
        <is>
          <t>2026-09-10 23:00:00</t>
        </is>
      </c>
      <c r="V435" s="4" t="inlineStr">
        <is>
          <t>Energia mensual Yacyreta desde puesta en marcha.</t>
        </is>
      </c>
    </row>
    <row r="436">
      <c r="A436" s="6" t="inlineStr">
        <is>
          <t>R0000435</t>
        </is>
      </c>
      <c r="B436" s="6" t="inlineStr">
        <is>
          <t>2002-04-01</t>
        </is>
      </c>
      <c r="C436" s="6" t="inlineStr">
        <is>
          <t>2002-04-30</t>
        </is>
      </c>
      <c r="D436" s="6" t="inlineStr">
        <is>
          <t>month</t>
        </is>
      </c>
      <c r="E436" s="6" t="inlineStr">
        <is>
          <t>ENERGY_TO_ARGENTINA</t>
        </is>
      </c>
      <c r="F436" s="6" t="inlineStr">
        <is>
          <t>YACYRETA</t>
        </is>
      </c>
      <c r="G436" s="6" t="inlineStr">
        <is>
          <t>YACYRETA</t>
        </is>
      </c>
      <c r="H436" s="6" t="inlineStr">
        <is>
          <t>SADI</t>
        </is>
      </c>
      <c r="I436" s="8" t="n">
        <v>966150</v>
      </c>
      <c r="J436" s="6" t="inlineStr">
        <is>
          <t>MWh</t>
        </is>
      </c>
      <c r="K436" s="8" t="n">
        <v>966150</v>
      </c>
      <c r="L436" s="6" t="inlineStr">
        <is>
          <t>MWh</t>
        </is>
      </c>
      <c r="M436" s="6" t="inlineStr">
        <is>
          <t>EBY</t>
        </is>
      </c>
      <c r="N436" s="6" t="inlineStr">
        <is>
          <t>OFFICIAL_PRIMARY</t>
        </is>
      </c>
      <c r="O436" s="9" t="inlineStr">
        <is>
          <t>OFFICIAL_AGGREGATE</t>
        </is>
      </c>
      <c r="P436" s="8" t="n">
        <v>1</v>
      </c>
      <c r="Q436" s="8" t="n">
        <v>50</v>
      </c>
      <c r="R436" s="7" t="inlineStr">
        <is>
          <t>https://www.eby.gov.py/wp-content/uploads/2019/12/YacyretaEnergiasMensualesDesdePuestaenMarcha.pdf</t>
        </is>
      </c>
      <c r="S436" s="6" t="inlineStr">
        <is>
          <t>EBY-MONTHLY-1994-2012</t>
        </is>
      </c>
      <c r="T436" s="6" t="inlineStr"/>
      <c r="U436" s="4" t="inlineStr">
        <is>
          <t>2026-09-10 23:00:00</t>
        </is>
      </c>
      <c r="V436" s="4" t="inlineStr">
        <is>
          <t>Energia mensual entregada al SADI.</t>
        </is>
      </c>
    </row>
    <row r="437">
      <c r="A437" s="6" t="inlineStr">
        <is>
          <t>R0000436</t>
        </is>
      </c>
      <c r="B437" s="6" t="inlineStr">
        <is>
          <t>2002-04-01</t>
        </is>
      </c>
      <c r="C437" s="6" t="inlineStr">
        <is>
          <t>2002-04-30</t>
        </is>
      </c>
      <c r="D437" s="6" t="inlineStr">
        <is>
          <t>month</t>
        </is>
      </c>
      <c r="E437" s="6" t="inlineStr">
        <is>
          <t>ENERGY_TO_PY</t>
        </is>
      </c>
      <c r="F437" s="6" t="inlineStr">
        <is>
          <t>YACYRETA</t>
        </is>
      </c>
      <c r="G437" s="6" t="inlineStr">
        <is>
          <t>YACYRETA</t>
        </is>
      </c>
      <c r="H437" s="6" t="inlineStr">
        <is>
          <t>SINP</t>
        </is>
      </c>
      <c r="I437" s="8" t="n">
        <v>6435</v>
      </c>
      <c r="J437" s="6" t="inlineStr">
        <is>
          <t>MWh</t>
        </is>
      </c>
      <c r="K437" s="8" t="n">
        <v>6435</v>
      </c>
      <c r="L437" s="6" t="inlineStr">
        <is>
          <t>MWh</t>
        </is>
      </c>
      <c r="M437" s="6" t="inlineStr">
        <is>
          <t>EBY</t>
        </is>
      </c>
      <c r="N437" s="6" t="inlineStr">
        <is>
          <t>OFFICIAL_PRIMARY</t>
        </is>
      </c>
      <c r="O437" s="9" t="inlineStr">
        <is>
          <t>OFFICIAL_AGGREGATE</t>
        </is>
      </c>
      <c r="P437" s="8" t="n">
        <v>1</v>
      </c>
      <c r="Q437" s="8" t="n">
        <v>50</v>
      </c>
      <c r="R437" s="7" t="inlineStr">
        <is>
          <t>https://www.eby.gov.py/wp-content/uploads/2019/12/YacyretaEnergiasMensualesDesdePuestaenMarcha.pdf</t>
        </is>
      </c>
      <c r="S437" s="6" t="inlineStr">
        <is>
          <t>EBY-MONTHLY-1994-2012</t>
        </is>
      </c>
      <c r="T437" s="6" t="inlineStr"/>
      <c r="U437" s="4" t="inlineStr">
        <is>
          <t>2026-09-10 23:00:00</t>
        </is>
      </c>
      <c r="V437" s="4" t="inlineStr">
        <is>
          <t>Energia mensual entregada al SINP.</t>
        </is>
      </c>
    </row>
    <row r="438">
      <c r="A438" s="6" t="inlineStr">
        <is>
          <t>R0000437</t>
        </is>
      </c>
      <c r="B438" s="6" t="inlineStr">
        <is>
          <t>2002-05-01</t>
        </is>
      </c>
      <c r="C438" s="6" t="inlineStr">
        <is>
          <t>2002-05-31</t>
        </is>
      </c>
      <c r="D438" s="6" t="inlineStr">
        <is>
          <t>month</t>
        </is>
      </c>
      <c r="E438" s="6" t="inlineStr">
        <is>
          <t>YACYRETA_NET_ENERGY</t>
        </is>
      </c>
      <c r="F438" s="6" t="inlineStr">
        <is>
          <t>YACYRETA</t>
        </is>
      </c>
      <c r="G438" s="6" t="inlineStr">
        <is>
          <t>YACYRETA</t>
        </is>
      </c>
      <c r="H438" s="6" t="inlineStr">
        <is>
          <t>TOTAL</t>
        </is>
      </c>
      <c r="I438" s="8" t="n">
        <v>1068197</v>
      </c>
      <c r="J438" s="6" t="inlineStr">
        <is>
          <t>MWh</t>
        </is>
      </c>
      <c r="K438" s="8" t="n">
        <v>1068197</v>
      </c>
      <c r="L438" s="6" t="inlineStr">
        <is>
          <t>MWh</t>
        </is>
      </c>
      <c r="M438" s="6" t="inlineStr">
        <is>
          <t>EBY</t>
        </is>
      </c>
      <c r="N438" s="6" t="inlineStr">
        <is>
          <t>OFFICIAL_PRIMARY</t>
        </is>
      </c>
      <c r="O438" s="9" t="inlineStr">
        <is>
          <t>OFFICIAL_AGGREGATE</t>
        </is>
      </c>
      <c r="P438" s="8" t="n">
        <v>1</v>
      </c>
      <c r="Q438" s="8" t="n">
        <v>50</v>
      </c>
      <c r="R438" s="7" t="inlineStr">
        <is>
          <t>https://www.eby.gov.py/wp-content/uploads/2019/12/YacyretaEnergiasMensualesDesdePuestaenMarcha.pdf</t>
        </is>
      </c>
      <c r="S438" s="6" t="inlineStr">
        <is>
          <t>EBY-MONTHLY-1994-2012</t>
        </is>
      </c>
      <c r="T438" s="6" t="inlineStr"/>
      <c r="U438" s="4" t="inlineStr">
        <is>
          <t>2026-09-10 23:00:00</t>
        </is>
      </c>
      <c r="V438" s="4" t="inlineStr">
        <is>
          <t>Energia mensual Yacyreta desde puesta en marcha.</t>
        </is>
      </c>
    </row>
    <row r="439">
      <c r="A439" s="6" t="inlineStr">
        <is>
          <t>R0000438</t>
        </is>
      </c>
      <c r="B439" s="6" t="inlineStr">
        <is>
          <t>2002-05-01</t>
        </is>
      </c>
      <c r="C439" s="6" t="inlineStr">
        <is>
          <t>2002-05-31</t>
        </is>
      </c>
      <c r="D439" s="6" t="inlineStr">
        <is>
          <t>month</t>
        </is>
      </c>
      <c r="E439" s="6" t="inlineStr">
        <is>
          <t>ENERGY_TO_ARGENTINA</t>
        </is>
      </c>
      <c r="F439" s="6" t="inlineStr">
        <is>
          <t>YACYRETA</t>
        </is>
      </c>
      <c r="G439" s="6" t="inlineStr">
        <is>
          <t>YACYRETA</t>
        </is>
      </c>
      <c r="H439" s="6" t="inlineStr">
        <is>
          <t>SADI</t>
        </is>
      </c>
      <c r="I439" s="8" t="n">
        <v>1065520</v>
      </c>
      <c r="J439" s="6" t="inlineStr">
        <is>
          <t>MWh</t>
        </is>
      </c>
      <c r="K439" s="8" t="n">
        <v>1065520</v>
      </c>
      <c r="L439" s="6" t="inlineStr">
        <is>
          <t>MWh</t>
        </is>
      </c>
      <c r="M439" s="6" t="inlineStr">
        <is>
          <t>EBY</t>
        </is>
      </c>
      <c r="N439" s="6" t="inlineStr">
        <is>
          <t>OFFICIAL_PRIMARY</t>
        </is>
      </c>
      <c r="O439" s="9" t="inlineStr">
        <is>
          <t>OFFICIAL_AGGREGATE</t>
        </is>
      </c>
      <c r="P439" s="8" t="n">
        <v>1</v>
      </c>
      <c r="Q439" s="8" t="n">
        <v>50</v>
      </c>
      <c r="R439" s="7" t="inlineStr">
        <is>
          <t>https://www.eby.gov.py/wp-content/uploads/2019/12/YacyretaEnergiasMensualesDesdePuestaenMarcha.pdf</t>
        </is>
      </c>
      <c r="S439" s="6" t="inlineStr">
        <is>
          <t>EBY-MONTHLY-1994-2012</t>
        </is>
      </c>
      <c r="T439" s="6" t="inlineStr"/>
      <c r="U439" s="4" t="inlineStr">
        <is>
          <t>2026-09-10 23:00:00</t>
        </is>
      </c>
      <c r="V439" s="4" t="inlineStr">
        <is>
          <t>Energia mensual entregada al SADI.</t>
        </is>
      </c>
    </row>
    <row r="440">
      <c r="A440" s="6" t="inlineStr">
        <is>
          <t>R0000439</t>
        </is>
      </c>
      <c r="B440" s="6" t="inlineStr">
        <is>
          <t>2002-05-01</t>
        </is>
      </c>
      <c r="C440" s="6" t="inlineStr">
        <is>
          <t>2002-05-31</t>
        </is>
      </c>
      <c r="D440" s="6" t="inlineStr">
        <is>
          <t>month</t>
        </is>
      </c>
      <c r="E440" s="6" t="inlineStr">
        <is>
          <t>ENERGY_TO_PY</t>
        </is>
      </c>
      <c r="F440" s="6" t="inlineStr">
        <is>
          <t>YACYRETA</t>
        </is>
      </c>
      <c r="G440" s="6" t="inlineStr">
        <is>
          <t>YACYRETA</t>
        </is>
      </c>
      <c r="H440" s="6" t="inlineStr">
        <is>
          <t>SINP</t>
        </is>
      </c>
      <c r="I440" s="8" t="n">
        <v>2677</v>
      </c>
      <c r="J440" s="6" t="inlineStr">
        <is>
          <t>MWh</t>
        </is>
      </c>
      <c r="K440" s="8" t="n">
        <v>2677</v>
      </c>
      <c r="L440" s="6" t="inlineStr">
        <is>
          <t>MWh</t>
        </is>
      </c>
      <c r="M440" s="6" t="inlineStr">
        <is>
          <t>EBY</t>
        </is>
      </c>
      <c r="N440" s="6" t="inlineStr">
        <is>
          <t>OFFICIAL_PRIMARY</t>
        </is>
      </c>
      <c r="O440" s="9" t="inlineStr">
        <is>
          <t>OFFICIAL_AGGREGATE</t>
        </is>
      </c>
      <c r="P440" s="8" t="n">
        <v>1</v>
      </c>
      <c r="Q440" s="8" t="n">
        <v>50</v>
      </c>
      <c r="R440" s="7" t="inlineStr">
        <is>
          <t>https://www.eby.gov.py/wp-content/uploads/2019/12/YacyretaEnergiasMensualesDesdePuestaenMarcha.pdf</t>
        </is>
      </c>
      <c r="S440" s="6" t="inlineStr">
        <is>
          <t>EBY-MONTHLY-1994-2012</t>
        </is>
      </c>
      <c r="T440" s="6" t="inlineStr"/>
      <c r="U440" s="4" t="inlineStr">
        <is>
          <t>2026-09-10 23:00:00</t>
        </is>
      </c>
      <c r="V440" s="4" t="inlineStr">
        <is>
          <t>Energia mensual entregada al SINP.</t>
        </is>
      </c>
    </row>
    <row r="441">
      <c r="A441" s="6" t="inlineStr">
        <is>
          <t>R0000440</t>
        </is>
      </c>
      <c r="B441" s="6" t="inlineStr">
        <is>
          <t>2002-06-01</t>
        </is>
      </c>
      <c r="C441" s="6" t="inlineStr">
        <is>
          <t>2002-06-30</t>
        </is>
      </c>
      <c r="D441" s="6" t="inlineStr">
        <is>
          <t>month</t>
        </is>
      </c>
      <c r="E441" s="6" t="inlineStr">
        <is>
          <t>YACYRETA_NET_ENERGY</t>
        </is>
      </c>
      <c r="F441" s="6" t="inlineStr">
        <is>
          <t>YACYRETA</t>
        </is>
      </c>
      <c r="G441" s="6" t="inlineStr">
        <is>
          <t>YACYRETA</t>
        </is>
      </c>
      <c r="H441" s="6" t="inlineStr">
        <is>
          <t>TOTAL</t>
        </is>
      </c>
      <c r="I441" s="8" t="n">
        <v>993113</v>
      </c>
      <c r="J441" s="6" t="inlineStr">
        <is>
          <t>MWh</t>
        </is>
      </c>
      <c r="K441" s="8" t="n">
        <v>993113</v>
      </c>
      <c r="L441" s="6" t="inlineStr">
        <is>
          <t>MWh</t>
        </is>
      </c>
      <c r="M441" s="6" t="inlineStr">
        <is>
          <t>EBY</t>
        </is>
      </c>
      <c r="N441" s="6" t="inlineStr">
        <is>
          <t>OFFICIAL_PRIMARY</t>
        </is>
      </c>
      <c r="O441" s="9" t="inlineStr">
        <is>
          <t>OFFICIAL_AGGREGATE</t>
        </is>
      </c>
      <c r="P441" s="8" t="n">
        <v>1</v>
      </c>
      <c r="Q441" s="8" t="n">
        <v>50</v>
      </c>
      <c r="R441" s="7" t="inlineStr">
        <is>
          <t>https://www.eby.gov.py/wp-content/uploads/2019/12/YacyretaEnergiasMensualesDesdePuestaenMarcha.pdf</t>
        </is>
      </c>
      <c r="S441" s="6" t="inlineStr">
        <is>
          <t>EBY-MONTHLY-1994-2012</t>
        </is>
      </c>
      <c r="T441" s="6" t="inlineStr"/>
      <c r="U441" s="4" t="inlineStr">
        <is>
          <t>2026-09-10 23:00:00</t>
        </is>
      </c>
      <c r="V441" s="4" t="inlineStr">
        <is>
          <t>Energia mensual Yacyreta desde puesta en marcha.</t>
        </is>
      </c>
    </row>
    <row r="442">
      <c r="A442" s="6" t="inlineStr">
        <is>
          <t>R0000441</t>
        </is>
      </c>
      <c r="B442" s="6" t="inlineStr">
        <is>
          <t>2002-06-01</t>
        </is>
      </c>
      <c r="C442" s="6" t="inlineStr">
        <is>
          <t>2002-06-30</t>
        </is>
      </c>
      <c r="D442" s="6" t="inlineStr">
        <is>
          <t>month</t>
        </is>
      </c>
      <c r="E442" s="6" t="inlineStr">
        <is>
          <t>ENERGY_TO_ARGENTINA</t>
        </is>
      </c>
      <c r="F442" s="6" t="inlineStr">
        <is>
          <t>YACYRETA</t>
        </is>
      </c>
      <c r="G442" s="6" t="inlineStr">
        <is>
          <t>YACYRETA</t>
        </is>
      </c>
      <c r="H442" s="6" t="inlineStr">
        <is>
          <t>SADI</t>
        </is>
      </c>
      <c r="I442" s="8" t="n">
        <v>989240</v>
      </c>
      <c r="J442" s="6" t="inlineStr">
        <is>
          <t>MWh</t>
        </is>
      </c>
      <c r="K442" s="8" t="n">
        <v>989240</v>
      </c>
      <c r="L442" s="6" t="inlineStr">
        <is>
          <t>MWh</t>
        </is>
      </c>
      <c r="M442" s="6" t="inlineStr">
        <is>
          <t>EBY</t>
        </is>
      </c>
      <c r="N442" s="6" t="inlineStr">
        <is>
          <t>OFFICIAL_PRIMARY</t>
        </is>
      </c>
      <c r="O442" s="9" t="inlineStr">
        <is>
          <t>OFFICIAL_AGGREGATE</t>
        </is>
      </c>
      <c r="P442" s="8" t="n">
        <v>1</v>
      </c>
      <c r="Q442" s="8" t="n">
        <v>50</v>
      </c>
      <c r="R442" s="7" t="inlineStr">
        <is>
          <t>https://www.eby.gov.py/wp-content/uploads/2019/12/YacyretaEnergiasMensualesDesdePuestaenMarcha.pdf</t>
        </is>
      </c>
      <c r="S442" s="6" t="inlineStr">
        <is>
          <t>EBY-MONTHLY-1994-2012</t>
        </is>
      </c>
      <c r="T442" s="6" t="inlineStr"/>
      <c r="U442" s="4" t="inlineStr">
        <is>
          <t>2026-09-10 23:00:00</t>
        </is>
      </c>
      <c r="V442" s="4" t="inlineStr">
        <is>
          <t>Energia mensual entregada al SADI.</t>
        </is>
      </c>
    </row>
    <row r="443">
      <c r="A443" s="6" t="inlineStr">
        <is>
          <t>R0000442</t>
        </is>
      </c>
      <c r="B443" s="6" t="inlineStr">
        <is>
          <t>2002-06-01</t>
        </is>
      </c>
      <c r="C443" s="6" t="inlineStr">
        <is>
          <t>2002-06-30</t>
        </is>
      </c>
      <c r="D443" s="6" t="inlineStr">
        <is>
          <t>month</t>
        </is>
      </c>
      <c r="E443" s="6" t="inlineStr">
        <is>
          <t>ENERGY_TO_PY</t>
        </is>
      </c>
      <c r="F443" s="6" t="inlineStr">
        <is>
          <t>YACYRETA</t>
        </is>
      </c>
      <c r="G443" s="6" t="inlineStr">
        <is>
          <t>YACYRETA</t>
        </is>
      </c>
      <c r="H443" s="6" t="inlineStr">
        <is>
          <t>SINP</t>
        </is>
      </c>
      <c r="I443" s="8" t="n">
        <v>3873</v>
      </c>
      <c r="J443" s="6" t="inlineStr">
        <is>
          <t>MWh</t>
        </is>
      </c>
      <c r="K443" s="8" t="n">
        <v>3873</v>
      </c>
      <c r="L443" s="6" t="inlineStr">
        <is>
          <t>MWh</t>
        </is>
      </c>
      <c r="M443" s="6" t="inlineStr">
        <is>
          <t>EBY</t>
        </is>
      </c>
      <c r="N443" s="6" t="inlineStr">
        <is>
          <t>OFFICIAL_PRIMARY</t>
        </is>
      </c>
      <c r="O443" s="9" t="inlineStr">
        <is>
          <t>OFFICIAL_AGGREGATE</t>
        </is>
      </c>
      <c r="P443" s="8" t="n">
        <v>1</v>
      </c>
      <c r="Q443" s="8" t="n">
        <v>50</v>
      </c>
      <c r="R443" s="7" t="inlineStr">
        <is>
          <t>https://www.eby.gov.py/wp-content/uploads/2019/12/YacyretaEnergiasMensualesDesdePuestaenMarcha.pdf</t>
        </is>
      </c>
      <c r="S443" s="6" t="inlineStr">
        <is>
          <t>EBY-MONTHLY-1994-2012</t>
        </is>
      </c>
      <c r="T443" s="6" t="inlineStr"/>
      <c r="U443" s="4" t="inlineStr">
        <is>
          <t>2026-09-10 23:00:00</t>
        </is>
      </c>
      <c r="V443" s="4" t="inlineStr">
        <is>
          <t>Energia mensual entregada al SINP.</t>
        </is>
      </c>
    </row>
    <row r="444">
      <c r="A444" s="6" t="inlineStr">
        <is>
          <t>R0000443</t>
        </is>
      </c>
      <c r="B444" s="6" t="inlineStr">
        <is>
          <t>2002-07-01</t>
        </is>
      </c>
      <c r="C444" s="6" t="inlineStr">
        <is>
          <t>2002-07-31</t>
        </is>
      </c>
      <c r="D444" s="6" t="inlineStr">
        <is>
          <t>month</t>
        </is>
      </c>
      <c r="E444" s="6" t="inlineStr">
        <is>
          <t>YACYRETA_NET_ENERGY</t>
        </is>
      </c>
      <c r="F444" s="6" t="inlineStr">
        <is>
          <t>YACYRETA</t>
        </is>
      </c>
      <c r="G444" s="6" t="inlineStr">
        <is>
          <t>YACYRETA</t>
        </is>
      </c>
      <c r="H444" s="6" t="inlineStr">
        <is>
          <t>TOTAL</t>
        </is>
      </c>
      <c r="I444" s="8" t="n">
        <v>831764</v>
      </c>
      <c r="J444" s="6" t="inlineStr">
        <is>
          <t>MWh</t>
        </is>
      </c>
      <c r="K444" s="8" t="n">
        <v>831764</v>
      </c>
      <c r="L444" s="6" t="inlineStr">
        <is>
          <t>MWh</t>
        </is>
      </c>
      <c r="M444" s="6" t="inlineStr">
        <is>
          <t>EBY</t>
        </is>
      </c>
      <c r="N444" s="6" t="inlineStr">
        <is>
          <t>OFFICIAL_PRIMARY</t>
        </is>
      </c>
      <c r="O444" s="9" t="inlineStr">
        <is>
          <t>OFFICIAL_AGGREGATE</t>
        </is>
      </c>
      <c r="P444" s="8" t="n">
        <v>1</v>
      </c>
      <c r="Q444" s="8" t="n">
        <v>50</v>
      </c>
      <c r="R444" s="7" t="inlineStr">
        <is>
          <t>https://www.eby.gov.py/wp-content/uploads/2019/12/YacyretaEnergiasMensualesDesdePuestaenMarcha.pdf</t>
        </is>
      </c>
      <c r="S444" s="6" t="inlineStr">
        <is>
          <t>EBY-MONTHLY-1994-2012</t>
        </is>
      </c>
      <c r="T444" s="6" t="inlineStr"/>
      <c r="U444" s="4" t="inlineStr">
        <is>
          <t>2026-09-10 23:00:00</t>
        </is>
      </c>
      <c r="V444" s="4" t="inlineStr">
        <is>
          <t>Energia mensual Yacyreta desde puesta en marcha.</t>
        </is>
      </c>
    </row>
    <row r="445">
      <c r="A445" s="6" t="inlineStr">
        <is>
          <t>R0000444</t>
        </is>
      </c>
      <c r="B445" s="6" t="inlineStr">
        <is>
          <t>2002-07-01</t>
        </is>
      </c>
      <c r="C445" s="6" t="inlineStr">
        <is>
          <t>2002-07-31</t>
        </is>
      </c>
      <c r="D445" s="6" t="inlineStr">
        <is>
          <t>month</t>
        </is>
      </c>
      <c r="E445" s="6" t="inlineStr">
        <is>
          <t>ENERGY_TO_ARGENTINA</t>
        </is>
      </c>
      <c r="F445" s="6" t="inlineStr">
        <is>
          <t>YACYRETA</t>
        </is>
      </c>
      <c r="G445" s="6" t="inlineStr">
        <is>
          <t>YACYRETA</t>
        </is>
      </c>
      <c r="H445" s="6" t="inlineStr">
        <is>
          <t>SADI</t>
        </is>
      </c>
      <c r="I445" s="8" t="n">
        <v>826812</v>
      </c>
      <c r="J445" s="6" t="inlineStr">
        <is>
          <t>MWh</t>
        </is>
      </c>
      <c r="K445" s="8" t="n">
        <v>826812</v>
      </c>
      <c r="L445" s="6" t="inlineStr">
        <is>
          <t>MWh</t>
        </is>
      </c>
      <c r="M445" s="6" t="inlineStr">
        <is>
          <t>EBY</t>
        </is>
      </c>
      <c r="N445" s="6" t="inlineStr">
        <is>
          <t>OFFICIAL_PRIMARY</t>
        </is>
      </c>
      <c r="O445" s="9" t="inlineStr">
        <is>
          <t>OFFICIAL_AGGREGATE</t>
        </is>
      </c>
      <c r="P445" s="8" t="n">
        <v>1</v>
      </c>
      <c r="Q445" s="8" t="n">
        <v>50</v>
      </c>
      <c r="R445" s="7" t="inlineStr">
        <is>
          <t>https://www.eby.gov.py/wp-content/uploads/2019/12/YacyretaEnergiasMensualesDesdePuestaenMarcha.pdf</t>
        </is>
      </c>
      <c r="S445" s="6" t="inlineStr">
        <is>
          <t>EBY-MONTHLY-1994-2012</t>
        </is>
      </c>
      <c r="T445" s="6" t="inlineStr"/>
      <c r="U445" s="4" t="inlineStr">
        <is>
          <t>2026-09-10 23:00:00</t>
        </is>
      </c>
      <c r="V445" s="4" t="inlineStr">
        <is>
          <t>Energia mensual entregada al SADI.</t>
        </is>
      </c>
    </row>
    <row r="446">
      <c r="A446" s="6" t="inlineStr">
        <is>
          <t>R0000445</t>
        </is>
      </c>
      <c r="B446" s="6" t="inlineStr">
        <is>
          <t>2002-07-01</t>
        </is>
      </c>
      <c r="C446" s="6" t="inlineStr">
        <is>
          <t>2002-07-31</t>
        </is>
      </c>
      <c r="D446" s="6" t="inlineStr">
        <is>
          <t>month</t>
        </is>
      </c>
      <c r="E446" s="6" t="inlineStr">
        <is>
          <t>ENERGY_TO_PY</t>
        </is>
      </c>
      <c r="F446" s="6" t="inlineStr">
        <is>
          <t>YACYRETA</t>
        </is>
      </c>
      <c r="G446" s="6" t="inlineStr">
        <is>
          <t>YACYRETA</t>
        </is>
      </c>
      <c r="H446" s="6" t="inlineStr">
        <is>
          <t>SINP</t>
        </is>
      </c>
      <c r="I446" s="8" t="n">
        <v>4952</v>
      </c>
      <c r="J446" s="6" t="inlineStr">
        <is>
          <t>MWh</t>
        </is>
      </c>
      <c r="K446" s="8" t="n">
        <v>4952</v>
      </c>
      <c r="L446" s="6" t="inlineStr">
        <is>
          <t>MWh</t>
        </is>
      </c>
      <c r="M446" s="6" t="inlineStr">
        <is>
          <t>EBY</t>
        </is>
      </c>
      <c r="N446" s="6" t="inlineStr">
        <is>
          <t>OFFICIAL_PRIMARY</t>
        </is>
      </c>
      <c r="O446" s="9" t="inlineStr">
        <is>
          <t>OFFICIAL_AGGREGATE</t>
        </is>
      </c>
      <c r="P446" s="8" t="n">
        <v>1</v>
      </c>
      <c r="Q446" s="8" t="n">
        <v>50</v>
      </c>
      <c r="R446" s="7" t="inlineStr">
        <is>
          <t>https://www.eby.gov.py/wp-content/uploads/2019/12/YacyretaEnergiasMensualesDesdePuestaenMarcha.pdf</t>
        </is>
      </c>
      <c r="S446" s="6" t="inlineStr">
        <is>
          <t>EBY-MONTHLY-1994-2012</t>
        </is>
      </c>
      <c r="T446" s="6" t="inlineStr"/>
      <c r="U446" s="4" t="inlineStr">
        <is>
          <t>2026-09-10 23:00:00</t>
        </is>
      </c>
      <c r="V446" s="4" t="inlineStr">
        <is>
          <t>Energia mensual entregada al SINP.</t>
        </is>
      </c>
    </row>
    <row r="447">
      <c r="A447" s="6" t="inlineStr">
        <is>
          <t>R0000446</t>
        </is>
      </c>
      <c r="B447" s="6" t="inlineStr">
        <is>
          <t>2002-08-01</t>
        </is>
      </c>
      <c r="C447" s="6" t="inlineStr">
        <is>
          <t>2002-08-31</t>
        </is>
      </c>
      <c r="D447" s="6" t="inlineStr">
        <is>
          <t>month</t>
        </is>
      </c>
      <c r="E447" s="6" t="inlineStr">
        <is>
          <t>YACYRETA_NET_ENERGY</t>
        </is>
      </c>
      <c r="F447" s="6" t="inlineStr">
        <is>
          <t>YACYRETA</t>
        </is>
      </c>
      <c r="G447" s="6" t="inlineStr">
        <is>
          <t>YACYRETA</t>
        </is>
      </c>
      <c r="H447" s="6" t="inlineStr">
        <is>
          <t>TOTAL</t>
        </is>
      </c>
      <c r="I447" s="8" t="n">
        <v>943785</v>
      </c>
      <c r="J447" s="6" t="inlineStr">
        <is>
          <t>MWh</t>
        </is>
      </c>
      <c r="K447" s="8" t="n">
        <v>943785</v>
      </c>
      <c r="L447" s="6" t="inlineStr">
        <is>
          <t>MWh</t>
        </is>
      </c>
      <c r="M447" s="6" t="inlineStr">
        <is>
          <t>EBY</t>
        </is>
      </c>
      <c r="N447" s="6" t="inlineStr">
        <is>
          <t>OFFICIAL_PRIMARY</t>
        </is>
      </c>
      <c r="O447" s="9" t="inlineStr">
        <is>
          <t>OFFICIAL_AGGREGATE</t>
        </is>
      </c>
      <c r="P447" s="8" t="n">
        <v>1</v>
      </c>
      <c r="Q447" s="8" t="n">
        <v>50</v>
      </c>
      <c r="R447" s="7" t="inlineStr">
        <is>
          <t>https://www.eby.gov.py/wp-content/uploads/2019/12/YacyretaEnergiasMensualesDesdePuestaenMarcha.pdf</t>
        </is>
      </c>
      <c r="S447" s="6" t="inlineStr">
        <is>
          <t>EBY-MONTHLY-1994-2012</t>
        </is>
      </c>
      <c r="T447" s="6" t="inlineStr"/>
      <c r="U447" s="4" t="inlineStr">
        <is>
          <t>2026-09-10 23:00:00</t>
        </is>
      </c>
      <c r="V447" s="4" t="inlineStr">
        <is>
          <t>Energia mensual Yacyreta desde puesta en marcha.</t>
        </is>
      </c>
    </row>
    <row r="448">
      <c r="A448" s="6" t="inlineStr">
        <is>
          <t>R0000447</t>
        </is>
      </c>
      <c r="B448" s="6" t="inlineStr">
        <is>
          <t>2002-08-01</t>
        </is>
      </c>
      <c r="C448" s="6" t="inlineStr">
        <is>
          <t>2002-08-31</t>
        </is>
      </c>
      <c r="D448" s="6" t="inlineStr">
        <is>
          <t>month</t>
        </is>
      </c>
      <c r="E448" s="6" t="inlineStr">
        <is>
          <t>ENERGY_TO_ARGENTINA</t>
        </is>
      </c>
      <c r="F448" s="6" t="inlineStr">
        <is>
          <t>YACYRETA</t>
        </is>
      </c>
      <c r="G448" s="6" t="inlineStr">
        <is>
          <t>YACYRETA</t>
        </is>
      </c>
      <c r="H448" s="6" t="inlineStr">
        <is>
          <t>SADI</t>
        </is>
      </c>
      <c r="I448" s="8" t="n">
        <v>942290</v>
      </c>
      <c r="J448" s="6" t="inlineStr">
        <is>
          <t>MWh</t>
        </is>
      </c>
      <c r="K448" s="8" t="n">
        <v>942290</v>
      </c>
      <c r="L448" s="6" t="inlineStr">
        <is>
          <t>MWh</t>
        </is>
      </c>
      <c r="M448" s="6" t="inlineStr">
        <is>
          <t>EBY</t>
        </is>
      </c>
      <c r="N448" s="6" t="inlineStr">
        <is>
          <t>OFFICIAL_PRIMARY</t>
        </is>
      </c>
      <c r="O448" s="9" t="inlineStr">
        <is>
          <t>OFFICIAL_AGGREGATE</t>
        </is>
      </c>
      <c r="P448" s="8" t="n">
        <v>1</v>
      </c>
      <c r="Q448" s="8" t="n">
        <v>50</v>
      </c>
      <c r="R448" s="7" t="inlineStr">
        <is>
          <t>https://www.eby.gov.py/wp-content/uploads/2019/12/YacyretaEnergiasMensualesDesdePuestaenMarcha.pdf</t>
        </is>
      </c>
      <c r="S448" s="6" t="inlineStr">
        <is>
          <t>EBY-MONTHLY-1994-2012</t>
        </is>
      </c>
      <c r="T448" s="6" t="inlineStr"/>
      <c r="U448" s="4" t="inlineStr">
        <is>
          <t>2026-09-10 23:00:00</t>
        </is>
      </c>
      <c r="V448" s="4" t="inlineStr">
        <is>
          <t>Energia mensual entregada al SADI.</t>
        </is>
      </c>
    </row>
    <row r="449">
      <c r="A449" s="6" t="inlineStr">
        <is>
          <t>R0000448</t>
        </is>
      </c>
      <c r="B449" s="6" t="inlineStr">
        <is>
          <t>2002-08-01</t>
        </is>
      </c>
      <c r="C449" s="6" t="inlineStr">
        <is>
          <t>2002-08-31</t>
        </is>
      </c>
      <c r="D449" s="6" t="inlineStr">
        <is>
          <t>month</t>
        </is>
      </c>
      <c r="E449" s="6" t="inlineStr">
        <is>
          <t>ENERGY_TO_PY</t>
        </is>
      </c>
      <c r="F449" s="6" t="inlineStr">
        <is>
          <t>YACYRETA</t>
        </is>
      </c>
      <c r="G449" s="6" t="inlineStr">
        <is>
          <t>YACYRETA</t>
        </is>
      </c>
      <c r="H449" s="6" t="inlineStr">
        <is>
          <t>SINP</t>
        </is>
      </c>
      <c r="I449" s="8" t="n">
        <v>1495</v>
      </c>
      <c r="J449" s="6" t="inlineStr">
        <is>
          <t>MWh</t>
        </is>
      </c>
      <c r="K449" s="8" t="n">
        <v>1495</v>
      </c>
      <c r="L449" s="6" t="inlineStr">
        <is>
          <t>MWh</t>
        </is>
      </c>
      <c r="M449" s="6" t="inlineStr">
        <is>
          <t>EBY</t>
        </is>
      </c>
      <c r="N449" s="6" t="inlineStr">
        <is>
          <t>OFFICIAL_PRIMARY</t>
        </is>
      </c>
      <c r="O449" s="9" t="inlineStr">
        <is>
          <t>OFFICIAL_AGGREGATE</t>
        </is>
      </c>
      <c r="P449" s="8" t="n">
        <v>1</v>
      </c>
      <c r="Q449" s="8" t="n">
        <v>50</v>
      </c>
      <c r="R449" s="7" t="inlineStr">
        <is>
          <t>https://www.eby.gov.py/wp-content/uploads/2019/12/YacyretaEnergiasMensualesDesdePuestaenMarcha.pdf</t>
        </is>
      </c>
      <c r="S449" s="6" t="inlineStr">
        <is>
          <t>EBY-MONTHLY-1994-2012</t>
        </is>
      </c>
      <c r="T449" s="6" t="inlineStr"/>
      <c r="U449" s="4" t="inlineStr">
        <is>
          <t>2026-09-10 23:00:00</t>
        </is>
      </c>
      <c r="V449" s="4" t="inlineStr">
        <is>
          <t>Energia mensual entregada al SINP.</t>
        </is>
      </c>
    </row>
    <row r="450">
      <c r="A450" s="6" t="inlineStr">
        <is>
          <t>R0000449</t>
        </is>
      </c>
      <c r="B450" s="6" t="inlineStr">
        <is>
          <t>2002-09-01</t>
        </is>
      </c>
      <c r="C450" s="6" t="inlineStr">
        <is>
          <t>2002-09-30</t>
        </is>
      </c>
      <c r="D450" s="6" t="inlineStr">
        <is>
          <t>month</t>
        </is>
      </c>
      <c r="E450" s="6" t="inlineStr">
        <is>
          <t>YACYRETA_NET_ENERGY</t>
        </is>
      </c>
      <c r="F450" s="6" t="inlineStr">
        <is>
          <t>YACYRETA</t>
        </is>
      </c>
      <c r="G450" s="6" t="inlineStr">
        <is>
          <t>YACYRETA</t>
        </is>
      </c>
      <c r="H450" s="6" t="inlineStr">
        <is>
          <t>TOTAL</t>
        </is>
      </c>
      <c r="I450" s="8" t="n">
        <v>923709</v>
      </c>
      <c r="J450" s="6" t="inlineStr">
        <is>
          <t>MWh</t>
        </is>
      </c>
      <c r="K450" s="8" t="n">
        <v>923709</v>
      </c>
      <c r="L450" s="6" t="inlineStr">
        <is>
          <t>MWh</t>
        </is>
      </c>
      <c r="M450" s="6" t="inlineStr">
        <is>
          <t>EBY</t>
        </is>
      </c>
      <c r="N450" s="6" t="inlineStr">
        <is>
          <t>OFFICIAL_PRIMARY</t>
        </is>
      </c>
      <c r="O450" s="9" t="inlineStr">
        <is>
          <t>OFFICIAL_AGGREGATE</t>
        </is>
      </c>
      <c r="P450" s="8" t="n">
        <v>1</v>
      </c>
      <c r="Q450" s="8" t="n">
        <v>50</v>
      </c>
      <c r="R450" s="7" t="inlineStr">
        <is>
          <t>https://www.eby.gov.py/wp-content/uploads/2019/12/YacyretaEnergiasMensualesDesdePuestaenMarcha.pdf</t>
        </is>
      </c>
      <c r="S450" s="6" t="inlineStr">
        <is>
          <t>EBY-MONTHLY-1994-2012</t>
        </is>
      </c>
      <c r="T450" s="6" t="inlineStr"/>
      <c r="U450" s="4" t="inlineStr">
        <is>
          <t>2026-09-10 23:00:00</t>
        </is>
      </c>
      <c r="V450" s="4" t="inlineStr">
        <is>
          <t>Energia mensual Yacyreta desde puesta en marcha.</t>
        </is>
      </c>
    </row>
    <row r="451">
      <c r="A451" s="6" t="inlineStr">
        <is>
          <t>R0000450</t>
        </is>
      </c>
      <c r="B451" s="6" t="inlineStr">
        <is>
          <t>2002-09-01</t>
        </is>
      </c>
      <c r="C451" s="6" t="inlineStr">
        <is>
          <t>2002-09-30</t>
        </is>
      </c>
      <c r="D451" s="6" t="inlineStr">
        <is>
          <t>month</t>
        </is>
      </c>
      <c r="E451" s="6" t="inlineStr">
        <is>
          <t>ENERGY_TO_ARGENTINA</t>
        </is>
      </c>
      <c r="F451" s="6" t="inlineStr">
        <is>
          <t>YACYRETA</t>
        </is>
      </c>
      <c r="G451" s="6" t="inlineStr">
        <is>
          <t>YACYRETA</t>
        </is>
      </c>
      <c r="H451" s="6" t="inlineStr">
        <is>
          <t>SADI</t>
        </is>
      </c>
      <c r="I451" s="8" t="n">
        <v>918742</v>
      </c>
      <c r="J451" s="6" t="inlineStr">
        <is>
          <t>MWh</t>
        </is>
      </c>
      <c r="K451" s="8" t="n">
        <v>918742</v>
      </c>
      <c r="L451" s="6" t="inlineStr">
        <is>
          <t>MWh</t>
        </is>
      </c>
      <c r="M451" s="6" t="inlineStr">
        <is>
          <t>EBY</t>
        </is>
      </c>
      <c r="N451" s="6" t="inlineStr">
        <is>
          <t>OFFICIAL_PRIMARY</t>
        </is>
      </c>
      <c r="O451" s="9" t="inlineStr">
        <is>
          <t>OFFICIAL_AGGREGATE</t>
        </is>
      </c>
      <c r="P451" s="8" t="n">
        <v>1</v>
      </c>
      <c r="Q451" s="8" t="n">
        <v>50</v>
      </c>
      <c r="R451" s="7" t="inlineStr">
        <is>
          <t>https://www.eby.gov.py/wp-content/uploads/2019/12/YacyretaEnergiasMensualesDesdePuestaenMarcha.pdf</t>
        </is>
      </c>
      <c r="S451" s="6" t="inlineStr">
        <is>
          <t>EBY-MONTHLY-1994-2012</t>
        </is>
      </c>
      <c r="T451" s="6" t="inlineStr"/>
      <c r="U451" s="4" t="inlineStr">
        <is>
          <t>2026-09-10 23:00:00</t>
        </is>
      </c>
      <c r="V451" s="4" t="inlineStr">
        <is>
          <t>Energia mensual entregada al SADI.</t>
        </is>
      </c>
    </row>
    <row r="452">
      <c r="A452" s="6" t="inlineStr">
        <is>
          <t>R0000451</t>
        </is>
      </c>
      <c r="B452" s="6" t="inlineStr">
        <is>
          <t>2002-09-01</t>
        </is>
      </c>
      <c r="C452" s="6" t="inlineStr">
        <is>
          <t>2002-09-30</t>
        </is>
      </c>
      <c r="D452" s="6" t="inlineStr">
        <is>
          <t>month</t>
        </is>
      </c>
      <c r="E452" s="6" t="inlineStr">
        <is>
          <t>ENERGY_TO_PY</t>
        </is>
      </c>
      <c r="F452" s="6" t="inlineStr">
        <is>
          <t>YACYRETA</t>
        </is>
      </c>
      <c r="G452" s="6" t="inlineStr">
        <is>
          <t>YACYRETA</t>
        </is>
      </c>
      <c r="H452" s="6" t="inlineStr">
        <is>
          <t>SINP</t>
        </is>
      </c>
      <c r="I452" s="8" t="n">
        <v>4967</v>
      </c>
      <c r="J452" s="6" t="inlineStr">
        <is>
          <t>MWh</t>
        </is>
      </c>
      <c r="K452" s="8" t="n">
        <v>4967</v>
      </c>
      <c r="L452" s="6" t="inlineStr">
        <is>
          <t>MWh</t>
        </is>
      </c>
      <c r="M452" s="6" t="inlineStr">
        <is>
          <t>EBY</t>
        </is>
      </c>
      <c r="N452" s="6" t="inlineStr">
        <is>
          <t>OFFICIAL_PRIMARY</t>
        </is>
      </c>
      <c r="O452" s="9" t="inlineStr">
        <is>
          <t>OFFICIAL_AGGREGATE</t>
        </is>
      </c>
      <c r="P452" s="8" t="n">
        <v>1</v>
      </c>
      <c r="Q452" s="8" t="n">
        <v>50</v>
      </c>
      <c r="R452" s="7" t="inlineStr">
        <is>
          <t>https://www.eby.gov.py/wp-content/uploads/2019/12/YacyretaEnergiasMensualesDesdePuestaenMarcha.pdf</t>
        </is>
      </c>
      <c r="S452" s="6" t="inlineStr">
        <is>
          <t>EBY-MONTHLY-1994-2012</t>
        </is>
      </c>
      <c r="T452" s="6" t="inlineStr"/>
      <c r="U452" s="4" t="inlineStr">
        <is>
          <t>2026-09-10 23:00:00</t>
        </is>
      </c>
      <c r="V452" s="4" t="inlineStr">
        <is>
          <t>Energia mensual entregada al SINP.</t>
        </is>
      </c>
    </row>
    <row r="453">
      <c r="A453" s="6" t="inlineStr">
        <is>
          <t>R0000452</t>
        </is>
      </c>
      <c r="B453" s="6" t="inlineStr">
        <is>
          <t>2002-10-01</t>
        </is>
      </c>
      <c r="C453" s="6" t="inlineStr">
        <is>
          <t>2002-10-31</t>
        </is>
      </c>
      <c r="D453" s="6" t="inlineStr">
        <is>
          <t>month</t>
        </is>
      </c>
      <c r="E453" s="6" t="inlineStr">
        <is>
          <t>YACYRETA_NET_ENERGY</t>
        </is>
      </c>
      <c r="F453" s="6" t="inlineStr">
        <is>
          <t>YACYRETA</t>
        </is>
      </c>
      <c r="G453" s="6" t="inlineStr">
        <is>
          <t>YACYRETA</t>
        </is>
      </c>
      <c r="H453" s="6" t="inlineStr">
        <is>
          <t>TOTAL</t>
        </is>
      </c>
      <c r="I453" s="8" t="n">
        <v>1176318</v>
      </c>
      <c r="J453" s="6" t="inlineStr">
        <is>
          <t>MWh</t>
        </is>
      </c>
      <c r="K453" s="8" t="n">
        <v>1176318</v>
      </c>
      <c r="L453" s="6" t="inlineStr">
        <is>
          <t>MWh</t>
        </is>
      </c>
      <c r="M453" s="6" t="inlineStr">
        <is>
          <t>EBY</t>
        </is>
      </c>
      <c r="N453" s="6" t="inlineStr">
        <is>
          <t>OFFICIAL_PRIMARY</t>
        </is>
      </c>
      <c r="O453" s="9" t="inlineStr">
        <is>
          <t>OFFICIAL_AGGREGATE</t>
        </is>
      </c>
      <c r="P453" s="8" t="n">
        <v>1</v>
      </c>
      <c r="Q453" s="8" t="n">
        <v>50</v>
      </c>
      <c r="R453" s="7" t="inlineStr">
        <is>
          <t>https://www.eby.gov.py/wp-content/uploads/2019/12/YacyretaEnergiasMensualesDesdePuestaenMarcha.pdf</t>
        </is>
      </c>
      <c r="S453" s="6" t="inlineStr">
        <is>
          <t>EBY-MONTHLY-1994-2012</t>
        </is>
      </c>
      <c r="T453" s="6" t="inlineStr"/>
      <c r="U453" s="4" t="inlineStr">
        <is>
          <t>2026-09-10 23:00:00</t>
        </is>
      </c>
      <c r="V453" s="4" t="inlineStr">
        <is>
          <t>Energia mensual Yacyreta desde puesta en marcha.</t>
        </is>
      </c>
    </row>
    <row r="454">
      <c r="A454" s="6" t="inlineStr">
        <is>
          <t>R0000453</t>
        </is>
      </c>
      <c r="B454" s="6" t="inlineStr">
        <is>
          <t>2002-10-01</t>
        </is>
      </c>
      <c r="C454" s="6" t="inlineStr">
        <is>
          <t>2002-10-31</t>
        </is>
      </c>
      <c r="D454" s="6" t="inlineStr">
        <is>
          <t>month</t>
        </is>
      </c>
      <c r="E454" s="6" t="inlineStr">
        <is>
          <t>ENERGY_TO_ARGENTINA</t>
        </is>
      </c>
      <c r="F454" s="6" t="inlineStr">
        <is>
          <t>YACYRETA</t>
        </is>
      </c>
      <c r="G454" s="6" t="inlineStr">
        <is>
          <t>YACYRETA</t>
        </is>
      </c>
      <c r="H454" s="6" t="inlineStr">
        <is>
          <t>SADI</t>
        </is>
      </c>
      <c r="I454" s="8" t="n">
        <v>1170798</v>
      </c>
      <c r="J454" s="6" t="inlineStr">
        <is>
          <t>MWh</t>
        </is>
      </c>
      <c r="K454" s="8" t="n">
        <v>1170798</v>
      </c>
      <c r="L454" s="6" t="inlineStr">
        <is>
          <t>MWh</t>
        </is>
      </c>
      <c r="M454" s="6" t="inlineStr">
        <is>
          <t>EBY</t>
        </is>
      </c>
      <c r="N454" s="6" t="inlineStr">
        <is>
          <t>OFFICIAL_PRIMARY</t>
        </is>
      </c>
      <c r="O454" s="9" t="inlineStr">
        <is>
          <t>OFFICIAL_AGGREGATE</t>
        </is>
      </c>
      <c r="P454" s="8" t="n">
        <v>1</v>
      </c>
      <c r="Q454" s="8" t="n">
        <v>50</v>
      </c>
      <c r="R454" s="7" t="inlineStr">
        <is>
          <t>https://www.eby.gov.py/wp-content/uploads/2019/12/YacyretaEnergiasMensualesDesdePuestaenMarcha.pdf</t>
        </is>
      </c>
      <c r="S454" s="6" t="inlineStr">
        <is>
          <t>EBY-MONTHLY-1994-2012</t>
        </is>
      </c>
      <c r="T454" s="6" t="inlineStr"/>
      <c r="U454" s="4" t="inlineStr">
        <is>
          <t>2026-09-10 23:00:00</t>
        </is>
      </c>
      <c r="V454" s="4" t="inlineStr">
        <is>
          <t>Energia mensual entregada al SADI.</t>
        </is>
      </c>
    </row>
    <row r="455">
      <c r="A455" s="6" t="inlineStr">
        <is>
          <t>R0000454</t>
        </is>
      </c>
      <c r="B455" s="6" t="inlineStr">
        <is>
          <t>2002-10-01</t>
        </is>
      </c>
      <c r="C455" s="6" t="inlineStr">
        <is>
          <t>2002-10-31</t>
        </is>
      </c>
      <c r="D455" s="6" t="inlineStr">
        <is>
          <t>month</t>
        </is>
      </c>
      <c r="E455" s="6" t="inlineStr">
        <is>
          <t>ENERGY_TO_PY</t>
        </is>
      </c>
      <c r="F455" s="6" t="inlineStr">
        <is>
          <t>YACYRETA</t>
        </is>
      </c>
      <c r="G455" s="6" t="inlineStr">
        <is>
          <t>YACYRETA</t>
        </is>
      </c>
      <c r="H455" s="6" t="inlineStr">
        <is>
          <t>SINP</t>
        </is>
      </c>
      <c r="I455" s="8" t="n">
        <v>5520</v>
      </c>
      <c r="J455" s="6" t="inlineStr">
        <is>
          <t>MWh</t>
        </is>
      </c>
      <c r="K455" s="8" t="n">
        <v>5520</v>
      </c>
      <c r="L455" s="6" t="inlineStr">
        <is>
          <t>MWh</t>
        </is>
      </c>
      <c r="M455" s="6" t="inlineStr">
        <is>
          <t>EBY</t>
        </is>
      </c>
      <c r="N455" s="6" t="inlineStr">
        <is>
          <t>OFFICIAL_PRIMARY</t>
        </is>
      </c>
      <c r="O455" s="9" t="inlineStr">
        <is>
          <t>OFFICIAL_AGGREGATE</t>
        </is>
      </c>
      <c r="P455" s="8" t="n">
        <v>1</v>
      </c>
      <c r="Q455" s="8" t="n">
        <v>50</v>
      </c>
      <c r="R455" s="7" t="inlineStr">
        <is>
          <t>https://www.eby.gov.py/wp-content/uploads/2019/12/YacyretaEnergiasMensualesDesdePuestaenMarcha.pdf</t>
        </is>
      </c>
      <c r="S455" s="6" t="inlineStr">
        <is>
          <t>EBY-MONTHLY-1994-2012</t>
        </is>
      </c>
      <c r="T455" s="6" t="inlineStr"/>
      <c r="U455" s="4" t="inlineStr">
        <is>
          <t>2026-09-10 23:00:00</t>
        </is>
      </c>
      <c r="V455" s="4" t="inlineStr">
        <is>
          <t>Energia mensual entregada al SINP.</t>
        </is>
      </c>
    </row>
    <row r="456">
      <c r="A456" s="6" t="inlineStr">
        <is>
          <t>R0000455</t>
        </is>
      </c>
      <c r="B456" s="6" t="inlineStr">
        <is>
          <t>2002-11-01</t>
        </is>
      </c>
      <c r="C456" s="6" t="inlineStr">
        <is>
          <t>2002-11-30</t>
        </is>
      </c>
      <c r="D456" s="6" t="inlineStr">
        <is>
          <t>month</t>
        </is>
      </c>
      <c r="E456" s="6" t="inlineStr">
        <is>
          <t>YACYRETA_NET_ENERGY</t>
        </is>
      </c>
      <c r="F456" s="6" t="inlineStr">
        <is>
          <t>YACYRETA</t>
        </is>
      </c>
      <c r="G456" s="6" t="inlineStr">
        <is>
          <t>YACYRETA</t>
        </is>
      </c>
      <c r="H456" s="6" t="inlineStr">
        <is>
          <t>TOTAL</t>
        </is>
      </c>
      <c r="I456" s="8" t="n">
        <v>1113871</v>
      </c>
      <c r="J456" s="6" t="inlineStr">
        <is>
          <t>MWh</t>
        </is>
      </c>
      <c r="K456" s="8" t="n">
        <v>1113871</v>
      </c>
      <c r="L456" s="6" t="inlineStr">
        <is>
          <t>MWh</t>
        </is>
      </c>
      <c r="M456" s="6" t="inlineStr">
        <is>
          <t>EBY</t>
        </is>
      </c>
      <c r="N456" s="6" t="inlineStr">
        <is>
          <t>OFFICIAL_PRIMARY</t>
        </is>
      </c>
      <c r="O456" s="9" t="inlineStr">
        <is>
          <t>OFFICIAL_AGGREGATE</t>
        </is>
      </c>
      <c r="P456" s="8" t="n">
        <v>1</v>
      </c>
      <c r="Q456" s="8" t="n">
        <v>50</v>
      </c>
      <c r="R456" s="7" t="inlineStr">
        <is>
          <t>https://www.eby.gov.py/wp-content/uploads/2019/12/YacyretaEnergiasMensualesDesdePuestaenMarcha.pdf</t>
        </is>
      </c>
      <c r="S456" s="6" t="inlineStr">
        <is>
          <t>EBY-MONTHLY-1994-2012</t>
        </is>
      </c>
      <c r="T456" s="6" t="inlineStr"/>
      <c r="U456" s="4" t="inlineStr">
        <is>
          <t>2026-09-10 23:00:00</t>
        </is>
      </c>
      <c r="V456" s="4" t="inlineStr">
        <is>
          <t>Energia mensual Yacyreta desde puesta en marcha.</t>
        </is>
      </c>
    </row>
    <row r="457">
      <c r="A457" s="6" t="inlineStr">
        <is>
          <t>R0000456</t>
        </is>
      </c>
      <c r="B457" s="6" t="inlineStr">
        <is>
          <t>2002-11-01</t>
        </is>
      </c>
      <c r="C457" s="6" t="inlineStr">
        <is>
          <t>2002-11-30</t>
        </is>
      </c>
      <c r="D457" s="6" t="inlineStr">
        <is>
          <t>month</t>
        </is>
      </c>
      <c r="E457" s="6" t="inlineStr">
        <is>
          <t>ENERGY_TO_ARGENTINA</t>
        </is>
      </c>
      <c r="F457" s="6" t="inlineStr">
        <is>
          <t>YACYRETA</t>
        </is>
      </c>
      <c r="G457" s="6" t="inlineStr">
        <is>
          <t>YACYRETA</t>
        </is>
      </c>
      <c r="H457" s="6" t="inlineStr">
        <is>
          <t>SADI</t>
        </is>
      </c>
      <c r="I457" s="8" t="n">
        <v>1109540</v>
      </c>
      <c r="J457" s="6" t="inlineStr">
        <is>
          <t>MWh</t>
        </is>
      </c>
      <c r="K457" s="8" t="n">
        <v>1109540</v>
      </c>
      <c r="L457" s="6" t="inlineStr">
        <is>
          <t>MWh</t>
        </is>
      </c>
      <c r="M457" s="6" t="inlineStr">
        <is>
          <t>EBY</t>
        </is>
      </c>
      <c r="N457" s="6" t="inlineStr">
        <is>
          <t>OFFICIAL_PRIMARY</t>
        </is>
      </c>
      <c r="O457" s="9" t="inlineStr">
        <is>
          <t>OFFICIAL_AGGREGATE</t>
        </is>
      </c>
      <c r="P457" s="8" t="n">
        <v>1</v>
      </c>
      <c r="Q457" s="8" t="n">
        <v>50</v>
      </c>
      <c r="R457" s="7" t="inlineStr">
        <is>
          <t>https://www.eby.gov.py/wp-content/uploads/2019/12/YacyretaEnergiasMensualesDesdePuestaenMarcha.pdf</t>
        </is>
      </c>
      <c r="S457" s="6" t="inlineStr">
        <is>
          <t>EBY-MONTHLY-1994-2012</t>
        </is>
      </c>
      <c r="T457" s="6" t="inlineStr"/>
      <c r="U457" s="4" t="inlineStr">
        <is>
          <t>2026-09-10 23:00:00</t>
        </is>
      </c>
      <c r="V457" s="4" t="inlineStr">
        <is>
          <t>Energia mensual entregada al SADI.</t>
        </is>
      </c>
    </row>
    <row r="458">
      <c r="A458" s="6" t="inlineStr">
        <is>
          <t>R0000457</t>
        </is>
      </c>
      <c r="B458" s="6" t="inlineStr">
        <is>
          <t>2002-11-01</t>
        </is>
      </c>
      <c r="C458" s="6" t="inlineStr">
        <is>
          <t>2002-11-30</t>
        </is>
      </c>
      <c r="D458" s="6" t="inlineStr">
        <is>
          <t>month</t>
        </is>
      </c>
      <c r="E458" s="6" t="inlineStr">
        <is>
          <t>ENERGY_TO_PY</t>
        </is>
      </c>
      <c r="F458" s="6" t="inlineStr">
        <is>
          <t>YACYRETA</t>
        </is>
      </c>
      <c r="G458" s="6" t="inlineStr">
        <is>
          <t>YACYRETA</t>
        </is>
      </c>
      <c r="H458" s="6" t="inlineStr">
        <is>
          <t>SINP</t>
        </is>
      </c>
      <c r="I458" s="8" t="n">
        <v>4331</v>
      </c>
      <c r="J458" s="6" t="inlineStr">
        <is>
          <t>MWh</t>
        </is>
      </c>
      <c r="K458" s="8" t="n">
        <v>4331</v>
      </c>
      <c r="L458" s="6" t="inlineStr">
        <is>
          <t>MWh</t>
        </is>
      </c>
      <c r="M458" s="6" t="inlineStr">
        <is>
          <t>EBY</t>
        </is>
      </c>
      <c r="N458" s="6" t="inlineStr">
        <is>
          <t>OFFICIAL_PRIMARY</t>
        </is>
      </c>
      <c r="O458" s="9" t="inlineStr">
        <is>
          <t>OFFICIAL_AGGREGATE</t>
        </is>
      </c>
      <c r="P458" s="8" t="n">
        <v>1</v>
      </c>
      <c r="Q458" s="8" t="n">
        <v>50</v>
      </c>
      <c r="R458" s="7" t="inlineStr">
        <is>
          <t>https://www.eby.gov.py/wp-content/uploads/2019/12/YacyretaEnergiasMensualesDesdePuestaenMarcha.pdf</t>
        </is>
      </c>
      <c r="S458" s="6" t="inlineStr">
        <is>
          <t>EBY-MONTHLY-1994-2012</t>
        </is>
      </c>
      <c r="T458" s="6" t="inlineStr"/>
      <c r="U458" s="4" t="inlineStr">
        <is>
          <t>2026-09-10 23:00:00</t>
        </is>
      </c>
      <c r="V458" s="4" t="inlineStr">
        <is>
          <t>Energia mensual entregada al SINP.</t>
        </is>
      </c>
    </row>
    <row r="459">
      <c r="A459" s="6" t="inlineStr">
        <is>
          <t>R0000458</t>
        </is>
      </c>
      <c r="B459" s="6" t="inlineStr">
        <is>
          <t>2002-12-01</t>
        </is>
      </c>
      <c r="C459" s="6" t="inlineStr">
        <is>
          <t>2002-12-31</t>
        </is>
      </c>
      <c r="D459" s="6" t="inlineStr">
        <is>
          <t>month</t>
        </is>
      </c>
      <c r="E459" s="6" t="inlineStr">
        <is>
          <t>YACYRETA_NET_ENERGY</t>
        </is>
      </c>
      <c r="F459" s="6" t="inlineStr">
        <is>
          <t>YACYRETA</t>
        </is>
      </c>
      <c r="G459" s="6" t="inlineStr">
        <is>
          <t>YACYRETA</t>
        </is>
      </c>
      <c r="H459" s="6" t="inlineStr">
        <is>
          <t>TOTAL</t>
        </is>
      </c>
      <c r="I459" s="8" t="n">
        <v>1188800</v>
      </c>
      <c r="J459" s="6" t="inlineStr">
        <is>
          <t>MWh</t>
        </is>
      </c>
      <c r="K459" s="8" t="n">
        <v>1188800</v>
      </c>
      <c r="L459" s="6" t="inlineStr">
        <is>
          <t>MWh</t>
        </is>
      </c>
      <c r="M459" s="6" t="inlineStr">
        <is>
          <t>EBY</t>
        </is>
      </c>
      <c r="N459" s="6" t="inlineStr">
        <is>
          <t>OFFICIAL_PRIMARY</t>
        </is>
      </c>
      <c r="O459" s="9" t="inlineStr">
        <is>
          <t>OFFICIAL_AGGREGATE</t>
        </is>
      </c>
      <c r="P459" s="8" t="n">
        <v>1</v>
      </c>
      <c r="Q459" s="8" t="n">
        <v>50</v>
      </c>
      <c r="R459" s="7" t="inlineStr">
        <is>
          <t>https://www.eby.gov.py/wp-content/uploads/2019/12/YacyretaEnergiasMensualesDesdePuestaenMarcha.pdf</t>
        </is>
      </c>
      <c r="S459" s="6" t="inlineStr">
        <is>
          <t>EBY-MONTHLY-1994-2012</t>
        </is>
      </c>
      <c r="T459" s="6" t="inlineStr"/>
      <c r="U459" s="4" t="inlineStr">
        <is>
          <t>2026-09-10 23:00:00</t>
        </is>
      </c>
      <c r="V459" s="4" t="inlineStr">
        <is>
          <t>Energia mensual Yacyreta desde puesta en marcha.</t>
        </is>
      </c>
    </row>
    <row r="460">
      <c r="A460" s="6" t="inlineStr">
        <is>
          <t>R0000459</t>
        </is>
      </c>
      <c r="B460" s="6" t="inlineStr">
        <is>
          <t>2002-12-01</t>
        </is>
      </c>
      <c r="C460" s="6" t="inlineStr">
        <is>
          <t>2002-12-31</t>
        </is>
      </c>
      <c r="D460" s="6" t="inlineStr">
        <is>
          <t>month</t>
        </is>
      </c>
      <c r="E460" s="6" t="inlineStr">
        <is>
          <t>ENERGY_TO_ARGENTINA</t>
        </is>
      </c>
      <c r="F460" s="6" t="inlineStr">
        <is>
          <t>YACYRETA</t>
        </is>
      </c>
      <c r="G460" s="6" t="inlineStr">
        <is>
          <t>YACYRETA</t>
        </is>
      </c>
      <c r="H460" s="6" t="inlineStr">
        <is>
          <t>SADI</t>
        </is>
      </c>
      <c r="I460" s="8" t="n">
        <v>1185754</v>
      </c>
      <c r="J460" s="6" t="inlineStr">
        <is>
          <t>MWh</t>
        </is>
      </c>
      <c r="K460" s="8" t="n">
        <v>1185754</v>
      </c>
      <c r="L460" s="6" t="inlineStr">
        <is>
          <t>MWh</t>
        </is>
      </c>
      <c r="M460" s="6" t="inlineStr">
        <is>
          <t>EBY</t>
        </is>
      </c>
      <c r="N460" s="6" t="inlineStr">
        <is>
          <t>OFFICIAL_PRIMARY</t>
        </is>
      </c>
      <c r="O460" s="9" t="inlineStr">
        <is>
          <t>OFFICIAL_AGGREGATE</t>
        </is>
      </c>
      <c r="P460" s="8" t="n">
        <v>1</v>
      </c>
      <c r="Q460" s="8" t="n">
        <v>50</v>
      </c>
      <c r="R460" s="7" t="inlineStr">
        <is>
          <t>https://www.eby.gov.py/wp-content/uploads/2019/12/YacyretaEnergiasMensualesDesdePuestaenMarcha.pdf</t>
        </is>
      </c>
      <c r="S460" s="6" t="inlineStr">
        <is>
          <t>EBY-MONTHLY-1994-2012</t>
        </is>
      </c>
      <c r="T460" s="6" t="inlineStr"/>
      <c r="U460" s="4" t="inlineStr">
        <is>
          <t>2026-09-10 23:00:00</t>
        </is>
      </c>
      <c r="V460" s="4" t="inlineStr">
        <is>
          <t>Energia mensual entregada al SADI.</t>
        </is>
      </c>
    </row>
    <row r="461">
      <c r="A461" s="6" t="inlineStr">
        <is>
          <t>R0000460</t>
        </is>
      </c>
      <c r="B461" s="6" t="inlineStr">
        <is>
          <t>2002-12-01</t>
        </is>
      </c>
      <c r="C461" s="6" t="inlineStr">
        <is>
          <t>2002-12-31</t>
        </is>
      </c>
      <c r="D461" s="6" t="inlineStr">
        <is>
          <t>month</t>
        </is>
      </c>
      <c r="E461" s="6" t="inlineStr">
        <is>
          <t>ENERGY_TO_PY</t>
        </is>
      </c>
      <c r="F461" s="6" t="inlineStr">
        <is>
          <t>YACYRETA</t>
        </is>
      </c>
      <c r="G461" s="6" t="inlineStr">
        <is>
          <t>YACYRETA</t>
        </is>
      </c>
      <c r="H461" s="6" t="inlineStr">
        <is>
          <t>SINP</t>
        </is>
      </c>
      <c r="I461" s="8" t="n">
        <v>3046</v>
      </c>
      <c r="J461" s="6" t="inlineStr">
        <is>
          <t>MWh</t>
        </is>
      </c>
      <c r="K461" s="8" t="n">
        <v>3046</v>
      </c>
      <c r="L461" s="6" t="inlineStr">
        <is>
          <t>MWh</t>
        </is>
      </c>
      <c r="M461" s="6" t="inlineStr">
        <is>
          <t>EBY</t>
        </is>
      </c>
      <c r="N461" s="6" t="inlineStr">
        <is>
          <t>OFFICIAL_PRIMARY</t>
        </is>
      </c>
      <c r="O461" s="9" t="inlineStr">
        <is>
          <t>OFFICIAL_AGGREGATE</t>
        </is>
      </c>
      <c r="P461" s="8" t="n">
        <v>1</v>
      </c>
      <c r="Q461" s="8" t="n">
        <v>50</v>
      </c>
      <c r="R461" s="7" t="inlineStr">
        <is>
          <t>https://www.eby.gov.py/wp-content/uploads/2019/12/YacyretaEnergiasMensualesDesdePuestaenMarcha.pdf</t>
        </is>
      </c>
      <c r="S461" s="6" t="inlineStr">
        <is>
          <t>EBY-MONTHLY-1994-2012</t>
        </is>
      </c>
      <c r="T461" s="6" t="inlineStr"/>
      <c r="U461" s="4" t="inlineStr">
        <is>
          <t>2026-09-10 23:00:00</t>
        </is>
      </c>
      <c r="V461" s="4" t="inlineStr">
        <is>
          <t>Energia mensual entregada al SINP.</t>
        </is>
      </c>
    </row>
    <row r="462">
      <c r="A462" s="6" t="inlineStr">
        <is>
          <t>R0000461</t>
        </is>
      </c>
      <c r="B462" s="6" t="inlineStr">
        <is>
          <t>2003-01-01</t>
        </is>
      </c>
      <c r="C462" s="6" t="inlineStr">
        <is>
          <t>2003-01-31</t>
        </is>
      </c>
      <c r="D462" s="6" t="inlineStr">
        <is>
          <t>month</t>
        </is>
      </c>
      <c r="E462" s="6" t="inlineStr">
        <is>
          <t>YACYRETA_NET_ENERGY</t>
        </is>
      </c>
      <c r="F462" s="6" t="inlineStr">
        <is>
          <t>YACYRETA</t>
        </is>
      </c>
      <c r="G462" s="6" t="inlineStr">
        <is>
          <t>YACYRETA</t>
        </is>
      </c>
      <c r="H462" s="6" t="inlineStr">
        <is>
          <t>TOTAL</t>
        </is>
      </c>
      <c r="I462" s="8" t="n">
        <v>1063206</v>
      </c>
      <c r="J462" s="6" t="inlineStr">
        <is>
          <t>MWh</t>
        </is>
      </c>
      <c r="K462" s="8" t="n">
        <v>1063206</v>
      </c>
      <c r="L462" s="6" t="inlineStr">
        <is>
          <t>MWh</t>
        </is>
      </c>
      <c r="M462" s="6" t="inlineStr">
        <is>
          <t>EBY</t>
        </is>
      </c>
      <c r="N462" s="6" t="inlineStr">
        <is>
          <t>OFFICIAL_PRIMARY</t>
        </is>
      </c>
      <c r="O462" s="9" t="inlineStr">
        <is>
          <t>OFFICIAL_AGGREGATE</t>
        </is>
      </c>
      <c r="P462" s="8" t="n">
        <v>1</v>
      </c>
      <c r="Q462" s="8" t="n">
        <v>50</v>
      </c>
      <c r="R462" s="7" t="inlineStr">
        <is>
          <t>https://www.eby.gov.py/wp-content/uploads/2019/12/YacyretaEnergiasMensualesDesdePuestaenMarcha.pdf</t>
        </is>
      </c>
      <c r="S462" s="6" t="inlineStr">
        <is>
          <t>EBY-MONTHLY-1994-2012</t>
        </is>
      </c>
      <c r="T462" s="6" t="inlineStr"/>
      <c r="U462" s="4" t="inlineStr">
        <is>
          <t>2026-09-10 23:00:00</t>
        </is>
      </c>
      <c r="V462" s="4" t="inlineStr">
        <is>
          <t>Energia mensual Yacyreta desde puesta en marcha.</t>
        </is>
      </c>
    </row>
    <row r="463">
      <c r="A463" s="6" t="inlineStr">
        <is>
          <t>R0000462</t>
        </is>
      </c>
      <c r="B463" s="6" t="inlineStr">
        <is>
          <t>2003-01-01</t>
        </is>
      </c>
      <c r="C463" s="6" t="inlineStr">
        <is>
          <t>2003-01-31</t>
        </is>
      </c>
      <c r="D463" s="6" t="inlineStr">
        <is>
          <t>month</t>
        </is>
      </c>
      <c r="E463" s="6" t="inlineStr">
        <is>
          <t>ENERGY_TO_ARGENTINA</t>
        </is>
      </c>
      <c r="F463" s="6" t="inlineStr">
        <is>
          <t>YACYRETA</t>
        </is>
      </c>
      <c r="G463" s="6" t="inlineStr">
        <is>
          <t>YACYRETA</t>
        </is>
      </c>
      <c r="H463" s="6" t="inlineStr">
        <is>
          <t>SADI</t>
        </is>
      </c>
      <c r="I463" s="8" t="n">
        <v>1060250</v>
      </c>
      <c r="J463" s="6" t="inlineStr">
        <is>
          <t>MWh</t>
        </is>
      </c>
      <c r="K463" s="8" t="n">
        <v>1060250</v>
      </c>
      <c r="L463" s="6" t="inlineStr">
        <is>
          <t>MWh</t>
        </is>
      </c>
      <c r="M463" s="6" t="inlineStr">
        <is>
          <t>EBY</t>
        </is>
      </c>
      <c r="N463" s="6" t="inlineStr">
        <is>
          <t>OFFICIAL_PRIMARY</t>
        </is>
      </c>
      <c r="O463" s="9" t="inlineStr">
        <is>
          <t>OFFICIAL_AGGREGATE</t>
        </is>
      </c>
      <c r="P463" s="8" t="n">
        <v>1</v>
      </c>
      <c r="Q463" s="8" t="n">
        <v>50</v>
      </c>
      <c r="R463" s="7" t="inlineStr">
        <is>
          <t>https://www.eby.gov.py/wp-content/uploads/2019/12/YacyretaEnergiasMensualesDesdePuestaenMarcha.pdf</t>
        </is>
      </c>
      <c r="S463" s="6" t="inlineStr">
        <is>
          <t>EBY-MONTHLY-1994-2012</t>
        </is>
      </c>
      <c r="T463" s="6" t="inlineStr"/>
      <c r="U463" s="4" t="inlineStr">
        <is>
          <t>2026-09-10 23:00:00</t>
        </is>
      </c>
      <c r="V463" s="4" t="inlineStr">
        <is>
          <t>Energia mensual entregada al SADI.</t>
        </is>
      </c>
    </row>
    <row r="464">
      <c r="A464" s="6" t="inlineStr">
        <is>
          <t>R0000463</t>
        </is>
      </c>
      <c r="B464" s="6" t="inlineStr">
        <is>
          <t>2003-01-01</t>
        </is>
      </c>
      <c r="C464" s="6" t="inlineStr">
        <is>
          <t>2003-01-31</t>
        </is>
      </c>
      <c r="D464" s="6" t="inlineStr">
        <is>
          <t>month</t>
        </is>
      </c>
      <c r="E464" s="6" t="inlineStr">
        <is>
          <t>ENERGY_TO_PY</t>
        </is>
      </c>
      <c r="F464" s="6" t="inlineStr">
        <is>
          <t>YACYRETA</t>
        </is>
      </c>
      <c r="G464" s="6" t="inlineStr">
        <is>
          <t>YACYRETA</t>
        </is>
      </c>
      <c r="H464" s="6" t="inlineStr">
        <is>
          <t>SINP</t>
        </is>
      </c>
      <c r="I464" s="8" t="n">
        <v>2956</v>
      </c>
      <c r="J464" s="6" t="inlineStr">
        <is>
          <t>MWh</t>
        </is>
      </c>
      <c r="K464" s="8" t="n">
        <v>2956</v>
      </c>
      <c r="L464" s="6" t="inlineStr">
        <is>
          <t>MWh</t>
        </is>
      </c>
      <c r="M464" s="6" t="inlineStr">
        <is>
          <t>EBY</t>
        </is>
      </c>
      <c r="N464" s="6" t="inlineStr">
        <is>
          <t>OFFICIAL_PRIMARY</t>
        </is>
      </c>
      <c r="O464" s="9" t="inlineStr">
        <is>
          <t>OFFICIAL_AGGREGATE</t>
        </is>
      </c>
      <c r="P464" s="8" t="n">
        <v>1</v>
      </c>
      <c r="Q464" s="8" t="n">
        <v>50</v>
      </c>
      <c r="R464" s="7" t="inlineStr">
        <is>
          <t>https://www.eby.gov.py/wp-content/uploads/2019/12/YacyretaEnergiasMensualesDesdePuestaenMarcha.pdf</t>
        </is>
      </c>
      <c r="S464" s="6" t="inlineStr">
        <is>
          <t>EBY-MONTHLY-1994-2012</t>
        </is>
      </c>
      <c r="T464" s="6" t="inlineStr"/>
      <c r="U464" s="4" t="inlineStr">
        <is>
          <t>2026-09-10 23:00:00</t>
        </is>
      </c>
      <c r="V464" s="4" t="inlineStr">
        <is>
          <t>Energia mensual entregada al SINP.</t>
        </is>
      </c>
    </row>
    <row r="465">
      <c r="A465" s="6" t="inlineStr">
        <is>
          <t>R0000464</t>
        </is>
      </c>
      <c r="B465" s="6" t="inlineStr">
        <is>
          <t>2003-02-01</t>
        </is>
      </c>
      <c r="C465" s="6" t="inlineStr">
        <is>
          <t>2003-02-28</t>
        </is>
      </c>
      <c r="D465" s="6" t="inlineStr">
        <is>
          <t>month</t>
        </is>
      </c>
      <c r="E465" s="6" t="inlineStr">
        <is>
          <t>YACYRETA_NET_ENERGY</t>
        </is>
      </c>
      <c r="F465" s="6" t="inlineStr">
        <is>
          <t>YACYRETA</t>
        </is>
      </c>
      <c r="G465" s="6" t="inlineStr">
        <is>
          <t>YACYRETA</t>
        </is>
      </c>
      <c r="H465" s="6" t="inlineStr">
        <is>
          <t>TOTAL</t>
        </is>
      </c>
      <c r="I465" s="8" t="n">
        <v>1169984</v>
      </c>
      <c r="J465" s="6" t="inlineStr">
        <is>
          <t>MWh</t>
        </is>
      </c>
      <c r="K465" s="8" t="n">
        <v>1169984</v>
      </c>
      <c r="L465" s="6" t="inlineStr">
        <is>
          <t>MWh</t>
        </is>
      </c>
      <c r="M465" s="6" t="inlineStr">
        <is>
          <t>EBY</t>
        </is>
      </c>
      <c r="N465" s="6" t="inlineStr">
        <is>
          <t>OFFICIAL_PRIMARY</t>
        </is>
      </c>
      <c r="O465" s="9" t="inlineStr">
        <is>
          <t>OFFICIAL_AGGREGATE</t>
        </is>
      </c>
      <c r="P465" s="8" t="n">
        <v>1</v>
      </c>
      <c r="Q465" s="8" t="n">
        <v>50</v>
      </c>
      <c r="R465" s="7" t="inlineStr">
        <is>
          <t>https://www.eby.gov.py/wp-content/uploads/2019/12/YacyretaEnergiasMensualesDesdePuestaenMarcha.pdf</t>
        </is>
      </c>
      <c r="S465" s="6" t="inlineStr">
        <is>
          <t>EBY-MONTHLY-1994-2012</t>
        </is>
      </c>
      <c r="T465" s="6" t="inlineStr"/>
      <c r="U465" s="4" t="inlineStr">
        <is>
          <t>2026-09-10 23:00:00</t>
        </is>
      </c>
      <c r="V465" s="4" t="inlineStr">
        <is>
          <t>Energia mensual Yacyreta desde puesta en marcha.</t>
        </is>
      </c>
    </row>
    <row r="466">
      <c r="A466" s="6" t="inlineStr">
        <is>
          <t>R0000465</t>
        </is>
      </c>
      <c r="B466" s="6" t="inlineStr">
        <is>
          <t>2003-02-01</t>
        </is>
      </c>
      <c r="C466" s="6" t="inlineStr">
        <is>
          <t>2003-02-28</t>
        </is>
      </c>
      <c r="D466" s="6" t="inlineStr">
        <is>
          <t>month</t>
        </is>
      </c>
      <c r="E466" s="6" t="inlineStr">
        <is>
          <t>ENERGY_TO_ARGENTINA</t>
        </is>
      </c>
      <c r="F466" s="6" t="inlineStr">
        <is>
          <t>YACYRETA</t>
        </is>
      </c>
      <c r="G466" s="6" t="inlineStr">
        <is>
          <t>YACYRETA</t>
        </is>
      </c>
      <c r="H466" s="6" t="inlineStr">
        <is>
          <t>SADI</t>
        </is>
      </c>
      <c r="I466" s="8" t="n">
        <v>1165468</v>
      </c>
      <c r="J466" s="6" t="inlineStr">
        <is>
          <t>MWh</t>
        </is>
      </c>
      <c r="K466" s="8" t="n">
        <v>1165468</v>
      </c>
      <c r="L466" s="6" t="inlineStr">
        <is>
          <t>MWh</t>
        </is>
      </c>
      <c r="M466" s="6" t="inlineStr">
        <is>
          <t>EBY</t>
        </is>
      </c>
      <c r="N466" s="6" t="inlineStr">
        <is>
          <t>OFFICIAL_PRIMARY</t>
        </is>
      </c>
      <c r="O466" s="9" t="inlineStr">
        <is>
          <t>OFFICIAL_AGGREGATE</t>
        </is>
      </c>
      <c r="P466" s="8" t="n">
        <v>1</v>
      </c>
      <c r="Q466" s="8" t="n">
        <v>50</v>
      </c>
      <c r="R466" s="7" t="inlineStr">
        <is>
          <t>https://www.eby.gov.py/wp-content/uploads/2019/12/YacyretaEnergiasMensualesDesdePuestaenMarcha.pdf</t>
        </is>
      </c>
      <c r="S466" s="6" t="inlineStr">
        <is>
          <t>EBY-MONTHLY-1994-2012</t>
        </is>
      </c>
      <c r="T466" s="6" t="inlineStr"/>
      <c r="U466" s="4" t="inlineStr">
        <is>
          <t>2026-09-10 23:00:00</t>
        </is>
      </c>
      <c r="V466" s="4" t="inlineStr">
        <is>
          <t>Energia mensual entregada al SADI.</t>
        </is>
      </c>
    </row>
    <row r="467">
      <c r="A467" s="6" t="inlineStr">
        <is>
          <t>R0000466</t>
        </is>
      </c>
      <c r="B467" s="6" t="inlineStr">
        <is>
          <t>2003-02-01</t>
        </is>
      </c>
      <c r="C467" s="6" t="inlineStr">
        <is>
          <t>2003-02-28</t>
        </is>
      </c>
      <c r="D467" s="6" t="inlineStr">
        <is>
          <t>month</t>
        </is>
      </c>
      <c r="E467" s="6" t="inlineStr">
        <is>
          <t>ENERGY_TO_PY</t>
        </is>
      </c>
      <c r="F467" s="6" t="inlineStr">
        <is>
          <t>YACYRETA</t>
        </is>
      </c>
      <c r="G467" s="6" t="inlineStr">
        <is>
          <t>YACYRETA</t>
        </is>
      </c>
      <c r="H467" s="6" t="inlineStr">
        <is>
          <t>SINP</t>
        </is>
      </c>
      <c r="I467" s="8" t="n">
        <v>4516</v>
      </c>
      <c r="J467" s="6" t="inlineStr">
        <is>
          <t>MWh</t>
        </is>
      </c>
      <c r="K467" s="8" t="n">
        <v>4516</v>
      </c>
      <c r="L467" s="6" t="inlineStr">
        <is>
          <t>MWh</t>
        </is>
      </c>
      <c r="M467" s="6" t="inlineStr">
        <is>
          <t>EBY</t>
        </is>
      </c>
      <c r="N467" s="6" t="inlineStr">
        <is>
          <t>OFFICIAL_PRIMARY</t>
        </is>
      </c>
      <c r="O467" s="9" t="inlineStr">
        <is>
          <t>OFFICIAL_AGGREGATE</t>
        </is>
      </c>
      <c r="P467" s="8" t="n">
        <v>1</v>
      </c>
      <c r="Q467" s="8" t="n">
        <v>50</v>
      </c>
      <c r="R467" s="7" t="inlineStr">
        <is>
          <t>https://www.eby.gov.py/wp-content/uploads/2019/12/YacyretaEnergiasMensualesDesdePuestaenMarcha.pdf</t>
        </is>
      </c>
      <c r="S467" s="6" t="inlineStr">
        <is>
          <t>EBY-MONTHLY-1994-2012</t>
        </is>
      </c>
      <c r="T467" s="6" t="inlineStr"/>
      <c r="U467" s="4" t="inlineStr">
        <is>
          <t>2026-09-10 23:00:00</t>
        </is>
      </c>
      <c r="V467" s="4" t="inlineStr">
        <is>
          <t>Energia mensual entregada al SINP.</t>
        </is>
      </c>
    </row>
    <row r="468">
      <c r="A468" s="6" t="inlineStr">
        <is>
          <t>R0000467</t>
        </is>
      </c>
      <c r="B468" s="6" t="inlineStr">
        <is>
          <t>2003-03-01</t>
        </is>
      </c>
      <c r="C468" s="6" t="inlineStr">
        <is>
          <t>2003-03-31</t>
        </is>
      </c>
      <c r="D468" s="6" t="inlineStr">
        <is>
          <t>month</t>
        </is>
      </c>
      <c r="E468" s="6" t="inlineStr">
        <is>
          <t>YACYRETA_NET_ENERGY</t>
        </is>
      </c>
      <c r="F468" s="6" t="inlineStr">
        <is>
          <t>YACYRETA</t>
        </is>
      </c>
      <c r="G468" s="6" t="inlineStr">
        <is>
          <t>YACYRETA</t>
        </is>
      </c>
      <c r="H468" s="6" t="inlineStr">
        <is>
          <t>TOTAL</t>
        </is>
      </c>
      <c r="I468" s="8" t="n">
        <v>1216206</v>
      </c>
      <c r="J468" s="6" t="inlineStr">
        <is>
          <t>MWh</t>
        </is>
      </c>
      <c r="K468" s="8" t="n">
        <v>1216206</v>
      </c>
      <c r="L468" s="6" t="inlineStr">
        <is>
          <t>MWh</t>
        </is>
      </c>
      <c r="M468" s="6" t="inlineStr">
        <is>
          <t>EBY</t>
        </is>
      </c>
      <c r="N468" s="6" t="inlineStr">
        <is>
          <t>OFFICIAL_PRIMARY</t>
        </is>
      </c>
      <c r="O468" s="9" t="inlineStr">
        <is>
          <t>OFFICIAL_AGGREGATE</t>
        </is>
      </c>
      <c r="P468" s="8" t="n">
        <v>1</v>
      </c>
      <c r="Q468" s="8" t="n">
        <v>50</v>
      </c>
      <c r="R468" s="7" t="inlineStr">
        <is>
          <t>https://www.eby.gov.py/wp-content/uploads/2019/12/YacyretaEnergiasMensualesDesdePuestaenMarcha.pdf</t>
        </is>
      </c>
      <c r="S468" s="6" t="inlineStr">
        <is>
          <t>EBY-MONTHLY-1994-2012</t>
        </is>
      </c>
      <c r="T468" s="6" t="inlineStr"/>
      <c r="U468" s="4" t="inlineStr">
        <is>
          <t>2026-09-10 23:00:00</t>
        </is>
      </c>
      <c r="V468" s="4" t="inlineStr">
        <is>
          <t>Energia mensual Yacyreta desde puesta en marcha.</t>
        </is>
      </c>
    </row>
    <row r="469">
      <c r="A469" s="6" t="inlineStr">
        <is>
          <t>R0000468</t>
        </is>
      </c>
      <c r="B469" s="6" t="inlineStr">
        <is>
          <t>2003-03-01</t>
        </is>
      </c>
      <c r="C469" s="6" t="inlineStr">
        <is>
          <t>2003-03-31</t>
        </is>
      </c>
      <c r="D469" s="6" t="inlineStr">
        <is>
          <t>month</t>
        </is>
      </c>
      <c r="E469" s="6" t="inlineStr">
        <is>
          <t>ENERGY_TO_ARGENTINA</t>
        </is>
      </c>
      <c r="F469" s="6" t="inlineStr">
        <is>
          <t>YACYRETA</t>
        </is>
      </c>
      <c r="G469" s="6" t="inlineStr">
        <is>
          <t>YACYRETA</t>
        </is>
      </c>
      <c r="H469" s="6" t="inlineStr">
        <is>
          <t>SADI</t>
        </is>
      </c>
      <c r="I469" s="8" t="n">
        <v>1208878</v>
      </c>
      <c r="J469" s="6" t="inlineStr">
        <is>
          <t>MWh</t>
        </is>
      </c>
      <c r="K469" s="8" t="n">
        <v>1208878</v>
      </c>
      <c r="L469" s="6" t="inlineStr">
        <is>
          <t>MWh</t>
        </is>
      </c>
      <c r="M469" s="6" t="inlineStr">
        <is>
          <t>EBY</t>
        </is>
      </c>
      <c r="N469" s="6" t="inlineStr">
        <is>
          <t>OFFICIAL_PRIMARY</t>
        </is>
      </c>
      <c r="O469" s="9" t="inlineStr">
        <is>
          <t>OFFICIAL_AGGREGATE</t>
        </is>
      </c>
      <c r="P469" s="8" t="n">
        <v>1</v>
      </c>
      <c r="Q469" s="8" t="n">
        <v>50</v>
      </c>
      <c r="R469" s="7" t="inlineStr">
        <is>
          <t>https://www.eby.gov.py/wp-content/uploads/2019/12/YacyretaEnergiasMensualesDesdePuestaenMarcha.pdf</t>
        </is>
      </c>
      <c r="S469" s="6" t="inlineStr">
        <is>
          <t>EBY-MONTHLY-1994-2012</t>
        </is>
      </c>
      <c r="T469" s="6" t="inlineStr"/>
      <c r="U469" s="4" t="inlineStr">
        <is>
          <t>2026-09-10 23:00:00</t>
        </is>
      </c>
      <c r="V469" s="4" t="inlineStr">
        <is>
          <t>Energia mensual entregada al SADI.</t>
        </is>
      </c>
    </row>
    <row r="470">
      <c r="A470" s="6" t="inlineStr">
        <is>
          <t>R0000469</t>
        </is>
      </c>
      <c r="B470" s="6" t="inlineStr">
        <is>
          <t>2003-03-01</t>
        </is>
      </c>
      <c r="C470" s="6" t="inlineStr">
        <is>
          <t>2003-03-31</t>
        </is>
      </c>
      <c r="D470" s="6" t="inlineStr">
        <is>
          <t>month</t>
        </is>
      </c>
      <c r="E470" s="6" t="inlineStr">
        <is>
          <t>ENERGY_TO_PY</t>
        </is>
      </c>
      <c r="F470" s="6" t="inlineStr">
        <is>
          <t>YACYRETA</t>
        </is>
      </c>
      <c r="G470" s="6" t="inlineStr">
        <is>
          <t>YACYRETA</t>
        </is>
      </c>
      <c r="H470" s="6" t="inlineStr">
        <is>
          <t>SINP</t>
        </is>
      </c>
      <c r="I470" s="8" t="n">
        <v>7328</v>
      </c>
      <c r="J470" s="6" t="inlineStr">
        <is>
          <t>MWh</t>
        </is>
      </c>
      <c r="K470" s="8" t="n">
        <v>7328</v>
      </c>
      <c r="L470" s="6" t="inlineStr">
        <is>
          <t>MWh</t>
        </is>
      </c>
      <c r="M470" s="6" t="inlineStr">
        <is>
          <t>EBY</t>
        </is>
      </c>
      <c r="N470" s="6" t="inlineStr">
        <is>
          <t>OFFICIAL_PRIMARY</t>
        </is>
      </c>
      <c r="O470" s="9" t="inlineStr">
        <is>
          <t>OFFICIAL_AGGREGATE</t>
        </is>
      </c>
      <c r="P470" s="8" t="n">
        <v>1</v>
      </c>
      <c r="Q470" s="8" t="n">
        <v>50</v>
      </c>
      <c r="R470" s="7" t="inlineStr">
        <is>
          <t>https://www.eby.gov.py/wp-content/uploads/2019/12/YacyretaEnergiasMensualesDesdePuestaenMarcha.pdf</t>
        </is>
      </c>
      <c r="S470" s="6" t="inlineStr">
        <is>
          <t>EBY-MONTHLY-1994-2012</t>
        </is>
      </c>
      <c r="T470" s="6" t="inlineStr"/>
      <c r="U470" s="4" t="inlineStr">
        <is>
          <t>2026-09-10 23:00:00</t>
        </is>
      </c>
      <c r="V470" s="4" t="inlineStr">
        <is>
          <t>Energia mensual entregada al SINP.</t>
        </is>
      </c>
    </row>
    <row r="471">
      <c r="A471" s="6" t="inlineStr">
        <is>
          <t>R0000470</t>
        </is>
      </c>
      <c r="B471" s="6" t="inlineStr">
        <is>
          <t>2003-04-01</t>
        </is>
      </c>
      <c r="C471" s="6" t="inlineStr">
        <is>
          <t>2003-04-30</t>
        </is>
      </c>
      <c r="D471" s="6" t="inlineStr">
        <is>
          <t>month</t>
        </is>
      </c>
      <c r="E471" s="6" t="inlineStr">
        <is>
          <t>YACYRETA_NET_ENERGY</t>
        </is>
      </c>
      <c r="F471" s="6" t="inlineStr">
        <is>
          <t>YACYRETA</t>
        </is>
      </c>
      <c r="G471" s="6" t="inlineStr">
        <is>
          <t>YACYRETA</t>
        </is>
      </c>
      <c r="H471" s="6" t="inlineStr">
        <is>
          <t>TOTAL</t>
        </is>
      </c>
      <c r="I471" s="8" t="n">
        <v>1099128</v>
      </c>
      <c r="J471" s="6" t="inlineStr">
        <is>
          <t>MWh</t>
        </is>
      </c>
      <c r="K471" s="8" t="n">
        <v>1099128</v>
      </c>
      <c r="L471" s="6" t="inlineStr">
        <is>
          <t>MWh</t>
        </is>
      </c>
      <c r="M471" s="6" t="inlineStr">
        <is>
          <t>EBY</t>
        </is>
      </c>
      <c r="N471" s="6" t="inlineStr">
        <is>
          <t>OFFICIAL_PRIMARY</t>
        </is>
      </c>
      <c r="O471" s="9" t="inlineStr">
        <is>
          <t>OFFICIAL_AGGREGATE</t>
        </is>
      </c>
      <c r="P471" s="8" t="n">
        <v>1</v>
      </c>
      <c r="Q471" s="8" t="n">
        <v>50</v>
      </c>
      <c r="R471" s="7" t="inlineStr">
        <is>
          <t>https://www.eby.gov.py/wp-content/uploads/2019/12/YacyretaEnergiasMensualesDesdePuestaenMarcha.pdf</t>
        </is>
      </c>
      <c r="S471" s="6" t="inlineStr">
        <is>
          <t>EBY-MONTHLY-1994-2012</t>
        </is>
      </c>
      <c r="T471" s="6" t="inlineStr"/>
      <c r="U471" s="4" t="inlineStr">
        <is>
          <t>2026-09-10 23:00:00</t>
        </is>
      </c>
      <c r="V471" s="4" t="inlineStr">
        <is>
          <t>Energia mensual Yacyreta desde puesta en marcha.</t>
        </is>
      </c>
    </row>
    <row r="472">
      <c r="A472" s="6" t="inlineStr">
        <is>
          <t>R0000471</t>
        </is>
      </c>
      <c r="B472" s="6" t="inlineStr">
        <is>
          <t>2003-04-01</t>
        </is>
      </c>
      <c r="C472" s="6" t="inlineStr">
        <is>
          <t>2003-04-30</t>
        </is>
      </c>
      <c r="D472" s="6" t="inlineStr">
        <is>
          <t>month</t>
        </is>
      </c>
      <c r="E472" s="6" t="inlineStr">
        <is>
          <t>ENERGY_TO_ARGENTINA</t>
        </is>
      </c>
      <c r="F472" s="6" t="inlineStr">
        <is>
          <t>YACYRETA</t>
        </is>
      </c>
      <c r="G472" s="6" t="inlineStr">
        <is>
          <t>YACYRETA</t>
        </is>
      </c>
      <c r="H472" s="6" t="inlineStr">
        <is>
          <t>SADI</t>
        </is>
      </c>
      <c r="I472" s="8" t="n">
        <v>1091350</v>
      </c>
      <c r="J472" s="6" t="inlineStr">
        <is>
          <t>MWh</t>
        </is>
      </c>
      <c r="K472" s="8" t="n">
        <v>1091350</v>
      </c>
      <c r="L472" s="6" t="inlineStr">
        <is>
          <t>MWh</t>
        </is>
      </c>
      <c r="M472" s="6" t="inlineStr">
        <is>
          <t>EBY</t>
        </is>
      </c>
      <c r="N472" s="6" t="inlineStr">
        <is>
          <t>OFFICIAL_PRIMARY</t>
        </is>
      </c>
      <c r="O472" s="9" t="inlineStr">
        <is>
          <t>OFFICIAL_AGGREGATE</t>
        </is>
      </c>
      <c r="P472" s="8" t="n">
        <v>1</v>
      </c>
      <c r="Q472" s="8" t="n">
        <v>50</v>
      </c>
      <c r="R472" s="7" t="inlineStr">
        <is>
          <t>https://www.eby.gov.py/wp-content/uploads/2019/12/YacyretaEnergiasMensualesDesdePuestaenMarcha.pdf</t>
        </is>
      </c>
      <c r="S472" s="6" t="inlineStr">
        <is>
          <t>EBY-MONTHLY-1994-2012</t>
        </is>
      </c>
      <c r="T472" s="6" t="inlineStr"/>
      <c r="U472" s="4" t="inlineStr">
        <is>
          <t>2026-09-10 23:00:00</t>
        </is>
      </c>
      <c r="V472" s="4" t="inlineStr">
        <is>
          <t>Energia mensual entregada al SADI.</t>
        </is>
      </c>
    </row>
    <row r="473">
      <c r="A473" s="6" t="inlineStr">
        <is>
          <t>R0000472</t>
        </is>
      </c>
      <c r="B473" s="6" t="inlineStr">
        <is>
          <t>2003-04-01</t>
        </is>
      </c>
      <c r="C473" s="6" t="inlineStr">
        <is>
          <t>2003-04-30</t>
        </is>
      </c>
      <c r="D473" s="6" t="inlineStr">
        <is>
          <t>month</t>
        </is>
      </c>
      <c r="E473" s="6" t="inlineStr">
        <is>
          <t>ENERGY_TO_PY</t>
        </is>
      </c>
      <c r="F473" s="6" t="inlineStr">
        <is>
          <t>YACYRETA</t>
        </is>
      </c>
      <c r="G473" s="6" t="inlineStr">
        <is>
          <t>YACYRETA</t>
        </is>
      </c>
      <c r="H473" s="6" t="inlineStr">
        <is>
          <t>SINP</t>
        </is>
      </c>
      <c r="I473" s="8" t="n">
        <v>7778</v>
      </c>
      <c r="J473" s="6" t="inlineStr">
        <is>
          <t>MWh</t>
        </is>
      </c>
      <c r="K473" s="8" t="n">
        <v>7778</v>
      </c>
      <c r="L473" s="6" t="inlineStr">
        <is>
          <t>MWh</t>
        </is>
      </c>
      <c r="M473" s="6" t="inlineStr">
        <is>
          <t>EBY</t>
        </is>
      </c>
      <c r="N473" s="6" t="inlineStr">
        <is>
          <t>OFFICIAL_PRIMARY</t>
        </is>
      </c>
      <c r="O473" s="9" t="inlineStr">
        <is>
          <t>OFFICIAL_AGGREGATE</t>
        </is>
      </c>
      <c r="P473" s="8" t="n">
        <v>1</v>
      </c>
      <c r="Q473" s="8" t="n">
        <v>50</v>
      </c>
      <c r="R473" s="7" t="inlineStr">
        <is>
          <t>https://www.eby.gov.py/wp-content/uploads/2019/12/YacyretaEnergiasMensualesDesdePuestaenMarcha.pdf</t>
        </is>
      </c>
      <c r="S473" s="6" t="inlineStr">
        <is>
          <t>EBY-MONTHLY-1994-2012</t>
        </is>
      </c>
      <c r="T473" s="6" t="inlineStr"/>
      <c r="U473" s="4" t="inlineStr">
        <is>
          <t>2026-09-10 23:00:00</t>
        </is>
      </c>
      <c r="V473" s="4" t="inlineStr">
        <is>
          <t>Energia mensual entregada al SINP.</t>
        </is>
      </c>
    </row>
    <row r="474">
      <c r="A474" s="6" t="inlineStr">
        <is>
          <t>R0000473</t>
        </is>
      </c>
      <c r="B474" s="6" t="inlineStr">
        <is>
          <t>2003-05-01</t>
        </is>
      </c>
      <c r="C474" s="6" t="inlineStr">
        <is>
          <t>2003-05-31</t>
        </is>
      </c>
      <c r="D474" s="6" t="inlineStr">
        <is>
          <t>month</t>
        </is>
      </c>
      <c r="E474" s="6" t="inlineStr">
        <is>
          <t>YACYRETA_NET_ENERGY</t>
        </is>
      </c>
      <c r="F474" s="6" t="inlineStr">
        <is>
          <t>YACYRETA</t>
        </is>
      </c>
      <c r="G474" s="6" t="inlineStr">
        <is>
          <t>YACYRETA</t>
        </is>
      </c>
      <c r="H474" s="6" t="inlineStr">
        <is>
          <t>TOTAL</t>
        </is>
      </c>
      <c r="I474" s="8" t="n">
        <v>984325</v>
      </c>
      <c r="J474" s="6" t="inlineStr">
        <is>
          <t>MWh</t>
        </is>
      </c>
      <c r="K474" s="8" t="n">
        <v>984325</v>
      </c>
      <c r="L474" s="6" t="inlineStr">
        <is>
          <t>MWh</t>
        </is>
      </c>
      <c r="M474" s="6" t="inlineStr">
        <is>
          <t>EBY</t>
        </is>
      </c>
      <c r="N474" s="6" t="inlineStr">
        <is>
          <t>OFFICIAL_PRIMARY</t>
        </is>
      </c>
      <c r="O474" s="9" t="inlineStr">
        <is>
          <t>OFFICIAL_AGGREGATE</t>
        </is>
      </c>
      <c r="P474" s="8" t="n">
        <v>1</v>
      </c>
      <c r="Q474" s="8" t="n">
        <v>50</v>
      </c>
      <c r="R474" s="7" t="inlineStr">
        <is>
          <t>https://www.eby.gov.py/wp-content/uploads/2019/12/YacyretaEnergiasMensualesDesdePuestaenMarcha.pdf</t>
        </is>
      </c>
      <c r="S474" s="6" t="inlineStr">
        <is>
          <t>EBY-MONTHLY-1994-2012</t>
        </is>
      </c>
      <c r="T474" s="6" t="inlineStr"/>
      <c r="U474" s="4" t="inlineStr">
        <is>
          <t>2026-09-10 23:00:00</t>
        </is>
      </c>
      <c r="V474" s="4" t="inlineStr">
        <is>
          <t>Energia mensual Yacyreta desde puesta en marcha.</t>
        </is>
      </c>
    </row>
    <row r="475">
      <c r="A475" s="6" t="inlineStr">
        <is>
          <t>R0000474</t>
        </is>
      </c>
      <c r="B475" s="6" t="inlineStr">
        <is>
          <t>2003-05-01</t>
        </is>
      </c>
      <c r="C475" s="6" t="inlineStr">
        <is>
          <t>2003-05-31</t>
        </is>
      </c>
      <c r="D475" s="6" t="inlineStr">
        <is>
          <t>month</t>
        </is>
      </c>
      <c r="E475" s="6" t="inlineStr">
        <is>
          <t>ENERGY_TO_ARGENTINA</t>
        </is>
      </c>
      <c r="F475" s="6" t="inlineStr">
        <is>
          <t>YACYRETA</t>
        </is>
      </c>
      <c r="G475" s="6" t="inlineStr">
        <is>
          <t>YACYRETA</t>
        </is>
      </c>
      <c r="H475" s="6" t="inlineStr">
        <is>
          <t>SADI</t>
        </is>
      </c>
      <c r="I475" s="8" t="n">
        <v>981959</v>
      </c>
      <c r="J475" s="6" t="inlineStr">
        <is>
          <t>MWh</t>
        </is>
      </c>
      <c r="K475" s="8" t="n">
        <v>981959</v>
      </c>
      <c r="L475" s="6" t="inlineStr">
        <is>
          <t>MWh</t>
        </is>
      </c>
      <c r="M475" s="6" t="inlineStr">
        <is>
          <t>EBY</t>
        </is>
      </c>
      <c r="N475" s="6" t="inlineStr">
        <is>
          <t>OFFICIAL_PRIMARY</t>
        </is>
      </c>
      <c r="O475" s="9" t="inlineStr">
        <is>
          <t>OFFICIAL_AGGREGATE</t>
        </is>
      </c>
      <c r="P475" s="8" t="n">
        <v>1</v>
      </c>
      <c r="Q475" s="8" t="n">
        <v>50</v>
      </c>
      <c r="R475" s="7" t="inlineStr">
        <is>
          <t>https://www.eby.gov.py/wp-content/uploads/2019/12/YacyretaEnergiasMensualesDesdePuestaenMarcha.pdf</t>
        </is>
      </c>
      <c r="S475" s="6" t="inlineStr">
        <is>
          <t>EBY-MONTHLY-1994-2012</t>
        </is>
      </c>
      <c r="T475" s="6" t="inlineStr"/>
      <c r="U475" s="4" t="inlineStr">
        <is>
          <t>2026-09-10 23:00:00</t>
        </is>
      </c>
      <c r="V475" s="4" t="inlineStr">
        <is>
          <t>Energia mensual entregada al SADI.</t>
        </is>
      </c>
    </row>
    <row r="476">
      <c r="A476" s="6" t="inlineStr">
        <is>
          <t>R0000475</t>
        </is>
      </c>
      <c r="B476" s="6" t="inlineStr">
        <is>
          <t>2003-05-01</t>
        </is>
      </c>
      <c r="C476" s="6" t="inlineStr">
        <is>
          <t>2003-05-31</t>
        </is>
      </c>
      <c r="D476" s="6" t="inlineStr">
        <is>
          <t>month</t>
        </is>
      </c>
      <c r="E476" s="6" t="inlineStr">
        <is>
          <t>ENERGY_TO_PY</t>
        </is>
      </c>
      <c r="F476" s="6" t="inlineStr">
        <is>
          <t>YACYRETA</t>
        </is>
      </c>
      <c r="G476" s="6" t="inlineStr">
        <is>
          <t>YACYRETA</t>
        </is>
      </c>
      <c r="H476" s="6" t="inlineStr">
        <is>
          <t>SINP</t>
        </is>
      </c>
      <c r="I476" s="8" t="n">
        <v>2366</v>
      </c>
      <c r="J476" s="6" t="inlineStr">
        <is>
          <t>MWh</t>
        </is>
      </c>
      <c r="K476" s="8" t="n">
        <v>2366</v>
      </c>
      <c r="L476" s="6" t="inlineStr">
        <is>
          <t>MWh</t>
        </is>
      </c>
      <c r="M476" s="6" t="inlineStr">
        <is>
          <t>EBY</t>
        </is>
      </c>
      <c r="N476" s="6" t="inlineStr">
        <is>
          <t>OFFICIAL_PRIMARY</t>
        </is>
      </c>
      <c r="O476" s="9" t="inlineStr">
        <is>
          <t>OFFICIAL_AGGREGATE</t>
        </is>
      </c>
      <c r="P476" s="8" t="n">
        <v>1</v>
      </c>
      <c r="Q476" s="8" t="n">
        <v>50</v>
      </c>
      <c r="R476" s="7" t="inlineStr">
        <is>
          <t>https://www.eby.gov.py/wp-content/uploads/2019/12/YacyretaEnergiasMensualesDesdePuestaenMarcha.pdf</t>
        </is>
      </c>
      <c r="S476" s="6" t="inlineStr">
        <is>
          <t>EBY-MONTHLY-1994-2012</t>
        </is>
      </c>
      <c r="T476" s="6" t="inlineStr"/>
      <c r="U476" s="4" t="inlineStr">
        <is>
          <t>2026-09-10 23:00:00</t>
        </is>
      </c>
      <c r="V476" s="4" t="inlineStr">
        <is>
          <t>Energia mensual entregada al SINP.</t>
        </is>
      </c>
    </row>
    <row r="477">
      <c r="A477" s="6" t="inlineStr">
        <is>
          <t>R0000476</t>
        </is>
      </c>
      <c r="B477" s="6" t="inlineStr">
        <is>
          <t>2003-06-01</t>
        </is>
      </c>
      <c r="C477" s="6" t="inlineStr">
        <is>
          <t>2003-06-30</t>
        </is>
      </c>
      <c r="D477" s="6" t="inlineStr">
        <is>
          <t>month</t>
        </is>
      </c>
      <c r="E477" s="6" t="inlineStr">
        <is>
          <t>YACYRETA_NET_ENERGY</t>
        </is>
      </c>
      <c r="F477" s="6" t="inlineStr">
        <is>
          <t>YACYRETA</t>
        </is>
      </c>
      <c r="G477" s="6" t="inlineStr">
        <is>
          <t>YACYRETA</t>
        </is>
      </c>
      <c r="H477" s="6" t="inlineStr">
        <is>
          <t>TOTAL</t>
        </is>
      </c>
      <c r="I477" s="8" t="n">
        <v>944839</v>
      </c>
      <c r="J477" s="6" t="inlineStr">
        <is>
          <t>MWh</t>
        </is>
      </c>
      <c r="K477" s="8" t="n">
        <v>944839</v>
      </c>
      <c r="L477" s="6" t="inlineStr">
        <is>
          <t>MWh</t>
        </is>
      </c>
      <c r="M477" s="6" t="inlineStr">
        <is>
          <t>EBY</t>
        </is>
      </c>
      <c r="N477" s="6" t="inlineStr">
        <is>
          <t>OFFICIAL_PRIMARY</t>
        </is>
      </c>
      <c r="O477" s="9" t="inlineStr">
        <is>
          <t>OFFICIAL_AGGREGATE</t>
        </is>
      </c>
      <c r="P477" s="8" t="n">
        <v>1</v>
      </c>
      <c r="Q477" s="8" t="n">
        <v>50</v>
      </c>
      <c r="R477" s="7" t="inlineStr">
        <is>
          <t>https://www.eby.gov.py/wp-content/uploads/2019/12/YacyretaEnergiasMensualesDesdePuestaenMarcha.pdf</t>
        </is>
      </c>
      <c r="S477" s="6" t="inlineStr">
        <is>
          <t>EBY-MONTHLY-1994-2012</t>
        </is>
      </c>
      <c r="T477" s="6" t="inlineStr"/>
      <c r="U477" s="4" t="inlineStr">
        <is>
          <t>2026-09-10 23:00:00</t>
        </is>
      </c>
      <c r="V477" s="4" t="inlineStr">
        <is>
          <t>Energia mensual Yacyreta desde puesta en marcha.</t>
        </is>
      </c>
    </row>
    <row r="478">
      <c r="A478" s="6" t="inlineStr">
        <is>
          <t>R0000477</t>
        </is>
      </c>
      <c r="B478" s="6" t="inlineStr">
        <is>
          <t>2003-06-01</t>
        </is>
      </c>
      <c r="C478" s="6" t="inlineStr">
        <is>
          <t>2003-06-30</t>
        </is>
      </c>
      <c r="D478" s="6" t="inlineStr">
        <is>
          <t>month</t>
        </is>
      </c>
      <c r="E478" s="6" t="inlineStr">
        <is>
          <t>ENERGY_TO_ARGENTINA</t>
        </is>
      </c>
      <c r="F478" s="6" t="inlineStr">
        <is>
          <t>YACYRETA</t>
        </is>
      </c>
      <c r="G478" s="6" t="inlineStr">
        <is>
          <t>YACYRETA</t>
        </is>
      </c>
      <c r="H478" s="6" t="inlineStr">
        <is>
          <t>SADI</t>
        </is>
      </c>
      <c r="I478" s="8" t="n">
        <v>940623</v>
      </c>
      <c r="J478" s="6" t="inlineStr">
        <is>
          <t>MWh</t>
        </is>
      </c>
      <c r="K478" s="8" t="n">
        <v>940623</v>
      </c>
      <c r="L478" s="6" t="inlineStr">
        <is>
          <t>MWh</t>
        </is>
      </c>
      <c r="M478" s="6" t="inlineStr">
        <is>
          <t>EBY</t>
        </is>
      </c>
      <c r="N478" s="6" t="inlineStr">
        <is>
          <t>OFFICIAL_PRIMARY</t>
        </is>
      </c>
      <c r="O478" s="9" t="inlineStr">
        <is>
          <t>OFFICIAL_AGGREGATE</t>
        </is>
      </c>
      <c r="P478" s="8" t="n">
        <v>1</v>
      </c>
      <c r="Q478" s="8" t="n">
        <v>50</v>
      </c>
      <c r="R478" s="7" t="inlineStr">
        <is>
          <t>https://www.eby.gov.py/wp-content/uploads/2019/12/YacyretaEnergiasMensualesDesdePuestaenMarcha.pdf</t>
        </is>
      </c>
      <c r="S478" s="6" t="inlineStr">
        <is>
          <t>EBY-MONTHLY-1994-2012</t>
        </is>
      </c>
      <c r="T478" s="6" t="inlineStr"/>
      <c r="U478" s="4" t="inlineStr">
        <is>
          <t>2026-09-10 23:00:00</t>
        </is>
      </c>
      <c r="V478" s="4" t="inlineStr">
        <is>
          <t>Energia mensual entregada al SADI.</t>
        </is>
      </c>
    </row>
    <row r="479">
      <c r="A479" s="6" t="inlineStr">
        <is>
          <t>R0000478</t>
        </is>
      </c>
      <c r="B479" s="6" t="inlineStr">
        <is>
          <t>2003-06-01</t>
        </is>
      </c>
      <c r="C479" s="6" t="inlineStr">
        <is>
          <t>2003-06-30</t>
        </is>
      </c>
      <c r="D479" s="6" t="inlineStr">
        <is>
          <t>month</t>
        </is>
      </c>
      <c r="E479" s="6" t="inlineStr">
        <is>
          <t>ENERGY_TO_PY</t>
        </is>
      </c>
      <c r="F479" s="6" t="inlineStr">
        <is>
          <t>YACYRETA</t>
        </is>
      </c>
      <c r="G479" s="6" t="inlineStr">
        <is>
          <t>YACYRETA</t>
        </is>
      </c>
      <c r="H479" s="6" t="inlineStr">
        <is>
          <t>SINP</t>
        </is>
      </c>
      <c r="I479" s="8" t="n">
        <v>4216</v>
      </c>
      <c r="J479" s="6" t="inlineStr">
        <is>
          <t>MWh</t>
        </is>
      </c>
      <c r="K479" s="8" t="n">
        <v>4216</v>
      </c>
      <c r="L479" s="6" t="inlineStr">
        <is>
          <t>MWh</t>
        </is>
      </c>
      <c r="M479" s="6" t="inlineStr">
        <is>
          <t>EBY</t>
        </is>
      </c>
      <c r="N479" s="6" t="inlineStr">
        <is>
          <t>OFFICIAL_PRIMARY</t>
        </is>
      </c>
      <c r="O479" s="9" t="inlineStr">
        <is>
          <t>OFFICIAL_AGGREGATE</t>
        </is>
      </c>
      <c r="P479" s="8" t="n">
        <v>1</v>
      </c>
      <c r="Q479" s="8" t="n">
        <v>50</v>
      </c>
      <c r="R479" s="7" t="inlineStr">
        <is>
          <t>https://www.eby.gov.py/wp-content/uploads/2019/12/YacyretaEnergiasMensualesDesdePuestaenMarcha.pdf</t>
        </is>
      </c>
      <c r="S479" s="6" t="inlineStr">
        <is>
          <t>EBY-MONTHLY-1994-2012</t>
        </is>
      </c>
      <c r="T479" s="6" t="inlineStr"/>
      <c r="U479" s="4" t="inlineStr">
        <is>
          <t>2026-09-10 23:00:00</t>
        </is>
      </c>
      <c r="V479" s="4" t="inlineStr">
        <is>
          <t>Energia mensual entregada al SINP.</t>
        </is>
      </c>
    </row>
    <row r="480">
      <c r="A480" s="6" t="inlineStr">
        <is>
          <t>R0000479</t>
        </is>
      </c>
      <c r="B480" s="6" t="inlineStr">
        <is>
          <t>2003-07-01</t>
        </is>
      </c>
      <c r="C480" s="6" t="inlineStr">
        <is>
          <t>2003-07-31</t>
        </is>
      </c>
      <c r="D480" s="6" t="inlineStr">
        <is>
          <t>month</t>
        </is>
      </c>
      <c r="E480" s="6" t="inlineStr">
        <is>
          <t>YACYRETA_NET_ENERGY</t>
        </is>
      </c>
      <c r="F480" s="6" t="inlineStr">
        <is>
          <t>YACYRETA</t>
        </is>
      </c>
      <c r="G480" s="6" t="inlineStr">
        <is>
          <t>YACYRETA</t>
        </is>
      </c>
      <c r="H480" s="6" t="inlineStr">
        <is>
          <t>TOTAL</t>
        </is>
      </c>
      <c r="I480" s="8" t="n">
        <v>888297</v>
      </c>
      <c r="J480" s="6" t="inlineStr">
        <is>
          <t>MWh</t>
        </is>
      </c>
      <c r="K480" s="8" t="n">
        <v>888297</v>
      </c>
      <c r="L480" s="6" t="inlineStr">
        <is>
          <t>MWh</t>
        </is>
      </c>
      <c r="M480" s="6" t="inlineStr">
        <is>
          <t>EBY</t>
        </is>
      </c>
      <c r="N480" s="6" t="inlineStr">
        <is>
          <t>OFFICIAL_PRIMARY</t>
        </is>
      </c>
      <c r="O480" s="9" t="inlineStr">
        <is>
          <t>OFFICIAL_AGGREGATE</t>
        </is>
      </c>
      <c r="P480" s="8" t="n">
        <v>1</v>
      </c>
      <c r="Q480" s="8" t="n">
        <v>50</v>
      </c>
      <c r="R480" s="7" t="inlineStr">
        <is>
          <t>https://www.eby.gov.py/wp-content/uploads/2019/12/YacyretaEnergiasMensualesDesdePuestaenMarcha.pdf</t>
        </is>
      </c>
      <c r="S480" s="6" t="inlineStr">
        <is>
          <t>EBY-MONTHLY-1994-2012</t>
        </is>
      </c>
      <c r="T480" s="6" t="inlineStr"/>
      <c r="U480" s="4" t="inlineStr">
        <is>
          <t>2026-09-10 23:00:00</t>
        </is>
      </c>
      <c r="V480" s="4" t="inlineStr">
        <is>
          <t>Energia mensual Yacyreta desde puesta en marcha.</t>
        </is>
      </c>
    </row>
    <row r="481">
      <c r="A481" s="6" t="inlineStr">
        <is>
          <t>R0000480</t>
        </is>
      </c>
      <c r="B481" s="6" t="inlineStr">
        <is>
          <t>2003-07-01</t>
        </is>
      </c>
      <c r="C481" s="6" t="inlineStr">
        <is>
          <t>2003-07-31</t>
        </is>
      </c>
      <c r="D481" s="6" t="inlineStr">
        <is>
          <t>month</t>
        </is>
      </c>
      <c r="E481" s="6" t="inlineStr">
        <is>
          <t>ENERGY_TO_ARGENTINA</t>
        </is>
      </c>
      <c r="F481" s="6" t="inlineStr">
        <is>
          <t>YACYRETA</t>
        </is>
      </c>
      <c r="G481" s="6" t="inlineStr">
        <is>
          <t>YACYRETA</t>
        </is>
      </c>
      <c r="H481" s="6" t="inlineStr">
        <is>
          <t>SADI</t>
        </is>
      </c>
      <c r="I481" s="8" t="n">
        <v>883650</v>
      </c>
      <c r="J481" s="6" t="inlineStr">
        <is>
          <t>MWh</t>
        </is>
      </c>
      <c r="K481" s="8" t="n">
        <v>883650</v>
      </c>
      <c r="L481" s="6" t="inlineStr">
        <is>
          <t>MWh</t>
        </is>
      </c>
      <c r="M481" s="6" t="inlineStr">
        <is>
          <t>EBY</t>
        </is>
      </c>
      <c r="N481" s="6" t="inlineStr">
        <is>
          <t>OFFICIAL_PRIMARY</t>
        </is>
      </c>
      <c r="O481" s="9" t="inlineStr">
        <is>
          <t>OFFICIAL_AGGREGATE</t>
        </is>
      </c>
      <c r="P481" s="8" t="n">
        <v>1</v>
      </c>
      <c r="Q481" s="8" t="n">
        <v>50</v>
      </c>
      <c r="R481" s="7" t="inlineStr">
        <is>
          <t>https://www.eby.gov.py/wp-content/uploads/2019/12/YacyretaEnergiasMensualesDesdePuestaenMarcha.pdf</t>
        </is>
      </c>
      <c r="S481" s="6" t="inlineStr">
        <is>
          <t>EBY-MONTHLY-1994-2012</t>
        </is>
      </c>
      <c r="T481" s="6" t="inlineStr"/>
      <c r="U481" s="4" t="inlineStr">
        <is>
          <t>2026-09-10 23:00:00</t>
        </is>
      </c>
      <c r="V481" s="4" t="inlineStr">
        <is>
          <t>Energia mensual entregada al SADI.</t>
        </is>
      </c>
    </row>
    <row r="482">
      <c r="A482" s="6" t="inlineStr">
        <is>
          <t>R0000481</t>
        </is>
      </c>
      <c r="B482" s="6" t="inlineStr">
        <is>
          <t>2003-07-01</t>
        </is>
      </c>
      <c r="C482" s="6" t="inlineStr">
        <is>
          <t>2003-07-31</t>
        </is>
      </c>
      <c r="D482" s="6" t="inlineStr">
        <is>
          <t>month</t>
        </is>
      </c>
      <c r="E482" s="6" t="inlineStr">
        <is>
          <t>ENERGY_TO_PY</t>
        </is>
      </c>
      <c r="F482" s="6" t="inlineStr">
        <is>
          <t>YACYRETA</t>
        </is>
      </c>
      <c r="G482" s="6" t="inlineStr">
        <is>
          <t>YACYRETA</t>
        </is>
      </c>
      <c r="H482" s="6" t="inlineStr">
        <is>
          <t>SINP</t>
        </is>
      </c>
      <c r="I482" s="8" t="n">
        <v>4647</v>
      </c>
      <c r="J482" s="6" t="inlineStr">
        <is>
          <t>MWh</t>
        </is>
      </c>
      <c r="K482" s="8" t="n">
        <v>4647</v>
      </c>
      <c r="L482" s="6" t="inlineStr">
        <is>
          <t>MWh</t>
        </is>
      </c>
      <c r="M482" s="6" t="inlineStr">
        <is>
          <t>EBY</t>
        </is>
      </c>
      <c r="N482" s="6" t="inlineStr">
        <is>
          <t>OFFICIAL_PRIMARY</t>
        </is>
      </c>
      <c r="O482" s="9" t="inlineStr">
        <is>
          <t>OFFICIAL_AGGREGATE</t>
        </is>
      </c>
      <c r="P482" s="8" t="n">
        <v>1</v>
      </c>
      <c r="Q482" s="8" t="n">
        <v>50</v>
      </c>
      <c r="R482" s="7" t="inlineStr">
        <is>
          <t>https://www.eby.gov.py/wp-content/uploads/2019/12/YacyretaEnergiasMensualesDesdePuestaenMarcha.pdf</t>
        </is>
      </c>
      <c r="S482" s="6" t="inlineStr">
        <is>
          <t>EBY-MONTHLY-1994-2012</t>
        </is>
      </c>
      <c r="T482" s="6" t="inlineStr"/>
      <c r="U482" s="4" t="inlineStr">
        <is>
          <t>2026-09-10 23:00:00</t>
        </is>
      </c>
      <c r="V482" s="4" t="inlineStr">
        <is>
          <t>Energia mensual entregada al SINP.</t>
        </is>
      </c>
    </row>
    <row r="483">
      <c r="A483" s="6" t="inlineStr">
        <is>
          <t>R0000482</t>
        </is>
      </c>
      <c r="B483" s="6" t="inlineStr">
        <is>
          <t>2003-08-01</t>
        </is>
      </c>
      <c r="C483" s="6" t="inlineStr">
        <is>
          <t>2003-08-31</t>
        </is>
      </c>
      <c r="D483" s="6" t="inlineStr">
        <is>
          <t>month</t>
        </is>
      </c>
      <c r="E483" s="6" t="inlineStr">
        <is>
          <t>YACYRETA_NET_ENERGY</t>
        </is>
      </c>
      <c r="F483" s="6" t="inlineStr">
        <is>
          <t>YACYRETA</t>
        </is>
      </c>
      <c r="G483" s="6" t="inlineStr">
        <is>
          <t>YACYRETA</t>
        </is>
      </c>
      <c r="H483" s="6" t="inlineStr">
        <is>
          <t>TOTAL</t>
        </is>
      </c>
      <c r="I483" s="8" t="n">
        <v>894256</v>
      </c>
      <c r="J483" s="6" t="inlineStr">
        <is>
          <t>MWh</t>
        </is>
      </c>
      <c r="K483" s="8" t="n">
        <v>894256</v>
      </c>
      <c r="L483" s="6" t="inlineStr">
        <is>
          <t>MWh</t>
        </is>
      </c>
      <c r="M483" s="6" t="inlineStr">
        <is>
          <t>EBY</t>
        </is>
      </c>
      <c r="N483" s="6" t="inlineStr">
        <is>
          <t>OFFICIAL_PRIMARY</t>
        </is>
      </c>
      <c r="O483" s="9" t="inlineStr">
        <is>
          <t>OFFICIAL_AGGREGATE</t>
        </is>
      </c>
      <c r="P483" s="8" t="n">
        <v>1</v>
      </c>
      <c r="Q483" s="8" t="n">
        <v>50</v>
      </c>
      <c r="R483" s="7" t="inlineStr">
        <is>
          <t>https://www.eby.gov.py/wp-content/uploads/2019/12/YacyretaEnergiasMensualesDesdePuestaenMarcha.pdf</t>
        </is>
      </c>
      <c r="S483" s="6" t="inlineStr">
        <is>
          <t>EBY-MONTHLY-1994-2012</t>
        </is>
      </c>
      <c r="T483" s="6" t="inlineStr"/>
      <c r="U483" s="4" t="inlineStr">
        <is>
          <t>2026-09-10 23:00:00</t>
        </is>
      </c>
      <c r="V483" s="4" t="inlineStr">
        <is>
          <t>Energia mensual Yacyreta desde puesta en marcha.</t>
        </is>
      </c>
    </row>
    <row r="484">
      <c r="A484" s="6" t="inlineStr">
        <is>
          <t>R0000483</t>
        </is>
      </c>
      <c r="B484" s="6" t="inlineStr">
        <is>
          <t>2003-08-01</t>
        </is>
      </c>
      <c r="C484" s="6" t="inlineStr">
        <is>
          <t>2003-08-31</t>
        </is>
      </c>
      <c r="D484" s="6" t="inlineStr">
        <is>
          <t>month</t>
        </is>
      </c>
      <c r="E484" s="6" t="inlineStr">
        <is>
          <t>ENERGY_TO_ARGENTINA</t>
        </is>
      </c>
      <c r="F484" s="6" t="inlineStr">
        <is>
          <t>YACYRETA</t>
        </is>
      </c>
      <c r="G484" s="6" t="inlineStr">
        <is>
          <t>YACYRETA</t>
        </is>
      </c>
      <c r="H484" s="6" t="inlineStr">
        <is>
          <t>SADI</t>
        </is>
      </c>
      <c r="I484" s="8" t="n">
        <v>892576</v>
      </c>
      <c r="J484" s="6" t="inlineStr">
        <is>
          <t>MWh</t>
        </is>
      </c>
      <c r="K484" s="8" t="n">
        <v>892576</v>
      </c>
      <c r="L484" s="6" t="inlineStr">
        <is>
          <t>MWh</t>
        </is>
      </c>
      <c r="M484" s="6" t="inlineStr">
        <is>
          <t>EBY</t>
        </is>
      </c>
      <c r="N484" s="6" t="inlineStr">
        <is>
          <t>OFFICIAL_PRIMARY</t>
        </is>
      </c>
      <c r="O484" s="9" t="inlineStr">
        <is>
          <t>OFFICIAL_AGGREGATE</t>
        </is>
      </c>
      <c r="P484" s="8" t="n">
        <v>1</v>
      </c>
      <c r="Q484" s="8" t="n">
        <v>50</v>
      </c>
      <c r="R484" s="7" t="inlineStr">
        <is>
          <t>https://www.eby.gov.py/wp-content/uploads/2019/12/YacyretaEnergiasMensualesDesdePuestaenMarcha.pdf</t>
        </is>
      </c>
      <c r="S484" s="6" t="inlineStr">
        <is>
          <t>EBY-MONTHLY-1994-2012</t>
        </is>
      </c>
      <c r="T484" s="6" t="inlineStr"/>
      <c r="U484" s="4" t="inlineStr">
        <is>
          <t>2026-09-10 23:00:00</t>
        </is>
      </c>
      <c r="V484" s="4" t="inlineStr">
        <is>
          <t>Energia mensual entregada al SADI.</t>
        </is>
      </c>
    </row>
    <row r="485">
      <c r="A485" s="6" t="inlineStr">
        <is>
          <t>R0000484</t>
        </is>
      </c>
      <c r="B485" s="6" t="inlineStr">
        <is>
          <t>2003-08-01</t>
        </is>
      </c>
      <c r="C485" s="6" t="inlineStr">
        <is>
          <t>2003-08-31</t>
        </is>
      </c>
      <c r="D485" s="6" t="inlineStr">
        <is>
          <t>month</t>
        </is>
      </c>
      <c r="E485" s="6" t="inlineStr">
        <is>
          <t>ENERGY_TO_PY</t>
        </is>
      </c>
      <c r="F485" s="6" t="inlineStr">
        <is>
          <t>YACYRETA</t>
        </is>
      </c>
      <c r="G485" s="6" t="inlineStr">
        <is>
          <t>YACYRETA</t>
        </is>
      </c>
      <c r="H485" s="6" t="inlineStr">
        <is>
          <t>SINP</t>
        </is>
      </c>
      <c r="I485" s="8" t="n">
        <v>1680</v>
      </c>
      <c r="J485" s="6" t="inlineStr">
        <is>
          <t>MWh</t>
        </is>
      </c>
      <c r="K485" s="8" t="n">
        <v>1680</v>
      </c>
      <c r="L485" s="6" t="inlineStr">
        <is>
          <t>MWh</t>
        </is>
      </c>
      <c r="M485" s="6" t="inlineStr">
        <is>
          <t>EBY</t>
        </is>
      </c>
      <c r="N485" s="6" t="inlineStr">
        <is>
          <t>OFFICIAL_PRIMARY</t>
        </is>
      </c>
      <c r="O485" s="9" t="inlineStr">
        <is>
          <t>OFFICIAL_AGGREGATE</t>
        </is>
      </c>
      <c r="P485" s="8" t="n">
        <v>1</v>
      </c>
      <c r="Q485" s="8" t="n">
        <v>50</v>
      </c>
      <c r="R485" s="7" t="inlineStr">
        <is>
          <t>https://www.eby.gov.py/wp-content/uploads/2019/12/YacyretaEnergiasMensualesDesdePuestaenMarcha.pdf</t>
        </is>
      </c>
      <c r="S485" s="6" t="inlineStr">
        <is>
          <t>EBY-MONTHLY-1994-2012</t>
        </is>
      </c>
      <c r="T485" s="6" t="inlineStr"/>
      <c r="U485" s="4" t="inlineStr">
        <is>
          <t>2026-09-10 23:00:00</t>
        </is>
      </c>
      <c r="V485" s="4" t="inlineStr">
        <is>
          <t>Energia mensual entregada al SINP.</t>
        </is>
      </c>
    </row>
    <row r="486">
      <c r="A486" s="6" t="inlineStr">
        <is>
          <t>R0000485</t>
        </is>
      </c>
      <c r="B486" s="6" t="inlineStr">
        <is>
          <t>2003-09-01</t>
        </is>
      </c>
      <c r="C486" s="6" t="inlineStr">
        <is>
          <t>2003-09-30</t>
        </is>
      </c>
      <c r="D486" s="6" t="inlineStr">
        <is>
          <t>month</t>
        </is>
      </c>
      <c r="E486" s="6" t="inlineStr">
        <is>
          <t>YACYRETA_NET_ENERGY</t>
        </is>
      </c>
      <c r="F486" s="6" t="inlineStr">
        <is>
          <t>YACYRETA</t>
        </is>
      </c>
      <c r="G486" s="6" t="inlineStr">
        <is>
          <t>YACYRETA</t>
        </is>
      </c>
      <c r="H486" s="6" t="inlineStr">
        <is>
          <t>TOTAL</t>
        </is>
      </c>
      <c r="I486" s="8" t="n">
        <v>880796</v>
      </c>
      <c r="J486" s="6" t="inlineStr">
        <is>
          <t>MWh</t>
        </is>
      </c>
      <c r="K486" s="8" t="n">
        <v>880796</v>
      </c>
      <c r="L486" s="6" t="inlineStr">
        <is>
          <t>MWh</t>
        </is>
      </c>
      <c r="M486" s="6" t="inlineStr">
        <is>
          <t>EBY</t>
        </is>
      </c>
      <c r="N486" s="6" t="inlineStr">
        <is>
          <t>OFFICIAL_PRIMARY</t>
        </is>
      </c>
      <c r="O486" s="9" t="inlineStr">
        <is>
          <t>OFFICIAL_AGGREGATE</t>
        </is>
      </c>
      <c r="P486" s="8" t="n">
        <v>1</v>
      </c>
      <c r="Q486" s="8" t="n">
        <v>50</v>
      </c>
      <c r="R486" s="7" t="inlineStr">
        <is>
          <t>https://www.eby.gov.py/wp-content/uploads/2019/12/YacyretaEnergiasMensualesDesdePuestaenMarcha.pdf</t>
        </is>
      </c>
      <c r="S486" s="6" t="inlineStr">
        <is>
          <t>EBY-MONTHLY-1994-2012</t>
        </is>
      </c>
      <c r="T486" s="6" t="inlineStr"/>
      <c r="U486" s="4" t="inlineStr">
        <is>
          <t>2026-09-10 23:00:00</t>
        </is>
      </c>
      <c r="V486" s="4" t="inlineStr">
        <is>
          <t>Energia mensual Yacyreta desde puesta en marcha.</t>
        </is>
      </c>
    </row>
    <row r="487">
      <c r="A487" s="6" t="inlineStr">
        <is>
          <t>R0000486</t>
        </is>
      </c>
      <c r="B487" s="6" t="inlineStr">
        <is>
          <t>2003-09-01</t>
        </is>
      </c>
      <c r="C487" s="6" t="inlineStr">
        <is>
          <t>2003-09-30</t>
        </is>
      </c>
      <c r="D487" s="6" t="inlineStr">
        <is>
          <t>month</t>
        </is>
      </c>
      <c r="E487" s="6" t="inlineStr">
        <is>
          <t>ENERGY_TO_ARGENTINA</t>
        </is>
      </c>
      <c r="F487" s="6" t="inlineStr">
        <is>
          <t>YACYRETA</t>
        </is>
      </c>
      <c r="G487" s="6" t="inlineStr">
        <is>
          <t>YACYRETA</t>
        </is>
      </c>
      <c r="H487" s="6" t="inlineStr">
        <is>
          <t>SADI</t>
        </is>
      </c>
      <c r="I487" s="8" t="n">
        <v>877942</v>
      </c>
      <c r="J487" s="6" t="inlineStr">
        <is>
          <t>MWh</t>
        </is>
      </c>
      <c r="K487" s="8" t="n">
        <v>877942</v>
      </c>
      <c r="L487" s="6" t="inlineStr">
        <is>
          <t>MWh</t>
        </is>
      </c>
      <c r="M487" s="6" t="inlineStr">
        <is>
          <t>EBY</t>
        </is>
      </c>
      <c r="N487" s="6" t="inlineStr">
        <is>
          <t>OFFICIAL_PRIMARY</t>
        </is>
      </c>
      <c r="O487" s="9" t="inlineStr">
        <is>
          <t>OFFICIAL_AGGREGATE</t>
        </is>
      </c>
      <c r="P487" s="8" t="n">
        <v>1</v>
      </c>
      <c r="Q487" s="8" t="n">
        <v>50</v>
      </c>
      <c r="R487" s="7" t="inlineStr">
        <is>
          <t>https://www.eby.gov.py/wp-content/uploads/2019/12/YacyretaEnergiasMensualesDesdePuestaenMarcha.pdf</t>
        </is>
      </c>
      <c r="S487" s="6" t="inlineStr">
        <is>
          <t>EBY-MONTHLY-1994-2012</t>
        </is>
      </c>
      <c r="T487" s="6" t="inlineStr"/>
      <c r="U487" s="4" t="inlineStr">
        <is>
          <t>2026-09-10 23:00:00</t>
        </is>
      </c>
      <c r="V487" s="4" t="inlineStr">
        <is>
          <t>Energia mensual entregada al SADI.</t>
        </is>
      </c>
    </row>
    <row r="488">
      <c r="A488" s="6" t="inlineStr">
        <is>
          <t>R0000487</t>
        </is>
      </c>
      <c r="B488" s="6" t="inlineStr">
        <is>
          <t>2003-09-01</t>
        </is>
      </c>
      <c r="C488" s="6" t="inlineStr">
        <is>
          <t>2003-09-30</t>
        </is>
      </c>
      <c r="D488" s="6" t="inlineStr">
        <is>
          <t>month</t>
        </is>
      </c>
      <c r="E488" s="6" t="inlineStr">
        <is>
          <t>ENERGY_TO_PY</t>
        </is>
      </c>
      <c r="F488" s="6" t="inlineStr">
        <is>
          <t>YACYRETA</t>
        </is>
      </c>
      <c r="G488" s="6" t="inlineStr">
        <is>
          <t>YACYRETA</t>
        </is>
      </c>
      <c r="H488" s="6" t="inlineStr">
        <is>
          <t>SINP</t>
        </is>
      </c>
      <c r="I488" s="8" t="n">
        <v>2854</v>
      </c>
      <c r="J488" s="6" t="inlineStr">
        <is>
          <t>MWh</t>
        </is>
      </c>
      <c r="K488" s="8" t="n">
        <v>2854</v>
      </c>
      <c r="L488" s="6" t="inlineStr">
        <is>
          <t>MWh</t>
        </is>
      </c>
      <c r="M488" s="6" t="inlineStr">
        <is>
          <t>EBY</t>
        </is>
      </c>
      <c r="N488" s="6" t="inlineStr">
        <is>
          <t>OFFICIAL_PRIMARY</t>
        </is>
      </c>
      <c r="O488" s="9" t="inlineStr">
        <is>
          <t>OFFICIAL_AGGREGATE</t>
        </is>
      </c>
      <c r="P488" s="8" t="n">
        <v>1</v>
      </c>
      <c r="Q488" s="8" t="n">
        <v>50</v>
      </c>
      <c r="R488" s="7" t="inlineStr">
        <is>
          <t>https://www.eby.gov.py/wp-content/uploads/2019/12/YacyretaEnergiasMensualesDesdePuestaenMarcha.pdf</t>
        </is>
      </c>
      <c r="S488" s="6" t="inlineStr">
        <is>
          <t>EBY-MONTHLY-1994-2012</t>
        </is>
      </c>
      <c r="T488" s="6" t="inlineStr"/>
      <c r="U488" s="4" t="inlineStr">
        <is>
          <t>2026-09-10 23:00:00</t>
        </is>
      </c>
      <c r="V488" s="4" t="inlineStr">
        <is>
          <t>Energia mensual entregada al SINP.</t>
        </is>
      </c>
    </row>
    <row r="489">
      <c r="A489" s="6" t="inlineStr">
        <is>
          <t>R0000488</t>
        </is>
      </c>
      <c r="B489" s="6" t="inlineStr">
        <is>
          <t>2003-10-01</t>
        </is>
      </c>
      <c r="C489" s="6" t="inlineStr">
        <is>
          <t>2003-10-31</t>
        </is>
      </c>
      <c r="D489" s="6" t="inlineStr">
        <is>
          <t>month</t>
        </is>
      </c>
      <c r="E489" s="6" t="inlineStr">
        <is>
          <t>YACYRETA_NET_ENERGY</t>
        </is>
      </c>
      <c r="F489" s="6" t="inlineStr">
        <is>
          <t>YACYRETA</t>
        </is>
      </c>
      <c r="G489" s="6" t="inlineStr">
        <is>
          <t>YACYRETA</t>
        </is>
      </c>
      <c r="H489" s="6" t="inlineStr">
        <is>
          <t>TOTAL</t>
        </is>
      </c>
      <c r="I489" s="8" t="n">
        <v>1007082</v>
      </c>
      <c r="J489" s="6" t="inlineStr">
        <is>
          <t>MWh</t>
        </is>
      </c>
      <c r="K489" s="8" t="n">
        <v>1007082</v>
      </c>
      <c r="L489" s="6" t="inlineStr">
        <is>
          <t>MWh</t>
        </is>
      </c>
      <c r="M489" s="6" t="inlineStr">
        <is>
          <t>EBY</t>
        </is>
      </c>
      <c r="N489" s="6" t="inlineStr">
        <is>
          <t>OFFICIAL_PRIMARY</t>
        </is>
      </c>
      <c r="O489" s="9" t="inlineStr">
        <is>
          <t>OFFICIAL_AGGREGATE</t>
        </is>
      </c>
      <c r="P489" s="8" t="n">
        <v>1</v>
      </c>
      <c r="Q489" s="8" t="n">
        <v>50</v>
      </c>
      <c r="R489" s="7" t="inlineStr">
        <is>
          <t>https://www.eby.gov.py/wp-content/uploads/2019/12/YacyretaEnergiasMensualesDesdePuestaenMarcha.pdf</t>
        </is>
      </c>
      <c r="S489" s="6" t="inlineStr">
        <is>
          <t>EBY-MONTHLY-1994-2012</t>
        </is>
      </c>
      <c r="T489" s="6" t="inlineStr"/>
      <c r="U489" s="4" t="inlineStr">
        <is>
          <t>2026-09-10 23:00:00</t>
        </is>
      </c>
      <c r="V489" s="4" t="inlineStr">
        <is>
          <t>Energia mensual Yacyreta desde puesta en marcha.</t>
        </is>
      </c>
    </row>
    <row r="490">
      <c r="A490" s="6" t="inlineStr">
        <is>
          <t>R0000489</t>
        </is>
      </c>
      <c r="B490" s="6" t="inlineStr">
        <is>
          <t>2003-10-01</t>
        </is>
      </c>
      <c r="C490" s="6" t="inlineStr">
        <is>
          <t>2003-10-31</t>
        </is>
      </c>
      <c r="D490" s="6" t="inlineStr">
        <is>
          <t>month</t>
        </is>
      </c>
      <c r="E490" s="6" t="inlineStr">
        <is>
          <t>ENERGY_TO_ARGENTINA</t>
        </is>
      </c>
      <c r="F490" s="6" t="inlineStr">
        <is>
          <t>YACYRETA</t>
        </is>
      </c>
      <c r="G490" s="6" t="inlineStr">
        <is>
          <t>YACYRETA</t>
        </is>
      </c>
      <c r="H490" s="6" t="inlineStr">
        <is>
          <t>SADI</t>
        </is>
      </c>
      <c r="I490" s="8" t="n">
        <v>1006273</v>
      </c>
      <c r="J490" s="6" t="inlineStr">
        <is>
          <t>MWh</t>
        </is>
      </c>
      <c r="K490" s="8" t="n">
        <v>1006273</v>
      </c>
      <c r="L490" s="6" t="inlineStr">
        <is>
          <t>MWh</t>
        </is>
      </c>
      <c r="M490" s="6" t="inlineStr">
        <is>
          <t>EBY</t>
        </is>
      </c>
      <c r="N490" s="6" t="inlineStr">
        <is>
          <t>OFFICIAL_PRIMARY</t>
        </is>
      </c>
      <c r="O490" s="9" t="inlineStr">
        <is>
          <t>OFFICIAL_AGGREGATE</t>
        </is>
      </c>
      <c r="P490" s="8" t="n">
        <v>1</v>
      </c>
      <c r="Q490" s="8" t="n">
        <v>50</v>
      </c>
      <c r="R490" s="7" t="inlineStr">
        <is>
          <t>https://www.eby.gov.py/wp-content/uploads/2019/12/YacyretaEnergiasMensualesDesdePuestaenMarcha.pdf</t>
        </is>
      </c>
      <c r="S490" s="6" t="inlineStr">
        <is>
          <t>EBY-MONTHLY-1994-2012</t>
        </is>
      </c>
      <c r="T490" s="6" t="inlineStr"/>
      <c r="U490" s="4" t="inlineStr">
        <is>
          <t>2026-09-10 23:00:00</t>
        </is>
      </c>
      <c r="V490" s="4" t="inlineStr">
        <is>
          <t>Energia mensual entregada al SADI.</t>
        </is>
      </c>
    </row>
    <row r="491">
      <c r="A491" s="6" t="inlineStr">
        <is>
          <t>R0000490</t>
        </is>
      </c>
      <c r="B491" s="6" t="inlineStr">
        <is>
          <t>2003-10-01</t>
        </is>
      </c>
      <c r="C491" s="6" t="inlineStr">
        <is>
          <t>2003-10-31</t>
        </is>
      </c>
      <c r="D491" s="6" t="inlineStr">
        <is>
          <t>month</t>
        </is>
      </c>
      <c r="E491" s="6" t="inlineStr">
        <is>
          <t>ENERGY_TO_PY</t>
        </is>
      </c>
      <c r="F491" s="6" t="inlineStr">
        <is>
          <t>YACYRETA</t>
        </is>
      </c>
      <c r="G491" s="6" t="inlineStr">
        <is>
          <t>YACYRETA</t>
        </is>
      </c>
      <c r="H491" s="6" t="inlineStr">
        <is>
          <t>SINP</t>
        </is>
      </c>
      <c r="I491" s="8" t="n">
        <v>809</v>
      </c>
      <c r="J491" s="6" t="inlineStr">
        <is>
          <t>MWh</t>
        </is>
      </c>
      <c r="K491" s="8" t="n">
        <v>809</v>
      </c>
      <c r="L491" s="6" t="inlineStr">
        <is>
          <t>MWh</t>
        </is>
      </c>
      <c r="M491" s="6" t="inlineStr">
        <is>
          <t>EBY</t>
        </is>
      </c>
      <c r="N491" s="6" t="inlineStr">
        <is>
          <t>OFFICIAL_PRIMARY</t>
        </is>
      </c>
      <c r="O491" s="9" t="inlineStr">
        <is>
          <t>OFFICIAL_AGGREGATE</t>
        </is>
      </c>
      <c r="P491" s="8" t="n">
        <v>1</v>
      </c>
      <c r="Q491" s="8" t="n">
        <v>50</v>
      </c>
      <c r="R491" s="7" t="inlineStr">
        <is>
          <t>https://www.eby.gov.py/wp-content/uploads/2019/12/YacyretaEnergiasMensualesDesdePuestaenMarcha.pdf</t>
        </is>
      </c>
      <c r="S491" s="6" t="inlineStr">
        <is>
          <t>EBY-MONTHLY-1994-2012</t>
        </is>
      </c>
      <c r="T491" s="6" t="inlineStr"/>
      <c r="U491" s="4" t="inlineStr">
        <is>
          <t>2026-09-10 23:00:00</t>
        </is>
      </c>
      <c r="V491" s="4" t="inlineStr">
        <is>
          <t>Energia mensual entregada al SINP.</t>
        </is>
      </c>
    </row>
    <row r="492">
      <c r="A492" s="6" t="inlineStr">
        <is>
          <t>R0000491</t>
        </is>
      </c>
      <c r="B492" s="6" t="inlineStr">
        <is>
          <t>2003-11-01</t>
        </is>
      </c>
      <c r="C492" s="6" t="inlineStr">
        <is>
          <t>2003-11-30</t>
        </is>
      </c>
      <c r="D492" s="6" t="inlineStr">
        <is>
          <t>month</t>
        </is>
      </c>
      <c r="E492" s="6" t="inlineStr">
        <is>
          <t>YACYRETA_NET_ENERGY</t>
        </is>
      </c>
      <c r="F492" s="6" t="inlineStr">
        <is>
          <t>YACYRETA</t>
        </is>
      </c>
      <c r="G492" s="6" t="inlineStr">
        <is>
          <t>YACYRETA</t>
        </is>
      </c>
      <c r="H492" s="6" t="inlineStr">
        <is>
          <t>TOTAL</t>
        </is>
      </c>
      <c r="I492" s="8" t="n">
        <v>987886</v>
      </c>
      <c r="J492" s="6" t="inlineStr">
        <is>
          <t>MWh</t>
        </is>
      </c>
      <c r="K492" s="8" t="n">
        <v>987886</v>
      </c>
      <c r="L492" s="6" t="inlineStr">
        <is>
          <t>MWh</t>
        </is>
      </c>
      <c r="M492" s="6" t="inlineStr">
        <is>
          <t>EBY</t>
        </is>
      </c>
      <c r="N492" s="6" t="inlineStr">
        <is>
          <t>OFFICIAL_PRIMARY</t>
        </is>
      </c>
      <c r="O492" s="9" t="inlineStr">
        <is>
          <t>OFFICIAL_AGGREGATE</t>
        </is>
      </c>
      <c r="P492" s="8" t="n">
        <v>1</v>
      </c>
      <c r="Q492" s="8" t="n">
        <v>50</v>
      </c>
      <c r="R492" s="7" t="inlineStr">
        <is>
          <t>https://www.eby.gov.py/wp-content/uploads/2019/12/YacyretaEnergiasMensualesDesdePuestaenMarcha.pdf</t>
        </is>
      </c>
      <c r="S492" s="6" t="inlineStr">
        <is>
          <t>EBY-MONTHLY-1994-2012</t>
        </is>
      </c>
      <c r="T492" s="6" t="inlineStr"/>
      <c r="U492" s="4" t="inlineStr">
        <is>
          <t>2026-09-10 23:00:00</t>
        </is>
      </c>
      <c r="V492" s="4" t="inlineStr">
        <is>
          <t>Energia mensual Yacyreta desde puesta en marcha.</t>
        </is>
      </c>
    </row>
    <row r="493">
      <c r="A493" s="6" t="inlineStr">
        <is>
          <t>R0000492</t>
        </is>
      </c>
      <c r="B493" s="6" t="inlineStr">
        <is>
          <t>2003-11-01</t>
        </is>
      </c>
      <c r="C493" s="6" t="inlineStr">
        <is>
          <t>2003-11-30</t>
        </is>
      </c>
      <c r="D493" s="6" t="inlineStr">
        <is>
          <t>month</t>
        </is>
      </c>
      <c r="E493" s="6" t="inlineStr">
        <is>
          <t>ENERGY_TO_ARGENTINA</t>
        </is>
      </c>
      <c r="F493" s="6" t="inlineStr">
        <is>
          <t>YACYRETA</t>
        </is>
      </c>
      <c r="G493" s="6" t="inlineStr">
        <is>
          <t>YACYRETA</t>
        </is>
      </c>
      <c r="H493" s="6" t="inlineStr">
        <is>
          <t>SADI</t>
        </is>
      </c>
      <c r="I493" s="8" t="n">
        <v>969883</v>
      </c>
      <c r="J493" s="6" t="inlineStr">
        <is>
          <t>MWh</t>
        </is>
      </c>
      <c r="K493" s="8" t="n">
        <v>969883</v>
      </c>
      <c r="L493" s="6" t="inlineStr">
        <is>
          <t>MWh</t>
        </is>
      </c>
      <c r="M493" s="6" t="inlineStr">
        <is>
          <t>EBY</t>
        </is>
      </c>
      <c r="N493" s="6" t="inlineStr">
        <is>
          <t>OFFICIAL_PRIMARY</t>
        </is>
      </c>
      <c r="O493" s="9" t="inlineStr">
        <is>
          <t>OFFICIAL_AGGREGATE</t>
        </is>
      </c>
      <c r="P493" s="8" t="n">
        <v>1</v>
      </c>
      <c r="Q493" s="8" t="n">
        <v>50</v>
      </c>
      <c r="R493" s="7" t="inlineStr">
        <is>
          <t>https://www.eby.gov.py/wp-content/uploads/2019/12/YacyretaEnergiasMensualesDesdePuestaenMarcha.pdf</t>
        </is>
      </c>
      <c r="S493" s="6" t="inlineStr">
        <is>
          <t>EBY-MONTHLY-1994-2012</t>
        </is>
      </c>
      <c r="T493" s="6" t="inlineStr"/>
      <c r="U493" s="4" t="inlineStr">
        <is>
          <t>2026-09-10 23:00:00</t>
        </is>
      </c>
      <c r="V493" s="4" t="inlineStr">
        <is>
          <t>Energia mensual entregada al SADI.</t>
        </is>
      </c>
    </row>
    <row r="494">
      <c r="A494" s="6" t="inlineStr">
        <is>
          <t>R0000493</t>
        </is>
      </c>
      <c r="B494" s="6" t="inlineStr">
        <is>
          <t>2003-11-01</t>
        </is>
      </c>
      <c r="C494" s="6" t="inlineStr">
        <is>
          <t>2003-11-30</t>
        </is>
      </c>
      <c r="D494" s="6" t="inlineStr">
        <is>
          <t>month</t>
        </is>
      </c>
      <c r="E494" s="6" t="inlineStr">
        <is>
          <t>ENERGY_TO_PY</t>
        </is>
      </c>
      <c r="F494" s="6" t="inlineStr">
        <is>
          <t>YACYRETA</t>
        </is>
      </c>
      <c r="G494" s="6" t="inlineStr">
        <is>
          <t>YACYRETA</t>
        </is>
      </c>
      <c r="H494" s="6" t="inlineStr">
        <is>
          <t>SINP</t>
        </is>
      </c>
      <c r="I494" s="8" t="n">
        <v>18003</v>
      </c>
      <c r="J494" s="6" t="inlineStr">
        <is>
          <t>MWh</t>
        </is>
      </c>
      <c r="K494" s="8" t="n">
        <v>18003</v>
      </c>
      <c r="L494" s="6" t="inlineStr">
        <is>
          <t>MWh</t>
        </is>
      </c>
      <c r="M494" s="6" t="inlineStr">
        <is>
          <t>EBY</t>
        </is>
      </c>
      <c r="N494" s="6" t="inlineStr">
        <is>
          <t>OFFICIAL_PRIMARY</t>
        </is>
      </c>
      <c r="O494" s="9" t="inlineStr">
        <is>
          <t>OFFICIAL_AGGREGATE</t>
        </is>
      </c>
      <c r="P494" s="8" t="n">
        <v>1</v>
      </c>
      <c r="Q494" s="8" t="n">
        <v>50</v>
      </c>
      <c r="R494" s="7" t="inlineStr">
        <is>
          <t>https://www.eby.gov.py/wp-content/uploads/2019/12/YacyretaEnergiasMensualesDesdePuestaenMarcha.pdf</t>
        </is>
      </c>
      <c r="S494" s="6" t="inlineStr">
        <is>
          <t>EBY-MONTHLY-1994-2012</t>
        </is>
      </c>
      <c r="T494" s="6" t="inlineStr"/>
      <c r="U494" s="4" t="inlineStr">
        <is>
          <t>2026-09-10 23:00:00</t>
        </is>
      </c>
      <c r="V494" s="4" t="inlineStr">
        <is>
          <t>Energia mensual entregada al SINP.</t>
        </is>
      </c>
    </row>
    <row r="495">
      <c r="A495" s="6" t="inlineStr">
        <is>
          <t>R0000494</t>
        </is>
      </c>
      <c r="B495" s="6" t="inlineStr">
        <is>
          <t>2003-12-01</t>
        </is>
      </c>
      <c r="C495" s="6" t="inlineStr">
        <is>
          <t>2003-12-31</t>
        </is>
      </c>
      <c r="D495" s="6" t="inlineStr">
        <is>
          <t>month</t>
        </is>
      </c>
      <c r="E495" s="6" t="inlineStr">
        <is>
          <t>YACYRETA_NET_ENERGY</t>
        </is>
      </c>
      <c r="F495" s="6" t="inlineStr">
        <is>
          <t>YACYRETA</t>
        </is>
      </c>
      <c r="G495" s="6" t="inlineStr">
        <is>
          <t>YACYRETA</t>
        </is>
      </c>
      <c r="H495" s="6" t="inlineStr">
        <is>
          <t>TOTAL</t>
        </is>
      </c>
      <c r="I495" s="8" t="n">
        <v>995907</v>
      </c>
      <c r="J495" s="6" t="inlineStr">
        <is>
          <t>MWh</t>
        </is>
      </c>
      <c r="K495" s="8" t="n">
        <v>995907</v>
      </c>
      <c r="L495" s="6" t="inlineStr">
        <is>
          <t>MWh</t>
        </is>
      </c>
      <c r="M495" s="6" t="inlineStr">
        <is>
          <t>EBY</t>
        </is>
      </c>
      <c r="N495" s="6" t="inlineStr">
        <is>
          <t>OFFICIAL_PRIMARY</t>
        </is>
      </c>
      <c r="O495" s="9" t="inlineStr">
        <is>
          <t>OFFICIAL_AGGREGATE</t>
        </is>
      </c>
      <c r="P495" s="8" t="n">
        <v>1</v>
      </c>
      <c r="Q495" s="8" t="n">
        <v>50</v>
      </c>
      <c r="R495" s="7" t="inlineStr">
        <is>
          <t>https://www.eby.gov.py/wp-content/uploads/2019/12/YacyretaEnergiasMensualesDesdePuestaenMarcha.pdf</t>
        </is>
      </c>
      <c r="S495" s="6" t="inlineStr">
        <is>
          <t>EBY-MONTHLY-1994-2012</t>
        </is>
      </c>
      <c r="T495" s="6" t="inlineStr"/>
      <c r="U495" s="4" t="inlineStr">
        <is>
          <t>2026-09-10 23:00:00</t>
        </is>
      </c>
      <c r="V495" s="4" t="inlineStr">
        <is>
          <t>Energia mensual Yacyreta desde puesta en marcha.</t>
        </is>
      </c>
    </row>
    <row r="496">
      <c r="A496" s="6" t="inlineStr">
        <is>
          <t>R0000495</t>
        </is>
      </c>
      <c r="B496" s="6" t="inlineStr">
        <is>
          <t>2003-12-01</t>
        </is>
      </c>
      <c r="C496" s="6" t="inlineStr">
        <is>
          <t>2003-12-31</t>
        </is>
      </c>
      <c r="D496" s="6" t="inlineStr">
        <is>
          <t>month</t>
        </is>
      </c>
      <c r="E496" s="6" t="inlineStr">
        <is>
          <t>ENERGY_TO_ARGENTINA</t>
        </is>
      </c>
      <c r="F496" s="6" t="inlineStr">
        <is>
          <t>YACYRETA</t>
        </is>
      </c>
      <c r="G496" s="6" t="inlineStr">
        <is>
          <t>YACYRETA</t>
        </is>
      </c>
      <c r="H496" s="6" t="inlineStr">
        <is>
          <t>SADI</t>
        </is>
      </c>
      <c r="I496" s="8" t="n">
        <v>991948</v>
      </c>
      <c r="J496" s="6" t="inlineStr">
        <is>
          <t>MWh</t>
        </is>
      </c>
      <c r="K496" s="8" t="n">
        <v>991948</v>
      </c>
      <c r="L496" s="6" t="inlineStr">
        <is>
          <t>MWh</t>
        </is>
      </c>
      <c r="M496" s="6" t="inlineStr">
        <is>
          <t>EBY</t>
        </is>
      </c>
      <c r="N496" s="6" t="inlineStr">
        <is>
          <t>OFFICIAL_PRIMARY</t>
        </is>
      </c>
      <c r="O496" s="9" t="inlineStr">
        <is>
          <t>OFFICIAL_AGGREGATE</t>
        </is>
      </c>
      <c r="P496" s="8" t="n">
        <v>1</v>
      </c>
      <c r="Q496" s="8" t="n">
        <v>50</v>
      </c>
      <c r="R496" s="7" t="inlineStr">
        <is>
          <t>https://www.eby.gov.py/wp-content/uploads/2019/12/YacyretaEnergiasMensualesDesdePuestaenMarcha.pdf</t>
        </is>
      </c>
      <c r="S496" s="6" t="inlineStr">
        <is>
          <t>EBY-MONTHLY-1994-2012</t>
        </is>
      </c>
      <c r="T496" s="6" t="inlineStr"/>
      <c r="U496" s="4" t="inlineStr">
        <is>
          <t>2026-09-10 23:00:00</t>
        </is>
      </c>
      <c r="V496" s="4" t="inlineStr">
        <is>
          <t>Energia mensual entregada al SADI.</t>
        </is>
      </c>
    </row>
    <row r="497">
      <c r="A497" s="6" t="inlineStr">
        <is>
          <t>R0000496</t>
        </is>
      </c>
      <c r="B497" s="6" t="inlineStr">
        <is>
          <t>2003-12-01</t>
        </is>
      </c>
      <c r="C497" s="6" t="inlineStr">
        <is>
          <t>2003-12-31</t>
        </is>
      </c>
      <c r="D497" s="6" t="inlineStr">
        <is>
          <t>month</t>
        </is>
      </c>
      <c r="E497" s="6" t="inlineStr">
        <is>
          <t>ENERGY_TO_PY</t>
        </is>
      </c>
      <c r="F497" s="6" t="inlineStr">
        <is>
          <t>YACYRETA</t>
        </is>
      </c>
      <c r="G497" s="6" t="inlineStr">
        <is>
          <t>YACYRETA</t>
        </is>
      </c>
      <c r="H497" s="6" t="inlineStr">
        <is>
          <t>SINP</t>
        </is>
      </c>
      <c r="I497" s="8" t="n">
        <v>3959</v>
      </c>
      <c r="J497" s="6" t="inlineStr">
        <is>
          <t>MWh</t>
        </is>
      </c>
      <c r="K497" s="8" t="n">
        <v>3959</v>
      </c>
      <c r="L497" s="6" t="inlineStr">
        <is>
          <t>MWh</t>
        </is>
      </c>
      <c r="M497" s="6" t="inlineStr">
        <is>
          <t>EBY</t>
        </is>
      </c>
      <c r="N497" s="6" t="inlineStr">
        <is>
          <t>OFFICIAL_PRIMARY</t>
        </is>
      </c>
      <c r="O497" s="9" t="inlineStr">
        <is>
          <t>OFFICIAL_AGGREGATE</t>
        </is>
      </c>
      <c r="P497" s="8" t="n">
        <v>1</v>
      </c>
      <c r="Q497" s="8" t="n">
        <v>50</v>
      </c>
      <c r="R497" s="7" t="inlineStr">
        <is>
          <t>https://www.eby.gov.py/wp-content/uploads/2019/12/YacyretaEnergiasMensualesDesdePuestaenMarcha.pdf</t>
        </is>
      </c>
      <c r="S497" s="6" t="inlineStr">
        <is>
          <t>EBY-MONTHLY-1994-2012</t>
        </is>
      </c>
      <c r="T497" s="6" t="inlineStr"/>
      <c r="U497" s="4" t="inlineStr">
        <is>
          <t>2026-09-10 23:00:00</t>
        </is>
      </c>
      <c r="V497" s="4" t="inlineStr">
        <is>
          <t>Energia mensual entregada al SINP.</t>
        </is>
      </c>
    </row>
    <row r="498">
      <c r="A498" s="6" t="inlineStr">
        <is>
          <t>R0000497</t>
        </is>
      </c>
      <c r="B498" s="6" t="inlineStr">
        <is>
          <t>2004-01-01</t>
        </is>
      </c>
      <c r="C498" s="6" t="inlineStr">
        <is>
          <t>2004-01-31</t>
        </is>
      </c>
      <c r="D498" s="6" t="inlineStr">
        <is>
          <t>month</t>
        </is>
      </c>
      <c r="E498" s="6" t="inlineStr">
        <is>
          <t>YACYRETA_NET_ENERGY</t>
        </is>
      </c>
      <c r="F498" s="6" t="inlineStr">
        <is>
          <t>YACYRETA</t>
        </is>
      </c>
      <c r="G498" s="6" t="inlineStr">
        <is>
          <t>YACYRETA</t>
        </is>
      </c>
      <c r="H498" s="6" t="inlineStr">
        <is>
          <t>TOTAL</t>
        </is>
      </c>
      <c r="I498" s="8" t="n">
        <v>1037821</v>
      </c>
      <c r="J498" s="6" t="inlineStr">
        <is>
          <t>MWh</t>
        </is>
      </c>
      <c r="K498" s="8" t="n">
        <v>1037821</v>
      </c>
      <c r="L498" s="6" t="inlineStr">
        <is>
          <t>MWh</t>
        </is>
      </c>
      <c r="M498" s="6" t="inlineStr">
        <is>
          <t>EBY</t>
        </is>
      </c>
      <c r="N498" s="6" t="inlineStr">
        <is>
          <t>OFFICIAL_PRIMARY</t>
        </is>
      </c>
      <c r="O498" s="9" t="inlineStr">
        <is>
          <t>OFFICIAL_AGGREGATE</t>
        </is>
      </c>
      <c r="P498" s="8" t="n">
        <v>1</v>
      </c>
      <c r="Q498" s="8" t="n">
        <v>50</v>
      </c>
      <c r="R498" s="7" t="inlineStr">
        <is>
          <t>https://www.eby.gov.py/wp-content/uploads/2019/12/YacyretaEnergiasMensualesDesdePuestaenMarcha.pdf</t>
        </is>
      </c>
      <c r="S498" s="6" t="inlineStr">
        <is>
          <t>EBY-MONTHLY-1994-2012</t>
        </is>
      </c>
      <c r="T498" s="6" t="inlineStr"/>
      <c r="U498" s="4" t="inlineStr">
        <is>
          <t>2026-09-10 23:00:00</t>
        </is>
      </c>
      <c r="V498" s="4" t="inlineStr">
        <is>
          <t>Energia mensual Yacyreta desde puesta en marcha.</t>
        </is>
      </c>
    </row>
    <row r="499">
      <c r="A499" s="6" t="inlineStr">
        <is>
          <t>R0000498</t>
        </is>
      </c>
      <c r="B499" s="6" t="inlineStr">
        <is>
          <t>2004-01-01</t>
        </is>
      </c>
      <c r="C499" s="6" t="inlineStr">
        <is>
          <t>2004-01-31</t>
        </is>
      </c>
      <c r="D499" s="6" t="inlineStr">
        <is>
          <t>month</t>
        </is>
      </c>
      <c r="E499" s="6" t="inlineStr">
        <is>
          <t>ENERGY_TO_ARGENTINA</t>
        </is>
      </c>
      <c r="F499" s="6" t="inlineStr">
        <is>
          <t>YACYRETA</t>
        </is>
      </c>
      <c r="G499" s="6" t="inlineStr">
        <is>
          <t>YACYRETA</t>
        </is>
      </c>
      <c r="H499" s="6" t="inlineStr">
        <is>
          <t>SADI</t>
        </is>
      </c>
      <c r="I499" s="8" t="n">
        <v>1036812</v>
      </c>
      <c r="J499" s="6" t="inlineStr">
        <is>
          <t>MWh</t>
        </is>
      </c>
      <c r="K499" s="8" t="n">
        <v>1036812</v>
      </c>
      <c r="L499" s="6" t="inlineStr">
        <is>
          <t>MWh</t>
        </is>
      </c>
      <c r="M499" s="6" t="inlineStr">
        <is>
          <t>EBY</t>
        </is>
      </c>
      <c r="N499" s="6" t="inlineStr">
        <is>
          <t>OFFICIAL_PRIMARY</t>
        </is>
      </c>
      <c r="O499" s="9" t="inlineStr">
        <is>
          <t>OFFICIAL_AGGREGATE</t>
        </is>
      </c>
      <c r="P499" s="8" t="n">
        <v>1</v>
      </c>
      <c r="Q499" s="8" t="n">
        <v>50</v>
      </c>
      <c r="R499" s="7" t="inlineStr">
        <is>
          <t>https://www.eby.gov.py/wp-content/uploads/2019/12/YacyretaEnergiasMensualesDesdePuestaenMarcha.pdf</t>
        </is>
      </c>
      <c r="S499" s="6" t="inlineStr">
        <is>
          <t>EBY-MONTHLY-1994-2012</t>
        </is>
      </c>
      <c r="T499" s="6" t="inlineStr"/>
      <c r="U499" s="4" t="inlineStr">
        <is>
          <t>2026-09-10 23:00:00</t>
        </is>
      </c>
      <c r="V499" s="4" t="inlineStr">
        <is>
          <t>Energia mensual entregada al SADI.</t>
        </is>
      </c>
    </row>
    <row r="500">
      <c r="A500" s="6" t="inlineStr">
        <is>
          <t>R0000499</t>
        </is>
      </c>
      <c r="B500" s="6" t="inlineStr">
        <is>
          <t>2004-01-01</t>
        </is>
      </c>
      <c r="C500" s="6" t="inlineStr">
        <is>
          <t>2004-01-31</t>
        </is>
      </c>
      <c r="D500" s="6" t="inlineStr">
        <is>
          <t>month</t>
        </is>
      </c>
      <c r="E500" s="6" t="inlineStr">
        <is>
          <t>ENERGY_TO_PY</t>
        </is>
      </c>
      <c r="F500" s="6" t="inlineStr">
        <is>
          <t>YACYRETA</t>
        </is>
      </c>
      <c r="G500" s="6" t="inlineStr">
        <is>
          <t>YACYRETA</t>
        </is>
      </c>
      <c r="H500" s="6" t="inlineStr">
        <is>
          <t>SINP</t>
        </is>
      </c>
      <c r="I500" s="8" t="n">
        <v>1009</v>
      </c>
      <c r="J500" s="6" t="inlineStr">
        <is>
          <t>MWh</t>
        </is>
      </c>
      <c r="K500" s="8" t="n">
        <v>1009</v>
      </c>
      <c r="L500" s="6" t="inlineStr">
        <is>
          <t>MWh</t>
        </is>
      </c>
      <c r="M500" s="6" t="inlineStr">
        <is>
          <t>EBY</t>
        </is>
      </c>
      <c r="N500" s="6" t="inlineStr">
        <is>
          <t>OFFICIAL_PRIMARY</t>
        </is>
      </c>
      <c r="O500" s="9" t="inlineStr">
        <is>
          <t>OFFICIAL_AGGREGATE</t>
        </is>
      </c>
      <c r="P500" s="8" t="n">
        <v>1</v>
      </c>
      <c r="Q500" s="8" t="n">
        <v>50</v>
      </c>
      <c r="R500" s="7" t="inlineStr">
        <is>
          <t>https://www.eby.gov.py/wp-content/uploads/2019/12/YacyretaEnergiasMensualesDesdePuestaenMarcha.pdf</t>
        </is>
      </c>
      <c r="S500" s="6" t="inlineStr">
        <is>
          <t>EBY-MONTHLY-1994-2012</t>
        </is>
      </c>
      <c r="T500" s="6" t="inlineStr"/>
      <c r="U500" s="4" t="inlineStr">
        <is>
          <t>2026-09-10 23:00:00</t>
        </is>
      </c>
      <c r="V500" s="4" t="inlineStr">
        <is>
          <t>Energia mensual entregada al SINP.</t>
        </is>
      </c>
    </row>
    <row r="501">
      <c r="A501" s="6" t="inlineStr">
        <is>
          <t>R0000500</t>
        </is>
      </c>
      <c r="B501" s="6" t="inlineStr">
        <is>
          <t>2004-02-01</t>
        </is>
      </c>
      <c r="C501" s="6" t="inlineStr">
        <is>
          <t>2004-02-29</t>
        </is>
      </c>
      <c r="D501" s="6" t="inlineStr">
        <is>
          <t>month</t>
        </is>
      </c>
      <c r="E501" s="6" t="inlineStr">
        <is>
          <t>YACYRETA_NET_ENERGY</t>
        </is>
      </c>
      <c r="F501" s="6" t="inlineStr">
        <is>
          <t>YACYRETA</t>
        </is>
      </c>
      <c r="G501" s="6" t="inlineStr">
        <is>
          <t>YACYRETA</t>
        </is>
      </c>
      <c r="H501" s="6" t="inlineStr">
        <is>
          <t>TOTAL</t>
        </is>
      </c>
      <c r="I501" s="8" t="n">
        <v>872476</v>
      </c>
      <c r="J501" s="6" t="inlineStr">
        <is>
          <t>MWh</t>
        </is>
      </c>
      <c r="K501" s="8" t="n">
        <v>872476</v>
      </c>
      <c r="L501" s="6" t="inlineStr">
        <is>
          <t>MWh</t>
        </is>
      </c>
      <c r="M501" s="6" t="inlineStr">
        <is>
          <t>EBY</t>
        </is>
      </c>
      <c r="N501" s="6" t="inlineStr">
        <is>
          <t>OFFICIAL_PRIMARY</t>
        </is>
      </c>
      <c r="O501" s="9" t="inlineStr">
        <is>
          <t>OFFICIAL_AGGREGATE</t>
        </is>
      </c>
      <c r="P501" s="8" t="n">
        <v>1</v>
      </c>
      <c r="Q501" s="8" t="n">
        <v>50</v>
      </c>
      <c r="R501" s="7" t="inlineStr">
        <is>
          <t>https://www.eby.gov.py/wp-content/uploads/2019/12/YacyretaEnergiasMensualesDesdePuestaenMarcha.pdf</t>
        </is>
      </c>
      <c r="S501" s="6" t="inlineStr">
        <is>
          <t>EBY-MONTHLY-1994-2012</t>
        </is>
      </c>
      <c r="T501" s="6" t="inlineStr"/>
      <c r="U501" s="4" t="inlineStr">
        <is>
          <t>2026-09-10 23:00:00</t>
        </is>
      </c>
      <c r="V501" s="4" t="inlineStr">
        <is>
          <t>Energia mensual Yacyreta desde puesta en marcha.</t>
        </is>
      </c>
    </row>
    <row r="502">
      <c r="A502" s="6" t="inlineStr">
        <is>
          <t>R0000501</t>
        </is>
      </c>
      <c r="B502" s="6" t="inlineStr">
        <is>
          <t>2004-02-01</t>
        </is>
      </c>
      <c r="C502" s="6" t="inlineStr">
        <is>
          <t>2004-02-29</t>
        </is>
      </c>
      <c r="D502" s="6" t="inlineStr">
        <is>
          <t>month</t>
        </is>
      </c>
      <c r="E502" s="6" t="inlineStr">
        <is>
          <t>ENERGY_TO_ARGENTINA</t>
        </is>
      </c>
      <c r="F502" s="6" t="inlineStr">
        <is>
          <t>YACYRETA</t>
        </is>
      </c>
      <c r="G502" s="6" t="inlineStr">
        <is>
          <t>YACYRETA</t>
        </is>
      </c>
      <c r="H502" s="6" t="inlineStr">
        <is>
          <t>SADI</t>
        </is>
      </c>
      <c r="I502" s="8" t="n">
        <v>872263</v>
      </c>
      <c r="J502" s="6" t="inlineStr">
        <is>
          <t>MWh</t>
        </is>
      </c>
      <c r="K502" s="8" t="n">
        <v>872263</v>
      </c>
      <c r="L502" s="6" t="inlineStr">
        <is>
          <t>MWh</t>
        </is>
      </c>
      <c r="M502" s="6" t="inlineStr">
        <is>
          <t>EBY</t>
        </is>
      </c>
      <c r="N502" s="6" t="inlineStr">
        <is>
          <t>OFFICIAL_PRIMARY</t>
        </is>
      </c>
      <c r="O502" s="9" t="inlineStr">
        <is>
          <t>OFFICIAL_AGGREGATE</t>
        </is>
      </c>
      <c r="P502" s="8" t="n">
        <v>1</v>
      </c>
      <c r="Q502" s="8" t="n">
        <v>50</v>
      </c>
      <c r="R502" s="7" t="inlineStr">
        <is>
          <t>https://www.eby.gov.py/wp-content/uploads/2019/12/YacyretaEnergiasMensualesDesdePuestaenMarcha.pdf</t>
        </is>
      </c>
      <c r="S502" s="6" t="inlineStr">
        <is>
          <t>EBY-MONTHLY-1994-2012</t>
        </is>
      </c>
      <c r="T502" s="6" t="inlineStr"/>
      <c r="U502" s="4" t="inlineStr">
        <is>
          <t>2026-09-10 23:00:00</t>
        </is>
      </c>
      <c r="V502" s="4" t="inlineStr">
        <is>
          <t>Energia mensual entregada al SADI.</t>
        </is>
      </c>
    </row>
    <row r="503">
      <c r="A503" s="6" t="inlineStr">
        <is>
          <t>R0000502</t>
        </is>
      </c>
      <c r="B503" s="6" t="inlineStr">
        <is>
          <t>2004-02-01</t>
        </is>
      </c>
      <c r="C503" s="6" t="inlineStr">
        <is>
          <t>2004-02-29</t>
        </is>
      </c>
      <c r="D503" s="6" t="inlineStr">
        <is>
          <t>month</t>
        </is>
      </c>
      <c r="E503" s="6" t="inlineStr">
        <is>
          <t>ENERGY_TO_PY</t>
        </is>
      </c>
      <c r="F503" s="6" t="inlineStr">
        <is>
          <t>YACYRETA</t>
        </is>
      </c>
      <c r="G503" s="6" t="inlineStr">
        <is>
          <t>YACYRETA</t>
        </is>
      </c>
      <c r="H503" s="6" t="inlineStr">
        <is>
          <t>SINP</t>
        </is>
      </c>
      <c r="I503" s="8" t="n">
        <v>213</v>
      </c>
      <c r="J503" s="6" t="inlineStr">
        <is>
          <t>MWh</t>
        </is>
      </c>
      <c r="K503" s="8" t="n">
        <v>213</v>
      </c>
      <c r="L503" s="6" t="inlineStr">
        <is>
          <t>MWh</t>
        </is>
      </c>
      <c r="M503" s="6" t="inlineStr">
        <is>
          <t>EBY</t>
        </is>
      </c>
      <c r="N503" s="6" t="inlineStr">
        <is>
          <t>OFFICIAL_PRIMARY</t>
        </is>
      </c>
      <c r="O503" s="9" t="inlineStr">
        <is>
          <t>OFFICIAL_AGGREGATE</t>
        </is>
      </c>
      <c r="P503" s="8" t="n">
        <v>1</v>
      </c>
      <c r="Q503" s="8" t="n">
        <v>50</v>
      </c>
      <c r="R503" s="7" t="inlineStr">
        <is>
          <t>https://www.eby.gov.py/wp-content/uploads/2019/12/YacyretaEnergiasMensualesDesdePuestaenMarcha.pdf</t>
        </is>
      </c>
      <c r="S503" s="6" t="inlineStr">
        <is>
          <t>EBY-MONTHLY-1994-2012</t>
        </is>
      </c>
      <c r="T503" s="6" t="inlineStr"/>
      <c r="U503" s="4" t="inlineStr">
        <is>
          <t>2026-09-10 23:00:00</t>
        </is>
      </c>
      <c r="V503" s="4" t="inlineStr">
        <is>
          <t>Energia mensual entregada al SINP.</t>
        </is>
      </c>
    </row>
    <row r="504">
      <c r="A504" s="6" t="inlineStr">
        <is>
          <t>R0000503</t>
        </is>
      </c>
      <c r="B504" s="6" t="inlineStr">
        <is>
          <t>2004-03-01</t>
        </is>
      </c>
      <c r="C504" s="6" t="inlineStr">
        <is>
          <t>2004-03-31</t>
        </is>
      </c>
      <c r="D504" s="6" t="inlineStr">
        <is>
          <t>month</t>
        </is>
      </c>
      <c r="E504" s="6" t="inlineStr">
        <is>
          <t>YACYRETA_NET_ENERGY</t>
        </is>
      </c>
      <c r="F504" s="6" t="inlineStr">
        <is>
          <t>YACYRETA</t>
        </is>
      </c>
      <c r="G504" s="6" t="inlineStr">
        <is>
          <t>YACYRETA</t>
        </is>
      </c>
      <c r="H504" s="6" t="inlineStr">
        <is>
          <t>TOTAL</t>
        </is>
      </c>
      <c r="I504" s="8" t="n">
        <v>936063</v>
      </c>
      <c r="J504" s="6" t="inlineStr">
        <is>
          <t>MWh</t>
        </is>
      </c>
      <c r="K504" s="8" t="n">
        <v>936063</v>
      </c>
      <c r="L504" s="6" t="inlineStr">
        <is>
          <t>MWh</t>
        </is>
      </c>
      <c r="M504" s="6" t="inlineStr">
        <is>
          <t>EBY</t>
        </is>
      </c>
      <c r="N504" s="6" t="inlineStr">
        <is>
          <t>OFFICIAL_PRIMARY</t>
        </is>
      </c>
      <c r="O504" s="9" t="inlineStr">
        <is>
          <t>OFFICIAL_AGGREGATE</t>
        </is>
      </c>
      <c r="P504" s="8" t="n">
        <v>1</v>
      </c>
      <c r="Q504" s="8" t="n">
        <v>50</v>
      </c>
      <c r="R504" s="7" t="inlineStr">
        <is>
          <t>https://www.eby.gov.py/wp-content/uploads/2019/12/YacyretaEnergiasMensualesDesdePuestaenMarcha.pdf</t>
        </is>
      </c>
      <c r="S504" s="6" t="inlineStr">
        <is>
          <t>EBY-MONTHLY-1994-2012</t>
        </is>
      </c>
      <c r="T504" s="6" t="inlineStr"/>
      <c r="U504" s="4" t="inlineStr">
        <is>
          <t>2026-09-10 23:00:00</t>
        </is>
      </c>
      <c r="V504" s="4" t="inlineStr">
        <is>
          <t>Energia mensual Yacyreta desde puesta en marcha.</t>
        </is>
      </c>
    </row>
    <row r="505">
      <c r="A505" s="6" t="inlineStr">
        <is>
          <t>R0000504</t>
        </is>
      </c>
      <c r="B505" s="6" t="inlineStr">
        <is>
          <t>2004-03-01</t>
        </is>
      </c>
      <c r="C505" s="6" t="inlineStr">
        <is>
          <t>2004-03-31</t>
        </is>
      </c>
      <c r="D505" s="6" t="inlineStr">
        <is>
          <t>month</t>
        </is>
      </c>
      <c r="E505" s="6" t="inlineStr">
        <is>
          <t>ENERGY_TO_ARGENTINA</t>
        </is>
      </c>
      <c r="F505" s="6" t="inlineStr">
        <is>
          <t>YACYRETA</t>
        </is>
      </c>
      <c r="G505" s="6" t="inlineStr">
        <is>
          <t>YACYRETA</t>
        </is>
      </c>
      <c r="H505" s="6" t="inlineStr">
        <is>
          <t>SADI</t>
        </is>
      </c>
      <c r="I505" s="8" t="n">
        <v>935653</v>
      </c>
      <c r="J505" s="6" t="inlineStr">
        <is>
          <t>MWh</t>
        </is>
      </c>
      <c r="K505" s="8" t="n">
        <v>935653</v>
      </c>
      <c r="L505" s="6" t="inlineStr">
        <is>
          <t>MWh</t>
        </is>
      </c>
      <c r="M505" s="6" t="inlineStr">
        <is>
          <t>EBY</t>
        </is>
      </c>
      <c r="N505" s="6" t="inlineStr">
        <is>
          <t>OFFICIAL_PRIMARY</t>
        </is>
      </c>
      <c r="O505" s="9" t="inlineStr">
        <is>
          <t>OFFICIAL_AGGREGATE</t>
        </is>
      </c>
      <c r="P505" s="8" t="n">
        <v>1</v>
      </c>
      <c r="Q505" s="8" t="n">
        <v>50</v>
      </c>
      <c r="R505" s="7" t="inlineStr">
        <is>
          <t>https://www.eby.gov.py/wp-content/uploads/2019/12/YacyretaEnergiasMensualesDesdePuestaenMarcha.pdf</t>
        </is>
      </c>
      <c r="S505" s="6" t="inlineStr">
        <is>
          <t>EBY-MONTHLY-1994-2012</t>
        </is>
      </c>
      <c r="T505" s="6" t="inlineStr"/>
      <c r="U505" s="4" t="inlineStr">
        <is>
          <t>2026-09-10 23:00:00</t>
        </is>
      </c>
      <c r="V505" s="4" t="inlineStr">
        <is>
          <t>Energia mensual entregada al SADI.</t>
        </is>
      </c>
    </row>
    <row r="506">
      <c r="A506" s="6" t="inlineStr">
        <is>
          <t>R0000505</t>
        </is>
      </c>
      <c r="B506" s="6" t="inlineStr">
        <is>
          <t>2004-03-01</t>
        </is>
      </c>
      <c r="C506" s="6" t="inlineStr">
        <is>
          <t>2004-03-31</t>
        </is>
      </c>
      <c r="D506" s="6" t="inlineStr">
        <is>
          <t>month</t>
        </is>
      </c>
      <c r="E506" s="6" t="inlineStr">
        <is>
          <t>ENERGY_TO_PY</t>
        </is>
      </c>
      <c r="F506" s="6" t="inlineStr">
        <is>
          <t>YACYRETA</t>
        </is>
      </c>
      <c r="G506" s="6" t="inlineStr">
        <is>
          <t>YACYRETA</t>
        </is>
      </c>
      <c r="H506" s="6" t="inlineStr">
        <is>
          <t>SINP</t>
        </is>
      </c>
      <c r="I506" s="8" t="n">
        <v>410</v>
      </c>
      <c r="J506" s="6" t="inlineStr">
        <is>
          <t>MWh</t>
        </is>
      </c>
      <c r="K506" s="8" t="n">
        <v>410</v>
      </c>
      <c r="L506" s="6" t="inlineStr">
        <is>
          <t>MWh</t>
        </is>
      </c>
      <c r="M506" s="6" t="inlineStr">
        <is>
          <t>EBY</t>
        </is>
      </c>
      <c r="N506" s="6" t="inlineStr">
        <is>
          <t>OFFICIAL_PRIMARY</t>
        </is>
      </c>
      <c r="O506" s="9" t="inlineStr">
        <is>
          <t>OFFICIAL_AGGREGATE</t>
        </is>
      </c>
      <c r="P506" s="8" t="n">
        <v>1</v>
      </c>
      <c r="Q506" s="8" t="n">
        <v>50</v>
      </c>
      <c r="R506" s="7" t="inlineStr">
        <is>
          <t>https://www.eby.gov.py/wp-content/uploads/2019/12/YacyretaEnergiasMensualesDesdePuestaenMarcha.pdf</t>
        </is>
      </c>
      <c r="S506" s="6" t="inlineStr">
        <is>
          <t>EBY-MONTHLY-1994-2012</t>
        </is>
      </c>
      <c r="T506" s="6" t="inlineStr"/>
      <c r="U506" s="4" t="inlineStr">
        <is>
          <t>2026-09-10 23:00:00</t>
        </is>
      </c>
      <c r="V506" s="4" t="inlineStr">
        <is>
          <t>Energia mensual entregada al SINP.</t>
        </is>
      </c>
    </row>
    <row r="507">
      <c r="A507" s="6" t="inlineStr">
        <is>
          <t>R0000506</t>
        </is>
      </c>
      <c r="B507" s="6" t="inlineStr">
        <is>
          <t>2004-04-01</t>
        </is>
      </c>
      <c r="C507" s="6" t="inlineStr">
        <is>
          <t>2004-04-30</t>
        </is>
      </c>
      <c r="D507" s="6" t="inlineStr">
        <is>
          <t>month</t>
        </is>
      </c>
      <c r="E507" s="6" t="inlineStr">
        <is>
          <t>YACYRETA_NET_ENERGY</t>
        </is>
      </c>
      <c r="F507" s="6" t="inlineStr">
        <is>
          <t>YACYRETA</t>
        </is>
      </c>
      <c r="G507" s="6" t="inlineStr">
        <is>
          <t>YACYRETA</t>
        </is>
      </c>
      <c r="H507" s="6" t="inlineStr">
        <is>
          <t>TOTAL</t>
        </is>
      </c>
      <c r="I507" s="8" t="n">
        <v>887434</v>
      </c>
      <c r="J507" s="6" t="inlineStr">
        <is>
          <t>MWh</t>
        </is>
      </c>
      <c r="K507" s="8" t="n">
        <v>887434</v>
      </c>
      <c r="L507" s="6" t="inlineStr">
        <is>
          <t>MWh</t>
        </is>
      </c>
      <c r="M507" s="6" t="inlineStr">
        <is>
          <t>EBY</t>
        </is>
      </c>
      <c r="N507" s="6" t="inlineStr">
        <is>
          <t>OFFICIAL_PRIMARY</t>
        </is>
      </c>
      <c r="O507" s="9" t="inlineStr">
        <is>
          <t>OFFICIAL_AGGREGATE</t>
        </is>
      </c>
      <c r="P507" s="8" t="n">
        <v>1</v>
      </c>
      <c r="Q507" s="8" t="n">
        <v>50</v>
      </c>
      <c r="R507" s="7" t="inlineStr">
        <is>
          <t>https://www.eby.gov.py/wp-content/uploads/2019/12/YacyretaEnergiasMensualesDesdePuestaenMarcha.pdf</t>
        </is>
      </c>
      <c r="S507" s="6" t="inlineStr">
        <is>
          <t>EBY-MONTHLY-1994-2012</t>
        </is>
      </c>
      <c r="T507" s="6" t="inlineStr"/>
      <c r="U507" s="4" t="inlineStr">
        <is>
          <t>2026-09-10 23:00:00</t>
        </is>
      </c>
      <c r="V507" s="4" t="inlineStr">
        <is>
          <t>Energia mensual Yacyreta desde puesta en marcha.</t>
        </is>
      </c>
    </row>
    <row r="508">
      <c r="A508" s="6" t="inlineStr">
        <is>
          <t>R0000507</t>
        </is>
      </c>
      <c r="B508" s="6" t="inlineStr">
        <is>
          <t>2004-04-01</t>
        </is>
      </c>
      <c r="C508" s="6" t="inlineStr">
        <is>
          <t>2004-04-30</t>
        </is>
      </c>
      <c r="D508" s="6" t="inlineStr">
        <is>
          <t>month</t>
        </is>
      </c>
      <c r="E508" s="6" t="inlineStr">
        <is>
          <t>ENERGY_TO_ARGENTINA</t>
        </is>
      </c>
      <c r="F508" s="6" t="inlineStr">
        <is>
          <t>YACYRETA</t>
        </is>
      </c>
      <c r="G508" s="6" t="inlineStr">
        <is>
          <t>YACYRETA</t>
        </is>
      </c>
      <c r="H508" s="6" t="inlineStr">
        <is>
          <t>SADI</t>
        </is>
      </c>
      <c r="I508" s="8" t="n">
        <v>880993</v>
      </c>
      <c r="J508" s="6" t="inlineStr">
        <is>
          <t>MWh</t>
        </is>
      </c>
      <c r="K508" s="8" t="n">
        <v>880993</v>
      </c>
      <c r="L508" s="6" t="inlineStr">
        <is>
          <t>MWh</t>
        </is>
      </c>
      <c r="M508" s="6" t="inlineStr">
        <is>
          <t>EBY</t>
        </is>
      </c>
      <c r="N508" s="6" t="inlineStr">
        <is>
          <t>OFFICIAL_PRIMARY</t>
        </is>
      </c>
      <c r="O508" s="9" t="inlineStr">
        <is>
          <t>OFFICIAL_AGGREGATE</t>
        </is>
      </c>
      <c r="P508" s="8" t="n">
        <v>1</v>
      </c>
      <c r="Q508" s="8" t="n">
        <v>50</v>
      </c>
      <c r="R508" s="7" t="inlineStr">
        <is>
          <t>https://www.eby.gov.py/wp-content/uploads/2019/12/YacyretaEnergiasMensualesDesdePuestaenMarcha.pdf</t>
        </is>
      </c>
      <c r="S508" s="6" t="inlineStr">
        <is>
          <t>EBY-MONTHLY-1994-2012</t>
        </is>
      </c>
      <c r="T508" s="6" t="inlineStr"/>
      <c r="U508" s="4" t="inlineStr">
        <is>
          <t>2026-09-10 23:00:00</t>
        </is>
      </c>
      <c r="V508" s="4" t="inlineStr">
        <is>
          <t>Energia mensual entregada al SADI.</t>
        </is>
      </c>
    </row>
    <row r="509">
      <c r="A509" s="6" t="inlineStr">
        <is>
          <t>R0000508</t>
        </is>
      </c>
      <c r="B509" s="6" t="inlineStr">
        <is>
          <t>2004-04-01</t>
        </is>
      </c>
      <c r="C509" s="6" t="inlineStr">
        <is>
          <t>2004-04-30</t>
        </is>
      </c>
      <c r="D509" s="6" t="inlineStr">
        <is>
          <t>month</t>
        </is>
      </c>
      <c r="E509" s="6" t="inlineStr">
        <is>
          <t>ENERGY_TO_PY</t>
        </is>
      </c>
      <c r="F509" s="6" t="inlineStr">
        <is>
          <t>YACYRETA</t>
        </is>
      </c>
      <c r="G509" s="6" t="inlineStr">
        <is>
          <t>YACYRETA</t>
        </is>
      </c>
      <c r="H509" s="6" t="inlineStr">
        <is>
          <t>SINP</t>
        </is>
      </c>
      <c r="I509" s="8" t="n">
        <v>6441</v>
      </c>
      <c r="J509" s="6" t="inlineStr">
        <is>
          <t>MWh</t>
        </is>
      </c>
      <c r="K509" s="8" t="n">
        <v>6441</v>
      </c>
      <c r="L509" s="6" t="inlineStr">
        <is>
          <t>MWh</t>
        </is>
      </c>
      <c r="M509" s="6" t="inlineStr">
        <is>
          <t>EBY</t>
        </is>
      </c>
      <c r="N509" s="6" t="inlineStr">
        <is>
          <t>OFFICIAL_PRIMARY</t>
        </is>
      </c>
      <c r="O509" s="9" t="inlineStr">
        <is>
          <t>OFFICIAL_AGGREGATE</t>
        </is>
      </c>
      <c r="P509" s="8" t="n">
        <v>1</v>
      </c>
      <c r="Q509" s="8" t="n">
        <v>50</v>
      </c>
      <c r="R509" s="7" t="inlineStr">
        <is>
          <t>https://www.eby.gov.py/wp-content/uploads/2019/12/YacyretaEnergiasMensualesDesdePuestaenMarcha.pdf</t>
        </is>
      </c>
      <c r="S509" s="6" t="inlineStr">
        <is>
          <t>EBY-MONTHLY-1994-2012</t>
        </is>
      </c>
      <c r="T509" s="6" t="inlineStr"/>
      <c r="U509" s="4" t="inlineStr">
        <is>
          <t>2026-09-10 23:00:00</t>
        </is>
      </c>
      <c r="V509" s="4" t="inlineStr">
        <is>
          <t>Energia mensual entregada al SINP.</t>
        </is>
      </c>
    </row>
    <row r="510">
      <c r="A510" s="6" t="inlineStr">
        <is>
          <t>R0000509</t>
        </is>
      </c>
      <c r="B510" s="6" t="inlineStr">
        <is>
          <t>2004-05-01</t>
        </is>
      </c>
      <c r="C510" s="6" t="inlineStr">
        <is>
          <t>2004-05-31</t>
        </is>
      </c>
      <c r="D510" s="6" t="inlineStr">
        <is>
          <t>month</t>
        </is>
      </c>
      <c r="E510" s="6" t="inlineStr">
        <is>
          <t>YACYRETA_NET_ENERGY</t>
        </is>
      </c>
      <c r="F510" s="6" t="inlineStr">
        <is>
          <t>YACYRETA</t>
        </is>
      </c>
      <c r="G510" s="6" t="inlineStr">
        <is>
          <t>YACYRETA</t>
        </is>
      </c>
      <c r="H510" s="6" t="inlineStr">
        <is>
          <t>TOTAL</t>
        </is>
      </c>
      <c r="I510" s="8" t="n">
        <v>1012217</v>
      </c>
      <c r="J510" s="6" t="inlineStr">
        <is>
          <t>MWh</t>
        </is>
      </c>
      <c r="K510" s="8" t="n">
        <v>1012217</v>
      </c>
      <c r="L510" s="6" t="inlineStr">
        <is>
          <t>MWh</t>
        </is>
      </c>
      <c r="M510" s="6" t="inlineStr">
        <is>
          <t>EBY</t>
        </is>
      </c>
      <c r="N510" s="6" t="inlineStr">
        <is>
          <t>OFFICIAL_PRIMARY</t>
        </is>
      </c>
      <c r="O510" s="9" t="inlineStr">
        <is>
          <t>OFFICIAL_AGGREGATE</t>
        </is>
      </c>
      <c r="P510" s="8" t="n">
        <v>1</v>
      </c>
      <c r="Q510" s="8" t="n">
        <v>50</v>
      </c>
      <c r="R510" s="7" t="inlineStr">
        <is>
          <t>https://www.eby.gov.py/wp-content/uploads/2019/12/YacyretaEnergiasMensualesDesdePuestaenMarcha.pdf</t>
        </is>
      </c>
      <c r="S510" s="6" t="inlineStr">
        <is>
          <t>EBY-MONTHLY-1994-2012</t>
        </is>
      </c>
      <c r="T510" s="6" t="inlineStr"/>
      <c r="U510" s="4" t="inlineStr">
        <is>
          <t>2026-09-10 23:00:00</t>
        </is>
      </c>
      <c r="V510" s="4" t="inlineStr">
        <is>
          <t>Energia mensual Yacyreta desde puesta en marcha.</t>
        </is>
      </c>
    </row>
    <row r="511">
      <c r="A511" s="6" t="inlineStr">
        <is>
          <t>R0000510</t>
        </is>
      </c>
      <c r="B511" s="6" t="inlineStr">
        <is>
          <t>2004-05-01</t>
        </is>
      </c>
      <c r="C511" s="6" t="inlineStr">
        <is>
          <t>2004-05-31</t>
        </is>
      </c>
      <c r="D511" s="6" t="inlineStr">
        <is>
          <t>month</t>
        </is>
      </c>
      <c r="E511" s="6" t="inlineStr">
        <is>
          <t>ENERGY_TO_ARGENTINA</t>
        </is>
      </c>
      <c r="F511" s="6" t="inlineStr">
        <is>
          <t>YACYRETA</t>
        </is>
      </c>
      <c r="G511" s="6" t="inlineStr">
        <is>
          <t>YACYRETA</t>
        </is>
      </c>
      <c r="H511" s="6" t="inlineStr">
        <is>
          <t>SADI</t>
        </is>
      </c>
      <c r="I511" s="8" t="n">
        <v>1003010</v>
      </c>
      <c r="J511" s="6" t="inlineStr">
        <is>
          <t>MWh</t>
        </is>
      </c>
      <c r="K511" s="8" t="n">
        <v>1003010</v>
      </c>
      <c r="L511" s="6" t="inlineStr">
        <is>
          <t>MWh</t>
        </is>
      </c>
      <c r="M511" s="6" t="inlineStr">
        <is>
          <t>EBY</t>
        </is>
      </c>
      <c r="N511" s="6" t="inlineStr">
        <is>
          <t>OFFICIAL_PRIMARY</t>
        </is>
      </c>
      <c r="O511" s="9" t="inlineStr">
        <is>
          <t>OFFICIAL_AGGREGATE</t>
        </is>
      </c>
      <c r="P511" s="8" t="n">
        <v>1</v>
      </c>
      <c r="Q511" s="8" t="n">
        <v>50</v>
      </c>
      <c r="R511" s="7" t="inlineStr">
        <is>
          <t>https://www.eby.gov.py/wp-content/uploads/2019/12/YacyretaEnergiasMensualesDesdePuestaenMarcha.pdf</t>
        </is>
      </c>
      <c r="S511" s="6" t="inlineStr">
        <is>
          <t>EBY-MONTHLY-1994-2012</t>
        </is>
      </c>
      <c r="T511" s="6" t="inlineStr"/>
      <c r="U511" s="4" t="inlineStr">
        <is>
          <t>2026-09-10 23:00:00</t>
        </is>
      </c>
      <c r="V511" s="4" t="inlineStr">
        <is>
          <t>Energia mensual entregada al SADI.</t>
        </is>
      </c>
    </row>
    <row r="512">
      <c r="A512" s="6" t="inlineStr">
        <is>
          <t>R0000511</t>
        </is>
      </c>
      <c r="B512" s="6" t="inlineStr">
        <is>
          <t>2004-05-01</t>
        </is>
      </c>
      <c r="C512" s="6" t="inlineStr">
        <is>
          <t>2004-05-31</t>
        </is>
      </c>
      <c r="D512" s="6" t="inlineStr">
        <is>
          <t>month</t>
        </is>
      </c>
      <c r="E512" s="6" t="inlineStr">
        <is>
          <t>ENERGY_TO_PY</t>
        </is>
      </c>
      <c r="F512" s="6" t="inlineStr">
        <is>
          <t>YACYRETA</t>
        </is>
      </c>
      <c r="G512" s="6" t="inlineStr">
        <is>
          <t>YACYRETA</t>
        </is>
      </c>
      <c r="H512" s="6" t="inlineStr">
        <is>
          <t>SINP</t>
        </is>
      </c>
      <c r="I512" s="8" t="n">
        <v>9207</v>
      </c>
      <c r="J512" s="6" t="inlineStr">
        <is>
          <t>MWh</t>
        </is>
      </c>
      <c r="K512" s="8" t="n">
        <v>9207</v>
      </c>
      <c r="L512" s="6" t="inlineStr">
        <is>
          <t>MWh</t>
        </is>
      </c>
      <c r="M512" s="6" t="inlineStr">
        <is>
          <t>EBY</t>
        </is>
      </c>
      <c r="N512" s="6" t="inlineStr">
        <is>
          <t>OFFICIAL_PRIMARY</t>
        </is>
      </c>
      <c r="O512" s="9" t="inlineStr">
        <is>
          <t>OFFICIAL_AGGREGATE</t>
        </is>
      </c>
      <c r="P512" s="8" t="n">
        <v>1</v>
      </c>
      <c r="Q512" s="8" t="n">
        <v>50</v>
      </c>
      <c r="R512" s="7" t="inlineStr">
        <is>
          <t>https://www.eby.gov.py/wp-content/uploads/2019/12/YacyretaEnergiasMensualesDesdePuestaenMarcha.pdf</t>
        </is>
      </c>
      <c r="S512" s="6" t="inlineStr">
        <is>
          <t>EBY-MONTHLY-1994-2012</t>
        </is>
      </c>
      <c r="T512" s="6" t="inlineStr"/>
      <c r="U512" s="4" t="inlineStr">
        <is>
          <t>2026-09-10 23:00:00</t>
        </is>
      </c>
      <c r="V512" s="4" t="inlineStr">
        <is>
          <t>Energia mensual entregada al SINP.</t>
        </is>
      </c>
    </row>
    <row r="513">
      <c r="A513" s="6" t="inlineStr">
        <is>
          <t>R0000512</t>
        </is>
      </c>
      <c r="B513" s="6" t="inlineStr">
        <is>
          <t>2004-06-01</t>
        </is>
      </c>
      <c r="C513" s="6" t="inlineStr">
        <is>
          <t>2004-06-30</t>
        </is>
      </c>
      <c r="D513" s="6" t="inlineStr">
        <is>
          <t>month</t>
        </is>
      </c>
      <c r="E513" s="6" t="inlineStr">
        <is>
          <t>YACYRETA_NET_ENERGY</t>
        </is>
      </c>
      <c r="F513" s="6" t="inlineStr">
        <is>
          <t>YACYRETA</t>
        </is>
      </c>
      <c r="G513" s="6" t="inlineStr">
        <is>
          <t>YACYRETA</t>
        </is>
      </c>
      <c r="H513" s="6" t="inlineStr">
        <is>
          <t>TOTAL</t>
        </is>
      </c>
      <c r="I513" s="8" t="n">
        <v>1038561</v>
      </c>
      <c r="J513" s="6" t="inlineStr">
        <is>
          <t>MWh</t>
        </is>
      </c>
      <c r="K513" s="8" t="n">
        <v>1038561</v>
      </c>
      <c r="L513" s="6" t="inlineStr">
        <is>
          <t>MWh</t>
        </is>
      </c>
      <c r="M513" s="6" t="inlineStr">
        <is>
          <t>EBY</t>
        </is>
      </c>
      <c r="N513" s="6" t="inlineStr">
        <is>
          <t>OFFICIAL_PRIMARY</t>
        </is>
      </c>
      <c r="O513" s="9" t="inlineStr">
        <is>
          <t>OFFICIAL_AGGREGATE</t>
        </is>
      </c>
      <c r="P513" s="8" t="n">
        <v>1</v>
      </c>
      <c r="Q513" s="8" t="n">
        <v>50</v>
      </c>
      <c r="R513" s="7" t="inlineStr">
        <is>
          <t>https://www.eby.gov.py/wp-content/uploads/2019/12/YacyretaEnergiasMensualesDesdePuestaenMarcha.pdf</t>
        </is>
      </c>
      <c r="S513" s="6" t="inlineStr">
        <is>
          <t>EBY-MONTHLY-1994-2012</t>
        </is>
      </c>
      <c r="T513" s="6" t="inlineStr"/>
      <c r="U513" s="4" t="inlineStr">
        <is>
          <t>2026-09-10 23:00:00</t>
        </is>
      </c>
      <c r="V513" s="4" t="inlineStr">
        <is>
          <t>Energia mensual Yacyreta desde puesta en marcha.</t>
        </is>
      </c>
    </row>
    <row r="514">
      <c r="A514" s="6" t="inlineStr">
        <is>
          <t>R0000513</t>
        </is>
      </c>
      <c r="B514" s="6" t="inlineStr">
        <is>
          <t>2004-06-01</t>
        </is>
      </c>
      <c r="C514" s="6" t="inlineStr">
        <is>
          <t>2004-06-30</t>
        </is>
      </c>
      <c r="D514" s="6" t="inlineStr">
        <is>
          <t>month</t>
        </is>
      </c>
      <c r="E514" s="6" t="inlineStr">
        <is>
          <t>ENERGY_TO_ARGENTINA</t>
        </is>
      </c>
      <c r="F514" s="6" t="inlineStr">
        <is>
          <t>YACYRETA</t>
        </is>
      </c>
      <c r="G514" s="6" t="inlineStr">
        <is>
          <t>YACYRETA</t>
        </is>
      </c>
      <c r="H514" s="6" t="inlineStr">
        <is>
          <t>SADI</t>
        </is>
      </c>
      <c r="I514" s="8" t="n">
        <v>1031528</v>
      </c>
      <c r="J514" s="6" t="inlineStr">
        <is>
          <t>MWh</t>
        </is>
      </c>
      <c r="K514" s="8" t="n">
        <v>1031528</v>
      </c>
      <c r="L514" s="6" t="inlineStr">
        <is>
          <t>MWh</t>
        </is>
      </c>
      <c r="M514" s="6" t="inlineStr">
        <is>
          <t>EBY</t>
        </is>
      </c>
      <c r="N514" s="6" t="inlineStr">
        <is>
          <t>OFFICIAL_PRIMARY</t>
        </is>
      </c>
      <c r="O514" s="9" t="inlineStr">
        <is>
          <t>OFFICIAL_AGGREGATE</t>
        </is>
      </c>
      <c r="P514" s="8" t="n">
        <v>1</v>
      </c>
      <c r="Q514" s="8" t="n">
        <v>50</v>
      </c>
      <c r="R514" s="7" t="inlineStr">
        <is>
          <t>https://www.eby.gov.py/wp-content/uploads/2019/12/YacyretaEnergiasMensualesDesdePuestaenMarcha.pdf</t>
        </is>
      </c>
      <c r="S514" s="6" t="inlineStr">
        <is>
          <t>EBY-MONTHLY-1994-2012</t>
        </is>
      </c>
      <c r="T514" s="6" t="inlineStr"/>
      <c r="U514" s="4" t="inlineStr">
        <is>
          <t>2026-09-10 23:00:00</t>
        </is>
      </c>
      <c r="V514" s="4" t="inlineStr">
        <is>
          <t>Energia mensual entregada al SADI.</t>
        </is>
      </c>
    </row>
    <row r="515">
      <c r="A515" s="6" t="inlineStr">
        <is>
          <t>R0000514</t>
        </is>
      </c>
      <c r="B515" s="6" t="inlineStr">
        <is>
          <t>2004-06-01</t>
        </is>
      </c>
      <c r="C515" s="6" t="inlineStr">
        <is>
          <t>2004-06-30</t>
        </is>
      </c>
      <c r="D515" s="6" t="inlineStr">
        <is>
          <t>month</t>
        </is>
      </c>
      <c r="E515" s="6" t="inlineStr">
        <is>
          <t>ENERGY_TO_PY</t>
        </is>
      </c>
      <c r="F515" s="6" t="inlineStr">
        <is>
          <t>YACYRETA</t>
        </is>
      </c>
      <c r="G515" s="6" t="inlineStr">
        <is>
          <t>YACYRETA</t>
        </is>
      </c>
      <c r="H515" s="6" t="inlineStr">
        <is>
          <t>SINP</t>
        </is>
      </c>
      <c r="I515" s="8" t="n">
        <v>7033</v>
      </c>
      <c r="J515" s="6" t="inlineStr">
        <is>
          <t>MWh</t>
        </is>
      </c>
      <c r="K515" s="8" t="n">
        <v>7033</v>
      </c>
      <c r="L515" s="6" t="inlineStr">
        <is>
          <t>MWh</t>
        </is>
      </c>
      <c r="M515" s="6" t="inlineStr">
        <is>
          <t>EBY</t>
        </is>
      </c>
      <c r="N515" s="6" t="inlineStr">
        <is>
          <t>OFFICIAL_PRIMARY</t>
        </is>
      </c>
      <c r="O515" s="9" t="inlineStr">
        <is>
          <t>OFFICIAL_AGGREGATE</t>
        </is>
      </c>
      <c r="P515" s="8" t="n">
        <v>1</v>
      </c>
      <c r="Q515" s="8" t="n">
        <v>50</v>
      </c>
      <c r="R515" s="7" t="inlineStr">
        <is>
          <t>https://www.eby.gov.py/wp-content/uploads/2019/12/YacyretaEnergiasMensualesDesdePuestaenMarcha.pdf</t>
        </is>
      </c>
      <c r="S515" s="6" t="inlineStr">
        <is>
          <t>EBY-MONTHLY-1994-2012</t>
        </is>
      </c>
      <c r="T515" s="6" t="inlineStr"/>
      <c r="U515" s="4" t="inlineStr">
        <is>
          <t>2026-09-10 23:00:00</t>
        </is>
      </c>
      <c r="V515" s="4" t="inlineStr">
        <is>
          <t>Energia mensual entregada al SINP.</t>
        </is>
      </c>
    </row>
    <row r="516">
      <c r="A516" s="6" t="inlineStr">
        <is>
          <t>R0000515</t>
        </is>
      </c>
      <c r="B516" s="6" t="inlineStr">
        <is>
          <t>2004-07-01</t>
        </is>
      </c>
      <c r="C516" s="6" t="inlineStr">
        <is>
          <t>2004-07-31</t>
        </is>
      </c>
      <c r="D516" s="6" t="inlineStr">
        <is>
          <t>month</t>
        </is>
      </c>
      <c r="E516" s="6" t="inlineStr">
        <is>
          <t>YACYRETA_NET_ENERGY</t>
        </is>
      </c>
      <c r="F516" s="6" t="inlineStr">
        <is>
          <t>YACYRETA</t>
        </is>
      </c>
      <c r="G516" s="6" t="inlineStr">
        <is>
          <t>YACYRETA</t>
        </is>
      </c>
      <c r="H516" s="6" t="inlineStr">
        <is>
          <t>TOTAL</t>
        </is>
      </c>
      <c r="I516" s="8" t="n">
        <v>1084287</v>
      </c>
      <c r="J516" s="6" t="inlineStr">
        <is>
          <t>MWh</t>
        </is>
      </c>
      <c r="K516" s="8" t="n">
        <v>1084287</v>
      </c>
      <c r="L516" s="6" t="inlineStr">
        <is>
          <t>MWh</t>
        </is>
      </c>
      <c r="M516" s="6" t="inlineStr">
        <is>
          <t>EBY</t>
        </is>
      </c>
      <c r="N516" s="6" t="inlineStr">
        <is>
          <t>OFFICIAL_PRIMARY</t>
        </is>
      </c>
      <c r="O516" s="9" t="inlineStr">
        <is>
          <t>OFFICIAL_AGGREGATE</t>
        </is>
      </c>
      <c r="P516" s="8" t="n">
        <v>1</v>
      </c>
      <c r="Q516" s="8" t="n">
        <v>50</v>
      </c>
      <c r="R516" s="7" t="inlineStr">
        <is>
          <t>https://www.eby.gov.py/wp-content/uploads/2019/12/YacyretaEnergiasMensualesDesdePuestaenMarcha.pdf</t>
        </is>
      </c>
      <c r="S516" s="6" t="inlineStr">
        <is>
          <t>EBY-MONTHLY-1994-2012</t>
        </is>
      </c>
      <c r="T516" s="6" t="inlineStr"/>
      <c r="U516" s="4" t="inlineStr">
        <is>
          <t>2026-09-10 23:00:00</t>
        </is>
      </c>
      <c r="V516" s="4" t="inlineStr">
        <is>
          <t>Energia mensual Yacyreta desde puesta en marcha.</t>
        </is>
      </c>
    </row>
    <row r="517">
      <c r="A517" s="6" t="inlineStr">
        <is>
          <t>R0000516</t>
        </is>
      </c>
      <c r="B517" s="6" t="inlineStr">
        <is>
          <t>2004-07-01</t>
        </is>
      </c>
      <c r="C517" s="6" t="inlineStr">
        <is>
          <t>2004-07-31</t>
        </is>
      </c>
      <c r="D517" s="6" t="inlineStr">
        <is>
          <t>month</t>
        </is>
      </c>
      <c r="E517" s="6" t="inlineStr">
        <is>
          <t>ENERGY_TO_ARGENTINA</t>
        </is>
      </c>
      <c r="F517" s="6" t="inlineStr">
        <is>
          <t>YACYRETA</t>
        </is>
      </c>
      <c r="G517" s="6" t="inlineStr">
        <is>
          <t>YACYRETA</t>
        </is>
      </c>
      <c r="H517" s="6" t="inlineStr">
        <is>
          <t>SADI</t>
        </is>
      </c>
      <c r="I517" s="8" t="n">
        <v>1076608</v>
      </c>
      <c r="J517" s="6" t="inlineStr">
        <is>
          <t>MWh</t>
        </is>
      </c>
      <c r="K517" s="8" t="n">
        <v>1076608</v>
      </c>
      <c r="L517" s="6" t="inlineStr">
        <is>
          <t>MWh</t>
        </is>
      </c>
      <c r="M517" s="6" t="inlineStr">
        <is>
          <t>EBY</t>
        </is>
      </c>
      <c r="N517" s="6" t="inlineStr">
        <is>
          <t>OFFICIAL_PRIMARY</t>
        </is>
      </c>
      <c r="O517" s="9" t="inlineStr">
        <is>
          <t>OFFICIAL_AGGREGATE</t>
        </is>
      </c>
      <c r="P517" s="8" t="n">
        <v>1</v>
      </c>
      <c r="Q517" s="8" t="n">
        <v>50</v>
      </c>
      <c r="R517" s="7" t="inlineStr">
        <is>
          <t>https://www.eby.gov.py/wp-content/uploads/2019/12/YacyretaEnergiasMensualesDesdePuestaenMarcha.pdf</t>
        </is>
      </c>
      <c r="S517" s="6" t="inlineStr">
        <is>
          <t>EBY-MONTHLY-1994-2012</t>
        </is>
      </c>
      <c r="T517" s="6" t="inlineStr"/>
      <c r="U517" s="4" t="inlineStr">
        <is>
          <t>2026-09-10 23:00:00</t>
        </is>
      </c>
      <c r="V517" s="4" t="inlineStr">
        <is>
          <t>Energia mensual entregada al SADI.</t>
        </is>
      </c>
    </row>
    <row r="518">
      <c r="A518" s="6" t="inlineStr">
        <is>
          <t>R0000517</t>
        </is>
      </c>
      <c r="B518" s="6" t="inlineStr">
        <is>
          <t>2004-07-01</t>
        </is>
      </c>
      <c r="C518" s="6" t="inlineStr">
        <is>
          <t>2004-07-31</t>
        </is>
      </c>
      <c r="D518" s="6" t="inlineStr">
        <is>
          <t>month</t>
        </is>
      </c>
      <c r="E518" s="6" t="inlineStr">
        <is>
          <t>ENERGY_TO_PY</t>
        </is>
      </c>
      <c r="F518" s="6" t="inlineStr">
        <is>
          <t>YACYRETA</t>
        </is>
      </c>
      <c r="G518" s="6" t="inlineStr">
        <is>
          <t>YACYRETA</t>
        </is>
      </c>
      <c r="H518" s="6" t="inlineStr">
        <is>
          <t>SINP</t>
        </is>
      </c>
      <c r="I518" s="8" t="n">
        <v>7679</v>
      </c>
      <c r="J518" s="6" t="inlineStr">
        <is>
          <t>MWh</t>
        </is>
      </c>
      <c r="K518" s="8" t="n">
        <v>7679</v>
      </c>
      <c r="L518" s="6" t="inlineStr">
        <is>
          <t>MWh</t>
        </is>
      </c>
      <c r="M518" s="6" t="inlineStr">
        <is>
          <t>EBY</t>
        </is>
      </c>
      <c r="N518" s="6" t="inlineStr">
        <is>
          <t>OFFICIAL_PRIMARY</t>
        </is>
      </c>
      <c r="O518" s="9" t="inlineStr">
        <is>
          <t>OFFICIAL_AGGREGATE</t>
        </is>
      </c>
      <c r="P518" s="8" t="n">
        <v>1</v>
      </c>
      <c r="Q518" s="8" t="n">
        <v>50</v>
      </c>
      <c r="R518" s="7" t="inlineStr">
        <is>
          <t>https://www.eby.gov.py/wp-content/uploads/2019/12/YacyretaEnergiasMensualesDesdePuestaenMarcha.pdf</t>
        </is>
      </c>
      <c r="S518" s="6" t="inlineStr">
        <is>
          <t>EBY-MONTHLY-1994-2012</t>
        </is>
      </c>
      <c r="T518" s="6" t="inlineStr"/>
      <c r="U518" s="4" t="inlineStr">
        <is>
          <t>2026-09-10 23:00:00</t>
        </is>
      </c>
      <c r="V518" s="4" t="inlineStr">
        <is>
          <t>Energia mensual entregada al SINP.</t>
        </is>
      </c>
    </row>
    <row r="519">
      <c r="A519" s="6" t="inlineStr">
        <is>
          <t>R0000518</t>
        </is>
      </c>
      <c r="B519" s="6" t="inlineStr">
        <is>
          <t>2004-08-01</t>
        </is>
      </c>
      <c r="C519" s="6" t="inlineStr">
        <is>
          <t>2004-08-31</t>
        </is>
      </c>
      <c r="D519" s="6" t="inlineStr">
        <is>
          <t>month</t>
        </is>
      </c>
      <c r="E519" s="6" t="inlineStr">
        <is>
          <t>YACYRETA_NET_ENERGY</t>
        </is>
      </c>
      <c r="F519" s="6" t="inlineStr">
        <is>
          <t>YACYRETA</t>
        </is>
      </c>
      <c r="G519" s="6" t="inlineStr">
        <is>
          <t>YACYRETA</t>
        </is>
      </c>
      <c r="H519" s="6" t="inlineStr">
        <is>
          <t>TOTAL</t>
        </is>
      </c>
      <c r="I519" s="8" t="n">
        <v>969912</v>
      </c>
      <c r="J519" s="6" t="inlineStr">
        <is>
          <t>MWh</t>
        </is>
      </c>
      <c r="K519" s="8" t="n">
        <v>969912</v>
      </c>
      <c r="L519" s="6" t="inlineStr">
        <is>
          <t>MWh</t>
        </is>
      </c>
      <c r="M519" s="6" t="inlineStr">
        <is>
          <t>EBY</t>
        </is>
      </c>
      <c r="N519" s="6" t="inlineStr">
        <is>
          <t>OFFICIAL_PRIMARY</t>
        </is>
      </c>
      <c r="O519" s="9" t="inlineStr">
        <is>
          <t>OFFICIAL_AGGREGATE</t>
        </is>
      </c>
      <c r="P519" s="8" t="n">
        <v>1</v>
      </c>
      <c r="Q519" s="8" t="n">
        <v>50</v>
      </c>
      <c r="R519" s="7" t="inlineStr">
        <is>
          <t>https://www.eby.gov.py/wp-content/uploads/2019/12/YacyretaEnergiasMensualesDesdePuestaenMarcha.pdf</t>
        </is>
      </c>
      <c r="S519" s="6" t="inlineStr">
        <is>
          <t>EBY-MONTHLY-1994-2012</t>
        </is>
      </c>
      <c r="T519" s="6" t="inlineStr"/>
      <c r="U519" s="4" t="inlineStr">
        <is>
          <t>2026-09-10 23:00:00</t>
        </is>
      </c>
      <c r="V519" s="4" t="inlineStr">
        <is>
          <t>Energia mensual Yacyreta desde puesta en marcha.</t>
        </is>
      </c>
    </row>
    <row r="520">
      <c r="A520" s="6" t="inlineStr">
        <is>
          <t>R0000519</t>
        </is>
      </c>
      <c r="B520" s="6" t="inlineStr">
        <is>
          <t>2004-08-01</t>
        </is>
      </c>
      <c r="C520" s="6" t="inlineStr">
        <is>
          <t>2004-08-31</t>
        </is>
      </c>
      <c r="D520" s="6" t="inlineStr">
        <is>
          <t>month</t>
        </is>
      </c>
      <c r="E520" s="6" t="inlineStr">
        <is>
          <t>ENERGY_TO_ARGENTINA</t>
        </is>
      </c>
      <c r="F520" s="6" t="inlineStr">
        <is>
          <t>YACYRETA</t>
        </is>
      </c>
      <c r="G520" s="6" t="inlineStr">
        <is>
          <t>YACYRETA</t>
        </is>
      </c>
      <c r="H520" s="6" t="inlineStr">
        <is>
          <t>SADI</t>
        </is>
      </c>
      <c r="I520" s="8" t="n">
        <v>962833</v>
      </c>
      <c r="J520" s="6" t="inlineStr">
        <is>
          <t>MWh</t>
        </is>
      </c>
      <c r="K520" s="8" t="n">
        <v>962833</v>
      </c>
      <c r="L520" s="6" t="inlineStr">
        <is>
          <t>MWh</t>
        </is>
      </c>
      <c r="M520" s="6" t="inlineStr">
        <is>
          <t>EBY</t>
        </is>
      </c>
      <c r="N520" s="6" t="inlineStr">
        <is>
          <t>OFFICIAL_PRIMARY</t>
        </is>
      </c>
      <c r="O520" s="9" t="inlineStr">
        <is>
          <t>OFFICIAL_AGGREGATE</t>
        </is>
      </c>
      <c r="P520" s="8" t="n">
        <v>1</v>
      </c>
      <c r="Q520" s="8" t="n">
        <v>50</v>
      </c>
      <c r="R520" s="7" t="inlineStr">
        <is>
          <t>https://www.eby.gov.py/wp-content/uploads/2019/12/YacyretaEnergiasMensualesDesdePuestaenMarcha.pdf</t>
        </is>
      </c>
      <c r="S520" s="6" t="inlineStr">
        <is>
          <t>EBY-MONTHLY-1994-2012</t>
        </is>
      </c>
      <c r="T520" s="6" t="inlineStr"/>
      <c r="U520" s="4" t="inlineStr">
        <is>
          <t>2026-09-10 23:00:00</t>
        </is>
      </c>
      <c r="V520" s="4" t="inlineStr">
        <is>
          <t>Energia mensual entregada al SADI.</t>
        </is>
      </c>
    </row>
    <row r="521">
      <c r="A521" s="6" t="inlineStr">
        <is>
          <t>R0000520</t>
        </is>
      </c>
      <c r="B521" s="6" t="inlineStr">
        <is>
          <t>2004-08-01</t>
        </is>
      </c>
      <c r="C521" s="6" t="inlineStr">
        <is>
          <t>2004-08-31</t>
        </is>
      </c>
      <c r="D521" s="6" t="inlineStr">
        <is>
          <t>month</t>
        </is>
      </c>
      <c r="E521" s="6" t="inlineStr">
        <is>
          <t>ENERGY_TO_PY</t>
        </is>
      </c>
      <c r="F521" s="6" t="inlineStr">
        <is>
          <t>YACYRETA</t>
        </is>
      </c>
      <c r="G521" s="6" t="inlineStr">
        <is>
          <t>YACYRETA</t>
        </is>
      </c>
      <c r="H521" s="6" t="inlineStr">
        <is>
          <t>SINP</t>
        </is>
      </c>
      <c r="I521" s="8" t="n">
        <v>7079</v>
      </c>
      <c r="J521" s="6" t="inlineStr">
        <is>
          <t>MWh</t>
        </is>
      </c>
      <c r="K521" s="8" t="n">
        <v>7079</v>
      </c>
      <c r="L521" s="6" t="inlineStr">
        <is>
          <t>MWh</t>
        </is>
      </c>
      <c r="M521" s="6" t="inlineStr">
        <is>
          <t>EBY</t>
        </is>
      </c>
      <c r="N521" s="6" t="inlineStr">
        <is>
          <t>OFFICIAL_PRIMARY</t>
        </is>
      </c>
      <c r="O521" s="9" t="inlineStr">
        <is>
          <t>OFFICIAL_AGGREGATE</t>
        </is>
      </c>
      <c r="P521" s="8" t="n">
        <v>1</v>
      </c>
      <c r="Q521" s="8" t="n">
        <v>50</v>
      </c>
      <c r="R521" s="7" t="inlineStr">
        <is>
          <t>https://www.eby.gov.py/wp-content/uploads/2019/12/YacyretaEnergiasMensualesDesdePuestaenMarcha.pdf</t>
        </is>
      </c>
      <c r="S521" s="6" t="inlineStr">
        <is>
          <t>EBY-MONTHLY-1994-2012</t>
        </is>
      </c>
      <c r="T521" s="6" t="inlineStr"/>
      <c r="U521" s="4" t="inlineStr">
        <is>
          <t>2026-09-10 23:00:00</t>
        </is>
      </c>
      <c r="V521" s="4" t="inlineStr">
        <is>
          <t>Energia mensual entregada al SINP.</t>
        </is>
      </c>
    </row>
    <row r="522">
      <c r="A522" s="6" t="inlineStr">
        <is>
          <t>R0000521</t>
        </is>
      </c>
      <c r="B522" s="6" t="inlineStr">
        <is>
          <t>2004-09-01</t>
        </is>
      </c>
      <c r="C522" s="6" t="inlineStr">
        <is>
          <t>2004-09-30</t>
        </is>
      </c>
      <c r="D522" s="6" t="inlineStr">
        <is>
          <t>month</t>
        </is>
      </c>
      <c r="E522" s="6" t="inlineStr">
        <is>
          <t>YACYRETA_NET_ENERGY</t>
        </is>
      </c>
      <c r="F522" s="6" t="inlineStr">
        <is>
          <t>YACYRETA</t>
        </is>
      </c>
      <c r="G522" s="6" t="inlineStr">
        <is>
          <t>YACYRETA</t>
        </is>
      </c>
      <c r="H522" s="6" t="inlineStr">
        <is>
          <t>TOTAL</t>
        </is>
      </c>
      <c r="I522" s="8" t="n">
        <v>875290</v>
      </c>
      <c r="J522" s="6" t="inlineStr">
        <is>
          <t>MWh</t>
        </is>
      </c>
      <c r="K522" s="8" t="n">
        <v>875290</v>
      </c>
      <c r="L522" s="6" t="inlineStr">
        <is>
          <t>MWh</t>
        </is>
      </c>
      <c r="M522" s="6" t="inlineStr">
        <is>
          <t>EBY</t>
        </is>
      </c>
      <c r="N522" s="6" t="inlineStr">
        <is>
          <t>OFFICIAL_PRIMARY</t>
        </is>
      </c>
      <c r="O522" s="9" t="inlineStr">
        <is>
          <t>OFFICIAL_AGGREGATE</t>
        </is>
      </c>
      <c r="P522" s="8" t="n">
        <v>1</v>
      </c>
      <c r="Q522" s="8" t="n">
        <v>50</v>
      </c>
      <c r="R522" s="7" t="inlineStr">
        <is>
          <t>https://www.eby.gov.py/wp-content/uploads/2019/12/YacyretaEnergiasMensualesDesdePuestaenMarcha.pdf</t>
        </is>
      </c>
      <c r="S522" s="6" t="inlineStr">
        <is>
          <t>EBY-MONTHLY-1994-2012</t>
        </is>
      </c>
      <c r="T522" s="6" t="inlineStr"/>
      <c r="U522" s="4" t="inlineStr">
        <is>
          <t>2026-09-10 23:00:00</t>
        </is>
      </c>
      <c r="V522" s="4" t="inlineStr">
        <is>
          <t>Energia mensual Yacyreta desde puesta en marcha.</t>
        </is>
      </c>
    </row>
    <row r="523">
      <c r="A523" s="6" t="inlineStr">
        <is>
          <t>R0000522</t>
        </is>
      </c>
      <c r="B523" s="6" t="inlineStr">
        <is>
          <t>2004-09-01</t>
        </is>
      </c>
      <c r="C523" s="6" t="inlineStr">
        <is>
          <t>2004-09-30</t>
        </is>
      </c>
      <c r="D523" s="6" t="inlineStr">
        <is>
          <t>month</t>
        </is>
      </c>
      <c r="E523" s="6" t="inlineStr">
        <is>
          <t>ENERGY_TO_ARGENTINA</t>
        </is>
      </c>
      <c r="F523" s="6" t="inlineStr">
        <is>
          <t>YACYRETA</t>
        </is>
      </c>
      <c r="G523" s="6" t="inlineStr">
        <is>
          <t>YACYRETA</t>
        </is>
      </c>
      <c r="H523" s="6" t="inlineStr">
        <is>
          <t>SADI</t>
        </is>
      </c>
      <c r="I523" s="8" t="n">
        <v>859680</v>
      </c>
      <c r="J523" s="6" t="inlineStr">
        <is>
          <t>MWh</t>
        </is>
      </c>
      <c r="K523" s="8" t="n">
        <v>859680</v>
      </c>
      <c r="L523" s="6" t="inlineStr">
        <is>
          <t>MWh</t>
        </is>
      </c>
      <c r="M523" s="6" t="inlineStr">
        <is>
          <t>EBY</t>
        </is>
      </c>
      <c r="N523" s="6" t="inlineStr">
        <is>
          <t>OFFICIAL_PRIMARY</t>
        </is>
      </c>
      <c r="O523" s="9" t="inlineStr">
        <is>
          <t>OFFICIAL_AGGREGATE</t>
        </is>
      </c>
      <c r="P523" s="8" t="n">
        <v>1</v>
      </c>
      <c r="Q523" s="8" t="n">
        <v>50</v>
      </c>
      <c r="R523" s="7" t="inlineStr">
        <is>
          <t>https://www.eby.gov.py/wp-content/uploads/2019/12/YacyretaEnergiasMensualesDesdePuestaenMarcha.pdf</t>
        </is>
      </c>
      <c r="S523" s="6" t="inlineStr">
        <is>
          <t>EBY-MONTHLY-1994-2012</t>
        </is>
      </c>
      <c r="T523" s="6" t="inlineStr"/>
      <c r="U523" s="4" t="inlineStr">
        <is>
          <t>2026-09-10 23:00:00</t>
        </is>
      </c>
      <c r="V523" s="4" t="inlineStr">
        <is>
          <t>Energia mensual entregada al SADI.</t>
        </is>
      </c>
    </row>
    <row r="524">
      <c r="A524" s="6" t="inlineStr">
        <is>
          <t>R0000523</t>
        </is>
      </c>
      <c r="B524" s="6" t="inlineStr">
        <is>
          <t>2004-09-01</t>
        </is>
      </c>
      <c r="C524" s="6" t="inlineStr">
        <is>
          <t>2004-09-30</t>
        </is>
      </c>
      <c r="D524" s="6" t="inlineStr">
        <is>
          <t>month</t>
        </is>
      </c>
      <c r="E524" s="6" t="inlineStr">
        <is>
          <t>ENERGY_TO_PY</t>
        </is>
      </c>
      <c r="F524" s="6" t="inlineStr">
        <is>
          <t>YACYRETA</t>
        </is>
      </c>
      <c r="G524" s="6" t="inlineStr">
        <is>
          <t>YACYRETA</t>
        </is>
      </c>
      <c r="H524" s="6" t="inlineStr">
        <is>
          <t>SINP</t>
        </is>
      </c>
      <c r="I524" s="8" t="n">
        <v>15610</v>
      </c>
      <c r="J524" s="6" t="inlineStr">
        <is>
          <t>MWh</t>
        </is>
      </c>
      <c r="K524" s="8" t="n">
        <v>15610</v>
      </c>
      <c r="L524" s="6" t="inlineStr">
        <is>
          <t>MWh</t>
        </is>
      </c>
      <c r="M524" s="6" t="inlineStr">
        <is>
          <t>EBY</t>
        </is>
      </c>
      <c r="N524" s="6" t="inlineStr">
        <is>
          <t>OFFICIAL_PRIMARY</t>
        </is>
      </c>
      <c r="O524" s="9" t="inlineStr">
        <is>
          <t>OFFICIAL_AGGREGATE</t>
        </is>
      </c>
      <c r="P524" s="8" t="n">
        <v>1</v>
      </c>
      <c r="Q524" s="8" t="n">
        <v>50</v>
      </c>
      <c r="R524" s="7" t="inlineStr">
        <is>
          <t>https://www.eby.gov.py/wp-content/uploads/2019/12/YacyretaEnergiasMensualesDesdePuestaenMarcha.pdf</t>
        </is>
      </c>
      <c r="S524" s="6" t="inlineStr">
        <is>
          <t>EBY-MONTHLY-1994-2012</t>
        </is>
      </c>
      <c r="T524" s="6" t="inlineStr"/>
      <c r="U524" s="4" t="inlineStr">
        <is>
          <t>2026-09-10 23:00:00</t>
        </is>
      </c>
      <c r="V524" s="4" t="inlineStr">
        <is>
          <t>Energia mensual entregada al SINP.</t>
        </is>
      </c>
    </row>
    <row r="525">
      <c r="A525" s="6" t="inlineStr">
        <is>
          <t>R0000524</t>
        </is>
      </c>
      <c r="B525" s="6" t="inlineStr">
        <is>
          <t>2004-10-01</t>
        </is>
      </c>
      <c r="C525" s="6" t="inlineStr">
        <is>
          <t>2004-10-31</t>
        </is>
      </c>
      <c r="D525" s="6" t="inlineStr">
        <is>
          <t>month</t>
        </is>
      </c>
      <c r="E525" s="6" t="inlineStr">
        <is>
          <t>YACYRETA_NET_ENERGY</t>
        </is>
      </c>
      <c r="F525" s="6" t="inlineStr">
        <is>
          <t>YACYRETA</t>
        </is>
      </c>
      <c r="G525" s="6" t="inlineStr">
        <is>
          <t>YACYRETA</t>
        </is>
      </c>
      <c r="H525" s="6" t="inlineStr">
        <is>
          <t>TOTAL</t>
        </is>
      </c>
      <c r="I525" s="8" t="n">
        <v>1004754</v>
      </c>
      <c r="J525" s="6" t="inlineStr">
        <is>
          <t>MWh</t>
        </is>
      </c>
      <c r="K525" s="8" t="n">
        <v>1004754</v>
      </c>
      <c r="L525" s="6" t="inlineStr">
        <is>
          <t>MWh</t>
        </is>
      </c>
      <c r="M525" s="6" t="inlineStr">
        <is>
          <t>EBY</t>
        </is>
      </c>
      <c r="N525" s="6" t="inlineStr">
        <is>
          <t>OFFICIAL_PRIMARY</t>
        </is>
      </c>
      <c r="O525" s="9" t="inlineStr">
        <is>
          <t>OFFICIAL_AGGREGATE</t>
        </is>
      </c>
      <c r="P525" s="8" t="n">
        <v>1</v>
      </c>
      <c r="Q525" s="8" t="n">
        <v>50</v>
      </c>
      <c r="R525" s="7" t="inlineStr">
        <is>
          <t>https://www.eby.gov.py/wp-content/uploads/2019/12/YacyretaEnergiasMensualesDesdePuestaenMarcha.pdf</t>
        </is>
      </c>
      <c r="S525" s="6" t="inlineStr">
        <is>
          <t>EBY-MONTHLY-1994-2012</t>
        </is>
      </c>
      <c r="T525" s="6" t="inlineStr"/>
      <c r="U525" s="4" t="inlineStr">
        <is>
          <t>2026-09-10 23:00:00</t>
        </is>
      </c>
      <c r="V525" s="4" t="inlineStr">
        <is>
          <t>Energia mensual Yacyreta desde puesta en marcha.</t>
        </is>
      </c>
    </row>
    <row r="526">
      <c r="A526" s="6" t="inlineStr">
        <is>
          <t>R0000525</t>
        </is>
      </c>
      <c r="B526" s="6" t="inlineStr">
        <is>
          <t>2004-10-01</t>
        </is>
      </c>
      <c r="C526" s="6" t="inlineStr">
        <is>
          <t>2004-10-31</t>
        </is>
      </c>
      <c r="D526" s="6" t="inlineStr">
        <is>
          <t>month</t>
        </is>
      </c>
      <c r="E526" s="6" t="inlineStr">
        <is>
          <t>ENERGY_TO_ARGENTINA</t>
        </is>
      </c>
      <c r="F526" s="6" t="inlineStr">
        <is>
          <t>YACYRETA</t>
        </is>
      </c>
      <c r="G526" s="6" t="inlineStr">
        <is>
          <t>YACYRETA</t>
        </is>
      </c>
      <c r="H526" s="6" t="inlineStr">
        <is>
          <t>SADI</t>
        </is>
      </c>
      <c r="I526" s="8" t="n">
        <v>997491</v>
      </c>
      <c r="J526" s="6" t="inlineStr">
        <is>
          <t>MWh</t>
        </is>
      </c>
      <c r="K526" s="8" t="n">
        <v>997491</v>
      </c>
      <c r="L526" s="6" t="inlineStr">
        <is>
          <t>MWh</t>
        </is>
      </c>
      <c r="M526" s="6" t="inlineStr">
        <is>
          <t>EBY</t>
        </is>
      </c>
      <c r="N526" s="6" t="inlineStr">
        <is>
          <t>OFFICIAL_PRIMARY</t>
        </is>
      </c>
      <c r="O526" s="9" t="inlineStr">
        <is>
          <t>OFFICIAL_AGGREGATE</t>
        </is>
      </c>
      <c r="P526" s="8" t="n">
        <v>1</v>
      </c>
      <c r="Q526" s="8" t="n">
        <v>50</v>
      </c>
      <c r="R526" s="7" t="inlineStr">
        <is>
          <t>https://www.eby.gov.py/wp-content/uploads/2019/12/YacyretaEnergiasMensualesDesdePuestaenMarcha.pdf</t>
        </is>
      </c>
      <c r="S526" s="6" t="inlineStr">
        <is>
          <t>EBY-MONTHLY-1994-2012</t>
        </is>
      </c>
      <c r="T526" s="6" t="inlineStr"/>
      <c r="U526" s="4" t="inlineStr">
        <is>
          <t>2026-09-10 23:00:00</t>
        </is>
      </c>
      <c r="V526" s="4" t="inlineStr">
        <is>
          <t>Energia mensual entregada al SADI.</t>
        </is>
      </c>
    </row>
    <row r="527">
      <c r="A527" s="6" t="inlineStr">
        <is>
          <t>R0000526</t>
        </is>
      </c>
      <c r="B527" s="6" t="inlineStr">
        <is>
          <t>2004-10-01</t>
        </is>
      </c>
      <c r="C527" s="6" t="inlineStr">
        <is>
          <t>2004-10-31</t>
        </is>
      </c>
      <c r="D527" s="6" t="inlineStr">
        <is>
          <t>month</t>
        </is>
      </c>
      <c r="E527" s="6" t="inlineStr">
        <is>
          <t>ENERGY_TO_PY</t>
        </is>
      </c>
      <c r="F527" s="6" t="inlineStr">
        <is>
          <t>YACYRETA</t>
        </is>
      </c>
      <c r="G527" s="6" t="inlineStr">
        <is>
          <t>YACYRETA</t>
        </is>
      </c>
      <c r="H527" s="6" t="inlineStr">
        <is>
          <t>SINP</t>
        </is>
      </c>
      <c r="I527" s="8" t="n">
        <v>7263</v>
      </c>
      <c r="J527" s="6" t="inlineStr">
        <is>
          <t>MWh</t>
        </is>
      </c>
      <c r="K527" s="8" t="n">
        <v>7263</v>
      </c>
      <c r="L527" s="6" t="inlineStr">
        <is>
          <t>MWh</t>
        </is>
      </c>
      <c r="M527" s="6" t="inlineStr">
        <is>
          <t>EBY</t>
        </is>
      </c>
      <c r="N527" s="6" t="inlineStr">
        <is>
          <t>OFFICIAL_PRIMARY</t>
        </is>
      </c>
      <c r="O527" s="9" t="inlineStr">
        <is>
          <t>OFFICIAL_AGGREGATE</t>
        </is>
      </c>
      <c r="P527" s="8" t="n">
        <v>1</v>
      </c>
      <c r="Q527" s="8" t="n">
        <v>50</v>
      </c>
      <c r="R527" s="7" t="inlineStr">
        <is>
          <t>https://www.eby.gov.py/wp-content/uploads/2019/12/YacyretaEnergiasMensualesDesdePuestaenMarcha.pdf</t>
        </is>
      </c>
      <c r="S527" s="6" t="inlineStr">
        <is>
          <t>EBY-MONTHLY-1994-2012</t>
        </is>
      </c>
      <c r="T527" s="6" t="inlineStr"/>
      <c r="U527" s="4" t="inlineStr">
        <is>
          <t>2026-09-10 23:00:00</t>
        </is>
      </c>
      <c r="V527" s="4" t="inlineStr">
        <is>
          <t>Energia mensual entregada al SINP.</t>
        </is>
      </c>
    </row>
    <row r="528">
      <c r="A528" s="6" t="inlineStr">
        <is>
          <t>R0000527</t>
        </is>
      </c>
      <c r="B528" s="6" t="inlineStr">
        <is>
          <t>2004-11-01</t>
        </is>
      </c>
      <c r="C528" s="6" t="inlineStr">
        <is>
          <t>2004-11-30</t>
        </is>
      </c>
      <c r="D528" s="6" t="inlineStr">
        <is>
          <t>month</t>
        </is>
      </c>
      <c r="E528" s="6" t="inlineStr">
        <is>
          <t>YACYRETA_NET_ENERGY</t>
        </is>
      </c>
      <c r="F528" s="6" t="inlineStr">
        <is>
          <t>YACYRETA</t>
        </is>
      </c>
      <c r="G528" s="6" t="inlineStr">
        <is>
          <t>YACYRETA</t>
        </is>
      </c>
      <c r="H528" s="6" t="inlineStr">
        <is>
          <t>TOTAL</t>
        </is>
      </c>
      <c r="I528" s="8" t="n">
        <v>1107266</v>
      </c>
      <c r="J528" s="6" t="inlineStr">
        <is>
          <t>MWh</t>
        </is>
      </c>
      <c r="K528" s="8" t="n">
        <v>1107266</v>
      </c>
      <c r="L528" s="6" t="inlineStr">
        <is>
          <t>MWh</t>
        </is>
      </c>
      <c r="M528" s="6" t="inlineStr">
        <is>
          <t>EBY</t>
        </is>
      </c>
      <c r="N528" s="6" t="inlineStr">
        <is>
          <t>OFFICIAL_PRIMARY</t>
        </is>
      </c>
      <c r="O528" s="9" t="inlineStr">
        <is>
          <t>OFFICIAL_AGGREGATE</t>
        </is>
      </c>
      <c r="P528" s="8" t="n">
        <v>1</v>
      </c>
      <c r="Q528" s="8" t="n">
        <v>50</v>
      </c>
      <c r="R528" s="7" t="inlineStr">
        <is>
          <t>https://www.eby.gov.py/wp-content/uploads/2019/12/YacyretaEnergiasMensualesDesdePuestaenMarcha.pdf</t>
        </is>
      </c>
      <c r="S528" s="6" t="inlineStr">
        <is>
          <t>EBY-MONTHLY-1994-2012</t>
        </is>
      </c>
      <c r="T528" s="6" t="inlineStr"/>
      <c r="U528" s="4" t="inlineStr">
        <is>
          <t>2026-09-10 23:00:00</t>
        </is>
      </c>
      <c r="V528" s="4" t="inlineStr">
        <is>
          <t>Energia mensual Yacyreta desde puesta en marcha.</t>
        </is>
      </c>
    </row>
    <row r="529">
      <c r="A529" s="6" t="inlineStr">
        <is>
          <t>R0000528</t>
        </is>
      </c>
      <c r="B529" s="6" t="inlineStr">
        <is>
          <t>2004-11-01</t>
        </is>
      </c>
      <c r="C529" s="6" t="inlineStr">
        <is>
          <t>2004-11-30</t>
        </is>
      </c>
      <c r="D529" s="6" t="inlineStr">
        <is>
          <t>month</t>
        </is>
      </c>
      <c r="E529" s="6" t="inlineStr">
        <is>
          <t>ENERGY_TO_ARGENTINA</t>
        </is>
      </c>
      <c r="F529" s="6" t="inlineStr">
        <is>
          <t>YACYRETA</t>
        </is>
      </c>
      <c r="G529" s="6" t="inlineStr">
        <is>
          <t>YACYRETA</t>
        </is>
      </c>
      <c r="H529" s="6" t="inlineStr">
        <is>
          <t>SADI</t>
        </is>
      </c>
      <c r="I529" s="8" t="n">
        <v>1099509</v>
      </c>
      <c r="J529" s="6" t="inlineStr">
        <is>
          <t>MWh</t>
        </is>
      </c>
      <c r="K529" s="8" t="n">
        <v>1099509</v>
      </c>
      <c r="L529" s="6" t="inlineStr">
        <is>
          <t>MWh</t>
        </is>
      </c>
      <c r="M529" s="6" t="inlineStr">
        <is>
          <t>EBY</t>
        </is>
      </c>
      <c r="N529" s="6" t="inlineStr">
        <is>
          <t>OFFICIAL_PRIMARY</t>
        </is>
      </c>
      <c r="O529" s="9" t="inlineStr">
        <is>
          <t>OFFICIAL_AGGREGATE</t>
        </is>
      </c>
      <c r="P529" s="8" t="n">
        <v>1</v>
      </c>
      <c r="Q529" s="8" t="n">
        <v>50</v>
      </c>
      <c r="R529" s="7" t="inlineStr">
        <is>
          <t>https://www.eby.gov.py/wp-content/uploads/2019/12/YacyretaEnergiasMensualesDesdePuestaenMarcha.pdf</t>
        </is>
      </c>
      <c r="S529" s="6" t="inlineStr">
        <is>
          <t>EBY-MONTHLY-1994-2012</t>
        </is>
      </c>
      <c r="T529" s="6" t="inlineStr"/>
      <c r="U529" s="4" t="inlineStr">
        <is>
          <t>2026-09-10 23:00:00</t>
        </is>
      </c>
      <c r="V529" s="4" t="inlineStr">
        <is>
          <t>Energia mensual entregada al SADI.</t>
        </is>
      </c>
    </row>
    <row r="530">
      <c r="A530" s="6" t="inlineStr">
        <is>
          <t>R0000529</t>
        </is>
      </c>
      <c r="B530" s="6" t="inlineStr">
        <is>
          <t>2004-11-01</t>
        </is>
      </c>
      <c r="C530" s="6" t="inlineStr">
        <is>
          <t>2004-11-30</t>
        </is>
      </c>
      <c r="D530" s="6" t="inlineStr">
        <is>
          <t>month</t>
        </is>
      </c>
      <c r="E530" s="6" t="inlineStr">
        <is>
          <t>ENERGY_TO_PY</t>
        </is>
      </c>
      <c r="F530" s="6" t="inlineStr">
        <is>
          <t>YACYRETA</t>
        </is>
      </c>
      <c r="G530" s="6" t="inlineStr">
        <is>
          <t>YACYRETA</t>
        </is>
      </c>
      <c r="H530" s="6" t="inlineStr">
        <is>
          <t>SINP</t>
        </is>
      </c>
      <c r="I530" s="8" t="n">
        <v>7757</v>
      </c>
      <c r="J530" s="6" t="inlineStr">
        <is>
          <t>MWh</t>
        </is>
      </c>
      <c r="K530" s="8" t="n">
        <v>7757</v>
      </c>
      <c r="L530" s="6" t="inlineStr">
        <is>
          <t>MWh</t>
        </is>
      </c>
      <c r="M530" s="6" t="inlineStr">
        <is>
          <t>EBY</t>
        </is>
      </c>
      <c r="N530" s="6" t="inlineStr">
        <is>
          <t>OFFICIAL_PRIMARY</t>
        </is>
      </c>
      <c r="O530" s="9" t="inlineStr">
        <is>
          <t>OFFICIAL_AGGREGATE</t>
        </is>
      </c>
      <c r="P530" s="8" t="n">
        <v>1</v>
      </c>
      <c r="Q530" s="8" t="n">
        <v>50</v>
      </c>
      <c r="R530" s="7" t="inlineStr">
        <is>
          <t>https://www.eby.gov.py/wp-content/uploads/2019/12/YacyretaEnergiasMensualesDesdePuestaenMarcha.pdf</t>
        </is>
      </c>
      <c r="S530" s="6" t="inlineStr">
        <is>
          <t>EBY-MONTHLY-1994-2012</t>
        </is>
      </c>
      <c r="T530" s="6" t="inlineStr"/>
      <c r="U530" s="4" t="inlineStr">
        <is>
          <t>2026-09-10 23:00:00</t>
        </is>
      </c>
      <c r="V530" s="4" t="inlineStr">
        <is>
          <t>Energia mensual entregada al SINP.</t>
        </is>
      </c>
    </row>
    <row r="531">
      <c r="A531" s="6" t="inlineStr">
        <is>
          <t>R0000530</t>
        </is>
      </c>
      <c r="B531" s="6" t="inlineStr">
        <is>
          <t>2004-12-01</t>
        </is>
      </c>
      <c r="C531" s="6" t="inlineStr">
        <is>
          <t>2004-12-31</t>
        </is>
      </c>
      <c r="D531" s="6" t="inlineStr">
        <is>
          <t>month</t>
        </is>
      </c>
      <c r="E531" s="6" t="inlineStr">
        <is>
          <t>YACYRETA_NET_ENERGY</t>
        </is>
      </c>
      <c r="F531" s="6" t="inlineStr">
        <is>
          <t>YACYRETA</t>
        </is>
      </c>
      <c r="G531" s="6" t="inlineStr">
        <is>
          <t>YACYRETA</t>
        </is>
      </c>
      <c r="H531" s="6" t="inlineStr">
        <is>
          <t>TOTAL</t>
        </is>
      </c>
      <c r="I531" s="8" t="n">
        <v>1112709</v>
      </c>
      <c r="J531" s="6" t="inlineStr">
        <is>
          <t>MWh</t>
        </is>
      </c>
      <c r="K531" s="8" t="n">
        <v>1112709</v>
      </c>
      <c r="L531" s="6" t="inlineStr">
        <is>
          <t>MWh</t>
        </is>
      </c>
      <c r="M531" s="6" t="inlineStr">
        <is>
          <t>EBY</t>
        </is>
      </c>
      <c r="N531" s="6" t="inlineStr">
        <is>
          <t>OFFICIAL_PRIMARY</t>
        </is>
      </c>
      <c r="O531" s="9" t="inlineStr">
        <is>
          <t>OFFICIAL_AGGREGATE</t>
        </is>
      </c>
      <c r="P531" s="8" t="n">
        <v>1</v>
      </c>
      <c r="Q531" s="8" t="n">
        <v>50</v>
      </c>
      <c r="R531" s="7" t="inlineStr">
        <is>
          <t>https://www.eby.gov.py/wp-content/uploads/2019/12/YacyretaEnergiasMensualesDesdePuestaenMarcha.pdf</t>
        </is>
      </c>
      <c r="S531" s="6" t="inlineStr">
        <is>
          <t>EBY-MONTHLY-1994-2012</t>
        </is>
      </c>
      <c r="T531" s="6" t="inlineStr"/>
      <c r="U531" s="4" t="inlineStr">
        <is>
          <t>2026-09-10 23:00:00</t>
        </is>
      </c>
      <c r="V531" s="4" t="inlineStr">
        <is>
          <t>Energia mensual Yacyreta desde puesta en marcha.</t>
        </is>
      </c>
    </row>
    <row r="532">
      <c r="A532" s="6" t="inlineStr">
        <is>
          <t>R0000531</t>
        </is>
      </c>
      <c r="B532" s="6" t="inlineStr">
        <is>
          <t>2004-12-01</t>
        </is>
      </c>
      <c r="C532" s="6" t="inlineStr">
        <is>
          <t>2004-12-31</t>
        </is>
      </c>
      <c r="D532" s="6" t="inlineStr">
        <is>
          <t>month</t>
        </is>
      </c>
      <c r="E532" s="6" t="inlineStr">
        <is>
          <t>ENERGY_TO_ARGENTINA</t>
        </is>
      </c>
      <c r="F532" s="6" t="inlineStr">
        <is>
          <t>YACYRETA</t>
        </is>
      </c>
      <c r="G532" s="6" t="inlineStr">
        <is>
          <t>YACYRETA</t>
        </is>
      </c>
      <c r="H532" s="6" t="inlineStr">
        <is>
          <t>SADI</t>
        </is>
      </c>
      <c r="I532" s="8" t="n">
        <v>1104731</v>
      </c>
      <c r="J532" s="6" t="inlineStr">
        <is>
          <t>MWh</t>
        </is>
      </c>
      <c r="K532" s="8" t="n">
        <v>1104731</v>
      </c>
      <c r="L532" s="6" t="inlineStr">
        <is>
          <t>MWh</t>
        </is>
      </c>
      <c r="M532" s="6" t="inlineStr">
        <is>
          <t>EBY</t>
        </is>
      </c>
      <c r="N532" s="6" t="inlineStr">
        <is>
          <t>OFFICIAL_PRIMARY</t>
        </is>
      </c>
      <c r="O532" s="9" t="inlineStr">
        <is>
          <t>OFFICIAL_AGGREGATE</t>
        </is>
      </c>
      <c r="P532" s="8" t="n">
        <v>1</v>
      </c>
      <c r="Q532" s="8" t="n">
        <v>50</v>
      </c>
      <c r="R532" s="7" t="inlineStr">
        <is>
          <t>https://www.eby.gov.py/wp-content/uploads/2019/12/YacyretaEnergiasMensualesDesdePuestaenMarcha.pdf</t>
        </is>
      </c>
      <c r="S532" s="6" t="inlineStr">
        <is>
          <t>EBY-MONTHLY-1994-2012</t>
        </is>
      </c>
      <c r="T532" s="6" t="inlineStr"/>
      <c r="U532" s="4" t="inlineStr">
        <is>
          <t>2026-09-10 23:00:00</t>
        </is>
      </c>
      <c r="V532" s="4" t="inlineStr">
        <is>
          <t>Energia mensual entregada al SADI.</t>
        </is>
      </c>
    </row>
    <row r="533">
      <c r="A533" s="6" t="inlineStr">
        <is>
          <t>R0000532</t>
        </is>
      </c>
      <c r="B533" s="6" t="inlineStr">
        <is>
          <t>2004-12-01</t>
        </is>
      </c>
      <c r="C533" s="6" t="inlineStr">
        <is>
          <t>2004-12-31</t>
        </is>
      </c>
      <c r="D533" s="6" t="inlineStr">
        <is>
          <t>month</t>
        </is>
      </c>
      <c r="E533" s="6" t="inlineStr">
        <is>
          <t>ENERGY_TO_PY</t>
        </is>
      </c>
      <c r="F533" s="6" t="inlineStr">
        <is>
          <t>YACYRETA</t>
        </is>
      </c>
      <c r="G533" s="6" t="inlineStr">
        <is>
          <t>YACYRETA</t>
        </is>
      </c>
      <c r="H533" s="6" t="inlineStr">
        <is>
          <t>SINP</t>
        </is>
      </c>
      <c r="I533" s="8" t="n">
        <v>7978</v>
      </c>
      <c r="J533" s="6" t="inlineStr">
        <is>
          <t>MWh</t>
        </is>
      </c>
      <c r="K533" s="8" t="n">
        <v>7978</v>
      </c>
      <c r="L533" s="6" t="inlineStr">
        <is>
          <t>MWh</t>
        </is>
      </c>
      <c r="M533" s="6" t="inlineStr">
        <is>
          <t>EBY</t>
        </is>
      </c>
      <c r="N533" s="6" t="inlineStr">
        <is>
          <t>OFFICIAL_PRIMARY</t>
        </is>
      </c>
      <c r="O533" s="9" t="inlineStr">
        <is>
          <t>OFFICIAL_AGGREGATE</t>
        </is>
      </c>
      <c r="P533" s="8" t="n">
        <v>1</v>
      </c>
      <c r="Q533" s="8" t="n">
        <v>50</v>
      </c>
      <c r="R533" s="7" t="inlineStr">
        <is>
          <t>https://www.eby.gov.py/wp-content/uploads/2019/12/YacyretaEnergiasMensualesDesdePuestaenMarcha.pdf</t>
        </is>
      </c>
      <c r="S533" s="6" t="inlineStr">
        <is>
          <t>EBY-MONTHLY-1994-2012</t>
        </is>
      </c>
      <c r="T533" s="6" t="inlineStr"/>
      <c r="U533" s="4" t="inlineStr">
        <is>
          <t>2026-09-10 23:00:00</t>
        </is>
      </c>
      <c r="V533" s="4" t="inlineStr">
        <is>
          <t>Energia mensual entregada al SINP.</t>
        </is>
      </c>
    </row>
    <row r="534">
      <c r="A534" s="6" t="inlineStr">
        <is>
          <t>R0000533</t>
        </is>
      </c>
      <c r="B534" s="6" t="inlineStr">
        <is>
          <t>2005-01-01</t>
        </is>
      </c>
      <c r="C534" s="6" t="inlineStr">
        <is>
          <t>2005-01-31</t>
        </is>
      </c>
      <c r="D534" s="6" t="inlineStr">
        <is>
          <t>month</t>
        </is>
      </c>
      <c r="E534" s="6" t="inlineStr">
        <is>
          <t>YACYRETA_NET_ENERGY</t>
        </is>
      </c>
      <c r="F534" s="6" t="inlineStr">
        <is>
          <t>YACYRETA</t>
        </is>
      </c>
      <c r="G534" s="6" t="inlineStr">
        <is>
          <t>YACYRETA</t>
        </is>
      </c>
      <c r="H534" s="6" t="inlineStr">
        <is>
          <t>TOTAL</t>
        </is>
      </c>
      <c r="I534" s="8" t="n">
        <v>1166807</v>
      </c>
      <c r="J534" s="6" t="inlineStr">
        <is>
          <t>MWh</t>
        </is>
      </c>
      <c r="K534" s="8" t="n">
        <v>1166807</v>
      </c>
      <c r="L534" s="6" t="inlineStr">
        <is>
          <t>MWh</t>
        </is>
      </c>
      <c r="M534" s="6" t="inlineStr">
        <is>
          <t>EBY</t>
        </is>
      </c>
      <c r="N534" s="6" t="inlineStr">
        <is>
          <t>OFFICIAL_PRIMARY</t>
        </is>
      </c>
      <c r="O534" s="9" t="inlineStr">
        <is>
          <t>OFFICIAL_AGGREGATE</t>
        </is>
      </c>
      <c r="P534" s="8" t="n">
        <v>1</v>
      </c>
      <c r="Q534" s="8" t="n">
        <v>50</v>
      </c>
      <c r="R534" s="7" t="inlineStr">
        <is>
          <t>https://www.eby.gov.py/wp-content/uploads/2019/12/YacyretaEnergiasMensualesDesdePuestaenMarcha.pdf</t>
        </is>
      </c>
      <c r="S534" s="6" t="inlineStr">
        <is>
          <t>EBY-MONTHLY-1994-2012</t>
        </is>
      </c>
      <c r="T534" s="6" t="inlineStr"/>
      <c r="U534" s="4" t="inlineStr">
        <is>
          <t>2026-09-10 23:00:00</t>
        </is>
      </c>
      <c r="V534" s="4" t="inlineStr">
        <is>
          <t>Energia mensual Yacyreta desde puesta en marcha.</t>
        </is>
      </c>
    </row>
    <row r="535">
      <c r="A535" s="6" t="inlineStr">
        <is>
          <t>R0000534</t>
        </is>
      </c>
      <c r="B535" s="6" t="inlineStr">
        <is>
          <t>2005-01-01</t>
        </is>
      </c>
      <c r="C535" s="6" t="inlineStr">
        <is>
          <t>2005-01-31</t>
        </is>
      </c>
      <c r="D535" s="6" t="inlineStr">
        <is>
          <t>month</t>
        </is>
      </c>
      <c r="E535" s="6" t="inlineStr">
        <is>
          <t>ENERGY_TO_ARGENTINA</t>
        </is>
      </c>
      <c r="F535" s="6" t="inlineStr">
        <is>
          <t>YACYRETA</t>
        </is>
      </c>
      <c r="G535" s="6" t="inlineStr">
        <is>
          <t>YACYRETA</t>
        </is>
      </c>
      <c r="H535" s="6" t="inlineStr">
        <is>
          <t>SADI</t>
        </is>
      </c>
      <c r="I535" s="8" t="n">
        <v>1107832</v>
      </c>
      <c r="J535" s="6" t="inlineStr">
        <is>
          <t>MWh</t>
        </is>
      </c>
      <c r="K535" s="8" t="n">
        <v>1107832</v>
      </c>
      <c r="L535" s="6" t="inlineStr">
        <is>
          <t>MWh</t>
        </is>
      </c>
      <c r="M535" s="6" t="inlineStr">
        <is>
          <t>EBY</t>
        </is>
      </c>
      <c r="N535" s="6" t="inlineStr">
        <is>
          <t>OFFICIAL_PRIMARY</t>
        </is>
      </c>
      <c r="O535" s="9" t="inlineStr">
        <is>
          <t>OFFICIAL_AGGREGATE</t>
        </is>
      </c>
      <c r="P535" s="8" t="n">
        <v>1</v>
      </c>
      <c r="Q535" s="8" t="n">
        <v>50</v>
      </c>
      <c r="R535" s="7" t="inlineStr">
        <is>
          <t>https://www.eby.gov.py/wp-content/uploads/2019/12/YacyretaEnergiasMensualesDesdePuestaenMarcha.pdf</t>
        </is>
      </c>
      <c r="S535" s="6" t="inlineStr">
        <is>
          <t>EBY-MONTHLY-1994-2012</t>
        </is>
      </c>
      <c r="T535" s="6" t="inlineStr"/>
      <c r="U535" s="4" t="inlineStr">
        <is>
          <t>2026-09-10 23:00:00</t>
        </is>
      </c>
      <c r="V535" s="4" t="inlineStr">
        <is>
          <t>Energia mensual entregada al SADI.</t>
        </is>
      </c>
    </row>
    <row r="536">
      <c r="A536" s="6" t="inlineStr">
        <is>
          <t>R0000535</t>
        </is>
      </c>
      <c r="B536" s="6" t="inlineStr">
        <is>
          <t>2005-01-01</t>
        </is>
      </c>
      <c r="C536" s="6" t="inlineStr">
        <is>
          <t>2005-01-31</t>
        </is>
      </c>
      <c r="D536" s="6" t="inlineStr">
        <is>
          <t>month</t>
        </is>
      </c>
      <c r="E536" s="6" t="inlineStr">
        <is>
          <t>ENERGY_TO_PY</t>
        </is>
      </c>
      <c r="F536" s="6" t="inlineStr">
        <is>
          <t>YACYRETA</t>
        </is>
      </c>
      <c r="G536" s="6" t="inlineStr">
        <is>
          <t>YACYRETA</t>
        </is>
      </c>
      <c r="H536" s="6" t="inlineStr">
        <is>
          <t>SINP</t>
        </is>
      </c>
      <c r="I536" s="8" t="n">
        <v>58975</v>
      </c>
      <c r="J536" s="6" t="inlineStr">
        <is>
          <t>MWh</t>
        </is>
      </c>
      <c r="K536" s="8" t="n">
        <v>58975</v>
      </c>
      <c r="L536" s="6" t="inlineStr">
        <is>
          <t>MWh</t>
        </is>
      </c>
      <c r="M536" s="6" t="inlineStr">
        <is>
          <t>EBY</t>
        </is>
      </c>
      <c r="N536" s="6" t="inlineStr">
        <is>
          <t>OFFICIAL_PRIMARY</t>
        </is>
      </c>
      <c r="O536" s="9" t="inlineStr">
        <is>
          <t>OFFICIAL_AGGREGATE</t>
        </is>
      </c>
      <c r="P536" s="8" t="n">
        <v>1</v>
      </c>
      <c r="Q536" s="8" t="n">
        <v>50</v>
      </c>
      <c r="R536" s="7" t="inlineStr">
        <is>
          <t>https://www.eby.gov.py/wp-content/uploads/2019/12/YacyretaEnergiasMensualesDesdePuestaenMarcha.pdf</t>
        </is>
      </c>
      <c r="S536" s="6" t="inlineStr">
        <is>
          <t>EBY-MONTHLY-1994-2012</t>
        </is>
      </c>
      <c r="T536" s="6" t="inlineStr"/>
      <c r="U536" s="4" t="inlineStr">
        <is>
          <t>2026-09-10 23:00:00</t>
        </is>
      </c>
      <c r="V536" s="4" t="inlineStr">
        <is>
          <t>Energia mensual entregada al SINP.</t>
        </is>
      </c>
    </row>
    <row r="537">
      <c r="A537" s="6" t="inlineStr">
        <is>
          <t>R0000536</t>
        </is>
      </c>
      <c r="B537" s="6" t="inlineStr">
        <is>
          <t>2005-02-01</t>
        </is>
      </c>
      <c r="C537" s="6" t="inlineStr">
        <is>
          <t>2005-02-28</t>
        </is>
      </c>
      <c r="D537" s="6" t="inlineStr">
        <is>
          <t>month</t>
        </is>
      </c>
      <c r="E537" s="6" t="inlineStr">
        <is>
          <t>YACYRETA_NET_ENERGY</t>
        </is>
      </c>
      <c r="F537" s="6" t="inlineStr">
        <is>
          <t>YACYRETA</t>
        </is>
      </c>
      <c r="G537" s="6" t="inlineStr">
        <is>
          <t>YACYRETA</t>
        </is>
      </c>
      <c r="H537" s="6" t="inlineStr">
        <is>
          <t>TOTAL</t>
        </is>
      </c>
      <c r="I537" s="8" t="n">
        <v>1037814</v>
      </c>
      <c r="J537" s="6" t="inlineStr">
        <is>
          <t>MWh</t>
        </is>
      </c>
      <c r="K537" s="8" t="n">
        <v>1037814</v>
      </c>
      <c r="L537" s="6" t="inlineStr">
        <is>
          <t>MWh</t>
        </is>
      </c>
      <c r="M537" s="6" t="inlineStr">
        <is>
          <t>EBY</t>
        </is>
      </c>
      <c r="N537" s="6" t="inlineStr">
        <is>
          <t>OFFICIAL_PRIMARY</t>
        </is>
      </c>
      <c r="O537" s="9" t="inlineStr">
        <is>
          <t>OFFICIAL_AGGREGATE</t>
        </is>
      </c>
      <c r="P537" s="8" t="n">
        <v>1</v>
      </c>
      <c r="Q537" s="8" t="n">
        <v>50</v>
      </c>
      <c r="R537" s="7" t="inlineStr">
        <is>
          <t>https://www.eby.gov.py/wp-content/uploads/2019/12/YacyretaEnergiasMensualesDesdePuestaenMarcha.pdf</t>
        </is>
      </c>
      <c r="S537" s="6" t="inlineStr">
        <is>
          <t>EBY-MONTHLY-1994-2012</t>
        </is>
      </c>
      <c r="T537" s="6" t="inlineStr"/>
      <c r="U537" s="4" t="inlineStr">
        <is>
          <t>2026-09-10 23:00:00</t>
        </is>
      </c>
      <c r="V537" s="4" t="inlineStr">
        <is>
          <t>Energia mensual Yacyreta desde puesta en marcha.</t>
        </is>
      </c>
    </row>
    <row r="538">
      <c r="A538" s="6" t="inlineStr">
        <is>
          <t>R0000537</t>
        </is>
      </c>
      <c r="B538" s="6" t="inlineStr">
        <is>
          <t>2005-02-01</t>
        </is>
      </c>
      <c r="C538" s="6" t="inlineStr">
        <is>
          <t>2005-02-28</t>
        </is>
      </c>
      <c r="D538" s="6" t="inlineStr">
        <is>
          <t>month</t>
        </is>
      </c>
      <c r="E538" s="6" t="inlineStr">
        <is>
          <t>ENERGY_TO_ARGENTINA</t>
        </is>
      </c>
      <c r="F538" s="6" t="inlineStr">
        <is>
          <t>YACYRETA</t>
        </is>
      </c>
      <c r="G538" s="6" t="inlineStr">
        <is>
          <t>YACYRETA</t>
        </is>
      </c>
      <c r="H538" s="6" t="inlineStr">
        <is>
          <t>SADI</t>
        </is>
      </c>
      <c r="I538" s="8" t="n">
        <v>983320</v>
      </c>
      <c r="J538" s="6" t="inlineStr">
        <is>
          <t>MWh</t>
        </is>
      </c>
      <c r="K538" s="8" t="n">
        <v>983320</v>
      </c>
      <c r="L538" s="6" t="inlineStr">
        <is>
          <t>MWh</t>
        </is>
      </c>
      <c r="M538" s="6" t="inlineStr">
        <is>
          <t>EBY</t>
        </is>
      </c>
      <c r="N538" s="6" t="inlineStr">
        <is>
          <t>OFFICIAL_PRIMARY</t>
        </is>
      </c>
      <c r="O538" s="9" t="inlineStr">
        <is>
          <t>OFFICIAL_AGGREGATE</t>
        </is>
      </c>
      <c r="P538" s="8" t="n">
        <v>1</v>
      </c>
      <c r="Q538" s="8" t="n">
        <v>50</v>
      </c>
      <c r="R538" s="7" t="inlineStr">
        <is>
          <t>https://www.eby.gov.py/wp-content/uploads/2019/12/YacyretaEnergiasMensualesDesdePuestaenMarcha.pdf</t>
        </is>
      </c>
      <c r="S538" s="6" t="inlineStr">
        <is>
          <t>EBY-MONTHLY-1994-2012</t>
        </is>
      </c>
      <c r="T538" s="6" t="inlineStr"/>
      <c r="U538" s="4" t="inlineStr">
        <is>
          <t>2026-09-10 23:00:00</t>
        </is>
      </c>
      <c r="V538" s="4" t="inlineStr">
        <is>
          <t>Energia mensual entregada al SADI.</t>
        </is>
      </c>
    </row>
    <row r="539">
      <c r="A539" s="6" t="inlineStr">
        <is>
          <t>R0000538</t>
        </is>
      </c>
      <c r="B539" s="6" t="inlineStr">
        <is>
          <t>2005-02-01</t>
        </is>
      </c>
      <c r="C539" s="6" t="inlineStr">
        <is>
          <t>2005-02-28</t>
        </is>
      </c>
      <c r="D539" s="6" t="inlineStr">
        <is>
          <t>month</t>
        </is>
      </c>
      <c r="E539" s="6" t="inlineStr">
        <is>
          <t>ENERGY_TO_PY</t>
        </is>
      </c>
      <c r="F539" s="6" t="inlineStr">
        <is>
          <t>YACYRETA</t>
        </is>
      </c>
      <c r="G539" s="6" t="inlineStr">
        <is>
          <t>YACYRETA</t>
        </is>
      </c>
      <c r="H539" s="6" t="inlineStr">
        <is>
          <t>SINP</t>
        </is>
      </c>
      <c r="I539" s="8" t="n">
        <v>54494</v>
      </c>
      <c r="J539" s="6" t="inlineStr">
        <is>
          <t>MWh</t>
        </is>
      </c>
      <c r="K539" s="8" t="n">
        <v>54494</v>
      </c>
      <c r="L539" s="6" t="inlineStr">
        <is>
          <t>MWh</t>
        </is>
      </c>
      <c r="M539" s="6" t="inlineStr">
        <is>
          <t>EBY</t>
        </is>
      </c>
      <c r="N539" s="6" t="inlineStr">
        <is>
          <t>OFFICIAL_PRIMARY</t>
        </is>
      </c>
      <c r="O539" s="9" t="inlineStr">
        <is>
          <t>OFFICIAL_AGGREGATE</t>
        </is>
      </c>
      <c r="P539" s="8" t="n">
        <v>1</v>
      </c>
      <c r="Q539" s="8" t="n">
        <v>50</v>
      </c>
      <c r="R539" s="7" t="inlineStr">
        <is>
          <t>https://www.eby.gov.py/wp-content/uploads/2019/12/YacyretaEnergiasMensualesDesdePuestaenMarcha.pdf</t>
        </is>
      </c>
      <c r="S539" s="6" t="inlineStr">
        <is>
          <t>EBY-MONTHLY-1994-2012</t>
        </is>
      </c>
      <c r="T539" s="6" t="inlineStr"/>
      <c r="U539" s="4" t="inlineStr">
        <is>
          <t>2026-09-10 23:00:00</t>
        </is>
      </c>
      <c r="V539" s="4" t="inlineStr">
        <is>
          <t>Energia mensual entregada al SINP.</t>
        </is>
      </c>
    </row>
    <row r="540">
      <c r="A540" s="6" t="inlineStr">
        <is>
          <t>R0000539</t>
        </is>
      </c>
      <c r="B540" s="6" t="inlineStr">
        <is>
          <t>2005-03-01</t>
        </is>
      </c>
      <c r="C540" s="6" t="inlineStr">
        <is>
          <t>2005-03-31</t>
        </is>
      </c>
      <c r="D540" s="6" t="inlineStr">
        <is>
          <t>month</t>
        </is>
      </c>
      <c r="E540" s="6" t="inlineStr">
        <is>
          <t>YACYRETA_NET_ENERGY</t>
        </is>
      </c>
      <c r="F540" s="6" t="inlineStr">
        <is>
          <t>YACYRETA</t>
        </is>
      </c>
      <c r="G540" s="6" t="inlineStr">
        <is>
          <t>YACYRETA</t>
        </is>
      </c>
      <c r="H540" s="6" t="inlineStr">
        <is>
          <t>TOTAL</t>
        </is>
      </c>
      <c r="I540" s="8" t="n">
        <v>956206</v>
      </c>
      <c r="J540" s="6" t="inlineStr">
        <is>
          <t>MWh</t>
        </is>
      </c>
      <c r="K540" s="8" t="n">
        <v>956206</v>
      </c>
      <c r="L540" s="6" t="inlineStr">
        <is>
          <t>MWh</t>
        </is>
      </c>
      <c r="M540" s="6" t="inlineStr">
        <is>
          <t>EBY</t>
        </is>
      </c>
      <c r="N540" s="6" t="inlineStr">
        <is>
          <t>OFFICIAL_PRIMARY</t>
        </is>
      </c>
      <c r="O540" s="9" t="inlineStr">
        <is>
          <t>OFFICIAL_AGGREGATE</t>
        </is>
      </c>
      <c r="P540" s="8" t="n">
        <v>1</v>
      </c>
      <c r="Q540" s="8" t="n">
        <v>50</v>
      </c>
      <c r="R540" s="7" t="inlineStr">
        <is>
          <t>https://www.eby.gov.py/wp-content/uploads/2019/12/YacyretaEnergiasMensualesDesdePuestaenMarcha.pdf</t>
        </is>
      </c>
      <c r="S540" s="6" t="inlineStr">
        <is>
          <t>EBY-MONTHLY-1994-2012</t>
        </is>
      </c>
      <c r="T540" s="6" t="inlineStr"/>
      <c r="U540" s="4" t="inlineStr">
        <is>
          <t>2026-09-10 23:00:00</t>
        </is>
      </c>
      <c r="V540" s="4" t="inlineStr">
        <is>
          <t>Energia mensual Yacyreta desde puesta en marcha.</t>
        </is>
      </c>
    </row>
    <row r="541">
      <c r="A541" s="6" t="inlineStr">
        <is>
          <t>R0000540</t>
        </is>
      </c>
      <c r="B541" s="6" t="inlineStr">
        <is>
          <t>2005-03-01</t>
        </is>
      </c>
      <c r="C541" s="6" t="inlineStr">
        <is>
          <t>2005-03-31</t>
        </is>
      </c>
      <c r="D541" s="6" t="inlineStr">
        <is>
          <t>month</t>
        </is>
      </c>
      <c r="E541" s="6" t="inlineStr">
        <is>
          <t>ENERGY_TO_ARGENTINA</t>
        </is>
      </c>
      <c r="F541" s="6" t="inlineStr">
        <is>
          <t>YACYRETA</t>
        </is>
      </c>
      <c r="G541" s="6" t="inlineStr">
        <is>
          <t>YACYRETA</t>
        </is>
      </c>
      <c r="H541" s="6" t="inlineStr">
        <is>
          <t>SADI</t>
        </is>
      </c>
      <c r="I541" s="8" t="n">
        <v>924204</v>
      </c>
      <c r="J541" s="6" t="inlineStr">
        <is>
          <t>MWh</t>
        </is>
      </c>
      <c r="K541" s="8" t="n">
        <v>924204</v>
      </c>
      <c r="L541" s="6" t="inlineStr">
        <is>
          <t>MWh</t>
        </is>
      </c>
      <c r="M541" s="6" t="inlineStr">
        <is>
          <t>EBY</t>
        </is>
      </c>
      <c r="N541" s="6" t="inlineStr">
        <is>
          <t>OFFICIAL_PRIMARY</t>
        </is>
      </c>
      <c r="O541" s="9" t="inlineStr">
        <is>
          <t>OFFICIAL_AGGREGATE</t>
        </is>
      </c>
      <c r="P541" s="8" t="n">
        <v>1</v>
      </c>
      <c r="Q541" s="8" t="n">
        <v>50</v>
      </c>
      <c r="R541" s="7" t="inlineStr">
        <is>
          <t>https://www.eby.gov.py/wp-content/uploads/2019/12/YacyretaEnergiasMensualesDesdePuestaenMarcha.pdf</t>
        </is>
      </c>
      <c r="S541" s="6" t="inlineStr">
        <is>
          <t>EBY-MONTHLY-1994-2012</t>
        </is>
      </c>
      <c r="T541" s="6" t="inlineStr"/>
      <c r="U541" s="4" t="inlineStr">
        <is>
          <t>2026-09-10 23:00:00</t>
        </is>
      </c>
      <c r="V541" s="4" t="inlineStr">
        <is>
          <t>Energia mensual entregada al SADI.</t>
        </is>
      </c>
    </row>
    <row r="542">
      <c r="A542" s="6" t="inlineStr">
        <is>
          <t>R0000541</t>
        </is>
      </c>
      <c r="B542" s="6" t="inlineStr">
        <is>
          <t>2005-03-01</t>
        </is>
      </c>
      <c r="C542" s="6" t="inlineStr">
        <is>
          <t>2005-03-31</t>
        </is>
      </c>
      <c r="D542" s="6" t="inlineStr">
        <is>
          <t>month</t>
        </is>
      </c>
      <c r="E542" s="6" t="inlineStr">
        <is>
          <t>ENERGY_TO_PY</t>
        </is>
      </c>
      <c r="F542" s="6" t="inlineStr">
        <is>
          <t>YACYRETA</t>
        </is>
      </c>
      <c r="G542" s="6" t="inlineStr">
        <is>
          <t>YACYRETA</t>
        </is>
      </c>
      <c r="H542" s="6" t="inlineStr">
        <is>
          <t>SINP</t>
        </is>
      </c>
      <c r="I542" s="8" t="n">
        <v>32002</v>
      </c>
      <c r="J542" s="6" t="inlineStr">
        <is>
          <t>MWh</t>
        </is>
      </c>
      <c r="K542" s="8" t="n">
        <v>32002</v>
      </c>
      <c r="L542" s="6" t="inlineStr">
        <is>
          <t>MWh</t>
        </is>
      </c>
      <c r="M542" s="6" t="inlineStr">
        <is>
          <t>EBY</t>
        </is>
      </c>
      <c r="N542" s="6" t="inlineStr">
        <is>
          <t>OFFICIAL_PRIMARY</t>
        </is>
      </c>
      <c r="O542" s="9" t="inlineStr">
        <is>
          <t>OFFICIAL_AGGREGATE</t>
        </is>
      </c>
      <c r="P542" s="8" t="n">
        <v>1</v>
      </c>
      <c r="Q542" s="8" t="n">
        <v>50</v>
      </c>
      <c r="R542" s="7" t="inlineStr">
        <is>
          <t>https://www.eby.gov.py/wp-content/uploads/2019/12/YacyretaEnergiasMensualesDesdePuestaenMarcha.pdf</t>
        </is>
      </c>
      <c r="S542" s="6" t="inlineStr">
        <is>
          <t>EBY-MONTHLY-1994-2012</t>
        </is>
      </c>
      <c r="T542" s="6" t="inlineStr"/>
      <c r="U542" s="4" t="inlineStr">
        <is>
          <t>2026-09-10 23:00:00</t>
        </is>
      </c>
      <c r="V542" s="4" t="inlineStr">
        <is>
          <t>Energia mensual entregada al SINP.</t>
        </is>
      </c>
    </row>
    <row r="543">
      <c r="A543" s="6" t="inlineStr">
        <is>
          <t>R0000542</t>
        </is>
      </c>
      <c r="B543" s="6" t="inlineStr">
        <is>
          <t>2005-04-01</t>
        </is>
      </c>
      <c r="C543" s="6" t="inlineStr">
        <is>
          <t>2005-04-30</t>
        </is>
      </c>
      <c r="D543" s="6" t="inlineStr">
        <is>
          <t>month</t>
        </is>
      </c>
      <c r="E543" s="6" t="inlineStr">
        <is>
          <t>YACYRETA_NET_ENERGY</t>
        </is>
      </c>
      <c r="F543" s="6" t="inlineStr">
        <is>
          <t>YACYRETA</t>
        </is>
      </c>
      <c r="G543" s="6" t="inlineStr">
        <is>
          <t>YACYRETA</t>
        </is>
      </c>
      <c r="H543" s="6" t="inlineStr">
        <is>
          <t>TOTAL</t>
        </is>
      </c>
      <c r="I543" s="8" t="n">
        <v>974060</v>
      </c>
      <c r="J543" s="6" t="inlineStr">
        <is>
          <t>MWh</t>
        </is>
      </c>
      <c r="K543" s="8" t="n">
        <v>974060</v>
      </c>
      <c r="L543" s="6" t="inlineStr">
        <is>
          <t>MWh</t>
        </is>
      </c>
      <c r="M543" s="6" t="inlineStr">
        <is>
          <t>EBY</t>
        </is>
      </c>
      <c r="N543" s="6" t="inlineStr">
        <is>
          <t>OFFICIAL_PRIMARY</t>
        </is>
      </c>
      <c r="O543" s="9" t="inlineStr">
        <is>
          <t>OFFICIAL_AGGREGATE</t>
        </is>
      </c>
      <c r="P543" s="8" t="n">
        <v>1</v>
      </c>
      <c r="Q543" s="8" t="n">
        <v>50</v>
      </c>
      <c r="R543" s="7" t="inlineStr">
        <is>
          <t>https://www.eby.gov.py/wp-content/uploads/2019/12/YacyretaEnergiasMensualesDesdePuestaenMarcha.pdf</t>
        </is>
      </c>
      <c r="S543" s="6" t="inlineStr">
        <is>
          <t>EBY-MONTHLY-1994-2012</t>
        </is>
      </c>
      <c r="T543" s="6" t="inlineStr"/>
      <c r="U543" s="4" t="inlineStr">
        <is>
          <t>2026-09-10 23:00:00</t>
        </is>
      </c>
      <c r="V543" s="4" t="inlineStr">
        <is>
          <t>Energia mensual Yacyreta desde puesta en marcha.</t>
        </is>
      </c>
    </row>
    <row r="544">
      <c r="A544" s="6" t="inlineStr">
        <is>
          <t>R0000543</t>
        </is>
      </c>
      <c r="B544" s="6" t="inlineStr">
        <is>
          <t>2005-04-01</t>
        </is>
      </c>
      <c r="C544" s="6" t="inlineStr">
        <is>
          <t>2005-04-30</t>
        </is>
      </c>
      <c r="D544" s="6" t="inlineStr">
        <is>
          <t>month</t>
        </is>
      </c>
      <c r="E544" s="6" t="inlineStr">
        <is>
          <t>ENERGY_TO_ARGENTINA</t>
        </is>
      </c>
      <c r="F544" s="6" t="inlineStr">
        <is>
          <t>YACYRETA</t>
        </is>
      </c>
      <c r="G544" s="6" t="inlineStr">
        <is>
          <t>YACYRETA</t>
        </is>
      </c>
      <c r="H544" s="6" t="inlineStr">
        <is>
          <t>SADI</t>
        </is>
      </c>
      <c r="I544" s="8" t="n">
        <v>944862</v>
      </c>
      <c r="J544" s="6" t="inlineStr">
        <is>
          <t>MWh</t>
        </is>
      </c>
      <c r="K544" s="8" t="n">
        <v>944862</v>
      </c>
      <c r="L544" s="6" t="inlineStr">
        <is>
          <t>MWh</t>
        </is>
      </c>
      <c r="M544" s="6" t="inlineStr">
        <is>
          <t>EBY</t>
        </is>
      </c>
      <c r="N544" s="6" t="inlineStr">
        <is>
          <t>OFFICIAL_PRIMARY</t>
        </is>
      </c>
      <c r="O544" s="9" t="inlineStr">
        <is>
          <t>OFFICIAL_AGGREGATE</t>
        </is>
      </c>
      <c r="P544" s="8" t="n">
        <v>1</v>
      </c>
      <c r="Q544" s="8" t="n">
        <v>50</v>
      </c>
      <c r="R544" s="7" t="inlineStr">
        <is>
          <t>https://www.eby.gov.py/wp-content/uploads/2019/12/YacyretaEnergiasMensualesDesdePuestaenMarcha.pdf</t>
        </is>
      </c>
      <c r="S544" s="6" t="inlineStr">
        <is>
          <t>EBY-MONTHLY-1994-2012</t>
        </is>
      </c>
      <c r="T544" s="6" t="inlineStr"/>
      <c r="U544" s="4" t="inlineStr">
        <is>
          <t>2026-09-10 23:00:00</t>
        </is>
      </c>
      <c r="V544" s="4" t="inlineStr">
        <is>
          <t>Energia mensual entregada al SADI.</t>
        </is>
      </c>
    </row>
    <row r="545">
      <c r="A545" s="6" t="inlineStr">
        <is>
          <t>R0000544</t>
        </is>
      </c>
      <c r="B545" s="6" t="inlineStr">
        <is>
          <t>2005-04-01</t>
        </is>
      </c>
      <c r="C545" s="6" t="inlineStr">
        <is>
          <t>2005-04-30</t>
        </is>
      </c>
      <c r="D545" s="6" t="inlineStr">
        <is>
          <t>month</t>
        </is>
      </c>
      <c r="E545" s="6" t="inlineStr">
        <is>
          <t>ENERGY_TO_PY</t>
        </is>
      </c>
      <c r="F545" s="6" t="inlineStr">
        <is>
          <t>YACYRETA</t>
        </is>
      </c>
      <c r="G545" s="6" t="inlineStr">
        <is>
          <t>YACYRETA</t>
        </is>
      </c>
      <c r="H545" s="6" t="inlineStr">
        <is>
          <t>SINP</t>
        </is>
      </c>
      <c r="I545" s="8" t="n">
        <v>29198</v>
      </c>
      <c r="J545" s="6" t="inlineStr">
        <is>
          <t>MWh</t>
        </is>
      </c>
      <c r="K545" s="8" t="n">
        <v>29198</v>
      </c>
      <c r="L545" s="6" t="inlineStr">
        <is>
          <t>MWh</t>
        </is>
      </c>
      <c r="M545" s="6" t="inlineStr">
        <is>
          <t>EBY</t>
        </is>
      </c>
      <c r="N545" s="6" t="inlineStr">
        <is>
          <t>OFFICIAL_PRIMARY</t>
        </is>
      </c>
      <c r="O545" s="9" t="inlineStr">
        <is>
          <t>OFFICIAL_AGGREGATE</t>
        </is>
      </c>
      <c r="P545" s="8" t="n">
        <v>1</v>
      </c>
      <c r="Q545" s="8" t="n">
        <v>50</v>
      </c>
      <c r="R545" s="7" t="inlineStr">
        <is>
          <t>https://www.eby.gov.py/wp-content/uploads/2019/12/YacyretaEnergiasMensualesDesdePuestaenMarcha.pdf</t>
        </is>
      </c>
      <c r="S545" s="6" t="inlineStr">
        <is>
          <t>EBY-MONTHLY-1994-2012</t>
        </is>
      </c>
      <c r="T545" s="6" t="inlineStr"/>
      <c r="U545" s="4" t="inlineStr">
        <is>
          <t>2026-09-10 23:00:00</t>
        </is>
      </c>
      <c r="V545" s="4" t="inlineStr">
        <is>
          <t>Energia mensual entregada al SINP.</t>
        </is>
      </c>
    </row>
    <row r="546">
      <c r="A546" s="6" t="inlineStr">
        <is>
          <t>R0000545</t>
        </is>
      </c>
      <c r="B546" s="6" t="inlineStr">
        <is>
          <t>2005-05-01</t>
        </is>
      </c>
      <c r="C546" s="6" t="inlineStr">
        <is>
          <t>2005-05-31</t>
        </is>
      </c>
      <c r="D546" s="6" t="inlineStr">
        <is>
          <t>month</t>
        </is>
      </c>
      <c r="E546" s="6" t="inlineStr">
        <is>
          <t>YACYRETA_NET_ENERGY</t>
        </is>
      </c>
      <c r="F546" s="6" t="inlineStr">
        <is>
          <t>YACYRETA</t>
        </is>
      </c>
      <c r="G546" s="6" t="inlineStr">
        <is>
          <t>YACYRETA</t>
        </is>
      </c>
      <c r="H546" s="6" t="inlineStr">
        <is>
          <t>TOTAL</t>
        </is>
      </c>
      <c r="I546" s="8" t="n">
        <v>1008316</v>
      </c>
      <c r="J546" s="6" t="inlineStr">
        <is>
          <t>MWh</t>
        </is>
      </c>
      <c r="K546" s="8" t="n">
        <v>1008316</v>
      </c>
      <c r="L546" s="6" t="inlineStr">
        <is>
          <t>MWh</t>
        </is>
      </c>
      <c r="M546" s="6" t="inlineStr">
        <is>
          <t>EBY</t>
        </is>
      </c>
      <c r="N546" s="6" t="inlineStr">
        <is>
          <t>OFFICIAL_PRIMARY</t>
        </is>
      </c>
      <c r="O546" s="9" t="inlineStr">
        <is>
          <t>OFFICIAL_AGGREGATE</t>
        </is>
      </c>
      <c r="P546" s="8" t="n">
        <v>1</v>
      </c>
      <c r="Q546" s="8" t="n">
        <v>50</v>
      </c>
      <c r="R546" s="7" t="inlineStr">
        <is>
          <t>https://www.eby.gov.py/wp-content/uploads/2019/12/YacyretaEnergiasMensualesDesdePuestaenMarcha.pdf</t>
        </is>
      </c>
      <c r="S546" s="6" t="inlineStr">
        <is>
          <t>EBY-MONTHLY-1994-2012</t>
        </is>
      </c>
      <c r="T546" s="6" t="inlineStr"/>
      <c r="U546" s="4" t="inlineStr">
        <is>
          <t>2026-09-10 23:00:00</t>
        </is>
      </c>
      <c r="V546" s="4" t="inlineStr">
        <is>
          <t>Energia mensual Yacyreta desde puesta en marcha.</t>
        </is>
      </c>
    </row>
    <row r="547">
      <c r="A547" s="6" t="inlineStr">
        <is>
          <t>R0000546</t>
        </is>
      </c>
      <c r="B547" s="6" t="inlineStr">
        <is>
          <t>2005-05-01</t>
        </is>
      </c>
      <c r="C547" s="6" t="inlineStr">
        <is>
          <t>2005-05-31</t>
        </is>
      </c>
      <c r="D547" s="6" t="inlineStr">
        <is>
          <t>month</t>
        </is>
      </c>
      <c r="E547" s="6" t="inlineStr">
        <is>
          <t>ENERGY_TO_ARGENTINA</t>
        </is>
      </c>
      <c r="F547" s="6" t="inlineStr">
        <is>
          <t>YACYRETA</t>
        </is>
      </c>
      <c r="G547" s="6" t="inlineStr">
        <is>
          <t>YACYRETA</t>
        </is>
      </c>
      <c r="H547" s="6" t="inlineStr">
        <is>
          <t>SADI</t>
        </is>
      </c>
      <c r="I547" s="8" t="n">
        <v>1000744</v>
      </c>
      <c r="J547" s="6" t="inlineStr">
        <is>
          <t>MWh</t>
        </is>
      </c>
      <c r="K547" s="8" t="n">
        <v>1000744</v>
      </c>
      <c r="L547" s="6" t="inlineStr">
        <is>
          <t>MWh</t>
        </is>
      </c>
      <c r="M547" s="6" t="inlineStr">
        <is>
          <t>EBY</t>
        </is>
      </c>
      <c r="N547" s="6" t="inlineStr">
        <is>
          <t>OFFICIAL_PRIMARY</t>
        </is>
      </c>
      <c r="O547" s="9" t="inlineStr">
        <is>
          <t>OFFICIAL_AGGREGATE</t>
        </is>
      </c>
      <c r="P547" s="8" t="n">
        <v>1</v>
      </c>
      <c r="Q547" s="8" t="n">
        <v>50</v>
      </c>
      <c r="R547" s="7" t="inlineStr">
        <is>
          <t>https://www.eby.gov.py/wp-content/uploads/2019/12/YacyretaEnergiasMensualesDesdePuestaenMarcha.pdf</t>
        </is>
      </c>
      <c r="S547" s="6" t="inlineStr">
        <is>
          <t>EBY-MONTHLY-1994-2012</t>
        </is>
      </c>
      <c r="T547" s="6" t="inlineStr"/>
      <c r="U547" s="4" t="inlineStr">
        <is>
          <t>2026-09-10 23:00:00</t>
        </is>
      </c>
      <c r="V547" s="4" t="inlineStr">
        <is>
          <t>Energia mensual entregada al SADI.</t>
        </is>
      </c>
    </row>
    <row r="548">
      <c r="A548" s="6" t="inlineStr">
        <is>
          <t>R0000547</t>
        </is>
      </c>
      <c r="B548" s="6" t="inlineStr">
        <is>
          <t>2005-05-01</t>
        </is>
      </c>
      <c r="C548" s="6" t="inlineStr">
        <is>
          <t>2005-05-31</t>
        </is>
      </c>
      <c r="D548" s="6" t="inlineStr">
        <is>
          <t>month</t>
        </is>
      </c>
      <c r="E548" s="6" t="inlineStr">
        <is>
          <t>ENERGY_TO_PY</t>
        </is>
      </c>
      <c r="F548" s="6" t="inlineStr">
        <is>
          <t>YACYRETA</t>
        </is>
      </c>
      <c r="G548" s="6" t="inlineStr">
        <is>
          <t>YACYRETA</t>
        </is>
      </c>
      <c r="H548" s="6" t="inlineStr">
        <is>
          <t>SINP</t>
        </is>
      </c>
      <c r="I548" s="8" t="n">
        <v>7572</v>
      </c>
      <c r="J548" s="6" t="inlineStr">
        <is>
          <t>MWh</t>
        </is>
      </c>
      <c r="K548" s="8" t="n">
        <v>7572</v>
      </c>
      <c r="L548" s="6" t="inlineStr">
        <is>
          <t>MWh</t>
        </is>
      </c>
      <c r="M548" s="6" t="inlineStr">
        <is>
          <t>EBY</t>
        </is>
      </c>
      <c r="N548" s="6" t="inlineStr">
        <is>
          <t>OFFICIAL_PRIMARY</t>
        </is>
      </c>
      <c r="O548" s="9" t="inlineStr">
        <is>
          <t>OFFICIAL_AGGREGATE</t>
        </is>
      </c>
      <c r="P548" s="8" t="n">
        <v>1</v>
      </c>
      <c r="Q548" s="8" t="n">
        <v>50</v>
      </c>
      <c r="R548" s="7" t="inlineStr">
        <is>
          <t>https://www.eby.gov.py/wp-content/uploads/2019/12/YacyretaEnergiasMensualesDesdePuestaenMarcha.pdf</t>
        </is>
      </c>
      <c r="S548" s="6" t="inlineStr">
        <is>
          <t>EBY-MONTHLY-1994-2012</t>
        </is>
      </c>
      <c r="T548" s="6" t="inlineStr"/>
      <c r="U548" s="4" t="inlineStr">
        <is>
          <t>2026-09-10 23:00:00</t>
        </is>
      </c>
      <c r="V548" s="4" t="inlineStr">
        <is>
          <t>Energia mensual entregada al SINP.</t>
        </is>
      </c>
    </row>
    <row r="549">
      <c r="A549" s="6" t="inlineStr">
        <is>
          <t>R0000548</t>
        </is>
      </c>
      <c r="B549" s="6" t="inlineStr">
        <is>
          <t>2005-06-01</t>
        </is>
      </c>
      <c r="C549" s="6" t="inlineStr">
        <is>
          <t>2005-06-30</t>
        </is>
      </c>
      <c r="D549" s="6" t="inlineStr">
        <is>
          <t>month</t>
        </is>
      </c>
      <c r="E549" s="6" t="inlineStr">
        <is>
          <t>YACYRETA_NET_ENERGY</t>
        </is>
      </c>
      <c r="F549" s="6" t="inlineStr">
        <is>
          <t>YACYRETA</t>
        </is>
      </c>
      <c r="G549" s="6" t="inlineStr">
        <is>
          <t>YACYRETA</t>
        </is>
      </c>
      <c r="H549" s="6" t="inlineStr">
        <is>
          <t>TOTAL</t>
        </is>
      </c>
      <c r="I549" s="8" t="n">
        <v>1064078</v>
      </c>
      <c r="J549" s="6" t="inlineStr">
        <is>
          <t>MWh</t>
        </is>
      </c>
      <c r="K549" s="8" t="n">
        <v>1064078</v>
      </c>
      <c r="L549" s="6" t="inlineStr">
        <is>
          <t>MWh</t>
        </is>
      </c>
      <c r="M549" s="6" t="inlineStr">
        <is>
          <t>EBY</t>
        </is>
      </c>
      <c r="N549" s="6" t="inlineStr">
        <is>
          <t>OFFICIAL_PRIMARY</t>
        </is>
      </c>
      <c r="O549" s="9" t="inlineStr">
        <is>
          <t>OFFICIAL_AGGREGATE</t>
        </is>
      </c>
      <c r="P549" s="8" t="n">
        <v>1</v>
      </c>
      <c r="Q549" s="8" t="n">
        <v>50</v>
      </c>
      <c r="R549" s="7" t="inlineStr">
        <is>
          <t>https://www.eby.gov.py/wp-content/uploads/2019/12/YacyretaEnergiasMensualesDesdePuestaenMarcha.pdf</t>
        </is>
      </c>
      <c r="S549" s="6" t="inlineStr">
        <is>
          <t>EBY-MONTHLY-1994-2012</t>
        </is>
      </c>
      <c r="T549" s="6" t="inlineStr"/>
      <c r="U549" s="4" t="inlineStr">
        <is>
          <t>2026-09-10 23:00:00</t>
        </is>
      </c>
      <c r="V549" s="4" t="inlineStr">
        <is>
          <t>Energia mensual Yacyreta desde puesta en marcha.</t>
        </is>
      </c>
    </row>
    <row r="550">
      <c r="A550" s="6" t="inlineStr">
        <is>
          <t>R0000549</t>
        </is>
      </c>
      <c r="B550" s="6" t="inlineStr">
        <is>
          <t>2005-06-01</t>
        </is>
      </c>
      <c r="C550" s="6" t="inlineStr">
        <is>
          <t>2005-06-30</t>
        </is>
      </c>
      <c r="D550" s="6" t="inlineStr">
        <is>
          <t>month</t>
        </is>
      </c>
      <c r="E550" s="6" t="inlineStr">
        <is>
          <t>ENERGY_TO_ARGENTINA</t>
        </is>
      </c>
      <c r="F550" s="6" t="inlineStr">
        <is>
          <t>YACYRETA</t>
        </is>
      </c>
      <c r="G550" s="6" t="inlineStr">
        <is>
          <t>YACYRETA</t>
        </is>
      </c>
      <c r="H550" s="6" t="inlineStr">
        <is>
          <t>SADI</t>
        </is>
      </c>
      <c r="I550" s="8" t="n">
        <v>1050964</v>
      </c>
      <c r="J550" s="6" t="inlineStr">
        <is>
          <t>MWh</t>
        </is>
      </c>
      <c r="K550" s="8" t="n">
        <v>1050964</v>
      </c>
      <c r="L550" s="6" t="inlineStr">
        <is>
          <t>MWh</t>
        </is>
      </c>
      <c r="M550" s="6" t="inlineStr">
        <is>
          <t>EBY</t>
        </is>
      </c>
      <c r="N550" s="6" t="inlineStr">
        <is>
          <t>OFFICIAL_PRIMARY</t>
        </is>
      </c>
      <c r="O550" s="9" t="inlineStr">
        <is>
          <t>OFFICIAL_AGGREGATE</t>
        </is>
      </c>
      <c r="P550" s="8" t="n">
        <v>1</v>
      </c>
      <c r="Q550" s="8" t="n">
        <v>50</v>
      </c>
      <c r="R550" s="7" t="inlineStr">
        <is>
          <t>https://www.eby.gov.py/wp-content/uploads/2019/12/YacyretaEnergiasMensualesDesdePuestaenMarcha.pdf</t>
        </is>
      </c>
      <c r="S550" s="6" t="inlineStr">
        <is>
          <t>EBY-MONTHLY-1994-2012</t>
        </is>
      </c>
      <c r="T550" s="6" t="inlineStr"/>
      <c r="U550" s="4" t="inlineStr">
        <is>
          <t>2026-09-10 23:00:00</t>
        </is>
      </c>
      <c r="V550" s="4" t="inlineStr">
        <is>
          <t>Energia mensual entregada al SADI.</t>
        </is>
      </c>
    </row>
    <row r="551">
      <c r="A551" s="6" t="inlineStr">
        <is>
          <t>R0000550</t>
        </is>
      </c>
      <c r="B551" s="6" t="inlineStr">
        <is>
          <t>2005-06-01</t>
        </is>
      </c>
      <c r="C551" s="6" t="inlineStr">
        <is>
          <t>2005-06-30</t>
        </is>
      </c>
      <c r="D551" s="6" t="inlineStr">
        <is>
          <t>month</t>
        </is>
      </c>
      <c r="E551" s="6" t="inlineStr">
        <is>
          <t>ENERGY_TO_PY</t>
        </is>
      </c>
      <c r="F551" s="6" t="inlineStr">
        <is>
          <t>YACYRETA</t>
        </is>
      </c>
      <c r="G551" s="6" t="inlineStr">
        <is>
          <t>YACYRETA</t>
        </is>
      </c>
      <c r="H551" s="6" t="inlineStr">
        <is>
          <t>SINP</t>
        </is>
      </c>
      <c r="I551" s="8" t="n">
        <v>13114</v>
      </c>
      <c r="J551" s="6" t="inlineStr">
        <is>
          <t>MWh</t>
        </is>
      </c>
      <c r="K551" s="8" t="n">
        <v>13114</v>
      </c>
      <c r="L551" s="6" t="inlineStr">
        <is>
          <t>MWh</t>
        </is>
      </c>
      <c r="M551" s="6" t="inlineStr">
        <is>
          <t>EBY</t>
        </is>
      </c>
      <c r="N551" s="6" t="inlineStr">
        <is>
          <t>OFFICIAL_PRIMARY</t>
        </is>
      </c>
      <c r="O551" s="9" t="inlineStr">
        <is>
          <t>OFFICIAL_AGGREGATE</t>
        </is>
      </c>
      <c r="P551" s="8" t="n">
        <v>1</v>
      </c>
      <c r="Q551" s="8" t="n">
        <v>50</v>
      </c>
      <c r="R551" s="7" t="inlineStr">
        <is>
          <t>https://www.eby.gov.py/wp-content/uploads/2019/12/YacyretaEnergiasMensualesDesdePuestaenMarcha.pdf</t>
        </is>
      </c>
      <c r="S551" s="6" t="inlineStr">
        <is>
          <t>EBY-MONTHLY-1994-2012</t>
        </is>
      </c>
      <c r="T551" s="6" t="inlineStr"/>
      <c r="U551" s="4" t="inlineStr">
        <is>
          <t>2026-09-10 23:00:00</t>
        </is>
      </c>
      <c r="V551" s="4" t="inlineStr">
        <is>
          <t>Energia mensual entregada al SINP.</t>
        </is>
      </c>
    </row>
    <row r="552">
      <c r="A552" s="6" t="inlineStr">
        <is>
          <t>R0000551</t>
        </is>
      </c>
      <c r="B552" s="6" t="inlineStr">
        <is>
          <t>2005-07-01</t>
        </is>
      </c>
      <c r="C552" s="6" t="inlineStr">
        <is>
          <t>2005-07-31</t>
        </is>
      </c>
      <c r="D552" s="6" t="inlineStr">
        <is>
          <t>month</t>
        </is>
      </c>
      <c r="E552" s="6" t="inlineStr">
        <is>
          <t>YACYRETA_NET_ENERGY</t>
        </is>
      </c>
      <c r="F552" s="6" t="inlineStr">
        <is>
          <t>YACYRETA</t>
        </is>
      </c>
      <c r="G552" s="6" t="inlineStr">
        <is>
          <t>YACYRETA</t>
        </is>
      </c>
      <c r="H552" s="6" t="inlineStr">
        <is>
          <t>TOTAL</t>
        </is>
      </c>
      <c r="I552" s="8" t="n">
        <v>984308</v>
      </c>
      <c r="J552" s="6" t="inlineStr">
        <is>
          <t>MWh</t>
        </is>
      </c>
      <c r="K552" s="8" t="n">
        <v>984308</v>
      </c>
      <c r="L552" s="6" t="inlineStr">
        <is>
          <t>MWh</t>
        </is>
      </c>
      <c r="M552" s="6" t="inlineStr">
        <is>
          <t>EBY</t>
        </is>
      </c>
      <c r="N552" s="6" t="inlineStr">
        <is>
          <t>OFFICIAL_PRIMARY</t>
        </is>
      </c>
      <c r="O552" s="9" t="inlineStr">
        <is>
          <t>OFFICIAL_AGGREGATE</t>
        </is>
      </c>
      <c r="P552" s="8" t="n">
        <v>1</v>
      </c>
      <c r="Q552" s="8" t="n">
        <v>50</v>
      </c>
      <c r="R552" s="7" t="inlineStr">
        <is>
          <t>https://www.eby.gov.py/wp-content/uploads/2019/12/YacyretaEnergiasMensualesDesdePuestaenMarcha.pdf</t>
        </is>
      </c>
      <c r="S552" s="6" t="inlineStr">
        <is>
          <t>EBY-MONTHLY-1994-2012</t>
        </is>
      </c>
      <c r="T552" s="6" t="inlineStr"/>
      <c r="U552" s="4" t="inlineStr">
        <is>
          <t>2026-09-10 23:00:00</t>
        </is>
      </c>
      <c r="V552" s="4" t="inlineStr">
        <is>
          <t>Energia mensual Yacyreta desde puesta en marcha.</t>
        </is>
      </c>
    </row>
    <row r="553">
      <c r="A553" s="6" t="inlineStr">
        <is>
          <t>R0000552</t>
        </is>
      </c>
      <c r="B553" s="6" t="inlineStr">
        <is>
          <t>2005-07-01</t>
        </is>
      </c>
      <c r="C553" s="6" t="inlineStr">
        <is>
          <t>2005-07-31</t>
        </is>
      </c>
      <c r="D553" s="6" t="inlineStr">
        <is>
          <t>month</t>
        </is>
      </c>
      <c r="E553" s="6" t="inlineStr">
        <is>
          <t>ENERGY_TO_ARGENTINA</t>
        </is>
      </c>
      <c r="F553" s="6" t="inlineStr">
        <is>
          <t>YACYRETA</t>
        </is>
      </c>
      <c r="G553" s="6" t="inlineStr">
        <is>
          <t>YACYRETA</t>
        </is>
      </c>
      <c r="H553" s="6" t="inlineStr">
        <is>
          <t>SADI</t>
        </is>
      </c>
      <c r="I553" s="8" t="n">
        <v>975970</v>
      </c>
      <c r="J553" s="6" t="inlineStr">
        <is>
          <t>MWh</t>
        </is>
      </c>
      <c r="K553" s="8" t="n">
        <v>975970</v>
      </c>
      <c r="L553" s="6" t="inlineStr">
        <is>
          <t>MWh</t>
        </is>
      </c>
      <c r="M553" s="6" t="inlineStr">
        <is>
          <t>EBY</t>
        </is>
      </c>
      <c r="N553" s="6" t="inlineStr">
        <is>
          <t>OFFICIAL_PRIMARY</t>
        </is>
      </c>
      <c r="O553" s="9" t="inlineStr">
        <is>
          <t>OFFICIAL_AGGREGATE</t>
        </is>
      </c>
      <c r="P553" s="8" t="n">
        <v>1</v>
      </c>
      <c r="Q553" s="8" t="n">
        <v>50</v>
      </c>
      <c r="R553" s="7" t="inlineStr">
        <is>
          <t>https://www.eby.gov.py/wp-content/uploads/2019/12/YacyretaEnergiasMensualesDesdePuestaenMarcha.pdf</t>
        </is>
      </c>
      <c r="S553" s="6" t="inlineStr">
        <is>
          <t>EBY-MONTHLY-1994-2012</t>
        </is>
      </c>
      <c r="T553" s="6" t="inlineStr"/>
      <c r="U553" s="4" t="inlineStr">
        <is>
          <t>2026-09-10 23:00:00</t>
        </is>
      </c>
      <c r="V553" s="4" t="inlineStr">
        <is>
          <t>Energia mensual entregada al SADI.</t>
        </is>
      </c>
    </row>
    <row r="554">
      <c r="A554" s="6" t="inlineStr">
        <is>
          <t>R0000553</t>
        </is>
      </c>
      <c r="B554" s="6" t="inlineStr">
        <is>
          <t>2005-07-01</t>
        </is>
      </c>
      <c r="C554" s="6" t="inlineStr">
        <is>
          <t>2005-07-31</t>
        </is>
      </c>
      <c r="D554" s="6" t="inlineStr">
        <is>
          <t>month</t>
        </is>
      </c>
      <c r="E554" s="6" t="inlineStr">
        <is>
          <t>ENERGY_TO_PY</t>
        </is>
      </c>
      <c r="F554" s="6" t="inlineStr">
        <is>
          <t>YACYRETA</t>
        </is>
      </c>
      <c r="G554" s="6" t="inlineStr">
        <is>
          <t>YACYRETA</t>
        </is>
      </c>
      <c r="H554" s="6" t="inlineStr">
        <is>
          <t>SINP</t>
        </is>
      </c>
      <c r="I554" s="8" t="n">
        <v>8338</v>
      </c>
      <c r="J554" s="6" t="inlineStr">
        <is>
          <t>MWh</t>
        </is>
      </c>
      <c r="K554" s="8" t="n">
        <v>8338</v>
      </c>
      <c r="L554" s="6" t="inlineStr">
        <is>
          <t>MWh</t>
        </is>
      </c>
      <c r="M554" s="6" t="inlineStr">
        <is>
          <t>EBY</t>
        </is>
      </c>
      <c r="N554" s="6" t="inlineStr">
        <is>
          <t>OFFICIAL_PRIMARY</t>
        </is>
      </c>
      <c r="O554" s="9" t="inlineStr">
        <is>
          <t>OFFICIAL_AGGREGATE</t>
        </is>
      </c>
      <c r="P554" s="8" t="n">
        <v>1</v>
      </c>
      <c r="Q554" s="8" t="n">
        <v>50</v>
      </c>
      <c r="R554" s="7" t="inlineStr">
        <is>
          <t>https://www.eby.gov.py/wp-content/uploads/2019/12/YacyretaEnergiasMensualesDesdePuestaenMarcha.pdf</t>
        </is>
      </c>
      <c r="S554" s="6" t="inlineStr">
        <is>
          <t>EBY-MONTHLY-1994-2012</t>
        </is>
      </c>
      <c r="T554" s="6" t="inlineStr"/>
      <c r="U554" s="4" t="inlineStr">
        <is>
          <t>2026-09-10 23:00:00</t>
        </is>
      </c>
      <c r="V554" s="4" t="inlineStr">
        <is>
          <t>Energia mensual entregada al SINP.</t>
        </is>
      </c>
    </row>
    <row r="555">
      <c r="A555" s="6" t="inlineStr">
        <is>
          <t>R0000554</t>
        </is>
      </c>
      <c r="B555" s="6" t="inlineStr">
        <is>
          <t>2005-08-01</t>
        </is>
      </c>
      <c r="C555" s="6" t="inlineStr">
        <is>
          <t>2005-08-31</t>
        </is>
      </c>
      <c r="D555" s="6" t="inlineStr">
        <is>
          <t>month</t>
        </is>
      </c>
      <c r="E555" s="6" t="inlineStr">
        <is>
          <t>YACYRETA_NET_ENERGY</t>
        </is>
      </c>
      <c r="F555" s="6" t="inlineStr">
        <is>
          <t>YACYRETA</t>
        </is>
      </c>
      <c r="G555" s="6" t="inlineStr">
        <is>
          <t>YACYRETA</t>
        </is>
      </c>
      <c r="H555" s="6" t="inlineStr">
        <is>
          <t>TOTAL</t>
        </is>
      </c>
      <c r="I555" s="8" t="n">
        <v>940556</v>
      </c>
      <c r="J555" s="6" t="inlineStr">
        <is>
          <t>MWh</t>
        </is>
      </c>
      <c r="K555" s="8" t="n">
        <v>940556</v>
      </c>
      <c r="L555" s="6" t="inlineStr">
        <is>
          <t>MWh</t>
        </is>
      </c>
      <c r="M555" s="6" t="inlineStr">
        <is>
          <t>EBY</t>
        </is>
      </c>
      <c r="N555" s="6" t="inlineStr">
        <is>
          <t>OFFICIAL_PRIMARY</t>
        </is>
      </c>
      <c r="O555" s="9" t="inlineStr">
        <is>
          <t>OFFICIAL_AGGREGATE</t>
        </is>
      </c>
      <c r="P555" s="8" t="n">
        <v>1</v>
      </c>
      <c r="Q555" s="8" t="n">
        <v>50</v>
      </c>
      <c r="R555" s="7" t="inlineStr">
        <is>
          <t>https://www.eby.gov.py/wp-content/uploads/2019/12/YacyretaEnergiasMensualesDesdePuestaenMarcha.pdf</t>
        </is>
      </c>
      <c r="S555" s="6" t="inlineStr">
        <is>
          <t>EBY-MONTHLY-1994-2012</t>
        </is>
      </c>
      <c r="T555" s="6" t="inlineStr"/>
      <c r="U555" s="4" t="inlineStr">
        <is>
          <t>2026-09-10 23:00:00</t>
        </is>
      </c>
      <c r="V555" s="4" t="inlineStr">
        <is>
          <t>Energia mensual Yacyreta desde puesta en marcha.</t>
        </is>
      </c>
    </row>
    <row r="556">
      <c r="A556" s="6" t="inlineStr">
        <is>
          <t>R0000555</t>
        </is>
      </c>
      <c r="B556" s="6" t="inlineStr">
        <is>
          <t>2005-08-01</t>
        </is>
      </c>
      <c r="C556" s="6" t="inlineStr">
        <is>
          <t>2005-08-31</t>
        </is>
      </c>
      <c r="D556" s="6" t="inlineStr">
        <is>
          <t>month</t>
        </is>
      </c>
      <c r="E556" s="6" t="inlineStr">
        <is>
          <t>ENERGY_TO_ARGENTINA</t>
        </is>
      </c>
      <c r="F556" s="6" t="inlineStr">
        <is>
          <t>YACYRETA</t>
        </is>
      </c>
      <c r="G556" s="6" t="inlineStr">
        <is>
          <t>YACYRETA</t>
        </is>
      </c>
      <c r="H556" s="6" t="inlineStr">
        <is>
          <t>SADI</t>
        </is>
      </c>
      <c r="I556" s="8" t="n">
        <v>933130</v>
      </c>
      <c r="J556" s="6" t="inlineStr">
        <is>
          <t>MWh</t>
        </is>
      </c>
      <c r="K556" s="8" t="n">
        <v>933130</v>
      </c>
      <c r="L556" s="6" t="inlineStr">
        <is>
          <t>MWh</t>
        </is>
      </c>
      <c r="M556" s="6" t="inlineStr">
        <is>
          <t>EBY</t>
        </is>
      </c>
      <c r="N556" s="6" t="inlineStr">
        <is>
          <t>OFFICIAL_PRIMARY</t>
        </is>
      </c>
      <c r="O556" s="9" t="inlineStr">
        <is>
          <t>OFFICIAL_AGGREGATE</t>
        </is>
      </c>
      <c r="P556" s="8" t="n">
        <v>1</v>
      </c>
      <c r="Q556" s="8" t="n">
        <v>50</v>
      </c>
      <c r="R556" s="7" t="inlineStr">
        <is>
          <t>https://www.eby.gov.py/wp-content/uploads/2019/12/YacyretaEnergiasMensualesDesdePuestaenMarcha.pdf</t>
        </is>
      </c>
      <c r="S556" s="6" t="inlineStr">
        <is>
          <t>EBY-MONTHLY-1994-2012</t>
        </is>
      </c>
      <c r="T556" s="6" t="inlineStr"/>
      <c r="U556" s="4" t="inlineStr">
        <is>
          <t>2026-09-10 23:00:00</t>
        </is>
      </c>
      <c r="V556" s="4" t="inlineStr">
        <is>
          <t>Energia mensual entregada al SADI.</t>
        </is>
      </c>
    </row>
    <row r="557">
      <c r="A557" s="6" t="inlineStr">
        <is>
          <t>R0000556</t>
        </is>
      </c>
      <c r="B557" s="6" t="inlineStr">
        <is>
          <t>2005-08-01</t>
        </is>
      </c>
      <c r="C557" s="6" t="inlineStr">
        <is>
          <t>2005-08-31</t>
        </is>
      </c>
      <c r="D557" s="6" t="inlineStr">
        <is>
          <t>month</t>
        </is>
      </c>
      <c r="E557" s="6" t="inlineStr">
        <is>
          <t>ENERGY_TO_PY</t>
        </is>
      </c>
      <c r="F557" s="6" t="inlineStr">
        <is>
          <t>YACYRETA</t>
        </is>
      </c>
      <c r="G557" s="6" t="inlineStr">
        <is>
          <t>YACYRETA</t>
        </is>
      </c>
      <c r="H557" s="6" t="inlineStr">
        <is>
          <t>SINP</t>
        </is>
      </c>
      <c r="I557" s="8" t="n">
        <v>7426</v>
      </c>
      <c r="J557" s="6" t="inlineStr">
        <is>
          <t>MWh</t>
        </is>
      </c>
      <c r="K557" s="8" t="n">
        <v>7426</v>
      </c>
      <c r="L557" s="6" t="inlineStr">
        <is>
          <t>MWh</t>
        </is>
      </c>
      <c r="M557" s="6" t="inlineStr">
        <is>
          <t>EBY</t>
        </is>
      </c>
      <c r="N557" s="6" t="inlineStr">
        <is>
          <t>OFFICIAL_PRIMARY</t>
        </is>
      </c>
      <c r="O557" s="9" t="inlineStr">
        <is>
          <t>OFFICIAL_AGGREGATE</t>
        </is>
      </c>
      <c r="P557" s="8" t="n">
        <v>1</v>
      </c>
      <c r="Q557" s="8" t="n">
        <v>50</v>
      </c>
      <c r="R557" s="7" t="inlineStr">
        <is>
          <t>https://www.eby.gov.py/wp-content/uploads/2019/12/YacyretaEnergiasMensualesDesdePuestaenMarcha.pdf</t>
        </is>
      </c>
      <c r="S557" s="6" t="inlineStr">
        <is>
          <t>EBY-MONTHLY-1994-2012</t>
        </is>
      </c>
      <c r="T557" s="6" t="inlineStr"/>
      <c r="U557" s="4" t="inlineStr">
        <is>
          <t>2026-09-10 23:00:00</t>
        </is>
      </c>
      <c r="V557" s="4" t="inlineStr">
        <is>
          <t>Energia mensual entregada al SINP.</t>
        </is>
      </c>
    </row>
    <row r="558">
      <c r="A558" s="6" t="inlineStr">
        <is>
          <t>R0000557</t>
        </is>
      </c>
      <c r="B558" s="6" t="inlineStr">
        <is>
          <t>2005-09-01</t>
        </is>
      </c>
      <c r="C558" s="6" t="inlineStr">
        <is>
          <t>2005-09-30</t>
        </is>
      </c>
      <c r="D558" s="6" t="inlineStr">
        <is>
          <t>month</t>
        </is>
      </c>
      <c r="E558" s="6" t="inlineStr">
        <is>
          <t>YACYRETA_NET_ENERGY</t>
        </is>
      </c>
      <c r="F558" s="6" t="inlineStr">
        <is>
          <t>YACYRETA</t>
        </is>
      </c>
      <c r="G558" s="6" t="inlineStr">
        <is>
          <t>YACYRETA</t>
        </is>
      </c>
      <c r="H558" s="6" t="inlineStr">
        <is>
          <t>TOTAL</t>
        </is>
      </c>
      <c r="I558" s="8" t="n">
        <v>1079932</v>
      </c>
      <c r="J558" s="6" t="inlineStr">
        <is>
          <t>MWh</t>
        </is>
      </c>
      <c r="K558" s="8" t="n">
        <v>1079932</v>
      </c>
      <c r="L558" s="6" t="inlineStr">
        <is>
          <t>MWh</t>
        </is>
      </c>
      <c r="M558" s="6" t="inlineStr">
        <is>
          <t>EBY</t>
        </is>
      </c>
      <c r="N558" s="6" t="inlineStr">
        <is>
          <t>OFFICIAL_PRIMARY</t>
        </is>
      </c>
      <c r="O558" s="9" t="inlineStr">
        <is>
          <t>OFFICIAL_AGGREGATE</t>
        </is>
      </c>
      <c r="P558" s="8" t="n">
        <v>1</v>
      </c>
      <c r="Q558" s="8" t="n">
        <v>50</v>
      </c>
      <c r="R558" s="7" t="inlineStr">
        <is>
          <t>https://www.eby.gov.py/wp-content/uploads/2019/12/YacyretaEnergiasMensualesDesdePuestaenMarcha.pdf</t>
        </is>
      </c>
      <c r="S558" s="6" t="inlineStr">
        <is>
          <t>EBY-MONTHLY-1994-2012</t>
        </is>
      </c>
      <c r="T558" s="6" t="inlineStr"/>
      <c r="U558" s="4" t="inlineStr">
        <is>
          <t>2026-09-10 23:00:00</t>
        </is>
      </c>
      <c r="V558" s="4" t="inlineStr">
        <is>
          <t>Energia mensual Yacyreta desde puesta en marcha.</t>
        </is>
      </c>
    </row>
    <row r="559">
      <c r="A559" s="6" t="inlineStr">
        <is>
          <t>R0000558</t>
        </is>
      </c>
      <c r="B559" s="6" t="inlineStr">
        <is>
          <t>2005-09-01</t>
        </is>
      </c>
      <c r="C559" s="6" t="inlineStr">
        <is>
          <t>2005-09-30</t>
        </is>
      </c>
      <c r="D559" s="6" t="inlineStr">
        <is>
          <t>month</t>
        </is>
      </c>
      <c r="E559" s="6" t="inlineStr">
        <is>
          <t>ENERGY_TO_ARGENTINA</t>
        </is>
      </c>
      <c r="F559" s="6" t="inlineStr">
        <is>
          <t>YACYRETA</t>
        </is>
      </c>
      <c r="G559" s="6" t="inlineStr">
        <is>
          <t>YACYRETA</t>
        </is>
      </c>
      <c r="H559" s="6" t="inlineStr">
        <is>
          <t>SADI</t>
        </is>
      </c>
      <c r="I559" s="8" t="n">
        <v>1071282</v>
      </c>
      <c r="J559" s="6" t="inlineStr">
        <is>
          <t>MWh</t>
        </is>
      </c>
      <c r="K559" s="8" t="n">
        <v>1071282</v>
      </c>
      <c r="L559" s="6" t="inlineStr">
        <is>
          <t>MWh</t>
        </is>
      </c>
      <c r="M559" s="6" t="inlineStr">
        <is>
          <t>EBY</t>
        </is>
      </c>
      <c r="N559" s="6" t="inlineStr">
        <is>
          <t>OFFICIAL_PRIMARY</t>
        </is>
      </c>
      <c r="O559" s="9" t="inlineStr">
        <is>
          <t>OFFICIAL_AGGREGATE</t>
        </is>
      </c>
      <c r="P559" s="8" t="n">
        <v>1</v>
      </c>
      <c r="Q559" s="8" t="n">
        <v>50</v>
      </c>
      <c r="R559" s="7" t="inlineStr">
        <is>
          <t>https://www.eby.gov.py/wp-content/uploads/2019/12/YacyretaEnergiasMensualesDesdePuestaenMarcha.pdf</t>
        </is>
      </c>
      <c r="S559" s="6" t="inlineStr">
        <is>
          <t>EBY-MONTHLY-1994-2012</t>
        </is>
      </c>
      <c r="T559" s="6" t="inlineStr"/>
      <c r="U559" s="4" t="inlineStr">
        <is>
          <t>2026-09-10 23:00:00</t>
        </is>
      </c>
      <c r="V559" s="4" t="inlineStr">
        <is>
          <t>Energia mensual entregada al SADI.</t>
        </is>
      </c>
    </row>
    <row r="560">
      <c r="A560" s="6" t="inlineStr">
        <is>
          <t>R0000559</t>
        </is>
      </c>
      <c r="B560" s="6" t="inlineStr">
        <is>
          <t>2005-09-01</t>
        </is>
      </c>
      <c r="C560" s="6" t="inlineStr">
        <is>
          <t>2005-09-30</t>
        </is>
      </c>
      <c r="D560" s="6" t="inlineStr">
        <is>
          <t>month</t>
        </is>
      </c>
      <c r="E560" s="6" t="inlineStr">
        <is>
          <t>ENERGY_TO_PY</t>
        </is>
      </c>
      <c r="F560" s="6" t="inlineStr">
        <is>
          <t>YACYRETA</t>
        </is>
      </c>
      <c r="G560" s="6" t="inlineStr">
        <is>
          <t>YACYRETA</t>
        </is>
      </c>
      <c r="H560" s="6" t="inlineStr">
        <is>
          <t>SINP</t>
        </is>
      </c>
      <c r="I560" s="8" t="n">
        <v>8650</v>
      </c>
      <c r="J560" s="6" t="inlineStr">
        <is>
          <t>MWh</t>
        </is>
      </c>
      <c r="K560" s="8" t="n">
        <v>8650</v>
      </c>
      <c r="L560" s="6" t="inlineStr">
        <is>
          <t>MWh</t>
        </is>
      </c>
      <c r="M560" s="6" t="inlineStr">
        <is>
          <t>EBY</t>
        </is>
      </c>
      <c r="N560" s="6" t="inlineStr">
        <is>
          <t>OFFICIAL_PRIMARY</t>
        </is>
      </c>
      <c r="O560" s="9" t="inlineStr">
        <is>
          <t>OFFICIAL_AGGREGATE</t>
        </is>
      </c>
      <c r="P560" s="8" t="n">
        <v>1</v>
      </c>
      <c r="Q560" s="8" t="n">
        <v>50</v>
      </c>
      <c r="R560" s="7" t="inlineStr">
        <is>
          <t>https://www.eby.gov.py/wp-content/uploads/2019/12/YacyretaEnergiasMensualesDesdePuestaenMarcha.pdf</t>
        </is>
      </c>
      <c r="S560" s="6" t="inlineStr">
        <is>
          <t>EBY-MONTHLY-1994-2012</t>
        </is>
      </c>
      <c r="T560" s="6" t="inlineStr"/>
      <c r="U560" s="4" t="inlineStr">
        <is>
          <t>2026-09-10 23:00:00</t>
        </is>
      </c>
      <c r="V560" s="4" t="inlineStr">
        <is>
          <t>Energia mensual entregada al SINP.</t>
        </is>
      </c>
    </row>
    <row r="561">
      <c r="A561" s="6" t="inlineStr">
        <is>
          <t>R0000560</t>
        </is>
      </c>
      <c r="B561" s="6" t="inlineStr">
        <is>
          <t>2005-10-01</t>
        </is>
      </c>
      <c r="C561" s="6" t="inlineStr">
        <is>
          <t>2005-10-31</t>
        </is>
      </c>
      <c r="D561" s="6" t="inlineStr">
        <is>
          <t>month</t>
        </is>
      </c>
      <c r="E561" s="6" t="inlineStr">
        <is>
          <t>YACYRETA_NET_ENERGY</t>
        </is>
      </c>
      <c r="F561" s="6" t="inlineStr">
        <is>
          <t>YACYRETA</t>
        </is>
      </c>
      <c r="G561" s="6" t="inlineStr">
        <is>
          <t>YACYRETA</t>
        </is>
      </c>
      <c r="H561" s="6" t="inlineStr">
        <is>
          <t>TOTAL</t>
        </is>
      </c>
      <c r="I561" s="8" t="n">
        <v>1150952</v>
      </c>
      <c r="J561" s="6" t="inlineStr">
        <is>
          <t>MWh</t>
        </is>
      </c>
      <c r="K561" s="8" t="n">
        <v>1150952</v>
      </c>
      <c r="L561" s="6" t="inlineStr">
        <is>
          <t>MWh</t>
        </is>
      </c>
      <c r="M561" s="6" t="inlineStr">
        <is>
          <t>EBY</t>
        </is>
      </c>
      <c r="N561" s="6" t="inlineStr">
        <is>
          <t>OFFICIAL_PRIMARY</t>
        </is>
      </c>
      <c r="O561" s="9" t="inlineStr">
        <is>
          <t>OFFICIAL_AGGREGATE</t>
        </is>
      </c>
      <c r="P561" s="8" t="n">
        <v>1</v>
      </c>
      <c r="Q561" s="8" t="n">
        <v>50</v>
      </c>
      <c r="R561" s="7" t="inlineStr">
        <is>
          <t>https://www.eby.gov.py/wp-content/uploads/2019/12/YacyretaEnergiasMensualesDesdePuestaenMarcha.pdf</t>
        </is>
      </c>
      <c r="S561" s="6" t="inlineStr">
        <is>
          <t>EBY-MONTHLY-1994-2012</t>
        </is>
      </c>
      <c r="T561" s="6" t="inlineStr"/>
      <c r="U561" s="4" t="inlineStr">
        <is>
          <t>2026-09-10 23:00:00</t>
        </is>
      </c>
      <c r="V561" s="4" t="inlineStr">
        <is>
          <t>Energia mensual Yacyreta desde puesta en marcha.</t>
        </is>
      </c>
    </row>
    <row r="562">
      <c r="A562" s="6" t="inlineStr">
        <is>
          <t>R0000561</t>
        </is>
      </c>
      <c r="B562" s="6" t="inlineStr">
        <is>
          <t>2005-10-01</t>
        </is>
      </c>
      <c r="C562" s="6" t="inlineStr">
        <is>
          <t>2005-10-31</t>
        </is>
      </c>
      <c r="D562" s="6" t="inlineStr">
        <is>
          <t>month</t>
        </is>
      </c>
      <c r="E562" s="6" t="inlineStr">
        <is>
          <t>ENERGY_TO_ARGENTINA</t>
        </is>
      </c>
      <c r="F562" s="6" t="inlineStr">
        <is>
          <t>YACYRETA</t>
        </is>
      </c>
      <c r="G562" s="6" t="inlineStr">
        <is>
          <t>YACYRETA</t>
        </is>
      </c>
      <c r="H562" s="6" t="inlineStr">
        <is>
          <t>SADI</t>
        </is>
      </c>
      <c r="I562" s="8" t="n">
        <v>1118896</v>
      </c>
      <c r="J562" s="6" t="inlineStr">
        <is>
          <t>MWh</t>
        </is>
      </c>
      <c r="K562" s="8" t="n">
        <v>1118896</v>
      </c>
      <c r="L562" s="6" t="inlineStr">
        <is>
          <t>MWh</t>
        </is>
      </c>
      <c r="M562" s="6" t="inlineStr">
        <is>
          <t>EBY</t>
        </is>
      </c>
      <c r="N562" s="6" t="inlineStr">
        <is>
          <t>OFFICIAL_PRIMARY</t>
        </is>
      </c>
      <c r="O562" s="9" t="inlineStr">
        <is>
          <t>OFFICIAL_AGGREGATE</t>
        </is>
      </c>
      <c r="P562" s="8" t="n">
        <v>1</v>
      </c>
      <c r="Q562" s="8" t="n">
        <v>50</v>
      </c>
      <c r="R562" s="7" t="inlineStr">
        <is>
          <t>https://www.eby.gov.py/wp-content/uploads/2019/12/YacyretaEnergiasMensualesDesdePuestaenMarcha.pdf</t>
        </is>
      </c>
      <c r="S562" s="6" t="inlineStr">
        <is>
          <t>EBY-MONTHLY-1994-2012</t>
        </is>
      </c>
      <c r="T562" s="6" t="inlineStr"/>
      <c r="U562" s="4" t="inlineStr">
        <is>
          <t>2026-09-10 23:00:00</t>
        </is>
      </c>
      <c r="V562" s="4" t="inlineStr">
        <is>
          <t>Energia mensual entregada al SADI.</t>
        </is>
      </c>
    </row>
    <row r="563">
      <c r="A563" s="6" t="inlineStr">
        <is>
          <t>R0000562</t>
        </is>
      </c>
      <c r="B563" s="6" t="inlineStr">
        <is>
          <t>2005-10-01</t>
        </is>
      </c>
      <c r="C563" s="6" t="inlineStr">
        <is>
          <t>2005-10-31</t>
        </is>
      </c>
      <c r="D563" s="6" t="inlineStr">
        <is>
          <t>month</t>
        </is>
      </c>
      <c r="E563" s="6" t="inlineStr">
        <is>
          <t>ENERGY_TO_PY</t>
        </is>
      </c>
      <c r="F563" s="6" t="inlineStr">
        <is>
          <t>YACYRETA</t>
        </is>
      </c>
      <c r="G563" s="6" t="inlineStr">
        <is>
          <t>YACYRETA</t>
        </is>
      </c>
      <c r="H563" s="6" t="inlineStr">
        <is>
          <t>SINP</t>
        </is>
      </c>
      <c r="I563" s="8" t="n">
        <v>32056</v>
      </c>
      <c r="J563" s="6" t="inlineStr">
        <is>
          <t>MWh</t>
        </is>
      </c>
      <c r="K563" s="8" t="n">
        <v>32056</v>
      </c>
      <c r="L563" s="6" t="inlineStr">
        <is>
          <t>MWh</t>
        </is>
      </c>
      <c r="M563" s="6" t="inlineStr">
        <is>
          <t>EBY</t>
        </is>
      </c>
      <c r="N563" s="6" t="inlineStr">
        <is>
          <t>OFFICIAL_PRIMARY</t>
        </is>
      </c>
      <c r="O563" s="9" t="inlineStr">
        <is>
          <t>OFFICIAL_AGGREGATE</t>
        </is>
      </c>
      <c r="P563" s="8" t="n">
        <v>1</v>
      </c>
      <c r="Q563" s="8" t="n">
        <v>50</v>
      </c>
      <c r="R563" s="7" t="inlineStr">
        <is>
          <t>https://www.eby.gov.py/wp-content/uploads/2019/12/YacyretaEnergiasMensualesDesdePuestaenMarcha.pdf</t>
        </is>
      </c>
      <c r="S563" s="6" t="inlineStr">
        <is>
          <t>EBY-MONTHLY-1994-2012</t>
        </is>
      </c>
      <c r="T563" s="6" t="inlineStr"/>
      <c r="U563" s="4" t="inlineStr">
        <is>
          <t>2026-09-10 23:00:00</t>
        </is>
      </c>
      <c r="V563" s="4" t="inlineStr">
        <is>
          <t>Energia mensual entregada al SINP.</t>
        </is>
      </c>
    </row>
    <row r="564">
      <c r="A564" s="6" t="inlineStr">
        <is>
          <t>R0000563</t>
        </is>
      </c>
      <c r="B564" s="6" t="inlineStr">
        <is>
          <t>2005-11-01</t>
        </is>
      </c>
      <c r="C564" s="6" t="inlineStr">
        <is>
          <t>2005-11-30</t>
        </is>
      </c>
      <c r="D564" s="6" t="inlineStr">
        <is>
          <t>month</t>
        </is>
      </c>
      <c r="E564" s="6" t="inlineStr">
        <is>
          <t>YACYRETA_NET_ENERGY</t>
        </is>
      </c>
      <c r="F564" s="6" t="inlineStr">
        <is>
          <t>YACYRETA</t>
        </is>
      </c>
      <c r="G564" s="6" t="inlineStr">
        <is>
          <t>YACYRETA</t>
        </is>
      </c>
      <c r="H564" s="6" t="inlineStr">
        <is>
          <t>TOTAL</t>
        </is>
      </c>
      <c r="I564" s="8" t="n">
        <v>1080280</v>
      </c>
      <c r="J564" s="6" t="inlineStr">
        <is>
          <t>MWh</t>
        </is>
      </c>
      <c r="K564" s="8" t="n">
        <v>1080280</v>
      </c>
      <c r="L564" s="6" t="inlineStr">
        <is>
          <t>MWh</t>
        </is>
      </c>
      <c r="M564" s="6" t="inlineStr">
        <is>
          <t>EBY</t>
        </is>
      </c>
      <c r="N564" s="6" t="inlineStr">
        <is>
          <t>OFFICIAL_PRIMARY</t>
        </is>
      </c>
      <c r="O564" s="9" t="inlineStr">
        <is>
          <t>OFFICIAL_AGGREGATE</t>
        </is>
      </c>
      <c r="P564" s="8" t="n">
        <v>1</v>
      </c>
      <c r="Q564" s="8" t="n">
        <v>50</v>
      </c>
      <c r="R564" s="7" t="inlineStr">
        <is>
          <t>https://www.eby.gov.py/wp-content/uploads/2019/12/YacyretaEnergiasMensualesDesdePuestaenMarcha.pdf</t>
        </is>
      </c>
      <c r="S564" s="6" t="inlineStr">
        <is>
          <t>EBY-MONTHLY-1994-2012</t>
        </is>
      </c>
      <c r="T564" s="6" t="inlineStr"/>
      <c r="U564" s="4" t="inlineStr">
        <is>
          <t>2026-09-10 23:00:00</t>
        </is>
      </c>
      <c r="V564" s="4" t="inlineStr">
        <is>
          <t>Energia mensual Yacyreta desde puesta en marcha.</t>
        </is>
      </c>
    </row>
    <row r="565">
      <c r="A565" s="6" t="inlineStr">
        <is>
          <t>R0000564</t>
        </is>
      </c>
      <c r="B565" s="6" t="inlineStr">
        <is>
          <t>2005-11-01</t>
        </is>
      </c>
      <c r="C565" s="6" t="inlineStr">
        <is>
          <t>2005-11-30</t>
        </is>
      </c>
      <c r="D565" s="6" t="inlineStr">
        <is>
          <t>month</t>
        </is>
      </c>
      <c r="E565" s="6" t="inlineStr">
        <is>
          <t>ENERGY_TO_ARGENTINA</t>
        </is>
      </c>
      <c r="F565" s="6" t="inlineStr">
        <is>
          <t>YACYRETA</t>
        </is>
      </c>
      <c r="G565" s="6" t="inlineStr">
        <is>
          <t>YACYRETA</t>
        </is>
      </c>
      <c r="H565" s="6" t="inlineStr">
        <is>
          <t>SADI</t>
        </is>
      </c>
      <c r="I565" s="8" t="n">
        <v>1062880</v>
      </c>
      <c r="J565" s="6" t="inlineStr">
        <is>
          <t>MWh</t>
        </is>
      </c>
      <c r="K565" s="8" t="n">
        <v>1062880</v>
      </c>
      <c r="L565" s="6" t="inlineStr">
        <is>
          <t>MWh</t>
        </is>
      </c>
      <c r="M565" s="6" t="inlineStr">
        <is>
          <t>EBY</t>
        </is>
      </c>
      <c r="N565" s="6" t="inlineStr">
        <is>
          <t>OFFICIAL_PRIMARY</t>
        </is>
      </c>
      <c r="O565" s="9" t="inlineStr">
        <is>
          <t>OFFICIAL_AGGREGATE</t>
        </is>
      </c>
      <c r="P565" s="8" t="n">
        <v>1</v>
      </c>
      <c r="Q565" s="8" t="n">
        <v>50</v>
      </c>
      <c r="R565" s="7" t="inlineStr">
        <is>
          <t>https://www.eby.gov.py/wp-content/uploads/2019/12/YacyretaEnergiasMensualesDesdePuestaenMarcha.pdf</t>
        </is>
      </c>
      <c r="S565" s="6" t="inlineStr">
        <is>
          <t>EBY-MONTHLY-1994-2012</t>
        </is>
      </c>
      <c r="T565" s="6" t="inlineStr"/>
      <c r="U565" s="4" t="inlineStr">
        <is>
          <t>2026-09-10 23:00:00</t>
        </is>
      </c>
      <c r="V565" s="4" t="inlineStr">
        <is>
          <t>Energia mensual entregada al SADI.</t>
        </is>
      </c>
    </row>
    <row r="566">
      <c r="A566" s="6" t="inlineStr">
        <is>
          <t>R0000565</t>
        </is>
      </c>
      <c r="B566" s="6" t="inlineStr">
        <is>
          <t>2005-11-01</t>
        </is>
      </c>
      <c r="C566" s="6" t="inlineStr">
        <is>
          <t>2005-11-30</t>
        </is>
      </c>
      <c r="D566" s="6" t="inlineStr">
        <is>
          <t>month</t>
        </is>
      </c>
      <c r="E566" s="6" t="inlineStr">
        <is>
          <t>ENERGY_TO_PY</t>
        </is>
      </c>
      <c r="F566" s="6" t="inlineStr">
        <is>
          <t>YACYRETA</t>
        </is>
      </c>
      <c r="G566" s="6" t="inlineStr">
        <is>
          <t>YACYRETA</t>
        </is>
      </c>
      <c r="H566" s="6" t="inlineStr">
        <is>
          <t>SINP</t>
        </is>
      </c>
      <c r="I566" s="8" t="n">
        <v>17400</v>
      </c>
      <c r="J566" s="6" t="inlineStr">
        <is>
          <t>MWh</t>
        </is>
      </c>
      <c r="K566" s="8" t="n">
        <v>17400</v>
      </c>
      <c r="L566" s="6" t="inlineStr">
        <is>
          <t>MWh</t>
        </is>
      </c>
      <c r="M566" s="6" t="inlineStr">
        <is>
          <t>EBY</t>
        </is>
      </c>
      <c r="N566" s="6" t="inlineStr">
        <is>
          <t>OFFICIAL_PRIMARY</t>
        </is>
      </c>
      <c r="O566" s="9" t="inlineStr">
        <is>
          <t>OFFICIAL_AGGREGATE</t>
        </is>
      </c>
      <c r="P566" s="8" t="n">
        <v>1</v>
      </c>
      <c r="Q566" s="8" t="n">
        <v>50</v>
      </c>
      <c r="R566" s="7" t="inlineStr">
        <is>
          <t>https://www.eby.gov.py/wp-content/uploads/2019/12/YacyretaEnergiasMensualesDesdePuestaenMarcha.pdf</t>
        </is>
      </c>
      <c r="S566" s="6" t="inlineStr">
        <is>
          <t>EBY-MONTHLY-1994-2012</t>
        </is>
      </c>
      <c r="T566" s="6" t="inlineStr"/>
      <c r="U566" s="4" t="inlineStr">
        <is>
          <t>2026-09-10 23:00:00</t>
        </is>
      </c>
      <c r="V566" s="4" t="inlineStr">
        <is>
          <t>Energia mensual entregada al SINP.</t>
        </is>
      </c>
    </row>
    <row r="567">
      <c r="A567" s="6" t="inlineStr">
        <is>
          <t>R0000566</t>
        </is>
      </c>
      <c r="B567" s="6" t="inlineStr">
        <is>
          <t>2005-12-01</t>
        </is>
      </c>
      <c r="C567" s="6" t="inlineStr">
        <is>
          <t>2005-12-31</t>
        </is>
      </c>
      <c r="D567" s="6" t="inlineStr">
        <is>
          <t>month</t>
        </is>
      </c>
      <c r="E567" s="6" t="inlineStr">
        <is>
          <t>YACYRETA_NET_ENERGY</t>
        </is>
      </c>
      <c r="F567" s="6" t="inlineStr">
        <is>
          <t>YACYRETA</t>
        </is>
      </c>
      <c r="G567" s="6" t="inlineStr">
        <is>
          <t>YACYRETA</t>
        </is>
      </c>
      <c r="H567" s="6" t="inlineStr">
        <is>
          <t>TOTAL</t>
        </is>
      </c>
      <c r="I567" s="8" t="n">
        <v>1148158</v>
      </c>
      <c r="J567" s="6" t="inlineStr">
        <is>
          <t>MWh</t>
        </is>
      </c>
      <c r="K567" s="8" t="n">
        <v>1148158</v>
      </c>
      <c r="L567" s="6" t="inlineStr">
        <is>
          <t>MWh</t>
        </is>
      </c>
      <c r="M567" s="6" t="inlineStr">
        <is>
          <t>EBY</t>
        </is>
      </c>
      <c r="N567" s="6" t="inlineStr">
        <is>
          <t>OFFICIAL_PRIMARY</t>
        </is>
      </c>
      <c r="O567" s="9" t="inlineStr">
        <is>
          <t>OFFICIAL_AGGREGATE</t>
        </is>
      </c>
      <c r="P567" s="8" t="n">
        <v>1</v>
      </c>
      <c r="Q567" s="8" t="n">
        <v>50</v>
      </c>
      <c r="R567" s="7" t="inlineStr">
        <is>
          <t>https://www.eby.gov.py/wp-content/uploads/2019/12/YacyretaEnergiasMensualesDesdePuestaenMarcha.pdf</t>
        </is>
      </c>
      <c r="S567" s="6" t="inlineStr">
        <is>
          <t>EBY-MONTHLY-1994-2012</t>
        </is>
      </c>
      <c r="T567" s="6" t="inlineStr"/>
      <c r="U567" s="4" t="inlineStr">
        <is>
          <t>2026-09-10 23:00:00</t>
        </is>
      </c>
      <c r="V567" s="4" t="inlineStr">
        <is>
          <t>Energia mensual Yacyreta desde puesta en marcha.</t>
        </is>
      </c>
    </row>
    <row r="568">
      <c r="A568" s="6" t="inlineStr">
        <is>
          <t>R0000567</t>
        </is>
      </c>
      <c r="B568" s="6" t="inlineStr">
        <is>
          <t>2005-12-01</t>
        </is>
      </c>
      <c r="C568" s="6" t="inlineStr">
        <is>
          <t>2005-12-31</t>
        </is>
      </c>
      <c r="D568" s="6" t="inlineStr">
        <is>
          <t>month</t>
        </is>
      </c>
      <c r="E568" s="6" t="inlineStr">
        <is>
          <t>ENERGY_TO_ARGENTINA</t>
        </is>
      </c>
      <c r="F568" s="6" t="inlineStr">
        <is>
          <t>YACYRETA</t>
        </is>
      </c>
      <c r="G568" s="6" t="inlineStr">
        <is>
          <t>YACYRETA</t>
        </is>
      </c>
      <c r="H568" s="6" t="inlineStr">
        <is>
          <t>SADI</t>
        </is>
      </c>
      <c r="I568" s="8" t="n">
        <v>1125068</v>
      </c>
      <c r="J568" s="6" t="inlineStr">
        <is>
          <t>MWh</t>
        </is>
      </c>
      <c r="K568" s="8" t="n">
        <v>1125068</v>
      </c>
      <c r="L568" s="6" t="inlineStr">
        <is>
          <t>MWh</t>
        </is>
      </c>
      <c r="M568" s="6" t="inlineStr">
        <is>
          <t>EBY</t>
        </is>
      </c>
      <c r="N568" s="6" t="inlineStr">
        <is>
          <t>OFFICIAL_PRIMARY</t>
        </is>
      </c>
      <c r="O568" s="9" t="inlineStr">
        <is>
          <t>OFFICIAL_AGGREGATE</t>
        </is>
      </c>
      <c r="P568" s="8" t="n">
        <v>1</v>
      </c>
      <c r="Q568" s="8" t="n">
        <v>50</v>
      </c>
      <c r="R568" s="7" t="inlineStr">
        <is>
          <t>https://www.eby.gov.py/wp-content/uploads/2019/12/YacyretaEnergiasMensualesDesdePuestaenMarcha.pdf</t>
        </is>
      </c>
      <c r="S568" s="6" t="inlineStr">
        <is>
          <t>EBY-MONTHLY-1994-2012</t>
        </is>
      </c>
      <c r="T568" s="6" t="inlineStr"/>
      <c r="U568" s="4" t="inlineStr">
        <is>
          <t>2026-09-10 23:00:00</t>
        </is>
      </c>
      <c r="V568" s="4" t="inlineStr">
        <is>
          <t>Energia mensual entregada al SADI.</t>
        </is>
      </c>
    </row>
    <row r="569">
      <c r="A569" s="6" t="inlineStr">
        <is>
          <t>R0000568</t>
        </is>
      </c>
      <c r="B569" s="6" t="inlineStr">
        <is>
          <t>2005-12-01</t>
        </is>
      </c>
      <c r="C569" s="6" t="inlineStr">
        <is>
          <t>2005-12-31</t>
        </is>
      </c>
      <c r="D569" s="6" t="inlineStr">
        <is>
          <t>month</t>
        </is>
      </c>
      <c r="E569" s="6" t="inlineStr">
        <is>
          <t>ENERGY_TO_PY</t>
        </is>
      </c>
      <c r="F569" s="6" t="inlineStr">
        <is>
          <t>YACYRETA</t>
        </is>
      </c>
      <c r="G569" s="6" t="inlineStr">
        <is>
          <t>YACYRETA</t>
        </is>
      </c>
      <c r="H569" s="6" t="inlineStr">
        <is>
          <t>SINP</t>
        </is>
      </c>
      <c r="I569" s="8" t="n">
        <v>23090</v>
      </c>
      <c r="J569" s="6" t="inlineStr">
        <is>
          <t>MWh</t>
        </is>
      </c>
      <c r="K569" s="8" t="n">
        <v>23090</v>
      </c>
      <c r="L569" s="6" t="inlineStr">
        <is>
          <t>MWh</t>
        </is>
      </c>
      <c r="M569" s="6" t="inlineStr">
        <is>
          <t>EBY</t>
        </is>
      </c>
      <c r="N569" s="6" t="inlineStr">
        <is>
          <t>OFFICIAL_PRIMARY</t>
        </is>
      </c>
      <c r="O569" s="9" t="inlineStr">
        <is>
          <t>OFFICIAL_AGGREGATE</t>
        </is>
      </c>
      <c r="P569" s="8" t="n">
        <v>1</v>
      </c>
      <c r="Q569" s="8" t="n">
        <v>50</v>
      </c>
      <c r="R569" s="7" t="inlineStr">
        <is>
          <t>https://www.eby.gov.py/wp-content/uploads/2019/12/YacyretaEnergiasMensualesDesdePuestaenMarcha.pdf</t>
        </is>
      </c>
      <c r="S569" s="6" t="inlineStr">
        <is>
          <t>EBY-MONTHLY-1994-2012</t>
        </is>
      </c>
      <c r="T569" s="6" t="inlineStr"/>
      <c r="U569" s="4" t="inlineStr">
        <is>
          <t>2026-09-10 23:00:00</t>
        </is>
      </c>
      <c r="V569" s="4" t="inlineStr">
        <is>
          <t>Energia mensual entregada al SINP.</t>
        </is>
      </c>
    </row>
    <row r="570">
      <c r="A570" s="6" t="inlineStr">
        <is>
          <t>R0000569</t>
        </is>
      </c>
      <c r="B570" s="6" t="inlineStr">
        <is>
          <t>2006-01-01</t>
        </is>
      </c>
      <c r="C570" s="6" t="inlineStr">
        <is>
          <t>2006-01-31</t>
        </is>
      </c>
      <c r="D570" s="6" t="inlineStr">
        <is>
          <t>month</t>
        </is>
      </c>
      <c r="E570" s="6" t="inlineStr">
        <is>
          <t>YACYRETA_NET_ENERGY</t>
        </is>
      </c>
      <c r="F570" s="6" t="inlineStr">
        <is>
          <t>YACYRETA</t>
        </is>
      </c>
      <c r="G570" s="6" t="inlineStr">
        <is>
          <t>YACYRETA</t>
        </is>
      </c>
      <c r="H570" s="6" t="inlineStr">
        <is>
          <t>TOTAL</t>
        </is>
      </c>
      <c r="I570" s="8" t="n">
        <v>1150759</v>
      </c>
      <c r="J570" s="6" t="inlineStr">
        <is>
          <t>MWh</t>
        </is>
      </c>
      <c r="K570" s="8" t="n">
        <v>1150759</v>
      </c>
      <c r="L570" s="6" t="inlineStr">
        <is>
          <t>MWh</t>
        </is>
      </c>
      <c r="M570" s="6" t="inlineStr">
        <is>
          <t>EBY</t>
        </is>
      </c>
      <c r="N570" s="6" t="inlineStr">
        <is>
          <t>OFFICIAL_PRIMARY</t>
        </is>
      </c>
      <c r="O570" s="9" t="inlineStr">
        <is>
          <t>OFFICIAL_AGGREGATE</t>
        </is>
      </c>
      <c r="P570" s="8" t="n">
        <v>1</v>
      </c>
      <c r="Q570" s="8" t="n">
        <v>50</v>
      </c>
      <c r="R570" s="7" t="inlineStr">
        <is>
          <t>https://www.eby.gov.py/wp-content/uploads/2019/12/YacyretaEnergiasMensualesDesdePuestaenMarcha.pdf</t>
        </is>
      </c>
      <c r="S570" s="6" t="inlineStr">
        <is>
          <t>EBY-MONTHLY-1994-2012</t>
        </is>
      </c>
      <c r="T570" s="6" t="inlineStr"/>
      <c r="U570" s="4" t="inlineStr">
        <is>
          <t>2026-09-10 23:00:00</t>
        </is>
      </c>
      <c r="V570" s="4" t="inlineStr">
        <is>
          <t>Energia mensual Yacyreta desde puesta en marcha.</t>
        </is>
      </c>
    </row>
    <row r="571">
      <c r="A571" s="6" t="inlineStr">
        <is>
          <t>R0000570</t>
        </is>
      </c>
      <c r="B571" s="6" t="inlineStr">
        <is>
          <t>2006-01-01</t>
        </is>
      </c>
      <c r="C571" s="6" t="inlineStr">
        <is>
          <t>2006-01-31</t>
        </is>
      </c>
      <c r="D571" s="6" t="inlineStr">
        <is>
          <t>month</t>
        </is>
      </c>
      <c r="E571" s="6" t="inlineStr">
        <is>
          <t>ENERGY_TO_ARGENTINA</t>
        </is>
      </c>
      <c r="F571" s="6" t="inlineStr">
        <is>
          <t>YACYRETA</t>
        </is>
      </c>
      <c r="G571" s="6" t="inlineStr">
        <is>
          <t>YACYRETA</t>
        </is>
      </c>
      <c r="H571" s="6" t="inlineStr">
        <is>
          <t>SADI</t>
        </is>
      </c>
      <c r="I571" s="8" t="n">
        <v>1062716</v>
      </c>
      <c r="J571" s="6" t="inlineStr">
        <is>
          <t>MWh</t>
        </is>
      </c>
      <c r="K571" s="8" t="n">
        <v>1062716</v>
      </c>
      <c r="L571" s="6" t="inlineStr">
        <is>
          <t>MWh</t>
        </is>
      </c>
      <c r="M571" s="6" t="inlineStr">
        <is>
          <t>EBY</t>
        </is>
      </c>
      <c r="N571" s="6" t="inlineStr">
        <is>
          <t>OFFICIAL_PRIMARY</t>
        </is>
      </c>
      <c r="O571" s="9" t="inlineStr">
        <is>
          <t>OFFICIAL_AGGREGATE</t>
        </is>
      </c>
      <c r="P571" s="8" t="n">
        <v>1</v>
      </c>
      <c r="Q571" s="8" t="n">
        <v>50</v>
      </c>
      <c r="R571" s="7" t="inlineStr">
        <is>
          <t>https://www.eby.gov.py/wp-content/uploads/2019/12/YacyretaEnergiasMensualesDesdePuestaenMarcha.pdf</t>
        </is>
      </c>
      <c r="S571" s="6" t="inlineStr">
        <is>
          <t>EBY-MONTHLY-1994-2012</t>
        </is>
      </c>
      <c r="T571" s="6" t="inlineStr"/>
      <c r="U571" s="4" t="inlineStr">
        <is>
          <t>2026-09-10 23:00:00</t>
        </is>
      </c>
      <c r="V571" s="4" t="inlineStr">
        <is>
          <t>Energia mensual entregada al SADI.</t>
        </is>
      </c>
    </row>
    <row r="572">
      <c r="A572" s="6" t="inlineStr">
        <is>
          <t>R0000571</t>
        </is>
      </c>
      <c r="B572" s="6" t="inlineStr">
        <is>
          <t>2006-01-01</t>
        </is>
      </c>
      <c r="C572" s="6" t="inlineStr">
        <is>
          <t>2006-01-31</t>
        </is>
      </c>
      <c r="D572" s="6" t="inlineStr">
        <is>
          <t>month</t>
        </is>
      </c>
      <c r="E572" s="6" t="inlineStr">
        <is>
          <t>ENERGY_TO_PY</t>
        </is>
      </c>
      <c r="F572" s="6" t="inlineStr">
        <is>
          <t>YACYRETA</t>
        </is>
      </c>
      <c r="G572" s="6" t="inlineStr">
        <is>
          <t>YACYRETA</t>
        </is>
      </c>
      <c r="H572" s="6" t="inlineStr">
        <is>
          <t>SINP</t>
        </is>
      </c>
      <c r="I572" s="8" t="n">
        <v>88043</v>
      </c>
      <c r="J572" s="6" t="inlineStr">
        <is>
          <t>MWh</t>
        </is>
      </c>
      <c r="K572" s="8" t="n">
        <v>88043</v>
      </c>
      <c r="L572" s="6" t="inlineStr">
        <is>
          <t>MWh</t>
        </is>
      </c>
      <c r="M572" s="6" t="inlineStr">
        <is>
          <t>EBY</t>
        </is>
      </c>
      <c r="N572" s="6" t="inlineStr">
        <is>
          <t>OFFICIAL_PRIMARY</t>
        </is>
      </c>
      <c r="O572" s="9" t="inlineStr">
        <is>
          <t>OFFICIAL_AGGREGATE</t>
        </is>
      </c>
      <c r="P572" s="8" t="n">
        <v>1</v>
      </c>
      <c r="Q572" s="8" t="n">
        <v>50</v>
      </c>
      <c r="R572" s="7" t="inlineStr">
        <is>
          <t>https://www.eby.gov.py/wp-content/uploads/2019/12/YacyretaEnergiasMensualesDesdePuestaenMarcha.pdf</t>
        </is>
      </c>
      <c r="S572" s="6" t="inlineStr">
        <is>
          <t>EBY-MONTHLY-1994-2012</t>
        </is>
      </c>
      <c r="T572" s="6" t="inlineStr"/>
      <c r="U572" s="4" t="inlineStr">
        <is>
          <t>2026-09-10 23:00:00</t>
        </is>
      </c>
      <c r="V572" s="4" t="inlineStr">
        <is>
          <t>Energia mensual entregada al SINP.</t>
        </is>
      </c>
    </row>
    <row r="573">
      <c r="A573" s="6" t="inlineStr">
        <is>
          <t>R0000572</t>
        </is>
      </c>
      <c r="B573" s="6" t="inlineStr">
        <is>
          <t>2006-02-01</t>
        </is>
      </c>
      <c r="C573" s="6" t="inlineStr">
        <is>
          <t>2006-02-28</t>
        </is>
      </c>
      <c r="D573" s="6" t="inlineStr">
        <is>
          <t>month</t>
        </is>
      </c>
      <c r="E573" s="6" t="inlineStr">
        <is>
          <t>YACYRETA_NET_ENERGY</t>
        </is>
      </c>
      <c r="F573" s="6" t="inlineStr">
        <is>
          <t>YACYRETA</t>
        </is>
      </c>
      <c r="G573" s="6" t="inlineStr">
        <is>
          <t>YACYRETA</t>
        </is>
      </c>
      <c r="H573" s="6" t="inlineStr">
        <is>
          <t>TOTAL</t>
        </is>
      </c>
      <c r="I573" s="8" t="n">
        <v>928595</v>
      </c>
      <c r="J573" s="6" t="inlineStr">
        <is>
          <t>MWh</t>
        </is>
      </c>
      <c r="K573" s="8" t="n">
        <v>928595</v>
      </c>
      <c r="L573" s="6" t="inlineStr">
        <is>
          <t>MWh</t>
        </is>
      </c>
      <c r="M573" s="6" t="inlineStr">
        <is>
          <t>EBY</t>
        </is>
      </c>
      <c r="N573" s="6" t="inlineStr">
        <is>
          <t>OFFICIAL_PRIMARY</t>
        </is>
      </c>
      <c r="O573" s="9" t="inlineStr">
        <is>
          <t>OFFICIAL_AGGREGATE</t>
        </is>
      </c>
      <c r="P573" s="8" t="n">
        <v>1</v>
      </c>
      <c r="Q573" s="8" t="n">
        <v>50</v>
      </c>
      <c r="R573" s="7" t="inlineStr">
        <is>
          <t>https://www.eby.gov.py/wp-content/uploads/2019/12/YacyretaEnergiasMensualesDesdePuestaenMarcha.pdf</t>
        </is>
      </c>
      <c r="S573" s="6" t="inlineStr">
        <is>
          <t>EBY-MONTHLY-1994-2012</t>
        </is>
      </c>
      <c r="T573" s="6" t="inlineStr"/>
      <c r="U573" s="4" t="inlineStr">
        <is>
          <t>2026-09-10 23:00:00</t>
        </is>
      </c>
      <c r="V573" s="4" t="inlineStr">
        <is>
          <t>Energia mensual Yacyreta desde puesta en marcha.</t>
        </is>
      </c>
    </row>
    <row r="574">
      <c r="A574" s="6" t="inlineStr">
        <is>
          <t>R0000573</t>
        </is>
      </c>
      <c r="B574" s="6" t="inlineStr">
        <is>
          <t>2006-02-01</t>
        </is>
      </c>
      <c r="C574" s="6" t="inlineStr">
        <is>
          <t>2006-02-28</t>
        </is>
      </c>
      <c r="D574" s="6" t="inlineStr">
        <is>
          <t>month</t>
        </is>
      </c>
      <c r="E574" s="6" t="inlineStr">
        <is>
          <t>ENERGY_TO_ARGENTINA</t>
        </is>
      </c>
      <c r="F574" s="6" t="inlineStr">
        <is>
          <t>YACYRETA</t>
        </is>
      </c>
      <c r="G574" s="6" t="inlineStr">
        <is>
          <t>YACYRETA</t>
        </is>
      </c>
      <c r="H574" s="6" t="inlineStr">
        <is>
          <t>SADI</t>
        </is>
      </c>
      <c r="I574" s="8" t="n">
        <v>869950</v>
      </c>
      <c r="J574" s="6" t="inlineStr">
        <is>
          <t>MWh</t>
        </is>
      </c>
      <c r="K574" s="8" t="n">
        <v>869950</v>
      </c>
      <c r="L574" s="6" t="inlineStr">
        <is>
          <t>MWh</t>
        </is>
      </c>
      <c r="M574" s="6" t="inlineStr">
        <is>
          <t>EBY</t>
        </is>
      </c>
      <c r="N574" s="6" t="inlineStr">
        <is>
          <t>OFFICIAL_PRIMARY</t>
        </is>
      </c>
      <c r="O574" s="9" t="inlineStr">
        <is>
          <t>OFFICIAL_AGGREGATE</t>
        </is>
      </c>
      <c r="P574" s="8" t="n">
        <v>1</v>
      </c>
      <c r="Q574" s="8" t="n">
        <v>50</v>
      </c>
      <c r="R574" s="7" t="inlineStr">
        <is>
          <t>https://www.eby.gov.py/wp-content/uploads/2019/12/YacyretaEnergiasMensualesDesdePuestaenMarcha.pdf</t>
        </is>
      </c>
      <c r="S574" s="6" t="inlineStr">
        <is>
          <t>EBY-MONTHLY-1994-2012</t>
        </is>
      </c>
      <c r="T574" s="6" t="inlineStr"/>
      <c r="U574" s="4" t="inlineStr">
        <is>
          <t>2026-09-10 23:00:00</t>
        </is>
      </c>
      <c r="V574" s="4" t="inlineStr">
        <is>
          <t>Energia mensual entregada al SADI.</t>
        </is>
      </c>
    </row>
    <row r="575">
      <c r="A575" s="6" t="inlineStr">
        <is>
          <t>R0000574</t>
        </is>
      </c>
      <c r="B575" s="6" t="inlineStr">
        <is>
          <t>2006-02-01</t>
        </is>
      </c>
      <c r="C575" s="6" t="inlineStr">
        <is>
          <t>2006-02-28</t>
        </is>
      </c>
      <c r="D575" s="6" t="inlineStr">
        <is>
          <t>month</t>
        </is>
      </c>
      <c r="E575" s="6" t="inlineStr">
        <is>
          <t>ENERGY_TO_PY</t>
        </is>
      </c>
      <c r="F575" s="6" t="inlineStr">
        <is>
          <t>YACYRETA</t>
        </is>
      </c>
      <c r="G575" s="6" t="inlineStr">
        <is>
          <t>YACYRETA</t>
        </is>
      </c>
      <c r="H575" s="6" t="inlineStr">
        <is>
          <t>SINP</t>
        </is>
      </c>
      <c r="I575" s="8" t="n">
        <v>58645</v>
      </c>
      <c r="J575" s="6" t="inlineStr">
        <is>
          <t>MWh</t>
        </is>
      </c>
      <c r="K575" s="8" t="n">
        <v>58645</v>
      </c>
      <c r="L575" s="6" t="inlineStr">
        <is>
          <t>MWh</t>
        </is>
      </c>
      <c r="M575" s="6" t="inlineStr">
        <is>
          <t>EBY</t>
        </is>
      </c>
      <c r="N575" s="6" t="inlineStr">
        <is>
          <t>OFFICIAL_PRIMARY</t>
        </is>
      </c>
      <c r="O575" s="9" t="inlineStr">
        <is>
          <t>OFFICIAL_AGGREGATE</t>
        </is>
      </c>
      <c r="P575" s="8" t="n">
        <v>1</v>
      </c>
      <c r="Q575" s="8" t="n">
        <v>50</v>
      </c>
      <c r="R575" s="7" t="inlineStr">
        <is>
          <t>https://www.eby.gov.py/wp-content/uploads/2019/12/YacyretaEnergiasMensualesDesdePuestaenMarcha.pdf</t>
        </is>
      </c>
      <c r="S575" s="6" t="inlineStr">
        <is>
          <t>EBY-MONTHLY-1994-2012</t>
        </is>
      </c>
      <c r="T575" s="6" t="inlineStr"/>
      <c r="U575" s="4" t="inlineStr">
        <is>
          <t>2026-09-10 23:00:00</t>
        </is>
      </c>
      <c r="V575" s="4" t="inlineStr">
        <is>
          <t>Energia mensual entregada al SINP.</t>
        </is>
      </c>
    </row>
    <row r="576">
      <c r="A576" s="6" t="inlineStr">
        <is>
          <t>R0000575</t>
        </is>
      </c>
      <c r="B576" s="6" t="inlineStr">
        <is>
          <t>2006-03-01</t>
        </is>
      </c>
      <c r="C576" s="6" t="inlineStr">
        <is>
          <t>2006-03-31</t>
        </is>
      </c>
      <c r="D576" s="6" t="inlineStr">
        <is>
          <t>month</t>
        </is>
      </c>
      <c r="E576" s="6" t="inlineStr">
        <is>
          <t>YACYRETA_NET_ENERGY</t>
        </is>
      </c>
      <c r="F576" s="6" t="inlineStr">
        <is>
          <t>YACYRETA</t>
        </is>
      </c>
      <c r="G576" s="6" t="inlineStr">
        <is>
          <t>YACYRETA</t>
        </is>
      </c>
      <c r="H576" s="6" t="inlineStr">
        <is>
          <t>TOTAL</t>
        </is>
      </c>
      <c r="I576" s="8" t="n">
        <v>1214148</v>
      </c>
      <c r="J576" s="6" t="inlineStr">
        <is>
          <t>MWh</t>
        </is>
      </c>
      <c r="K576" s="8" t="n">
        <v>1214148</v>
      </c>
      <c r="L576" s="6" t="inlineStr">
        <is>
          <t>MWh</t>
        </is>
      </c>
      <c r="M576" s="6" t="inlineStr">
        <is>
          <t>EBY</t>
        </is>
      </c>
      <c r="N576" s="6" t="inlineStr">
        <is>
          <t>OFFICIAL_PRIMARY</t>
        </is>
      </c>
      <c r="O576" s="9" t="inlineStr">
        <is>
          <t>OFFICIAL_AGGREGATE</t>
        </is>
      </c>
      <c r="P576" s="8" t="n">
        <v>1</v>
      </c>
      <c r="Q576" s="8" t="n">
        <v>50</v>
      </c>
      <c r="R576" s="7" t="inlineStr">
        <is>
          <t>https://www.eby.gov.py/wp-content/uploads/2019/12/YacyretaEnergiasMensualesDesdePuestaenMarcha.pdf</t>
        </is>
      </c>
      <c r="S576" s="6" t="inlineStr">
        <is>
          <t>EBY-MONTHLY-1994-2012</t>
        </is>
      </c>
      <c r="T576" s="6" t="inlineStr"/>
      <c r="U576" s="4" t="inlineStr">
        <is>
          <t>2026-09-10 23:00:00</t>
        </is>
      </c>
      <c r="V576" s="4" t="inlineStr">
        <is>
          <t>Energia mensual Yacyreta desde puesta en marcha.</t>
        </is>
      </c>
    </row>
    <row r="577">
      <c r="A577" s="6" t="inlineStr">
        <is>
          <t>R0000576</t>
        </is>
      </c>
      <c r="B577" s="6" t="inlineStr">
        <is>
          <t>2006-03-01</t>
        </is>
      </c>
      <c r="C577" s="6" t="inlineStr">
        <is>
          <t>2006-03-31</t>
        </is>
      </c>
      <c r="D577" s="6" t="inlineStr">
        <is>
          <t>month</t>
        </is>
      </c>
      <c r="E577" s="6" t="inlineStr">
        <is>
          <t>ENERGY_TO_ARGENTINA</t>
        </is>
      </c>
      <c r="F577" s="6" t="inlineStr">
        <is>
          <t>YACYRETA</t>
        </is>
      </c>
      <c r="G577" s="6" t="inlineStr">
        <is>
          <t>YACYRETA</t>
        </is>
      </c>
      <c r="H577" s="6" t="inlineStr">
        <is>
          <t>SADI</t>
        </is>
      </c>
      <c r="I577" s="8" t="n">
        <v>1126726</v>
      </c>
      <c r="J577" s="6" t="inlineStr">
        <is>
          <t>MWh</t>
        </is>
      </c>
      <c r="K577" s="8" t="n">
        <v>1126726</v>
      </c>
      <c r="L577" s="6" t="inlineStr">
        <is>
          <t>MWh</t>
        </is>
      </c>
      <c r="M577" s="6" t="inlineStr">
        <is>
          <t>EBY</t>
        </is>
      </c>
      <c r="N577" s="6" t="inlineStr">
        <is>
          <t>OFFICIAL_PRIMARY</t>
        </is>
      </c>
      <c r="O577" s="9" t="inlineStr">
        <is>
          <t>OFFICIAL_AGGREGATE</t>
        </is>
      </c>
      <c r="P577" s="8" t="n">
        <v>1</v>
      </c>
      <c r="Q577" s="8" t="n">
        <v>50</v>
      </c>
      <c r="R577" s="7" t="inlineStr">
        <is>
          <t>https://www.eby.gov.py/wp-content/uploads/2019/12/YacyretaEnergiasMensualesDesdePuestaenMarcha.pdf</t>
        </is>
      </c>
      <c r="S577" s="6" t="inlineStr">
        <is>
          <t>EBY-MONTHLY-1994-2012</t>
        </is>
      </c>
      <c r="T577" s="6" t="inlineStr"/>
      <c r="U577" s="4" t="inlineStr">
        <is>
          <t>2026-09-10 23:00:00</t>
        </is>
      </c>
      <c r="V577" s="4" t="inlineStr">
        <is>
          <t>Energia mensual entregada al SADI.</t>
        </is>
      </c>
    </row>
    <row r="578">
      <c r="A578" s="6" t="inlineStr">
        <is>
          <t>R0000577</t>
        </is>
      </c>
      <c r="B578" s="6" t="inlineStr">
        <is>
          <t>2006-03-01</t>
        </is>
      </c>
      <c r="C578" s="6" t="inlineStr">
        <is>
          <t>2006-03-31</t>
        </is>
      </c>
      <c r="D578" s="6" t="inlineStr">
        <is>
          <t>month</t>
        </is>
      </c>
      <c r="E578" s="6" t="inlineStr">
        <is>
          <t>ENERGY_TO_PY</t>
        </is>
      </c>
      <c r="F578" s="6" t="inlineStr">
        <is>
          <t>YACYRETA</t>
        </is>
      </c>
      <c r="G578" s="6" t="inlineStr">
        <is>
          <t>YACYRETA</t>
        </is>
      </c>
      <c r="H578" s="6" t="inlineStr">
        <is>
          <t>SINP</t>
        </is>
      </c>
      <c r="I578" s="8" t="n">
        <v>87422</v>
      </c>
      <c r="J578" s="6" t="inlineStr">
        <is>
          <t>MWh</t>
        </is>
      </c>
      <c r="K578" s="8" t="n">
        <v>87422</v>
      </c>
      <c r="L578" s="6" t="inlineStr">
        <is>
          <t>MWh</t>
        </is>
      </c>
      <c r="M578" s="6" t="inlineStr">
        <is>
          <t>EBY</t>
        </is>
      </c>
      <c r="N578" s="6" t="inlineStr">
        <is>
          <t>OFFICIAL_PRIMARY</t>
        </is>
      </c>
      <c r="O578" s="9" t="inlineStr">
        <is>
          <t>OFFICIAL_AGGREGATE</t>
        </is>
      </c>
      <c r="P578" s="8" t="n">
        <v>1</v>
      </c>
      <c r="Q578" s="8" t="n">
        <v>50</v>
      </c>
      <c r="R578" s="7" t="inlineStr">
        <is>
          <t>https://www.eby.gov.py/wp-content/uploads/2019/12/YacyretaEnergiasMensualesDesdePuestaenMarcha.pdf</t>
        </is>
      </c>
      <c r="S578" s="6" t="inlineStr">
        <is>
          <t>EBY-MONTHLY-1994-2012</t>
        </is>
      </c>
      <c r="T578" s="6" t="inlineStr"/>
      <c r="U578" s="4" t="inlineStr">
        <is>
          <t>2026-09-10 23:00:00</t>
        </is>
      </c>
      <c r="V578" s="4" t="inlineStr">
        <is>
          <t>Energia mensual entregada al SINP.</t>
        </is>
      </c>
    </row>
    <row r="579">
      <c r="A579" s="6" t="inlineStr">
        <is>
          <t>R0000578</t>
        </is>
      </c>
      <c r="B579" s="6" t="inlineStr">
        <is>
          <t>2006-04-01</t>
        </is>
      </c>
      <c r="C579" s="6" t="inlineStr">
        <is>
          <t>2006-04-30</t>
        </is>
      </c>
      <c r="D579" s="6" t="inlineStr">
        <is>
          <t>month</t>
        </is>
      </c>
      <c r="E579" s="6" t="inlineStr">
        <is>
          <t>YACYRETA_NET_ENERGY</t>
        </is>
      </c>
      <c r="F579" s="6" t="inlineStr">
        <is>
          <t>YACYRETA</t>
        </is>
      </c>
      <c r="G579" s="6" t="inlineStr">
        <is>
          <t>YACYRETA</t>
        </is>
      </c>
      <c r="H579" s="6" t="inlineStr">
        <is>
          <t>TOTAL</t>
        </is>
      </c>
      <c r="I579" s="8" t="n">
        <v>1177880</v>
      </c>
      <c r="J579" s="6" t="inlineStr">
        <is>
          <t>MWh</t>
        </is>
      </c>
      <c r="K579" s="8" t="n">
        <v>1177880</v>
      </c>
      <c r="L579" s="6" t="inlineStr">
        <is>
          <t>MWh</t>
        </is>
      </c>
      <c r="M579" s="6" t="inlineStr">
        <is>
          <t>EBY</t>
        </is>
      </c>
      <c r="N579" s="6" t="inlineStr">
        <is>
          <t>OFFICIAL_PRIMARY</t>
        </is>
      </c>
      <c r="O579" s="9" t="inlineStr">
        <is>
          <t>OFFICIAL_AGGREGATE</t>
        </is>
      </c>
      <c r="P579" s="8" t="n">
        <v>1</v>
      </c>
      <c r="Q579" s="8" t="n">
        <v>50</v>
      </c>
      <c r="R579" s="7" t="inlineStr">
        <is>
          <t>https://www.eby.gov.py/wp-content/uploads/2019/12/YacyretaEnergiasMensualesDesdePuestaenMarcha.pdf</t>
        </is>
      </c>
      <c r="S579" s="6" t="inlineStr">
        <is>
          <t>EBY-MONTHLY-1994-2012</t>
        </is>
      </c>
      <c r="T579" s="6" t="inlineStr"/>
      <c r="U579" s="4" t="inlineStr">
        <is>
          <t>2026-09-10 23:00:00</t>
        </is>
      </c>
      <c r="V579" s="4" t="inlineStr">
        <is>
          <t>Energia mensual Yacyreta desde puesta en marcha.</t>
        </is>
      </c>
    </row>
    <row r="580">
      <c r="A580" s="6" t="inlineStr">
        <is>
          <t>R0000579</t>
        </is>
      </c>
      <c r="B580" s="6" t="inlineStr">
        <is>
          <t>2006-04-01</t>
        </is>
      </c>
      <c r="C580" s="6" t="inlineStr">
        <is>
          <t>2006-04-30</t>
        </is>
      </c>
      <c r="D580" s="6" t="inlineStr">
        <is>
          <t>month</t>
        </is>
      </c>
      <c r="E580" s="6" t="inlineStr">
        <is>
          <t>ENERGY_TO_ARGENTINA</t>
        </is>
      </c>
      <c r="F580" s="6" t="inlineStr">
        <is>
          <t>YACYRETA</t>
        </is>
      </c>
      <c r="G580" s="6" t="inlineStr">
        <is>
          <t>YACYRETA</t>
        </is>
      </c>
      <c r="H580" s="6" t="inlineStr">
        <is>
          <t>SADI</t>
        </is>
      </c>
      <c r="I580" s="8" t="n">
        <v>1150710</v>
      </c>
      <c r="J580" s="6" t="inlineStr">
        <is>
          <t>MWh</t>
        </is>
      </c>
      <c r="K580" s="8" t="n">
        <v>1150710</v>
      </c>
      <c r="L580" s="6" t="inlineStr">
        <is>
          <t>MWh</t>
        </is>
      </c>
      <c r="M580" s="6" t="inlineStr">
        <is>
          <t>EBY</t>
        </is>
      </c>
      <c r="N580" s="6" t="inlineStr">
        <is>
          <t>OFFICIAL_PRIMARY</t>
        </is>
      </c>
      <c r="O580" s="9" t="inlineStr">
        <is>
          <t>OFFICIAL_AGGREGATE</t>
        </is>
      </c>
      <c r="P580" s="8" t="n">
        <v>1</v>
      </c>
      <c r="Q580" s="8" t="n">
        <v>50</v>
      </c>
      <c r="R580" s="7" t="inlineStr">
        <is>
          <t>https://www.eby.gov.py/wp-content/uploads/2019/12/YacyretaEnergiasMensualesDesdePuestaenMarcha.pdf</t>
        </is>
      </c>
      <c r="S580" s="6" t="inlineStr">
        <is>
          <t>EBY-MONTHLY-1994-2012</t>
        </is>
      </c>
      <c r="T580" s="6" t="inlineStr"/>
      <c r="U580" s="4" t="inlineStr">
        <is>
          <t>2026-09-10 23:00:00</t>
        </is>
      </c>
      <c r="V580" s="4" t="inlineStr">
        <is>
          <t>Energia mensual entregada al SADI.</t>
        </is>
      </c>
    </row>
    <row r="581">
      <c r="A581" s="6" t="inlineStr">
        <is>
          <t>R0000580</t>
        </is>
      </c>
      <c r="B581" s="6" t="inlineStr">
        <is>
          <t>2006-04-01</t>
        </is>
      </c>
      <c r="C581" s="6" t="inlineStr">
        <is>
          <t>2006-04-30</t>
        </is>
      </c>
      <c r="D581" s="6" t="inlineStr">
        <is>
          <t>month</t>
        </is>
      </c>
      <c r="E581" s="6" t="inlineStr">
        <is>
          <t>ENERGY_TO_PY</t>
        </is>
      </c>
      <c r="F581" s="6" t="inlineStr">
        <is>
          <t>YACYRETA</t>
        </is>
      </c>
      <c r="G581" s="6" t="inlineStr">
        <is>
          <t>YACYRETA</t>
        </is>
      </c>
      <c r="H581" s="6" t="inlineStr">
        <is>
          <t>SINP</t>
        </is>
      </c>
      <c r="I581" s="8" t="n">
        <v>27170</v>
      </c>
      <c r="J581" s="6" t="inlineStr">
        <is>
          <t>MWh</t>
        </is>
      </c>
      <c r="K581" s="8" t="n">
        <v>27170</v>
      </c>
      <c r="L581" s="6" t="inlineStr">
        <is>
          <t>MWh</t>
        </is>
      </c>
      <c r="M581" s="6" t="inlineStr">
        <is>
          <t>EBY</t>
        </is>
      </c>
      <c r="N581" s="6" t="inlineStr">
        <is>
          <t>OFFICIAL_PRIMARY</t>
        </is>
      </c>
      <c r="O581" s="9" t="inlineStr">
        <is>
          <t>OFFICIAL_AGGREGATE</t>
        </is>
      </c>
      <c r="P581" s="8" t="n">
        <v>1</v>
      </c>
      <c r="Q581" s="8" t="n">
        <v>50</v>
      </c>
      <c r="R581" s="7" t="inlineStr">
        <is>
          <t>https://www.eby.gov.py/wp-content/uploads/2019/12/YacyretaEnergiasMensualesDesdePuestaenMarcha.pdf</t>
        </is>
      </c>
      <c r="S581" s="6" t="inlineStr">
        <is>
          <t>EBY-MONTHLY-1994-2012</t>
        </is>
      </c>
      <c r="T581" s="6" t="inlineStr"/>
      <c r="U581" s="4" t="inlineStr">
        <is>
          <t>2026-09-10 23:00:00</t>
        </is>
      </c>
      <c r="V581" s="4" t="inlineStr">
        <is>
          <t>Energia mensual entregada al SINP.</t>
        </is>
      </c>
    </row>
    <row r="582">
      <c r="A582" s="6" t="inlineStr">
        <is>
          <t>R0000581</t>
        </is>
      </c>
      <c r="B582" s="6" t="inlineStr">
        <is>
          <t>2006-05-01</t>
        </is>
      </c>
      <c r="C582" s="6" t="inlineStr">
        <is>
          <t>2006-05-31</t>
        </is>
      </c>
      <c r="D582" s="6" t="inlineStr">
        <is>
          <t>month</t>
        </is>
      </c>
      <c r="E582" s="6" t="inlineStr">
        <is>
          <t>YACYRETA_NET_ENERGY</t>
        </is>
      </c>
      <c r="F582" s="6" t="inlineStr">
        <is>
          <t>YACYRETA</t>
        </is>
      </c>
      <c r="G582" s="6" t="inlineStr">
        <is>
          <t>YACYRETA</t>
        </is>
      </c>
      <c r="H582" s="6" t="inlineStr">
        <is>
          <t>TOTAL</t>
        </is>
      </c>
      <c r="I582" s="8" t="n">
        <v>1046358</v>
      </c>
      <c r="J582" s="6" t="inlineStr">
        <is>
          <t>MWh</t>
        </is>
      </c>
      <c r="K582" s="8" t="n">
        <v>1046358</v>
      </c>
      <c r="L582" s="6" t="inlineStr">
        <is>
          <t>MWh</t>
        </is>
      </c>
      <c r="M582" s="6" t="inlineStr">
        <is>
          <t>EBY</t>
        </is>
      </c>
      <c r="N582" s="6" t="inlineStr">
        <is>
          <t>OFFICIAL_PRIMARY</t>
        </is>
      </c>
      <c r="O582" s="9" t="inlineStr">
        <is>
          <t>OFFICIAL_AGGREGATE</t>
        </is>
      </c>
      <c r="P582" s="8" t="n">
        <v>1</v>
      </c>
      <c r="Q582" s="8" t="n">
        <v>50</v>
      </c>
      <c r="R582" s="7" t="inlineStr">
        <is>
          <t>https://www.eby.gov.py/wp-content/uploads/2019/12/YacyretaEnergiasMensualesDesdePuestaenMarcha.pdf</t>
        </is>
      </c>
      <c r="S582" s="6" t="inlineStr">
        <is>
          <t>EBY-MONTHLY-1994-2012</t>
        </is>
      </c>
      <c r="T582" s="6" t="inlineStr"/>
      <c r="U582" s="4" t="inlineStr">
        <is>
          <t>2026-09-10 23:00:00</t>
        </is>
      </c>
      <c r="V582" s="4" t="inlineStr">
        <is>
          <t>Energia mensual Yacyreta desde puesta en marcha.</t>
        </is>
      </c>
    </row>
    <row r="583">
      <c r="A583" s="6" t="inlineStr">
        <is>
          <t>R0000582</t>
        </is>
      </c>
      <c r="B583" s="6" t="inlineStr">
        <is>
          <t>2006-05-01</t>
        </is>
      </c>
      <c r="C583" s="6" t="inlineStr">
        <is>
          <t>2006-05-31</t>
        </is>
      </c>
      <c r="D583" s="6" t="inlineStr">
        <is>
          <t>month</t>
        </is>
      </c>
      <c r="E583" s="6" t="inlineStr">
        <is>
          <t>ENERGY_TO_ARGENTINA</t>
        </is>
      </c>
      <c r="F583" s="6" t="inlineStr">
        <is>
          <t>YACYRETA</t>
        </is>
      </c>
      <c r="G583" s="6" t="inlineStr">
        <is>
          <t>YACYRETA</t>
        </is>
      </c>
      <c r="H583" s="6" t="inlineStr">
        <is>
          <t>SADI</t>
        </is>
      </c>
      <c r="I583" s="8" t="n">
        <v>1035996</v>
      </c>
      <c r="J583" s="6" t="inlineStr">
        <is>
          <t>MWh</t>
        </is>
      </c>
      <c r="K583" s="8" t="n">
        <v>1035996</v>
      </c>
      <c r="L583" s="6" t="inlineStr">
        <is>
          <t>MWh</t>
        </is>
      </c>
      <c r="M583" s="6" t="inlineStr">
        <is>
          <t>EBY</t>
        </is>
      </c>
      <c r="N583" s="6" t="inlineStr">
        <is>
          <t>OFFICIAL_PRIMARY</t>
        </is>
      </c>
      <c r="O583" s="9" t="inlineStr">
        <is>
          <t>OFFICIAL_AGGREGATE</t>
        </is>
      </c>
      <c r="P583" s="8" t="n">
        <v>1</v>
      </c>
      <c r="Q583" s="8" t="n">
        <v>50</v>
      </c>
      <c r="R583" s="7" t="inlineStr">
        <is>
          <t>https://www.eby.gov.py/wp-content/uploads/2019/12/YacyretaEnergiasMensualesDesdePuestaenMarcha.pdf</t>
        </is>
      </c>
      <c r="S583" s="6" t="inlineStr">
        <is>
          <t>EBY-MONTHLY-1994-2012</t>
        </is>
      </c>
      <c r="T583" s="6" t="inlineStr"/>
      <c r="U583" s="4" t="inlineStr">
        <is>
          <t>2026-09-10 23:00:00</t>
        </is>
      </c>
      <c r="V583" s="4" t="inlineStr">
        <is>
          <t>Energia mensual entregada al SADI.</t>
        </is>
      </c>
    </row>
    <row r="584">
      <c r="A584" s="6" t="inlineStr">
        <is>
          <t>R0000583</t>
        </is>
      </c>
      <c r="B584" s="6" t="inlineStr">
        <is>
          <t>2006-05-01</t>
        </is>
      </c>
      <c r="C584" s="6" t="inlineStr">
        <is>
          <t>2006-05-31</t>
        </is>
      </c>
      <c r="D584" s="6" t="inlineStr">
        <is>
          <t>month</t>
        </is>
      </c>
      <c r="E584" s="6" t="inlineStr">
        <is>
          <t>ENERGY_TO_PY</t>
        </is>
      </c>
      <c r="F584" s="6" t="inlineStr">
        <is>
          <t>YACYRETA</t>
        </is>
      </c>
      <c r="G584" s="6" t="inlineStr">
        <is>
          <t>YACYRETA</t>
        </is>
      </c>
      <c r="H584" s="6" t="inlineStr">
        <is>
          <t>SINP</t>
        </is>
      </c>
      <c r="I584" s="8" t="n">
        <v>10362</v>
      </c>
      <c r="J584" s="6" t="inlineStr">
        <is>
          <t>MWh</t>
        </is>
      </c>
      <c r="K584" s="8" t="n">
        <v>10362</v>
      </c>
      <c r="L584" s="6" t="inlineStr">
        <is>
          <t>MWh</t>
        </is>
      </c>
      <c r="M584" s="6" t="inlineStr">
        <is>
          <t>EBY</t>
        </is>
      </c>
      <c r="N584" s="6" t="inlineStr">
        <is>
          <t>OFFICIAL_PRIMARY</t>
        </is>
      </c>
      <c r="O584" s="9" t="inlineStr">
        <is>
          <t>OFFICIAL_AGGREGATE</t>
        </is>
      </c>
      <c r="P584" s="8" t="n">
        <v>1</v>
      </c>
      <c r="Q584" s="8" t="n">
        <v>50</v>
      </c>
      <c r="R584" s="7" t="inlineStr">
        <is>
          <t>https://www.eby.gov.py/wp-content/uploads/2019/12/YacyretaEnergiasMensualesDesdePuestaenMarcha.pdf</t>
        </is>
      </c>
      <c r="S584" s="6" t="inlineStr">
        <is>
          <t>EBY-MONTHLY-1994-2012</t>
        </is>
      </c>
      <c r="T584" s="6" t="inlineStr"/>
      <c r="U584" s="4" t="inlineStr">
        <is>
          <t>2026-09-10 23:00:00</t>
        </is>
      </c>
      <c r="V584" s="4" t="inlineStr">
        <is>
          <t>Energia mensual entregada al SINP.</t>
        </is>
      </c>
    </row>
    <row r="585">
      <c r="A585" s="6" t="inlineStr">
        <is>
          <t>R0000584</t>
        </is>
      </c>
      <c r="B585" s="6" t="inlineStr">
        <is>
          <t>2006-06-01</t>
        </is>
      </c>
      <c r="C585" s="6" t="inlineStr">
        <is>
          <t>2006-06-30</t>
        </is>
      </c>
      <c r="D585" s="6" t="inlineStr">
        <is>
          <t>month</t>
        </is>
      </c>
      <c r="E585" s="6" t="inlineStr">
        <is>
          <t>YACYRETA_NET_ENERGY</t>
        </is>
      </c>
      <c r="F585" s="6" t="inlineStr">
        <is>
          <t>YACYRETA</t>
        </is>
      </c>
      <c r="G585" s="6" t="inlineStr">
        <is>
          <t>YACYRETA</t>
        </is>
      </c>
      <c r="H585" s="6" t="inlineStr">
        <is>
          <t>TOTAL</t>
        </is>
      </c>
      <c r="I585" s="8" t="n">
        <v>1023019</v>
      </c>
      <c r="J585" s="6" t="inlineStr">
        <is>
          <t>MWh</t>
        </is>
      </c>
      <c r="K585" s="8" t="n">
        <v>1023019</v>
      </c>
      <c r="L585" s="6" t="inlineStr">
        <is>
          <t>MWh</t>
        </is>
      </c>
      <c r="M585" s="6" t="inlineStr">
        <is>
          <t>EBY</t>
        </is>
      </c>
      <c r="N585" s="6" t="inlineStr">
        <is>
          <t>OFFICIAL_PRIMARY</t>
        </is>
      </c>
      <c r="O585" s="9" t="inlineStr">
        <is>
          <t>OFFICIAL_AGGREGATE</t>
        </is>
      </c>
      <c r="P585" s="8" t="n">
        <v>1</v>
      </c>
      <c r="Q585" s="8" t="n">
        <v>50</v>
      </c>
      <c r="R585" s="7" t="inlineStr">
        <is>
          <t>https://www.eby.gov.py/wp-content/uploads/2019/12/YacyretaEnergiasMensualesDesdePuestaenMarcha.pdf</t>
        </is>
      </c>
      <c r="S585" s="6" t="inlineStr">
        <is>
          <t>EBY-MONTHLY-1994-2012</t>
        </is>
      </c>
      <c r="T585" s="6" t="inlineStr"/>
      <c r="U585" s="4" t="inlineStr">
        <is>
          <t>2026-09-10 23:00:00</t>
        </is>
      </c>
      <c r="V585" s="4" t="inlineStr">
        <is>
          <t>Energia mensual Yacyreta desde puesta en marcha.</t>
        </is>
      </c>
    </row>
    <row r="586">
      <c r="A586" s="6" t="inlineStr">
        <is>
          <t>R0000585</t>
        </is>
      </c>
      <c r="B586" s="6" t="inlineStr">
        <is>
          <t>2006-06-01</t>
        </is>
      </c>
      <c r="C586" s="6" t="inlineStr">
        <is>
          <t>2006-06-30</t>
        </is>
      </c>
      <c r="D586" s="6" t="inlineStr">
        <is>
          <t>month</t>
        </is>
      </c>
      <c r="E586" s="6" t="inlineStr">
        <is>
          <t>ENERGY_TO_ARGENTINA</t>
        </is>
      </c>
      <c r="F586" s="6" t="inlineStr">
        <is>
          <t>YACYRETA</t>
        </is>
      </c>
      <c r="G586" s="6" t="inlineStr">
        <is>
          <t>YACYRETA</t>
        </is>
      </c>
      <c r="H586" s="6" t="inlineStr">
        <is>
          <t>SADI</t>
        </is>
      </c>
      <c r="I586" s="8" t="n">
        <v>997832</v>
      </c>
      <c r="J586" s="6" t="inlineStr">
        <is>
          <t>MWh</t>
        </is>
      </c>
      <c r="K586" s="8" t="n">
        <v>997832</v>
      </c>
      <c r="L586" s="6" t="inlineStr">
        <is>
          <t>MWh</t>
        </is>
      </c>
      <c r="M586" s="6" t="inlineStr">
        <is>
          <t>EBY</t>
        </is>
      </c>
      <c r="N586" s="6" t="inlineStr">
        <is>
          <t>OFFICIAL_PRIMARY</t>
        </is>
      </c>
      <c r="O586" s="9" t="inlineStr">
        <is>
          <t>OFFICIAL_AGGREGATE</t>
        </is>
      </c>
      <c r="P586" s="8" t="n">
        <v>1</v>
      </c>
      <c r="Q586" s="8" t="n">
        <v>50</v>
      </c>
      <c r="R586" s="7" t="inlineStr">
        <is>
          <t>https://www.eby.gov.py/wp-content/uploads/2019/12/YacyretaEnergiasMensualesDesdePuestaenMarcha.pdf</t>
        </is>
      </c>
      <c r="S586" s="6" t="inlineStr">
        <is>
          <t>EBY-MONTHLY-1994-2012</t>
        </is>
      </c>
      <c r="T586" s="6" t="inlineStr"/>
      <c r="U586" s="4" t="inlineStr">
        <is>
          <t>2026-09-10 23:00:00</t>
        </is>
      </c>
      <c r="V586" s="4" t="inlineStr">
        <is>
          <t>Energia mensual entregada al SADI.</t>
        </is>
      </c>
    </row>
    <row r="587">
      <c r="A587" s="6" t="inlineStr">
        <is>
          <t>R0000586</t>
        </is>
      </c>
      <c r="B587" s="6" t="inlineStr">
        <is>
          <t>2006-06-01</t>
        </is>
      </c>
      <c r="C587" s="6" t="inlineStr">
        <is>
          <t>2006-06-30</t>
        </is>
      </c>
      <c r="D587" s="6" t="inlineStr">
        <is>
          <t>month</t>
        </is>
      </c>
      <c r="E587" s="6" t="inlineStr">
        <is>
          <t>ENERGY_TO_PY</t>
        </is>
      </c>
      <c r="F587" s="6" t="inlineStr">
        <is>
          <t>YACYRETA</t>
        </is>
      </c>
      <c r="G587" s="6" t="inlineStr">
        <is>
          <t>YACYRETA</t>
        </is>
      </c>
      <c r="H587" s="6" t="inlineStr">
        <is>
          <t>SINP</t>
        </is>
      </c>
      <c r="I587" s="8" t="n">
        <v>25187</v>
      </c>
      <c r="J587" s="6" t="inlineStr">
        <is>
          <t>MWh</t>
        </is>
      </c>
      <c r="K587" s="8" t="n">
        <v>25187</v>
      </c>
      <c r="L587" s="6" t="inlineStr">
        <is>
          <t>MWh</t>
        </is>
      </c>
      <c r="M587" s="6" t="inlineStr">
        <is>
          <t>EBY</t>
        </is>
      </c>
      <c r="N587" s="6" t="inlineStr">
        <is>
          <t>OFFICIAL_PRIMARY</t>
        </is>
      </c>
      <c r="O587" s="9" t="inlineStr">
        <is>
          <t>OFFICIAL_AGGREGATE</t>
        </is>
      </c>
      <c r="P587" s="8" t="n">
        <v>1</v>
      </c>
      <c r="Q587" s="8" t="n">
        <v>50</v>
      </c>
      <c r="R587" s="7" t="inlineStr">
        <is>
          <t>https://www.eby.gov.py/wp-content/uploads/2019/12/YacyretaEnergiasMensualesDesdePuestaenMarcha.pdf</t>
        </is>
      </c>
      <c r="S587" s="6" t="inlineStr">
        <is>
          <t>EBY-MONTHLY-1994-2012</t>
        </is>
      </c>
      <c r="T587" s="6" t="inlineStr"/>
      <c r="U587" s="4" t="inlineStr">
        <is>
          <t>2026-09-10 23:00:00</t>
        </is>
      </c>
      <c r="V587" s="4" t="inlineStr">
        <is>
          <t>Energia mensual entregada al SINP.</t>
        </is>
      </c>
    </row>
    <row r="588">
      <c r="A588" s="6" t="inlineStr">
        <is>
          <t>R0000587</t>
        </is>
      </c>
      <c r="B588" s="6" t="inlineStr">
        <is>
          <t>2006-07-01</t>
        </is>
      </c>
      <c r="C588" s="6" t="inlineStr">
        <is>
          <t>2006-07-31</t>
        </is>
      </c>
      <c r="D588" s="6" t="inlineStr">
        <is>
          <t>month</t>
        </is>
      </c>
      <c r="E588" s="6" t="inlineStr">
        <is>
          <t>YACYRETA_NET_ENERGY</t>
        </is>
      </c>
      <c r="F588" s="6" t="inlineStr">
        <is>
          <t>YACYRETA</t>
        </is>
      </c>
      <c r="G588" s="6" t="inlineStr">
        <is>
          <t>YACYRETA</t>
        </is>
      </c>
      <c r="H588" s="6" t="inlineStr">
        <is>
          <t>TOTAL</t>
        </is>
      </c>
      <c r="I588" s="8" t="n">
        <v>1025792</v>
      </c>
      <c r="J588" s="6" t="inlineStr">
        <is>
          <t>MWh</t>
        </is>
      </c>
      <c r="K588" s="8" t="n">
        <v>1025792</v>
      </c>
      <c r="L588" s="6" t="inlineStr">
        <is>
          <t>MWh</t>
        </is>
      </c>
      <c r="M588" s="6" t="inlineStr">
        <is>
          <t>EBY</t>
        </is>
      </c>
      <c r="N588" s="6" t="inlineStr">
        <is>
          <t>OFFICIAL_PRIMARY</t>
        </is>
      </c>
      <c r="O588" s="9" t="inlineStr">
        <is>
          <t>OFFICIAL_AGGREGATE</t>
        </is>
      </c>
      <c r="P588" s="8" t="n">
        <v>1</v>
      </c>
      <c r="Q588" s="8" t="n">
        <v>50</v>
      </c>
      <c r="R588" s="7" t="inlineStr">
        <is>
          <t>https://www.eby.gov.py/wp-content/uploads/2019/12/YacyretaEnergiasMensualesDesdePuestaenMarcha.pdf</t>
        </is>
      </c>
      <c r="S588" s="6" t="inlineStr">
        <is>
          <t>EBY-MONTHLY-1994-2012</t>
        </is>
      </c>
      <c r="T588" s="6" t="inlineStr"/>
      <c r="U588" s="4" t="inlineStr">
        <is>
          <t>2026-09-10 23:00:00</t>
        </is>
      </c>
      <c r="V588" s="4" t="inlineStr">
        <is>
          <t>Energia mensual Yacyreta desde puesta en marcha.</t>
        </is>
      </c>
    </row>
    <row r="589">
      <c r="A589" s="6" t="inlineStr">
        <is>
          <t>R0000588</t>
        </is>
      </c>
      <c r="B589" s="6" t="inlineStr">
        <is>
          <t>2006-07-01</t>
        </is>
      </c>
      <c r="C589" s="6" t="inlineStr">
        <is>
          <t>2006-07-31</t>
        </is>
      </c>
      <c r="D589" s="6" t="inlineStr">
        <is>
          <t>month</t>
        </is>
      </c>
      <c r="E589" s="6" t="inlineStr">
        <is>
          <t>ENERGY_TO_ARGENTINA</t>
        </is>
      </c>
      <c r="F589" s="6" t="inlineStr">
        <is>
          <t>YACYRETA</t>
        </is>
      </c>
      <c r="G589" s="6" t="inlineStr">
        <is>
          <t>YACYRETA</t>
        </is>
      </c>
      <c r="H589" s="6" t="inlineStr">
        <is>
          <t>SADI</t>
        </is>
      </c>
      <c r="I589" s="8" t="n">
        <v>1011226</v>
      </c>
      <c r="J589" s="6" t="inlineStr">
        <is>
          <t>MWh</t>
        </is>
      </c>
      <c r="K589" s="8" t="n">
        <v>1011226</v>
      </c>
      <c r="L589" s="6" t="inlineStr">
        <is>
          <t>MWh</t>
        </is>
      </c>
      <c r="M589" s="6" t="inlineStr">
        <is>
          <t>EBY</t>
        </is>
      </c>
      <c r="N589" s="6" t="inlineStr">
        <is>
          <t>OFFICIAL_PRIMARY</t>
        </is>
      </c>
      <c r="O589" s="9" t="inlineStr">
        <is>
          <t>OFFICIAL_AGGREGATE</t>
        </is>
      </c>
      <c r="P589" s="8" t="n">
        <v>1</v>
      </c>
      <c r="Q589" s="8" t="n">
        <v>50</v>
      </c>
      <c r="R589" s="7" t="inlineStr">
        <is>
          <t>https://www.eby.gov.py/wp-content/uploads/2019/12/YacyretaEnergiasMensualesDesdePuestaenMarcha.pdf</t>
        </is>
      </c>
      <c r="S589" s="6" t="inlineStr">
        <is>
          <t>EBY-MONTHLY-1994-2012</t>
        </is>
      </c>
      <c r="T589" s="6" t="inlineStr"/>
      <c r="U589" s="4" t="inlineStr">
        <is>
          <t>2026-09-10 23:00:00</t>
        </is>
      </c>
      <c r="V589" s="4" t="inlineStr">
        <is>
          <t>Energia mensual entregada al SADI.</t>
        </is>
      </c>
    </row>
    <row r="590">
      <c r="A590" s="6" t="inlineStr">
        <is>
          <t>R0000589</t>
        </is>
      </c>
      <c r="B590" s="6" t="inlineStr">
        <is>
          <t>2006-07-01</t>
        </is>
      </c>
      <c r="C590" s="6" t="inlineStr">
        <is>
          <t>2006-07-31</t>
        </is>
      </c>
      <c r="D590" s="6" t="inlineStr">
        <is>
          <t>month</t>
        </is>
      </c>
      <c r="E590" s="6" t="inlineStr">
        <is>
          <t>ENERGY_TO_PY</t>
        </is>
      </c>
      <c r="F590" s="6" t="inlineStr">
        <is>
          <t>YACYRETA</t>
        </is>
      </c>
      <c r="G590" s="6" t="inlineStr">
        <is>
          <t>YACYRETA</t>
        </is>
      </c>
      <c r="H590" s="6" t="inlineStr">
        <is>
          <t>SINP</t>
        </is>
      </c>
      <c r="I590" s="8" t="n">
        <v>14566</v>
      </c>
      <c r="J590" s="6" t="inlineStr">
        <is>
          <t>MWh</t>
        </is>
      </c>
      <c r="K590" s="8" t="n">
        <v>14566</v>
      </c>
      <c r="L590" s="6" t="inlineStr">
        <is>
          <t>MWh</t>
        </is>
      </c>
      <c r="M590" s="6" t="inlineStr">
        <is>
          <t>EBY</t>
        </is>
      </c>
      <c r="N590" s="6" t="inlineStr">
        <is>
          <t>OFFICIAL_PRIMARY</t>
        </is>
      </c>
      <c r="O590" s="9" t="inlineStr">
        <is>
          <t>OFFICIAL_AGGREGATE</t>
        </is>
      </c>
      <c r="P590" s="8" t="n">
        <v>1</v>
      </c>
      <c r="Q590" s="8" t="n">
        <v>50</v>
      </c>
      <c r="R590" s="7" t="inlineStr">
        <is>
          <t>https://www.eby.gov.py/wp-content/uploads/2019/12/YacyretaEnergiasMensualesDesdePuestaenMarcha.pdf</t>
        </is>
      </c>
      <c r="S590" s="6" t="inlineStr">
        <is>
          <t>EBY-MONTHLY-1994-2012</t>
        </is>
      </c>
      <c r="T590" s="6" t="inlineStr"/>
      <c r="U590" s="4" t="inlineStr">
        <is>
          <t>2026-09-10 23:00:00</t>
        </is>
      </c>
      <c r="V590" s="4" t="inlineStr">
        <is>
          <t>Energia mensual entregada al SINP.</t>
        </is>
      </c>
    </row>
    <row r="591">
      <c r="A591" s="6" t="inlineStr">
        <is>
          <t>R0000590</t>
        </is>
      </c>
      <c r="B591" s="6" t="inlineStr">
        <is>
          <t>2006-08-01</t>
        </is>
      </c>
      <c r="C591" s="6" t="inlineStr">
        <is>
          <t>2006-08-31</t>
        </is>
      </c>
      <c r="D591" s="6" t="inlineStr">
        <is>
          <t>month</t>
        </is>
      </c>
      <c r="E591" s="6" t="inlineStr">
        <is>
          <t>YACYRETA_NET_ENERGY</t>
        </is>
      </c>
      <c r="F591" s="6" t="inlineStr">
        <is>
          <t>YACYRETA</t>
        </is>
      </c>
      <c r="G591" s="6" t="inlineStr">
        <is>
          <t>YACYRETA</t>
        </is>
      </c>
      <c r="H591" s="6" t="inlineStr">
        <is>
          <t>TOTAL</t>
        </is>
      </c>
      <c r="I591" s="8" t="n">
        <v>1031060</v>
      </c>
      <c r="J591" s="6" t="inlineStr">
        <is>
          <t>MWh</t>
        </is>
      </c>
      <c r="K591" s="8" t="n">
        <v>1031060</v>
      </c>
      <c r="L591" s="6" t="inlineStr">
        <is>
          <t>MWh</t>
        </is>
      </c>
      <c r="M591" s="6" t="inlineStr">
        <is>
          <t>EBY</t>
        </is>
      </c>
      <c r="N591" s="6" t="inlineStr">
        <is>
          <t>OFFICIAL_PRIMARY</t>
        </is>
      </c>
      <c r="O591" s="9" t="inlineStr">
        <is>
          <t>OFFICIAL_AGGREGATE</t>
        </is>
      </c>
      <c r="P591" s="8" t="n">
        <v>1</v>
      </c>
      <c r="Q591" s="8" t="n">
        <v>50</v>
      </c>
      <c r="R591" s="7" t="inlineStr">
        <is>
          <t>https://www.eby.gov.py/wp-content/uploads/2019/12/YacyretaEnergiasMensualesDesdePuestaenMarcha.pdf</t>
        </is>
      </c>
      <c r="S591" s="6" t="inlineStr">
        <is>
          <t>EBY-MONTHLY-1994-2012</t>
        </is>
      </c>
      <c r="T591" s="6" t="inlineStr"/>
      <c r="U591" s="4" t="inlineStr">
        <is>
          <t>2026-09-10 23:00:00</t>
        </is>
      </c>
      <c r="V591" s="4" t="inlineStr">
        <is>
          <t>Energia mensual Yacyreta desde puesta en marcha.</t>
        </is>
      </c>
    </row>
    <row r="592">
      <c r="A592" s="6" t="inlineStr">
        <is>
          <t>R0000591</t>
        </is>
      </c>
      <c r="B592" s="6" t="inlineStr">
        <is>
          <t>2006-08-01</t>
        </is>
      </c>
      <c r="C592" s="6" t="inlineStr">
        <is>
          <t>2006-08-31</t>
        </is>
      </c>
      <c r="D592" s="6" t="inlineStr">
        <is>
          <t>month</t>
        </is>
      </c>
      <c r="E592" s="6" t="inlineStr">
        <is>
          <t>ENERGY_TO_ARGENTINA</t>
        </is>
      </c>
      <c r="F592" s="6" t="inlineStr">
        <is>
          <t>YACYRETA</t>
        </is>
      </c>
      <c r="G592" s="6" t="inlineStr">
        <is>
          <t>YACYRETA</t>
        </is>
      </c>
      <c r="H592" s="6" t="inlineStr">
        <is>
          <t>SADI</t>
        </is>
      </c>
      <c r="I592" s="8" t="n">
        <v>1016202</v>
      </c>
      <c r="J592" s="6" t="inlineStr">
        <is>
          <t>MWh</t>
        </is>
      </c>
      <c r="K592" s="8" t="n">
        <v>1016202</v>
      </c>
      <c r="L592" s="6" t="inlineStr">
        <is>
          <t>MWh</t>
        </is>
      </c>
      <c r="M592" s="6" t="inlineStr">
        <is>
          <t>EBY</t>
        </is>
      </c>
      <c r="N592" s="6" t="inlineStr">
        <is>
          <t>OFFICIAL_PRIMARY</t>
        </is>
      </c>
      <c r="O592" s="9" t="inlineStr">
        <is>
          <t>OFFICIAL_AGGREGATE</t>
        </is>
      </c>
      <c r="P592" s="8" t="n">
        <v>1</v>
      </c>
      <c r="Q592" s="8" t="n">
        <v>50</v>
      </c>
      <c r="R592" s="7" t="inlineStr">
        <is>
          <t>https://www.eby.gov.py/wp-content/uploads/2019/12/YacyretaEnergiasMensualesDesdePuestaenMarcha.pdf</t>
        </is>
      </c>
      <c r="S592" s="6" t="inlineStr">
        <is>
          <t>EBY-MONTHLY-1994-2012</t>
        </is>
      </c>
      <c r="T592" s="6" t="inlineStr"/>
      <c r="U592" s="4" t="inlineStr">
        <is>
          <t>2026-09-10 23:00:00</t>
        </is>
      </c>
      <c r="V592" s="4" t="inlineStr">
        <is>
          <t>Energia mensual entregada al SADI.</t>
        </is>
      </c>
    </row>
    <row r="593">
      <c r="A593" s="6" t="inlineStr">
        <is>
          <t>R0000592</t>
        </is>
      </c>
      <c r="B593" s="6" t="inlineStr">
        <is>
          <t>2006-08-01</t>
        </is>
      </c>
      <c r="C593" s="6" t="inlineStr">
        <is>
          <t>2006-08-31</t>
        </is>
      </c>
      <c r="D593" s="6" t="inlineStr">
        <is>
          <t>month</t>
        </is>
      </c>
      <c r="E593" s="6" t="inlineStr">
        <is>
          <t>ENERGY_TO_PY</t>
        </is>
      </c>
      <c r="F593" s="6" t="inlineStr">
        <is>
          <t>YACYRETA</t>
        </is>
      </c>
      <c r="G593" s="6" t="inlineStr">
        <is>
          <t>YACYRETA</t>
        </is>
      </c>
      <c r="H593" s="6" t="inlineStr">
        <is>
          <t>SINP</t>
        </is>
      </c>
      <c r="I593" s="8" t="n">
        <v>14858</v>
      </c>
      <c r="J593" s="6" t="inlineStr">
        <is>
          <t>MWh</t>
        </is>
      </c>
      <c r="K593" s="8" t="n">
        <v>14858</v>
      </c>
      <c r="L593" s="6" t="inlineStr">
        <is>
          <t>MWh</t>
        </is>
      </c>
      <c r="M593" s="6" t="inlineStr">
        <is>
          <t>EBY</t>
        </is>
      </c>
      <c r="N593" s="6" t="inlineStr">
        <is>
          <t>OFFICIAL_PRIMARY</t>
        </is>
      </c>
      <c r="O593" s="9" t="inlineStr">
        <is>
          <t>OFFICIAL_AGGREGATE</t>
        </is>
      </c>
      <c r="P593" s="8" t="n">
        <v>1</v>
      </c>
      <c r="Q593" s="8" t="n">
        <v>50</v>
      </c>
      <c r="R593" s="7" t="inlineStr">
        <is>
          <t>https://www.eby.gov.py/wp-content/uploads/2019/12/YacyretaEnergiasMensualesDesdePuestaenMarcha.pdf</t>
        </is>
      </c>
      <c r="S593" s="6" t="inlineStr">
        <is>
          <t>EBY-MONTHLY-1994-2012</t>
        </is>
      </c>
      <c r="T593" s="6" t="inlineStr"/>
      <c r="U593" s="4" t="inlineStr">
        <is>
          <t>2026-09-10 23:00:00</t>
        </is>
      </c>
      <c r="V593" s="4" t="inlineStr">
        <is>
          <t>Energia mensual entregada al SINP.</t>
        </is>
      </c>
    </row>
    <row r="594">
      <c r="A594" s="6" t="inlineStr">
        <is>
          <t>R0000593</t>
        </is>
      </c>
      <c r="B594" s="6" t="inlineStr">
        <is>
          <t>2006-09-01</t>
        </is>
      </c>
      <c r="C594" s="6" t="inlineStr">
        <is>
          <t>2006-09-30</t>
        </is>
      </c>
      <c r="D594" s="6" t="inlineStr">
        <is>
          <t>month</t>
        </is>
      </c>
      <c r="E594" s="6" t="inlineStr">
        <is>
          <t>YACYRETA_NET_ENERGY</t>
        </is>
      </c>
      <c r="F594" s="6" t="inlineStr">
        <is>
          <t>YACYRETA</t>
        </is>
      </c>
      <c r="G594" s="6" t="inlineStr">
        <is>
          <t>YACYRETA</t>
        </is>
      </c>
      <c r="H594" s="6" t="inlineStr">
        <is>
          <t>TOTAL</t>
        </is>
      </c>
      <c r="I594" s="8" t="n">
        <v>1040776</v>
      </c>
      <c r="J594" s="6" t="inlineStr">
        <is>
          <t>MWh</t>
        </is>
      </c>
      <c r="K594" s="8" t="n">
        <v>1040776</v>
      </c>
      <c r="L594" s="6" t="inlineStr">
        <is>
          <t>MWh</t>
        </is>
      </c>
      <c r="M594" s="6" t="inlineStr">
        <is>
          <t>EBY</t>
        </is>
      </c>
      <c r="N594" s="6" t="inlineStr">
        <is>
          <t>OFFICIAL_PRIMARY</t>
        </is>
      </c>
      <c r="O594" s="9" t="inlineStr">
        <is>
          <t>OFFICIAL_AGGREGATE</t>
        </is>
      </c>
      <c r="P594" s="8" t="n">
        <v>1</v>
      </c>
      <c r="Q594" s="8" t="n">
        <v>50</v>
      </c>
      <c r="R594" s="7" t="inlineStr">
        <is>
          <t>https://www.eby.gov.py/wp-content/uploads/2019/12/YacyretaEnergiasMensualesDesdePuestaenMarcha.pdf</t>
        </is>
      </c>
      <c r="S594" s="6" t="inlineStr">
        <is>
          <t>EBY-MONTHLY-1994-2012</t>
        </is>
      </c>
      <c r="T594" s="6" t="inlineStr"/>
      <c r="U594" s="4" t="inlineStr">
        <is>
          <t>2026-09-10 23:00:00</t>
        </is>
      </c>
      <c r="V594" s="4" t="inlineStr">
        <is>
          <t>Energia mensual Yacyreta desde puesta en marcha.</t>
        </is>
      </c>
    </row>
    <row r="595">
      <c r="A595" s="6" t="inlineStr">
        <is>
          <t>R0000594</t>
        </is>
      </c>
      <c r="B595" s="6" t="inlineStr">
        <is>
          <t>2006-09-01</t>
        </is>
      </c>
      <c r="C595" s="6" t="inlineStr">
        <is>
          <t>2006-09-30</t>
        </is>
      </c>
      <c r="D595" s="6" t="inlineStr">
        <is>
          <t>month</t>
        </is>
      </c>
      <c r="E595" s="6" t="inlineStr">
        <is>
          <t>ENERGY_TO_ARGENTINA</t>
        </is>
      </c>
      <c r="F595" s="6" t="inlineStr">
        <is>
          <t>YACYRETA</t>
        </is>
      </c>
      <c r="G595" s="6" t="inlineStr">
        <is>
          <t>YACYRETA</t>
        </is>
      </c>
      <c r="H595" s="6" t="inlineStr">
        <is>
          <t>SADI</t>
        </is>
      </c>
      <c r="I595" s="8" t="n">
        <v>1026714</v>
      </c>
      <c r="J595" s="6" t="inlineStr">
        <is>
          <t>MWh</t>
        </is>
      </c>
      <c r="K595" s="8" t="n">
        <v>1026714</v>
      </c>
      <c r="L595" s="6" t="inlineStr">
        <is>
          <t>MWh</t>
        </is>
      </c>
      <c r="M595" s="6" t="inlineStr">
        <is>
          <t>EBY</t>
        </is>
      </c>
      <c r="N595" s="6" t="inlineStr">
        <is>
          <t>OFFICIAL_PRIMARY</t>
        </is>
      </c>
      <c r="O595" s="9" t="inlineStr">
        <is>
          <t>OFFICIAL_AGGREGATE</t>
        </is>
      </c>
      <c r="P595" s="8" t="n">
        <v>1</v>
      </c>
      <c r="Q595" s="8" t="n">
        <v>50</v>
      </c>
      <c r="R595" s="7" t="inlineStr">
        <is>
          <t>https://www.eby.gov.py/wp-content/uploads/2019/12/YacyretaEnergiasMensualesDesdePuestaenMarcha.pdf</t>
        </is>
      </c>
      <c r="S595" s="6" t="inlineStr">
        <is>
          <t>EBY-MONTHLY-1994-2012</t>
        </is>
      </c>
      <c r="T595" s="6" t="inlineStr"/>
      <c r="U595" s="4" t="inlineStr">
        <is>
          <t>2026-09-10 23:00:00</t>
        </is>
      </c>
      <c r="V595" s="4" t="inlineStr">
        <is>
          <t>Energia mensual entregada al SADI.</t>
        </is>
      </c>
    </row>
    <row r="596">
      <c r="A596" s="6" t="inlineStr">
        <is>
          <t>R0000595</t>
        </is>
      </c>
      <c r="B596" s="6" t="inlineStr">
        <is>
          <t>2006-09-01</t>
        </is>
      </c>
      <c r="C596" s="6" t="inlineStr">
        <is>
          <t>2006-09-30</t>
        </is>
      </c>
      <c r="D596" s="6" t="inlineStr">
        <is>
          <t>month</t>
        </is>
      </c>
      <c r="E596" s="6" t="inlineStr">
        <is>
          <t>ENERGY_TO_PY</t>
        </is>
      </c>
      <c r="F596" s="6" t="inlineStr">
        <is>
          <t>YACYRETA</t>
        </is>
      </c>
      <c r="G596" s="6" t="inlineStr">
        <is>
          <t>YACYRETA</t>
        </is>
      </c>
      <c r="H596" s="6" t="inlineStr">
        <is>
          <t>SINP</t>
        </is>
      </c>
      <c r="I596" s="8" t="n">
        <v>14062</v>
      </c>
      <c r="J596" s="6" t="inlineStr">
        <is>
          <t>MWh</t>
        </is>
      </c>
      <c r="K596" s="8" t="n">
        <v>14062</v>
      </c>
      <c r="L596" s="6" t="inlineStr">
        <is>
          <t>MWh</t>
        </is>
      </c>
      <c r="M596" s="6" t="inlineStr">
        <is>
          <t>EBY</t>
        </is>
      </c>
      <c r="N596" s="6" t="inlineStr">
        <is>
          <t>OFFICIAL_PRIMARY</t>
        </is>
      </c>
      <c r="O596" s="9" t="inlineStr">
        <is>
          <t>OFFICIAL_AGGREGATE</t>
        </is>
      </c>
      <c r="P596" s="8" t="n">
        <v>1</v>
      </c>
      <c r="Q596" s="8" t="n">
        <v>50</v>
      </c>
      <c r="R596" s="7" t="inlineStr">
        <is>
          <t>https://www.eby.gov.py/wp-content/uploads/2019/12/YacyretaEnergiasMensualesDesdePuestaenMarcha.pdf</t>
        </is>
      </c>
      <c r="S596" s="6" t="inlineStr">
        <is>
          <t>EBY-MONTHLY-1994-2012</t>
        </is>
      </c>
      <c r="T596" s="6" t="inlineStr"/>
      <c r="U596" s="4" t="inlineStr">
        <is>
          <t>2026-09-10 23:00:00</t>
        </is>
      </c>
      <c r="V596" s="4" t="inlineStr">
        <is>
          <t>Energia mensual entregada al SINP.</t>
        </is>
      </c>
    </row>
    <row r="597">
      <c r="A597" s="6" t="inlineStr">
        <is>
          <t>R0000596</t>
        </is>
      </c>
      <c r="B597" s="6" t="inlineStr">
        <is>
          <t>2006-10-01</t>
        </is>
      </c>
      <c r="C597" s="6" t="inlineStr">
        <is>
          <t>2006-10-31</t>
        </is>
      </c>
      <c r="D597" s="6" t="inlineStr">
        <is>
          <t>month</t>
        </is>
      </c>
      <c r="E597" s="6" t="inlineStr">
        <is>
          <t>YACYRETA_NET_ENERGY</t>
        </is>
      </c>
      <c r="F597" s="6" t="inlineStr">
        <is>
          <t>YACYRETA</t>
        </is>
      </c>
      <c r="G597" s="6" t="inlineStr">
        <is>
          <t>YACYRETA</t>
        </is>
      </c>
      <c r="H597" s="6" t="inlineStr">
        <is>
          <t>TOTAL</t>
        </is>
      </c>
      <c r="I597" s="8" t="n">
        <v>1130260</v>
      </c>
      <c r="J597" s="6" t="inlineStr">
        <is>
          <t>MWh</t>
        </is>
      </c>
      <c r="K597" s="8" t="n">
        <v>1130260</v>
      </c>
      <c r="L597" s="6" t="inlineStr">
        <is>
          <t>MWh</t>
        </is>
      </c>
      <c r="M597" s="6" t="inlineStr">
        <is>
          <t>EBY</t>
        </is>
      </c>
      <c r="N597" s="6" t="inlineStr">
        <is>
          <t>OFFICIAL_PRIMARY</t>
        </is>
      </c>
      <c r="O597" s="9" t="inlineStr">
        <is>
          <t>OFFICIAL_AGGREGATE</t>
        </is>
      </c>
      <c r="P597" s="8" t="n">
        <v>1</v>
      </c>
      <c r="Q597" s="8" t="n">
        <v>50</v>
      </c>
      <c r="R597" s="7" t="inlineStr">
        <is>
          <t>https://www.eby.gov.py/wp-content/uploads/2019/12/YacyretaEnergiasMensualesDesdePuestaenMarcha.pdf</t>
        </is>
      </c>
      <c r="S597" s="6" t="inlineStr">
        <is>
          <t>EBY-MONTHLY-1994-2012</t>
        </is>
      </c>
      <c r="T597" s="6" t="inlineStr"/>
      <c r="U597" s="4" t="inlineStr">
        <is>
          <t>2026-09-10 23:00:00</t>
        </is>
      </c>
      <c r="V597" s="4" t="inlineStr">
        <is>
          <t>Energia mensual Yacyreta desde puesta en marcha.</t>
        </is>
      </c>
    </row>
    <row r="598">
      <c r="A598" s="6" t="inlineStr">
        <is>
          <t>R0000597</t>
        </is>
      </c>
      <c r="B598" s="6" t="inlineStr">
        <is>
          <t>2006-10-01</t>
        </is>
      </c>
      <c r="C598" s="6" t="inlineStr">
        <is>
          <t>2006-10-31</t>
        </is>
      </c>
      <c r="D598" s="6" t="inlineStr">
        <is>
          <t>month</t>
        </is>
      </c>
      <c r="E598" s="6" t="inlineStr">
        <is>
          <t>ENERGY_TO_ARGENTINA</t>
        </is>
      </c>
      <c r="F598" s="6" t="inlineStr">
        <is>
          <t>YACYRETA</t>
        </is>
      </c>
      <c r="G598" s="6" t="inlineStr">
        <is>
          <t>YACYRETA</t>
        </is>
      </c>
      <c r="H598" s="6" t="inlineStr">
        <is>
          <t>SADI</t>
        </is>
      </c>
      <c r="I598" s="8" t="n">
        <v>1113272</v>
      </c>
      <c r="J598" s="6" t="inlineStr">
        <is>
          <t>MWh</t>
        </is>
      </c>
      <c r="K598" s="8" t="n">
        <v>1113272</v>
      </c>
      <c r="L598" s="6" t="inlineStr">
        <is>
          <t>MWh</t>
        </is>
      </c>
      <c r="M598" s="6" t="inlineStr">
        <is>
          <t>EBY</t>
        </is>
      </c>
      <c r="N598" s="6" t="inlineStr">
        <is>
          <t>OFFICIAL_PRIMARY</t>
        </is>
      </c>
      <c r="O598" s="9" t="inlineStr">
        <is>
          <t>OFFICIAL_AGGREGATE</t>
        </is>
      </c>
      <c r="P598" s="8" t="n">
        <v>1</v>
      </c>
      <c r="Q598" s="8" t="n">
        <v>50</v>
      </c>
      <c r="R598" s="7" t="inlineStr">
        <is>
          <t>https://www.eby.gov.py/wp-content/uploads/2019/12/YacyretaEnergiasMensualesDesdePuestaenMarcha.pdf</t>
        </is>
      </c>
      <c r="S598" s="6" t="inlineStr">
        <is>
          <t>EBY-MONTHLY-1994-2012</t>
        </is>
      </c>
      <c r="T598" s="6" t="inlineStr"/>
      <c r="U598" s="4" t="inlineStr">
        <is>
          <t>2026-09-10 23:00:00</t>
        </is>
      </c>
      <c r="V598" s="4" t="inlineStr">
        <is>
          <t>Energia mensual entregada al SADI.</t>
        </is>
      </c>
    </row>
    <row r="599">
      <c r="A599" s="6" t="inlineStr">
        <is>
          <t>R0000598</t>
        </is>
      </c>
      <c r="B599" s="6" t="inlineStr">
        <is>
          <t>2006-10-01</t>
        </is>
      </c>
      <c r="C599" s="6" t="inlineStr">
        <is>
          <t>2006-10-31</t>
        </is>
      </c>
      <c r="D599" s="6" t="inlineStr">
        <is>
          <t>month</t>
        </is>
      </c>
      <c r="E599" s="6" t="inlineStr">
        <is>
          <t>ENERGY_TO_PY</t>
        </is>
      </c>
      <c r="F599" s="6" t="inlineStr">
        <is>
          <t>YACYRETA</t>
        </is>
      </c>
      <c r="G599" s="6" t="inlineStr">
        <is>
          <t>YACYRETA</t>
        </is>
      </c>
      <c r="H599" s="6" t="inlineStr">
        <is>
          <t>SINP</t>
        </is>
      </c>
      <c r="I599" s="8" t="n">
        <v>16988</v>
      </c>
      <c r="J599" s="6" t="inlineStr">
        <is>
          <t>MWh</t>
        </is>
      </c>
      <c r="K599" s="8" t="n">
        <v>16988</v>
      </c>
      <c r="L599" s="6" t="inlineStr">
        <is>
          <t>MWh</t>
        </is>
      </c>
      <c r="M599" s="6" t="inlineStr">
        <is>
          <t>EBY</t>
        </is>
      </c>
      <c r="N599" s="6" t="inlineStr">
        <is>
          <t>OFFICIAL_PRIMARY</t>
        </is>
      </c>
      <c r="O599" s="9" t="inlineStr">
        <is>
          <t>OFFICIAL_AGGREGATE</t>
        </is>
      </c>
      <c r="P599" s="8" t="n">
        <v>1</v>
      </c>
      <c r="Q599" s="8" t="n">
        <v>50</v>
      </c>
      <c r="R599" s="7" t="inlineStr">
        <is>
          <t>https://www.eby.gov.py/wp-content/uploads/2019/12/YacyretaEnergiasMensualesDesdePuestaenMarcha.pdf</t>
        </is>
      </c>
      <c r="S599" s="6" t="inlineStr">
        <is>
          <t>EBY-MONTHLY-1994-2012</t>
        </is>
      </c>
      <c r="T599" s="6" t="inlineStr"/>
      <c r="U599" s="4" t="inlineStr">
        <is>
          <t>2026-09-10 23:00:00</t>
        </is>
      </c>
      <c r="V599" s="4" t="inlineStr">
        <is>
          <t>Energia mensual entregada al SINP.</t>
        </is>
      </c>
    </row>
    <row r="600">
      <c r="A600" s="6" t="inlineStr">
        <is>
          <t>R0000599</t>
        </is>
      </c>
      <c r="B600" s="6" t="inlineStr">
        <is>
          <t>2006-11-01</t>
        </is>
      </c>
      <c r="C600" s="6" t="inlineStr">
        <is>
          <t>2006-11-30</t>
        </is>
      </c>
      <c r="D600" s="6" t="inlineStr">
        <is>
          <t>month</t>
        </is>
      </c>
      <c r="E600" s="6" t="inlineStr">
        <is>
          <t>YACYRETA_NET_ENERGY</t>
        </is>
      </c>
      <c r="F600" s="6" t="inlineStr">
        <is>
          <t>YACYRETA</t>
        </is>
      </c>
      <c r="G600" s="6" t="inlineStr">
        <is>
          <t>YACYRETA</t>
        </is>
      </c>
      <c r="H600" s="6" t="inlineStr">
        <is>
          <t>TOTAL</t>
        </is>
      </c>
      <c r="I600" s="8" t="n">
        <v>1093872</v>
      </c>
      <c r="J600" s="6" t="inlineStr">
        <is>
          <t>MWh</t>
        </is>
      </c>
      <c r="K600" s="8" t="n">
        <v>1093872</v>
      </c>
      <c r="L600" s="6" t="inlineStr">
        <is>
          <t>MWh</t>
        </is>
      </c>
      <c r="M600" s="6" t="inlineStr">
        <is>
          <t>EBY</t>
        </is>
      </c>
      <c r="N600" s="6" t="inlineStr">
        <is>
          <t>OFFICIAL_PRIMARY</t>
        </is>
      </c>
      <c r="O600" s="9" t="inlineStr">
        <is>
          <t>OFFICIAL_AGGREGATE</t>
        </is>
      </c>
      <c r="P600" s="8" t="n">
        <v>1</v>
      </c>
      <c r="Q600" s="8" t="n">
        <v>50</v>
      </c>
      <c r="R600" s="7" t="inlineStr">
        <is>
          <t>https://www.eby.gov.py/wp-content/uploads/2019/12/YacyretaEnergiasMensualesDesdePuestaenMarcha.pdf</t>
        </is>
      </c>
      <c r="S600" s="6" t="inlineStr">
        <is>
          <t>EBY-MONTHLY-1994-2012</t>
        </is>
      </c>
      <c r="T600" s="6" t="inlineStr"/>
      <c r="U600" s="4" t="inlineStr">
        <is>
          <t>2026-09-10 23:00:00</t>
        </is>
      </c>
      <c r="V600" s="4" t="inlineStr">
        <is>
          <t>Energia mensual Yacyreta desde puesta en marcha.</t>
        </is>
      </c>
    </row>
    <row r="601">
      <c r="A601" s="6" t="inlineStr">
        <is>
          <t>R0000600</t>
        </is>
      </c>
      <c r="B601" s="6" t="inlineStr">
        <is>
          <t>2006-11-01</t>
        </is>
      </c>
      <c r="C601" s="6" t="inlineStr">
        <is>
          <t>2006-11-30</t>
        </is>
      </c>
      <c r="D601" s="6" t="inlineStr">
        <is>
          <t>month</t>
        </is>
      </c>
      <c r="E601" s="6" t="inlineStr">
        <is>
          <t>ENERGY_TO_ARGENTINA</t>
        </is>
      </c>
      <c r="F601" s="6" t="inlineStr">
        <is>
          <t>YACYRETA</t>
        </is>
      </c>
      <c r="G601" s="6" t="inlineStr">
        <is>
          <t>YACYRETA</t>
        </is>
      </c>
      <c r="H601" s="6" t="inlineStr">
        <is>
          <t>SADI</t>
        </is>
      </c>
      <c r="I601" s="8" t="n">
        <v>1072782</v>
      </c>
      <c r="J601" s="6" t="inlineStr">
        <is>
          <t>MWh</t>
        </is>
      </c>
      <c r="K601" s="8" t="n">
        <v>1072782</v>
      </c>
      <c r="L601" s="6" t="inlineStr">
        <is>
          <t>MWh</t>
        </is>
      </c>
      <c r="M601" s="6" t="inlineStr">
        <is>
          <t>EBY</t>
        </is>
      </c>
      <c r="N601" s="6" t="inlineStr">
        <is>
          <t>OFFICIAL_PRIMARY</t>
        </is>
      </c>
      <c r="O601" s="9" t="inlineStr">
        <is>
          <t>OFFICIAL_AGGREGATE</t>
        </is>
      </c>
      <c r="P601" s="8" t="n">
        <v>1</v>
      </c>
      <c r="Q601" s="8" t="n">
        <v>50</v>
      </c>
      <c r="R601" s="7" t="inlineStr">
        <is>
          <t>https://www.eby.gov.py/wp-content/uploads/2019/12/YacyretaEnergiasMensualesDesdePuestaenMarcha.pdf</t>
        </is>
      </c>
      <c r="S601" s="6" t="inlineStr">
        <is>
          <t>EBY-MONTHLY-1994-2012</t>
        </is>
      </c>
      <c r="T601" s="6" t="inlineStr"/>
      <c r="U601" s="4" t="inlineStr">
        <is>
          <t>2026-09-10 23:00:00</t>
        </is>
      </c>
      <c r="V601" s="4" t="inlineStr">
        <is>
          <t>Energia mensual entregada al SADI.</t>
        </is>
      </c>
    </row>
    <row r="602">
      <c r="A602" s="6" t="inlineStr">
        <is>
          <t>R0000601</t>
        </is>
      </c>
      <c r="B602" s="6" t="inlineStr">
        <is>
          <t>2006-11-01</t>
        </is>
      </c>
      <c r="C602" s="6" t="inlineStr">
        <is>
          <t>2006-11-30</t>
        </is>
      </c>
      <c r="D602" s="6" t="inlineStr">
        <is>
          <t>month</t>
        </is>
      </c>
      <c r="E602" s="6" t="inlineStr">
        <is>
          <t>ENERGY_TO_PY</t>
        </is>
      </c>
      <c r="F602" s="6" t="inlineStr">
        <is>
          <t>YACYRETA</t>
        </is>
      </c>
      <c r="G602" s="6" t="inlineStr">
        <is>
          <t>YACYRETA</t>
        </is>
      </c>
      <c r="H602" s="6" t="inlineStr">
        <is>
          <t>SINP</t>
        </is>
      </c>
      <c r="I602" s="8" t="n">
        <v>21090</v>
      </c>
      <c r="J602" s="6" t="inlineStr">
        <is>
          <t>MWh</t>
        </is>
      </c>
      <c r="K602" s="8" t="n">
        <v>21090</v>
      </c>
      <c r="L602" s="6" t="inlineStr">
        <is>
          <t>MWh</t>
        </is>
      </c>
      <c r="M602" s="6" t="inlineStr">
        <is>
          <t>EBY</t>
        </is>
      </c>
      <c r="N602" s="6" t="inlineStr">
        <is>
          <t>OFFICIAL_PRIMARY</t>
        </is>
      </c>
      <c r="O602" s="9" t="inlineStr">
        <is>
          <t>OFFICIAL_AGGREGATE</t>
        </is>
      </c>
      <c r="P602" s="8" t="n">
        <v>1</v>
      </c>
      <c r="Q602" s="8" t="n">
        <v>50</v>
      </c>
      <c r="R602" s="7" t="inlineStr">
        <is>
          <t>https://www.eby.gov.py/wp-content/uploads/2019/12/YacyretaEnergiasMensualesDesdePuestaenMarcha.pdf</t>
        </is>
      </c>
      <c r="S602" s="6" t="inlineStr">
        <is>
          <t>EBY-MONTHLY-1994-2012</t>
        </is>
      </c>
      <c r="T602" s="6" t="inlineStr"/>
      <c r="U602" s="4" t="inlineStr">
        <is>
          <t>2026-09-10 23:00:00</t>
        </is>
      </c>
      <c r="V602" s="4" t="inlineStr">
        <is>
          <t>Energia mensual entregada al SINP.</t>
        </is>
      </c>
    </row>
    <row r="603">
      <c r="A603" s="6" t="inlineStr">
        <is>
          <t>R0000602</t>
        </is>
      </c>
      <c r="B603" s="6" t="inlineStr">
        <is>
          <t>2006-12-01</t>
        </is>
      </c>
      <c r="C603" s="6" t="inlineStr">
        <is>
          <t>2006-12-31</t>
        </is>
      </c>
      <c r="D603" s="6" t="inlineStr">
        <is>
          <t>month</t>
        </is>
      </c>
      <c r="E603" s="6" t="inlineStr">
        <is>
          <t>YACYRETA_NET_ENERGY</t>
        </is>
      </c>
      <c r="F603" s="6" t="inlineStr">
        <is>
          <t>YACYRETA</t>
        </is>
      </c>
      <c r="G603" s="6" t="inlineStr">
        <is>
          <t>YACYRETA</t>
        </is>
      </c>
      <c r="H603" s="6" t="inlineStr">
        <is>
          <t>TOTAL</t>
        </is>
      </c>
      <c r="I603" s="8" t="n">
        <v>1168536</v>
      </c>
      <c r="J603" s="6" t="inlineStr">
        <is>
          <t>MWh</t>
        </is>
      </c>
      <c r="K603" s="8" t="n">
        <v>1168536</v>
      </c>
      <c r="L603" s="6" t="inlineStr">
        <is>
          <t>MWh</t>
        </is>
      </c>
      <c r="M603" s="6" t="inlineStr">
        <is>
          <t>EBY</t>
        </is>
      </c>
      <c r="N603" s="6" t="inlineStr">
        <is>
          <t>OFFICIAL_PRIMARY</t>
        </is>
      </c>
      <c r="O603" s="9" t="inlineStr">
        <is>
          <t>OFFICIAL_AGGREGATE</t>
        </is>
      </c>
      <c r="P603" s="8" t="n">
        <v>1</v>
      </c>
      <c r="Q603" s="8" t="n">
        <v>50</v>
      </c>
      <c r="R603" s="7" t="inlineStr">
        <is>
          <t>https://www.eby.gov.py/wp-content/uploads/2019/12/YacyretaEnergiasMensualesDesdePuestaenMarcha.pdf</t>
        </is>
      </c>
      <c r="S603" s="6" t="inlineStr">
        <is>
          <t>EBY-MONTHLY-1994-2012</t>
        </is>
      </c>
      <c r="T603" s="6" t="inlineStr"/>
      <c r="U603" s="4" t="inlineStr">
        <is>
          <t>2026-09-10 23:00:00</t>
        </is>
      </c>
      <c r="V603" s="4" t="inlineStr">
        <is>
          <t>Energia mensual Yacyreta desde puesta en marcha.</t>
        </is>
      </c>
    </row>
    <row r="604">
      <c r="A604" s="6" t="inlineStr">
        <is>
          <t>R0000603</t>
        </is>
      </c>
      <c r="B604" s="6" t="inlineStr">
        <is>
          <t>2006-12-01</t>
        </is>
      </c>
      <c r="C604" s="6" t="inlineStr">
        <is>
          <t>2006-12-31</t>
        </is>
      </c>
      <c r="D604" s="6" t="inlineStr">
        <is>
          <t>month</t>
        </is>
      </c>
      <c r="E604" s="6" t="inlineStr">
        <is>
          <t>ENERGY_TO_ARGENTINA</t>
        </is>
      </c>
      <c r="F604" s="6" t="inlineStr">
        <is>
          <t>YACYRETA</t>
        </is>
      </c>
      <c r="G604" s="6" t="inlineStr">
        <is>
          <t>YACYRETA</t>
        </is>
      </c>
      <c r="H604" s="6" t="inlineStr">
        <is>
          <t>SADI</t>
        </is>
      </c>
      <c r="I604" s="8" t="n">
        <v>1125574</v>
      </c>
      <c r="J604" s="6" t="inlineStr">
        <is>
          <t>MWh</t>
        </is>
      </c>
      <c r="K604" s="8" t="n">
        <v>1125574</v>
      </c>
      <c r="L604" s="6" t="inlineStr">
        <is>
          <t>MWh</t>
        </is>
      </c>
      <c r="M604" s="6" t="inlineStr">
        <is>
          <t>EBY</t>
        </is>
      </c>
      <c r="N604" s="6" t="inlineStr">
        <is>
          <t>OFFICIAL_PRIMARY</t>
        </is>
      </c>
      <c r="O604" s="9" t="inlineStr">
        <is>
          <t>OFFICIAL_AGGREGATE</t>
        </is>
      </c>
      <c r="P604" s="8" t="n">
        <v>1</v>
      </c>
      <c r="Q604" s="8" t="n">
        <v>50</v>
      </c>
      <c r="R604" s="7" t="inlineStr">
        <is>
          <t>https://www.eby.gov.py/wp-content/uploads/2019/12/YacyretaEnergiasMensualesDesdePuestaenMarcha.pdf</t>
        </is>
      </c>
      <c r="S604" s="6" t="inlineStr">
        <is>
          <t>EBY-MONTHLY-1994-2012</t>
        </is>
      </c>
      <c r="T604" s="6" t="inlineStr"/>
      <c r="U604" s="4" t="inlineStr">
        <is>
          <t>2026-09-10 23:00:00</t>
        </is>
      </c>
      <c r="V604" s="4" t="inlineStr">
        <is>
          <t>Energia mensual entregada al SADI.</t>
        </is>
      </c>
    </row>
    <row r="605">
      <c r="A605" s="6" t="inlineStr">
        <is>
          <t>R0000604</t>
        </is>
      </c>
      <c r="B605" s="6" t="inlineStr">
        <is>
          <t>2006-12-01</t>
        </is>
      </c>
      <c r="C605" s="6" t="inlineStr">
        <is>
          <t>2006-12-31</t>
        </is>
      </c>
      <c r="D605" s="6" t="inlineStr">
        <is>
          <t>month</t>
        </is>
      </c>
      <c r="E605" s="6" t="inlineStr">
        <is>
          <t>ENERGY_TO_PY</t>
        </is>
      </c>
      <c r="F605" s="6" t="inlineStr">
        <is>
          <t>YACYRETA</t>
        </is>
      </c>
      <c r="G605" s="6" t="inlineStr">
        <is>
          <t>YACYRETA</t>
        </is>
      </c>
      <c r="H605" s="6" t="inlineStr">
        <is>
          <t>SINP</t>
        </is>
      </c>
      <c r="I605" s="8" t="n">
        <v>42962</v>
      </c>
      <c r="J605" s="6" t="inlineStr">
        <is>
          <t>MWh</t>
        </is>
      </c>
      <c r="K605" s="8" t="n">
        <v>42962</v>
      </c>
      <c r="L605" s="6" t="inlineStr">
        <is>
          <t>MWh</t>
        </is>
      </c>
      <c r="M605" s="6" t="inlineStr">
        <is>
          <t>EBY</t>
        </is>
      </c>
      <c r="N605" s="6" t="inlineStr">
        <is>
          <t>OFFICIAL_PRIMARY</t>
        </is>
      </c>
      <c r="O605" s="9" t="inlineStr">
        <is>
          <t>OFFICIAL_AGGREGATE</t>
        </is>
      </c>
      <c r="P605" s="8" t="n">
        <v>1</v>
      </c>
      <c r="Q605" s="8" t="n">
        <v>50</v>
      </c>
      <c r="R605" s="7" t="inlineStr">
        <is>
          <t>https://www.eby.gov.py/wp-content/uploads/2019/12/YacyretaEnergiasMensualesDesdePuestaenMarcha.pdf</t>
        </is>
      </c>
      <c r="S605" s="6" t="inlineStr">
        <is>
          <t>EBY-MONTHLY-1994-2012</t>
        </is>
      </c>
      <c r="T605" s="6" t="inlineStr"/>
      <c r="U605" s="4" t="inlineStr">
        <is>
          <t>2026-09-10 23:00:00</t>
        </is>
      </c>
      <c r="V605" s="4" t="inlineStr">
        <is>
          <t>Energia mensual entregada al SINP.</t>
        </is>
      </c>
    </row>
    <row r="606">
      <c r="A606" s="6" t="inlineStr">
        <is>
          <t>R0000605</t>
        </is>
      </c>
      <c r="B606" s="6" t="inlineStr">
        <is>
          <t>2007-01-01</t>
        </is>
      </c>
      <c r="C606" s="6" t="inlineStr">
        <is>
          <t>2007-01-31</t>
        </is>
      </c>
      <c r="D606" s="6" t="inlineStr">
        <is>
          <t>month</t>
        </is>
      </c>
      <c r="E606" s="6" t="inlineStr">
        <is>
          <t>YACYRETA_NET_ENERGY</t>
        </is>
      </c>
      <c r="F606" s="6" t="inlineStr">
        <is>
          <t>YACYRETA</t>
        </is>
      </c>
      <c r="G606" s="6" t="inlineStr">
        <is>
          <t>YACYRETA</t>
        </is>
      </c>
      <c r="H606" s="6" t="inlineStr">
        <is>
          <t>TOTAL</t>
        </is>
      </c>
      <c r="I606" s="8" t="n">
        <v>1319283</v>
      </c>
      <c r="J606" s="6" t="inlineStr">
        <is>
          <t>MWh</t>
        </is>
      </c>
      <c r="K606" s="8" t="n">
        <v>1319283</v>
      </c>
      <c r="L606" s="6" t="inlineStr">
        <is>
          <t>MWh</t>
        </is>
      </c>
      <c r="M606" s="6" t="inlineStr">
        <is>
          <t>EBY</t>
        </is>
      </c>
      <c r="N606" s="6" t="inlineStr">
        <is>
          <t>OFFICIAL_PRIMARY</t>
        </is>
      </c>
      <c r="O606" s="9" t="inlineStr">
        <is>
          <t>OFFICIAL_AGGREGATE</t>
        </is>
      </c>
      <c r="P606" s="8" t="n">
        <v>1</v>
      </c>
      <c r="Q606" s="8" t="n">
        <v>50</v>
      </c>
      <c r="R606" s="7" t="inlineStr">
        <is>
          <t>https://www.eby.gov.py/wp-content/uploads/2019/12/YacyretaEnergiasMensualesDesdePuestaenMarcha.pdf</t>
        </is>
      </c>
      <c r="S606" s="6" t="inlineStr">
        <is>
          <t>EBY-MONTHLY-1994-2012</t>
        </is>
      </c>
      <c r="T606" s="6" t="inlineStr"/>
      <c r="U606" s="4" t="inlineStr">
        <is>
          <t>2026-09-10 23:00:00</t>
        </is>
      </c>
      <c r="V606" s="4" t="inlineStr">
        <is>
          <t>Energia mensual Yacyreta desde puesta en marcha.</t>
        </is>
      </c>
    </row>
    <row r="607">
      <c r="A607" s="6" t="inlineStr">
        <is>
          <t>R0000606</t>
        </is>
      </c>
      <c r="B607" s="6" t="inlineStr">
        <is>
          <t>2007-01-01</t>
        </is>
      </c>
      <c r="C607" s="6" t="inlineStr">
        <is>
          <t>2007-01-31</t>
        </is>
      </c>
      <c r="D607" s="6" t="inlineStr">
        <is>
          <t>month</t>
        </is>
      </c>
      <c r="E607" s="6" t="inlineStr">
        <is>
          <t>ENERGY_TO_ARGENTINA</t>
        </is>
      </c>
      <c r="F607" s="6" t="inlineStr">
        <is>
          <t>YACYRETA</t>
        </is>
      </c>
      <c r="G607" s="6" t="inlineStr">
        <is>
          <t>YACYRETA</t>
        </is>
      </c>
      <c r="H607" s="6" t="inlineStr">
        <is>
          <t>SADI</t>
        </is>
      </c>
      <c r="I607" s="8" t="n">
        <v>1277008</v>
      </c>
      <c r="J607" s="6" t="inlineStr">
        <is>
          <t>MWh</t>
        </is>
      </c>
      <c r="K607" s="8" t="n">
        <v>1277008</v>
      </c>
      <c r="L607" s="6" t="inlineStr">
        <is>
          <t>MWh</t>
        </is>
      </c>
      <c r="M607" s="6" t="inlineStr">
        <is>
          <t>EBY</t>
        </is>
      </c>
      <c r="N607" s="6" t="inlineStr">
        <is>
          <t>OFFICIAL_PRIMARY</t>
        </is>
      </c>
      <c r="O607" s="9" t="inlineStr">
        <is>
          <t>OFFICIAL_AGGREGATE</t>
        </is>
      </c>
      <c r="P607" s="8" t="n">
        <v>1</v>
      </c>
      <c r="Q607" s="8" t="n">
        <v>50</v>
      </c>
      <c r="R607" s="7" t="inlineStr">
        <is>
          <t>https://www.eby.gov.py/wp-content/uploads/2019/12/YacyretaEnergiasMensualesDesdePuestaenMarcha.pdf</t>
        </is>
      </c>
      <c r="S607" s="6" t="inlineStr">
        <is>
          <t>EBY-MONTHLY-1994-2012</t>
        </is>
      </c>
      <c r="T607" s="6" t="inlineStr"/>
      <c r="U607" s="4" t="inlineStr">
        <is>
          <t>2026-09-10 23:00:00</t>
        </is>
      </c>
      <c r="V607" s="4" t="inlineStr">
        <is>
          <t>Energia mensual entregada al SADI.</t>
        </is>
      </c>
    </row>
    <row r="608">
      <c r="A608" s="6" t="inlineStr">
        <is>
          <t>R0000607</t>
        </is>
      </c>
      <c r="B608" s="6" t="inlineStr">
        <is>
          <t>2007-01-01</t>
        </is>
      </c>
      <c r="C608" s="6" t="inlineStr">
        <is>
          <t>2007-01-31</t>
        </is>
      </c>
      <c r="D608" s="6" t="inlineStr">
        <is>
          <t>month</t>
        </is>
      </c>
      <c r="E608" s="6" t="inlineStr">
        <is>
          <t>ENERGY_TO_PY</t>
        </is>
      </c>
      <c r="F608" s="6" t="inlineStr">
        <is>
          <t>YACYRETA</t>
        </is>
      </c>
      <c r="G608" s="6" t="inlineStr">
        <is>
          <t>YACYRETA</t>
        </is>
      </c>
      <c r="H608" s="6" t="inlineStr">
        <is>
          <t>SINP</t>
        </is>
      </c>
      <c r="I608" s="8" t="n">
        <v>42275</v>
      </c>
      <c r="J608" s="6" t="inlineStr">
        <is>
          <t>MWh</t>
        </is>
      </c>
      <c r="K608" s="8" t="n">
        <v>42275</v>
      </c>
      <c r="L608" s="6" t="inlineStr">
        <is>
          <t>MWh</t>
        </is>
      </c>
      <c r="M608" s="6" t="inlineStr">
        <is>
          <t>EBY</t>
        </is>
      </c>
      <c r="N608" s="6" t="inlineStr">
        <is>
          <t>OFFICIAL_PRIMARY</t>
        </is>
      </c>
      <c r="O608" s="9" t="inlineStr">
        <is>
          <t>OFFICIAL_AGGREGATE</t>
        </is>
      </c>
      <c r="P608" s="8" t="n">
        <v>1</v>
      </c>
      <c r="Q608" s="8" t="n">
        <v>50</v>
      </c>
      <c r="R608" s="7" t="inlineStr">
        <is>
          <t>https://www.eby.gov.py/wp-content/uploads/2019/12/YacyretaEnergiasMensualesDesdePuestaenMarcha.pdf</t>
        </is>
      </c>
      <c r="S608" s="6" t="inlineStr">
        <is>
          <t>EBY-MONTHLY-1994-2012</t>
        </is>
      </c>
      <c r="T608" s="6" t="inlineStr"/>
      <c r="U608" s="4" t="inlineStr">
        <is>
          <t>2026-09-10 23:00:00</t>
        </is>
      </c>
      <c r="V608" s="4" t="inlineStr">
        <is>
          <t>Energia mensual entregada al SINP.</t>
        </is>
      </c>
    </row>
    <row r="609">
      <c r="A609" s="6" t="inlineStr">
        <is>
          <t>R0000608</t>
        </is>
      </c>
      <c r="B609" s="6" t="inlineStr">
        <is>
          <t>2007-02-01</t>
        </is>
      </c>
      <c r="C609" s="6" t="inlineStr">
        <is>
          <t>2007-02-28</t>
        </is>
      </c>
      <c r="D609" s="6" t="inlineStr">
        <is>
          <t>month</t>
        </is>
      </c>
      <c r="E609" s="6" t="inlineStr">
        <is>
          <t>YACYRETA_NET_ENERGY</t>
        </is>
      </c>
      <c r="F609" s="6" t="inlineStr">
        <is>
          <t>YACYRETA</t>
        </is>
      </c>
      <c r="G609" s="6" t="inlineStr">
        <is>
          <t>YACYRETA</t>
        </is>
      </c>
      <c r="H609" s="6" t="inlineStr">
        <is>
          <t>TOTAL</t>
        </is>
      </c>
      <c r="I609" s="8" t="n">
        <v>1077831</v>
      </c>
      <c r="J609" s="6" t="inlineStr">
        <is>
          <t>MWh</t>
        </is>
      </c>
      <c r="K609" s="8" t="n">
        <v>1077831</v>
      </c>
      <c r="L609" s="6" t="inlineStr">
        <is>
          <t>MWh</t>
        </is>
      </c>
      <c r="M609" s="6" t="inlineStr">
        <is>
          <t>EBY</t>
        </is>
      </c>
      <c r="N609" s="6" t="inlineStr">
        <is>
          <t>OFFICIAL_PRIMARY</t>
        </is>
      </c>
      <c r="O609" s="9" t="inlineStr">
        <is>
          <t>OFFICIAL_AGGREGATE</t>
        </is>
      </c>
      <c r="P609" s="8" t="n">
        <v>1</v>
      </c>
      <c r="Q609" s="8" t="n">
        <v>50</v>
      </c>
      <c r="R609" s="7" t="inlineStr">
        <is>
          <t>https://www.eby.gov.py/wp-content/uploads/2019/12/YacyretaEnergiasMensualesDesdePuestaenMarcha.pdf</t>
        </is>
      </c>
      <c r="S609" s="6" t="inlineStr">
        <is>
          <t>EBY-MONTHLY-1994-2012</t>
        </is>
      </c>
      <c r="T609" s="6" t="inlineStr"/>
      <c r="U609" s="4" t="inlineStr">
        <is>
          <t>2026-09-10 23:00:00</t>
        </is>
      </c>
      <c r="V609" s="4" t="inlineStr">
        <is>
          <t>Energia mensual Yacyreta desde puesta en marcha.</t>
        </is>
      </c>
    </row>
    <row r="610">
      <c r="A610" s="6" t="inlineStr">
        <is>
          <t>R0000609</t>
        </is>
      </c>
      <c r="B610" s="6" t="inlineStr">
        <is>
          <t>2007-02-01</t>
        </is>
      </c>
      <c r="C610" s="6" t="inlineStr">
        <is>
          <t>2007-02-28</t>
        </is>
      </c>
      <c r="D610" s="6" t="inlineStr">
        <is>
          <t>month</t>
        </is>
      </c>
      <c r="E610" s="6" t="inlineStr">
        <is>
          <t>ENERGY_TO_ARGENTINA</t>
        </is>
      </c>
      <c r="F610" s="6" t="inlineStr">
        <is>
          <t>YACYRETA</t>
        </is>
      </c>
      <c r="G610" s="6" t="inlineStr">
        <is>
          <t>YACYRETA</t>
        </is>
      </c>
      <c r="H610" s="6" t="inlineStr">
        <is>
          <t>SADI</t>
        </is>
      </c>
      <c r="I610" s="8" t="n">
        <v>1034766</v>
      </c>
      <c r="J610" s="6" t="inlineStr">
        <is>
          <t>MWh</t>
        </is>
      </c>
      <c r="K610" s="8" t="n">
        <v>1034766</v>
      </c>
      <c r="L610" s="6" t="inlineStr">
        <is>
          <t>MWh</t>
        </is>
      </c>
      <c r="M610" s="6" t="inlineStr">
        <is>
          <t>EBY</t>
        </is>
      </c>
      <c r="N610" s="6" t="inlineStr">
        <is>
          <t>OFFICIAL_PRIMARY</t>
        </is>
      </c>
      <c r="O610" s="9" t="inlineStr">
        <is>
          <t>OFFICIAL_AGGREGATE</t>
        </is>
      </c>
      <c r="P610" s="8" t="n">
        <v>1</v>
      </c>
      <c r="Q610" s="8" t="n">
        <v>50</v>
      </c>
      <c r="R610" s="7" t="inlineStr">
        <is>
          <t>https://www.eby.gov.py/wp-content/uploads/2019/12/YacyretaEnergiasMensualesDesdePuestaenMarcha.pdf</t>
        </is>
      </c>
      <c r="S610" s="6" t="inlineStr">
        <is>
          <t>EBY-MONTHLY-1994-2012</t>
        </is>
      </c>
      <c r="T610" s="6" t="inlineStr"/>
      <c r="U610" s="4" t="inlineStr">
        <is>
          <t>2026-09-10 23:00:00</t>
        </is>
      </c>
      <c r="V610" s="4" t="inlineStr">
        <is>
          <t>Energia mensual entregada al SADI.</t>
        </is>
      </c>
    </row>
    <row r="611">
      <c r="A611" s="6" t="inlineStr">
        <is>
          <t>R0000610</t>
        </is>
      </c>
      <c r="B611" s="6" t="inlineStr">
        <is>
          <t>2007-02-01</t>
        </is>
      </c>
      <c r="C611" s="6" t="inlineStr">
        <is>
          <t>2007-02-28</t>
        </is>
      </c>
      <c r="D611" s="6" t="inlineStr">
        <is>
          <t>month</t>
        </is>
      </c>
      <c r="E611" s="6" t="inlineStr">
        <is>
          <t>ENERGY_TO_PY</t>
        </is>
      </c>
      <c r="F611" s="6" t="inlineStr">
        <is>
          <t>YACYRETA</t>
        </is>
      </c>
      <c r="G611" s="6" t="inlineStr">
        <is>
          <t>YACYRETA</t>
        </is>
      </c>
      <c r="H611" s="6" t="inlineStr">
        <is>
          <t>SINP</t>
        </is>
      </c>
      <c r="I611" s="8" t="n">
        <v>43065</v>
      </c>
      <c r="J611" s="6" t="inlineStr">
        <is>
          <t>MWh</t>
        </is>
      </c>
      <c r="K611" s="8" t="n">
        <v>43065</v>
      </c>
      <c r="L611" s="6" t="inlineStr">
        <is>
          <t>MWh</t>
        </is>
      </c>
      <c r="M611" s="6" t="inlineStr">
        <is>
          <t>EBY</t>
        </is>
      </c>
      <c r="N611" s="6" t="inlineStr">
        <is>
          <t>OFFICIAL_PRIMARY</t>
        </is>
      </c>
      <c r="O611" s="9" t="inlineStr">
        <is>
          <t>OFFICIAL_AGGREGATE</t>
        </is>
      </c>
      <c r="P611" s="8" t="n">
        <v>1</v>
      </c>
      <c r="Q611" s="8" t="n">
        <v>50</v>
      </c>
      <c r="R611" s="7" t="inlineStr">
        <is>
          <t>https://www.eby.gov.py/wp-content/uploads/2019/12/YacyretaEnergiasMensualesDesdePuestaenMarcha.pdf</t>
        </is>
      </c>
      <c r="S611" s="6" t="inlineStr">
        <is>
          <t>EBY-MONTHLY-1994-2012</t>
        </is>
      </c>
      <c r="T611" s="6" t="inlineStr"/>
      <c r="U611" s="4" t="inlineStr">
        <is>
          <t>2026-09-10 23:00:00</t>
        </is>
      </c>
      <c r="V611" s="4" t="inlineStr">
        <is>
          <t>Energia mensual entregada al SINP.</t>
        </is>
      </c>
    </row>
    <row r="612">
      <c r="A612" s="6" t="inlineStr">
        <is>
          <t>R0000611</t>
        </is>
      </c>
      <c r="B612" s="6" t="inlineStr">
        <is>
          <t>2007-03-01</t>
        </is>
      </c>
      <c r="C612" s="6" t="inlineStr">
        <is>
          <t>2007-03-31</t>
        </is>
      </c>
      <c r="D612" s="6" t="inlineStr">
        <is>
          <t>month</t>
        </is>
      </c>
      <c r="E612" s="6" t="inlineStr">
        <is>
          <t>YACYRETA_NET_ENERGY</t>
        </is>
      </c>
      <c r="F612" s="6" t="inlineStr">
        <is>
          <t>YACYRETA</t>
        </is>
      </c>
      <c r="G612" s="6" t="inlineStr">
        <is>
          <t>YACYRETA</t>
        </is>
      </c>
      <c r="H612" s="6" t="inlineStr">
        <is>
          <t>TOTAL</t>
        </is>
      </c>
      <c r="I612" s="8" t="n">
        <v>1313143</v>
      </c>
      <c r="J612" s="6" t="inlineStr">
        <is>
          <t>MWh</t>
        </is>
      </c>
      <c r="K612" s="8" t="n">
        <v>1313143</v>
      </c>
      <c r="L612" s="6" t="inlineStr">
        <is>
          <t>MWh</t>
        </is>
      </c>
      <c r="M612" s="6" t="inlineStr">
        <is>
          <t>EBY</t>
        </is>
      </c>
      <c r="N612" s="6" t="inlineStr">
        <is>
          <t>OFFICIAL_PRIMARY</t>
        </is>
      </c>
      <c r="O612" s="9" t="inlineStr">
        <is>
          <t>OFFICIAL_AGGREGATE</t>
        </is>
      </c>
      <c r="P612" s="8" t="n">
        <v>1</v>
      </c>
      <c r="Q612" s="8" t="n">
        <v>50</v>
      </c>
      <c r="R612" s="7" t="inlineStr">
        <is>
          <t>https://www.eby.gov.py/wp-content/uploads/2019/12/YacyretaEnergiasMensualesDesdePuestaenMarcha.pdf</t>
        </is>
      </c>
      <c r="S612" s="6" t="inlineStr">
        <is>
          <t>EBY-MONTHLY-1994-2012</t>
        </is>
      </c>
      <c r="T612" s="6" t="inlineStr"/>
      <c r="U612" s="4" t="inlineStr">
        <is>
          <t>2026-09-10 23:00:00</t>
        </is>
      </c>
      <c r="V612" s="4" t="inlineStr">
        <is>
          <t>Energia mensual Yacyreta desde puesta en marcha.</t>
        </is>
      </c>
    </row>
    <row r="613">
      <c r="A613" s="6" t="inlineStr">
        <is>
          <t>R0000612</t>
        </is>
      </c>
      <c r="B613" s="6" t="inlineStr">
        <is>
          <t>2007-03-01</t>
        </is>
      </c>
      <c r="C613" s="6" t="inlineStr">
        <is>
          <t>2007-03-31</t>
        </is>
      </c>
      <c r="D613" s="6" t="inlineStr">
        <is>
          <t>month</t>
        </is>
      </c>
      <c r="E613" s="6" t="inlineStr">
        <is>
          <t>ENERGY_TO_ARGENTINA</t>
        </is>
      </c>
      <c r="F613" s="6" t="inlineStr">
        <is>
          <t>YACYRETA</t>
        </is>
      </c>
      <c r="G613" s="6" t="inlineStr">
        <is>
          <t>YACYRETA</t>
        </is>
      </c>
      <c r="H613" s="6" t="inlineStr">
        <is>
          <t>SADI</t>
        </is>
      </c>
      <c r="I613" s="8" t="n">
        <v>1262488</v>
      </c>
      <c r="J613" s="6" t="inlineStr">
        <is>
          <t>MWh</t>
        </is>
      </c>
      <c r="K613" s="8" t="n">
        <v>1262488</v>
      </c>
      <c r="L613" s="6" t="inlineStr">
        <is>
          <t>MWh</t>
        </is>
      </c>
      <c r="M613" s="6" t="inlineStr">
        <is>
          <t>EBY</t>
        </is>
      </c>
      <c r="N613" s="6" t="inlineStr">
        <is>
          <t>OFFICIAL_PRIMARY</t>
        </is>
      </c>
      <c r="O613" s="9" t="inlineStr">
        <is>
          <t>OFFICIAL_AGGREGATE</t>
        </is>
      </c>
      <c r="P613" s="8" t="n">
        <v>1</v>
      </c>
      <c r="Q613" s="8" t="n">
        <v>50</v>
      </c>
      <c r="R613" s="7" t="inlineStr">
        <is>
          <t>https://www.eby.gov.py/wp-content/uploads/2019/12/YacyretaEnergiasMensualesDesdePuestaenMarcha.pdf</t>
        </is>
      </c>
      <c r="S613" s="6" t="inlineStr">
        <is>
          <t>EBY-MONTHLY-1994-2012</t>
        </is>
      </c>
      <c r="T613" s="6" t="inlineStr"/>
      <c r="U613" s="4" t="inlineStr">
        <is>
          <t>2026-09-10 23:00:00</t>
        </is>
      </c>
      <c r="V613" s="4" t="inlineStr">
        <is>
          <t>Energia mensual entregada al SADI.</t>
        </is>
      </c>
    </row>
    <row r="614">
      <c r="A614" s="6" t="inlineStr">
        <is>
          <t>R0000613</t>
        </is>
      </c>
      <c r="B614" s="6" t="inlineStr">
        <is>
          <t>2007-03-01</t>
        </is>
      </c>
      <c r="C614" s="6" t="inlineStr">
        <is>
          <t>2007-03-31</t>
        </is>
      </c>
      <c r="D614" s="6" t="inlineStr">
        <is>
          <t>month</t>
        </is>
      </c>
      <c r="E614" s="6" t="inlineStr">
        <is>
          <t>ENERGY_TO_PY</t>
        </is>
      </c>
      <c r="F614" s="6" t="inlineStr">
        <is>
          <t>YACYRETA</t>
        </is>
      </c>
      <c r="G614" s="6" t="inlineStr">
        <is>
          <t>YACYRETA</t>
        </is>
      </c>
      <c r="H614" s="6" t="inlineStr">
        <is>
          <t>SINP</t>
        </is>
      </c>
      <c r="I614" s="8" t="n">
        <v>50655</v>
      </c>
      <c r="J614" s="6" t="inlineStr">
        <is>
          <t>MWh</t>
        </is>
      </c>
      <c r="K614" s="8" t="n">
        <v>50655</v>
      </c>
      <c r="L614" s="6" t="inlineStr">
        <is>
          <t>MWh</t>
        </is>
      </c>
      <c r="M614" s="6" t="inlineStr">
        <is>
          <t>EBY</t>
        </is>
      </c>
      <c r="N614" s="6" t="inlineStr">
        <is>
          <t>OFFICIAL_PRIMARY</t>
        </is>
      </c>
      <c r="O614" s="9" t="inlineStr">
        <is>
          <t>OFFICIAL_AGGREGATE</t>
        </is>
      </c>
      <c r="P614" s="8" t="n">
        <v>1</v>
      </c>
      <c r="Q614" s="8" t="n">
        <v>50</v>
      </c>
      <c r="R614" s="7" t="inlineStr">
        <is>
          <t>https://www.eby.gov.py/wp-content/uploads/2019/12/YacyretaEnergiasMensualesDesdePuestaenMarcha.pdf</t>
        </is>
      </c>
      <c r="S614" s="6" t="inlineStr">
        <is>
          <t>EBY-MONTHLY-1994-2012</t>
        </is>
      </c>
      <c r="T614" s="6" t="inlineStr"/>
      <c r="U614" s="4" t="inlineStr">
        <is>
          <t>2026-09-10 23:00:00</t>
        </is>
      </c>
      <c r="V614" s="4" t="inlineStr">
        <is>
          <t>Energia mensual entregada al SINP.</t>
        </is>
      </c>
    </row>
    <row r="615">
      <c r="A615" s="6" t="inlineStr">
        <is>
          <t>R0000614</t>
        </is>
      </c>
      <c r="B615" s="6" t="inlineStr">
        <is>
          <t>2007-04-01</t>
        </is>
      </c>
      <c r="C615" s="6" t="inlineStr">
        <is>
          <t>2007-04-30</t>
        </is>
      </c>
      <c r="D615" s="6" t="inlineStr">
        <is>
          <t>month</t>
        </is>
      </c>
      <c r="E615" s="6" t="inlineStr">
        <is>
          <t>YACYRETA_NET_ENERGY</t>
        </is>
      </c>
      <c r="F615" s="6" t="inlineStr">
        <is>
          <t>YACYRETA</t>
        </is>
      </c>
      <c r="G615" s="6" t="inlineStr">
        <is>
          <t>YACYRETA</t>
        </is>
      </c>
      <c r="H615" s="6" t="inlineStr">
        <is>
          <t>TOTAL</t>
        </is>
      </c>
      <c r="I615" s="8" t="n">
        <v>1227323</v>
      </c>
      <c r="J615" s="6" t="inlineStr">
        <is>
          <t>MWh</t>
        </is>
      </c>
      <c r="K615" s="8" t="n">
        <v>1227323</v>
      </c>
      <c r="L615" s="6" t="inlineStr">
        <is>
          <t>MWh</t>
        </is>
      </c>
      <c r="M615" s="6" t="inlineStr">
        <is>
          <t>EBY</t>
        </is>
      </c>
      <c r="N615" s="6" t="inlineStr">
        <is>
          <t>OFFICIAL_PRIMARY</t>
        </is>
      </c>
      <c r="O615" s="9" t="inlineStr">
        <is>
          <t>OFFICIAL_AGGREGATE</t>
        </is>
      </c>
      <c r="P615" s="8" t="n">
        <v>1</v>
      </c>
      <c r="Q615" s="8" t="n">
        <v>50</v>
      </c>
      <c r="R615" s="7" t="inlineStr">
        <is>
          <t>https://www.eby.gov.py/wp-content/uploads/2019/12/YacyretaEnergiasMensualesDesdePuestaenMarcha.pdf</t>
        </is>
      </c>
      <c r="S615" s="6" t="inlineStr">
        <is>
          <t>EBY-MONTHLY-1994-2012</t>
        </is>
      </c>
      <c r="T615" s="6" t="inlineStr"/>
      <c r="U615" s="4" t="inlineStr">
        <is>
          <t>2026-09-10 23:00:00</t>
        </is>
      </c>
      <c r="V615" s="4" t="inlineStr">
        <is>
          <t>Energia mensual Yacyreta desde puesta en marcha.</t>
        </is>
      </c>
    </row>
    <row r="616">
      <c r="A616" s="6" t="inlineStr">
        <is>
          <t>R0000615</t>
        </is>
      </c>
      <c r="B616" s="6" t="inlineStr">
        <is>
          <t>2007-04-01</t>
        </is>
      </c>
      <c r="C616" s="6" t="inlineStr">
        <is>
          <t>2007-04-30</t>
        </is>
      </c>
      <c r="D616" s="6" t="inlineStr">
        <is>
          <t>month</t>
        </is>
      </c>
      <c r="E616" s="6" t="inlineStr">
        <is>
          <t>ENERGY_TO_ARGENTINA</t>
        </is>
      </c>
      <c r="F616" s="6" t="inlineStr">
        <is>
          <t>YACYRETA</t>
        </is>
      </c>
      <c r="G616" s="6" t="inlineStr">
        <is>
          <t>YACYRETA</t>
        </is>
      </c>
      <c r="H616" s="6" t="inlineStr">
        <is>
          <t>SADI</t>
        </is>
      </c>
      <c r="I616" s="8" t="n">
        <v>1201294</v>
      </c>
      <c r="J616" s="6" t="inlineStr">
        <is>
          <t>MWh</t>
        </is>
      </c>
      <c r="K616" s="8" t="n">
        <v>1201294</v>
      </c>
      <c r="L616" s="6" t="inlineStr">
        <is>
          <t>MWh</t>
        </is>
      </c>
      <c r="M616" s="6" t="inlineStr">
        <is>
          <t>EBY</t>
        </is>
      </c>
      <c r="N616" s="6" t="inlineStr">
        <is>
          <t>OFFICIAL_PRIMARY</t>
        </is>
      </c>
      <c r="O616" s="9" t="inlineStr">
        <is>
          <t>OFFICIAL_AGGREGATE</t>
        </is>
      </c>
      <c r="P616" s="8" t="n">
        <v>1</v>
      </c>
      <c r="Q616" s="8" t="n">
        <v>50</v>
      </c>
      <c r="R616" s="7" t="inlineStr">
        <is>
          <t>https://www.eby.gov.py/wp-content/uploads/2019/12/YacyretaEnergiasMensualesDesdePuestaenMarcha.pdf</t>
        </is>
      </c>
      <c r="S616" s="6" t="inlineStr">
        <is>
          <t>EBY-MONTHLY-1994-2012</t>
        </is>
      </c>
      <c r="T616" s="6" t="inlineStr"/>
      <c r="U616" s="4" t="inlineStr">
        <is>
          <t>2026-09-10 23:00:00</t>
        </is>
      </c>
      <c r="V616" s="4" t="inlineStr">
        <is>
          <t>Energia mensual entregada al SADI.</t>
        </is>
      </c>
    </row>
    <row r="617">
      <c r="A617" s="6" t="inlineStr">
        <is>
          <t>R0000616</t>
        </is>
      </c>
      <c r="B617" s="6" t="inlineStr">
        <is>
          <t>2007-04-01</t>
        </is>
      </c>
      <c r="C617" s="6" t="inlineStr">
        <is>
          <t>2007-04-30</t>
        </is>
      </c>
      <c r="D617" s="6" t="inlineStr">
        <is>
          <t>month</t>
        </is>
      </c>
      <c r="E617" s="6" t="inlineStr">
        <is>
          <t>ENERGY_TO_PY</t>
        </is>
      </c>
      <c r="F617" s="6" t="inlineStr">
        <is>
          <t>YACYRETA</t>
        </is>
      </c>
      <c r="G617" s="6" t="inlineStr">
        <is>
          <t>YACYRETA</t>
        </is>
      </c>
      <c r="H617" s="6" t="inlineStr">
        <is>
          <t>SINP</t>
        </is>
      </c>
      <c r="I617" s="8" t="n">
        <v>26029</v>
      </c>
      <c r="J617" s="6" t="inlineStr">
        <is>
          <t>MWh</t>
        </is>
      </c>
      <c r="K617" s="8" t="n">
        <v>26029</v>
      </c>
      <c r="L617" s="6" t="inlineStr">
        <is>
          <t>MWh</t>
        </is>
      </c>
      <c r="M617" s="6" t="inlineStr">
        <is>
          <t>EBY</t>
        </is>
      </c>
      <c r="N617" s="6" t="inlineStr">
        <is>
          <t>OFFICIAL_PRIMARY</t>
        </is>
      </c>
      <c r="O617" s="9" t="inlineStr">
        <is>
          <t>OFFICIAL_AGGREGATE</t>
        </is>
      </c>
      <c r="P617" s="8" t="n">
        <v>1</v>
      </c>
      <c r="Q617" s="8" t="n">
        <v>50</v>
      </c>
      <c r="R617" s="7" t="inlineStr">
        <is>
          <t>https://www.eby.gov.py/wp-content/uploads/2019/12/YacyretaEnergiasMensualesDesdePuestaenMarcha.pdf</t>
        </is>
      </c>
      <c r="S617" s="6" t="inlineStr">
        <is>
          <t>EBY-MONTHLY-1994-2012</t>
        </is>
      </c>
      <c r="T617" s="6" t="inlineStr"/>
      <c r="U617" s="4" t="inlineStr">
        <is>
          <t>2026-09-10 23:00:00</t>
        </is>
      </c>
      <c r="V617" s="4" t="inlineStr">
        <is>
          <t>Energia mensual entregada al SINP.</t>
        </is>
      </c>
    </row>
    <row r="618">
      <c r="A618" s="6" t="inlineStr">
        <is>
          <t>R0000617</t>
        </is>
      </c>
      <c r="B618" s="6" t="inlineStr">
        <is>
          <t>2007-05-01</t>
        </is>
      </c>
      <c r="C618" s="6" t="inlineStr">
        <is>
          <t>2007-05-31</t>
        </is>
      </c>
      <c r="D618" s="6" t="inlineStr">
        <is>
          <t>month</t>
        </is>
      </c>
      <c r="E618" s="6" t="inlineStr">
        <is>
          <t>YACYRETA_NET_ENERGY</t>
        </is>
      </c>
      <c r="F618" s="6" t="inlineStr">
        <is>
          <t>YACYRETA</t>
        </is>
      </c>
      <c r="G618" s="6" t="inlineStr">
        <is>
          <t>YACYRETA</t>
        </is>
      </c>
      <c r="H618" s="6" t="inlineStr">
        <is>
          <t>TOTAL</t>
        </is>
      </c>
      <c r="I618" s="8" t="n">
        <v>1376794</v>
      </c>
      <c r="J618" s="6" t="inlineStr">
        <is>
          <t>MWh</t>
        </is>
      </c>
      <c r="K618" s="8" t="n">
        <v>1376794</v>
      </c>
      <c r="L618" s="6" t="inlineStr">
        <is>
          <t>MWh</t>
        </is>
      </c>
      <c r="M618" s="6" t="inlineStr">
        <is>
          <t>EBY</t>
        </is>
      </c>
      <c r="N618" s="6" t="inlineStr">
        <is>
          <t>OFFICIAL_PRIMARY</t>
        </is>
      </c>
      <c r="O618" s="9" t="inlineStr">
        <is>
          <t>OFFICIAL_AGGREGATE</t>
        </is>
      </c>
      <c r="P618" s="8" t="n">
        <v>1</v>
      </c>
      <c r="Q618" s="8" t="n">
        <v>50</v>
      </c>
      <c r="R618" s="7" t="inlineStr">
        <is>
          <t>https://www.eby.gov.py/wp-content/uploads/2019/12/YacyretaEnergiasMensualesDesdePuestaenMarcha.pdf</t>
        </is>
      </c>
      <c r="S618" s="6" t="inlineStr">
        <is>
          <t>EBY-MONTHLY-1994-2012</t>
        </is>
      </c>
      <c r="T618" s="6" t="inlineStr"/>
      <c r="U618" s="4" t="inlineStr">
        <is>
          <t>2026-09-10 23:00:00</t>
        </is>
      </c>
      <c r="V618" s="4" t="inlineStr">
        <is>
          <t>Energia mensual Yacyreta desde puesta en marcha.</t>
        </is>
      </c>
    </row>
    <row r="619">
      <c r="A619" s="6" t="inlineStr">
        <is>
          <t>R0000618</t>
        </is>
      </c>
      <c r="B619" s="6" t="inlineStr">
        <is>
          <t>2007-05-01</t>
        </is>
      </c>
      <c r="C619" s="6" t="inlineStr">
        <is>
          <t>2007-05-31</t>
        </is>
      </c>
      <c r="D619" s="6" t="inlineStr">
        <is>
          <t>month</t>
        </is>
      </c>
      <c r="E619" s="6" t="inlineStr">
        <is>
          <t>ENERGY_TO_ARGENTINA</t>
        </is>
      </c>
      <c r="F619" s="6" t="inlineStr">
        <is>
          <t>YACYRETA</t>
        </is>
      </c>
      <c r="G619" s="6" t="inlineStr">
        <is>
          <t>YACYRETA</t>
        </is>
      </c>
      <c r="H619" s="6" t="inlineStr">
        <is>
          <t>SADI</t>
        </is>
      </c>
      <c r="I619" s="8" t="n">
        <v>1357562</v>
      </c>
      <c r="J619" s="6" t="inlineStr">
        <is>
          <t>MWh</t>
        </is>
      </c>
      <c r="K619" s="8" t="n">
        <v>1357562</v>
      </c>
      <c r="L619" s="6" t="inlineStr">
        <is>
          <t>MWh</t>
        </is>
      </c>
      <c r="M619" s="6" t="inlineStr">
        <is>
          <t>EBY</t>
        </is>
      </c>
      <c r="N619" s="6" t="inlineStr">
        <is>
          <t>OFFICIAL_PRIMARY</t>
        </is>
      </c>
      <c r="O619" s="9" t="inlineStr">
        <is>
          <t>OFFICIAL_AGGREGATE</t>
        </is>
      </c>
      <c r="P619" s="8" t="n">
        <v>1</v>
      </c>
      <c r="Q619" s="8" t="n">
        <v>50</v>
      </c>
      <c r="R619" s="7" t="inlineStr">
        <is>
          <t>https://www.eby.gov.py/wp-content/uploads/2019/12/YacyretaEnergiasMensualesDesdePuestaenMarcha.pdf</t>
        </is>
      </c>
      <c r="S619" s="6" t="inlineStr">
        <is>
          <t>EBY-MONTHLY-1994-2012</t>
        </is>
      </c>
      <c r="T619" s="6" t="inlineStr"/>
      <c r="U619" s="4" t="inlineStr">
        <is>
          <t>2026-09-10 23:00:00</t>
        </is>
      </c>
      <c r="V619" s="4" t="inlineStr">
        <is>
          <t>Energia mensual entregada al SADI.</t>
        </is>
      </c>
    </row>
    <row r="620">
      <c r="A620" s="6" t="inlineStr">
        <is>
          <t>R0000619</t>
        </is>
      </c>
      <c r="B620" s="6" t="inlineStr">
        <is>
          <t>2007-05-01</t>
        </is>
      </c>
      <c r="C620" s="6" t="inlineStr">
        <is>
          <t>2007-05-31</t>
        </is>
      </c>
      <c r="D620" s="6" t="inlineStr">
        <is>
          <t>month</t>
        </is>
      </c>
      <c r="E620" s="6" t="inlineStr">
        <is>
          <t>ENERGY_TO_PY</t>
        </is>
      </c>
      <c r="F620" s="6" t="inlineStr">
        <is>
          <t>YACYRETA</t>
        </is>
      </c>
      <c r="G620" s="6" t="inlineStr">
        <is>
          <t>YACYRETA</t>
        </is>
      </c>
      <c r="H620" s="6" t="inlineStr">
        <is>
          <t>SINP</t>
        </is>
      </c>
      <c r="I620" s="8" t="n">
        <v>19232</v>
      </c>
      <c r="J620" s="6" t="inlineStr">
        <is>
          <t>MWh</t>
        </is>
      </c>
      <c r="K620" s="8" t="n">
        <v>19232</v>
      </c>
      <c r="L620" s="6" t="inlineStr">
        <is>
          <t>MWh</t>
        </is>
      </c>
      <c r="M620" s="6" t="inlineStr">
        <is>
          <t>EBY</t>
        </is>
      </c>
      <c r="N620" s="6" t="inlineStr">
        <is>
          <t>OFFICIAL_PRIMARY</t>
        </is>
      </c>
      <c r="O620" s="9" t="inlineStr">
        <is>
          <t>OFFICIAL_AGGREGATE</t>
        </is>
      </c>
      <c r="P620" s="8" t="n">
        <v>1</v>
      </c>
      <c r="Q620" s="8" t="n">
        <v>50</v>
      </c>
      <c r="R620" s="7" t="inlineStr">
        <is>
          <t>https://www.eby.gov.py/wp-content/uploads/2019/12/YacyretaEnergiasMensualesDesdePuestaenMarcha.pdf</t>
        </is>
      </c>
      <c r="S620" s="6" t="inlineStr">
        <is>
          <t>EBY-MONTHLY-1994-2012</t>
        </is>
      </c>
      <c r="T620" s="6" t="inlineStr"/>
      <c r="U620" s="4" t="inlineStr">
        <is>
          <t>2026-09-10 23:00:00</t>
        </is>
      </c>
      <c r="V620" s="4" t="inlineStr">
        <is>
          <t>Energia mensual entregada al SINP.</t>
        </is>
      </c>
    </row>
    <row r="621">
      <c r="A621" s="6" t="inlineStr">
        <is>
          <t>R0000620</t>
        </is>
      </c>
      <c r="B621" s="6" t="inlineStr">
        <is>
          <t>2007-06-01</t>
        </is>
      </c>
      <c r="C621" s="6" t="inlineStr">
        <is>
          <t>2007-06-30</t>
        </is>
      </c>
      <c r="D621" s="6" t="inlineStr">
        <is>
          <t>month</t>
        </is>
      </c>
      <c r="E621" s="6" t="inlineStr">
        <is>
          <t>YACYRETA_NET_ENERGY</t>
        </is>
      </c>
      <c r="F621" s="6" t="inlineStr">
        <is>
          <t>YACYRETA</t>
        </is>
      </c>
      <c r="G621" s="6" t="inlineStr">
        <is>
          <t>YACYRETA</t>
        </is>
      </c>
      <c r="H621" s="6" t="inlineStr">
        <is>
          <t>TOTAL</t>
        </is>
      </c>
      <c r="I621" s="8" t="n">
        <v>1176103</v>
      </c>
      <c r="J621" s="6" t="inlineStr">
        <is>
          <t>MWh</t>
        </is>
      </c>
      <c r="K621" s="8" t="n">
        <v>1176103</v>
      </c>
      <c r="L621" s="6" t="inlineStr">
        <is>
          <t>MWh</t>
        </is>
      </c>
      <c r="M621" s="6" t="inlineStr">
        <is>
          <t>EBY</t>
        </is>
      </c>
      <c r="N621" s="6" t="inlineStr">
        <is>
          <t>OFFICIAL_PRIMARY</t>
        </is>
      </c>
      <c r="O621" s="9" t="inlineStr">
        <is>
          <t>OFFICIAL_AGGREGATE</t>
        </is>
      </c>
      <c r="P621" s="8" t="n">
        <v>1</v>
      </c>
      <c r="Q621" s="8" t="n">
        <v>50</v>
      </c>
      <c r="R621" s="7" t="inlineStr">
        <is>
          <t>https://www.eby.gov.py/wp-content/uploads/2019/12/YacyretaEnergiasMensualesDesdePuestaenMarcha.pdf</t>
        </is>
      </c>
      <c r="S621" s="6" t="inlineStr">
        <is>
          <t>EBY-MONTHLY-1994-2012</t>
        </is>
      </c>
      <c r="T621" s="6" t="inlineStr"/>
      <c r="U621" s="4" t="inlineStr">
        <is>
          <t>2026-09-10 23:00:00</t>
        </is>
      </c>
      <c r="V621" s="4" t="inlineStr">
        <is>
          <t>Energia mensual Yacyreta desde puesta en marcha.</t>
        </is>
      </c>
    </row>
    <row r="622">
      <c r="A622" s="6" t="inlineStr">
        <is>
          <t>R0000621</t>
        </is>
      </c>
      <c r="B622" s="6" t="inlineStr">
        <is>
          <t>2007-06-01</t>
        </is>
      </c>
      <c r="C622" s="6" t="inlineStr">
        <is>
          <t>2007-06-30</t>
        </is>
      </c>
      <c r="D622" s="6" t="inlineStr">
        <is>
          <t>month</t>
        </is>
      </c>
      <c r="E622" s="6" t="inlineStr">
        <is>
          <t>ENERGY_TO_ARGENTINA</t>
        </is>
      </c>
      <c r="F622" s="6" t="inlineStr">
        <is>
          <t>YACYRETA</t>
        </is>
      </c>
      <c r="G622" s="6" t="inlineStr">
        <is>
          <t>YACYRETA</t>
        </is>
      </c>
      <c r="H622" s="6" t="inlineStr">
        <is>
          <t>SADI</t>
        </is>
      </c>
      <c r="I622" s="8" t="n">
        <v>1141904</v>
      </c>
      <c r="J622" s="6" t="inlineStr">
        <is>
          <t>MWh</t>
        </is>
      </c>
      <c r="K622" s="8" t="n">
        <v>1141904</v>
      </c>
      <c r="L622" s="6" t="inlineStr">
        <is>
          <t>MWh</t>
        </is>
      </c>
      <c r="M622" s="6" t="inlineStr">
        <is>
          <t>EBY</t>
        </is>
      </c>
      <c r="N622" s="6" t="inlineStr">
        <is>
          <t>OFFICIAL_PRIMARY</t>
        </is>
      </c>
      <c r="O622" s="9" t="inlineStr">
        <is>
          <t>OFFICIAL_AGGREGATE</t>
        </is>
      </c>
      <c r="P622" s="8" t="n">
        <v>1</v>
      </c>
      <c r="Q622" s="8" t="n">
        <v>50</v>
      </c>
      <c r="R622" s="7" t="inlineStr">
        <is>
          <t>https://www.eby.gov.py/wp-content/uploads/2019/12/YacyretaEnergiasMensualesDesdePuestaenMarcha.pdf</t>
        </is>
      </c>
      <c r="S622" s="6" t="inlineStr">
        <is>
          <t>EBY-MONTHLY-1994-2012</t>
        </is>
      </c>
      <c r="T622" s="6" t="inlineStr"/>
      <c r="U622" s="4" t="inlineStr">
        <is>
          <t>2026-09-10 23:00:00</t>
        </is>
      </c>
      <c r="V622" s="4" t="inlineStr">
        <is>
          <t>Energia mensual entregada al SADI.</t>
        </is>
      </c>
    </row>
    <row r="623">
      <c r="A623" s="6" t="inlineStr">
        <is>
          <t>R0000622</t>
        </is>
      </c>
      <c r="B623" s="6" t="inlineStr">
        <is>
          <t>2007-06-01</t>
        </is>
      </c>
      <c r="C623" s="6" t="inlineStr">
        <is>
          <t>2007-06-30</t>
        </is>
      </c>
      <c r="D623" s="6" t="inlineStr">
        <is>
          <t>month</t>
        </is>
      </c>
      <c r="E623" s="6" t="inlineStr">
        <is>
          <t>ENERGY_TO_PY</t>
        </is>
      </c>
      <c r="F623" s="6" t="inlineStr">
        <is>
          <t>YACYRETA</t>
        </is>
      </c>
      <c r="G623" s="6" t="inlineStr">
        <is>
          <t>YACYRETA</t>
        </is>
      </c>
      <c r="H623" s="6" t="inlineStr">
        <is>
          <t>SINP</t>
        </is>
      </c>
      <c r="I623" s="8" t="n">
        <v>34199</v>
      </c>
      <c r="J623" s="6" t="inlineStr">
        <is>
          <t>MWh</t>
        </is>
      </c>
      <c r="K623" s="8" t="n">
        <v>34199</v>
      </c>
      <c r="L623" s="6" t="inlineStr">
        <is>
          <t>MWh</t>
        </is>
      </c>
      <c r="M623" s="6" t="inlineStr">
        <is>
          <t>EBY</t>
        </is>
      </c>
      <c r="N623" s="6" t="inlineStr">
        <is>
          <t>OFFICIAL_PRIMARY</t>
        </is>
      </c>
      <c r="O623" s="9" t="inlineStr">
        <is>
          <t>OFFICIAL_AGGREGATE</t>
        </is>
      </c>
      <c r="P623" s="8" t="n">
        <v>1</v>
      </c>
      <c r="Q623" s="8" t="n">
        <v>50</v>
      </c>
      <c r="R623" s="7" t="inlineStr">
        <is>
          <t>https://www.eby.gov.py/wp-content/uploads/2019/12/YacyretaEnergiasMensualesDesdePuestaenMarcha.pdf</t>
        </is>
      </c>
      <c r="S623" s="6" t="inlineStr">
        <is>
          <t>EBY-MONTHLY-1994-2012</t>
        </is>
      </c>
      <c r="T623" s="6" t="inlineStr"/>
      <c r="U623" s="4" t="inlineStr">
        <is>
          <t>2026-09-10 23:00:00</t>
        </is>
      </c>
      <c r="V623" s="4" t="inlineStr">
        <is>
          <t>Energia mensual entregada al SINP.</t>
        </is>
      </c>
    </row>
    <row r="624">
      <c r="A624" s="6" t="inlineStr">
        <is>
          <t>R0000623</t>
        </is>
      </c>
      <c r="B624" s="6" t="inlineStr">
        <is>
          <t>2007-07-01</t>
        </is>
      </c>
      <c r="C624" s="6" t="inlineStr">
        <is>
          <t>2007-07-31</t>
        </is>
      </c>
      <c r="D624" s="6" t="inlineStr">
        <is>
          <t>month</t>
        </is>
      </c>
      <c r="E624" s="6" t="inlineStr">
        <is>
          <t>YACYRETA_NET_ENERGY</t>
        </is>
      </c>
      <c r="F624" s="6" t="inlineStr">
        <is>
          <t>YACYRETA</t>
        </is>
      </c>
      <c r="G624" s="6" t="inlineStr">
        <is>
          <t>YACYRETA</t>
        </is>
      </c>
      <c r="H624" s="6" t="inlineStr">
        <is>
          <t>TOTAL</t>
        </is>
      </c>
      <c r="I624" s="8" t="n">
        <v>1209634</v>
      </c>
      <c r="J624" s="6" t="inlineStr">
        <is>
          <t>MWh</t>
        </is>
      </c>
      <c r="K624" s="8" t="n">
        <v>1209634</v>
      </c>
      <c r="L624" s="6" t="inlineStr">
        <is>
          <t>MWh</t>
        </is>
      </c>
      <c r="M624" s="6" t="inlineStr">
        <is>
          <t>EBY</t>
        </is>
      </c>
      <c r="N624" s="6" t="inlineStr">
        <is>
          <t>OFFICIAL_PRIMARY</t>
        </is>
      </c>
      <c r="O624" s="9" t="inlineStr">
        <is>
          <t>OFFICIAL_AGGREGATE</t>
        </is>
      </c>
      <c r="P624" s="8" t="n">
        <v>1</v>
      </c>
      <c r="Q624" s="8" t="n">
        <v>50</v>
      </c>
      <c r="R624" s="7" t="inlineStr">
        <is>
          <t>https://www.eby.gov.py/wp-content/uploads/2019/12/YacyretaEnergiasMensualesDesdePuestaenMarcha.pdf</t>
        </is>
      </c>
      <c r="S624" s="6" t="inlineStr">
        <is>
          <t>EBY-MONTHLY-1994-2012</t>
        </is>
      </c>
      <c r="T624" s="6" t="inlineStr"/>
      <c r="U624" s="4" t="inlineStr">
        <is>
          <t>2026-09-10 23:00:00</t>
        </is>
      </c>
      <c r="V624" s="4" t="inlineStr">
        <is>
          <t>Energia mensual Yacyreta desde puesta en marcha.</t>
        </is>
      </c>
    </row>
    <row r="625">
      <c r="A625" s="6" t="inlineStr">
        <is>
          <t>R0000624</t>
        </is>
      </c>
      <c r="B625" s="6" t="inlineStr">
        <is>
          <t>2007-07-01</t>
        </is>
      </c>
      <c r="C625" s="6" t="inlineStr">
        <is>
          <t>2007-07-31</t>
        </is>
      </c>
      <c r="D625" s="6" t="inlineStr">
        <is>
          <t>month</t>
        </is>
      </c>
      <c r="E625" s="6" t="inlineStr">
        <is>
          <t>ENERGY_TO_ARGENTINA</t>
        </is>
      </c>
      <c r="F625" s="6" t="inlineStr">
        <is>
          <t>YACYRETA</t>
        </is>
      </c>
      <c r="G625" s="6" t="inlineStr">
        <is>
          <t>YACYRETA</t>
        </is>
      </c>
      <c r="H625" s="6" t="inlineStr">
        <is>
          <t>SADI</t>
        </is>
      </c>
      <c r="I625" s="8" t="n">
        <v>1190040</v>
      </c>
      <c r="J625" s="6" t="inlineStr">
        <is>
          <t>MWh</t>
        </is>
      </c>
      <c r="K625" s="8" t="n">
        <v>1190040</v>
      </c>
      <c r="L625" s="6" t="inlineStr">
        <is>
          <t>MWh</t>
        </is>
      </c>
      <c r="M625" s="6" t="inlineStr">
        <is>
          <t>EBY</t>
        </is>
      </c>
      <c r="N625" s="6" t="inlineStr">
        <is>
          <t>OFFICIAL_PRIMARY</t>
        </is>
      </c>
      <c r="O625" s="9" t="inlineStr">
        <is>
          <t>OFFICIAL_AGGREGATE</t>
        </is>
      </c>
      <c r="P625" s="8" t="n">
        <v>1</v>
      </c>
      <c r="Q625" s="8" t="n">
        <v>50</v>
      </c>
      <c r="R625" s="7" t="inlineStr">
        <is>
          <t>https://www.eby.gov.py/wp-content/uploads/2019/12/YacyretaEnergiasMensualesDesdePuestaenMarcha.pdf</t>
        </is>
      </c>
      <c r="S625" s="6" t="inlineStr">
        <is>
          <t>EBY-MONTHLY-1994-2012</t>
        </is>
      </c>
      <c r="T625" s="6" t="inlineStr"/>
      <c r="U625" s="4" t="inlineStr">
        <is>
          <t>2026-09-10 23:00:00</t>
        </is>
      </c>
      <c r="V625" s="4" t="inlineStr">
        <is>
          <t>Energia mensual entregada al SADI.</t>
        </is>
      </c>
    </row>
    <row r="626">
      <c r="A626" s="6" t="inlineStr">
        <is>
          <t>R0000625</t>
        </is>
      </c>
      <c r="B626" s="6" t="inlineStr">
        <is>
          <t>2007-07-01</t>
        </is>
      </c>
      <c r="C626" s="6" t="inlineStr">
        <is>
          <t>2007-07-31</t>
        </is>
      </c>
      <c r="D626" s="6" t="inlineStr">
        <is>
          <t>month</t>
        </is>
      </c>
      <c r="E626" s="6" t="inlineStr">
        <is>
          <t>ENERGY_TO_PY</t>
        </is>
      </c>
      <c r="F626" s="6" t="inlineStr">
        <is>
          <t>YACYRETA</t>
        </is>
      </c>
      <c r="G626" s="6" t="inlineStr">
        <is>
          <t>YACYRETA</t>
        </is>
      </c>
      <c r="H626" s="6" t="inlineStr">
        <is>
          <t>SINP</t>
        </is>
      </c>
      <c r="I626" s="8" t="n">
        <v>19594</v>
      </c>
      <c r="J626" s="6" t="inlineStr">
        <is>
          <t>MWh</t>
        </is>
      </c>
      <c r="K626" s="8" t="n">
        <v>19594</v>
      </c>
      <c r="L626" s="6" t="inlineStr">
        <is>
          <t>MWh</t>
        </is>
      </c>
      <c r="M626" s="6" t="inlineStr">
        <is>
          <t>EBY</t>
        </is>
      </c>
      <c r="N626" s="6" t="inlineStr">
        <is>
          <t>OFFICIAL_PRIMARY</t>
        </is>
      </c>
      <c r="O626" s="9" t="inlineStr">
        <is>
          <t>OFFICIAL_AGGREGATE</t>
        </is>
      </c>
      <c r="P626" s="8" t="n">
        <v>1</v>
      </c>
      <c r="Q626" s="8" t="n">
        <v>50</v>
      </c>
      <c r="R626" s="7" t="inlineStr">
        <is>
          <t>https://www.eby.gov.py/wp-content/uploads/2019/12/YacyretaEnergiasMensualesDesdePuestaenMarcha.pdf</t>
        </is>
      </c>
      <c r="S626" s="6" t="inlineStr">
        <is>
          <t>EBY-MONTHLY-1994-2012</t>
        </is>
      </c>
      <c r="T626" s="6" t="inlineStr"/>
      <c r="U626" s="4" t="inlineStr">
        <is>
          <t>2026-09-10 23:00:00</t>
        </is>
      </c>
      <c r="V626" s="4" t="inlineStr">
        <is>
          <t>Energia mensual entregada al SINP.</t>
        </is>
      </c>
    </row>
    <row r="627">
      <c r="A627" s="6" t="inlineStr">
        <is>
          <t>R0000626</t>
        </is>
      </c>
      <c r="B627" s="6" t="inlineStr">
        <is>
          <t>2007-08-01</t>
        </is>
      </c>
      <c r="C627" s="6" t="inlineStr">
        <is>
          <t>2007-08-31</t>
        </is>
      </c>
      <c r="D627" s="6" t="inlineStr">
        <is>
          <t>month</t>
        </is>
      </c>
      <c r="E627" s="6" t="inlineStr">
        <is>
          <t>YACYRETA_NET_ENERGY</t>
        </is>
      </c>
      <c r="F627" s="6" t="inlineStr">
        <is>
          <t>YACYRETA</t>
        </is>
      </c>
      <c r="G627" s="6" t="inlineStr">
        <is>
          <t>YACYRETA</t>
        </is>
      </c>
      <c r="H627" s="6" t="inlineStr">
        <is>
          <t>TOTAL</t>
        </is>
      </c>
      <c r="I627" s="8" t="n">
        <v>1160662</v>
      </c>
      <c r="J627" s="6" t="inlineStr">
        <is>
          <t>MWh</t>
        </is>
      </c>
      <c r="K627" s="8" t="n">
        <v>1160662</v>
      </c>
      <c r="L627" s="6" t="inlineStr">
        <is>
          <t>MWh</t>
        </is>
      </c>
      <c r="M627" s="6" t="inlineStr">
        <is>
          <t>EBY</t>
        </is>
      </c>
      <c r="N627" s="6" t="inlineStr">
        <is>
          <t>OFFICIAL_PRIMARY</t>
        </is>
      </c>
      <c r="O627" s="9" t="inlineStr">
        <is>
          <t>OFFICIAL_AGGREGATE</t>
        </is>
      </c>
      <c r="P627" s="8" t="n">
        <v>1</v>
      </c>
      <c r="Q627" s="8" t="n">
        <v>50</v>
      </c>
      <c r="R627" s="7" t="inlineStr">
        <is>
          <t>https://www.eby.gov.py/wp-content/uploads/2019/12/YacyretaEnergiasMensualesDesdePuestaenMarcha.pdf</t>
        </is>
      </c>
      <c r="S627" s="6" t="inlineStr">
        <is>
          <t>EBY-MONTHLY-1994-2012</t>
        </is>
      </c>
      <c r="T627" s="6" t="inlineStr"/>
      <c r="U627" s="4" t="inlineStr">
        <is>
          <t>2026-09-10 23:00:00</t>
        </is>
      </c>
      <c r="V627" s="4" t="inlineStr">
        <is>
          <t>Energia mensual Yacyreta desde puesta en marcha.</t>
        </is>
      </c>
    </row>
    <row r="628">
      <c r="A628" s="6" t="inlineStr">
        <is>
          <t>R0000627</t>
        </is>
      </c>
      <c r="B628" s="6" t="inlineStr">
        <is>
          <t>2007-08-01</t>
        </is>
      </c>
      <c r="C628" s="6" t="inlineStr">
        <is>
          <t>2007-08-31</t>
        </is>
      </c>
      <c r="D628" s="6" t="inlineStr">
        <is>
          <t>month</t>
        </is>
      </c>
      <c r="E628" s="6" t="inlineStr">
        <is>
          <t>ENERGY_TO_ARGENTINA</t>
        </is>
      </c>
      <c r="F628" s="6" t="inlineStr">
        <is>
          <t>YACYRETA</t>
        </is>
      </c>
      <c r="G628" s="6" t="inlineStr">
        <is>
          <t>YACYRETA</t>
        </is>
      </c>
      <c r="H628" s="6" t="inlineStr">
        <is>
          <t>SADI</t>
        </is>
      </c>
      <c r="I628" s="8" t="n">
        <v>1142218</v>
      </c>
      <c r="J628" s="6" t="inlineStr">
        <is>
          <t>MWh</t>
        </is>
      </c>
      <c r="K628" s="8" t="n">
        <v>1142218</v>
      </c>
      <c r="L628" s="6" t="inlineStr">
        <is>
          <t>MWh</t>
        </is>
      </c>
      <c r="M628" s="6" t="inlineStr">
        <is>
          <t>EBY</t>
        </is>
      </c>
      <c r="N628" s="6" t="inlineStr">
        <is>
          <t>OFFICIAL_PRIMARY</t>
        </is>
      </c>
      <c r="O628" s="9" t="inlineStr">
        <is>
          <t>OFFICIAL_AGGREGATE</t>
        </is>
      </c>
      <c r="P628" s="8" t="n">
        <v>1</v>
      </c>
      <c r="Q628" s="8" t="n">
        <v>50</v>
      </c>
      <c r="R628" s="7" t="inlineStr">
        <is>
          <t>https://www.eby.gov.py/wp-content/uploads/2019/12/YacyretaEnergiasMensualesDesdePuestaenMarcha.pdf</t>
        </is>
      </c>
      <c r="S628" s="6" t="inlineStr">
        <is>
          <t>EBY-MONTHLY-1994-2012</t>
        </is>
      </c>
      <c r="T628" s="6" t="inlineStr"/>
      <c r="U628" s="4" t="inlineStr">
        <is>
          <t>2026-09-10 23:00:00</t>
        </is>
      </c>
      <c r="V628" s="4" t="inlineStr">
        <is>
          <t>Energia mensual entregada al SADI.</t>
        </is>
      </c>
    </row>
    <row r="629">
      <c r="A629" s="6" t="inlineStr">
        <is>
          <t>R0000628</t>
        </is>
      </c>
      <c r="B629" s="6" t="inlineStr">
        <is>
          <t>2007-08-01</t>
        </is>
      </c>
      <c r="C629" s="6" t="inlineStr">
        <is>
          <t>2007-08-31</t>
        </is>
      </c>
      <c r="D629" s="6" t="inlineStr">
        <is>
          <t>month</t>
        </is>
      </c>
      <c r="E629" s="6" t="inlineStr">
        <is>
          <t>ENERGY_TO_PY</t>
        </is>
      </c>
      <c r="F629" s="6" t="inlineStr">
        <is>
          <t>YACYRETA</t>
        </is>
      </c>
      <c r="G629" s="6" t="inlineStr">
        <is>
          <t>YACYRETA</t>
        </is>
      </c>
      <c r="H629" s="6" t="inlineStr">
        <is>
          <t>SINP</t>
        </is>
      </c>
      <c r="I629" s="8" t="n">
        <v>18444</v>
      </c>
      <c r="J629" s="6" t="inlineStr">
        <is>
          <t>MWh</t>
        </is>
      </c>
      <c r="K629" s="8" t="n">
        <v>18444</v>
      </c>
      <c r="L629" s="6" t="inlineStr">
        <is>
          <t>MWh</t>
        </is>
      </c>
      <c r="M629" s="6" t="inlineStr">
        <is>
          <t>EBY</t>
        </is>
      </c>
      <c r="N629" s="6" t="inlineStr">
        <is>
          <t>OFFICIAL_PRIMARY</t>
        </is>
      </c>
      <c r="O629" s="9" t="inlineStr">
        <is>
          <t>OFFICIAL_AGGREGATE</t>
        </is>
      </c>
      <c r="P629" s="8" t="n">
        <v>1</v>
      </c>
      <c r="Q629" s="8" t="n">
        <v>50</v>
      </c>
      <c r="R629" s="7" t="inlineStr">
        <is>
          <t>https://www.eby.gov.py/wp-content/uploads/2019/12/YacyretaEnergiasMensualesDesdePuestaenMarcha.pdf</t>
        </is>
      </c>
      <c r="S629" s="6" t="inlineStr">
        <is>
          <t>EBY-MONTHLY-1994-2012</t>
        </is>
      </c>
      <c r="T629" s="6" t="inlineStr"/>
      <c r="U629" s="4" t="inlineStr">
        <is>
          <t>2026-09-10 23:00:00</t>
        </is>
      </c>
      <c r="V629" s="4" t="inlineStr">
        <is>
          <t>Energia mensual entregada al SINP.</t>
        </is>
      </c>
    </row>
    <row r="630">
      <c r="A630" s="6" t="inlineStr">
        <is>
          <t>R0000629</t>
        </is>
      </c>
      <c r="B630" s="6" t="inlineStr">
        <is>
          <t>2007-09-01</t>
        </is>
      </c>
      <c r="C630" s="6" t="inlineStr">
        <is>
          <t>2007-09-30</t>
        </is>
      </c>
      <c r="D630" s="6" t="inlineStr">
        <is>
          <t>month</t>
        </is>
      </c>
      <c r="E630" s="6" t="inlineStr">
        <is>
          <t>YACYRETA_NET_ENERGY</t>
        </is>
      </c>
      <c r="F630" s="6" t="inlineStr">
        <is>
          <t>YACYRETA</t>
        </is>
      </c>
      <c r="G630" s="6" t="inlineStr">
        <is>
          <t>YACYRETA</t>
        </is>
      </c>
      <c r="H630" s="6" t="inlineStr">
        <is>
          <t>TOTAL</t>
        </is>
      </c>
      <c r="I630" s="8" t="n">
        <v>1106892</v>
      </c>
      <c r="J630" s="6" t="inlineStr">
        <is>
          <t>MWh</t>
        </is>
      </c>
      <c r="K630" s="8" t="n">
        <v>1106892</v>
      </c>
      <c r="L630" s="6" t="inlineStr">
        <is>
          <t>MWh</t>
        </is>
      </c>
      <c r="M630" s="6" t="inlineStr">
        <is>
          <t>EBY</t>
        </is>
      </c>
      <c r="N630" s="6" t="inlineStr">
        <is>
          <t>OFFICIAL_PRIMARY</t>
        </is>
      </c>
      <c r="O630" s="9" t="inlineStr">
        <is>
          <t>OFFICIAL_AGGREGATE</t>
        </is>
      </c>
      <c r="P630" s="8" t="n">
        <v>1</v>
      </c>
      <c r="Q630" s="8" t="n">
        <v>50</v>
      </c>
      <c r="R630" s="7" t="inlineStr">
        <is>
          <t>https://www.eby.gov.py/wp-content/uploads/2019/12/YacyretaEnergiasMensualesDesdePuestaenMarcha.pdf</t>
        </is>
      </c>
      <c r="S630" s="6" t="inlineStr">
        <is>
          <t>EBY-MONTHLY-1994-2012</t>
        </is>
      </c>
      <c r="T630" s="6" t="inlineStr"/>
      <c r="U630" s="4" t="inlineStr">
        <is>
          <t>2026-09-10 23:00:00</t>
        </is>
      </c>
      <c r="V630" s="4" t="inlineStr">
        <is>
          <t>Energia mensual Yacyreta desde puesta en marcha.</t>
        </is>
      </c>
    </row>
    <row r="631">
      <c r="A631" s="6" t="inlineStr">
        <is>
          <t>R0000630</t>
        </is>
      </c>
      <c r="B631" s="6" t="inlineStr">
        <is>
          <t>2007-09-01</t>
        </is>
      </c>
      <c r="C631" s="6" t="inlineStr">
        <is>
          <t>2007-09-30</t>
        </is>
      </c>
      <c r="D631" s="6" t="inlineStr">
        <is>
          <t>month</t>
        </is>
      </c>
      <c r="E631" s="6" t="inlineStr">
        <is>
          <t>ENERGY_TO_ARGENTINA</t>
        </is>
      </c>
      <c r="F631" s="6" t="inlineStr">
        <is>
          <t>YACYRETA</t>
        </is>
      </c>
      <c r="G631" s="6" t="inlineStr">
        <is>
          <t>YACYRETA</t>
        </is>
      </c>
      <c r="H631" s="6" t="inlineStr">
        <is>
          <t>SADI</t>
        </is>
      </c>
      <c r="I631" s="8" t="n">
        <v>1062676</v>
      </c>
      <c r="J631" s="6" t="inlineStr">
        <is>
          <t>MWh</t>
        </is>
      </c>
      <c r="K631" s="8" t="n">
        <v>1062676</v>
      </c>
      <c r="L631" s="6" t="inlineStr">
        <is>
          <t>MWh</t>
        </is>
      </c>
      <c r="M631" s="6" t="inlineStr">
        <is>
          <t>EBY</t>
        </is>
      </c>
      <c r="N631" s="6" t="inlineStr">
        <is>
          <t>OFFICIAL_PRIMARY</t>
        </is>
      </c>
      <c r="O631" s="9" t="inlineStr">
        <is>
          <t>OFFICIAL_AGGREGATE</t>
        </is>
      </c>
      <c r="P631" s="8" t="n">
        <v>1</v>
      </c>
      <c r="Q631" s="8" t="n">
        <v>50</v>
      </c>
      <c r="R631" s="7" t="inlineStr">
        <is>
          <t>https://www.eby.gov.py/wp-content/uploads/2019/12/YacyretaEnergiasMensualesDesdePuestaenMarcha.pdf</t>
        </is>
      </c>
      <c r="S631" s="6" t="inlineStr">
        <is>
          <t>EBY-MONTHLY-1994-2012</t>
        </is>
      </c>
      <c r="T631" s="6" t="inlineStr"/>
      <c r="U631" s="4" t="inlineStr">
        <is>
          <t>2026-09-10 23:00:00</t>
        </is>
      </c>
      <c r="V631" s="4" t="inlineStr">
        <is>
          <t>Energia mensual entregada al SADI.</t>
        </is>
      </c>
    </row>
    <row r="632">
      <c r="A632" s="6" t="inlineStr">
        <is>
          <t>R0000631</t>
        </is>
      </c>
      <c r="B632" s="6" t="inlineStr">
        <is>
          <t>2007-09-01</t>
        </is>
      </c>
      <c r="C632" s="6" t="inlineStr">
        <is>
          <t>2007-09-30</t>
        </is>
      </c>
      <c r="D632" s="6" t="inlineStr">
        <is>
          <t>month</t>
        </is>
      </c>
      <c r="E632" s="6" t="inlineStr">
        <is>
          <t>ENERGY_TO_PY</t>
        </is>
      </c>
      <c r="F632" s="6" t="inlineStr">
        <is>
          <t>YACYRETA</t>
        </is>
      </c>
      <c r="G632" s="6" t="inlineStr">
        <is>
          <t>YACYRETA</t>
        </is>
      </c>
      <c r="H632" s="6" t="inlineStr">
        <is>
          <t>SINP</t>
        </is>
      </c>
      <c r="I632" s="8" t="n">
        <v>44216</v>
      </c>
      <c r="J632" s="6" t="inlineStr">
        <is>
          <t>MWh</t>
        </is>
      </c>
      <c r="K632" s="8" t="n">
        <v>44216</v>
      </c>
      <c r="L632" s="6" t="inlineStr">
        <is>
          <t>MWh</t>
        </is>
      </c>
      <c r="M632" s="6" t="inlineStr">
        <is>
          <t>EBY</t>
        </is>
      </c>
      <c r="N632" s="6" t="inlineStr">
        <is>
          <t>OFFICIAL_PRIMARY</t>
        </is>
      </c>
      <c r="O632" s="9" t="inlineStr">
        <is>
          <t>OFFICIAL_AGGREGATE</t>
        </is>
      </c>
      <c r="P632" s="8" t="n">
        <v>1</v>
      </c>
      <c r="Q632" s="8" t="n">
        <v>50</v>
      </c>
      <c r="R632" s="7" t="inlineStr">
        <is>
          <t>https://www.eby.gov.py/wp-content/uploads/2019/12/YacyretaEnergiasMensualesDesdePuestaenMarcha.pdf</t>
        </is>
      </c>
      <c r="S632" s="6" t="inlineStr">
        <is>
          <t>EBY-MONTHLY-1994-2012</t>
        </is>
      </c>
      <c r="T632" s="6" t="inlineStr"/>
      <c r="U632" s="4" t="inlineStr">
        <is>
          <t>2026-09-10 23:00:00</t>
        </is>
      </c>
      <c r="V632" s="4" t="inlineStr">
        <is>
          <t>Energia mensual entregada al SINP.</t>
        </is>
      </c>
    </row>
    <row r="633">
      <c r="A633" s="6" t="inlineStr">
        <is>
          <t>R0000632</t>
        </is>
      </c>
      <c r="B633" s="6" t="inlineStr">
        <is>
          <t>2007-10-01</t>
        </is>
      </c>
      <c r="C633" s="6" t="inlineStr">
        <is>
          <t>2007-10-31</t>
        </is>
      </c>
      <c r="D633" s="6" t="inlineStr">
        <is>
          <t>month</t>
        </is>
      </c>
      <c r="E633" s="6" t="inlineStr">
        <is>
          <t>YACYRETA_NET_ENERGY</t>
        </is>
      </c>
      <c r="F633" s="6" t="inlineStr">
        <is>
          <t>YACYRETA</t>
        </is>
      </c>
      <c r="G633" s="6" t="inlineStr">
        <is>
          <t>YACYRETA</t>
        </is>
      </c>
      <c r="H633" s="6" t="inlineStr">
        <is>
          <t>TOTAL</t>
        </is>
      </c>
      <c r="I633" s="8" t="n">
        <v>1186129</v>
      </c>
      <c r="J633" s="6" t="inlineStr">
        <is>
          <t>MWh</t>
        </is>
      </c>
      <c r="K633" s="8" t="n">
        <v>1186129</v>
      </c>
      <c r="L633" s="6" t="inlineStr">
        <is>
          <t>MWh</t>
        </is>
      </c>
      <c r="M633" s="6" t="inlineStr">
        <is>
          <t>EBY</t>
        </is>
      </c>
      <c r="N633" s="6" t="inlineStr">
        <is>
          <t>OFFICIAL_PRIMARY</t>
        </is>
      </c>
      <c r="O633" s="9" t="inlineStr">
        <is>
          <t>OFFICIAL_AGGREGATE</t>
        </is>
      </c>
      <c r="P633" s="8" t="n">
        <v>1</v>
      </c>
      <c r="Q633" s="8" t="n">
        <v>50</v>
      </c>
      <c r="R633" s="7" t="inlineStr">
        <is>
          <t>https://www.eby.gov.py/wp-content/uploads/2019/12/YacyretaEnergiasMensualesDesdePuestaenMarcha.pdf</t>
        </is>
      </c>
      <c r="S633" s="6" t="inlineStr">
        <is>
          <t>EBY-MONTHLY-1994-2012</t>
        </is>
      </c>
      <c r="T633" s="6" t="inlineStr"/>
      <c r="U633" s="4" t="inlineStr">
        <is>
          <t>2026-09-10 23:00:00</t>
        </is>
      </c>
      <c r="V633" s="4" t="inlineStr">
        <is>
          <t>Energia mensual Yacyreta desde puesta en marcha.</t>
        </is>
      </c>
    </row>
    <row r="634">
      <c r="A634" s="6" t="inlineStr">
        <is>
          <t>R0000633</t>
        </is>
      </c>
      <c r="B634" s="6" t="inlineStr">
        <is>
          <t>2007-10-01</t>
        </is>
      </c>
      <c r="C634" s="6" t="inlineStr">
        <is>
          <t>2007-10-31</t>
        </is>
      </c>
      <c r="D634" s="6" t="inlineStr">
        <is>
          <t>month</t>
        </is>
      </c>
      <c r="E634" s="6" t="inlineStr">
        <is>
          <t>ENERGY_TO_ARGENTINA</t>
        </is>
      </c>
      <c r="F634" s="6" t="inlineStr">
        <is>
          <t>YACYRETA</t>
        </is>
      </c>
      <c r="G634" s="6" t="inlineStr">
        <is>
          <t>YACYRETA</t>
        </is>
      </c>
      <c r="H634" s="6" t="inlineStr">
        <is>
          <t>SADI</t>
        </is>
      </c>
      <c r="I634" s="8" t="n">
        <v>1135684</v>
      </c>
      <c r="J634" s="6" t="inlineStr">
        <is>
          <t>MWh</t>
        </is>
      </c>
      <c r="K634" s="8" t="n">
        <v>1135684</v>
      </c>
      <c r="L634" s="6" t="inlineStr">
        <is>
          <t>MWh</t>
        </is>
      </c>
      <c r="M634" s="6" t="inlineStr">
        <is>
          <t>EBY</t>
        </is>
      </c>
      <c r="N634" s="6" t="inlineStr">
        <is>
          <t>OFFICIAL_PRIMARY</t>
        </is>
      </c>
      <c r="O634" s="9" t="inlineStr">
        <is>
          <t>OFFICIAL_AGGREGATE</t>
        </is>
      </c>
      <c r="P634" s="8" t="n">
        <v>1</v>
      </c>
      <c r="Q634" s="8" t="n">
        <v>50</v>
      </c>
      <c r="R634" s="7" t="inlineStr">
        <is>
          <t>https://www.eby.gov.py/wp-content/uploads/2019/12/YacyretaEnergiasMensualesDesdePuestaenMarcha.pdf</t>
        </is>
      </c>
      <c r="S634" s="6" t="inlineStr">
        <is>
          <t>EBY-MONTHLY-1994-2012</t>
        </is>
      </c>
      <c r="T634" s="6" t="inlineStr"/>
      <c r="U634" s="4" t="inlineStr">
        <is>
          <t>2026-09-10 23:00:00</t>
        </is>
      </c>
      <c r="V634" s="4" t="inlineStr">
        <is>
          <t>Energia mensual entregada al SADI.</t>
        </is>
      </c>
    </row>
    <row r="635">
      <c r="A635" s="6" t="inlineStr">
        <is>
          <t>R0000634</t>
        </is>
      </c>
      <c r="B635" s="6" t="inlineStr">
        <is>
          <t>2007-10-01</t>
        </is>
      </c>
      <c r="C635" s="6" t="inlineStr">
        <is>
          <t>2007-10-31</t>
        </is>
      </c>
      <c r="D635" s="6" t="inlineStr">
        <is>
          <t>month</t>
        </is>
      </c>
      <c r="E635" s="6" t="inlineStr">
        <is>
          <t>ENERGY_TO_PY</t>
        </is>
      </c>
      <c r="F635" s="6" t="inlineStr">
        <is>
          <t>YACYRETA</t>
        </is>
      </c>
      <c r="G635" s="6" t="inlineStr">
        <is>
          <t>YACYRETA</t>
        </is>
      </c>
      <c r="H635" s="6" t="inlineStr">
        <is>
          <t>SINP</t>
        </is>
      </c>
      <c r="I635" s="8" t="n">
        <v>50445</v>
      </c>
      <c r="J635" s="6" t="inlineStr">
        <is>
          <t>MWh</t>
        </is>
      </c>
      <c r="K635" s="8" t="n">
        <v>50445</v>
      </c>
      <c r="L635" s="6" t="inlineStr">
        <is>
          <t>MWh</t>
        </is>
      </c>
      <c r="M635" s="6" t="inlineStr">
        <is>
          <t>EBY</t>
        </is>
      </c>
      <c r="N635" s="6" t="inlineStr">
        <is>
          <t>OFFICIAL_PRIMARY</t>
        </is>
      </c>
      <c r="O635" s="9" t="inlineStr">
        <is>
          <t>OFFICIAL_AGGREGATE</t>
        </is>
      </c>
      <c r="P635" s="8" t="n">
        <v>1</v>
      </c>
      <c r="Q635" s="8" t="n">
        <v>50</v>
      </c>
      <c r="R635" s="7" t="inlineStr">
        <is>
          <t>https://www.eby.gov.py/wp-content/uploads/2019/12/YacyretaEnergiasMensualesDesdePuestaenMarcha.pdf</t>
        </is>
      </c>
      <c r="S635" s="6" t="inlineStr">
        <is>
          <t>EBY-MONTHLY-1994-2012</t>
        </is>
      </c>
      <c r="T635" s="6" t="inlineStr"/>
      <c r="U635" s="4" t="inlineStr">
        <is>
          <t>2026-09-10 23:00:00</t>
        </is>
      </c>
      <c r="V635" s="4" t="inlineStr">
        <is>
          <t>Energia mensual entregada al SINP.</t>
        </is>
      </c>
    </row>
    <row r="636">
      <c r="A636" s="6" t="inlineStr">
        <is>
          <t>R0000635</t>
        </is>
      </c>
      <c r="B636" s="6" t="inlineStr">
        <is>
          <t>2007-11-01</t>
        </is>
      </c>
      <c r="C636" s="6" t="inlineStr">
        <is>
          <t>2007-11-30</t>
        </is>
      </c>
      <c r="D636" s="6" t="inlineStr">
        <is>
          <t>month</t>
        </is>
      </c>
      <c r="E636" s="6" t="inlineStr">
        <is>
          <t>YACYRETA_NET_ENERGY</t>
        </is>
      </c>
      <c r="F636" s="6" t="inlineStr">
        <is>
          <t>YACYRETA</t>
        </is>
      </c>
      <c r="G636" s="6" t="inlineStr">
        <is>
          <t>YACYRETA</t>
        </is>
      </c>
      <c r="H636" s="6" t="inlineStr">
        <is>
          <t>TOTAL</t>
        </is>
      </c>
      <c r="I636" s="8" t="n">
        <v>1279204</v>
      </c>
      <c r="J636" s="6" t="inlineStr">
        <is>
          <t>MWh</t>
        </is>
      </c>
      <c r="K636" s="8" t="n">
        <v>1279204</v>
      </c>
      <c r="L636" s="6" t="inlineStr">
        <is>
          <t>MWh</t>
        </is>
      </c>
      <c r="M636" s="6" t="inlineStr">
        <is>
          <t>EBY</t>
        </is>
      </c>
      <c r="N636" s="6" t="inlineStr">
        <is>
          <t>OFFICIAL_PRIMARY</t>
        </is>
      </c>
      <c r="O636" s="9" t="inlineStr">
        <is>
          <t>OFFICIAL_AGGREGATE</t>
        </is>
      </c>
      <c r="P636" s="8" t="n">
        <v>1</v>
      </c>
      <c r="Q636" s="8" t="n">
        <v>50</v>
      </c>
      <c r="R636" s="7" t="inlineStr">
        <is>
          <t>https://www.eby.gov.py/wp-content/uploads/2019/12/YacyretaEnergiasMensualesDesdePuestaenMarcha.pdf</t>
        </is>
      </c>
      <c r="S636" s="6" t="inlineStr">
        <is>
          <t>EBY-MONTHLY-1994-2012</t>
        </is>
      </c>
      <c r="T636" s="6" t="inlineStr"/>
      <c r="U636" s="4" t="inlineStr">
        <is>
          <t>2026-09-10 23:00:00</t>
        </is>
      </c>
      <c r="V636" s="4" t="inlineStr">
        <is>
          <t>Energia mensual Yacyreta desde puesta en marcha.</t>
        </is>
      </c>
    </row>
    <row r="637">
      <c r="A637" s="6" t="inlineStr">
        <is>
          <t>R0000636</t>
        </is>
      </c>
      <c r="B637" s="6" t="inlineStr">
        <is>
          <t>2007-11-01</t>
        </is>
      </c>
      <c r="C637" s="6" t="inlineStr">
        <is>
          <t>2007-11-30</t>
        </is>
      </c>
      <c r="D637" s="6" t="inlineStr">
        <is>
          <t>month</t>
        </is>
      </c>
      <c r="E637" s="6" t="inlineStr">
        <is>
          <t>ENERGY_TO_ARGENTINA</t>
        </is>
      </c>
      <c r="F637" s="6" t="inlineStr">
        <is>
          <t>YACYRETA</t>
        </is>
      </c>
      <c r="G637" s="6" t="inlineStr">
        <is>
          <t>YACYRETA</t>
        </is>
      </c>
      <c r="H637" s="6" t="inlineStr">
        <is>
          <t>SADI</t>
        </is>
      </c>
      <c r="I637" s="8" t="n">
        <v>1210150</v>
      </c>
      <c r="J637" s="6" t="inlineStr">
        <is>
          <t>MWh</t>
        </is>
      </c>
      <c r="K637" s="8" t="n">
        <v>1210150</v>
      </c>
      <c r="L637" s="6" t="inlineStr">
        <is>
          <t>MWh</t>
        </is>
      </c>
      <c r="M637" s="6" t="inlineStr">
        <is>
          <t>EBY</t>
        </is>
      </c>
      <c r="N637" s="6" t="inlineStr">
        <is>
          <t>OFFICIAL_PRIMARY</t>
        </is>
      </c>
      <c r="O637" s="9" t="inlineStr">
        <is>
          <t>OFFICIAL_AGGREGATE</t>
        </is>
      </c>
      <c r="P637" s="8" t="n">
        <v>1</v>
      </c>
      <c r="Q637" s="8" t="n">
        <v>50</v>
      </c>
      <c r="R637" s="7" t="inlineStr">
        <is>
          <t>https://www.eby.gov.py/wp-content/uploads/2019/12/YacyretaEnergiasMensualesDesdePuestaenMarcha.pdf</t>
        </is>
      </c>
      <c r="S637" s="6" t="inlineStr">
        <is>
          <t>EBY-MONTHLY-1994-2012</t>
        </is>
      </c>
      <c r="T637" s="6" t="inlineStr"/>
      <c r="U637" s="4" t="inlineStr">
        <is>
          <t>2026-09-10 23:00:00</t>
        </is>
      </c>
      <c r="V637" s="4" t="inlineStr">
        <is>
          <t>Energia mensual entregada al SADI.</t>
        </is>
      </c>
    </row>
    <row r="638">
      <c r="A638" s="6" t="inlineStr">
        <is>
          <t>R0000637</t>
        </is>
      </c>
      <c r="B638" s="6" t="inlineStr">
        <is>
          <t>2007-11-01</t>
        </is>
      </c>
      <c r="C638" s="6" t="inlineStr">
        <is>
          <t>2007-11-30</t>
        </is>
      </c>
      <c r="D638" s="6" t="inlineStr">
        <is>
          <t>month</t>
        </is>
      </c>
      <c r="E638" s="6" t="inlineStr">
        <is>
          <t>ENERGY_TO_PY</t>
        </is>
      </c>
      <c r="F638" s="6" t="inlineStr">
        <is>
          <t>YACYRETA</t>
        </is>
      </c>
      <c r="G638" s="6" t="inlineStr">
        <is>
          <t>YACYRETA</t>
        </is>
      </c>
      <c r="H638" s="6" t="inlineStr">
        <is>
          <t>SINP</t>
        </is>
      </c>
      <c r="I638" s="8" t="n">
        <v>69054</v>
      </c>
      <c r="J638" s="6" t="inlineStr">
        <is>
          <t>MWh</t>
        </is>
      </c>
      <c r="K638" s="8" t="n">
        <v>69054</v>
      </c>
      <c r="L638" s="6" t="inlineStr">
        <is>
          <t>MWh</t>
        </is>
      </c>
      <c r="M638" s="6" t="inlineStr">
        <is>
          <t>EBY</t>
        </is>
      </c>
      <c r="N638" s="6" t="inlineStr">
        <is>
          <t>OFFICIAL_PRIMARY</t>
        </is>
      </c>
      <c r="O638" s="9" t="inlineStr">
        <is>
          <t>OFFICIAL_AGGREGATE</t>
        </is>
      </c>
      <c r="P638" s="8" t="n">
        <v>1</v>
      </c>
      <c r="Q638" s="8" t="n">
        <v>50</v>
      </c>
      <c r="R638" s="7" t="inlineStr">
        <is>
          <t>https://www.eby.gov.py/wp-content/uploads/2019/12/YacyretaEnergiasMensualesDesdePuestaenMarcha.pdf</t>
        </is>
      </c>
      <c r="S638" s="6" t="inlineStr">
        <is>
          <t>EBY-MONTHLY-1994-2012</t>
        </is>
      </c>
      <c r="T638" s="6" t="inlineStr"/>
      <c r="U638" s="4" t="inlineStr">
        <is>
          <t>2026-09-10 23:00:00</t>
        </is>
      </c>
      <c r="V638" s="4" t="inlineStr">
        <is>
          <t>Energia mensual entregada al SINP.</t>
        </is>
      </c>
    </row>
    <row r="639">
      <c r="A639" s="6" t="inlineStr">
        <is>
          <t>R0000638</t>
        </is>
      </c>
      <c r="B639" s="6" t="inlineStr">
        <is>
          <t>2007-12-01</t>
        </is>
      </c>
      <c r="C639" s="6" t="inlineStr">
        <is>
          <t>2007-12-31</t>
        </is>
      </c>
      <c r="D639" s="6" t="inlineStr">
        <is>
          <t>month</t>
        </is>
      </c>
      <c r="E639" s="6" t="inlineStr">
        <is>
          <t>YACYRETA_NET_ENERGY</t>
        </is>
      </c>
      <c r="F639" s="6" t="inlineStr">
        <is>
          <t>YACYRETA</t>
        </is>
      </c>
      <c r="G639" s="6" t="inlineStr">
        <is>
          <t>YACYRETA</t>
        </is>
      </c>
      <c r="H639" s="6" t="inlineStr">
        <is>
          <t>TOTAL</t>
        </is>
      </c>
      <c r="I639" s="8" t="n">
        <v>1241673</v>
      </c>
      <c r="J639" s="6" t="inlineStr">
        <is>
          <t>MWh</t>
        </is>
      </c>
      <c r="K639" s="8" t="n">
        <v>1241673</v>
      </c>
      <c r="L639" s="6" t="inlineStr">
        <is>
          <t>MWh</t>
        </is>
      </c>
      <c r="M639" s="6" t="inlineStr">
        <is>
          <t>EBY</t>
        </is>
      </c>
      <c r="N639" s="6" t="inlineStr">
        <is>
          <t>OFFICIAL_PRIMARY</t>
        </is>
      </c>
      <c r="O639" s="9" t="inlineStr">
        <is>
          <t>OFFICIAL_AGGREGATE</t>
        </is>
      </c>
      <c r="P639" s="8" t="n">
        <v>1</v>
      </c>
      <c r="Q639" s="8" t="n">
        <v>50</v>
      </c>
      <c r="R639" s="7" t="inlineStr">
        <is>
          <t>https://www.eby.gov.py/wp-content/uploads/2019/12/YacyretaEnergiasMensualesDesdePuestaenMarcha.pdf</t>
        </is>
      </c>
      <c r="S639" s="6" t="inlineStr">
        <is>
          <t>EBY-MONTHLY-1994-2012</t>
        </is>
      </c>
      <c r="T639" s="6" t="inlineStr"/>
      <c r="U639" s="4" t="inlineStr">
        <is>
          <t>2026-09-10 23:00:00</t>
        </is>
      </c>
      <c r="V639" s="4" t="inlineStr">
        <is>
          <t>Energia mensual Yacyreta desde puesta en marcha.</t>
        </is>
      </c>
    </row>
    <row r="640">
      <c r="A640" s="6" t="inlineStr">
        <is>
          <t>R0000639</t>
        </is>
      </c>
      <c r="B640" s="6" t="inlineStr">
        <is>
          <t>2007-12-01</t>
        </is>
      </c>
      <c r="C640" s="6" t="inlineStr">
        <is>
          <t>2007-12-31</t>
        </is>
      </c>
      <c r="D640" s="6" t="inlineStr">
        <is>
          <t>month</t>
        </is>
      </c>
      <c r="E640" s="6" t="inlineStr">
        <is>
          <t>ENERGY_TO_ARGENTINA</t>
        </is>
      </c>
      <c r="F640" s="6" t="inlineStr">
        <is>
          <t>YACYRETA</t>
        </is>
      </c>
      <c r="G640" s="6" t="inlineStr">
        <is>
          <t>YACYRETA</t>
        </is>
      </c>
      <c r="H640" s="6" t="inlineStr">
        <is>
          <t>SADI</t>
        </is>
      </c>
      <c r="I640" s="8" t="n">
        <v>1138324</v>
      </c>
      <c r="J640" s="6" t="inlineStr">
        <is>
          <t>MWh</t>
        </is>
      </c>
      <c r="K640" s="8" t="n">
        <v>1138324</v>
      </c>
      <c r="L640" s="6" t="inlineStr">
        <is>
          <t>MWh</t>
        </is>
      </c>
      <c r="M640" s="6" t="inlineStr">
        <is>
          <t>EBY</t>
        </is>
      </c>
      <c r="N640" s="6" t="inlineStr">
        <is>
          <t>OFFICIAL_PRIMARY</t>
        </is>
      </c>
      <c r="O640" s="9" t="inlineStr">
        <is>
          <t>OFFICIAL_AGGREGATE</t>
        </is>
      </c>
      <c r="P640" s="8" t="n">
        <v>1</v>
      </c>
      <c r="Q640" s="8" t="n">
        <v>50</v>
      </c>
      <c r="R640" s="7" t="inlineStr">
        <is>
          <t>https://www.eby.gov.py/wp-content/uploads/2019/12/YacyretaEnergiasMensualesDesdePuestaenMarcha.pdf</t>
        </is>
      </c>
      <c r="S640" s="6" t="inlineStr">
        <is>
          <t>EBY-MONTHLY-1994-2012</t>
        </is>
      </c>
      <c r="T640" s="6" t="inlineStr"/>
      <c r="U640" s="4" t="inlineStr">
        <is>
          <t>2026-09-10 23:00:00</t>
        </is>
      </c>
      <c r="V640" s="4" t="inlineStr">
        <is>
          <t>Energia mensual entregada al SADI.</t>
        </is>
      </c>
    </row>
    <row r="641">
      <c r="A641" s="6" t="inlineStr">
        <is>
          <t>R0000640</t>
        </is>
      </c>
      <c r="B641" s="6" t="inlineStr">
        <is>
          <t>2007-12-01</t>
        </is>
      </c>
      <c r="C641" s="6" t="inlineStr">
        <is>
          <t>2007-12-31</t>
        </is>
      </c>
      <c r="D641" s="6" t="inlineStr">
        <is>
          <t>month</t>
        </is>
      </c>
      <c r="E641" s="6" t="inlineStr">
        <is>
          <t>ENERGY_TO_PY</t>
        </is>
      </c>
      <c r="F641" s="6" t="inlineStr">
        <is>
          <t>YACYRETA</t>
        </is>
      </c>
      <c r="G641" s="6" t="inlineStr">
        <is>
          <t>YACYRETA</t>
        </is>
      </c>
      <c r="H641" s="6" t="inlineStr">
        <is>
          <t>SINP</t>
        </is>
      </c>
      <c r="I641" s="8" t="n">
        <v>103349</v>
      </c>
      <c r="J641" s="6" t="inlineStr">
        <is>
          <t>MWh</t>
        </is>
      </c>
      <c r="K641" s="8" t="n">
        <v>103349</v>
      </c>
      <c r="L641" s="6" t="inlineStr">
        <is>
          <t>MWh</t>
        </is>
      </c>
      <c r="M641" s="6" t="inlineStr">
        <is>
          <t>EBY</t>
        </is>
      </c>
      <c r="N641" s="6" t="inlineStr">
        <is>
          <t>OFFICIAL_PRIMARY</t>
        </is>
      </c>
      <c r="O641" s="9" t="inlineStr">
        <is>
          <t>OFFICIAL_AGGREGATE</t>
        </is>
      </c>
      <c r="P641" s="8" t="n">
        <v>1</v>
      </c>
      <c r="Q641" s="8" t="n">
        <v>50</v>
      </c>
      <c r="R641" s="7" t="inlineStr">
        <is>
          <t>https://www.eby.gov.py/wp-content/uploads/2019/12/YacyretaEnergiasMensualesDesdePuestaenMarcha.pdf</t>
        </is>
      </c>
      <c r="S641" s="6" t="inlineStr">
        <is>
          <t>EBY-MONTHLY-1994-2012</t>
        </is>
      </c>
      <c r="T641" s="6" t="inlineStr"/>
      <c r="U641" s="4" t="inlineStr">
        <is>
          <t>2026-09-10 23:00:00</t>
        </is>
      </c>
      <c r="V641" s="4" t="inlineStr">
        <is>
          <t>Energia mensual entregada al SINP.</t>
        </is>
      </c>
    </row>
    <row r="642">
      <c r="A642" s="6" t="inlineStr">
        <is>
          <t>R0000641</t>
        </is>
      </c>
      <c r="B642" s="6" t="inlineStr">
        <is>
          <t>2008-01-01</t>
        </is>
      </c>
      <c r="C642" s="6" t="inlineStr">
        <is>
          <t>2008-01-31</t>
        </is>
      </c>
      <c r="D642" s="6" t="inlineStr">
        <is>
          <t>month</t>
        </is>
      </c>
      <c r="E642" s="6" t="inlineStr">
        <is>
          <t>YACYRETA_NET_ENERGY</t>
        </is>
      </c>
      <c r="F642" s="6" t="inlineStr">
        <is>
          <t>YACYRETA</t>
        </is>
      </c>
      <c r="G642" s="6" t="inlineStr">
        <is>
          <t>YACYRETA</t>
        </is>
      </c>
      <c r="H642" s="6" t="inlineStr">
        <is>
          <t>TOTAL</t>
        </is>
      </c>
      <c r="I642" s="8" t="n">
        <v>1218521</v>
      </c>
      <c r="J642" s="6" t="inlineStr">
        <is>
          <t>MWh</t>
        </is>
      </c>
      <c r="K642" s="8" t="n">
        <v>1218521</v>
      </c>
      <c r="L642" s="6" t="inlineStr">
        <is>
          <t>MWh</t>
        </is>
      </c>
      <c r="M642" s="6" t="inlineStr">
        <is>
          <t>EBY</t>
        </is>
      </c>
      <c r="N642" s="6" t="inlineStr">
        <is>
          <t>OFFICIAL_PRIMARY</t>
        </is>
      </c>
      <c r="O642" s="9" t="inlineStr">
        <is>
          <t>OFFICIAL_AGGREGATE</t>
        </is>
      </c>
      <c r="P642" s="8" t="n">
        <v>1</v>
      </c>
      <c r="Q642" s="8" t="n">
        <v>50</v>
      </c>
      <c r="R642" s="7" t="inlineStr">
        <is>
          <t>https://www.eby.gov.py/wp-content/uploads/2019/12/YacyretaEnergiasMensualesDesdePuestaenMarcha.pdf</t>
        </is>
      </c>
      <c r="S642" s="6" t="inlineStr">
        <is>
          <t>EBY-MONTHLY-1994-2012</t>
        </is>
      </c>
      <c r="T642" s="6" t="inlineStr"/>
      <c r="U642" s="4" t="inlineStr">
        <is>
          <t>2026-09-10 23:00:00</t>
        </is>
      </c>
      <c r="V642" s="4" t="inlineStr">
        <is>
          <t>Energia mensual Yacyreta desde puesta en marcha.</t>
        </is>
      </c>
    </row>
    <row r="643">
      <c r="A643" s="6" t="inlineStr">
        <is>
          <t>R0000642</t>
        </is>
      </c>
      <c r="B643" s="6" t="inlineStr">
        <is>
          <t>2008-01-01</t>
        </is>
      </c>
      <c r="C643" s="6" t="inlineStr">
        <is>
          <t>2008-01-31</t>
        </is>
      </c>
      <c r="D643" s="6" t="inlineStr">
        <is>
          <t>month</t>
        </is>
      </c>
      <c r="E643" s="6" t="inlineStr">
        <is>
          <t>ENERGY_TO_ARGENTINA</t>
        </is>
      </c>
      <c r="F643" s="6" t="inlineStr">
        <is>
          <t>YACYRETA</t>
        </is>
      </c>
      <c r="G643" s="6" t="inlineStr">
        <is>
          <t>YACYRETA</t>
        </is>
      </c>
      <c r="H643" s="6" t="inlineStr">
        <is>
          <t>SADI</t>
        </is>
      </c>
      <c r="I643" s="8" t="n">
        <v>1102080</v>
      </c>
      <c r="J643" s="6" t="inlineStr">
        <is>
          <t>MWh</t>
        </is>
      </c>
      <c r="K643" s="8" t="n">
        <v>1102080</v>
      </c>
      <c r="L643" s="6" t="inlineStr">
        <is>
          <t>MWh</t>
        </is>
      </c>
      <c r="M643" s="6" t="inlineStr">
        <is>
          <t>EBY</t>
        </is>
      </c>
      <c r="N643" s="6" t="inlineStr">
        <is>
          <t>OFFICIAL_PRIMARY</t>
        </is>
      </c>
      <c r="O643" s="9" t="inlineStr">
        <is>
          <t>OFFICIAL_AGGREGATE</t>
        </is>
      </c>
      <c r="P643" s="8" t="n">
        <v>1</v>
      </c>
      <c r="Q643" s="8" t="n">
        <v>50</v>
      </c>
      <c r="R643" s="7" t="inlineStr">
        <is>
          <t>https://www.eby.gov.py/wp-content/uploads/2019/12/YacyretaEnergiasMensualesDesdePuestaenMarcha.pdf</t>
        </is>
      </c>
      <c r="S643" s="6" t="inlineStr">
        <is>
          <t>EBY-MONTHLY-1994-2012</t>
        </is>
      </c>
      <c r="T643" s="6" t="inlineStr"/>
      <c r="U643" s="4" t="inlineStr">
        <is>
          <t>2026-09-10 23:00:00</t>
        </is>
      </c>
      <c r="V643" s="4" t="inlineStr">
        <is>
          <t>Energia mensual entregada al SADI.</t>
        </is>
      </c>
    </row>
    <row r="644">
      <c r="A644" s="6" t="inlineStr">
        <is>
          <t>R0000643</t>
        </is>
      </c>
      <c r="B644" s="6" t="inlineStr">
        <is>
          <t>2008-01-01</t>
        </is>
      </c>
      <c r="C644" s="6" t="inlineStr">
        <is>
          <t>2008-01-31</t>
        </is>
      </c>
      <c r="D644" s="6" t="inlineStr">
        <is>
          <t>month</t>
        </is>
      </c>
      <c r="E644" s="6" t="inlineStr">
        <is>
          <t>ENERGY_TO_PY</t>
        </is>
      </c>
      <c r="F644" s="6" t="inlineStr">
        <is>
          <t>YACYRETA</t>
        </is>
      </c>
      <c r="G644" s="6" t="inlineStr">
        <is>
          <t>YACYRETA</t>
        </is>
      </c>
      <c r="H644" s="6" t="inlineStr">
        <is>
          <t>SINP</t>
        </is>
      </c>
      <c r="I644" s="8" t="n">
        <v>116441</v>
      </c>
      <c r="J644" s="6" t="inlineStr">
        <is>
          <t>MWh</t>
        </is>
      </c>
      <c r="K644" s="8" t="n">
        <v>116441</v>
      </c>
      <c r="L644" s="6" t="inlineStr">
        <is>
          <t>MWh</t>
        </is>
      </c>
      <c r="M644" s="6" t="inlineStr">
        <is>
          <t>EBY</t>
        </is>
      </c>
      <c r="N644" s="6" t="inlineStr">
        <is>
          <t>OFFICIAL_PRIMARY</t>
        </is>
      </c>
      <c r="O644" s="9" t="inlineStr">
        <is>
          <t>OFFICIAL_AGGREGATE</t>
        </is>
      </c>
      <c r="P644" s="8" t="n">
        <v>1</v>
      </c>
      <c r="Q644" s="8" t="n">
        <v>50</v>
      </c>
      <c r="R644" s="7" t="inlineStr">
        <is>
          <t>https://www.eby.gov.py/wp-content/uploads/2019/12/YacyretaEnergiasMensualesDesdePuestaenMarcha.pdf</t>
        </is>
      </c>
      <c r="S644" s="6" t="inlineStr">
        <is>
          <t>EBY-MONTHLY-1994-2012</t>
        </is>
      </c>
      <c r="T644" s="6" t="inlineStr"/>
      <c r="U644" s="4" t="inlineStr">
        <is>
          <t>2026-09-10 23:00:00</t>
        </is>
      </c>
      <c r="V644" s="4" t="inlineStr">
        <is>
          <t>Energia mensual entregada al SINP.</t>
        </is>
      </c>
    </row>
    <row r="645">
      <c r="A645" s="6" t="inlineStr">
        <is>
          <t>R0000644</t>
        </is>
      </c>
      <c r="B645" s="6" t="inlineStr">
        <is>
          <t>2008-02-01</t>
        </is>
      </c>
      <c r="C645" s="6" t="inlineStr">
        <is>
          <t>2008-02-29</t>
        </is>
      </c>
      <c r="D645" s="6" t="inlineStr">
        <is>
          <t>month</t>
        </is>
      </c>
      <c r="E645" s="6" t="inlineStr">
        <is>
          <t>YACYRETA_NET_ENERGY</t>
        </is>
      </c>
      <c r="F645" s="6" t="inlineStr">
        <is>
          <t>YACYRETA</t>
        </is>
      </c>
      <c r="G645" s="6" t="inlineStr">
        <is>
          <t>YACYRETA</t>
        </is>
      </c>
      <c r="H645" s="6" t="inlineStr">
        <is>
          <t>TOTAL</t>
        </is>
      </c>
      <c r="I645" s="8" t="n">
        <v>1083946</v>
      </c>
      <c r="J645" s="6" t="inlineStr">
        <is>
          <t>MWh</t>
        </is>
      </c>
      <c r="K645" s="8" t="n">
        <v>1083946</v>
      </c>
      <c r="L645" s="6" t="inlineStr">
        <is>
          <t>MWh</t>
        </is>
      </c>
      <c r="M645" s="6" t="inlineStr">
        <is>
          <t>EBY</t>
        </is>
      </c>
      <c r="N645" s="6" t="inlineStr">
        <is>
          <t>OFFICIAL_PRIMARY</t>
        </is>
      </c>
      <c r="O645" s="9" t="inlineStr">
        <is>
          <t>OFFICIAL_AGGREGATE</t>
        </is>
      </c>
      <c r="P645" s="8" t="n">
        <v>1</v>
      </c>
      <c r="Q645" s="8" t="n">
        <v>50</v>
      </c>
      <c r="R645" s="7" t="inlineStr">
        <is>
          <t>https://www.eby.gov.py/wp-content/uploads/2019/12/YacyretaEnergiasMensualesDesdePuestaenMarcha.pdf</t>
        </is>
      </c>
      <c r="S645" s="6" t="inlineStr">
        <is>
          <t>EBY-MONTHLY-1994-2012</t>
        </is>
      </c>
      <c r="T645" s="6" t="inlineStr"/>
      <c r="U645" s="4" t="inlineStr">
        <is>
          <t>2026-09-10 23:00:00</t>
        </is>
      </c>
      <c r="V645" s="4" t="inlineStr">
        <is>
          <t>Energia mensual Yacyreta desde puesta en marcha.</t>
        </is>
      </c>
    </row>
    <row r="646">
      <c r="A646" s="6" t="inlineStr">
        <is>
          <t>R0000645</t>
        </is>
      </c>
      <c r="B646" s="6" t="inlineStr">
        <is>
          <t>2008-02-01</t>
        </is>
      </c>
      <c r="C646" s="6" t="inlineStr">
        <is>
          <t>2008-02-29</t>
        </is>
      </c>
      <c r="D646" s="6" t="inlineStr">
        <is>
          <t>month</t>
        </is>
      </c>
      <c r="E646" s="6" t="inlineStr">
        <is>
          <t>ENERGY_TO_ARGENTINA</t>
        </is>
      </c>
      <c r="F646" s="6" t="inlineStr">
        <is>
          <t>YACYRETA</t>
        </is>
      </c>
      <c r="G646" s="6" t="inlineStr">
        <is>
          <t>YACYRETA</t>
        </is>
      </c>
      <c r="H646" s="6" t="inlineStr">
        <is>
          <t>SADI</t>
        </is>
      </c>
      <c r="I646" s="8" t="n">
        <v>972838</v>
      </c>
      <c r="J646" s="6" t="inlineStr">
        <is>
          <t>MWh</t>
        </is>
      </c>
      <c r="K646" s="8" t="n">
        <v>972838</v>
      </c>
      <c r="L646" s="6" t="inlineStr">
        <is>
          <t>MWh</t>
        </is>
      </c>
      <c r="M646" s="6" t="inlineStr">
        <is>
          <t>EBY</t>
        </is>
      </c>
      <c r="N646" s="6" t="inlineStr">
        <is>
          <t>OFFICIAL_PRIMARY</t>
        </is>
      </c>
      <c r="O646" s="9" t="inlineStr">
        <is>
          <t>OFFICIAL_AGGREGATE</t>
        </is>
      </c>
      <c r="P646" s="8" t="n">
        <v>1</v>
      </c>
      <c r="Q646" s="8" t="n">
        <v>50</v>
      </c>
      <c r="R646" s="7" t="inlineStr">
        <is>
          <t>https://www.eby.gov.py/wp-content/uploads/2019/12/YacyretaEnergiasMensualesDesdePuestaenMarcha.pdf</t>
        </is>
      </c>
      <c r="S646" s="6" t="inlineStr">
        <is>
          <t>EBY-MONTHLY-1994-2012</t>
        </is>
      </c>
      <c r="T646" s="6" t="inlineStr"/>
      <c r="U646" s="4" t="inlineStr">
        <is>
          <t>2026-09-10 23:00:00</t>
        </is>
      </c>
      <c r="V646" s="4" t="inlineStr">
        <is>
          <t>Energia mensual entregada al SADI.</t>
        </is>
      </c>
    </row>
    <row r="647">
      <c r="A647" s="6" t="inlineStr">
        <is>
          <t>R0000646</t>
        </is>
      </c>
      <c r="B647" s="6" t="inlineStr">
        <is>
          <t>2008-02-01</t>
        </is>
      </c>
      <c r="C647" s="6" t="inlineStr">
        <is>
          <t>2008-02-29</t>
        </is>
      </c>
      <c r="D647" s="6" t="inlineStr">
        <is>
          <t>month</t>
        </is>
      </c>
      <c r="E647" s="6" t="inlineStr">
        <is>
          <t>ENERGY_TO_PY</t>
        </is>
      </c>
      <c r="F647" s="6" t="inlineStr">
        <is>
          <t>YACYRETA</t>
        </is>
      </c>
      <c r="G647" s="6" t="inlineStr">
        <is>
          <t>YACYRETA</t>
        </is>
      </c>
      <c r="H647" s="6" t="inlineStr">
        <is>
          <t>SINP</t>
        </is>
      </c>
      <c r="I647" s="8" t="n">
        <v>111108</v>
      </c>
      <c r="J647" s="6" t="inlineStr">
        <is>
          <t>MWh</t>
        </is>
      </c>
      <c r="K647" s="8" t="n">
        <v>111108</v>
      </c>
      <c r="L647" s="6" t="inlineStr">
        <is>
          <t>MWh</t>
        </is>
      </c>
      <c r="M647" s="6" t="inlineStr">
        <is>
          <t>EBY</t>
        </is>
      </c>
      <c r="N647" s="6" t="inlineStr">
        <is>
          <t>OFFICIAL_PRIMARY</t>
        </is>
      </c>
      <c r="O647" s="9" t="inlineStr">
        <is>
          <t>OFFICIAL_AGGREGATE</t>
        </is>
      </c>
      <c r="P647" s="8" t="n">
        <v>1</v>
      </c>
      <c r="Q647" s="8" t="n">
        <v>50</v>
      </c>
      <c r="R647" s="7" t="inlineStr">
        <is>
          <t>https://www.eby.gov.py/wp-content/uploads/2019/12/YacyretaEnergiasMensualesDesdePuestaenMarcha.pdf</t>
        </is>
      </c>
      <c r="S647" s="6" t="inlineStr">
        <is>
          <t>EBY-MONTHLY-1994-2012</t>
        </is>
      </c>
      <c r="T647" s="6" t="inlineStr"/>
      <c r="U647" s="4" t="inlineStr">
        <is>
          <t>2026-09-10 23:00:00</t>
        </is>
      </c>
      <c r="V647" s="4" t="inlineStr">
        <is>
          <t>Energia mensual entregada al SINP.</t>
        </is>
      </c>
    </row>
    <row r="648">
      <c r="A648" s="6" t="inlineStr">
        <is>
          <t>R0000647</t>
        </is>
      </c>
      <c r="B648" s="6" t="inlineStr">
        <is>
          <t>2008-03-01</t>
        </is>
      </c>
      <c r="C648" s="6" t="inlineStr">
        <is>
          <t>2008-03-31</t>
        </is>
      </c>
      <c r="D648" s="6" t="inlineStr">
        <is>
          <t>month</t>
        </is>
      </c>
      <c r="E648" s="6" t="inlineStr">
        <is>
          <t>YACYRETA_NET_ENERGY</t>
        </is>
      </c>
      <c r="F648" s="6" t="inlineStr">
        <is>
          <t>YACYRETA</t>
        </is>
      </c>
      <c r="G648" s="6" t="inlineStr">
        <is>
          <t>YACYRETA</t>
        </is>
      </c>
      <c r="H648" s="6" t="inlineStr">
        <is>
          <t>TOTAL</t>
        </is>
      </c>
      <c r="I648" s="8" t="n">
        <v>1209133</v>
      </c>
      <c r="J648" s="6" t="inlineStr">
        <is>
          <t>MWh</t>
        </is>
      </c>
      <c r="K648" s="8" t="n">
        <v>1209133</v>
      </c>
      <c r="L648" s="6" t="inlineStr">
        <is>
          <t>MWh</t>
        </is>
      </c>
      <c r="M648" s="6" t="inlineStr">
        <is>
          <t>EBY</t>
        </is>
      </c>
      <c r="N648" s="6" t="inlineStr">
        <is>
          <t>OFFICIAL_PRIMARY</t>
        </is>
      </c>
      <c r="O648" s="9" t="inlineStr">
        <is>
          <t>OFFICIAL_AGGREGATE</t>
        </is>
      </c>
      <c r="P648" s="8" t="n">
        <v>1</v>
      </c>
      <c r="Q648" s="8" t="n">
        <v>50</v>
      </c>
      <c r="R648" s="7" t="inlineStr">
        <is>
          <t>https://www.eby.gov.py/wp-content/uploads/2019/12/YacyretaEnergiasMensualesDesdePuestaenMarcha.pdf</t>
        </is>
      </c>
      <c r="S648" s="6" t="inlineStr">
        <is>
          <t>EBY-MONTHLY-1994-2012</t>
        </is>
      </c>
      <c r="T648" s="6" t="inlineStr"/>
      <c r="U648" s="4" t="inlineStr">
        <is>
          <t>2026-09-10 23:00:00</t>
        </is>
      </c>
      <c r="V648" s="4" t="inlineStr">
        <is>
          <t>Energia mensual Yacyreta desde puesta en marcha.</t>
        </is>
      </c>
    </row>
    <row r="649">
      <c r="A649" s="6" t="inlineStr">
        <is>
          <t>R0000648</t>
        </is>
      </c>
      <c r="B649" s="6" t="inlineStr">
        <is>
          <t>2008-03-01</t>
        </is>
      </c>
      <c r="C649" s="6" t="inlineStr">
        <is>
          <t>2008-03-31</t>
        </is>
      </c>
      <c r="D649" s="6" t="inlineStr">
        <is>
          <t>month</t>
        </is>
      </c>
      <c r="E649" s="6" t="inlineStr">
        <is>
          <t>ENERGY_TO_ARGENTINA</t>
        </is>
      </c>
      <c r="F649" s="6" t="inlineStr">
        <is>
          <t>YACYRETA</t>
        </is>
      </c>
      <c r="G649" s="6" t="inlineStr">
        <is>
          <t>YACYRETA</t>
        </is>
      </c>
      <c r="H649" s="6" t="inlineStr">
        <is>
          <t>SADI</t>
        </is>
      </c>
      <c r="I649" s="8" t="n">
        <v>1098754</v>
      </c>
      <c r="J649" s="6" t="inlineStr">
        <is>
          <t>MWh</t>
        </is>
      </c>
      <c r="K649" s="8" t="n">
        <v>1098754</v>
      </c>
      <c r="L649" s="6" t="inlineStr">
        <is>
          <t>MWh</t>
        </is>
      </c>
      <c r="M649" s="6" t="inlineStr">
        <is>
          <t>EBY</t>
        </is>
      </c>
      <c r="N649" s="6" t="inlineStr">
        <is>
          <t>OFFICIAL_PRIMARY</t>
        </is>
      </c>
      <c r="O649" s="9" t="inlineStr">
        <is>
          <t>OFFICIAL_AGGREGATE</t>
        </is>
      </c>
      <c r="P649" s="8" t="n">
        <v>1</v>
      </c>
      <c r="Q649" s="8" t="n">
        <v>50</v>
      </c>
      <c r="R649" s="7" t="inlineStr">
        <is>
          <t>https://www.eby.gov.py/wp-content/uploads/2019/12/YacyretaEnergiasMensualesDesdePuestaenMarcha.pdf</t>
        </is>
      </c>
      <c r="S649" s="6" t="inlineStr">
        <is>
          <t>EBY-MONTHLY-1994-2012</t>
        </is>
      </c>
      <c r="T649" s="6" t="inlineStr"/>
      <c r="U649" s="4" t="inlineStr">
        <is>
          <t>2026-09-10 23:00:00</t>
        </is>
      </c>
      <c r="V649" s="4" t="inlineStr">
        <is>
          <t>Energia mensual entregada al SADI.</t>
        </is>
      </c>
    </row>
    <row r="650">
      <c r="A650" s="6" t="inlineStr">
        <is>
          <t>R0000649</t>
        </is>
      </c>
      <c r="B650" s="6" t="inlineStr">
        <is>
          <t>2008-03-01</t>
        </is>
      </c>
      <c r="C650" s="6" t="inlineStr">
        <is>
          <t>2008-03-31</t>
        </is>
      </c>
      <c r="D650" s="6" t="inlineStr">
        <is>
          <t>month</t>
        </is>
      </c>
      <c r="E650" s="6" t="inlineStr">
        <is>
          <t>ENERGY_TO_PY</t>
        </is>
      </c>
      <c r="F650" s="6" t="inlineStr">
        <is>
          <t>YACYRETA</t>
        </is>
      </c>
      <c r="G650" s="6" t="inlineStr">
        <is>
          <t>YACYRETA</t>
        </is>
      </c>
      <c r="H650" s="6" t="inlineStr">
        <is>
          <t>SINP</t>
        </is>
      </c>
      <c r="I650" s="8" t="n">
        <v>110379</v>
      </c>
      <c r="J650" s="6" t="inlineStr">
        <is>
          <t>MWh</t>
        </is>
      </c>
      <c r="K650" s="8" t="n">
        <v>110379</v>
      </c>
      <c r="L650" s="6" t="inlineStr">
        <is>
          <t>MWh</t>
        </is>
      </c>
      <c r="M650" s="6" t="inlineStr">
        <is>
          <t>EBY</t>
        </is>
      </c>
      <c r="N650" s="6" t="inlineStr">
        <is>
          <t>OFFICIAL_PRIMARY</t>
        </is>
      </c>
      <c r="O650" s="9" t="inlineStr">
        <is>
          <t>OFFICIAL_AGGREGATE</t>
        </is>
      </c>
      <c r="P650" s="8" t="n">
        <v>1</v>
      </c>
      <c r="Q650" s="8" t="n">
        <v>50</v>
      </c>
      <c r="R650" s="7" t="inlineStr">
        <is>
          <t>https://www.eby.gov.py/wp-content/uploads/2019/12/YacyretaEnergiasMensualesDesdePuestaenMarcha.pdf</t>
        </is>
      </c>
      <c r="S650" s="6" t="inlineStr">
        <is>
          <t>EBY-MONTHLY-1994-2012</t>
        </is>
      </c>
      <c r="T650" s="6" t="inlineStr"/>
      <c r="U650" s="4" t="inlineStr">
        <is>
          <t>2026-09-10 23:00:00</t>
        </is>
      </c>
      <c r="V650" s="4" t="inlineStr">
        <is>
          <t>Energia mensual entregada al SINP.</t>
        </is>
      </c>
    </row>
    <row r="651">
      <c r="A651" s="6" t="inlineStr">
        <is>
          <t>R0000650</t>
        </is>
      </c>
      <c r="B651" s="6" t="inlineStr">
        <is>
          <t>2008-04-01</t>
        </is>
      </c>
      <c r="C651" s="6" t="inlineStr">
        <is>
          <t>2008-04-30</t>
        </is>
      </c>
      <c r="D651" s="6" t="inlineStr">
        <is>
          <t>month</t>
        </is>
      </c>
      <c r="E651" s="6" t="inlineStr">
        <is>
          <t>YACYRETA_NET_ENERGY</t>
        </is>
      </c>
      <c r="F651" s="6" t="inlineStr">
        <is>
          <t>YACYRETA</t>
        </is>
      </c>
      <c r="G651" s="6" t="inlineStr">
        <is>
          <t>YACYRETA</t>
        </is>
      </c>
      <c r="H651" s="6" t="inlineStr">
        <is>
          <t>TOTAL</t>
        </is>
      </c>
      <c r="I651" s="8" t="n">
        <v>1317078</v>
      </c>
      <c r="J651" s="6" t="inlineStr">
        <is>
          <t>MWh</t>
        </is>
      </c>
      <c r="K651" s="8" t="n">
        <v>1317078</v>
      </c>
      <c r="L651" s="6" t="inlineStr">
        <is>
          <t>MWh</t>
        </is>
      </c>
      <c r="M651" s="6" t="inlineStr">
        <is>
          <t>EBY</t>
        </is>
      </c>
      <c r="N651" s="6" t="inlineStr">
        <is>
          <t>OFFICIAL_PRIMARY</t>
        </is>
      </c>
      <c r="O651" s="9" t="inlineStr">
        <is>
          <t>OFFICIAL_AGGREGATE</t>
        </is>
      </c>
      <c r="P651" s="8" t="n">
        <v>1</v>
      </c>
      <c r="Q651" s="8" t="n">
        <v>50</v>
      </c>
      <c r="R651" s="7" t="inlineStr">
        <is>
          <t>https://www.eby.gov.py/wp-content/uploads/2019/12/YacyretaEnergiasMensualesDesdePuestaenMarcha.pdf</t>
        </is>
      </c>
      <c r="S651" s="6" t="inlineStr">
        <is>
          <t>EBY-MONTHLY-1994-2012</t>
        </is>
      </c>
      <c r="T651" s="6" t="inlineStr"/>
      <c r="U651" s="4" t="inlineStr">
        <is>
          <t>2026-09-10 23:00:00</t>
        </is>
      </c>
      <c r="V651" s="4" t="inlineStr">
        <is>
          <t>Energia mensual Yacyreta desde puesta en marcha.</t>
        </is>
      </c>
    </row>
    <row r="652">
      <c r="A652" s="6" t="inlineStr">
        <is>
          <t>R0000651</t>
        </is>
      </c>
      <c r="B652" s="6" t="inlineStr">
        <is>
          <t>2008-04-01</t>
        </is>
      </c>
      <c r="C652" s="6" t="inlineStr">
        <is>
          <t>2008-04-30</t>
        </is>
      </c>
      <c r="D652" s="6" t="inlineStr">
        <is>
          <t>month</t>
        </is>
      </c>
      <c r="E652" s="6" t="inlineStr">
        <is>
          <t>ENERGY_TO_ARGENTINA</t>
        </is>
      </c>
      <c r="F652" s="6" t="inlineStr">
        <is>
          <t>YACYRETA</t>
        </is>
      </c>
      <c r="G652" s="6" t="inlineStr">
        <is>
          <t>YACYRETA</t>
        </is>
      </c>
      <c r="H652" s="6" t="inlineStr">
        <is>
          <t>SADI</t>
        </is>
      </c>
      <c r="I652" s="8" t="n">
        <v>1232714</v>
      </c>
      <c r="J652" s="6" t="inlineStr">
        <is>
          <t>MWh</t>
        </is>
      </c>
      <c r="K652" s="8" t="n">
        <v>1232714</v>
      </c>
      <c r="L652" s="6" t="inlineStr">
        <is>
          <t>MWh</t>
        </is>
      </c>
      <c r="M652" s="6" t="inlineStr">
        <is>
          <t>EBY</t>
        </is>
      </c>
      <c r="N652" s="6" t="inlineStr">
        <is>
          <t>OFFICIAL_PRIMARY</t>
        </is>
      </c>
      <c r="O652" s="9" t="inlineStr">
        <is>
          <t>OFFICIAL_AGGREGATE</t>
        </is>
      </c>
      <c r="P652" s="8" t="n">
        <v>1</v>
      </c>
      <c r="Q652" s="8" t="n">
        <v>50</v>
      </c>
      <c r="R652" s="7" t="inlineStr">
        <is>
          <t>https://www.eby.gov.py/wp-content/uploads/2019/12/YacyretaEnergiasMensualesDesdePuestaenMarcha.pdf</t>
        </is>
      </c>
      <c r="S652" s="6" t="inlineStr">
        <is>
          <t>EBY-MONTHLY-1994-2012</t>
        </is>
      </c>
      <c r="T652" s="6" t="inlineStr"/>
      <c r="U652" s="4" t="inlineStr">
        <is>
          <t>2026-09-10 23:00:00</t>
        </is>
      </c>
      <c r="V652" s="4" t="inlineStr">
        <is>
          <t>Energia mensual entregada al SADI.</t>
        </is>
      </c>
    </row>
    <row r="653">
      <c r="A653" s="6" t="inlineStr">
        <is>
          <t>R0000652</t>
        </is>
      </c>
      <c r="B653" s="6" t="inlineStr">
        <is>
          <t>2008-04-01</t>
        </is>
      </c>
      <c r="C653" s="6" t="inlineStr">
        <is>
          <t>2008-04-30</t>
        </is>
      </c>
      <c r="D653" s="6" t="inlineStr">
        <is>
          <t>month</t>
        </is>
      </c>
      <c r="E653" s="6" t="inlineStr">
        <is>
          <t>ENERGY_TO_PY</t>
        </is>
      </c>
      <c r="F653" s="6" t="inlineStr">
        <is>
          <t>YACYRETA</t>
        </is>
      </c>
      <c r="G653" s="6" t="inlineStr">
        <is>
          <t>YACYRETA</t>
        </is>
      </c>
      <c r="H653" s="6" t="inlineStr">
        <is>
          <t>SINP</t>
        </is>
      </c>
      <c r="I653" s="8" t="n">
        <v>84364</v>
      </c>
      <c r="J653" s="6" t="inlineStr">
        <is>
          <t>MWh</t>
        </is>
      </c>
      <c r="K653" s="8" t="n">
        <v>84364</v>
      </c>
      <c r="L653" s="6" t="inlineStr">
        <is>
          <t>MWh</t>
        </is>
      </c>
      <c r="M653" s="6" t="inlineStr">
        <is>
          <t>EBY</t>
        </is>
      </c>
      <c r="N653" s="6" t="inlineStr">
        <is>
          <t>OFFICIAL_PRIMARY</t>
        </is>
      </c>
      <c r="O653" s="9" t="inlineStr">
        <is>
          <t>OFFICIAL_AGGREGATE</t>
        </is>
      </c>
      <c r="P653" s="8" t="n">
        <v>1</v>
      </c>
      <c r="Q653" s="8" t="n">
        <v>50</v>
      </c>
      <c r="R653" s="7" t="inlineStr">
        <is>
          <t>https://www.eby.gov.py/wp-content/uploads/2019/12/YacyretaEnergiasMensualesDesdePuestaenMarcha.pdf</t>
        </is>
      </c>
      <c r="S653" s="6" t="inlineStr">
        <is>
          <t>EBY-MONTHLY-1994-2012</t>
        </is>
      </c>
      <c r="T653" s="6" t="inlineStr"/>
      <c r="U653" s="4" t="inlineStr">
        <is>
          <t>2026-09-10 23:00:00</t>
        </is>
      </c>
      <c r="V653" s="4" t="inlineStr">
        <is>
          <t>Energia mensual entregada al SINP.</t>
        </is>
      </c>
    </row>
    <row r="654">
      <c r="A654" s="6" t="inlineStr">
        <is>
          <t>R0000653</t>
        </is>
      </c>
      <c r="B654" s="6" t="inlineStr">
        <is>
          <t>2008-05-01</t>
        </is>
      </c>
      <c r="C654" s="6" t="inlineStr">
        <is>
          <t>2008-05-31</t>
        </is>
      </c>
      <c r="D654" s="6" t="inlineStr">
        <is>
          <t>month</t>
        </is>
      </c>
      <c r="E654" s="6" t="inlineStr">
        <is>
          <t>YACYRETA_NET_ENERGY</t>
        </is>
      </c>
      <c r="F654" s="6" t="inlineStr">
        <is>
          <t>YACYRETA</t>
        </is>
      </c>
      <c r="G654" s="6" t="inlineStr">
        <is>
          <t>YACYRETA</t>
        </is>
      </c>
      <c r="H654" s="6" t="inlineStr">
        <is>
          <t>TOTAL</t>
        </is>
      </c>
      <c r="I654" s="8" t="n">
        <v>1240590</v>
      </c>
      <c r="J654" s="6" t="inlineStr">
        <is>
          <t>MWh</t>
        </is>
      </c>
      <c r="K654" s="8" t="n">
        <v>1240590</v>
      </c>
      <c r="L654" s="6" t="inlineStr">
        <is>
          <t>MWh</t>
        </is>
      </c>
      <c r="M654" s="6" t="inlineStr">
        <is>
          <t>EBY</t>
        </is>
      </c>
      <c r="N654" s="6" t="inlineStr">
        <is>
          <t>OFFICIAL_PRIMARY</t>
        </is>
      </c>
      <c r="O654" s="9" t="inlineStr">
        <is>
          <t>OFFICIAL_AGGREGATE</t>
        </is>
      </c>
      <c r="P654" s="8" t="n">
        <v>1</v>
      </c>
      <c r="Q654" s="8" t="n">
        <v>50</v>
      </c>
      <c r="R654" s="7" t="inlineStr">
        <is>
          <t>https://www.eby.gov.py/wp-content/uploads/2019/12/YacyretaEnergiasMensualesDesdePuestaenMarcha.pdf</t>
        </is>
      </c>
      <c r="S654" s="6" t="inlineStr">
        <is>
          <t>EBY-MONTHLY-1994-2012</t>
        </is>
      </c>
      <c r="T654" s="6" t="inlineStr"/>
      <c r="U654" s="4" t="inlineStr">
        <is>
          <t>2026-09-10 23:00:00</t>
        </is>
      </c>
      <c r="V654" s="4" t="inlineStr">
        <is>
          <t>Energia mensual Yacyreta desde puesta en marcha.</t>
        </is>
      </c>
    </row>
    <row r="655">
      <c r="A655" s="6" t="inlineStr">
        <is>
          <t>R0000654</t>
        </is>
      </c>
      <c r="B655" s="6" t="inlineStr">
        <is>
          <t>2008-05-01</t>
        </is>
      </c>
      <c r="C655" s="6" t="inlineStr">
        <is>
          <t>2008-05-31</t>
        </is>
      </c>
      <c r="D655" s="6" t="inlineStr">
        <is>
          <t>month</t>
        </is>
      </c>
      <c r="E655" s="6" t="inlineStr">
        <is>
          <t>ENERGY_TO_ARGENTINA</t>
        </is>
      </c>
      <c r="F655" s="6" t="inlineStr">
        <is>
          <t>YACYRETA</t>
        </is>
      </c>
      <c r="G655" s="6" t="inlineStr">
        <is>
          <t>YACYRETA</t>
        </is>
      </c>
      <c r="H655" s="6" t="inlineStr">
        <is>
          <t>SADI</t>
        </is>
      </c>
      <c r="I655" s="8" t="n">
        <v>1147350</v>
      </c>
      <c r="J655" s="6" t="inlineStr">
        <is>
          <t>MWh</t>
        </is>
      </c>
      <c r="K655" s="8" t="n">
        <v>1147350</v>
      </c>
      <c r="L655" s="6" t="inlineStr">
        <is>
          <t>MWh</t>
        </is>
      </c>
      <c r="M655" s="6" t="inlineStr">
        <is>
          <t>EBY</t>
        </is>
      </c>
      <c r="N655" s="6" t="inlineStr">
        <is>
          <t>OFFICIAL_PRIMARY</t>
        </is>
      </c>
      <c r="O655" s="9" t="inlineStr">
        <is>
          <t>OFFICIAL_AGGREGATE</t>
        </is>
      </c>
      <c r="P655" s="8" t="n">
        <v>1</v>
      </c>
      <c r="Q655" s="8" t="n">
        <v>50</v>
      </c>
      <c r="R655" s="7" t="inlineStr">
        <is>
          <t>https://www.eby.gov.py/wp-content/uploads/2019/12/YacyretaEnergiasMensualesDesdePuestaenMarcha.pdf</t>
        </is>
      </c>
      <c r="S655" s="6" t="inlineStr">
        <is>
          <t>EBY-MONTHLY-1994-2012</t>
        </is>
      </c>
      <c r="T655" s="6" t="inlineStr"/>
      <c r="U655" s="4" t="inlineStr">
        <is>
          <t>2026-09-10 23:00:00</t>
        </is>
      </c>
      <c r="V655" s="4" t="inlineStr">
        <is>
          <t>Energia mensual entregada al SADI.</t>
        </is>
      </c>
    </row>
    <row r="656">
      <c r="A656" s="6" t="inlineStr">
        <is>
          <t>R0000655</t>
        </is>
      </c>
      <c r="B656" s="6" t="inlineStr">
        <is>
          <t>2008-05-01</t>
        </is>
      </c>
      <c r="C656" s="6" t="inlineStr">
        <is>
          <t>2008-05-31</t>
        </is>
      </c>
      <c r="D656" s="6" t="inlineStr">
        <is>
          <t>month</t>
        </is>
      </c>
      <c r="E656" s="6" t="inlineStr">
        <is>
          <t>ENERGY_TO_PY</t>
        </is>
      </c>
      <c r="F656" s="6" t="inlineStr">
        <is>
          <t>YACYRETA</t>
        </is>
      </c>
      <c r="G656" s="6" t="inlineStr">
        <is>
          <t>YACYRETA</t>
        </is>
      </c>
      <c r="H656" s="6" t="inlineStr">
        <is>
          <t>SINP</t>
        </is>
      </c>
      <c r="I656" s="8" t="n">
        <v>93240</v>
      </c>
      <c r="J656" s="6" t="inlineStr">
        <is>
          <t>MWh</t>
        </is>
      </c>
      <c r="K656" s="8" t="n">
        <v>93240</v>
      </c>
      <c r="L656" s="6" t="inlineStr">
        <is>
          <t>MWh</t>
        </is>
      </c>
      <c r="M656" s="6" t="inlineStr">
        <is>
          <t>EBY</t>
        </is>
      </c>
      <c r="N656" s="6" t="inlineStr">
        <is>
          <t>OFFICIAL_PRIMARY</t>
        </is>
      </c>
      <c r="O656" s="9" t="inlineStr">
        <is>
          <t>OFFICIAL_AGGREGATE</t>
        </is>
      </c>
      <c r="P656" s="8" t="n">
        <v>1</v>
      </c>
      <c r="Q656" s="8" t="n">
        <v>50</v>
      </c>
      <c r="R656" s="7" t="inlineStr">
        <is>
          <t>https://www.eby.gov.py/wp-content/uploads/2019/12/YacyretaEnergiasMensualesDesdePuestaenMarcha.pdf</t>
        </is>
      </c>
      <c r="S656" s="6" t="inlineStr">
        <is>
          <t>EBY-MONTHLY-1994-2012</t>
        </is>
      </c>
      <c r="T656" s="6" t="inlineStr"/>
      <c r="U656" s="4" t="inlineStr">
        <is>
          <t>2026-09-10 23:00:00</t>
        </is>
      </c>
      <c r="V656" s="4" t="inlineStr">
        <is>
          <t>Energia mensual entregada al SINP.</t>
        </is>
      </c>
    </row>
    <row r="657">
      <c r="A657" s="6" t="inlineStr">
        <is>
          <t>R0000656</t>
        </is>
      </c>
      <c r="B657" s="6" t="inlineStr">
        <is>
          <t>2008-06-01</t>
        </is>
      </c>
      <c r="C657" s="6" t="inlineStr">
        <is>
          <t>2008-06-30</t>
        </is>
      </c>
      <c r="D657" s="6" t="inlineStr">
        <is>
          <t>month</t>
        </is>
      </c>
      <c r="E657" s="6" t="inlineStr">
        <is>
          <t>YACYRETA_NET_ENERGY</t>
        </is>
      </c>
      <c r="F657" s="6" t="inlineStr">
        <is>
          <t>YACYRETA</t>
        </is>
      </c>
      <c r="G657" s="6" t="inlineStr">
        <is>
          <t>YACYRETA</t>
        </is>
      </c>
      <c r="H657" s="6" t="inlineStr">
        <is>
          <t>TOTAL</t>
        </is>
      </c>
      <c r="I657" s="8" t="n">
        <v>1266174</v>
      </c>
      <c r="J657" s="6" t="inlineStr">
        <is>
          <t>MWh</t>
        </is>
      </c>
      <c r="K657" s="8" t="n">
        <v>1266174</v>
      </c>
      <c r="L657" s="6" t="inlineStr">
        <is>
          <t>MWh</t>
        </is>
      </c>
      <c r="M657" s="6" t="inlineStr">
        <is>
          <t>EBY</t>
        </is>
      </c>
      <c r="N657" s="6" t="inlineStr">
        <is>
          <t>OFFICIAL_PRIMARY</t>
        </is>
      </c>
      <c r="O657" s="9" t="inlineStr">
        <is>
          <t>OFFICIAL_AGGREGATE</t>
        </is>
      </c>
      <c r="P657" s="8" t="n">
        <v>1</v>
      </c>
      <c r="Q657" s="8" t="n">
        <v>50</v>
      </c>
      <c r="R657" s="7" t="inlineStr">
        <is>
          <t>https://www.eby.gov.py/wp-content/uploads/2019/12/YacyretaEnergiasMensualesDesdePuestaenMarcha.pdf</t>
        </is>
      </c>
      <c r="S657" s="6" t="inlineStr">
        <is>
          <t>EBY-MONTHLY-1994-2012</t>
        </is>
      </c>
      <c r="T657" s="6" t="inlineStr"/>
      <c r="U657" s="4" t="inlineStr">
        <is>
          <t>2026-09-10 23:00:00</t>
        </is>
      </c>
      <c r="V657" s="4" t="inlineStr">
        <is>
          <t>Energia mensual Yacyreta desde puesta en marcha.</t>
        </is>
      </c>
    </row>
    <row r="658">
      <c r="A658" s="6" t="inlineStr">
        <is>
          <t>R0000657</t>
        </is>
      </c>
      <c r="B658" s="6" t="inlineStr">
        <is>
          <t>2008-06-01</t>
        </is>
      </c>
      <c r="C658" s="6" t="inlineStr">
        <is>
          <t>2008-06-30</t>
        </is>
      </c>
      <c r="D658" s="6" t="inlineStr">
        <is>
          <t>month</t>
        </is>
      </c>
      <c r="E658" s="6" t="inlineStr">
        <is>
          <t>ENERGY_TO_ARGENTINA</t>
        </is>
      </c>
      <c r="F658" s="6" t="inlineStr">
        <is>
          <t>YACYRETA</t>
        </is>
      </c>
      <c r="G658" s="6" t="inlineStr">
        <is>
          <t>YACYRETA</t>
        </is>
      </c>
      <c r="H658" s="6" t="inlineStr">
        <is>
          <t>SADI</t>
        </is>
      </c>
      <c r="I658" s="8" t="n">
        <v>1223762</v>
      </c>
      <c r="J658" s="6" t="inlineStr">
        <is>
          <t>MWh</t>
        </is>
      </c>
      <c r="K658" s="8" t="n">
        <v>1223762</v>
      </c>
      <c r="L658" s="6" t="inlineStr">
        <is>
          <t>MWh</t>
        </is>
      </c>
      <c r="M658" s="6" t="inlineStr">
        <is>
          <t>EBY</t>
        </is>
      </c>
      <c r="N658" s="6" t="inlineStr">
        <is>
          <t>OFFICIAL_PRIMARY</t>
        </is>
      </c>
      <c r="O658" s="9" t="inlineStr">
        <is>
          <t>OFFICIAL_AGGREGATE</t>
        </is>
      </c>
      <c r="P658" s="8" t="n">
        <v>1</v>
      </c>
      <c r="Q658" s="8" t="n">
        <v>50</v>
      </c>
      <c r="R658" s="7" t="inlineStr">
        <is>
          <t>https://www.eby.gov.py/wp-content/uploads/2019/12/YacyretaEnergiasMensualesDesdePuestaenMarcha.pdf</t>
        </is>
      </c>
      <c r="S658" s="6" t="inlineStr">
        <is>
          <t>EBY-MONTHLY-1994-2012</t>
        </is>
      </c>
      <c r="T658" s="6" t="inlineStr"/>
      <c r="U658" s="4" t="inlineStr">
        <is>
          <t>2026-09-10 23:00:00</t>
        </is>
      </c>
      <c r="V658" s="4" t="inlineStr">
        <is>
          <t>Energia mensual entregada al SADI.</t>
        </is>
      </c>
    </row>
    <row r="659">
      <c r="A659" s="6" t="inlineStr">
        <is>
          <t>R0000658</t>
        </is>
      </c>
      <c r="B659" s="6" t="inlineStr">
        <is>
          <t>2008-06-01</t>
        </is>
      </c>
      <c r="C659" s="6" t="inlineStr">
        <is>
          <t>2008-06-30</t>
        </is>
      </c>
      <c r="D659" s="6" t="inlineStr">
        <is>
          <t>month</t>
        </is>
      </c>
      <c r="E659" s="6" t="inlineStr">
        <is>
          <t>ENERGY_TO_PY</t>
        </is>
      </c>
      <c r="F659" s="6" t="inlineStr">
        <is>
          <t>YACYRETA</t>
        </is>
      </c>
      <c r="G659" s="6" t="inlineStr">
        <is>
          <t>YACYRETA</t>
        </is>
      </c>
      <c r="H659" s="6" t="inlineStr">
        <is>
          <t>SINP</t>
        </is>
      </c>
      <c r="I659" s="8" t="n">
        <v>42412</v>
      </c>
      <c r="J659" s="6" t="inlineStr">
        <is>
          <t>MWh</t>
        </is>
      </c>
      <c r="K659" s="8" t="n">
        <v>42412</v>
      </c>
      <c r="L659" s="6" t="inlineStr">
        <is>
          <t>MWh</t>
        </is>
      </c>
      <c r="M659" s="6" t="inlineStr">
        <is>
          <t>EBY</t>
        </is>
      </c>
      <c r="N659" s="6" t="inlineStr">
        <is>
          <t>OFFICIAL_PRIMARY</t>
        </is>
      </c>
      <c r="O659" s="9" t="inlineStr">
        <is>
          <t>OFFICIAL_AGGREGATE</t>
        </is>
      </c>
      <c r="P659" s="8" t="n">
        <v>1</v>
      </c>
      <c r="Q659" s="8" t="n">
        <v>50</v>
      </c>
      <c r="R659" s="7" t="inlineStr">
        <is>
          <t>https://www.eby.gov.py/wp-content/uploads/2019/12/YacyretaEnergiasMensualesDesdePuestaenMarcha.pdf</t>
        </is>
      </c>
      <c r="S659" s="6" t="inlineStr">
        <is>
          <t>EBY-MONTHLY-1994-2012</t>
        </is>
      </c>
      <c r="T659" s="6" t="inlineStr"/>
      <c r="U659" s="4" t="inlineStr">
        <is>
          <t>2026-09-10 23:00:00</t>
        </is>
      </c>
      <c r="V659" s="4" t="inlineStr">
        <is>
          <t>Energia mensual entregada al SINP.</t>
        </is>
      </c>
    </row>
    <row r="660">
      <c r="A660" s="6" t="inlineStr">
        <is>
          <t>R0000659</t>
        </is>
      </c>
      <c r="B660" s="6" t="inlineStr">
        <is>
          <t>2008-07-01</t>
        </is>
      </c>
      <c r="C660" s="6" t="inlineStr">
        <is>
          <t>2008-07-31</t>
        </is>
      </c>
      <c r="D660" s="6" t="inlineStr">
        <is>
          <t>month</t>
        </is>
      </c>
      <c r="E660" s="6" t="inlineStr">
        <is>
          <t>YACYRETA_NET_ENERGY</t>
        </is>
      </c>
      <c r="F660" s="6" t="inlineStr">
        <is>
          <t>YACYRETA</t>
        </is>
      </c>
      <c r="G660" s="6" t="inlineStr">
        <is>
          <t>YACYRETA</t>
        </is>
      </c>
      <c r="H660" s="6" t="inlineStr">
        <is>
          <t>TOTAL</t>
        </is>
      </c>
      <c r="I660" s="8" t="n">
        <v>1233797</v>
      </c>
      <c r="J660" s="6" t="inlineStr">
        <is>
          <t>MWh</t>
        </is>
      </c>
      <c r="K660" s="8" t="n">
        <v>1233797</v>
      </c>
      <c r="L660" s="6" t="inlineStr">
        <is>
          <t>MWh</t>
        </is>
      </c>
      <c r="M660" s="6" t="inlineStr">
        <is>
          <t>EBY</t>
        </is>
      </c>
      <c r="N660" s="6" t="inlineStr">
        <is>
          <t>OFFICIAL_PRIMARY</t>
        </is>
      </c>
      <c r="O660" s="9" t="inlineStr">
        <is>
          <t>OFFICIAL_AGGREGATE</t>
        </is>
      </c>
      <c r="P660" s="8" t="n">
        <v>1</v>
      </c>
      <c r="Q660" s="8" t="n">
        <v>50</v>
      </c>
      <c r="R660" s="7" t="inlineStr">
        <is>
          <t>https://www.eby.gov.py/wp-content/uploads/2019/12/YacyretaEnergiasMensualesDesdePuestaenMarcha.pdf</t>
        </is>
      </c>
      <c r="S660" s="6" t="inlineStr">
        <is>
          <t>EBY-MONTHLY-1994-2012</t>
        </is>
      </c>
      <c r="T660" s="6" t="inlineStr"/>
      <c r="U660" s="4" t="inlineStr">
        <is>
          <t>2026-09-10 23:00:00</t>
        </is>
      </c>
      <c r="V660" s="4" t="inlineStr">
        <is>
          <t>Energia mensual Yacyreta desde puesta en marcha.</t>
        </is>
      </c>
    </row>
    <row r="661">
      <c r="A661" s="6" t="inlineStr">
        <is>
          <t>R0000660</t>
        </is>
      </c>
      <c r="B661" s="6" t="inlineStr">
        <is>
          <t>2008-07-01</t>
        </is>
      </c>
      <c r="C661" s="6" t="inlineStr">
        <is>
          <t>2008-07-31</t>
        </is>
      </c>
      <c r="D661" s="6" t="inlineStr">
        <is>
          <t>month</t>
        </is>
      </c>
      <c r="E661" s="6" t="inlineStr">
        <is>
          <t>ENERGY_TO_ARGENTINA</t>
        </is>
      </c>
      <c r="F661" s="6" t="inlineStr">
        <is>
          <t>YACYRETA</t>
        </is>
      </c>
      <c r="G661" s="6" t="inlineStr">
        <is>
          <t>YACYRETA</t>
        </is>
      </c>
      <c r="H661" s="6" t="inlineStr">
        <is>
          <t>SADI</t>
        </is>
      </c>
      <c r="I661" s="8" t="n">
        <v>1184080</v>
      </c>
      <c r="J661" s="6" t="inlineStr">
        <is>
          <t>MWh</t>
        </is>
      </c>
      <c r="K661" s="8" t="n">
        <v>1184080</v>
      </c>
      <c r="L661" s="6" t="inlineStr">
        <is>
          <t>MWh</t>
        </is>
      </c>
      <c r="M661" s="6" t="inlineStr">
        <is>
          <t>EBY</t>
        </is>
      </c>
      <c r="N661" s="6" t="inlineStr">
        <is>
          <t>OFFICIAL_PRIMARY</t>
        </is>
      </c>
      <c r="O661" s="9" t="inlineStr">
        <is>
          <t>OFFICIAL_AGGREGATE</t>
        </is>
      </c>
      <c r="P661" s="8" t="n">
        <v>1</v>
      </c>
      <c r="Q661" s="8" t="n">
        <v>50</v>
      </c>
      <c r="R661" s="7" t="inlineStr">
        <is>
          <t>https://www.eby.gov.py/wp-content/uploads/2019/12/YacyretaEnergiasMensualesDesdePuestaenMarcha.pdf</t>
        </is>
      </c>
      <c r="S661" s="6" t="inlineStr">
        <is>
          <t>EBY-MONTHLY-1994-2012</t>
        </is>
      </c>
      <c r="T661" s="6" t="inlineStr"/>
      <c r="U661" s="4" t="inlineStr">
        <is>
          <t>2026-09-10 23:00:00</t>
        </is>
      </c>
      <c r="V661" s="4" t="inlineStr">
        <is>
          <t>Energia mensual entregada al SADI.</t>
        </is>
      </c>
    </row>
    <row r="662">
      <c r="A662" s="6" t="inlineStr">
        <is>
          <t>R0000661</t>
        </is>
      </c>
      <c r="B662" s="6" t="inlineStr">
        <is>
          <t>2008-07-01</t>
        </is>
      </c>
      <c r="C662" s="6" t="inlineStr">
        <is>
          <t>2008-07-31</t>
        </is>
      </c>
      <c r="D662" s="6" t="inlineStr">
        <is>
          <t>month</t>
        </is>
      </c>
      <c r="E662" s="6" t="inlineStr">
        <is>
          <t>ENERGY_TO_PY</t>
        </is>
      </c>
      <c r="F662" s="6" t="inlineStr">
        <is>
          <t>YACYRETA</t>
        </is>
      </c>
      <c r="G662" s="6" t="inlineStr">
        <is>
          <t>YACYRETA</t>
        </is>
      </c>
      <c r="H662" s="6" t="inlineStr">
        <is>
          <t>SINP</t>
        </is>
      </c>
      <c r="I662" s="8" t="n">
        <v>49717</v>
      </c>
      <c r="J662" s="6" t="inlineStr">
        <is>
          <t>MWh</t>
        </is>
      </c>
      <c r="K662" s="8" t="n">
        <v>49717</v>
      </c>
      <c r="L662" s="6" t="inlineStr">
        <is>
          <t>MWh</t>
        </is>
      </c>
      <c r="M662" s="6" t="inlineStr">
        <is>
          <t>EBY</t>
        </is>
      </c>
      <c r="N662" s="6" t="inlineStr">
        <is>
          <t>OFFICIAL_PRIMARY</t>
        </is>
      </c>
      <c r="O662" s="9" t="inlineStr">
        <is>
          <t>OFFICIAL_AGGREGATE</t>
        </is>
      </c>
      <c r="P662" s="8" t="n">
        <v>1</v>
      </c>
      <c r="Q662" s="8" t="n">
        <v>50</v>
      </c>
      <c r="R662" s="7" t="inlineStr">
        <is>
          <t>https://www.eby.gov.py/wp-content/uploads/2019/12/YacyretaEnergiasMensualesDesdePuestaenMarcha.pdf</t>
        </is>
      </c>
      <c r="S662" s="6" t="inlineStr">
        <is>
          <t>EBY-MONTHLY-1994-2012</t>
        </is>
      </c>
      <c r="T662" s="6" t="inlineStr"/>
      <c r="U662" s="4" t="inlineStr">
        <is>
          <t>2026-09-10 23:00:00</t>
        </is>
      </c>
      <c r="V662" s="4" t="inlineStr">
        <is>
          <t>Energia mensual entregada al SINP.</t>
        </is>
      </c>
    </row>
    <row r="663">
      <c r="A663" s="6" t="inlineStr">
        <is>
          <t>R0000662</t>
        </is>
      </c>
      <c r="B663" s="6" t="inlineStr">
        <is>
          <t>2008-08-01</t>
        </is>
      </c>
      <c r="C663" s="6" t="inlineStr">
        <is>
          <t>2008-08-31</t>
        </is>
      </c>
      <c r="D663" s="6" t="inlineStr">
        <is>
          <t>month</t>
        </is>
      </c>
      <c r="E663" s="6" t="inlineStr">
        <is>
          <t>YACYRETA_NET_ENERGY</t>
        </is>
      </c>
      <c r="F663" s="6" t="inlineStr">
        <is>
          <t>YACYRETA</t>
        </is>
      </c>
      <c r="G663" s="6" t="inlineStr">
        <is>
          <t>YACYRETA</t>
        </is>
      </c>
      <c r="H663" s="6" t="inlineStr">
        <is>
          <t>TOTAL</t>
        </is>
      </c>
      <c r="I663" s="8" t="n">
        <v>1438480</v>
      </c>
      <c r="J663" s="6" t="inlineStr">
        <is>
          <t>MWh</t>
        </is>
      </c>
      <c r="K663" s="8" t="n">
        <v>1438480</v>
      </c>
      <c r="L663" s="6" t="inlineStr">
        <is>
          <t>MWh</t>
        </is>
      </c>
      <c r="M663" s="6" t="inlineStr">
        <is>
          <t>EBY</t>
        </is>
      </c>
      <c r="N663" s="6" t="inlineStr">
        <is>
          <t>OFFICIAL_PRIMARY</t>
        </is>
      </c>
      <c r="O663" s="9" t="inlineStr">
        <is>
          <t>OFFICIAL_AGGREGATE</t>
        </is>
      </c>
      <c r="P663" s="8" t="n">
        <v>1</v>
      </c>
      <c r="Q663" s="8" t="n">
        <v>50</v>
      </c>
      <c r="R663" s="7" t="inlineStr">
        <is>
          <t>https://www.eby.gov.py/wp-content/uploads/2019/12/YacyretaEnergiasMensualesDesdePuestaenMarcha.pdf</t>
        </is>
      </c>
      <c r="S663" s="6" t="inlineStr">
        <is>
          <t>EBY-MONTHLY-1994-2012</t>
        </is>
      </c>
      <c r="T663" s="6" t="inlineStr"/>
      <c r="U663" s="4" t="inlineStr">
        <is>
          <t>2026-09-10 23:00:00</t>
        </is>
      </c>
      <c r="V663" s="4" t="inlineStr">
        <is>
          <t>Energia mensual Yacyreta desde puesta en marcha.</t>
        </is>
      </c>
    </row>
    <row r="664">
      <c r="A664" s="6" t="inlineStr">
        <is>
          <t>R0000663</t>
        </is>
      </c>
      <c r="B664" s="6" t="inlineStr">
        <is>
          <t>2008-08-01</t>
        </is>
      </c>
      <c r="C664" s="6" t="inlineStr">
        <is>
          <t>2008-08-31</t>
        </is>
      </c>
      <c r="D664" s="6" t="inlineStr">
        <is>
          <t>month</t>
        </is>
      </c>
      <c r="E664" s="6" t="inlineStr">
        <is>
          <t>ENERGY_TO_ARGENTINA</t>
        </is>
      </c>
      <c r="F664" s="6" t="inlineStr">
        <is>
          <t>YACYRETA</t>
        </is>
      </c>
      <c r="G664" s="6" t="inlineStr">
        <is>
          <t>YACYRETA</t>
        </is>
      </c>
      <c r="H664" s="6" t="inlineStr">
        <is>
          <t>SADI</t>
        </is>
      </c>
      <c r="I664" s="8" t="n">
        <v>1376542</v>
      </c>
      <c r="J664" s="6" t="inlineStr">
        <is>
          <t>MWh</t>
        </is>
      </c>
      <c r="K664" s="8" t="n">
        <v>1376542</v>
      </c>
      <c r="L664" s="6" t="inlineStr">
        <is>
          <t>MWh</t>
        </is>
      </c>
      <c r="M664" s="6" t="inlineStr">
        <is>
          <t>EBY</t>
        </is>
      </c>
      <c r="N664" s="6" t="inlineStr">
        <is>
          <t>OFFICIAL_PRIMARY</t>
        </is>
      </c>
      <c r="O664" s="9" t="inlineStr">
        <is>
          <t>OFFICIAL_AGGREGATE</t>
        </is>
      </c>
      <c r="P664" s="8" t="n">
        <v>1</v>
      </c>
      <c r="Q664" s="8" t="n">
        <v>50</v>
      </c>
      <c r="R664" s="7" t="inlineStr">
        <is>
          <t>https://www.eby.gov.py/wp-content/uploads/2019/12/YacyretaEnergiasMensualesDesdePuestaenMarcha.pdf</t>
        </is>
      </c>
      <c r="S664" s="6" t="inlineStr">
        <is>
          <t>EBY-MONTHLY-1994-2012</t>
        </is>
      </c>
      <c r="T664" s="6" t="inlineStr"/>
      <c r="U664" s="4" t="inlineStr">
        <is>
          <t>2026-09-10 23:00:00</t>
        </is>
      </c>
      <c r="V664" s="4" t="inlineStr">
        <is>
          <t>Energia mensual entregada al SADI.</t>
        </is>
      </c>
    </row>
    <row r="665">
      <c r="A665" s="6" t="inlineStr">
        <is>
          <t>R0000664</t>
        </is>
      </c>
      <c r="B665" s="6" t="inlineStr">
        <is>
          <t>2008-08-01</t>
        </is>
      </c>
      <c r="C665" s="6" t="inlineStr">
        <is>
          <t>2008-08-31</t>
        </is>
      </c>
      <c r="D665" s="6" t="inlineStr">
        <is>
          <t>month</t>
        </is>
      </c>
      <c r="E665" s="6" t="inlineStr">
        <is>
          <t>ENERGY_TO_PY</t>
        </is>
      </c>
      <c r="F665" s="6" t="inlineStr">
        <is>
          <t>YACYRETA</t>
        </is>
      </c>
      <c r="G665" s="6" t="inlineStr">
        <is>
          <t>YACYRETA</t>
        </is>
      </c>
      <c r="H665" s="6" t="inlineStr">
        <is>
          <t>SINP</t>
        </is>
      </c>
      <c r="I665" s="8" t="n">
        <v>61938</v>
      </c>
      <c r="J665" s="6" t="inlineStr">
        <is>
          <t>MWh</t>
        </is>
      </c>
      <c r="K665" s="8" t="n">
        <v>61938</v>
      </c>
      <c r="L665" s="6" t="inlineStr">
        <is>
          <t>MWh</t>
        </is>
      </c>
      <c r="M665" s="6" t="inlineStr">
        <is>
          <t>EBY</t>
        </is>
      </c>
      <c r="N665" s="6" t="inlineStr">
        <is>
          <t>OFFICIAL_PRIMARY</t>
        </is>
      </c>
      <c r="O665" s="9" t="inlineStr">
        <is>
          <t>OFFICIAL_AGGREGATE</t>
        </is>
      </c>
      <c r="P665" s="8" t="n">
        <v>1</v>
      </c>
      <c r="Q665" s="8" t="n">
        <v>50</v>
      </c>
      <c r="R665" s="7" t="inlineStr">
        <is>
          <t>https://www.eby.gov.py/wp-content/uploads/2019/12/YacyretaEnergiasMensualesDesdePuestaenMarcha.pdf</t>
        </is>
      </c>
      <c r="S665" s="6" t="inlineStr">
        <is>
          <t>EBY-MONTHLY-1994-2012</t>
        </is>
      </c>
      <c r="T665" s="6" t="inlineStr"/>
      <c r="U665" s="4" t="inlineStr">
        <is>
          <t>2026-09-10 23:00:00</t>
        </is>
      </c>
      <c r="V665" s="4" t="inlineStr">
        <is>
          <t>Energia mensual entregada al SINP.</t>
        </is>
      </c>
    </row>
    <row r="666">
      <c r="A666" s="6" t="inlineStr">
        <is>
          <t>R0000665</t>
        </is>
      </c>
      <c r="B666" s="6" t="inlineStr">
        <is>
          <t>2008-09-01</t>
        </is>
      </c>
      <c r="C666" s="6" t="inlineStr">
        <is>
          <t>2008-09-30</t>
        </is>
      </c>
      <c r="D666" s="6" t="inlineStr">
        <is>
          <t>month</t>
        </is>
      </c>
      <c r="E666" s="6" t="inlineStr">
        <is>
          <t>YACYRETA_NET_ENERGY</t>
        </is>
      </c>
      <c r="F666" s="6" t="inlineStr">
        <is>
          <t>YACYRETA</t>
        </is>
      </c>
      <c r="G666" s="6" t="inlineStr">
        <is>
          <t>YACYRETA</t>
        </is>
      </c>
      <c r="H666" s="6" t="inlineStr">
        <is>
          <t>TOTAL</t>
        </is>
      </c>
      <c r="I666" s="8" t="n">
        <v>1146781</v>
      </c>
      <c r="J666" s="6" t="inlineStr">
        <is>
          <t>MWh</t>
        </is>
      </c>
      <c r="K666" s="8" t="n">
        <v>1146781</v>
      </c>
      <c r="L666" s="6" t="inlineStr">
        <is>
          <t>MWh</t>
        </is>
      </c>
      <c r="M666" s="6" t="inlineStr">
        <is>
          <t>EBY</t>
        </is>
      </c>
      <c r="N666" s="6" t="inlineStr">
        <is>
          <t>OFFICIAL_PRIMARY</t>
        </is>
      </c>
      <c r="O666" s="9" t="inlineStr">
        <is>
          <t>OFFICIAL_AGGREGATE</t>
        </is>
      </c>
      <c r="P666" s="8" t="n">
        <v>1</v>
      </c>
      <c r="Q666" s="8" t="n">
        <v>50</v>
      </c>
      <c r="R666" s="7" t="inlineStr">
        <is>
          <t>https://www.eby.gov.py/wp-content/uploads/2019/12/YacyretaEnergiasMensualesDesdePuestaenMarcha.pdf</t>
        </is>
      </c>
      <c r="S666" s="6" t="inlineStr">
        <is>
          <t>EBY-MONTHLY-1994-2012</t>
        </is>
      </c>
      <c r="T666" s="6" t="inlineStr"/>
      <c r="U666" s="4" t="inlineStr">
        <is>
          <t>2026-09-10 23:00:00</t>
        </is>
      </c>
      <c r="V666" s="4" t="inlineStr">
        <is>
          <t>Energia mensual Yacyreta desde puesta en marcha.</t>
        </is>
      </c>
    </row>
    <row r="667">
      <c r="A667" s="6" t="inlineStr">
        <is>
          <t>R0000666</t>
        </is>
      </c>
      <c r="B667" s="6" t="inlineStr">
        <is>
          <t>2008-09-01</t>
        </is>
      </c>
      <c r="C667" s="6" t="inlineStr">
        <is>
          <t>2008-09-30</t>
        </is>
      </c>
      <c r="D667" s="6" t="inlineStr">
        <is>
          <t>month</t>
        </is>
      </c>
      <c r="E667" s="6" t="inlineStr">
        <is>
          <t>ENERGY_TO_ARGENTINA</t>
        </is>
      </c>
      <c r="F667" s="6" t="inlineStr">
        <is>
          <t>YACYRETA</t>
        </is>
      </c>
      <c r="G667" s="6" t="inlineStr">
        <is>
          <t>YACYRETA</t>
        </is>
      </c>
      <c r="H667" s="6" t="inlineStr">
        <is>
          <t>SADI</t>
        </is>
      </c>
      <c r="I667" s="8" t="n">
        <v>1054674</v>
      </c>
      <c r="J667" s="6" t="inlineStr">
        <is>
          <t>MWh</t>
        </is>
      </c>
      <c r="K667" s="8" t="n">
        <v>1054674</v>
      </c>
      <c r="L667" s="6" t="inlineStr">
        <is>
          <t>MWh</t>
        </is>
      </c>
      <c r="M667" s="6" t="inlineStr">
        <is>
          <t>EBY</t>
        </is>
      </c>
      <c r="N667" s="6" t="inlineStr">
        <is>
          <t>OFFICIAL_PRIMARY</t>
        </is>
      </c>
      <c r="O667" s="9" t="inlineStr">
        <is>
          <t>OFFICIAL_AGGREGATE</t>
        </is>
      </c>
      <c r="P667" s="8" t="n">
        <v>1</v>
      </c>
      <c r="Q667" s="8" t="n">
        <v>50</v>
      </c>
      <c r="R667" s="7" t="inlineStr">
        <is>
          <t>https://www.eby.gov.py/wp-content/uploads/2019/12/YacyretaEnergiasMensualesDesdePuestaenMarcha.pdf</t>
        </is>
      </c>
      <c r="S667" s="6" t="inlineStr">
        <is>
          <t>EBY-MONTHLY-1994-2012</t>
        </is>
      </c>
      <c r="T667" s="6" t="inlineStr"/>
      <c r="U667" s="4" t="inlineStr">
        <is>
          <t>2026-09-10 23:00:00</t>
        </is>
      </c>
      <c r="V667" s="4" t="inlineStr">
        <is>
          <t>Energia mensual entregada al SADI.</t>
        </is>
      </c>
    </row>
    <row r="668">
      <c r="A668" s="6" t="inlineStr">
        <is>
          <t>R0000667</t>
        </is>
      </c>
      <c r="B668" s="6" t="inlineStr">
        <is>
          <t>2008-09-01</t>
        </is>
      </c>
      <c r="C668" s="6" t="inlineStr">
        <is>
          <t>2008-09-30</t>
        </is>
      </c>
      <c r="D668" s="6" t="inlineStr">
        <is>
          <t>month</t>
        </is>
      </c>
      <c r="E668" s="6" t="inlineStr">
        <is>
          <t>ENERGY_TO_PY</t>
        </is>
      </c>
      <c r="F668" s="6" t="inlineStr">
        <is>
          <t>YACYRETA</t>
        </is>
      </c>
      <c r="G668" s="6" t="inlineStr">
        <is>
          <t>YACYRETA</t>
        </is>
      </c>
      <c r="H668" s="6" t="inlineStr">
        <is>
          <t>SINP</t>
        </is>
      </c>
      <c r="I668" s="8" t="n">
        <v>92107</v>
      </c>
      <c r="J668" s="6" t="inlineStr">
        <is>
          <t>MWh</t>
        </is>
      </c>
      <c r="K668" s="8" t="n">
        <v>92107</v>
      </c>
      <c r="L668" s="6" t="inlineStr">
        <is>
          <t>MWh</t>
        </is>
      </c>
      <c r="M668" s="6" t="inlineStr">
        <is>
          <t>EBY</t>
        </is>
      </c>
      <c r="N668" s="6" t="inlineStr">
        <is>
          <t>OFFICIAL_PRIMARY</t>
        </is>
      </c>
      <c r="O668" s="9" t="inlineStr">
        <is>
          <t>OFFICIAL_AGGREGATE</t>
        </is>
      </c>
      <c r="P668" s="8" t="n">
        <v>1</v>
      </c>
      <c r="Q668" s="8" t="n">
        <v>50</v>
      </c>
      <c r="R668" s="7" t="inlineStr">
        <is>
          <t>https://www.eby.gov.py/wp-content/uploads/2019/12/YacyretaEnergiasMensualesDesdePuestaenMarcha.pdf</t>
        </is>
      </c>
      <c r="S668" s="6" t="inlineStr">
        <is>
          <t>EBY-MONTHLY-1994-2012</t>
        </is>
      </c>
      <c r="T668" s="6" t="inlineStr"/>
      <c r="U668" s="4" t="inlineStr">
        <is>
          <t>2026-09-10 23:00:00</t>
        </is>
      </c>
      <c r="V668" s="4" t="inlineStr">
        <is>
          <t>Energia mensual entregada al SINP.</t>
        </is>
      </c>
    </row>
    <row r="669">
      <c r="A669" s="6" t="inlineStr">
        <is>
          <t>R0000668</t>
        </is>
      </c>
      <c r="B669" s="6" t="inlineStr">
        <is>
          <t>2008-10-01</t>
        </is>
      </c>
      <c r="C669" s="6" t="inlineStr">
        <is>
          <t>2008-10-31</t>
        </is>
      </c>
      <c r="D669" s="6" t="inlineStr">
        <is>
          <t>month</t>
        </is>
      </c>
      <c r="E669" s="6" t="inlineStr">
        <is>
          <t>YACYRETA_NET_ENERGY</t>
        </is>
      </c>
      <c r="F669" s="6" t="inlineStr">
        <is>
          <t>YACYRETA</t>
        </is>
      </c>
      <c r="G669" s="6" t="inlineStr">
        <is>
          <t>YACYRETA</t>
        </is>
      </c>
      <c r="H669" s="6" t="inlineStr">
        <is>
          <t>TOTAL</t>
        </is>
      </c>
      <c r="I669" s="8" t="n">
        <v>1399238</v>
      </c>
      <c r="J669" s="6" t="inlineStr">
        <is>
          <t>MWh</t>
        </is>
      </c>
      <c r="K669" s="8" t="n">
        <v>1399238</v>
      </c>
      <c r="L669" s="6" t="inlineStr">
        <is>
          <t>MWh</t>
        </is>
      </c>
      <c r="M669" s="6" t="inlineStr">
        <is>
          <t>EBY</t>
        </is>
      </c>
      <c r="N669" s="6" t="inlineStr">
        <is>
          <t>OFFICIAL_PRIMARY</t>
        </is>
      </c>
      <c r="O669" s="9" t="inlineStr">
        <is>
          <t>OFFICIAL_AGGREGATE</t>
        </is>
      </c>
      <c r="P669" s="8" t="n">
        <v>1</v>
      </c>
      <c r="Q669" s="8" t="n">
        <v>50</v>
      </c>
      <c r="R669" s="7" t="inlineStr">
        <is>
          <t>https://www.eby.gov.py/wp-content/uploads/2019/12/YacyretaEnergiasMensualesDesdePuestaenMarcha.pdf</t>
        </is>
      </c>
      <c r="S669" s="6" t="inlineStr">
        <is>
          <t>EBY-MONTHLY-1994-2012</t>
        </is>
      </c>
      <c r="T669" s="6" t="inlineStr"/>
      <c r="U669" s="4" t="inlineStr">
        <is>
          <t>2026-09-10 23:00:00</t>
        </is>
      </c>
      <c r="V669" s="4" t="inlineStr">
        <is>
          <t>Energia mensual Yacyreta desde puesta en marcha.</t>
        </is>
      </c>
    </row>
    <row r="670">
      <c r="A670" s="6" t="inlineStr">
        <is>
          <t>R0000669</t>
        </is>
      </c>
      <c r="B670" s="6" t="inlineStr">
        <is>
          <t>2008-10-01</t>
        </is>
      </c>
      <c r="C670" s="6" t="inlineStr">
        <is>
          <t>2008-10-31</t>
        </is>
      </c>
      <c r="D670" s="6" t="inlineStr">
        <is>
          <t>month</t>
        </is>
      </c>
      <c r="E670" s="6" t="inlineStr">
        <is>
          <t>ENERGY_TO_ARGENTINA</t>
        </is>
      </c>
      <c r="F670" s="6" t="inlineStr">
        <is>
          <t>YACYRETA</t>
        </is>
      </c>
      <c r="G670" s="6" t="inlineStr">
        <is>
          <t>YACYRETA</t>
        </is>
      </c>
      <c r="H670" s="6" t="inlineStr">
        <is>
          <t>SADI</t>
        </is>
      </c>
      <c r="I670" s="8" t="n">
        <v>1284036</v>
      </c>
      <c r="J670" s="6" t="inlineStr">
        <is>
          <t>MWh</t>
        </is>
      </c>
      <c r="K670" s="8" t="n">
        <v>1284036</v>
      </c>
      <c r="L670" s="6" t="inlineStr">
        <is>
          <t>MWh</t>
        </is>
      </c>
      <c r="M670" s="6" t="inlineStr">
        <is>
          <t>EBY</t>
        </is>
      </c>
      <c r="N670" s="6" t="inlineStr">
        <is>
          <t>OFFICIAL_PRIMARY</t>
        </is>
      </c>
      <c r="O670" s="9" t="inlineStr">
        <is>
          <t>OFFICIAL_AGGREGATE</t>
        </is>
      </c>
      <c r="P670" s="8" t="n">
        <v>1</v>
      </c>
      <c r="Q670" s="8" t="n">
        <v>50</v>
      </c>
      <c r="R670" s="7" t="inlineStr">
        <is>
          <t>https://www.eby.gov.py/wp-content/uploads/2019/12/YacyretaEnergiasMensualesDesdePuestaenMarcha.pdf</t>
        </is>
      </c>
      <c r="S670" s="6" t="inlineStr">
        <is>
          <t>EBY-MONTHLY-1994-2012</t>
        </is>
      </c>
      <c r="T670" s="6" t="inlineStr"/>
      <c r="U670" s="4" t="inlineStr">
        <is>
          <t>2026-09-10 23:00:00</t>
        </is>
      </c>
      <c r="V670" s="4" t="inlineStr">
        <is>
          <t>Energia mensual entregada al SADI.</t>
        </is>
      </c>
    </row>
    <row r="671">
      <c r="A671" s="6" t="inlineStr">
        <is>
          <t>R0000670</t>
        </is>
      </c>
      <c r="B671" s="6" t="inlineStr">
        <is>
          <t>2008-10-01</t>
        </is>
      </c>
      <c r="C671" s="6" t="inlineStr">
        <is>
          <t>2008-10-31</t>
        </is>
      </c>
      <c r="D671" s="6" t="inlineStr">
        <is>
          <t>month</t>
        </is>
      </c>
      <c r="E671" s="6" t="inlineStr">
        <is>
          <t>ENERGY_TO_PY</t>
        </is>
      </c>
      <c r="F671" s="6" t="inlineStr">
        <is>
          <t>YACYRETA</t>
        </is>
      </c>
      <c r="G671" s="6" t="inlineStr">
        <is>
          <t>YACYRETA</t>
        </is>
      </c>
      <c r="H671" s="6" t="inlineStr">
        <is>
          <t>SINP</t>
        </is>
      </c>
      <c r="I671" s="8" t="n">
        <v>115202</v>
      </c>
      <c r="J671" s="6" t="inlineStr">
        <is>
          <t>MWh</t>
        </is>
      </c>
      <c r="K671" s="8" t="n">
        <v>115202</v>
      </c>
      <c r="L671" s="6" t="inlineStr">
        <is>
          <t>MWh</t>
        </is>
      </c>
      <c r="M671" s="6" t="inlineStr">
        <is>
          <t>EBY</t>
        </is>
      </c>
      <c r="N671" s="6" t="inlineStr">
        <is>
          <t>OFFICIAL_PRIMARY</t>
        </is>
      </c>
      <c r="O671" s="9" t="inlineStr">
        <is>
          <t>OFFICIAL_AGGREGATE</t>
        </is>
      </c>
      <c r="P671" s="8" t="n">
        <v>1</v>
      </c>
      <c r="Q671" s="8" t="n">
        <v>50</v>
      </c>
      <c r="R671" s="7" t="inlineStr">
        <is>
          <t>https://www.eby.gov.py/wp-content/uploads/2019/12/YacyretaEnergiasMensualesDesdePuestaenMarcha.pdf</t>
        </is>
      </c>
      <c r="S671" s="6" t="inlineStr">
        <is>
          <t>EBY-MONTHLY-1994-2012</t>
        </is>
      </c>
      <c r="T671" s="6" t="inlineStr"/>
      <c r="U671" s="4" t="inlineStr">
        <is>
          <t>2026-09-10 23:00:00</t>
        </is>
      </c>
      <c r="V671" s="4" t="inlineStr">
        <is>
          <t>Energia mensual entregada al SINP.</t>
        </is>
      </c>
    </row>
    <row r="672">
      <c r="A672" s="6" t="inlineStr">
        <is>
          <t>R0000671</t>
        </is>
      </c>
      <c r="B672" s="6" t="inlineStr">
        <is>
          <t>2008-11-01</t>
        </is>
      </c>
      <c r="C672" s="6" t="inlineStr">
        <is>
          <t>2008-11-30</t>
        </is>
      </c>
      <c r="D672" s="6" t="inlineStr">
        <is>
          <t>month</t>
        </is>
      </c>
      <c r="E672" s="6" t="inlineStr">
        <is>
          <t>YACYRETA_NET_ENERGY</t>
        </is>
      </c>
      <c r="F672" s="6" t="inlineStr">
        <is>
          <t>YACYRETA</t>
        </is>
      </c>
      <c r="G672" s="6" t="inlineStr">
        <is>
          <t>YACYRETA</t>
        </is>
      </c>
      <c r="H672" s="6" t="inlineStr">
        <is>
          <t>TOTAL</t>
        </is>
      </c>
      <c r="I672" s="8" t="n">
        <v>1392275</v>
      </c>
      <c r="J672" s="6" t="inlineStr">
        <is>
          <t>MWh</t>
        </is>
      </c>
      <c r="K672" s="8" t="n">
        <v>1392275</v>
      </c>
      <c r="L672" s="6" t="inlineStr">
        <is>
          <t>MWh</t>
        </is>
      </c>
      <c r="M672" s="6" t="inlineStr">
        <is>
          <t>EBY</t>
        </is>
      </c>
      <c r="N672" s="6" t="inlineStr">
        <is>
          <t>OFFICIAL_PRIMARY</t>
        </is>
      </c>
      <c r="O672" s="9" t="inlineStr">
        <is>
          <t>OFFICIAL_AGGREGATE</t>
        </is>
      </c>
      <c r="P672" s="8" t="n">
        <v>1</v>
      </c>
      <c r="Q672" s="8" t="n">
        <v>50</v>
      </c>
      <c r="R672" s="7" t="inlineStr">
        <is>
          <t>https://www.eby.gov.py/wp-content/uploads/2019/12/YacyretaEnergiasMensualesDesdePuestaenMarcha.pdf</t>
        </is>
      </c>
      <c r="S672" s="6" t="inlineStr">
        <is>
          <t>EBY-MONTHLY-1994-2012</t>
        </is>
      </c>
      <c r="T672" s="6" t="inlineStr"/>
      <c r="U672" s="4" t="inlineStr">
        <is>
          <t>2026-09-10 23:00:00</t>
        </is>
      </c>
      <c r="V672" s="4" t="inlineStr">
        <is>
          <t>Energia mensual Yacyreta desde puesta en marcha.</t>
        </is>
      </c>
    </row>
    <row r="673">
      <c r="A673" s="6" t="inlineStr">
        <is>
          <t>R0000672</t>
        </is>
      </c>
      <c r="B673" s="6" t="inlineStr">
        <is>
          <t>2008-11-01</t>
        </is>
      </c>
      <c r="C673" s="6" t="inlineStr">
        <is>
          <t>2008-11-30</t>
        </is>
      </c>
      <c r="D673" s="6" t="inlineStr">
        <is>
          <t>month</t>
        </is>
      </c>
      <c r="E673" s="6" t="inlineStr">
        <is>
          <t>ENERGY_TO_ARGENTINA</t>
        </is>
      </c>
      <c r="F673" s="6" t="inlineStr">
        <is>
          <t>YACYRETA</t>
        </is>
      </c>
      <c r="G673" s="6" t="inlineStr">
        <is>
          <t>YACYRETA</t>
        </is>
      </c>
      <c r="H673" s="6" t="inlineStr">
        <is>
          <t>SADI</t>
        </is>
      </c>
      <c r="I673" s="8" t="n">
        <v>1256608</v>
      </c>
      <c r="J673" s="6" t="inlineStr">
        <is>
          <t>MWh</t>
        </is>
      </c>
      <c r="K673" s="8" t="n">
        <v>1256608</v>
      </c>
      <c r="L673" s="6" t="inlineStr">
        <is>
          <t>MWh</t>
        </is>
      </c>
      <c r="M673" s="6" t="inlineStr">
        <is>
          <t>EBY</t>
        </is>
      </c>
      <c r="N673" s="6" t="inlineStr">
        <is>
          <t>OFFICIAL_PRIMARY</t>
        </is>
      </c>
      <c r="O673" s="9" t="inlineStr">
        <is>
          <t>OFFICIAL_AGGREGATE</t>
        </is>
      </c>
      <c r="P673" s="8" t="n">
        <v>1</v>
      </c>
      <c r="Q673" s="8" t="n">
        <v>50</v>
      </c>
      <c r="R673" s="7" t="inlineStr">
        <is>
          <t>https://www.eby.gov.py/wp-content/uploads/2019/12/YacyretaEnergiasMensualesDesdePuestaenMarcha.pdf</t>
        </is>
      </c>
      <c r="S673" s="6" t="inlineStr">
        <is>
          <t>EBY-MONTHLY-1994-2012</t>
        </is>
      </c>
      <c r="T673" s="6" t="inlineStr"/>
      <c r="U673" s="4" t="inlineStr">
        <is>
          <t>2026-09-10 23:00:00</t>
        </is>
      </c>
      <c r="V673" s="4" t="inlineStr">
        <is>
          <t>Energia mensual entregada al SADI.</t>
        </is>
      </c>
    </row>
    <row r="674">
      <c r="A674" s="6" t="inlineStr">
        <is>
          <t>R0000673</t>
        </is>
      </c>
      <c r="B674" s="6" t="inlineStr">
        <is>
          <t>2008-11-01</t>
        </is>
      </c>
      <c r="C674" s="6" t="inlineStr">
        <is>
          <t>2008-11-30</t>
        </is>
      </c>
      <c r="D674" s="6" t="inlineStr">
        <is>
          <t>month</t>
        </is>
      </c>
      <c r="E674" s="6" t="inlineStr">
        <is>
          <t>ENERGY_TO_PY</t>
        </is>
      </c>
      <c r="F674" s="6" t="inlineStr">
        <is>
          <t>YACYRETA</t>
        </is>
      </c>
      <c r="G674" s="6" t="inlineStr">
        <is>
          <t>YACYRETA</t>
        </is>
      </c>
      <c r="H674" s="6" t="inlineStr">
        <is>
          <t>SINP</t>
        </is>
      </c>
      <c r="I674" s="8" t="n">
        <v>135667</v>
      </c>
      <c r="J674" s="6" t="inlineStr">
        <is>
          <t>MWh</t>
        </is>
      </c>
      <c r="K674" s="8" t="n">
        <v>135667</v>
      </c>
      <c r="L674" s="6" t="inlineStr">
        <is>
          <t>MWh</t>
        </is>
      </c>
      <c r="M674" s="6" t="inlineStr">
        <is>
          <t>EBY</t>
        </is>
      </c>
      <c r="N674" s="6" t="inlineStr">
        <is>
          <t>OFFICIAL_PRIMARY</t>
        </is>
      </c>
      <c r="O674" s="9" t="inlineStr">
        <is>
          <t>OFFICIAL_AGGREGATE</t>
        </is>
      </c>
      <c r="P674" s="8" t="n">
        <v>1</v>
      </c>
      <c r="Q674" s="8" t="n">
        <v>50</v>
      </c>
      <c r="R674" s="7" t="inlineStr">
        <is>
          <t>https://www.eby.gov.py/wp-content/uploads/2019/12/YacyretaEnergiasMensualesDesdePuestaenMarcha.pdf</t>
        </is>
      </c>
      <c r="S674" s="6" t="inlineStr">
        <is>
          <t>EBY-MONTHLY-1994-2012</t>
        </is>
      </c>
      <c r="T674" s="6" t="inlineStr"/>
      <c r="U674" s="4" t="inlineStr">
        <is>
          <t>2026-09-10 23:00:00</t>
        </is>
      </c>
      <c r="V674" s="4" t="inlineStr">
        <is>
          <t>Energia mensual entregada al SINP.</t>
        </is>
      </c>
    </row>
    <row r="675">
      <c r="A675" s="6" t="inlineStr">
        <is>
          <t>R0000674</t>
        </is>
      </c>
      <c r="B675" s="6" t="inlineStr">
        <is>
          <t>2008-12-01</t>
        </is>
      </c>
      <c r="C675" s="6" t="inlineStr">
        <is>
          <t>2008-12-31</t>
        </is>
      </c>
      <c r="D675" s="6" t="inlineStr">
        <is>
          <t>month</t>
        </is>
      </c>
      <c r="E675" s="6" t="inlineStr">
        <is>
          <t>YACYRETA_NET_ENERGY</t>
        </is>
      </c>
      <c r="F675" s="6" t="inlineStr">
        <is>
          <t>YACYRETA</t>
        </is>
      </c>
      <c r="G675" s="6" t="inlineStr">
        <is>
          <t>YACYRETA</t>
        </is>
      </c>
      <c r="H675" s="6" t="inlineStr">
        <is>
          <t>TOTAL</t>
        </is>
      </c>
      <c r="I675" s="8" t="n">
        <v>1171158</v>
      </c>
      <c r="J675" s="6" t="inlineStr">
        <is>
          <t>MWh</t>
        </is>
      </c>
      <c r="K675" s="8" t="n">
        <v>1171158</v>
      </c>
      <c r="L675" s="6" t="inlineStr">
        <is>
          <t>MWh</t>
        </is>
      </c>
      <c r="M675" s="6" t="inlineStr">
        <is>
          <t>EBY</t>
        </is>
      </c>
      <c r="N675" s="6" t="inlineStr">
        <is>
          <t>OFFICIAL_PRIMARY</t>
        </is>
      </c>
      <c r="O675" s="9" t="inlineStr">
        <is>
          <t>OFFICIAL_AGGREGATE</t>
        </is>
      </c>
      <c r="P675" s="8" t="n">
        <v>1</v>
      </c>
      <c r="Q675" s="8" t="n">
        <v>50</v>
      </c>
      <c r="R675" s="7" t="inlineStr">
        <is>
          <t>https://www.eby.gov.py/wp-content/uploads/2019/12/YacyretaEnergiasMensualesDesdePuestaenMarcha.pdf</t>
        </is>
      </c>
      <c r="S675" s="6" t="inlineStr">
        <is>
          <t>EBY-MONTHLY-1994-2012</t>
        </is>
      </c>
      <c r="T675" s="6" t="inlineStr"/>
      <c r="U675" s="4" t="inlineStr">
        <is>
          <t>2026-09-10 23:00:00</t>
        </is>
      </c>
      <c r="V675" s="4" t="inlineStr">
        <is>
          <t>Energia mensual Yacyreta desde puesta en marcha.</t>
        </is>
      </c>
    </row>
    <row r="676">
      <c r="A676" s="6" t="inlineStr">
        <is>
          <t>R0000675</t>
        </is>
      </c>
      <c r="B676" s="6" t="inlineStr">
        <is>
          <t>2008-12-01</t>
        </is>
      </c>
      <c r="C676" s="6" t="inlineStr">
        <is>
          <t>2008-12-31</t>
        </is>
      </c>
      <c r="D676" s="6" t="inlineStr">
        <is>
          <t>month</t>
        </is>
      </c>
      <c r="E676" s="6" t="inlineStr">
        <is>
          <t>ENERGY_TO_ARGENTINA</t>
        </is>
      </c>
      <c r="F676" s="6" t="inlineStr">
        <is>
          <t>YACYRETA</t>
        </is>
      </c>
      <c r="G676" s="6" t="inlineStr">
        <is>
          <t>YACYRETA</t>
        </is>
      </c>
      <c r="H676" s="6" t="inlineStr">
        <is>
          <t>SADI</t>
        </is>
      </c>
      <c r="I676" s="8" t="n">
        <v>1009566</v>
      </c>
      <c r="J676" s="6" t="inlineStr">
        <is>
          <t>MWh</t>
        </is>
      </c>
      <c r="K676" s="8" t="n">
        <v>1009566</v>
      </c>
      <c r="L676" s="6" t="inlineStr">
        <is>
          <t>MWh</t>
        </is>
      </c>
      <c r="M676" s="6" t="inlineStr">
        <is>
          <t>EBY</t>
        </is>
      </c>
      <c r="N676" s="6" t="inlineStr">
        <is>
          <t>OFFICIAL_PRIMARY</t>
        </is>
      </c>
      <c r="O676" s="9" t="inlineStr">
        <is>
          <t>OFFICIAL_AGGREGATE</t>
        </is>
      </c>
      <c r="P676" s="8" t="n">
        <v>1</v>
      </c>
      <c r="Q676" s="8" t="n">
        <v>50</v>
      </c>
      <c r="R676" s="7" t="inlineStr">
        <is>
          <t>https://www.eby.gov.py/wp-content/uploads/2019/12/YacyretaEnergiasMensualesDesdePuestaenMarcha.pdf</t>
        </is>
      </c>
      <c r="S676" s="6" t="inlineStr">
        <is>
          <t>EBY-MONTHLY-1994-2012</t>
        </is>
      </c>
      <c r="T676" s="6" t="inlineStr"/>
      <c r="U676" s="4" t="inlineStr">
        <is>
          <t>2026-09-10 23:00:00</t>
        </is>
      </c>
      <c r="V676" s="4" t="inlineStr">
        <is>
          <t>Energia mensual entregada al SADI.</t>
        </is>
      </c>
    </row>
    <row r="677">
      <c r="A677" s="6" t="inlineStr">
        <is>
          <t>R0000676</t>
        </is>
      </c>
      <c r="B677" s="6" t="inlineStr">
        <is>
          <t>2008-12-01</t>
        </is>
      </c>
      <c r="C677" s="6" t="inlineStr">
        <is>
          <t>2008-12-31</t>
        </is>
      </c>
      <c r="D677" s="6" t="inlineStr">
        <is>
          <t>month</t>
        </is>
      </c>
      <c r="E677" s="6" t="inlineStr">
        <is>
          <t>ENERGY_TO_PY</t>
        </is>
      </c>
      <c r="F677" s="6" t="inlineStr">
        <is>
          <t>YACYRETA</t>
        </is>
      </c>
      <c r="G677" s="6" t="inlineStr">
        <is>
          <t>YACYRETA</t>
        </is>
      </c>
      <c r="H677" s="6" t="inlineStr">
        <is>
          <t>SINP</t>
        </is>
      </c>
      <c r="I677" s="8" t="n">
        <v>161592</v>
      </c>
      <c r="J677" s="6" t="inlineStr">
        <is>
          <t>MWh</t>
        </is>
      </c>
      <c r="K677" s="8" t="n">
        <v>161592</v>
      </c>
      <c r="L677" s="6" t="inlineStr">
        <is>
          <t>MWh</t>
        </is>
      </c>
      <c r="M677" s="6" t="inlineStr">
        <is>
          <t>EBY</t>
        </is>
      </c>
      <c r="N677" s="6" t="inlineStr">
        <is>
          <t>OFFICIAL_PRIMARY</t>
        </is>
      </c>
      <c r="O677" s="9" t="inlineStr">
        <is>
          <t>OFFICIAL_AGGREGATE</t>
        </is>
      </c>
      <c r="P677" s="8" t="n">
        <v>1</v>
      </c>
      <c r="Q677" s="8" t="n">
        <v>50</v>
      </c>
      <c r="R677" s="7" t="inlineStr">
        <is>
          <t>https://www.eby.gov.py/wp-content/uploads/2019/12/YacyretaEnergiasMensualesDesdePuestaenMarcha.pdf</t>
        </is>
      </c>
      <c r="S677" s="6" t="inlineStr">
        <is>
          <t>EBY-MONTHLY-1994-2012</t>
        </is>
      </c>
      <c r="T677" s="6" t="inlineStr"/>
      <c r="U677" s="4" t="inlineStr">
        <is>
          <t>2026-09-10 23:00:00</t>
        </is>
      </c>
      <c r="V677" s="4" t="inlineStr">
        <is>
          <t>Energia mensual entregada al SINP.</t>
        </is>
      </c>
    </row>
    <row r="678">
      <c r="A678" s="6" t="inlineStr">
        <is>
          <t>R0000677</t>
        </is>
      </c>
      <c r="B678" s="6" t="inlineStr">
        <is>
          <t>2009-01-01</t>
        </is>
      </c>
      <c r="C678" s="6" t="inlineStr">
        <is>
          <t>2009-01-31</t>
        </is>
      </c>
      <c r="D678" s="6" t="inlineStr">
        <is>
          <t>month</t>
        </is>
      </c>
      <c r="E678" s="6" t="inlineStr">
        <is>
          <t>YACYRETA_NET_ENERGY</t>
        </is>
      </c>
      <c r="F678" s="6" t="inlineStr">
        <is>
          <t>YACYRETA</t>
        </is>
      </c>
      <c r="G678" s="6" t="inlineStr">
        <is>
          <t>YACYRETA</t>
        </is>
      </c>
      <c r="H678" s="6" t="inlineStr">
        <is>
          <t>TOTAL</t>
        </is>
      </c>
      <c r="I678" s="8" t="n">
        <v>1150738</v>
      </c>
      <c r="J678" s="6" t="inlineStr">
        <is>
          <t>MWh</t>
        </is>
      </c>
      <c r="K678" s="8" t="n">
        <v>1150738</v>
      </c>
      <c r="L678" s="6" t="inlineStr">
        <is>
          <t>MWh</t>
        </is>
      </c>
      <c r="M678" s="6" t="inlineStr">
        <is>
          <t>EBY</t>
        </is>
      </c>
      <c r="N678" s="6" t="inlineStr">
        <is>
          <t>OFFICIAL_PRIMARY</t>
        </is>
      </c>
      <c r="O678" s="9" t="inlineStr">
        <is>
          <t>OFFICIAL_AGGREGATE</t>
        </is>
      </c>
      <c r="P678" s="8" t="n">
        <v>1</v>
      </c>
      <c r="Q678" s="8" t="n">
        <v>50</v>
      </c>
      <c r="R678" s="7" t="inlineStr">
        <is>
          <t>https://www.eby.gov.py/wp-content/uploads/2019/12/YacyretaEnergiasMensualesDesdePuestaenMarcha.pdf</t>
        </is>
      </c>
      <c r="S678" s="6" t="inlineStr">
        <is>
          <t>EBY-MONTHLY-1994-2012</t>
        </is>
      </c>
      <c r="T678" s="6" t="inlineStr"/>
      <c r="U678" s="4" t="inlineStr">
        <is>
          <t>2026-09-10 23:00:00</t>
        </is>
      </c>
      <c r="V678" s="4" t="inlineStr">
        <is>
          <t>Energia mensual Yacyreta desde puesta en marcha.</t>
        </is>
      </c>
    </row>
    <row r="679">
      <c r="A679" s="6" t="inlineStr">
        <is>
          <t>R0000678</t>
        </is>
      </c>
      <c r="B679" s="6" t="inlineStr">
        <is>
          <t>2009-01-01</t>
        </is>
      </c>
      <c r="C679" s="6" t="inlineStr">
        <is>
          <t>2009-01-31</t>
        </is>
      </c>
      <c r="D679" s="6" t="inlineStr">
        <is>
          <t>month</t>
        </is>
      </c>
      <c r="E679" s="6" t="inlineStr">
        <is>
          <t>ENERGY_TO_ARGENTINA</t>
        </is>
      </c>
      <c r="F679" s="6" t="inlineStr">
        <is>
          <t>YACYRETA</t>
        </is>
      </c>
      <c r="G679" s="6" t="inlineStr">
        <is>
          <t>YACYRETA</t>
        </is>
      </c>
      <c r="H679" s="6" t="inlineStr">
        <is>
          <t>SADI</t>
        </is>
      </c>
      <c r="I679" s="8" t="n">
        <v>1005924</v>
      </c>
      <c r="J679" s="6" t="inlineStr">
        <is>
          <t>MWh</t>
        </is>
      </c>
      <c r="K679" s="8" t="n">
        <v>1005924</v>
      </c>
      <c r="L679" s="6" t="inlineStr">
        <is>
          <t>MWh</t>
        </is>
      </c>
      <c r="M679" s="6" t="inlineStr">
        <is>
          <t>EBY</t>
        </is>
      </c>
      <c r="N679" s="6" t="inlineStr">
        <is>
          <t>OFFICIAL_PRIMARY</t>
        </is>
      </c>
      <c r="O679" s="9" t="inlineStr">
        <is>
          <t>OFFICIAL_AGGREGATE</t>
        </is>
      </c>
      <c r="P679" s="8" t="n">
        <v>1</v>
      </c>
      <c r="Q679" s="8" t="n">
        <v>50</v>
      </c>
      <c r="R679" s="7" t="inlineStr">
        <is>
          <t>https://www.eby.gov.py/wp-content/uploads/2019/12/YacyretaEnergiasMensualesDesdePuestaenMarcha.pdf</t>
        </is>
      </c>
      <c r="S679" s="6" t="inlineStr">
        <is>
          <t>EBY-MONTHLY-1994-2012</t>
        </is>
      </c>
      <c r="T679" s="6" t="inlineStr"/>
      <c r="U679" s="4" t="inlineStr">
        <is>
          <t>2026-09-10 23:00:00</t>
        </is>
      </c>
      <c r="V679" s="4" t="inlineStr">
        <is>
          <t>Energia mensual entregada al SADI.</t>
        </is>
      </c>
    </row>
    <row r="680">
      <c r="A680" s="6" t="inlineStr">
        <is>
          <t>R0000679</t>
        </is>
      </c>
      <c r="B680" s="6" t="inlineStr">
        <is>
          <t>2009-01-01</t>
        </is>
      </c>
      <c r="C680" s="6" t="inlineStr">
        <is>
          <t>2009-01-31</t>
        </is>
      </c>
      <c r="D680" s="6" t="inlineStr">
        <is>
          <t>month</t>
        </is>
      </c>
      <c r="E680" s="6" t="inlineStr">
        <is>
          <t>ENERGY_TO_PY</t>
        </is>
      </c>
      <c r="F680" s="6" t="inlineStr">
        <is>
          <t>YACYRETA</t>
        </is>
      </c>
      <c r="G680" s="6" t="inlineStr">
        <is>
          <t>YACYRETA</t>
        </is>
      </c>
      <c r="H680" s="6" t="inlineStr">
        <is>
          <t>SINP</t>
        </is>
      </c>
      <c r="I680" s="8" t="n">
        <v>144814</v>
      </c>
      <c r="J680" s="6" t="inlineStr">
        <is>
          <t>MWh</t>
        </is>
      </c>
      <c r="K680" s="8" t="n">
        <v>144814</v>
      </c>
      <c r="L680" s="6" t="inlineStr">
        <is>
          <t>MWh</t>
        </is>
      </c>
      <c r="M680" s="6" t="inlineStr">
        <is>
          <t>EBY</t>
        </is>
      </c>
      <c r="N680" s="6" t="inlineStr">
        <is>
          <t>OFFICIAL_PRIMARY</t>
        </is>
      </c>
      <c r="O680" s="9" t="inlineStr">
        <is>
          <t>OFFICIAL_AGGREGATE</t>
        </is>
      </c>
      <c r="P680" s="8" t="n">
        <v>1</v>
      </c>
      <c r="Q680" s="8" t="n">
        <v>50</v>
      </c>
      <c r="R680" s="7" t="inlineStr">
        <is>
          <t>https://www.eby.gov.py/wp-content/uploads/2019/12/YacyretaEnergiasMensualesDesdePuestaenMarcha.pdf</t>
        </is>
      </c>
      <c r="S680" s="6" t="inlineStr">
        <is>
          <t>EBY-MONTHLY-1994-2012</t>
        </is>
      </c>
      <c r="T680" s="6" t="inlineStr"/>
      <c r="U680" s="4" t="inlineStr">
        <is>
          <t>2026-09-10 23:00:00</t>
        </is>
      </c>
      <c r="V680" s="4" t="inlineStr">
        <is>
          <t>Energia mensual entregada al SINP.</t>
        </is>
      </c>
    </row>
    <row r="681">
      <c r="A681" s="6" t="inlineStr">
        <is>
          <t>R0000680</t>
        </is>
      </c>
      <c r="B681" s="6" t="inlineStr">
        <is>
          <t>2009-02-01</t>
        </is>
      </c>
      <c r="C681" s="6" t="inlineStr">
        <is>
          <t>2009-02-28</t>
        </is>
      </c>
      <c r="D681" s="6" t="inlineStr">
        <is>
          <t>month</t>
        </is>
      </c>
      <c r="E681" s="6" t="inlineStr">
        <is>
          <t>YACYRETA_NET_ENERGY</t>
        </is>
      </c>
      <c r="F681" s="6" t="inlineStr">
        <is>
          <t>YACYRETA</t>
        </is>
      </c>
      <c r="G681" s="6" t="inlineStr">
        <is>
          <t>YACYRETA</t>
        </is>
      </c>
      <c r="H681" s="6" t="inlineStr">
        <is>
          <t>TOTAL</t>
        </is>
      </c>
      <c r="I681" s="8" t="n">
        <v>1123298</v>
      </c>
      <c r="J681" s="6" t="inlineStr">
        <is>
          <t>MWh</t>
        </is>
      </c>
      <c r="K681" s="8" t="n">
        <v>1123298</v>
      </c>
      <c r="L681" s="6" t="inlineStr">
        <is>
          <t>MWh</t>
        </is>
      </c>
      <c r="M681" s="6" t="inlineStr">
        <is>
          <t>EBY</t>
        </is>
      </c>
      <c r="N681" s="6" t="inlineStr">
        <is>
          <t>OFFICIAL_PRIMARY</t>
        </is>
      </c>
      <c r="O681" s="9" t="inlineStr">
        <is>
          <t>OFFICIAL_AGGREGATE</t>
        </is>
      </c>
      <c r="P681" s="8" t="n">
        <v>1</v>
      </c>
      <c r="Q681" s="8" t="n">
        <v>50</v>
      </c>
      <c r="R681" s="7" t="inlineStr">
        <is>
          <t>https://www.eby.gov.py/wp-content/uploads/2019/12/YacyretaEnergiasMensualesDesdePuestaenMarcha.pdf</t>
        </is>
      </c>
      <c r="S681" s="6" t="inlineStr">
        <is>
          <t>EBY-MONTHLY-1994-2012</t>
        </is>
      </c>
      <c r="T681" s="6" t="inlineStr"/>
      <c r="U681" s="4" t="inlineStr">
        <is>
          <t>2026-09-10 23:00:00</t>
        </is>
      </c>
      <c r="V681" s="4" t="inlineStr">
        <is>
          <t>Energia mensual Yacyreta desde puesta en marcha.</t>
        </is>
      </c>
    </row>
    <row r="682">
      <c r="A682" s="6" t="inlineStr">
        <is>
          <t>R0000681</t>
        </is>
      </c>
      <c r="B682" s="6" t="inlineStr">
        <is>
          <t>2009-02-01</t>
        </is>
      </c>
      <c r="C682" s="6" t="inlineStr">
        <is>
          <t>2009-02-28</t>
        </is>
      </c>
      <c r="D682" s="6" t="inlineStr">
        <is>
          <t>month</t>
        </is>
      </c>
      <c r="E682" s="6" t="inlineStr">
        <is>
          <t>ENERGY_TO_ARGENTINA</t>
        </is>
      </c>
      <c r="F682" s="6" t="inlineStr">
        <is>
          <t>YACYRETA</t>
        </is>
      </c>
      <c r="G682" s="6" t="inlineStr">
        <is>
          <t>YACYRETA</t>
        </is>
      </c>
      <c r="H682" s="6" t="inlineStr">
        <is>
          <t>SADI</t>
        </is>
      </c>
      <c r="I682" s="8" t="n">
        <v>981834</v>
      </c>
      <c r="J682" s="6" t="inlineStr">
        <is>
          <t>MWh</t>
        </is>
      </c>
      <c r="K682" s="8" t="n">
        <v>981834</v>
      </c>
      <c r="L682" s="6" t="inlineStr">
        <is>
          <t>MWh</t>
        </is>
      </c>
      <c r="M682" s="6" t="inlineStr">
        <is>
          <t>EBY</t>
        </is>
      </c>
      <c r="N682" s="6" t="inlineStr">
        <is>
          <t>OFFICIAL_PRIMARY</t>
        </is>
      </c>
      <c r="O682" s="9" t="inlineStr">
        <is>
          <t>OFFICIAL_AGGREGATE</t>
        </is>
      </c>
      <c r="P682" s="8" t="n">
        <v>1</v>
      </c>
      <c r="Q682" s="8" t="n">
        <v>50</v>
      </c>
      <c r="R682" s="7" t="inlineStr">
        <is>
          <t>https://www.eby.gov.py/wp-content/uploads/2019/12/YacyretaEnergiasMensualesDesdePuestaenMarcha.pdf</t>
        </is>
      </c>
      <c r="S682" s="6" t="inlineStr">
        <is>
          <t>EBY-MONTHLY-1994-2012</t>
        </is>
      </c>
      <c r="T682" s="6" t="inlineStr"/>
      <c r="U682" s="4" t="inlineStr">
        <is>
          <t>2026-09-10 23:00:00</t>
        </is>
      </c>
      <c r="V682" s="4" t="inlineStr">
        <is>
          <t>Energia mensual entregada al SADI.</t>
        </is>
      </c>
    </row>
    <row r="683">
      <c r="A683" s="6" t="inlineStr">
        <is>
          <t>R0000682</t>
        </is>
      </c>
      <c r="B683" s="6" t="inlineStr">
        <is>
          <t>2009-02-01</t>
        </is>
      </c>
      <c r="C683" s="6" t="inlineStr">
        <is>
          <t>2009-02-28</t>
        </is>
      </c>
      <c r="D683" s="6" t="inlineStr">
        <is>
          <t>month</t>
        </is>
      </c>
      <c r="E683" s="6" t="inlineStr">
        <is>
          <t>ENERGY_TO_PY</t>
        </is>
      </c>
      <c r="F683" s="6" t="inlineStr">
        <is>
          <t>YACYRETA</t>
        </is>
      </c>
      <c r="G683" s="6" t="inlineStr">
        <is>
          <t>YACYRETA</t>
        </is>
      </c>
      <c r="H683" s="6" t="inlineStr">
        <is>
          <t>SINP</t>
        </is>
      </c>
      <c r="I683" s="8" t="n">
        <v>141464</v>
      </c>
      <c r="J683" s="6" t="inlineStr">
        <is>
          <t>MWh</t>
        </is>
      </c>
      <c r="K683" s="8" t="n">
        <v>141464</v>
      </c>
      <c r="L683" s="6" t="inlineStr">
        <is>
          <t>MWh</t>
        </is>
      </c>
      <c r="M683" s="6" t="inlineStr">
        <is>
          <t>EBY</t>
        </is>
      </c>
      <c r="N683" s="6" t="inlineStr">
        <is>
          <t>OFFICIAL_PRIMARY</t>
        </is>
      </c>
      <c r="O683" s="9" t="inlineStr">
        <is>
          <t>OFFICIAL_AGGREGATE</t>
        </is>
      </c>
      <c r="P683" s="8" t="n">
        <v>1</v>
      </c>
      <c r="Q683" s="8" t="n">
        <v>50</v>
      </c>
      <c r="R683" s="7" t="inlineStr">
        <is>
          <t>https://www.eby.gov.py/wp-content/uploads/2019/12/YacyretaEnergiasMensualesDesdePuestaenMarcha.pdf</t>
        </is>
      </c>
      <c r="S683" s="6" t="inlineStr">
        <is>
          <t>EBY-MONTHLY-1994-2012</t>
        </is>
      </c>
      <c r="T683" s="6" t="inlineStr"/>
      <c r="U683" s="4" t="inlineStr">
        <is>
          <t>2026-09-10 23:00:00</t>
        </is>
      </c>
      <c r="V683" s="4" t="inlineStr">
        <is>
          <t>Energia mensual entregada al SINP.</t>
        </is>
      </c>
    </row>
    <row r="684">
      <c r="A684" s="6" t="inlineStr">
        <is>
          <t>R0000683</t>
        </is>
      </c>
      <c r="B684" s="6" t="inlineStr">
        <is>
          <t>2009-03-01</t>
        </is>
      </c>
      <c r="C684" s="6" t="inlineStr">
        <is>
          <t>2009-03-31</t>
        </is>
      </c>
      <c r="D684" s="6" t="inlineStr">
        <is>
          <t>month</t>
        </is>
      </c>
      <c r="E684" s="6" t="inlineStr">
        <is>
          <t>YACYRETA_NET_ENERGY</t>
        </is>
      </c>
      <c r="F684" s="6" t="inlineStr">
        <is>
          <t>YACYRETA</t>
        </is>
      </c>
      <c r="G684" s="6" t="inlineStr">
        <is>
          <t>YACYRETA</t>
        </is>
      </c>
      <c r="H684" s="6" t="inlineStr">
        <is>
          <t>TOTAL</t>
        </is>
      </c>
      <c r="I684" s="8" t="n">
        <v>1269799</v>
      </c>
      <c r="J684" s="6" t="inlineStr">
        <is>
          <t>MWh</t>
        </is>
      </c>
      <c r="K684" s="8" t="n">
        <v>1269799</v>
      </c>
      <c r="L684" s="6" t="inlineStr">
        <is>
          <t>MWh</t>
        </is>
      </c>
      <c r="M684" s="6" t="inlineStr">
        <is>
          <t>EBY</t>
        </is>
      </c>
      <c r="N684" s="6" t="inlineStr">
        <is>
          <t>OFFICIAL_PRIMARY</t>
        </is>
      </c>
      <c r="O684" s="9" t="inlineStr">
        <is>
          <t>OFFICIAL_AGGREGATE</t>
        </is>
      </c>
      <c r="P684" s="8" t="n">
        <v>1</v>
      </c>
      <c r="Q684" s="8" t="n">
        <v>50</v>
      </c>
      <c r="R684" s="7" t="inlineStr">
        <is>
          <t>https://www.eby.gov.py/wp-content/uploads/2019/12/YacyretaEnergiasMensualesDesdePuestaenMarcha.pdf</t>
        </is>
      </c>
      <c r="S684" s="6" t="inlineStr">
        <is>
          <t>EBY-MONTHLY-1994-2012</t>
        </is>
      </c>
      <c r="T684" s="6" t="inlineStr"/>
      <c r="U684" s="4" t="inlineStr">
        <is>
          <t>2026-09-10 23:00:00</t>
        </is>
      </c>
      <c r="V684" s="4" t="inlineStr">
        <is>
          <t>Energia mensual Yacyreta desde puesta en marcha.</t>
        </is>
      </c>
    </row>
    <row r="685">
      <c r="A685" s="6" t="inlineStr">
        <is>
          <t>R0000684</t>
        </is>
      </c>
      <c r="B685" s="6" t="inlineStr">
        <is>
          <t>2009-03-01</t>
        </is>
      </c>
      <c r="C685" s="6" t="inlineStr">
        <is>
          <t>2009-03-31</t>
        </is>
      </c>
      <c r="D685" s="6" t="inlineStr">
        <is>
          <t>month</t>
        </is>
      </c>
      <c r="E685" s="6" t="inlineStr">
        <is>
          <t>ENERGY_TO_ARGENTINA</t>
        </is>
      </c>
      <c r="F685" s="6" t="inlineStr">
        <is>
          <t>YACYRETA</t>
        </is>
      </c>
      <c r="G685" s="6" t="inlineStr">
        <is>
          <t>YACYRETA</t>
        </is>
      </c>
      <c r="H685" s="6" t="inlineStr">
        <is>
          <t>SADI</t>
        </is>
      </c>
      <c r="I685" s="8" t="n">
        <v>1070414</v>
      </c>
      <c r="J685" s="6" t="inlineStr">
        <is>
          <t>MWh</t>
        </is>
      </c>
      <c r="K685" s="8" t="n">
        <v>1070414</v>
      </c>
      <c r="L685" s="6" t="inlineStr">
        <is>
          <t>MWh</t>
        </is>
      </c>
      <c r="M685" s="6" t="inlineStr">
        <is>
          <t>EBY</t>
        </is>
      </c>
      <c r="N685" s="6" t="inlineStr">
        <is>
          <t>OFFICIAL_PRIMARY</t>
        </is>
      </c>
      <c r="O685" s="9" t="inlineStr">
        <is>
          <t>OFFICIAL_AGGREGATE</t>
        </is>
      </c>
      <c r="P685" s="8" t="n">
        <v>1</v>
      </c>
      <c r="Q685" s="8" t="n">
        <v>50</v>
      </c>
      <c r="R685" s="7" t="inlineStr">
        <is>
          <t>https://www.eby.gov.py/wp-content/uploads/2019/12/YacyretaEnergiasMensualesDesdePuestaenMarcha.pdf</t>
        </is>
      </c>
      <c r="S685" s="6" t="inlineStr">
        <is>
          <t>EBY-MONTHLY-1994-2012</t>
        </is>
      </c>
      <c r="T685" s="6" t="inlineStr"/>
      <c r="U685" s="4" t="inlineStr">
        <is>
          <t>2026-09-10 23:00:00</t>
        </is>
      </c>
      <c r="V685" s="4" t="inlineStr">
        <is>
          <t>Energia mensual entregada al SADI.</t>
        </is>
      </c>
    </row>
    <row r="686">
      <c r="A686" s="6" t="inlineStr">
        <is>
          <t>R0000685</t>
        </is>
      </c>
      <c r="B686" s="6" t="inlineStr">
        <is>
          <t>2009-03-01</t>
        </is>
      </c>
      <c r="C686" s="6" t="inlineStr">
        <is>
          <t>2009-03-31</t>
        </is>
      </c>
      <c r="D686" s="6" t="inlineStr">
        <is>
          <t>month</t>
        </is>
      </c>
      <c r="E686" s="6" t="inlineStr">
        <is>
          <t>ENERGY_TO_PY</t>
        </is>
      </c>
      <c r="F686" s="6" t="inlineStr">
        <is>
          <t>YACYRETA</t>
        </is>
      </c>
      <c r="G686" s="6" t="inlineStr">
        <is>
          <t>YACYRETA</t>
        </is>
      </c>
      <c r="H686" s="6" t="inlineStr">
        <is>
          <t>SINP</t>
        </is>
      </c>
      <c r="I686" s="8" t="n">
        <v>199385</v>
      </c>
      <c r="J686" s="6" t="inlineStr">
        <is>
          <t>MWh</t>
        </is>
      </c>
      <c r="K686" s="8" t="n">
        <v>199385</v>
      </c>
      <c r="L686" s="6" t="inlineStr">
        <is>
          <t>MWh</t>
        </is>
      </c>
      <c r="M686" s="6" t="inlineStr">
        <is>
          <t>EBY</t>
        </is>
      </c>
      <c r="N686" s="6" t="inlineStr">
        <is>
          <t>OFFICIAL_PRIMARY</t>
        </is>
      </c>
      <c r="O686" s="9" t="inlineStr">
        <is>
          <t>OFFICIAL_AGGREGATE</t>
        </is>
      </c>
      <c r="P686" s="8" t="n">
        <v>1</v>
      </c>
      <c r="Q686" s="8" t="n">
        <v>50</v>
      </c>
      <c r="R686" s="7" t="inlineStr">
        <is>
          <t>https://www.eby.gov.py/wp-content/uploads/2019/12/YacyretaEnergiasMensualesDesdePuestaenMarcha.pdf</t>
        </is>
      </c>
      <c r="S686" s="6" t="inlineStr">
        <is>
          <t>EBY-MONTHLY-1994-2012</t>
        </is>
      </c>
      <c r="T686" s="6" t="inlineStr"/>
      <c r="U686" s="4" t="inlineStr">
        <is>
          <t>2026-09-10 23:00:00</t>
        </is>
      </c>
      <c r="V686" s="4" t="inlineStr">
        <is>
          <t>Energia mensual entregada al SINP.</t>
        </is>
      </c>
    </row>
    <row r="687">
      <c r="A687" s="6" t="inlineStr">
        <is>
          <t>R0000686</t>
        </is>
      </c>
      <c r="B687" s="6" t="inlineStr">
        <is>
          <t>2009-04-01</t>
        </is>
      </c>
      <c r="C687" s="6" t="inlineStr">
        <is>
          <t>2009-04-30</t>
        </is>
      </c>
      <c r="D687" s="6" t="inlineStr">
        <is>
          <t>month</t>
        </is>
      </c>
      <c r="E687" s="6" t="inlineStr">
        <is>
          <t>YACYRETA_NET_ENERGY</t>
        </is>
      </c>
      <c r="F687" s="6" t="inlineStr">
        <is>
          <t>YACYRETA</t>
        </is>
      </c>
      <c r="G687" s="6" t="inlineStr">
        <is>
          <t>YACYRETA</t>
        </is>
      </c>
      <c r="H687" s="6" t="inlineStr">
        <is>
          <t>TOTAL</t>
        </is>
      </c>
      <c r="I687" s="8" t="n">
        <v>1170735</v>
      </c>
      <c r="J687" s="6" t="inlineStr">
        <is>
          <t>MWh</t>
        </is>
      </c>
      <c r="K687" s="8" t="n">
        <v>1170735</v>
      </c>
      <c r="L687" s="6" t="inlineStr">
        <is>
          <t>MWh</t>
        </is>
      </c>
      <c r="M687" s="6" t="inlineStr">
        <is>
          <t>EBY</t>
        </is>
      </c>
      <c r="N687" s="6" t="inlineStr">
        <is>
          <t>OFFICIAL_PRIMARY</t>
        </is>
      </c>
      <c r="O687" s="9" t="inlineStr">
        <is>
          <t>OFFICIAL_AGGREGATE</t>
        </is>
      </c>
      <c r="P687" s="8" t="n">
        <v>1</v>
      </c>
      <c r="Q687" s="8" t="n">
        <v>50</v>
      </c>
      <c r="R687" s="7" t="inlineStr">
        <is>
          <t>https://www.eby.gov.py/wp-content/uploads/2019/12/YacyretaEnergiasMensualesDesdePuestaenMarcha.pdf</t>
        </is>
      </c>
      <c r="S687" s="6" t="inlineStr">
        <is>
          <t>EBY-MONTHLY-1994-2012</t>
        </is>
      </c>
      <c r="T687" s="6" t="inlineStr"/>
      <c r="U687" s="4" t="inlineStr">
        <is>
          <t>2026-09-10 23:00:00</t>
        </is>
      </c>
      <c r="V687" s="4" t="inlineStr">
        <is>
          <t>Energia mensual Yacyreta desde puesta en marcha.</t>
        </is>
      </c>
    </row>
    <row r="688">
      <c r="A688" s="6" t="inlineStr">
        <is>
          <t>R0000687</t>
        </is>
      </c>
      <c r="B688" s="6" t="inlineStr">
        <is>
          <t>2009-04-01</t>
        </is>
      </c>
      <c r="C688" s="6" t="inlineStr">
        <is>
          <t>2009-04-30</t>
        </is>
      </c>
      <c r="D688" s="6" t="inlineStr">
        <is>
          <t>month</t>
        </is>
      </c>
      <c r="E688" s="6" t="inlineStr">
        <is>
          <t>ENERGY_TO_ARGENTINA</t>
        </is>
      </c>
      <c r="F688" s="6" t="inlineStr">
        <is>
          <t>YACYRETA</t>
        </is>
      </c>
      <c r="G688" s="6" t="inlineStr">
        <is>
          <t>YACYRETA</t>
        </is>
      </c>
      <c r="H688" s="6" t="inlineStr">
        <is>
          <t>SADI</t>
        </is>
      </c>
      <c r="I688" s="8" t="n">
        <v>1000388</v>
      </c>
      <c r="J688" s="6" t="inlineStr">
        <is>
          <t>MWh</t>
        </is>
      </c>
      <c r="K688" s="8" t="n">
        <v>1000388</v>
      </c>
      <c r="L688" s="6" t="inlineStr">
        <is>
          <t>MWh</t>
        </is>
      </c>
      <c r="M688" s="6" t="inlineStr">
        <is>
          <t>EBY</t>
        </is>
      </c>
      <c r="N688" s="6" t="inlineStr">
        <is>
          <t>OFFICIAL_PRIMARY</t>
        </is>
      </c>
      <c r="O688" s="9" t="inlineStr">
        <is>
          <t>OFFICIAL_AGGREGATE</t>
        </is>
      </c>
      <c r="P688" s="8" t="n">
        <v>1</v>
      </c>
      <c r="Q688" s="8" t="n">
        <v>50</v>
      </c>
      <c r="R688" s="7" t="inlineStr">
        <is>
          <t>https://www.eby.gov.py/wp-content/uploads/2019/12/YacyretaEnergiasMensualesDesdePuestaenMarcha.pdf</t>
        </is>
      </c>
      <c r="S688" s="6" t="inlineStr">
        <is>
          <t>EBY-MONTHLY-1994-2012</t>
        </is>
      </c>
      <c r="T688" s="6" t="inlineStr"/>
      <c r="U688" s="4" t="inlineStr">
        <is>
          <t>2026-09-10 23:00:00</t>
        </is>
      </c>
      <c r="V688" s="4" t="inlineStr">
        <is>
          <t>Energia mensual entregada al SADI.</t>
        </is>
      </c>
    </row>
    <row r="689">
      <c r="A689" s="6" t="inlineStr">
        <is>
          <t>R0000688</t>
        </is>
      </c>
      <c r="B689" s="6" t="inlineStr">
        <is>
          <t>2009-04-01</t>
        </is>
      </c>
      <c r="C689" s="6" t="inlineStr">
        <is>
          <t>2009-04-30</t>
        </is>
      </c>
      <c r="D689" s="6" t="inlineStr">
        <is>
          <t>month</t>
        </is>
      </c>
      <c r="E689" s="6" t="inlineStr">
        <is>
          <t>ENERGY_TO_PY</t>
        </is>
      </c>
      <c r="F689" s="6" t="inlineStr">
        <is>
          <t>YACYRETA</t>
        </is>
      </c>
      <c r="G689" s="6" t="inlineStr">
        <is>
          <t>YACYRETA</t>
        </is>
      </c>
      <c r="H689" s="6" t="inlineStr">
        <is>
          <t>SINP</t>
        </is>
      </c>
      <c r="I689" s="8" t="n">
        <v>170347</v>
      </c>
      <c r="J689" s="6" t="inlineStr">
        <is>
          <t>MWh</t>
        </is>
      </c>
      <c r="K689" s="8" t="n">
        <v>170347</v>
      </c>
      <c r="L689" s="6" t="inlineStr">
        <is>
          <t>MWh</t>
        </is>
      </c>
      <c r="M689" s="6" t="inlineStr">
        <is>
          <t>EBY</t>
        </is>
      </c>
      <c r="N689" s="6" t="inlineStr">
        <is>
          <t>OFFICIAL_PRIMARY</t>
        </is>
      </c>
      <c r="O689" s="9" t="inlineStr">
        <is>
          <t>OFFICIAL_AGGREGATE</t>
        </is>
      </c>
      <c r="P689" s="8" t="n">
        <v>1</v>
      </c>
      <c r="Q689" s="8" t="n">
        <v>50</v>
      </c>
      <c r="R689" s="7" t="inlineStr">
        <is>
          <t>https://www.eby.gov.py/wp-content/uploads/2019/12/YacyretaEnergiasMensualesDesdePuestaenMarcha.pdf</t>
        </is>
      </c>
      <c r="S689" s="6" t="inlineStr">
        <is>
          <t>EBY-MONTHLY-1994-2012</t>
        </is>
      </c>
      <c r="T689" s="6" t="inlineStr"/>
      <c r="U689" s="4" t="inlineStr">
        <is>
          <t>2026-09-10 23:00:00</t>
        </is>
      </c>
      <c r="V689" s="4" t="inlineStr">
        <is>
          <t>Energia mensual entregada al SINP.</t>
        </is>
      </c>
    </row>
    <row r="690">
      <c r="A690" s="6" t="inlineStr">
        <is>
          <t>R0000689</t>
        </is>
      </c>
      <c r="B690" s="6" t="inlineStr">
        <is>
          <t>2009-05-01</t>
        </is>
      </c>
      <c r="C690" s="6" t="inlineStr">
        <is>
          <t>2009-05-31</t>
        </is>
      </c>
      <c r="D690" s="6" t="inlineStr">
        <is>
          <t>month</t>
        </is>
      </c>
      <c r="E690" s="6" t="inlineStr">
        <is>
          <t>YACYRETA_NET_ENERGY</t>
        </is>
      </c>
      <c r="F690" s="6" t="inlineStr">
        <is>
          <t>YACYRETA</t>
        </is>
      </c>
      <c r="G690" s="6" t="inlineStr">
        <is>
          <t>YACYRETA</t>
        </is>
      </c>
      <c r="H690" s="6" t="inlineStr">
        <is>
          <t>TOTAL</t>
        </is>
      </c>
      <c r="I690" s="8" t="n">
        <v>1090187</v>
      </c>
      <c r="J690" s="6" t="inlineStr">
        <is>
          <t>MWh</t>
        </is>
      </c>
      <c r="K690" s="8" t="n">
        <v>1090187</v>
      </c>
      <c r="L690" s="6" t="inlineStr">
        <is>
          <t>MWh</t>
        </is>
      </c>
      <c r="M690" s="6" t="inlineStr">
        <is>
          <t>EBY</t>
        </is>
      </c>
      <c r="N690" s="6" t="inlineStr">
        <is>
          <t>OFFICIAL_PRIMARY</t>
        </is>
      </c>
      <c r="O690" s="9" t="inlineStr">
        <is>
          <t>OFFICIAL_AGGREGATE</t>
        </is>
      </c>
      <c r="P690" s="8" t="n">
        <v>1</v>
      </c>
      <c r="Q690" s="8" t="n">
        <v>50</v>
      </c>
      <c r="R690" s="7" t="inlineStr">
        <is>
          <t>https://www.eby.gov.py/wp-content/uploads/2019/12/YacyretaEnergiasMensualesDesdePuestaenMarcha.pdf</t>
        </is>
      </c>
      <c r="S690" s="6" t="inlineStr">
        <is>
          <t>EBY-MONTHLY-1994-2012</t>
        </is>
      </c>
      <c r="T690" s="6" t="inlineStr"/>
      <c r="U690" s="4" t="inlineStr">
        <is>
          <t>2026-09-10 23:00:00</t>
        </is>
      </c>
      <c r="V690" s="4" t="inlineStr">
        <is>
          <t>Energia mensual Yacyreta desde puesta en marcha.</t>
        </is>
      </c>
    </row>
    <row r="691">
      <c r="A691" s="6" t="inlineStr">
        <is>
          <t>R0000690</t>
        </is>
      </c>
      <c r="B691" s="6" t="inlineStr">
        <is>
          <t>2009-05-01</t>
        </is>
      </c>
      <c r="C691" s="6" t="inlineStr">
        <is>
          <t>2009-05-31</t>
        </is>
      </c>
      <c r="D691" s="6" t="inlineStr">
        <is>
          <t>month</t>
        </is>
      </c>
      <c r="E691" s="6" t="inlineStr">
        <is>
          <t>ENERGY_TO_ARGENTINA</t>
        </is>
      </c>
      <c r="F691" s="6" t="inlineStr">
        <is>
          <t>YACYRETA</t>
        </is>
      </c>
      <c r="G691" s="6" t="inlineStr">
        <is>
          <t>YACYRETA</t>
        </is>
      </c>
      <c r="H691" s="6" t="inlineStr">
        <is>
          <t>SADI</t>
        </is>
      </c>
      <c r="I691" s="8" t="n">
        <v>936052</v>
      </c>
      <c r="J691" s="6" t="inlineStr">
        <is>
          <t>MWh</t>
        </is>
      </c>
      <c r="K691" s="8" t="n">
        <v>936052</v>
      </c>
      <c r="L691" s="6" t="inlineStr">
        <is>
          <t>MWh</t>
        </is>
      </c>
      <c r="M691" s="6" t="inlineStr">
        <is>
          <t>EBY</t>
        </is>
      </c>
      <c r="N691" s="6" t="inlineStr">
        <is>
          <t>OFFICIAL_PRIMARY</t>
        </is>
      </c>
      <c r="O691" s="9" t="inlineStr">
        <is>
          <t>OFFICIAL_AGGREGATE</t>
        </is>
      </c>
      <c r="P691" s="8" t="n">
        <v>1</v>
      </c>
      <c r="Q691" s="8" t="n">
        <v>50</v>
      </c>
      <c r="R691" s="7" t="inlineStr">
        <is>
          <t>https://www.eby.gov.py/wp-content/uploads/2019/12/YacyretaEnergiasMensualesDesdePuestaenMarcha.pdf</t>
        </is>
      </c>
      <c r="S691" s="6" t="inlineStr">
        <is>
          <t>EBY-MONTHLY-1994-2012</t>
        </is>
      </c>
      <c r="T691" s="6" t="inlineStr"/>
      <c r="U691" s="4" t="inlineStr">
        <is>
          <t>2026-09-10 23:00:00</t>
        </is>
      </c>
      <c r="V691" s="4" t="inlineStr">
        <is>
          <t>Energia mensual entregada al SADI.</t>
        </is>
      </c>
    </row>
    <row r="692">
      <c r="A692" s="6" t="inlineStr">
        <is>
          <t>R0000691</t>
        </is>
      </c>
      <c r="B692" s="6" t="inlineStr">
        <is>
          <t>2009-05-01</t>
        </is>
      </c>
      <c r="C692" s="6" t="inlineStr">
        <is>
          <t>2009-05-31</t>
        </is>
      </c>
      <c r="D692" s="6" t="inlineStr">
        <is>
          <t>month</t>
        </is>
      </c>
      <c r="E692" s="6" t="inlineStr">
        <is>
          <t>ENERGY_TO_PY</t>
        </is>
      </c>
      <c r="F692" s="6" t="inlineStr">
        <is>
          <t>YACYRETA</t>
        </is>
      </c>
      <c r="G692" s="6" t="inlineStr">
        <is>
          <t>YACYRETA</t>
        </is>
      </c>
      <c r="H692" s="6" t="inlineStr">
        <is>
          <t>SINP</t>
        </is>
      </c>
      <c r="I692" s="8" t="n">
        <v>154135</v>
      </c>
      <c r="J692" s="6" t="inlineStr">
        <is>
          <t>MWh</t>
        </is>
      </c>
      <c r="K692" s="8" t="n">
        <v>154135</v>
      </c>
      <c r="L692" s="6" t="inlineStr">
        <is>
          <t>MWh</t>
        </is>
      </c>
      <c r="M692" s="6" t="inlineStr">
        <is>
          <t>EBY</t>
        </is>
      </c>
      <c r="N692" s="6" t="inlineStr">
        <is>
          <t>OFFICIAL_PRIMARY</t>
        </is>
      </c>
      <c r="O692" s="9" t="inlineStr">
        <is>
          <t>OFFICIAL_AGGREGATE</t>
        </is>
      </c>
      <c r="P692" s="8" t="n">
        <v>1</v>
      </c>
      <c r="Q692" s="8" t="n">
        <v>50</v>
      </c>
      <c r="R692" s="7" t="inlineStr">
        <is>
          <t>https://www.eby.gov.py/wp-content/uploads/2019/12/YacyretaEnergiasMensualesDesdePuestaenMarcha.pdf</t>
        </is>
      </c>
      <c r="S692" s="6" t="inlineStr">
        <is>
          <t>EBY-MONTHLY-1994-2012</t>
        </is>
      </c>
      <c r="T692" s="6" t="inlineStr"/>
      <c r="U692" s="4" t="inlineStr">
        <is>
          <t>2026-09-10 23:00:00</t>
        </is>
      </c>
      <c r="V692" s="4" t="inlineStr">
        <is>
          <t>Energia mensual entregada al SINP.</t>
        </is>
      </c>
    </row>
    <row r="693">
      <c r="A693" s="6" t="inlineStr">
        <is>
          <t>R0000692</t>
        </is>
      </c>
      <c r="B693" s="6" t="inlineStr">
        <is>
          <t>2009-06-01</t>
        </is>
      </c>
      <c r="C693" s="6" t="inlineStr">
        <is>
          <t>2009-06-30</t>
        </is>
      </c>
      <c r="D693" s="6" t="inlineStr">
        <is>
          <t>month</t>
        </is>
      </c>
      <c r="E693" s="6" t="inlineStr">
        <is>
          <t>YACYRETA_NET_ENERGY</t>
        </is>
      </c>
      <c r="F693" s="6" t="inlineStr">
        <is>
          <t>YACYRETA</t>
        </is>
      </c>
      <c r="G693" s="6" t="inlineStr">
        <is>
          <t>YACYRETA</t>
        </is>
      </c>
      <c r="H693" s="6" t="inlineStr">
        <is>
          <t>TOTAL</t>
        </is>
      </c>
      <c r="I693" s="8" t="n">
        <v>1140370</v>
      </c>
      <c r="J693" s="6" t="inlineStr">
        <is>
          <t>MWh</t>
        </is>
      </c>
      <c r="K693" s="8" t="n">
        <v>1140370</v>
      </c>
      <c r="L693" s="6" t="inlineStr">
        <is>
          <t>MWh</t>
        </is>
      </c>
      <c r="M693" s="6" t="inlineStr">
        <is>
          <t>EBY</t>
        </is>
      </c>
      <c r="N693" s="6" t="inlineStr">
        <is>
          <t>OFFICIAL_PRIMARY</t>
        </is>
      </c>
      <c r="O693" s="9" t="inlineStr">
        <is>
          <t>OFFICIAL_AGGREGATE</t>
        </is>
      </c>
      <c r="P693" s="8" t="n">
        <v>1</v>
      </c>
      <c r="Q693" s="8" t="n">
        <v>50</v>
      </c>
      <c r="R693" s="7" t="inlineStr">
        <is>
          <t>https://www.eby.gov.py/wp-content/uploads/2019/12/YacyretaEnergiasMensualesDesdePuestaenMarcha.pdf</t>
        </is>
      </c>
      <c r="S693" s="6" t="inlineStr">
        <is>
          <t>EBY-MONTHLY-1994-2012</t>
        </is>
      </c>
      <c r="T693" s="6" t="inlineStr"/>
      <c r="U693" s="4" t="inlineStr">
        <is>
          <t>2026-09-10 23:00:00</t>
        </is>
      </c>
      <c r="V693" s="4" t="inlineStr">
        <is>
          <t>Energia mensual Yacyreta desde puesta en marcha.</t>
        </is>
      </c>
    </row>
    <row r="694">
      <c r="A694" s="6" t="inlineStr">
        <is>
          <t>R0000693</t>
        </is>
      </c>
      <c r="B694" s="6" t="inlineStr">
        <is>
          <t>2009-06-01</t>
        </is>
      </c>
      <c r="C694" s="6" t="inlineStr">
        <is>
          <t>2009-06-30</t>
        </is>
      </c>
      <c r="D694" s="6" t="inlineStr">
        <is>
          <t>month</t>
        </is>
      </c>
      <c r="E694" s="6" t="inlineStr">
        <is>
          <t>ENERGY_TO_ARGENTINA</t>
        </is>
      </c>
      <c r="F694" s="6" t="inlineStr">
        <is>
          <t>YACYRETA</t>
        </is>
      </c>
      <c r="G694" s="6" t="inlineStr">
        <is>
          <t>YACYRETA</t>
        </is>
      </c>
      <c r="H694" s="6" t="inlineStr">
        <is>
          <t>SADI</t>
        </is>
      </c>
      <c r="I694" s="8" t="n">
        <v>989972</v>
      </c>
      <c r="J694" s="6" t="inlineStr">
        <is>
          <t>MWh</t>
        </is>
      </c>
      <c r="K694" s="8" t="n">
        <v>989972</v>
      </c>
      <c r="L694" s="6" t="inlineStr">
        <is>
          <t>MWh</t>
        </is>
      </c>
      <c r="M694" s="6" t="inlineStr">
        <is>
          <t>EBY</t>
        </is>
      </c>
      <c r="N694" s="6" t="inlineStr">
        <is>
          <t>OFFICIAL_PRIMARY</t>
        </is>
      </c>
      <c r="O694" s="9" t="inlineStr">
        <is>
          <t>OFFICIAL_AGGREGATE</t>
        </is>
      </c>
      <c r="P694" s="8" t="n">
        <v>1</v>
      </c>
      <c r="Q694" s="8" t="n">
        <v>50</v>
      </c>
      <c r="R694" s="7" t="inlineStr">
        <is>
          <t>https://www.eby.gov.py/wp-content/uploads/2019/12/YacyretaEnergiasMensualesDesdePuestaenMarcha.pdf</t>
        </is>
      </c>
      <c r="S694" s="6" t="inlineStr">
        <is>
          <t>EBY-MONTHLY-1994-2012</t>
        </is>
      </c>
      <c r="T694" s="6" t="inlineStr"/>
      <c r="U694" s="4" t="inlineStr">
        <is>
          <t>2026-09-10 23:00:00</t>
        </is>
      </c>
      <c r="V694" s="4" t="inlineStr">
        <is>
          <t>Energia mensual entregada al SADI.</t>
        </is>
      </c>
    </row>
    <row r="695">
      <c r="A695" s="6" t="inlineStr">
        <is>
          <t>R0000694</t>
        </is>
      </c>
      <c r="B695" s="6" t="inlineStr">
        <is>
          <t>2009-06-01</t>
        </is>
      </c>
      <c r="C695" s="6" t="inlineStr">
        <is>
          <t>2009-06-30</t>
        </is>
      </c>
      <c r="D695" s="6" t="inlineStr">
        <is>
          <t>month</t>
        </is>
      </c>
      <c r="E695" s="6" t="inlineStr">
        <is>
          <t>ENERGY_TO_PY</t>
        </is>
      </c>
      <c r="F695" s="6" t="inlineStr">
        <is>
          <t>YACYRETA</t>
        </is>
      </c>
      <c r="G695" s="6" t="inlineStr">
        <is>
          <t>YACYRETA</t>
        </is>
      </c>
      <c r="H695" s="6" t="inlineStr">
        <is>
          <t>SINP</t>
        </is>
      </c>
      <c r="I695" s="8" t="n">
        <v>150398</v>
      </c>
      <c r="J695" s="6" t="inlineStr">
        <is>
          <t>MWh</t>
        </is>
      </c>
      <c r="K695" s="8" t="n">
        <v>150398</v>
      </c>
      <c r="L695" s="6" t="inlineStr">
        <is>
          <t>MWh</t>
        </is>
      </c>
      <c r="M695" s="6" t="inlineStr">
        <is>
          <t>EBY</t>
        </is>
      </c>
      <c r="N695" s="6" t="inlineStr">
        <is>
          <t>OFFICIAL_PRIMARY</t>
        </is>
      </c>
      <c r="O695" s="9" t="inlineStr">
        <is>
          <t>OFFICIAL_AGGREGATE</t>
        </is>
      </c>
      <c r="P695" s="8" t="n">
        <v>1</v>
      </c>
      <c r="Q695" s="8" t="n">
        <v>50</v>
      </c>
      <c r="R695" s="7" t="inlineStr">
        <is>
          <t>https://www.eby.gov.py/wp-content/uploads/2019/12/YacyretaEnergiasMensualesDesdePuestaenMarcha.pdf</t>
        </is>
      </c>
      <c r="S695" s="6" t="inlineStr">
        <is>
          <t>EBY-MONTHLY-1994-2012</t>
        </is>
      </c>
      <c r="T695" s="6" t="inlineStr"/>
      <c r="U695" s="4" t="inlineStr">
        <is>
          <t>2026-09-10 23:00:00</t>
        </is>
      </c>
      <c r="V695" s="4" t="inlineStr">
        <is>
          <t>Energia mensual entregada al SINP.</t>
        </is>
      </c>
    </row>
    <row r="696">
      <c r="A696" s="6" t="inlineStr">
        <is>
          <t>R0000695</t>
        </is>
      </c>
      <c r="B696" s="6" t="inlineStr">
        <is>
          <t>2009-07-01</t>
        </is>
      </c>
      <c r="C696" s="6" t="inlineStr">
        <is>
          <t>2009-07-31</t>
        </is>
      </c>
      <c r="D696" s="6" t="inlineStr">
        <is>
          <t>month</t>
        </is>
      </c>
      <c r="E696" s="6" t="inlineStr">
        <is>
          <t>YACYRETA_NET_ENERGY</t>
        </is>
      </c>
      <c r="F696" s="6" t="inlineStr">
        <is>
          <t>YACYRETA</t>
        </is>
      </c>
      <c r="G696" s="6" t="inlineStr">
        <is>
          <t>YACYRETA</t>
        </is>
      </c>
      <c r="H696" s="6" t="inlineStr">
        <is>
          <t>TOTAL</t>
        </is>
      </c>
      <c r="I696" s="8" t="n">
        <v>1361786</v>
      </c>
      <c r="J696" s="6" t="inlineStr">
        <is>
          <t>MWh</t>
        </is>
      </c>
      <c r="K696" s="8" t="n">
        <v>1361786</v>
      </c>
      <c r="L696" s="6" t="inlineStr">
        <is>
          <t>MWh</t>
        </is>
      </c>
      <c r="M696" s="6" t="inlineStr">
        <is>
          <t>EBY</t>
        </is>
      </c>
      <c r="N696" s="6" t="inlineStr">
        <is>
          <t>OFFICIAL_PRIMARY</t>
        </is>
      </c>
      <c r="O696" s="9" t="inlineStr">
        <is>
          <t>OFFICIAL_AGGREGATE</t>
        </is>
      </c>
      <c r="P696" s="8" t="n">
        <v>1</v>
      </c>
      <c r="Q696" s="8" t="n">
        <v>50</v>
      </c>
      <c r="R696" s="7" t="inlineStr">
        <is>
          <t>https://www.eby.gov.py/wp-content/uploads/2019/12/YacyretaEnergiasMensualesDesdePuestaenMarcha.pdf</t>
        </is>
      </c>
      <c r="S696" s="6" t="inlineStr">
        <is>
          <t>EBY-MONTHLY-1994-2012</t>
        </is>
      </c>
      <c r="T696" s="6" t="inlineStr"/>
      <c r="U696" s="4" t="inlineStr">
        <is>
          <t>2026-09-10 23:00:00</t>
        </is>
      </c>
      <c r="V696" s="4" t="inlineStr">
        <is>
          <t>Energia mensual Yacyreta desde puesta en marcha.</t>
        </is>
      </c>
    </row>
    <row r="697">
      <c r="A697" s="6" t="inlineStr">
        <is>
          <t>R0000696</t>
        </is>
      </c>
      <c r="B697" s="6" t="inlineStr">
        <is>
          <t>2009-07-01</t>
        </is>
      </c>
      <c r="C697" s="6" t="inlineStr">
        <is>
          <t>2009-07-31</t>
        </is>
      </c>
      <c r="D697" s="6" t="inlineStr">
        <is>
          <t>month</t>
        </is>
      </c>
      <c r="E697" s="6" t="inlineStr">
        <is>
          <t>ENERGY_TO_ARGENTINA</t>
        </is>
      </c>
      <c r="F697" s="6" t="inlineStr">
        <is>
          <t>YACYRETA</t>
        </is>
      </c>
      <c r="G697" s="6" t="inlineStr">
        <is>
          <t>YACYRETA</t>
        </is>
      </c>
      <c r="H697" s="6" t="inlineStr">
        <is>
          <t>SADI</t>
        </is>
      </c>
      <c r="I697" s="8" t="n">
        <v>1212000</v>
      </c>
      <c r="J697" s="6" t="inlineStr">
        <is>
          <t>MWh</t>
        </is>
      </c>
      <c r="K697" s="8" t="n">
        <v>1212000</v>
      </c>
      <c r="L697" s="6" t="inlineStr">
        <is>
          <t>MWh</t>
        </is>
      </c>
      <c r="M697" s="6" t="inlineStr">
        <is>
          <t>EBY</t>
        </is>
      </c>
      <c r="N697" s="6" t="inlineStr">
        <is>
          <t>OFFICIAL_PRIMARY</t>
        </is>
      </c>
      <c r="O697" s="9" t="inlineStr">
        <is>
          <t>OFFICIAL_AGGREGATE</t>
        </is>
      </c>
      <c r="P697" s="8" t="n">
        <v>1</v>
      </c>
      <c r="Q697" s="8" t="n">
        <v>50</v>
      </c>
      <c r="R697" s="7" t="inlineStr">
        <is>
          <t>https://www.eby.gov.py/wp-content/uploads/2019/12/YacyretaEnergiasMensualesDesdePuestaenMarcha.pdf</t>
        </is>
      </c>
      <c r="S697" s="6" t="inlineStr">
        <is>
          <t>EBY-MONTHLY-1994-2012</t>
        </is>
      </c>
      <c r="T697" s="6" t="inlineStr"/>
      <c r="U697" s="4" t="inlineStr">
        <is>
          <t>2026-09-10 23:00:00</t>
        </is>
      </c>
      <c r="V697" s="4" t="inlineStr">
        <is>
          <t>Energia mensual entregada al SADI.</t>
        </is>
      </c>
    </row>
    <row r="698">
      <c r="A698" s="6" t="inlineStr">
        <is>
          <t>R0000697</t>
        </is>
      </c>
      <c r="B698" s="6" t="inlineStr">
        <is>
          <t>2009-07-01</t>
        </is>
      </c>
      <c r="C698" s="6" t="inlineStr">
        <is>
          <t>2009-07-31</t>
        </is>
      </c>
      <c r="D698" s="6" t="inlineStr">
        <is>
          <t>month</t>
        </is>
      </c>
      <c r="E698" s="6" t="inlineStr">
        <is>
          <t>ENERGY_TO_PY</t>
        </is>
      </c>
      <c r="F698" s="6" t="inlineStr">
        <is>
          <t>YACYRETA</t>
        </is>
      </c>
      <c r="G698" s="6" t="inlineStr">
        <is>
          <t>YACYRETA</t>
        </is>
      </c>
      <c r="H698" s="6" t="inlineStr">
        <is>
          <t>SINP</t>
        </is>
      </c>
      <c r="I698" s="8" t="n">
        <v>149786</v>
      </c>
      <c r="J698" s="6" t="inlineStr">
        <is>
          <t>MWh</t>
        </is>
      </c>
      <c r="K698" s="8" t="n">
        <v>149786</v>
      </c>
      <c r="L698" s="6" t="inlineStr">
        <is>
          <t>MWh</t>
        </is>
      </c>
      <c r="M698" s="6" t="inlineStr">
        <is>
          <t>EBY</t>
        </is>
      </c>
      <c r="N698" s="6" t="inlineStr">
        <is>
          <t>OFFICIAL_PRIMARY</t>
        </is>
      </c>
      <c r="O698" s="9" t="inlineStr">
        <is>
          <t>OFFICIAL_AGGREGATE</t>
        </is>
      </c>
      <c r="P698" s="8" t="n">
        <v>1</v>
      </c>
      <c r="Q698" s="8" t="n">
        <v>50</v>
      </c>
      <c r="R698" s="7" t="inlineStr">
        <is>
          <t>https://www.eby.gov.py/wp-content/uploads/2019/12/YacyretaEnergiasMensualesDesdePuestaenMarcha.pdf</t>
        </is>
      </c>
      <c r="S698" s="6" t="inlineStr">
        <is>
          <t>EBY-MONTHLY-1994-2012</t>
        </is>
      </c>
      <c r="T698" s="6" t="inlineStr"/>
      <c r="U698" s="4" t="inlineStr">
        <is>
          <t>2026-09-10 23:00:00</t>
        </is>
      </c>
      <c r="V698" s="4" t="inlineStr">
        <is>
          <t>Energia mensual entregada al SINP.</t>
        </is>
      </c>
    </row>
    <row r="699">
      <c r="A699" s="6" t="inlineStr">
        <is>
          <t>R0000698</t>
        </is>
      </c>
      <c r="B699" s="6" t="inlineStr">
        <is>
          <t>2009-08-01</t>
        </is>
      </c>
      <c r="C699" s="6" t="inlineStr">
        <is>
          <t>2009-08-31</t>
        </is>
      </c>
      <c r="D699" s="6" t="inlineStr">
        <is>
          <t>month</t>
        </is>
      </c>
      <c r="E699" s="6" t="inlineStr">
        <is>
          <t>YACYRETA_NET_ENERGY</t>
        </is>
      </c>
      <c r="F699" s="6" t="inlineStr">
        <is>
          <t>YACYRETA</t>
        </is>
      </c>
      <c r="G699" s="6" t="inlineStr">
        <is>
          <t>YACYRETA</t>
        </is>
      </c>
      <c r="H699" s="6" t="inlineStr">
        <is>
          <t>TOTAL</t>
        </is>
      </c>
      <c r="I699" s="8" t="n">
        <v>1435938</v>
      </c>
      <c r="J699" s="6" t="inlineStr">
        <is>
          <t>MWh</t>
        </is>
      </c>
      <c r="K699" s="8" t="n">
        <v>1435938</v>
      </c>
      <c r="L699" s="6" t="inlineStr">
        <is>
          <t>MWh</t>
        </is>
      </c>
      <c r="M699" s="6" t="inlineStr">
        <is>
          <t>EBY</t>
        </is>
      </c>
      <c r="N699" s="6" t="inlineStr">
        <is>
          <t>OFFICIAL_PRIMARY</t>
        </is>
      </c>
      <c r="O699" s="9" t="inlineStr">
        <is>
          <t>OFFICIAL_AGGREGATE</t>
        </is>
      </c>
      <c r="P699" s="8" t="n">
        <v>1</v>
      </c>
      <c r="Q699" s="8" t="n">
        <v>50</v>
      </c>
      <c r="R699" s="7" t="inlineStr">
        <is>
          <t>https://www.eby.gov.py/wp-content/uploads/2019/12/YacyretaEnergiasMensualesDesdePuestaenMarcha.pdf</t>
        </is>
      </c>
      <c r="S699" s="6" t="inlineStr">
        <is>
          <t>EBY-MONTHLY-1994-2012</t>
        </is>
      </c>
      <c r="T699" s="6" t="inlineStr"/>
      <c r="U699" s="4" t="inlineStr">
        <is>
          <t>2026-09-10 23:00:00</t>
        </is>
      </c>
      <c r="V699" s="4" t="inlineStr">
        <is>
          <t>Energia mensual Yacyreta desde puesta en marcha.</t>
        </is>
      </c>
    </row>
    <row r="700">
      <c r="A700" s="6" t="inlineStr">
        <is>
          <t>R0000699</t>
        </is>
      </c>
      <c r="B700" s="6" t="inlineStr">
        <is>
          <t>2009-08-01</t>
        </is>
      </c>
      <c r="C700" s="6" t="inlineStr">
        <is>
          <t>2009-08-31</t>
        </is>
      </c>
      <c r="D700" s="6" t="inlineStr">
        <is>
          <t>month</t>
        </is>
      </c>
      <c r="E700" s="6" t="inlineStr">
        <is>
          <t>ENERGY_TO_ARGENTINA</t>
        </is>
      </c>
      <c r="F700" s="6" t="inlineStr">
        <is>
          <t>YACYRETA</t>
        </is>
      </c>
      <c r="G700" s="6" t="inlineStr">
        <is>
          <t>YACYRETA</t>
        </is>
      </c>
      <c r="H700" s="6" t="inlineStr">
        <is>
          <t>SADI</t>
        </is>
      </c>
      <c r="I700" s="8" t="n">
        <v>1279492</v>
      </c>
      <c r="J700" s="6" t="inlineStr">
        <is>
          <t>MWh</t>
        </is>
      </c>
      <c r="K700" s="8" t="n">
        <v>1279492</v>
      </c>
      <c r="L700" s="6" t="inlineStr">
        <is>
          <t>MWh</t>
        </is>
      </c>
      <c r="M700" s="6" t="inlineStr">
        <is>
          <t>EBY</t>
        </is>
      </c>
      <c r="N700" s="6" t="inlineStr">
        <is>
          <t>OFFICIAL_PRIMARY</t>
        </is>
      </c>
      <c r="O700" s="9" t="inlineStr">
        <is>
          <t>OFFICIAL_AGGREGATE</t>
        </is>
      </c>
      <c r="P700" s="8" t="n">
        <v>1</v>
      </c>
      <c r="Q700" s="8" t="n">
        <v>50</v>
      </c>
      <c r="R700" s="7" t="inlineStr">
        <is>
          <t>https://www.eby.gov.py/wp-content/uploads/2019/12/YacyretaEnergiasMensualesDesdePuestaenMarcha.pdf</t>
        </is>
      </c>
      <c r="S700" s="6" t="inlineStr">
        <is>
          <t>EBY-MONTHLY-1994-2012</t>
        </is>
      </c>
      <c r="T700" s="6" t="inlineStr"/>
      <c r="U700" s="4" t="inlineStr">
        <is>
          <t>2026-09-10 23:00:00</t>
        </is>
      </c>
      <c r="V700" s="4" t="inlineStr">
        <is>
          <t>Energia mensual entregada al SADI.</t>
        </is>
      </c>
    </row>
    <row r="701">
      <c r="A701" s="6" t="inlineStr">
        <is>
          <t>R0000700</t>
        </is>
      </c>
      <c r="B701" s="6" t="inlineStr">
        <is>
          <t>2009-08-01</t>
        </is>
      </c>
      <c r="C701" s="6" t="inlineStr">
        <is>
          <t>2009-08-31</t>
        </is>
      </c>
      <c r="D701" s="6" t="inlineStr">
        <is>
          <t>month</t>
        </is>
      </c>
      <c r="E701" s="6" t="inlineStr">
        <is>
          <t>ENERGY_TO_PY</t>
        </is>
      </c>
      <c r="F701" s="6" t="inlineStr">
        <is>
          <t>YACYRETA</t>
        </is>
      </c>
      <c r="G701" s="6" t="inlineStr">
        <is>
          <t>YACYRETA</t>
        </is>
      </c>
      <c r="H701" s="6" t="inlineStr">
        <is>
          <t>SINP</t>
        </is>
      </c>
      <c r="I701" s="8" t="n">
        <v>156446</v>
      </c>
      <c r="J701" s="6" t="inlineStr">
        <is>
          <t>MWh</t>
        </is>
      </c>
      <c r="K701" s="8" t="n">
        <v>156446</v>
      </c>
      <c r="L701" s="6" t="inlineStr">
        <is>
          <t>MWh</t>
        </is>
      </c>
      <c r="M701" s="6" t="inlineStr">
        <is>
          <t>EBY</t>
        </is>
      </c>
      <c r="N701" s="6" t="inlineStr">
        <is>
          <t>OFFICIAL_PRIMARY</t>
        </is>
      </c>
      <c r="O701" s="9" t="inlineStr">
        <is>
          <t>OFFICIAL_AGGREGATE</t>
        </is>
      </c>
      <c r="P701" s="8" t="n">
        <v>1</v>
      </c>
      <c r="Q701" s="8" t="n">
        <v>50</v>
      </c>
      <c r="R701" s="7" t="inlineStr">
        <is>
          <t>https://www.eby.gov.py/wp-content/uploads/2019/12/YacyretaEnergiasMensualesDesdePuestaenMarcha.pdf</t>
        </is>
      </c>
      <c r="S701" s="6" t="inlineStr">
        <is>
          <t>EBY-MONTHLY-1994-2012</t>
        </is>
      </c>
      <c r="T701" s="6" t="inlineStr"/>
      <c r="U701" s="4" t="inlineStr">
        <is>
          <t>2026-09-10 23:00:00</t>
        </is>
      </c>
      <c r="V701" s="4" t="inlineStr">
        <is>
          <t>Energia mensual entregada al SINP.</t>
        </is>
      </c>
    </row>
    <row r="702">
      <c r="A702" s="6" t="inlineStr">
        <is>
          <t>R0000701</t>
        </is>
      </c>
      <c r="B702" s="6" t="inlineStr">
        <is>
          <t>2009-09-01</t>
        </is>
      </c>
      <c r="C702" s="6" t="inlineStr">
        <is>
          <t>2009-09-30</t>
        </is>
      </c>
      <c r="D702" s="6" t="inlineStr">
        <is>
          <t>month</t>
        </is>
      </c>
      <c r="E702" s="6" t="inlineStr">
        <is>
          <t>YACYRETA_NET_ENERGY</t>
        </is>
      </c>
      <c r="F702" s="6" t="inlineStr">
        <is>
          <t>YACYRETA</t>
        </is>
      </c>
      <c r="G702" s="6" t="inlineStr">
        <is>
          <t>YACYRETA</t>
        </is>
      </c>
      <c r="H702" s="6" t="inlineStr">
        <is>
          <t>TOTAL</t>
        </is>
      </c>
      <c r="I702" s="8" t="n">
        <v>1470246</v>
      </c>
      <c r="J702" s="6" t="inlineStr">
        <is>
          <t>MWh</t>
        </is>
      </c>
      <c r="K702" s="8" t="n">
        <v>1470246</v>
      </c>
      <c r="L702" s="6" t="inlineStr">
        <is>
          <t>MWh</t>
        </is>
      </c>
      <c r="M702" s="6" t="inlineStr">
        <is>
          <t>EBY</t>
        </is>
      </c>
      <c r="N702" s="6" t="inlineStr">
        <is>
          <t>OFFICIAL_PRIMARY</t>
        </is>
      </c>
      <c r="O702" s="9" t="inlineStr">
        <is>
          <t>OFFICIAL_AGGREGATE</t>
        </is>
      </c>
      <c r="P702" s="8" t="n">
        <v>1</v>
      </c>
      <c r="Q702" s="8" t="n">
        <v>50</v>
      </c>
      <c r="R702" s="7" t="inlineStr">
        <is>
          <t>https://www.eby.gov.py/wp-content/uploads/2019/12/YacyretaEnergiasMensualesDesdePuestaenMarcha.pdf</t>
        </is>
      </c>
      <c r="S702" s="6" t="inlineStr">
        <is>
          <t>EBY-MONTHLY-1994-2012</t>
        </is>
      </c>
      <c r="T702" s="6" t="inlineStr"/>
      <c r="U702" s="4" t="inlineStr">
        <is>
          <t>2026-09-10 23:00:00</t>
        </is>
      </c>
      <c r="V702" s="4" t="inlineStr">
        <is>
          <t>Energia mensual Yacyreta desde puesta en marcha.</t>
        </is>
      </c>
    </row>
    <row r="703">
      <c r="A703" s="6" t="inlineStr">
        <is>
          <t>R0000702</t>
        </is>
      </c>
      <c r="B703" s="6" t="inlineStr">
        <is>
          <t>2009-09-01</t>
        </is>
      </c>
      <c r="C703" s="6" t="inlineStr">
        <is>
          <t>2009-09-30</t>
        </is>
      </c>
      <c r="D703" s="6" t="inlineStr">
        <is>
          <t>month</t>
        </is>
      </c>
      <c r="E703" s="6" t="inlineStr">
        <is>
          <t>ENERGY_TO_ARGENTINA</t>
        </is>
      </c>
      <c r="F703" s="6" t="inlineStr">
        <is>
          <t>YACYRETA</t>
        </is>
      </c>
      <c r="G703" s="6" t="inlineStr">
        <is>
          <t>YACYRETA</t>
        </is>
      </c>
      <c r="H703" s="6" t="inlineStr">
        <is>
          <t>SADI</t>
        </is>
      </c>
      <c r="I703" s="8" t="n">
        <v>1312352</v>
      </c>
      <c r="J703" s="6" t="inlineStr">
        <is>
          <t>MWh</t>
        </is>
      </c>
      <c r="K703" s="8" t="n">
        <v>1312352</v>
      </c>
      <c r="L703" s="6" t="inlineStr">
        <is>
          <t>MWh</t>
        </is>
      </c>
      <c r="M703" s="6" t="inlineStr">
        <is>
          <t>EBY</t>
        </is>
      </c>
      <c r="N703" s="6" t="inlineStr">
        <is>
          <t>OFFICIAL_PRIMARY</t>
        </is>
      </c>
      <c r="O703" s="9" t="inlineStr">
        <is>
          <t>OFFICIAL_AGGREGATE</t>
        </is>
      </c>
      <c r="P703" s="8" t="n">
        <v>1</v>
      </c>
      <c r="Q703" s="8" t="n">
        <v>50</v>
      </c>
      <c r="R703" s="7" t="inlineStr">
        <is>
          <t>https://www.eby.gov.py/wp-content/uploads/2019/12/YacyretaEnergiasMensualesDesdePuestaenMarcha.pdf</t>
        </is>
      </c>
      <c r="S703" s="6" t="inlineStr">
        <is>
          <t>EBY-MONTHLY-1994-2012</t>
        </is>
      </c>
      <c r="T703" s="6" t="inlineStr"/>
      <c r="U703" s="4" t="inlineStr">
        <is>
          <t>2026-09-10 23:00:00</t>
        </is>
      </c>
      <c r="V703" s="4" t="inlineStr">
        <is>
          <t>Energia mensual entregada al SADI.</t>
        </is>
      </c>
    </row>
    <row r="704">
      <c r="A704" s="6" t="inlineStr">
        <is>
          <t>R0000703</t>
        </is>
      </c>
      <c r="B704" s="6" t="inlineStr">
        <is>
          <t>2009-09-01</t>
        </is>
      </c>
      <c r="C704" s="6" t="inlineStr">
        <is>
          <t>2009-09-30</t>
        </is>
      </c>
      <c r="D704" s="6" t="inlineStr">
        <is>
          <t>month</t>
        </is>
      </c>
      <c r="E704" s="6" t="inlineStr">
        <is>
          <t>ENERGY_TO_PY</t>
        </is>
      </c>
      <c r="F704" s="6" t="inlineStr">
        <is>
          <t>YACYRETA</t>
        </is>
      </c>
      <c r="G704" s="6" t="inlineStr">
        <is>
          <t>YACYRETA</t>
        </is>
      </c>
      <c r="H704" s="6" t="inlineStr">
        <is>
          <t>SINP</t>
        </is>
      </c>
      <c r="I704" s="8" t="n">
        <v>157894</v>
      </c>
      <c r="J704" s="6" t="inlineStr">
        <is>
          <t>MWh</t>
        </is>
      </c>
      <c r="K704" s="8" t="n">
        <v>157894</v>
      </c>
      <c r="L704" s="6" t="inlineStr">
        <is>
          <t>MWh</t>
        </is>
      </c>
      <c r="M704" s="6" t="inlineStr">
        <is>
          <t>EBY</t>
        </is>
      </c>
      <c r="N704" s="6" t="inlineStr">
        <is>
          <t>OFFICIAL_PRIMARY</t>
        </is>
      </c>
      <c r="O704" s="9" t="inlineStr">
        <is>
          <t>OFFICIAL_AGGREGATE</t>
        </is>
      </c>
      <c r="P704" s="8" t="n">
        <v>1</v>
      </c>
      <c r="Q704" s="8" t="n">
        <v>50</v>
      </c>
      <c r="R704" s="7" t="inlineStr">
        <is>
          <t>https://www.eby.gov.py/wp-content/uploads/2019/12/YacyretaEnergiasMensualesDesdePuestaenMarcha.pdf</t>
        </is>
      </c>
      <c r="S704" s="6" t="inlineStr">
        <is>
          <t>EBY-MONTHLY-1994-2012</t>
        </is>
      </c>
      <c r="T704" s="6" t="inlineStr"/>
      <c r="U704" s="4" t="inlineStr">
        <is>
          <t>2026-09-10 23:00:00</t>
        </is>
      </c>
      <c r="V704" s="4" t="inlineStr">
        <is>
          <t>Energia mensual entregada al SINP.</t>
        </is>
      </c>
    </row>
    <row r="705">
      <c r="A705" s="6" t="inlineStr">
        <is>
          <t>R0000704</t>
        </is>
      </c>
      <c r="B705" s="6" t="inlineStr">
        <is>
          <t>2009-10-01</t>
        </is>
      </c>
      <c r="C705" s="6" t="inlineStr">
        <is>
          <t>2009-10-31</t>
        </is>
      </c>
      <c r="D705" s="6" t="inlineStr">
        <is>
          <t>month</t>
        </is>
      </c>
      <c r="E705" s="6" t="inlineStr">
        <is>
          <t>YACYRETA_NET_ENERGY</t>
        </is>
      </c>
      <c r="F705" s="6" t="inlineStr">
        <is>
          <t>YACYRETA</t>
        </is>
      </c>
      <c r="G705" s="6" t="inlineStr">
        <is>
          <t>YACYRETA</t>
        </is>
      </c>
      <c r="H705" s="6" t="inlineStr">
        <is>
          <t>TOTAL</t>
        </is>
      </c>
      <c r="I705" s="8" t="n">
        <v>1689822</v>
      </c>
      <c r="J705" s="6" t="inlineStr">
        <is>
          <t>MWh</t>
        </is>
      </c>
      <c r="K705" s="8" t="n">
        <v>1689822</v>
      </c>
      <c r="L705" s="6" t="inlineStr">
        <is>
          <t>MWh</t>
        </is>
      </c>
      <c r="M705" s="6" t="inlineStr">
        <is>
          <t>EBY</t>
        </is>
      </c>
      <c r="N705" s="6" t="inlineStr">
        <is>
          <t>OFFICIAL_PRIMARY</t>
        </is>
      </c>
      <c r="O705" s="9" t="inlineStr">
        <is>
          <t>OFFICIAL_AGGREGATE</t>
        </is>
      </c>
      <c r="P705" s="8" t="n">
        <v>1</v>
      </c>
      <c r="Q705" s="8" t="n">
        <v>50</v>
      </c>
      <c r="R705" s="7" t="inlineStr">
        <is>
          <t>https://www.eby.gov.py/wp-content/uploads/2019/12/YacyretaEnergiasMensualesDesdePuestaenMarcha.pdf</t>
        </is>
      </c>
      <c r="S705" s="6" t="inlineStr">
        <is>
          <t>EBY-MONTHLY-1994-2012</t>
        </is>
      </c>
      <c r="T705" s="6" t="inlineStr"/>
      <c r="U705" s="4" t="inlineStr">
        <is>
          <t>2026-09-10 23:00:00</t>
        </is>
      </c>
      <c r="V705" s="4" t="inlineStr">
        <is>
          <t>Energia mensual Yacyreta desde puesta en marcha.</t>
        </is>
      </c>
    </row>
    <row r="706">
      <c r="A706" s="6" t="inlineStr">
        <is>
          <t>R0000705</t>
        </is>
      </c>
      <c r="B706" s="6" t="inlineStr">
        <is>
          <t>2009-10-01</t>
        </is>
      </c>
      <c r="C706" s="6" t="inlineStr">
        <is>
          <t>2009-10-31</t>
        </is>
      </c>
      <c r="D706" s="6" t="inlineStr">
        <is>
          <t>month</t>
        </is>
      </c>
      <c r="E706" s="6" t="inlineStr">
        <is>
          <t>ENERGY_TO_ARGENTINA</t>
        </is>
      </c>
      <c r="F706" s="6" t="inlineStr">
        <is>
          <t>YACYRETA</t>
        </is>
      </c>
      <c r="G706" s="6" t="inlineStr">
        <is>
          <t>YACYRETA</t>
        </is>
      </c>
      <c r="H706" s="6" t="inlineStr">
        <is>
          <t>SADI</t>
        </is>
      </c>
      <c r="I706" s="8" t="n">
        <v>1513176</v>
      </c>
      <c r="J706" s="6" t="inlineStr">
        <is>
          <t>MWh</t>
        </is>
      </c>
      <c r="K706" s="8" t="n">
        <v>1513176</v>
      </c>
      <c r="L706" s="6" t="inlineStr">
        <is>
          <t>MWh</t>
        </is>
      </c>
      <c r="M706" s="6" t="inlineStr">
        <is>
          <t>EBY</t>
        </is>
      </c>
      <c r="N706" s="6" t="inlineStr">
        <is>
          <t>OFFICIAL_PRIMARY</t>
        </is>
      </c>
      <c r="O706" s="9" t="inlineStr">
        <is>
          <t>OFFICIAL_AGGREGATE</t>
        </is>
      </c>
      <c r="P706" s="8" t="n">
        <v>1</v>
      </c>
      <c r="Q706" s="8" t="n">
        <v>50</v>
      </c>
      <c r="R706" s="7" t="inlineStr">
        <is>
          <t>https://www.eby.gov.py/wp-content/uploads/2019/12/YacyretaEnergiasMensualesDesdePuestaenMarcha.pdf</t>
        </is>
      </c>
      <c r="S706" s="6" t="inlineStr">
        <is>
          <t>EBY-MONTHLY-1994-2012</t>
        </is>
      </c>
      <c r="T706" s="6" t="inlineStr"/>
      <c r="U706" s="4" t="inlineStr">
        <is>
          <t>2026-09-10 23:00:00</t>
        </is>
      </c>
      <c r="V706" s="4" t="inlineStr">
        <is>
          <t>Energia mensual entregada al SADI.</t>
        </is>
      </c>
    </row>
    <row r="707">
      <c r="A707" s="6" t="inlineStr">
        <is>
          <t>R0000706</t>
        </is>
      </c>
      <c r="B707" s="6" t="inlineStr">
        <is>
          <t>2009-10-01</t>
        </is>
      </c>
      <c r="C707" s="6" t="inlineStr">
        <is>
          <t>2009-10-31</t>
        </is>
      </c>
      <c r="D707" s="6" t="inlineStr">
        <is>
          <t>month</t>
        </is>
      </c>
      <c r="E707" s="6" t="inlineStr">
        <is>
          <t>ENERGY_TO_PY</t>
        </is>
      </c>
      <c r="F707" s="6" t="inlineStr">
        <is>
          <t>YACYRETA</t>
        </is>
      </c>
      <c r="G707" s="6" t="inlineStr">
        <is>
          <t>YACYRETA</t>
        </is>
      </c>
      <c r="H707" s="6" t="inlineStr">
        <is>
          <t>SINP</t>
        </is>
      </c>
      <c r="I707" s="8" t="n">
        <v>176646</v>
      </c>
      <c r="J707" s="6" t="inlineStr">
        <is>
          <t>MWh</t>
        </is>
      </c>
      <c r="K707" s="8" t="n">
        <v>176646</v>
      </c>
      <c r="L707" s="6" t="inlineStr">
        <is>
          <t>MWh</t>
        </is>
      </c>
      <c r="M707" s="6" t="inlineStr">
        <is>
          <t>EBY</t>
        </is>
      </c>
      <c r="N707" s="6" t="inlineStr">
        <is>
          <t>OFFICIAL_PRIMARY</t>
        </is>
      </c>
      <c r="O707" s="9" t="inlineStr">
        <is>
          <t>OFFICIAL_AGGREGATE</t>
        </is>
      </c>
      <c r="P707" s="8" t="n">
        <v>1</v>
      </c>
      <c r="Q707" s="8" t="n">
        <v>50</v>
      </c>
      <c r="R707" s="7" t="inlineStr">
        <is>
          <t>https://www.eby.gov.py/wp-content/uploads/2019/12/YacyretaEnergiasMensualesDesdePuestaenMarcha.pdf</t>
        </is>
      </c>
      <c r="S707" s="6" t="inlineStr">
        <is>
          <t>EBY-MONTHLY-1994-2012</t>
        </is>
      </c>
      <c r="T707" s="6" t="inlineStr"/>
      <c r="U707" s="4" t="inlineStr">
        <is>
          <t>2026-09-10 23:00:00</t>
        </is>
      </c>
      <c r="V707" s="4" t="inlineStr">
        <is>
          <t>Energia mensual entregada al SINP.</t>
        </is>
      </c>
    </row>
    <row r="708">
      <c r="A708" s="6" t="inlineStr">
        <is>
          <t>R0000707</t>
        </is>
      </c>
      <c r="B708" s="6" t="inlineStr">
        <is>
          <t>2009-11-01</t>
        </is>
      </c>
      <c r="C708" s="6" t="inlineStr">
        <is>
          <t>2009-11-30</t>
        </is>
      </c>
      <c r="D708" s="6" t="inlineStr">
        <is>
          <t>month</t>
        </is>
      </c>
      <c r="E708" s="6" t="inlineStr">
        <is>
          <t>YACYRETA_NET_ENERGY</t>
        </is>
      </c>
      <c r="F708" s="6" t="inlineStr">
        <is>
          <t>YACYRETA</t>
        </is>
      </c>
      <c r="G708" s="6" t="inlineStr">
        <is>
          <t>YACYRETA</t>
        </is>
      </c>
      <c r="H708" s="6" t="inlineStr">
        <is>
          <t>TOTAL</t>
        </is>
      </c>
      <c r="I708" s="8" t="n">
        <v>1777960</v>
      </c>
      <c r="J708" s="6" t="inlineStr">
        <is>
          <t>MWh</t>
        </is>
      </c>
      <c r="K708" s="8" t="n">
        <v>1777960</v>
      </c>
      <c r="L708" s="6" t="inlineStr">
        <is>
          <t>MWh</t>
        </is>
      </c>
      <c r="M708" s="6" t="inlineStr">
        <is>
          <t>EBY</t>
        </is>
      </c>
      <c r="N708" s="6" t="inlineStr">
        <is>
          <t>OFFICIAL_PRIMARY</t>
        </is>
      </c>
      <c r="O708" s="9" t="inlineStr">
        <is>
          <t>OFFICIAL_AGGREGATE</t>
        </is>
      </c>
      <c r="P708" s="8" t="n">
        <v>1</v>
      </c>
      <c r="Q708" s="8" t="n">
        <v>50</v>
      </c>
      <c r="R708" s="7" t="inlineStr">
        <is>
          <t>https://www.eby.gov.py/wp-content/uploads/2019/12/YacyretaEnergiasMensualesDesdePuestaenMarcha.pdf</t>
        </is>
      </c>
      <c r="S708" s="6" t="inlineStr">
        <is>
          <t>EBY-MONTHLY-1994-2012</t>
        </is>
      </c>
      <c r="T708" s="6" t="inlineStr"/>
      <c r="U708" s="4" t="inlineStr">
        <is>
          <t>2026-09-10 23:00:00</t>
        </is>
      </c>
      <c r="V708" s="4" t="inlineStr">
        <is>
          <t>Energia mensual Yacyreta desde puesta en marcha.</t>
        </is>
      </c>
    </row>
    <row r="709">
      <c r="A709" s="6" t="inlineStr">
        <is>
          <t>R0000708</t>
        </is>
      </c>
      <c r="B709" s="6" t="inlineStr">
        <is>
          <t>2009-11-01</t>
        </is>
      </c>
      <c r="C709" s="6" t="inlineStr">
        <is>
          <t>2009-11-30</t>
        </is>
      </c>
      <c r="D709" s="6" t="inlineStr">
        <is>
          <t>month</t>
        </is>
      </c>
      <c r="E709" s="6" t="inlineStr">
        <is>
          <t>ENERGY_TO_ARGENTINA</t>
        </is>
      </c>
      <c r="F709" s="6" t="inlineStr">
        <is>
          <t>YACYRETA</t>
        </is>
      </c>
      <c r="G709" s="6" t="inlineStr">
        <is>
          <t>YACYRETA</t>
        </is>
      </c>
      <c r="H709" s="6" t="inlineStr">
        <is>
          <t>SADI</t>
        </is>
      </c>
      <c r="I709" s="8" t="n">
        <v>1566736</v>
      </c>
      <c r="J709" s="6" t="inlineStr">
        <is>
          <t>MWh</t>
        </is>
      </c>
      <c r="K709" s="8" t="n">
        <v>1566736</v>
      </c>
      <c r="L709" s="6" t="inlineStr">
        <is>
          <t>MWh</t>
        </is>
      </c>
      <c r="M709" s="6" t="inlineStr">
        <is>
          <t>EBY</t>
        </is>
      </c>
      <c r="N709" s="6" t="inlineStr">
        <is>
          <t>OFFICIAL_PRIMARY</t>
        </is>
      </c>
      <c r="O709" s="9" t="inlineStr">
        <is>
          <t>OFFICIAL_AGGREGATE</t>
        </is>
      </c>
      <c r="P709" s="8" t="n">
        <v>1</v>
      </c>
      <c r="Q709" s="8" t="n">
        <v>50</v>
      </c>
      <c r="R709" s="7" t="inlineStr">
        <is>
          <t>https://www.eby.gov.py/wp-content/uploads/2019/12/YacyretaEnergiasMensualesDesdePuestaenMarcha.pdf</t>
        </is>
      </c>
      <c r="S709" s="6" t="inlineStr">
        <is>
          <t>EBY-MONTHLY-1994-2012</t>
        </is>
      </c>
      <c r="T709" s="6" t="inlineStr"/>
      <c r="U709" s="4" t="inlineStr">
        <is>
          <t>2026-09-10 23:00:00</t>
        </is>
      </c>
      <c r="V709" s="4" t="inlineStr">
        <is>
          <t>Energia mensual entregada al SADI.</t>
        </is>
      </c>
    </row>
    <row r="710">
      <c r="A710" s="6" t="inlineStr">
        <is>
          <t>R0000709</t>
        </is>
      </c>
      <c r="B710" s="6" t="inlineStr">
        <is>
          <t>2009-11-01</t>
        </is>
      </c>
      <c r="C710" s="6" t="inlineStr">
        <is>
          <t>2009-11-30</t>
        </is>
      </c>
      <c r="D710" s="6" t="inlineStr">
        <is>
          <t>month</t>
        </is>
      </c>
      <c r="E710" s="6" t="inlineStr">
        <is>
          <t>ENERGY_TO_PY</t>
        </is>
      </c>
      <c r="F710" s="6" t="inlineStr">
        <is>
          <t>YACYRETA</t>
        </is>
      </c>
      <c r="G710" s="6" t="inlineStr">
        <is>
          <t>YACYRETA</t>
        </is>
      </c>
      <c r="H710" s="6" t="inlineStr">
        <is>
          <t>SINP</t>
        </is>
      </c>
      <c r="I710" s="8" t="n">
        <v>211224</v>
      </c>
      <c r="J710" s="6" t="inlineStr">
        <is>
          <t>MWh</t>
        </is>
      </c>
      <c r="K710" s="8" t="n">
        <v>211224</v>
      </c>
      <c r="L710" s="6" t="inlineStr">
        <is>
          <t>MWh</t>
        </is>
      </c>
      <c r="M710" s="6" t="inlineStr">
        <is>
          <t>EBY</t>
        </is>
      </c>
      <c r="N710" s="6" t="inlineStr">
        <is>
          <t>OFFICIAL_PRIMARY</t>
        </is>
      </c>
      <c r="O710" s="9" t="inlineStr">
        <is>
          <t>OFFICIAL_AGGREGATE</t>
        </is>
      </c>
      <c r="P710" s="8" t="n">
        <v>1</v>
      </c>
      <c r="Q710" s="8" t="n">
        <v>50</v>
      </c>
      <c r="R710" s="7" t="inlineStr">
        <is>
          <t>https://www.eby.gov.py/wp-content/uploads/2019/12/YacyretaEnergiasMensualesDesdePuestaenMarcha.pdf</t>
        </is>
      </c>
      <c r="S710" s="6" t="inlineStr">
        <is>
          <t>EBY-MONTHLY-1994-2012</t>
        </is>
      </c>
      <c r="T710" s="6" t="inlineStr"/>
      <c r="U710" s="4" t="inlineStr">
        <is>
          <t>2026-09-10 23:00:00</t>
        </is>
      </c>
      <c r="V710" s="4" t="inlineStr">
        <is>
          <t>Energia mensual entregada al SINP.</t>
        </is>
      </c>
    </row>
    <row r="711">
      <c r="A711" s="6" t="inlineStr">
        <is>
          <t>R0000710</t>
        </is>
      </c>
      <c r="B711" s="6" t="inlineStr">
        <is>
          <t>2009-12-01</t>
        </is>
      </c>
      <c r="C711" s="6" t="inlineStr">
        <is>
          <t>2009-12-31</t>
        </is>
      </c>
      <c r="D711" s="6" t="inlineStr">
        <is>
          <t>month</t>
        </is>
      </c>
      <c r="E711" s="6" t="inlineStr">
        <is>
          <t>YACYRETA_NET_ENERGY</t>
        </is>
      </c>
      <c r="F711" s="6" t="inlineStr">
        <is>
          <t>YACYRETA</t>
        </is>
      </c>
      <c r="G711" s="6" t="inlineStr">
        <is>
          <t>YACYRETA</t>
        </is>
      </c>
      <c r="H711" s="6" t="inlineStr">
        <is>
          <t>TOTAL</t>
        </is>
      </c>
      <c r="I711" s="8" t="n">
        <v>1863609</v>
      </c>
      <c r="J711" s="6" t="inlineStr">
        <is>
          <t>MWh</t>
        </is>
      </c>
      <c r="K711" s="8" t="n">
        <v>1863609</v>
      </c>
      <c r="L711" s="6" t="inlineStr">
        <is>
          <t>MWh</t>
        </is>
      </c>
      <c r="M711" s="6" t="inlineStr">
        <is>
          <t>EBY</t>
        </is>
      </c>
      <c r="N711" s="6" t="inlineStr">
        <is>
          <t>OFFICIAL_PRIMARY</t>
        </is>
      </c>
      <c r="O711" s="9" t="inlineStr">
        <is>
          <t>OFFICIAL_AGGREGATE</t>
        </is>
      </c>
      <c r="P711" s="8" t="n">
        <v>1</v>
      </c>
      <c r="Q711" s="8" t="n">
        <v>50</v>
      </c>
      <c r="R711" s="7" t="inlineStr">
        <is>
          <t>https://www.eby.gov.py/wp-content/uploads/2019/12/YacyretaEnergiasMensualesDesdePuestaenMarcha.pdf</t>
        </is>
      </c>
      <c r="S711" s="6" t="inlineStr">
        <is>
          <t>EBY-MONTHLY-1994-2012</t>
        </is>
      </c>
      <c r="T711" s="6" t="inlineStr"/>
      <c r="U711" s="4" t="inlineStr">
        <is>
          <t>2026-09-10 23:00:00</t>
        </is>
      </c>
      <c r="V711" s="4" t="inlineStr">
        <is>
          <t>Energia mensual Yacyreta desde puesta en marcha.</t>
        </is>
      </c>
    </row>
    <row r="712">
      <c r="A712" s="6" t="inlineStr">
        <is>
          <t>R0000711</t>
        </is>
      </c>
      <c r="B712" s="6" t="inlineStr">
        <is>
          <t>2009-12-01</t>
        </is>
      </c>
      <c r="C712" s="6" t="inlineStr">
        <is>
          <t>2009-12-31</t>
        </is>
      </c>
      <c r="D712" s="6" t="inlineStr">
        <is>
          <t>month</t>
        </is>
      </c>
      <c r="E712" s="6" t="inlineStr">
        <is>
          <t>ENERGY_TO_ARGENTINA</t>
        </is>
      </c>
      <c r="F712" s="6" t="inlineStr">
        <is>
          <t>YACYRETA</t>
        </is>
      </c>
      <c r="G712" s="6" t="inlineStr">
        <is>
          <t>YACYRETA</t>
        </is>
      </c>
      <c r="H712" s="6" t="inlineStr">
        <is>
          <t>SADI</t>
        </is>
      </c>
      <c r="I712" s="8" t="n">
        <v>1648332</v>
      </c>
      <c r="J712" s="6" t="inlineStr">
        <is>
          <t>MWh</t>
        </is>
      </c>
      <c r="K712" s="8" t="n">
        <v>1648332</v>
      </c>
      <c r="L712" s="6" t="inlineStr">
        <is>
          <t>MWh</t>
        </is>
      </c>
      <c r="M712" s="6" t="inlineStr">
        <is>
          <t>EBY</t>
        </is>
      </c>
      <c r="N712" s="6" t="inlineStr">
        <is>
          <t>OFFICIAL_PRIMARY</t>
        </is>
      </c>
      <c r="O712" s="9" t="inlineStr">
        <is>
          <t>OFFICIAL_AGGREGATE</t>
        </is>
      </c>
      <c r="P712" s="8" t="n">
        <v>1</v>
      </c>
      <c r="Q712" s="8" t="n">
        <v>50</v>
      </c>
      <c r="R712" s="7" t="inlineStr">
        <is>
          <t>https://www.eby.gov.py/wp-content/uploads/2019/12/YacyretaEnergiasMensualesDesdePuestaenMarcha.pdf</t>
        </is>
      </c>
      <c r="S712" s="6" t="inlineStr">
        <is>
          <t>EBY-MONTHLY-1994-2012</t>
        </is>
      </c>
      <c r="T712" s="6" t="inlineStr"/>
      <c r="U712" s="4" t="inlineStr">
        <is>
          <t>2026-09-10 23:00:00</t>
        </is>
      </c>
      <c r="V712" s="4" t="inlineStr">
        <is>
          <t>Energia mensual entregada al SADI.</t>
        </is>
      </c>
    </row>
    <row r="713">
      <c r="A713" s="6" t="inlineStr">
        <is>
          <t>R0000712</t>
        </is>
      </c>
      <c r="B713" s="6" t="inlineStr">
        <is>
          <t>2009-12-01</t>
        </is>
      </c>
      <c r="C713" s="6" t="inlineStr">
        <is>
          <t>2009-12-31</t>
        </is>
      </c>
      <c r="D713" s="6" t="inlineStr">
        <is>
          <t>month</t>
        </is>
      </c>
      <c r="E713" s="6" t="inlineStr">
        <is>
          <t>ENERGY_TO_PY</t>
        </is>
      </c>
      <c r="F713" s="6" t="inlineStr">
        <is>
          <t>YACYRETA</t>
        </is>
      </c>
      <c r="G713" s="6" t="inlineStr">
        <is>
          <t>YACYRETA</t>
        </is>
      </c>
      <c r="H713" s="6" t="inlineStr">
        <is>
          <t>SINP</t>
        </is>
      </c>
      <c r="I713" s="8" t="n">
        <v>215277</v>
      </c>
      <c r="J713" s="6" t="inlineStr">
        <is>
          <t>MWh</t>
        </is>
      </c>
      <c r="K713" s="8" t="n">
        <v>215277</v>
      </c>
      <c r="L713" s="6" t="inlineStr">
        <is>
          <t>MWh</t>
        </is>
      </c>
      <c r="M713" s="6" t="inlineStr">
        <is>
          <t>EBY</t>
        </is>
      </c>
      <c r="N713" s="6" t="inlineStr">
        <is>
          <t>OFFICIAL_PRIMARY</t>
        </is>
      </c>
      <c r="O713" s="9" t="inlineStr">
        <is>
          <t>OFFICIAL_AGGREGATE</t>
        </is>
      </c>
      <c r="P713" s="8" t="n">
        <v>1</v>
      </c>
      <c r="Q713" s="8" t="n">
        <v>50</v>
      </c>
      <c r="R713" s="7" t="inlineStr">
        <is>
          <t>https://www.eby.gov.py/wp-content/uploads/2019/12/YacyretaEnergiasMensualesDesdePuestaenMarcha.pdf</t>
        </is>
      </c>
      <c r="S713" s="6" t="inlineStr">
        <is>
          <t>EBY-MONTHLY-1994-2012</t>
        </is>
      </c>
      <c r="T713" s="6" t="inlineStr"/>
      <c r="U713" s="4" t="inlineStr">
        <is>
          <t>2026-09-10 23:00:00</t>
        </is>
      </c>
      <c r="V713" s="4" t="inlineStr">
        <is>
          <t>Energia mensual entregada al SINP.</t>
        </is>
      </c>
    </row>
    <row r="714">
      <c r="A714" s="6" t="inlineStr">
        <is>
          <t>R0000713</t>
        </is>
      </c>
      <c r="B714" s="6" t="inlineStr">
        <is>
          <t>2010-01-01</t>
        </is>
      </c>
      <c r="C714" s="6" t="inlineStr">
        <is>
          <t>2010-01-31</t>
        </is>
      </c>
      <c r="D714" s="6" t="inlineStr">
        <is>
          <t>month</t>
        </is>
      </c>
      <c r="E714" s="6" t="inlineStr">
        <is>
          <t>YACYRETA_NET_ENERGY</t>
        </is>
      </c>
      <c r="F714" s="6" t="inlineStr">
        <is>
          <t>YACYRETA</t>
        </is>
      </c>
      <c r="G714" s="6" t="inlineStr">
        <is>
          <t>YACYRETA</t>
        </is>
      </c>
      <c r="H714" s="6" t="inlineStr">
        <is>
          <t>TOTAL</t>
        </is>
      </c>
      <c r="I714" s="8" t="n">
        <v>1814730</v>
      </c>
      <c r="J714" s="6" t="inlineStr">
        <is>
          <t>MWh</t>
        </is>
      </c>
      <c r="K714" s="8" t="n">
        <v>1814730</v>
      </c>
      <c r="L714" s="6" t="inlineStr">
        <is>
          <t>MWh</t>
        </is>
      </c>
      <c r="M714" s="6" t="inlineStr">
        <is>
          <t>EBY</t>
        </is>
      </c>
      <c r="N714" s="6" t="inlineStr">
        <is>
          <t>OFFICIAL_PRIMARY</t>
        </is>
      </c>
      <c r="O714" s="9" t="inlineStr">
        <is>
          <t>OFFICIAL_AGGREGATE</t>
        </is>
      </c>
      <c r="P714" s="8" t="n">
        <v>1</v>
      </c>
      <c r="Q714" s="8" t="n">
        <v>50</v>
      </c>
      <c r="R714" s="7" t="inlineStr">
        <is>
          <t>https://www.eby.gov.py/wp-content/uploads/2019/12/YacyretaEnergiasMensualesDesdePuestaenMarcha.pdf</t>
        </is>
      </c>
      <c r="S714" s="6" t="inlineStr">
        <is>
          <t>EBY-MONTHLY-1994-2012</t>
        </is>
      </c>
      <c r="T714" s="6" t="inlineStr"/>
      <c r="U714" s="4" t="inlineStr">
        <is>
          <t>2026-09-10 23:00:00</t>
        </is>
      </c>
      <c r="V714" s="4" t="inlineStr">
        <is>
          <t>Energia mensual Yacyreta desde puesta en marcha.</t>
        </is>
      </c>
    </row>
    <row r="715">
      <c r="A715" s="6" t="inlineStr">
        <is>
          <t>R0000714</t>
        </is>
      </c>
      <c r="B715" s="6" t="inlineStr">
        <is>
          <t>2010-01-01</t>
        </is>
      </c>
      <c r="C715" s="6" t="inlineStr">
        <is>
          <t>2010-01-31</t>
        </is>
      </c>
      <c r="D715" s="6" t="inlineStr">
        <is>
          <t>month</t>
        </is>
      </c>
      <c r="E715" s="6" t="inlineStr">
        <is>
          <t>ENERGY_TO_ARGENTINA</t>
        </is>
      </c>
      <c r="F715" s="6" t="inlineStr">
        <is>
          <t>YACYRETA</t>
        </is>
      </c>
      <c r="G715" s="6" t="inlineStr">
        <is>
          <t>YACYRETA</t>
        </is>
      </c>
      <c r="H715" s="6" t="inlineStr">
        <is>
          <t>SADI</t>
        </is>
      </c>
      <c r="I715" s="8" t="n">
        <v>1578822</v>
      </c>
      <c r="J715" s="6" t="inlineStr">
        <is>
          <t>MWh</t>
        </is>
      </c>
      <c r="K715" s="8" t="n">
        <v>1578822</v>
      </c>
      <c r="L715" s="6" t="inlineStr">
        <is>
          <t>MWh</t>
        </is>
      </c>
      <c r="M715" s="6" t="inlineStr">
        <is>
          <t>EBY</t>
        </is>
      </c>
      <c r="N715" s="6" t="inlineStr">
        <is>
          <t>OFFICIAL_PRIMARY</t>
        </is>
      </c>
      <c r="O715" s="9" t="inlineStr">
        <is>
          <t>OFFICIAL_AGGREGATE</t>
        </is>
      </c>
      <c r="P715" s="8" t="n">
        <v>1</v>
      </c>
      <c r="Q715" s="8" t="n">
        <v>50</v>
      </c>
      <c r="R715" s="7" t="inlineStr">
        <is>
          <t>https://www.eby.gov.py/wp-content/uploads/2019/12/YacyretaEnergiasMensualesDesdePuestaenMarcha.pdf</t>
        </is>
      </c>
      <c r="S715" s="6" t="inlineStr">
        <is>
          <t>EBY-MONTHLY-1994-2012</t>
        </is>
      </c>
      <c r="T715" s="6" t="inlineStr"/>
      <c r="U715" s="4" t="inlineStr">
        <is>
          <t>2026-09-10 23:00:00</t>
        </is>
      </c>
      <c r="V715" s="4" t="inlineStr">
        <is>
          <t>Energia mensual entregada al SADI.</t>
        </is>
      </c>
    </row>
    <row r="716">
      <c r="A716" s="6" t="inlineStr">
        <is>
          <t>R0000715</t>
        </is>
      </c>
      <c r="B716" s="6" t="inlineStr">
        <is>
          <t>2010-01-01</t>
        </is>
      </c>
      <c r="C716" s="6" t="inlineStr">
        <is>
          <t>2010-01-31</t>
        </is>
      </c>
      <c r="D716" s="6" t="inlineStr">
        <is>
          <t>month</t>
        </is>
      </c>
      <c r="E716" s="6" t="inlineStr">
        <is>
          <t>ENERGY_TO_PY</t>
        </is>
      </c>
      <c r="F716" s="6" t="inlineStr">
        <is>
          <t>YACYRETA</t>
        </is>
      </c>
      <c r="G716" s="6" t="inlineStr">
        <is>
          <t>YACYRETA</t>
        </is>
      </c>
      <c r="H716" s="6" t="inlineStr">
        <is>
          <t>SINP</t>
        </is>
      </c>
      <c r="I716" s="8" t="n">
        <v>235908</v>
      </c>
      <c r="J716" s="6" t="inlineStr">
        <is>
          <t>MWh</t>
        </is>
      </c>
      <c r="K716" s="8" t="n">
        <v>235908</v>
      </c>
      <c r="L716" s="6" t="inlineStr">
        <is>
          <t>MWh</t>
        </is>
      </c>
      <c r="M716" s="6" t="inlineStr">
        <is>
          <t>EBY</t>
        </is>
      </c>
      <c r="N716" s="6" t="inlineStr">
        <is>
          <t>OFFICIAL_PRIMARY</t>
        </is>
      </c>
      <c r="O716" s="9" t="inlineStr">
        <is>
          <t>OFFICIAL_AGGREGATE</t>
        </is>
      </c>
      <c r="P716" s="8" t="n">
        <v>1</v>
      </c>
      <c r="Q716" s="8" t="n">
        <v>50</v>
      </c>
      <c r="R716" s="7" t="inlineStr">
        <is>
          <t>https://www.eby.gov.py/wp-content/uploads/2019/12/YacyretaEnergiasMensualesDesdePuestaenMarcha.pdf</t>
        </is>
      </c>
      <c r="S716" s="6" t="inlineStr">
        <is>
          <t>EBY-MONTHLY-1994-2012</t>
        </is>
      </c>
      <c r="T716" s="6" t="inlineStr"/>
      <c r="U716" s="4" t="inlineStr">
        <is>
          <t>2026-09-10 23:00:00</t>
        </is>
      </c>
      <c r="V716" s="4" t="inlineStr">
        <is>
          <t>Energia mensual entregada al SINP.</t>
        </is>
      </c>
    </row>
    <row r="717">
      <c r="A717" s="6" t="inlineStr">
        <is>
          <t>R0000716</t>
        </is>
      </c>
      <c r="B717" s="6" t="inlineStr">
        <is>
          <t>2010-02-01</t>
        </is>
      </c>
      <c r="C717" s="6" t="inlineStr">
        <is>
          <t>2010-02-28</t>
        </is>
      </c>
      <c r="D717" s="6" t="inlineStr">
        <is>
          <t>month</t>
        </is>
      </c>
      <c r="E717" s="6" t="inlineStr">
        <is>
          <t>YACYRETA_NET_ENERGY</t>
        </is>
      </c>
      <c r="F717" s="6" t="inlineStr">
        <is>
          <t>YACYRETA</t>
        </is>
      </c>
      <c r="G717" s="6" t="inlineStr">
        <is>
          <t>YACYRETA</t>
        </is>
      </c>
      <c r="H717" s="6" t="inlineStr">
        <is>
          <t>TOTAL</t>
        </is>
      </c>
      <c r="I717" s="8" t="n">
        <v>1698207</v>
      </c>
      <c r="J717" s="6" t="inlineStr">
        <is>
          <t>MWh</t>
        </is>
      </c>
      <c r="K717" s="8" t="n">
        <v>1698207</v>
      </c>
      <c r="L717" s="6" t="inlineStr">
        <is>
          <t>MWh</t>
        </is>
      </c>
      <c r="M717" s="6" t="inlineStr">
        <is>
          <t>EBY</t>
        </is>
      </c>
      <c r="N717" s="6" t="inlineStr">
        <is>
          <t>OFFICIAL_PRIMARY</t>
        </is>
      </c>
      <c r="O717" s="9" t="inlineStr">
        <is>
          <t>OFFICIAL_AGGREGATE</t>
        </is>
      </c>
      <c r="P717" s="8" t="n">
        <v>1</v>
      </c>
      <c r="Q717" s="8" t="n">
        <v>50</v>
      </c>
      <c r="R717" s="7" t="inlineStr">
        <is>
          <t>https://www.eby.gov.py/wp-content/uploads/2019/12/YacyretaEnergiasMensualesDesdePuestaenMarcha.pdf</t>
        </is>
      </c>
      <c r="S717" s="6" t="inlineStr">
        <is>
          <t>EBY-MONTHLY-1994-2012</t>
        </is>
      </c>
      <c r="T717" s="6" t="inlineStr"/>
      <c r="U717" s="4" t="inlineStr">
        <is>
          <t>2026-09-10 23:00:00</t>
        </is>
      </c>
      <c r="V717" s="4" t="inlineStr">
        <is>
          <t>Energia mensual Yacyreta desde puesta en marcha.</t>
        </is>
      </c>
    </row>
    <row r="718">
      <c r="A718" s="6" t="inlineStr">
        <is>
          <t>R0000717</t>
        </is>
      </c>
      <c r="B718" s="6" t="inlineStr">
        <is>
          <t>2010-02-01</t>
        </is>
      </c>
      <c r="C718" s="6" t="inlineStr">
        <is>
          <t>2010-02-28</t>
        </is>
      </c>
      <c r="D718" s="6" t="inlineStr">
        <is>
          <t>month</t>
        </is>
      </c>
      <c r="E718" s="6" t="inlineStr">
        <is>
          <t>ENERGY_TO_ARGENTINA</t>
        </is>
      </c>
      <c r="F718" s="6" t="inlineStr">
        <is>
          <t>YACYRETA</t>
        </is>
      </c>
      <c r="G718" s="6" t="inlineStr">
        <is>
          <t>YACYRETA</t>
        </is>
      </c>
      <c r="H718" s="6" t="inlineStr">
        <is>
          <t>SADI</t>
        </is>
      </c>
      <c r="I718" s="8" t="n">
        <v>1471162</v>
      </c>
      <c r="J718" s="6" t="inlineStr">
        <is>
          <t>MWh</t>
        </is>
      </c>
      <c r="K718" s="8" t="n">
        <v>1471162</v>
      </c>
      <c r="L718" s="6" t="inlineStr">
        <is>
          <t>MWh</t>
        </is>
      </c>
      <c r="M718" s="6" t="inlineStr">
        <is>
          <t>EBY</t>
        </is>
      </c>
      <c r="N718" s="6" t="inlineStr">
        <is>
          <t>OFFICIAL_PRIMARY</t>
        </is>
      </c>
      <c r="O718" s="9" t="inlineStr">
        <is>
          <t>OFFICIAL_AGGREGATE</t>
        </is>
      </c>
      <c r="P718" s="8" t="n">
        <v>1</v>
      </c>
      <c r="Q718" s="8" t="n">
        <v>50</v>
      </c>
      <c r="R718" s="7" t="inlineStr">
        <is>
          <t>https://www.eby.gov.py/wp-content/uploads/2019/12/YacyretaEnergiasMensualesDesdePuestaenMarcha.pdf</t>
        </is>
      </c>
      <c r="S718" s="6" t="inlineStr">
        <is>
          <t>EBY-MONTHLY-1994-2012</t>
        </is>
      </c>
      <c r="T718" s="6" t="inlineStr"/>
      <c r="U718" s="4" t="inlineStr">
        <is>
          <t>2026-09-10 23:00:00</t>
        </is>
      </c>
      <c r="V718" s="4" t="inlineStr">
        <is>
          <t>Energia mensual entregada al SADI.</t>
        </is>
      </c>
    </row>
    <row r="719">
      <c r="A719" s="6" t="inlineStr">
        <is>
          <t>R0000718</t>
        </is>
      </c>
      <c r="B719" s="6" t="inlineStr">
        <is>
          <t>2010-02-01</t>
        </is>
      </c>
      <c r="C719" s="6" t="inlineStr">
        <is>
          <t>2010-02-28</t>
        </is>
      </c>
      <c r="D719" s="6" t="inlineStr">
        <is>
          <t>month</t>
        </is>
      </c>
      <c r="E719" s="6" t="inlineStr">
        <is>
          <t>ENERGY_TO_PY</t>
        </is>
      </c>
      <c r="F719" s="6" t="inlineStr">
        <is>
          <t>YACYRETA</t>
        </is>
      </c>
      <c r="G719" s="6" t="inlineStr">
        <is>
          <t>YACYRETA</t>
        </is>
      </c>
      <c r="H719" s="6" t="inlineStr">
        <is>
          <t>SINP</t>
        </is>
      </c>
      <c r="I719" s="8" t="n">
        <v>227045</v>
      </c>
      <c r="J719" s="6" t="inlineStr">
        <is>
          <t>MWh</t>
        </is>
      </c>
      <c r="K719" s="8" t="n">
        <v>227045</v>
      </c>
      <c r="L719" s="6" t="inlineStr">
        <is>
          <t>MWh</t>
        </is>
      </c>
      <c r="M719" s="6" t="inlineStr">
        <is>
          <t>EBY</t>
        </is>
      </c>
      <c r="N719" s="6" t="inlineStr">
        <is>
          <t>OFFICIAL_PRIMARY</t>
        </is>
      </c>
      <c r="O719" s="9" t="inlineStr">
        <is>
          <t>OFFICIAL_AGGREGATE</t>
        </is>
      </c>
      <c r="P719" s="8" t="n">
        <v>1</v>
      </c>
      <c r="Q719" s="8" t="n">
        <v>50</v>
      </c>
      <c r="R719" s="7" t="inlineStr">
        <is>
          <t>https://www.eby.gov.py/wp-content/uploads/2019/12/YacyretaEnergiasMensualesDesdePuestaenMarcha.pdf</t>
        </is>
      </c>
      <c r="S719" s="6" t="inlineStr">
        <is>
          <t>EBY-MONTHLY-1994-2012</t>
        </is>
      </c>
      <c r="T719" s="6" t="inlineStr"/>
      <c r="U719" s="4" t="inlineStr">
        <is>
          <t>2026-09-10 23:00:00</t>
        </is>
      </c>
      <c r="V719" s="4" t="inlineStr">
        <is>
          <t>Energia mensual entregada al SINP.</t>
        </is>
      </c>
    </row>
    <row r="720">
      <c r="A720" s="6" t="inlineStr">
        <is>
          <t>R0000719</t>
        </is>
      </c>
      <c r="B720" s="6" t="inlineStr">
        <is>
          <t>2010-03-01</t>
        </is>
      </c>
      <c r="C720" s="6" t="inlineStr">
        <is>
          <t>2010-03-31</t>
        </is>
      </c>
      <c r="D720" s="6" t="inlineStr">
        <is>
          <t>month</t>
        </is>
      </c>
      <c r="E720" s="6" t="inlineStr">
        <is>
          <t>YACYRETA_NET_ENERGY</t>
        </is>
      </c>
      <c r="F720" s="6" t="inlineStr">
        <is>
          <t>YACYRETA</t>
        </is>
      </c>
      <c r="G720" s="6" t="inlineStr">
        <is>
          <t>YACYRETA</t>
        </is>
      </c>
      <c r="H720" s="6" t="inlineStr">
        <is>
          <t>TOTAL</t>
        </is>
      </c>
      <c r="I720" s="8" t="n">
        <v>1856386</v>
      </c>
      <c r="J720" s="6" t="inlineStr">
        <is>
          <t>MWh</t>
        </is>
      </c>
      <c r="K720" s="8" t="n">
        <v>1856386</v>
      </c>
      <c r="L720" s="6" t="inlineStr">
        <is>
          <t>MWh</t>
        </is>
      </c>
      <c r="M720" s="6" t="inlineStr">
        <is>
          <t>EBY</t>
        </is>
      </c>
      <c r="N720" s="6" t="inlineStr">
        <is>
          <t>OFFICIAL_PRIMARY</t>
        </is>
      </c>
      <c r="O720" s="9" t="inlineStr">
        <is>
          <t>OFFICIAL_AGGREGATE</t>
        </is>
      </c>
      <c r="P720" s="8" t="n">
        <v>1</v>
      </c>
      <c r="Q720" s="8" t="n">
        <v>50</v>
      </c>
      <c r="R720" s="7" t="inlineStr">
        <is>
          <t>https://www.eby.gov.py/wp-content/uploads/2019/12/YacyretaEnergiasMensualesDesdePuestaenMarcha.pdf</t>
        </is>
      </c>
      <c r="S720" s="6" t="inlineStr">
        <is>
          <t>EBY-MONTHLY-1994-2012</t>
        </is>
      </c>
      <c r="T720" s="6" t="inlineStr"/>
      <c r="U720" s="4" t="inlineStr">
        <is>
          <t>2026-09-10 23:00:00</t>
        </is>
      </c>
      <c r="V720" s="4" t="inlineStr">
        <is>
          <t>Energia mensual Yacyreta desde puesta en marcha.</t>
        </is>
      </c>
    </row>
    <row r="721">
      <c r="A721" s="6" t="inlineStr">
        <is>
          <t>R0000720</t>
        </is>
      </c>
      <c r="B721" s="6" t="inlineStr">
        <is>
          <t>2010-03-01</t>
        </is>
      </c>
      <c r="C721" s="6" t="inlineStr">
        <is>
          <t>2010-03-31</t>
        </is>
      </c>
      <c r="D721" s="6" t="inlineStr">
        <is>
          <t>month</t>
        </is>
      </c>
      <c r="E721" s="6" t="inlineStr">
        <is>
          <t>ENERGY_TO_ARGENTINA</t>
        </is>
      </c>
      <c r="F721" s="6" t="inlineStr">
        <is>
          <t>YACYRETA</t>
        </is>
      </c>
      <c r="G721" s="6" t="inlineStr">
        <is>
          <t>YACYRETA</t>
        </is>
      </c>
      <c r="H721" s="6" t="inlineStr">
        <is>
          <t>SADI</t>
        </is>
      </c>
      <c r="I721" s="8" t="n">
        <v>1626838</v>
      </c>
      <c r="J721" s="6" t="inlineStr">
        <is>
          <t>MWh</t>
        </is>
      </c>
      <c r="K721" s="8" t="n">
        <v>1626838</v>
      </c>
      <c r="L721" s="6" t="inlineStr">
        <is>
          <t>MWh</t>
        </is>
      </c>
      <c r="M721" s="6" t="inlineStr">
        <is>
          <t>EBY</t>
        </is>
      </c>
      <c r="N721" s="6" t="inlineStr">
        <is>
          <t>OFFICIAL_PRIMARY</t>
        </is>
      </c>
      <c r="O721" s="9" t="inlineStr">
        <is>
          <t>OFFICIAL_AGGREGATE</t>
        </is>
      </c>
      <c r="P721" s="8" t="n">
        <v>1</v>
      </c>
      <c r="Q721" s="8" t="n">
        <v>50</v>
      </c>
      <c r="R721" s="7" t="inlineStr">
        <is>
          <t>https://www.eby.gov.py/wp-content/uploads/2019/12/YacyretaEnergiasMensualesDesdePuestaenMarcha.pdf</t>
        </is>
      </c>
      <c r="S721" s="6" t="inlineStr">
        <is>
          <t>EBY-MONTHLY-1994-2012</t>
        </is>
      </c>
      <c r="T721" s="6" t="inlineStr"/>
      <c r="U721" s="4" t="inlineStr">
        <is>
          <t>2026-09-10 23:00:00</t>
        </is>
      </c>
      <c r="V721" s="4" t="inlineStr">
        <is>
          <t>Energia mensual entregada al SADI.</t>
        </is>
      </c>
    </row>
    <row r="722">
      <c r="A722" s="6" t="inlineStr">
        <is>
          <t>R0000721</t>
        </is>
      </c>
      <c r="B722" s="6" t="inlineStr">
        <is>
          <t>2010-03-01</t>
        </is>
      </c>
      <c r="C722" s="6" t="inlineStr">
        <is>
          <t>2010-03-31</t>
        </is>
      </c>
      <c r="D722" s="6" t="inlineStr">
        <is>
          <t>month</t>
        </is>
      </c>
      <c r="E722" s="6" t="inlineStr">
        <is>
          <t>ENERGY_TO_PY</t>
        </is>
      </c>
      <c r="F722" s="6" t="inlineStr">
        <is>
          <t>YACYRETA</t>
        </is>
      </c>
      <c r="G722" s="6" t="inlineStr">
        <is>
          <t>YACYRETA</t>
        </is>
      </c>
      <c r="H722" s="6" t="inlineStr">
        <is>
          <t>SINP</t>
        </is>
      </c>
      <c r="I722" s="8" t="n">
        <v>229548</v>
      </c>
      <c r="J722" s="6" t="inlineStr">
        <is>
          <t>MWh</t>
        </is>
      </c>
      <c r="K722" s="8" t="n">
        <v>229548</v>
      </c>
      <c r="L722" s="6" t="inlineStr">
        <is>
          <t>MWh</t>
        </is>
      </c>
      <c r="M722" s="6" t="inlineStr">
        <is>
          <t>EBY</t>
        </is>
      </c>
      <c r="N722" s="6" t="inlineStr">
        <is>
          <t>OFFICIAL_PRIMARY</t>
        </is>
      </c>
      <c r="O722" s="9" t="inlineStr">
        <is>
          <t>OFFICIAL_AGGREGATE</t>
        </is>
      </c>
      <c r="P722" s="8" t="n">
        <v>1</v>
      </c>
      <c r="Q722" s="8" t="n">
        <v>50</v>
      </c>
      <c r="R722" s="7" t="inlineStr">
        <is>
          <t>https://www.eby.gov.py/wp-content/uploads/2019/12/YacyretaEnergiasMensualesDesdePuestaenMarcha.pdf</t>
        </is>
      </c>
      <c r="S722" s="6" t="inlineStr">
        <is>
          <t>EBY-MONTHLY-1994-2012</t>
        </is>
      </c>
      <c r="T722" s="6" t="inlineStr"/>
      <c r="U722" s="4" t="inlineStr">
        <is>
          <t>2026-09-10 23:00:00</t>
        </is>
      </c>
      <c r="V722" s="4" t="inlineStr">
        <is>
          <t>Energia mensual entregada al SINP.</t>
        </is>
      </c>
    </row>
    <row r="723">
      <c r="A723" s="6" t="inlineStr">
        <is>
          <t>R0000722</t>
        </is>
      </c>
      <c r="B723" s="6" t="inlineStr">
        <is>
          <t>2010-04-01</t>
        </is>
      </c>
      <c r="C723" s="6" t="inlineStr">
        <is>
          <t>2010-04-30</t>
        </is>
      </c>
      <c r="D723" s="6" t="inlineStr">
        <is>
          <t>month</t>
        </is>
      </c>
      <c r="E723" s="6" t="inlineStr">
        <is>
          <t>YACYRETA_NET_ENERGY</t>
        </is>
      </c>
      <c r="F723" s="6" t="inlineStr">
        <is>
          <t>YACYRETA</t>
        </is>
      </c>
      <c r="G723" s="6" t="inlineStr">
        <is>
          <t>YACYRETA</t>
        </is>
      </c>
      <c r="H723" s="6" t="inlineStr">
        <is>
          <t>TOTAL</t>
        </is>
      </c>
      <c r="I723" s="8" t="n">
        <v>1744126</v>
      </c>
      <c r="J723" s="6" t="inlineStr">
        <is>
          <t>MWh</t>
        </is>
      </c>
      <c r="K723" s="8" t="n">
        <v>1744126</v>
      </c>
      <c r="L723" s="6" t="inlineStr">
        <is>
          <t>MWh</t>
        </is>
      </c>
      <c r="M723" s="6" t="inlineStr">
        <is>
          <t>EBY</t>
        </is>
      </c>
      <c r="N723" s="6" t="inlineStr">
        <is>
          <t>OFFICIAL_PRIMARY</t>
        </is>
      </c>
      <c r="O723" s="9" t="inlineStr">
        <is>
          <t>OFFICIAL_AGGREGATE</t>
        </is>
      </c>
      <c r="P723" s="8" t="n">
        <v>1</v>
      </c>
      <c r="Q723" s="8" t="n">
        <v>50</v>
      </c>
      <c r="R723" s="7" t="inlineStr">
        <is>
          <t>https://www.eby.gov.py/wp-content/uploads/2019/12/YacyretaEnergiasMensualesDesdePuestaenMarcha.pdf</t>
        </is>
      </c>
      <c r="S723" s="6" t="inlineStr">
        <is>
          <t>EBY-MONTHLY-1994-2012</t>
        </is>
      </c>
      <c r="T723" s="6" t="inlineStr"/>
      <c r="U723" s="4" t="inlineStr">
        <is>
          <t>2026-09-10 23:00:00</t>
        </is>
      </c>
      <c r="V723" s="4" t="inlineStr">
        <is>
          <t>Energia mensual Yacyreta desde puesta en marcha.</t>
        </is>
      </c>
    </row>
    <row r="724">
      <c r="A724" s="6" t="inlineStr">
        <is>
          <t>R0000723</t>
        </is>
      </c>
      <c r="B724" s="6" t="inlineStr">
        <is>
          <t>2010-04-01</t>
        </is>
      </c>
      <c r="C724" s="6" t="inlineStr">
        <is>
          <t>2010-04-30</t>
        </is>
      </c>
      <c r="D724" s="6" t="inlineStr">
        <is>
          <t>month</t>
        </is>
      </c>
      <c r="E724" s="6" t="inlineStr">
        <is>
          <t>ENERGY_TO_ARGENTINA</t>
        </is>
      </c>
      <c r="F724" s="6" t="inlineStr">
        <is>
          <t>YACYRETA</t>
        </is>
      </c>
      <c r="G724" s="6" t="inlineStr">
        <is>
          <t>YACYRETA</t>
        </is>
      </c>
      <c r="H724" s="6" t="inlineStr">
        <is>
          <t>SADI</t>
        </is>
      </c>
      <c r="I724" s="8" t="n">
        <v>1548502</v>
      </c>
      <c r="J724" s="6" t="inlineStr">
        <is>
          <t>MWh</t>
        </is>
      </c>
      <c r="K724" s="8" t="n">
        <v>1548502</v>
      </c>
      <c r="L724" s="6" t="inlineStr">
        <is>
          <t>MWh</t>
        </is>
      </c>
      <c r="M724" s="6" t="inlineStr">
        <is>
          <t>EBY</t>
        </is>
      </c>
      <c r="N724" s="6" t="inlineStr">
        <is>
          <t>OFFICIAL_PRIMARY</t>
        </is>
      </c>
      <c r="O724" s="9" t="inlineStr">
        <is>
          <t>OFFICIAL_AGGREGATE</t>
        </is>
      </c>
      <c r="P724" s="8" t="n">
        <v>1</v>
      </c>
      <c r="Q724" s="8" t="n">
        <v>50</v>
      </c>
      <c r="R724" s="7" t="inlineStr">
        <is>
          <t>https://www.eby.gov.py/wp-content/uploads/2019/12/YacyretaEnergiasMensualesDesdePuestaenMarcha.pdf</t>
        </is>
      </c>
      <c r="S724" s="6" t="inlineStr">
        <is>
          <t>EBY-MONTHLY-1994-2012</t>
        </is>
      </c>
      <c r="T724" s="6" t="inlineStr"/>
      <c r="U724" s="4" t="inlineStr">
        <is>
          <t>2026-09-10 23:00:00</t>
        </is>
      </c>
      <c r="V724" s="4" t="inlineStr">
        <is>
          <t>Energia mensual entregada al SADI.</t>
        </is>
      </c>
    </row>
    <row r="725">
      <c r="A725" s="6" t="inlineStr">
        <is>
          <t>R0000724</t>
        </is>
      </c>
      <c r="B725" s="6" t="inlineStr">
        <is>
          <t>2010-04-01</t>
        </is>
      </c>
      <c r="C725" s="6" t="inlineStr">
        <is>
          <t>2010-04-30</t>
        </is>
      </c>
      <c r="D725" s="6" t="inlineStr">
        <is>
          <t>month</t>
        </is>
      </c>
      <c r="E725" s="6" t="inlineStr">
        <is>
          <t>ENERGY_TO_PY</t>
        </is>
      </c>
      <c r="F725" s="6" t="inlineStr">
        <is>
          <t>YACYRETA</t>
        </is>
      </c>
      <c r="G725" s="6" t="inlineStr">
        <is>
          <t>YACYRETA</t>
        </is>
      </c>
      <c r="H725" s="6" t="inlineStr">
        <is>
          <t>SINP</t>
        </is>
      </c>
      <c r="I725" s="8" t="n">
        <v>195624</v>
      </c>
      <c r="J725" s="6" t="inlineStr">
        <is>
          <t>MWh</t>
        </is>
      </c>
      <c r="K725" s="8" t="n">
        <v>195624</v>
      </c>
      <c r="L725" s="6" t="inlineStr">
        <is>
          <t>MWh</t>
        </is>
      </c>
      <c r="M725" s="6" t="inlineStr">
        <is>
          <t>EBY</t>
        </is>
      </c>
      <c r="N725" s="6" t="inlineStr">
        <is>
          <t>OFFICIAL_PRIMARY</t>
        </is>
      </c>
      <c r="O725" s="9" t="inlineStr">
        <is>
          <t>OFFICIAL_AGGREGATE</t>
        </is>
      </c>
      <c r="P725" s="8" t="n">
        <v>1</v>
      </c>
      <c r="Q725" s="8" t="n">
        <v>50</v>
      </c>
      <c r="R725" s="7" t="inlineStr">
        <is>
          <t>https://www.eby.gov.py/wp-content/uploads/2019/12/YacyretaEnergiasMensualesDesdePuestaenMarcha.pdf</t>
        </is>
      </c>
      <c r="S725" s="6" t="inlineStr">
        <is>
          <t>EBY-MONTHLY-1994-2012</t>
        </is>
      </c>
      <c r="T725" s="6" t="inlineStr"/>
      <c r="U725" s="4" t="inlineStr">
        <is>
          <t>2026-09-10 23:00:00</t>
        </is>
      </c>
      <c r="V725" s="4" t="inlineStr">
        <is>
          <t>Energia mensual entregada al SINP.</t>
        </is>
      </c>
    </row>
    <row r="726">
      <c r="A726" s="6" t="inlineStr">
        <is>
          <t>R0000725</t>
        </is>
      </c>
      <c r="B726" s="6" t="inlineStr">
        <is>
          <t>2010-05-01</t>
        </is>
      </c>
      <c r="C726" s="6" t="inlineStr">
        <is>
          <t>2010-05-31</t>
        </is>
      </c>
      <c r="D726" s="6" t="inlineStr">
        <is>
          <t>month</t>
        </is>
      </c>
      <c r="E726" s="6" t="inlineStr">
        <is>
          <t>YACYRETA_NET_ENERGY</t>
        </is>
      </c>
      <c r="F726" s="6" t="inlineStr">
        <is>
          <t>YACYRETA</t>
        </is>
      </c>
      <c r="G726" s="6" t="inlineStr">
        <is>
          <t>YACYRETA</t>
        </is>
      </c>
      <c r="H726" s="6" t="inlineStr">
        <is>
          <t>TOTAL</t>
        </is>
      </c>
      <c r="I726" s="8" t="n">
        <v>1793947</v>
      </c>
      <c r="J726" s="6" t="inlineStr">
        <is>
          <t>MWh</t>
        </is>
      </c>
      <c r="K726" s="8" t="n">
        <v>1793947</v>
      </c>
      <c r="L726" s="6" t="inlineStr">
        <is>
          <t>MWh</t>
        </is>
      </c>
      <c r="M726" s="6" t="inlineStr">
        <is>
          <t>EBY</t>
        </is>
      </c>
      <c r="N726" s="6" t="inlineStr">
        <is>
          <t>OFFICIAL_PRIMARY</t>
        </is>
      </c>
      <c r="O726" s="9" t="inlineStr">
        <is>
          <t>OFFICIAL_AGGREGATE</t>
        </is>
      </c>
      <c r="P726" s="8" t="n">
        <v>1</v>
      </c>
      <c r="Q726" s="8" t="n">
        <v>50</v>
      </c>
      <c r="R726" s="7" t="inlineStr">
        <is>
          <t>https://www.eby.gov.py/wp-content/uploads/2019/12/YacyretaEnergiasMensualesDesdePuestaenMarcha.pdf</t>
        </is>
      </c>
      <c r="S726" s="6" t="inlineStr">
        <is>
          <t>EBY-MONTHLY-1994-2012</t>
        </is>
      </c>
      <c r="T726" s="6" t="inlineStr"/>
      <c r="U726" s="4" t="inlineStr">
        <is>
          <t>2026-09-10 23:00:00</t>
        </is>
      </c>
      <c r="V726" s="4" t="inlineStr">
        <is>
          <t>Energia mensual Yacyreta desde puesta en marcha.</t>
        </is>
      </c>
    </row>
    <row r="727">
      <c r="A727" s="6" t="inlineStr">
        <is>
          <t>R0000726</t>
        </is>
      </c>
      <c r="B727" s="6" t="inlineStr">
        <is>
          <t>2010-05-01</t>
        </is>
      </c>
      <c r="C727" s="6" t="inlineStr">
        <is>
          <t>2010-05-31</t>
        </is>
      </c>
      <c r="D727" s="6" t="inlineStr">
        <is>
          <t>month</t>
        </is>
      </c>
      <c r="E727" s="6" t="inlineStr">
        <is>
          <t>ENERGY_TO_ARGENTINA</t>
        </is>
      </c>
      <c r="F727" s="6" t="inlineStr">
        <is>
          <t>YACYRETA</t>
        </is>
      </c>
      <c r="G727" s="6" t="inlineStr">
        <is>
          <t>YACYRETA</t>
        </is>
      </c>
      <c r="H727" s="6" t="inlineStr">
        <is>
          <t>SADI</t>
        </is>
      </c>
      <c r="I727" s="8" t="n">
        <v>1611396</v>
      </c>
      <c r="J727" s="6" t="inlineStr">
        <is>
          <t>MWh</t>
        </is>
      </c>
      <c r="K727" s="8" t="n">
        <v>1611396</v>
      </c>
      <c r="L727" s="6" t="inlineStr">
        <is>
          <t>MWh</t>
        </is>
      </c>
      <c r="M727" s="6" t="inlineStr">
        <is>
          <t>EBY</t>
        </is>
      </c>
      <c r="N727" s="6" t="inlineStr">
        <is>
          <t>OFFICIAL_PRIMARY</t>
        </is>
      </c>
      <c r="O727" s="9" t="inlineStr">
        <is>
          <t>OFFICIAL_AGGREGATE</t>
        </is>
      </c>
      <c r="P727" s="8" t="n">
        <v>1</v>
      </c>
      <c r="Q727" s="8" t="n">
        <v>50</v>
      </c>
      <c r="R727" s="7" t="inlineStr">
        <is>
          <t>https://www.eby.gov.py/wp-content/uploads/2019/12/YacyretaEnergiasMensualesDesdePuestaenMarcha.pdf</t>
        </is>
      </c>
      <c r="S727" s="6" t="inlineStr">
        <is>
          <t>EBY-MONTHLY-1994-2012</t>
        </is>
      </c>
      <c r="T727" s="6" t="inlineStr"/>
      <c r="U727" s="4" t="inlineStr">
        <is>
          <t>2026-09-10 23:00:00</t>
        </is>
      </c>
      <c r="V727" s="4" t="inlineStr">
        <is>
          <t>Energia mensual entregada al SADI.</t>
        </is>
      </c>
    </row>
    <row r="728">
      <c r="A728" s="6" t="inlineStr">
        <is>
          <t>R0000727</t>
        </is>
      </c>
      <c r="B728" s="6" t="inlineStr">
        <is>
          <t>2010-05-01</t>
        </is>
      </c>
      <c r="C728" s="6" t="inlineStr">
        <is>
          <t>2010-05-31</t>
        </is>
      </c>
      <c r="D728" s="6" t="inlineStr">
        <is>
          <t>month</t>
        </is>
      </c>
      <c r="E728" s="6" t="inlineStr">
        <is>
          <t>ENERGY_TO_PY</t>
        </is>
      </c>
      <c r="F728" s="6" t="inlineStr">
        <is>
          <t>YACYRETA</t>
        </is>
      </c>
      <c r="G728" s="6" t="inlineStr">
        <is>
          <t>YACYRETA</t>
        </is>
      </c>
      <c r="H728" s="6" t="inlineStr">
        <is>
          <t>SINP</t>
        </is>
      </c>
      <c r="I728" s="8" t="n">
        <v>182551</v>
      </c>
      <c r="J728" s="6" t="inlineStr">
        <is>
          <t>MWh</t>
        </is>
      </c>
      <c r="K728" s="8" t="n">
        <v>182551</v>
      </c>
      <c r="L728" s="6" t="inlineStr">
        <is>
          <t>MWh</t>
        </is>
      </c>
      <c r="M728" s="6" t="inlineStr">
        <is>
          <t>EBY</t>
        </is>
      </c>
      <c r="N728" s="6" t="inlineStr">
        <is>
          <t>OFFICIAL_PRIMARY</t>
        </is>
      </c>
      <c r="O728" s="9" t="inlineStr">
        <is>
          <t>OFFICIAL_AGGREGATE</t>
        </is>
      </c>
      <c r="P728" s="8" t="n">
        <v>1</v>
      </c>
      <c r="Q728" s="8" t="n">
        <v>50</v>
      </c>
      <c r="R728" s="7" t="inlineStr">
        <is>
          <t>https://www.eby.gov.py/wp-content/uploads/2019/12/YacyretaEnergiasMensualesDesdePuestaenMarcha.pdf</t>
        </is>
      </c>
      <c r="S728" s="6" t="inlineStr">
        <is>
          <t>EBY-MONTHLY-1994-2012</t>
        </is>
      </c>
      <c r="T728" s="6" t="inlineStr"/>
      <c r="U728" s="4" t="inlineStr">
        <is>
          <t>2026-09-10 23:00:00</t>
        </is>
      </c>
      <c r="V728" s="4" t="inlineStr">
        <is>
          <t>Energia mensual entregada al SINP.</t>
        </is>
      </c>
    </row>
    <row r="729">
      <c r="A729" s="6" t="inlineStr">
        <is>
          <t>R0000728</t>
        </is>
      </c>
      <c r="B729" s="6" t="inlineStr">
        <is>
          <t>2010-06-01</t>
        </is>
      </c>
      <c r="C729" s="6" t="inlineStr">
        <is>
          <t>2010-06-30</t>
        </is>
      </c>
      <c r="D729" s="6" t="inlineStr">
        <is>
          <t>month</t>
        </is>
      </c>
      <c r="E729" s="6" t="inlineStr">
        <is>
          <t>YACYRETA_NET_ENERGY</t>
        </is>
      </c>
      <c r="F729" s="6" t="inlineStr">
        <is>
          <t>YACYRETA</t>
        </is>
      </c>
      <c r="G729" s="6" t="inlineStr">
        <is>
          <t>YACYRETA</t>
        </is>
      </c>
      <c r="H729" s="6" t="inlineStr">
        <is>
          <t>TOTAL</t>
        </is>
      </c>
      <c r="I729" s="8" t="n">
        <v>1481551</v>
      </c>
      <c r="J729" s="6" t="inlineStr">
        <is>
          <t>MWh</t>
        </is>
      </c>
      <c r="K729" s="8" t="n">
        <v>1481551</v>
      </c>
      <c r="L729" s="6" t="inlineStr">
        <is>
          <t>MWh</t>
        </is>
      </c>
      <c r="M729" s="6" t="inlineStr">
        <is>
          <t>EBY</t>
        </is>
      </c>
      <c r="N729" s="6" t="inlineStr">
        <is>
          <t>OFFICIAL_PRIMARY</t>
        </is>
      </c>
      <c r="O729" s="9" t="inlineStr">
        <is>
          <t>OFFICIAL_AGGREGATE</t>
        </is>
      </c>
      <c r="P729" s="8" t="n">
        <v>1</v>
      </c>
      <c r="Q729" s="8" t="n">
        <v>50</v>
      </c>
      <c r="R729" s="7" t="inlineStr">
        <is>
          <t>https://www.eby.gov.py/wp-content/uploads/2019/12/YacyretaEnergiasMensualesDesdePuestaenMarcha.pdf</t>
        </is>
      </c>
      <c r="S729" s="6" t="inlineStr">
        <is>
          <t>EBY-MONTHLY-1994-2012</t>
        </is>
      </c>
      <c r="T729" s="6" t="inlineStr"/>
      <c r="U729" s="4" t="inlineStr">
        <is>
          <t>2026-09-10 23:00:00</t>
        </is>
      </c>
      <c r="V729" s="4" t="inlineStr">
        <is>
          <t>Energia mensual Yacyreta desde puesta en marcha.</t>
        </is>
      </c>
    </row>
    <row r="730">
      <c r="A730" s="6" t="inlineStr">
        <is>
          <t>R0000729</t>
        </is>
      </c>
      <c r="B730" s="6" t="inlineStr">
        <is>
          <t>2010-06-01</t>
        </is>
      </c>
      <c r="C730" s="6" t="inlineStr">
        <is>
          <t>2010-06-30</t>
        </is>
      </c>
      <c r="D730" s="6" t="inlineStr">
        <is>
          <t>month</t>
        </is>
      </c>
      <c r="E730" s="6" t="inlineStr">
        <is>
          <t>ENERGY_TO_ARGENTINA</t>
        </is>
      </c>
      <c r="F730" s="6" t="inlineStr">
        <is>
          <t>YACYRETA</t>
        </is>
      </c>
      <c r="G730" s="6" t="inlineStr">
        <is>
          <t>YACYRETA</t>
        </is>
      </c>
      <c r="H730" s="6" t="inlineStr">
        <is>
          <t>SADI</t>
        </is>
      </c>
      <c r="I730" s="8" t="n">
        <v>1323134</v>
      </c>
      <c r="J730" s="6" t="inlineStr">
        <is>
          <t>MWh</t>
        </is>
      </c>
      <c r="K730" s="8" t="n">
        <v>1323134</v>
      </c>
      <c r="L730" s="6" t="inlineStr">
        <is>
          <t>MWh</t>
        </is>
      </c>
      <c r="M730" s="6" t="inlineStr">
        <is>
          <t>EBY</t>
        </is>
      </c>
      <c r="N730" s="6" t="inlineStr">
        <is>
          <t>OFFICIAL_PRIMARY</t>
        </is>
      </c>
      <c r="O730" s="9" t="inlineStr">
        <is>
          <t>OFFICIAL_AGGREGATE</t>
        </is>
      </c>
      <c r="P730" s="8" t="n">
        <v>1</v>
      </c>
      <c r="Q730" s="8" t="n">
        <v>50</v>
      </c>
      <c r="R730" s="7" t="inlineStr">
        <is>
          <t>https://www.eby.gov.py/wp-content/uploads/2019/12/YacyretaEnergiasMensualesDesdePuestaenMarcha.pdf</t>
        </is>
      </c>
      <c r="S730" s="6" t="inlineStr">
        <is>
          <t>EBY-MONTHLY-1994-2012</t>
        </is>
      </c>
      <c r="T730" s="6" t="inlineStr"/>
      <c r="U730" s="4" t="inlineStr">
        <is>
          <t>2026-09-10 23:00:00</t>
        </is>
      </c>
      <c r="V730" s="4" t="inlineStr">
        <is>
          <t>Energia mensual entregada al SADI.</t>
        </is>
      </c>
    </row>
    <row r="731">
      <c r="A731" s="6" t="inlineStr">
        <is>
          <t>R0000730</t>
        </is>
      </c>
      <c r="B731" s="6" t="inlineStr">
        <is>
          <t>2010-06-01</t>
        </is>
      </c>
      <c r="C731" s="6" t="inlineStr">
        <is>
          <t>2010-06-30</t>
        </is>
      </c>
      <c r="D731" s="6" t="inlineStr">
        <is>
          <t>month</t>
        </is>
      </c>
      <c r="E731" s="6" t="inlineStr">
        <is>
          <t>ENERGY_TO_PY</t>
        </is>
      </c>
      <c r="F731" s="6" t="inlineStr">
        <is>
          <t>YACYRETA</t>
        </is>
      </c>
      <c r="G731" s="6" t="inlineStr">
        <is>
          <t>YACYRETA</t>
        </is>
      </c>
      <c r="H731" s="6" t="inlineStr">
        <is>
          <t>SINP</t>
        </is>
      </c>
      <c r="I731" s="8" t="n">
        <v>158417</v>
      </c>
      <c r="J731" s="6" t="inlineStr">
        <is>
          <t>MWh</t>
        </is>
      </c>
      <c r="K731" s="8" t="n">
        <v>158417</v>
      </c>
      <c r="L731" s="6" t="inlineStr">
        <is>
          <t>MWh</t>
        </is>
      </c>
      <c r="M731" s="6" t="inlineStr">
        <is>
          <t>EBY</t>
        </is>
      </c>
      <c r="N731" s="6" t="inlineStr">
        <is>
          <t>OFFICIAL_PRIMARY</t>
        </is>
      </c>
      <c r="O731" s="9" t="inlineStr">
        <is>
          <t>OFFICIAL_AGGREGATE</t>
        </is>
      </c>
      <c r="P731" s="8" t="n">
        <v>1</v>
      </c>
      <c r="Q731" s="8" t="n">
        <v>50</v>
      </c>
      <c r="R731" s="7" t="inlineStr">
        <is>
          <t>https://www.eby.gov.py/wp-content/uploads/2019/12/YacyretaEnergiasMensualesDesdePuestaenMarcha.pdf</t>
        </is>
      </c>
      <c r="S731" s="6" t="inlineStr">
        <is>
          <t>EBY-MONTHLY-1994-2012</t>
        </is>
      </c>
      <c r="T731" s="6" t="inlineStr"/>
      <c r="U731" s="4" t="inlineStr">
        <is>
          <t>2026-09-10 23:00:00</t>
        </is>
      </c>
      <c r="V731" s="4" t="inlineStr">
        <is>
          <t>Energia mensual entregada al SINP.</t>
        </is>
      </c>
    </row>
    <row r="732">
      <c r="A732" s="6" t="inlineStr">
        <is>
          <t>R0000731</t>
        </is>
      </c>
      <c r="B732" s="6" t="inlineStr">
        <is>
          <t>2010-07-01</t>
        </is>
      </c>
      <c r="C732" s="6" t="inlineStr">
        <is>
          <t>2010-07-31</t>
        </is>
      </c>
      <c r="D732" s="6" t="inlineStr">
        <is>
          <t>month</t>
        </is>
      </c>
      <c r="E732" s="6" t="inlineStr">
        <is>
          <t>YACYRETA_NET_ENERGY</t>
        </is>
      </c>
      <c r="F732" s="6" t="inlineStr">
        <is>
          <t>YACYRETA</t>
        </is>
      </c>
      <c r="G732" s="6" t="inlineStr">
        <is>
          <t>YACYRETA</t>
        </is>
      </c>
      <c r="H732" s="6" t="inlineStr">
        <is>
          <t>TOTAL</t>
        </is>
      </c>
      <c r="I732" s="8" t="n">
        <v>1530434</v>
      </c>
      <c r="J732" s="6" t="inlineStr">
        <is>
          <t>MWh</t>
        </is>
      </c>
      <c r="K732" s="8" t="n">
        <v>1530434</v>
      </c>
      <c r="L732" s="6" t="inlineStr">
        <is>
          <t>MWh</t>
        </is>
      </c>
      <c r="M732" s="6" t="inlineStr">
        <is>
          <t>EBY</t>
        </is>
      </c>
      <c r="N732" s="6" t="inlineStr">
        <is>
          <t>OFFICIAL_PRIMARY</t>
        </is>
      </c>
      <c r="O732" s="9" t="inlineStr">
        <is>
          <t>OFFICIAL_AGGREGATE</t>
        </is>
      </c>
      <c r="P732" s="8" t="n">
        <v>1</v>
      </c>
      <c r="Q732" s="8" t="n">
        <v>50</v>
      </c>
      <c r="R732" s="7" t="inlineStr">
        <is>
          <t>https://www.eby.gov.py/wp-content/uploads/2019/12/YacyretaEnergiasMensualesDesdePuestaenMarcha.pdf</t>
        </is>
      </c>
      <c r="S732" s="6" t="inlineStr">
        <is>
          <t>EBY-MONTHLY-1994-2012</t>
        </is>
      </c>
      <c r="T732" s="6" t="inlineStr"/>
      <c r="U732" s="4" t="inlineStr">
        <is>
          <t>2026-09-10 23:00:00</t>
        </is>
      </c>
      <c r="V732" s="4" t="inlineStr">
        <is>
          <t>Energia mensual Yacyreta desde puesta en marcha.</t>
        </is>
      </c>
    </row>
    <row r="733">
      <c r="A733" s="6" t="inlineStr">
        <is>
          <t>R0000732</t>
        </is>
      </c>
      <c r="B733" s="6" t="inlineStr">
        <is>
          <t>2010-07-01</t>
        </is>
      </c>
      <c r="C733" s="6" t="inlineStr">
        <is>
          <t>2010-07-31</t>
        </is>
      </c>
      <c r="D733" s="6" t="inlineStr">
        <is>
          <t>month</t>
        </is>
      </c>
      <c r="E733" s="6" t="inlineStr">
        <is>
          <t>ENERGY_TO_ARGENTINA</t>
        </is>
      </c>
      <c r="F733" s="6" t="inlineStr">
        <is>
          <t>YACYRETA</t>
        </is>
      </c>
      <c r="G733" s="6" t="inlineStr">
        <is>
          <t>YACYRETA</t>
        </is>
      </c>
      <c r="H733" s="6" t="inlineStr">
        <is>
          <t>SADI</t>
        </is>
      </c>
      <c r="I733" s="8" t="n">
        <v>1362830</v>
      </c>
      <c r="J733" s="6" t="inlineStr">
        <is>
          <t>MWh</t>
        </is>
      </c>
      <c r="K733" s="8" t="n">
        <v>1362830</v>
      </c>
      <c r="L733" s="6" t="inlineStr">
        <is>
          <t>MWh</t>
        </is>
      </c>
      <c r="M733" s="6" t="inlineStr">
        <is>
          <t>EBY</t>
        </is>
      </c>
      <c r="N733" s="6" t="inlineStr">
        <is>
          <t>OFFICIAL_PRIMARY</t>
        </is>
      </c>
      <c r="O733" s="9" t="inlineStr">
        <is>
          <t>OFFICIAL_AGGREGATE</t>
        </is>
      </c>
      <c r="P733" s="8" t="n">
        <v>1</v>
      </c>
      <c r="Q733" s="8" t="n">
        <v>50</v>
      </c>
      <c r="R733" s="7" t="inlineStr">
        <is>
          <t>https://www.eby.gov.py/wp-content/uploads/2019/12/YacyretaEnergiasMensualesDesdePuestaenMarcha.pdf</t>
        </is>
      </c>
      <c r="S733" s="6" t="inlineStr">
        <is>
          <t>EBY-MONTHLY-1994-2012</t>
        </is>
      </c>
      <c r="T733" s="6" t="inlineStr"/>
      <c r="U733" s="4" t="inlineStr">
        <is>
          <t>2026-09-10 23:00:00</t>
        </is>
      </c>
      <c r="V733" s="4" t="inlineStr">
        <is>
          <t>Energia mensual entregada al SADI.</t>
        </is>
      </c>
    </row>
    <row r="734">
      <c r="A734" s="6" t="inlineStr">
        <is>
          <t>R0000733</t>
        </is>
      </c>
      <c r="B734" s="6" t="inlineStr">
        <is>
          <t>2010-07-01</t>
        </is>
      </c>
      <c r="C734" s="6" t="inlineStr">
        <is>
          <t>2010-07-31</t>
        </is>
      </c>
      <c r="D734" s="6" t="inlineStr">
        <is>
          <t>month</t>
        </is>
      </c>
      <c r="E734" s="6" t="inlineStr">
        <is>
          <t>ENERGY_TO_PY</t>
        </is>
      </c>
      <c r="F734" s="6" t="inlineStr">
        <is>
          <t>YACYRETA</t>
        </is>
      </c>
      <c r="G734" s="6" t="inlineStr">
        <is>
          <t>YACYRETA</t>
        </is>
      </c>
      <c r="H734" s="6" t="inlineStr">
        <is>
          <t>SINP</t>
        </is>
      </c>
      <c r="I734" s="8" t="n">
        <v>167604</v>
      </c>
      <c r="J734" s="6" t="inlineStr">
        <is>
          <t>MWh</t>
        </is>
      </c>
      <c r="K734" s="8" t="n">
        <v>167604</v>
      </c>
      <c r="L734" s="6" t="inlineStr">
        <is>
          <t>MWh</t>
        </is>
      </c>
      <c r="M734" s="6" t="inlineStr">
        <is>
          <t>EBY</t>
        </is>
      </c>
      <c r="N734" s="6" t="inlineStr">
        <is>
          <t>OFFICIAL_PRIMARY</t>
        </is>
      </c>
      <c r="O734" s="9" t="inlineStr">
        <is>
          <t>OFFICIAL_AGGREGATE</t>
        </is>
      </c>
      <c r="P734" s="8" t="n">
        <v>1</v>
      </c>
      <c r="Q734" s="8" t="n">
        <v>50</v>
      </c>
      <c r="R734" s="7" t="inlineStr">
        <is>
          <t>https://www.eby.gov.py/wp-content/uploads/2019/12/YacyretaEnergiasMensualesDesdePuestaenMarcha.pdf</t>
        </is>
      </c>
      <c r="S734" s="6" t="inlineStr">
        <is>
          <t>EBY-MONTHLY-1994-2012</t>
        </is>
      </c>
      <c r="T734" s="6" t="inlineStr"/>
      <c r="U734" s="4" t="inlineStr">
        <is>
          <t>2026-09-10 23:00:00</t>
        </is>
      </c>
      <c r="V734" s="4" t="inlineStr">
        <is>
          <t>Energia mensual entregada al SINP.</t>
        </is>
      </c>
    </row>
    <row r="735">
      <c r="A735" s="6" t="inlineStr">
        <is>
          <t>R0000734</t>
        </is>
      </c>
      <c r="B735" s="6" t="inlineStr">
        <is>
          <t>2010-08-01</t>
        </is>
      </c>
      <c r="C735" s="6" t="inlineStr">
        <is>
          <t>2010-08-31</t>
        </is>
      </c>
      <c r="D735" s="6" t="inlineStr">
        <is>
          <t>month</t>
        </is>
      </c>
      <c r="E735" s="6" t="inlineStr">
        <is>
          <t>YACYRETA_NET_ENERGY</t>
        </is>
      </c>
      <c r="F735" s="6" t="inlineStr">
        <is>
          <t>YACYRETA</t>
        </is>
      </c>
      <c r="G735" s="6" t="inlineStr">
        <is>
          <t>YACYRETA</t>
        </is>
      </c>
      <c r="H735" s="6" t="inlineStr">
        <is>
          <t>TOTAL</t>
        </is>
      </c>
      <c r="I735" s="8" t="n">
        <v>1418559</v>
      </c>
      <c r="J735" s="6" t="inlineStr">
        <is>
          <t>MWh</t>
        </is>
      </c>
      <c r="K735" s="8" t="n">
        <v>1418559</v>
      </c>
      <c r="L735" s="6" t="inlineStr">
        <is>
          <t>MWh</t>
        </is>
      </c>
      <c r="M735" s="6" t="inlineStr">
        <is>
          <t>EBY</t>
        </is>
      </c>
      <c r="N735" s="6" t="inlineStr">
        <is>
          <t>OFFICIAL_PRIMARY</t>
        </is>
      </c>
      <c r="O735" s="9" t="inlineStr">
        <is>
          <t>OFFICIAL_AGGREGATE</t>
        </is>
      </c>
      <c r="P735" s="8" t="n">
        <v>1</v>
      </c>
      <c r="Q735" s="8" t="n">
        <v>50</v>
      </c>
      <c r="R735" s="7" t="inlineStr">
        <is>
          <t>https://www.eby.gov.py/wp-content/uploads/2019/12/YacyretaEnergiasMensualesDesdePuestaenMarcha.pdf</t>
        </is>
      </c>
      <c r="S735" s="6" t="inlineStr">
        <is>
          <t>EBY-MONTHLY-1994-2012</t>
        </is>
      </c>
      <c r="T735" s="6" t="inlineStr"/>
      <c r="U735" s="4" t="inlineStr">
        <is>
          <t>2026-09-10 23:00:00</t>
        </is>
      </c>
      <c r="V735" s="4" t="inlineStr">
        <is>
          <t>Energia mensual Yacyreta desde puesta en marcha.</t>
        </is>
      </c>
    </row>
    <row r="736">
      <c r="A736" s="6" t="inlineStr">
        <is>
          <t>R0000735</t>
        </is>
      </c>
      <c r="B736" s="6" t="inlineStr">
        <is>
          <t>2010-08-01</t>
        </is>
      </c>
      <c r="C736" s="6" t="inlineStr">
        <is>
          <t>2010-08-31</t>
        </is>
      </c>
      <c r="D736" s="6" t="inlineStr">
        <is>
          <t>month</t>
        </is>
      </c>
      <c r="E736" s="6" t="inlineStr">
        <is>
          <t>ENERGY_TO_ARGENTINA</t>
        </is>
      </c>
      <c r="F736" s="6" t="inlineStr">
        <is>
          <t>YACYRETA</t>
        </is>
      </c>
      <c r="G736" s="6" t="inlineStr">
        <is>
          <t>YACYRETA</t>
        </is>
      </c>
      <c r="H736" s="6" t="inlineStr">
        <is>
          <t>SADI</t>
        </is>
      </c>
      <c r="I736" s="8" t="n">
        <v>1253464</v>
      </c>
      <c r="J736" s="6" t="inlineStr">
        <is>
          <t>MWh</t>
        </is>
      </c>
      <c r="K736" s="8" t="n">
        <v>1253464</v>
      </c>
      <c r="L736" s="6" t="inlineStr">
        <is>
          <t>MWh</t>
        </is>
      </c>
      <c r="M736" s="6" t="inlineStr">
        <is>
          <t>EBY</t>
        </is>
      </c>
      <c r="N736" s="6" t="inlineStr">
        <is>
          <t>OFFICIAL_PRIMARY</t>
        </is>
      </c>
      <c r="O736" s="9" t="inlineStr">
        <is>
          <t>OFFICIAL_AGGREGATE</t>
        </is>
      </c>
      <c r="P736" s="8" t="n">
        <v>1</v>
      </c>
      <c r="Q736" s="8" t="n">
        <v>50</v>
      </c>
      <c r="R736" s="7" t="inlineStr">
        <is>
          <t>https://www.eby.gov.py/wp-content/uploads/2019/12/YacyretaEnergiasMensualesDesdePuestaenMarcha.pdf</t>
        </is>
      </c>
      <c r="S736" s="6" t="inlineStr">
        <is>
          <t>EBY-MONTHLY-1994-2012</t>
        </is>
      </c>
      <c r="T736" s="6" t="inlineStr"/>
      <c r="U736" s="4" t="inlineStr">
        <is>
          <t>2026-09-10 23:00:00</t>
        </is>
      </c>
      <c r="V736" s="4" t="inlineStr">
        <is>
          <t>Energia mensual entregada al SADI.</t>
        </is>
      </c>
    </row>
    <row r="737">
      <c r="A737" s="6" t="inlineStr">
        <is>
          <t>R0000736</t>
        </is>
      </c>
      <c r="B737" s="6" t="inlineStr">
        <is>
          <t>2010-08-01</t>
        </is>
      </c>
      <c r="C737" s="6" t="inlineStr">
        <is>
          <t>2010-08-31</t>
        </is>
      </c>
      <c r="D737" s="6" t="inlineStr">
        <is>
          <t>month</t>
        </is>
      </c>
      <c r="E737" s="6" t="inlineStr">
        <is>
          <t>ENERGY_TO_PY</t>
        </is>
      </c>
      <c r="F737" s="6" t="inlineStr">
        <is>
          <t>YACYRETA</t>
        </is>
      </c>
      <c r="G737" s="6" t="inlineStr">
        <is>
          <t>YACYRETA</t>
        </is>
      </c>
      <c r="H737" s="6" t="inlineStr">
        <is>
          <t>SINP</t>
        </is>
      </c>
      <c r="I737" s="8" t="n">
        <v>165095</v>
      </c>
      <c r="J737" s="6" t="inlineStr">
        <is>
          <t>MWh</t>
        </is>
      </c>
      <c r="K737" s="8" t="n">
        <v>165095</v>
      </c>
      <c r="L737" s="6" t="inlineStr">
        <is>
          <t>MWh</t>
        </is>
      </c>
      <c r="M737" s="6" t="inlineStr">
        <is>
          <t>EBY</t>
        </is>
      </c>
      <c r="N737" s="6" t="inlineStr">
        <is>
          <t>OFFICIAL_PRIMARY</t>
        </is>
      </c>
      <c r="O737" s="9" t="inlineStr">
        <is>
          <t>OFFICIAL_AGGREGATE</t>
        </is>
      </c>
      <c r="P737" s="8" t="n">
        <v>1</v>
      </c>
      <c r="Q737" s="8" t="n">
        <v>50</v>
      </c>
      <c r="R737" s="7" t="inlineStr">
        <is>
          <t>https://www.eby.gov.py/wp-content/uploads/2019/12/YacyretaEnergiasMensualesDesdePuestaenMarcha.pdf</t>
        </is>
      </c>
      <c r="S737" s="6" t="inlineStr">
        <is>
          <t>EBY-MONTHLY-1994-2012</t>
        </is>
      </c>
      <c r="T737" s="6" t="inlineStr"/>
      <c r="U737" s="4" t="inlineStr">
        <is>
          <t>2026-09-10 23:00:00</t>
        </is>
      </c>
      <c r="V737" s="4" t="inlineStr">
        <is>
          <t>Energia mensual entregada al SINP.</t>
        </is>
      </c>
    </row>
    <row r="738">
      <c r="A738" s="6" t="inlineStr">
        <is>
          <t>R0000737</t>
        </is>
      </c>
      <c r="B738" s="6" t="inlineStr">
        <is>
          <t>2010-09-01</t>
        </is>
      </c>
      <c r="C738" s="6" t="inlineStr">
        <is>
          <t>2010-09-30</t>
        </is>
      </c>
      <c r="D738" s="6" t="inlineStr">
        <is>
          <t>month</t>
        </is>
      </c>
      <c r="E738" s="6" t="inlineStr">
        <is>
          <t>YACYRETA_NET_ENERGY</t>
        </is>
      </c>
      <c r="F738" s="6" t="inlineStr">
        <is>
          <t>YACYRETA</t>
        </is>
      </c>
      <c r="G738" s="6" t="inlineStr">
        <is>
          <t>YACYRETA</t>
        </is>
      </c>
      <c r="H738" s="6" t="inlineStr">
        <is>
          <t>TOTAL</t>
        </is>
      </c>
      <c r="I738" s="8" t="n">
        <v>1346356</v>
      </c>
      <c r="J738" s="6" t="inlineStr">
        <is>
          <t>MWh</t>
        </is>
      </c>
      <c r="K738" s="8" t="n">
        <v>1346356</v>
      </c>
      <c r="L738" s="6" t="inlineStr">
        <is>
          <t>MWh</t>
        </is>
      </c>
      <c r="M738" s="6" t="inlineStr">
        <is>
          <t>EBY</t>
        </is>
      </c>
      <c r="N738" s="6" t="inlineStr">
        <is>
          <t>OFFICIAL_PRIMARY</t>
        </is>
      </c>
      <c r="O738" s="9" t="inlineStr">
        <is>
          <t>OFFICIAL_AGGREGATE</t>
        </is>
      </c>
      <c r="P738" s="8" t="n">
        <v>1</v>
      </c>
      <c r="Q738" s="8" t="n">
        <v>50</v>
      </c>
      <c r="R738" s="7" t="inlineStr">
        <is>
          <t>https://www.eby.gov.py/wp-content/uploads/2019/12/YacyretaEnergiasMensualesDesdePuestaenMarcha.pdf</t>
        </is>
      </c>
      <c r="S738" s="6" t="inlineStr">
        <is>
          <t>EBY-MONTHLY-1994-2012</t>
        </is>
      </c>
      <c r="T738" s="6" t="inlineStr"/>
      <c r="U738" s="4" t="inlineStr">
        <is>
          <t>2026-09-10 23:00:00</t>
        </is>
      </c>
      <c r="V738" s="4" t="inlineStr">
        <is>
          <t>Energia mensual Yacyreta desde puesta en marcha.</t>
        </is>
      </c>
    </row>
    <row r="739">
      <c r="A739" s="6" t="inlineStr">
        <is>
          <t>R0000738</t>
        </is>
      </c>
      <c r="B739" s="6" t="inlineStr">
        <is>
          <t>2010-09-01</t>
        </is>
      </c>
      <c r="C739" s="6" t="inlineStr">
        <is>
          <t>2010-09-30</t>
        </is>
      </c>
      <c r="D739" s="6" t="inlineStr">
        <is>
          <t>month</t>
        </is>
      </c>
      <c r="E739" s="6" t="inlineStr">
        <is>
          <t>ENERGY_TO_ARGENTINA</t>
        </is>
      </c>
      <c r="F739" s="6" t="inlineStr">
        <is>
          <t>YACYRETA</t>
        </is>
      </c>
      <c r="G739" s="6" t="inlineStr">
        <is>
          <t>YACYRETA</t>
        </is>
      </c>
      <c r="H739" s="6" t="inlineStr">
        <is>
          <t>SADI</t>
        </is>
      </c>
      <c r="I739" s="8" t="n">
        <v>1178654</v>
      </c>
      <c r="J739" s="6" t="inlineStr">
        <is>
          <t>MWh</t>
        </is>
      </c>
      <c r="K739" s="8" t="n">
        <v>1178654</v>
      </c>
      <c r="L739" s="6" t="inlineStr">
        <is>
          <t>MWh</t>
        </is>
      </c>
      <c r="M739" s="6" t="inlineStr">
        <is>
          <t>EBY</t>
        </is>
      </c>
      <c r="N739" s="6" t="inlineStr">
        <is>
          <t>OFFICIAL_PRIMARY</t>
        </is>
      </c>
      <c r="O739" s="9" t="inlineStr">
        <is>
          <t>OFFICIAL_AGGREGATE</t>
        </is>
      </c>
      <c r="P739" s="8" t="n">
        <v>1</v>
      </c>
      <c r="Q739" s="8" t="n">
        <v>50</v>
      </c>
      <c r="R739" s="7" t="inlineStr">
        <is>
          <t>https://www.eby.gov.py/wp-content/uploads/2019/12/YacyretaEnergiasMensualesDesdePuestaenMarcha.pdf</t>
        </is>
      </c>
      <c r="S739" s="6" t="inlineStr">
        <is>
          <t>EBY-MONTHLY-1994-2012</t>
        </is>
      </c>
      <c r="T739" s="6" t="inlineStr"/>
      <c r="U739" s="4" t="inlineStr">
        <is>
          <t>2026-09-10 23:00:00</t>
        </is>
      </c>
      <c r="V739" s="4" t="inlineStr">
        <is>
          <t>Energia mensual entregada al SADI.</t>
        </is>
      </c>
    </row>
    <row r="740">
      <c r="A740" s="6" t="inlineStr">
        <is>
          <t>R0000739</t>
        </is>
      </c>
      <c r="B740" s="6" t="inlineStr">
        <is>
          <t>2010-09-01</t>
        </is>
      </c>
      <c r="C740" s="6" t="inlineStr">
        <is>
          <t>2010-09-30</t>
        </is>
      </c>
      <c r="D740" s="6" t="inlineStr">
        <is>
          <t>month</t>
        </is>
      </c>
      <c r="E740" s="6" t="inlineStr">
        <is>
          <t>ENERGY_TO_PY</t>
        </is>
      </c>
      <c r="F740" s="6" t="inlineStr">
        <is>
          <t>YACYRETA</t>
        </is>
      </c>
      <c r="G740" s="6" t="inlineStr">
        <is>
          <t>YACYRETA</t>
        </is>
      </c>
      <c r="H740" s="6" t="inlineStr">
        <is>
          <t>SINP</t>
        </is>
      </c>
      <c r="I740" s="8" t="n">
        <v>167702</v>
      </c>
      <c r="J740" s="6" t="inlineStr">
        <is>
          <t>MWh</t>
        </is>
      </c>
      <c r="K740" s="8" t="n">
        <v>167702</v>
      </c>
      <c r="L740" s="6" t="inlineStr">
        <is>
          <t>MWh</t>
        </is>
      </c>
      <c r="M740" s="6" t="inlineStr">
        <is>
          <t>EBY</t>
        </is>
      </c>
      <c r="N740" s="6" t="inlineStr">
        <is>
          <t>OFFICIAL_PRIMARY</t>
        </is>
      </c>
      <c r="O740" s="9" t="inlineStr">
        <is>
          <t>OFFICIAL_AGGREGATE</t>
        </is>
      </c>
      <c r="P740" s="8" t="n">
        <v>1</v>
      </c>
      <c r="Q740" s="8" t="n">
        <v>50</v>
      </c>
      <c r="R740" s="7" t="inlineStr">
        <is>
          <t>https://www.eby.gov.py/wp-content/uploads/2019/12/YacyretaEnergiasMensualesDesdePuestaenMarcha.pdf</t>
        </is>
      </c>
      <c r="S740" s="6" t="inlineStr">
        <is>
          <t>EBY-MONTHLY-1994-2012</t>
        </is>
      </c>
      <c r="T740" s="6" t="inlineStr"/>
      <c r="U740" s="4" t="inlineStr">
        <is>
          <t>2026-09-10 23:00:00</t>
        </is>
      </c>
      <c r="V740" s="4" t="inlineStr">
        <is>
          <t>Energia mensual entregada al SINP.</t>
        </is>
      </c>
    </row>
    <row r="741">
      <c r="A741" s="6" t="inlineStr">
        <is>
          <t>R0000740</t>
        </is>
      </c>
      <c r="B741" s="6" t="inlineStr">
        <is>
          <t>2010-10-01</t>
        </is>
      </c>
      <c r="C741" s="6" t="inlineStr">
        <is>
          <t>2010-10-31</t>
        </is>
      </c>
      <c r="D741" s="6" t="inlineStr">
        <is>
          <t>month</t>
        </is>
      </c>
      <c r="E741" s="6" t="inlineStr">
        <is>
          <t>YACYRETA_NET_ENERGY</t>
        </is>
      </c>
      <c r="F741" s="6" t="inlineStr">
        <is>
          <t>YACYRETA</t>
        </is>
      </c>
      <c r="G741" s="6" t="inlineStr">
        <is>
          <t>YACYRETA</t>
        </is>
      </c>
      <c r="H741" s="6" t="inlineStr">
        <is>
          <t>TOTAL</t>
        </is>
      </c>
      <c r="I741" s="8" t="n">
        <v>1621476</v>
      </c>
      <c r="J741" s="6" t="inlineStr">
        <is>
          <t>MWh</t>
        </is>
      </c>
      <c r="K741" s="8" t="n">
        <v>1621476</v>
      </c>
      <c r="L741" s="6" t="inlineStr">
        <is>
          <t>MWh</t>
        </is>
      </c>
      <c r="M741" s="6" t="inlineStr">
        <is>
          <t>EBY</t>
        </is>
      </c>
      <c r="N741" s="6" t="inlineStr">
        <is>
          <t>OFFICIAL_PRIMARY</t>
        </is>
      </c>
      <c r="O741" s="9" t="inlineStr">
        <is>
          <t>OFFICIAL_AGGREGATE</t>
        </is>
      </c>
      <c r="P741" s="8" t="n">
        <v>1</v>
      </c>
      <c r="Q741" s="8" t="n">
        <v>50</v>
      </c>
      <c r="R741" s="7" t="inlineStr">
        <is>
          <t>https://www.eby.gov.py/wp-content/uploads/2019/12/YacyretaEnergiasMensualesDesdePuestaenMarcha.pdf</t>
        </is>
      </c>
      <c r="S741" s="6" t="inlineStr">
        <is>
          <t>EBY-MONTHLY-1994-2012</t>
        </is>
      </c>
      <c r="T741" s="6" t="inlineStr"/>
      <c r="U741" s="4" t="inlineStr">
        <is>
          <t>2026-09-10 23:00:00</t>
        </is>
      </c>
      <c r="V741" s="4" t="inlineStr">
        <is>
          <t>Energia mensual Yacyreta desde puesta en marcha.</t>
        </is>
      </c>
    </row>
    <row r="742">
      <c r="A742" s="6" t="inlineStr">
        <is>
          <t>R0000741</t>
        </is>
      </c>
      <c r="B742" s="6" t="inlineStr">
        <is>
          <t>2010-10-01</t>
        </is>
      </c>
      <c r="C742" s="6" t="inlineStr">
        <is>
          <t>2010-10-31</t>
        </is>
      </c>
      <c r="D742" s="6" t="inlineStr">
        <is>
          <t>month</t>
        </is>
      </c>
      <c r="E742" s="6" t="inlineStr">
        <is>
          <t>ENERGY_TO_ARGENTINA</t>
        </is>
      </c>
      <c r="F742" s="6" t="inlineStr">
        <is>
          <t>YACYRETA</t>
        </is>
      </c>
      <c r="G742" s="6" t="inlineStr">
        <is>
          <t>YACYRETA</t>
        </is>
      </c>
      <c r="H742" s="6" t="inlineStr">
        <is>
          <t>SADI</t>
        </is>
      </c>
      <c r="I742" s="8" t="n">
        <v>1461716</v>
      </c>
      <c r="J742" s="6" t="inlineStr">
        <is>
          <t>MWh</t>
        </is>
      </c>
      <c r="K742" s="8" t="n">
        <v>1461716</v>
      </c>
      <c r="L742" s="6" t="inlineStr">
        <is>
          <t>MWh</t>
        </is>
      </c>
      <c r="M742" s="6" t="inlineStr">
        <is>
          <t>EBY</t>
        </is>
      </c>
      <c r="N742" s="6" t="inlineStr">
        <is>
          <t>OFFICIAL_PRIMARY</t>
        </is>
      </c>
      <c r="O742" s="9" t="inlineStr">
        <is>
          <t>OFFICIAL_AGGREGATE</t>
        </is>
      </c>
      <c r="P742" s="8" t="n">
        <v>1</v>
      </c>
      <c r="Q742" s="8" t="n">
        <v>50</v>
      </c>
      <c r="R742" s="7" t="inlineStr">
        <is>
          <t>https://www.eby.gov.py/wp-content/uploads/2019/12/YacyretaEnergiasMensualesDesdePuestaenMarcha.pdf</t>
        </is>
      </c>
      <c r="S742" s="6" t="inlineStr">
        <is>
          <t>EBY-MONTHLY-1994-2012</t>
        </is>
      </c>
      <c r="T742" s="6" t="inlineStr"/>
      <c r="U742" s="4" t="inlineStr">
        <is>
          <t>2026-09-10 23:00:00</t>
        </is>
      </c>
      <c r="V742" s="4" t="inlineStr">
        <is>
          <t>Energia mensual entregada al SADI.</t>
        </is>
      </c>
    </row>
    <row r="743">
      <c r="A743" s="6" t="inlineStr">
        <is>
          <t>R0000742</t>
        </is>
      </c>
      <c r="B743" s="6" t="inlineStr">
        <is>
          <t>2010-10-01</t>
        </is>
      </c>
      <c r="C743" s="6" t="inlineStr">
        <is>
          <t>2010-10-31</t>
        </is>
      </c>
      <c r="D743" s="6" t="inlineStr">
        <is>
          <t>month</t>
        </is>
      </c>
      <c r="E743" s="6" t="inlineStr">
        <is>
          <t>ENERGY_TO_PY</t>
        </is>
      </c>
      <c r="F743" s="6" t="inlineStr">
        <is>
          <t>YACYRETA</t>
        </is>
      </c>
      <c r="G743" s="6" t="inlineStr">
        <is>
          <t>YACYRETA</t>
        </is>
      </c>
      <c r="H743" s="6" t="inlineStr">
        <is>
          <t>SINP</t>
        </is>
      </c>
      <c r="I743" s="8" t="n">
        <v>159760</v>
      </c>
      <c r="J743" s="6" t="inlineStr">
        <is>
          <t>MWh</t>
        </is>
      </c>
      <c r="K743" s="8" t="n">
        <v>159760</v>
      </c>
      <c r="L743" s="6" t="inlineStr">
        <is>
          <t>MWh</t>
        </is>
      </c>
      <c r="M743" s="6" t="inlineStr">
        <is>
          <t>EBY</t>
        </is>
      </c>
      <c r="N743" s="6" t="inlineStr">
        <is>
          <t>OFFICIAL_PRIMARY</t>
        </is>
      </c>
      <c r="O743" s="9" t="inlineStr">
        <is>
          <t>OFFICIAL_AGGREGATE</t>
        </is>
      </c>
      <c r="P743" s="8" t="n">
        <v>1</v>
      </c>
      <c r="Q743" s="8" t="n">
        <v>50</v>
      </c>
      <c r="R743" s="7" t="inlineStr">
        <is>
          <t>https://www.eby.gov.py/wp-content/uploads/2019/12/YacyretaEnergiasMensualesDesdePuestaenMarcha.pdf</t>
        </is>
      </c>
      <c r="S743" s="6" t="inlineStr">
        <is>
          <t>EBY-MONTHLY-1994-2012</t>
        </is>
      </c>
      <c r="T743" s="6" t="inlineStr"/>
      <c r="U743" s="4" t="inlineStr">
        <is>
          <t>2026-09-10 23:00:00</t>
        </is>
      </c>
      <c r="V743" s="4" t="inlineStr">
        <is>
          <t>Energia mensual entregada al SINP.</t>
        </is>
      </c>
    </row>
    <row r="744">
      <c r="A744" s="6" t="inlineStr">
        <is>
          <t>R0000743</t>
        </is>
      </c>
      <c r="B744" s="6" t="inlineStr">
        <is>
          <t>2010-11-01</t>
        </is>
      </c>
      <c r="C744" s="6" t="inlineStr">
        <is>
          <t>2010-11-30</t>
        </is>
      </c>
      <c r="D744" s="6" t="inlineStr">
        <is>
          <t>month</t>
        </is>
      </c>
      <c r="E744" s="6" t="inlineStr">
        <is>
          <t>YACYRETA_NET_ENERGY</t>
        </is>
      </c>
      <c r="F744" s="6" t="inlineStr">
        <is>
          <t>YACYRETA</t>
        </is>
      </c>
      <c r="G744" s="6" t="inlineStr">
        <is>
          <t>YACYRETA</t>
        </is>
      </c>
      <c r="H744" s="6" t="inlineStr">
        <is>
          <t>TOTAL</t>
        </is>
      </c>
      <c r="I744" s="8" t="n">
        <v>1530280</v>
      </c>
      <c r="J744" s="6" t="inlineStr">
        <is>
          <t>MWh</t>
        </is>
      </c>
      <c r="K744" s="8" t="n">
        <v>1530280</v>
      </c>
      <c r="L744" s="6" t="inlineStr">
        <is>
          <t>MWh</t>
        </is>
      </c>
      <c r="M744" s="6" t="inlineStr">
        <is>
          <t>EBY</t>
        </is>
      </c>
      <c r="N744" s="6" t="inlineStr">
        <is>
          <t>OFFICIAL_PRIMARY</t>
        </is>
      </c>
      <c r="O744" s="9" t="inlineStr">
        <is>
          <t>OFFICIAL_AGGREGATE</t>
        </is>
      </c>
      <c r="P744" s="8" t="n">
        <v>1</v>
      </c>
      <c r="Q744" s="8" t="n">
        <v>50</v>
      </c>
      <c r="R744" s="7" t="inlineStr">
        <is>
          <t>https://www.eby.gov.py/wp-content/uploads/2019/12/YacyretaEnergiasMensualesDesdePuestaenMarcha.pdf</t>
        </is>
      </c>
      <c r="S744" s="6" t="inlineStr">
        <is>
          <t>EBY-MONTHLY-1994-2012</t>
        </is>
      </c>
      <c r="T744" s="6" t="inlineStr"/>
      <c r="U744" s="4" t="inlineStr">
        <is>
          <t>2026-09-10 23:00:00</t>
        </is>
      </c>
      <c r="V744" s="4" t="inlineStr">
        <is>
          <t>Energia mensual Yacyreta desde puesta en marcha.</t>
        </is>
      </c>
    </row>
    <row r="745">
      <c r="A745" s="6" t="inlineStr">
        <is>
          <t>R0000744</t>
        </is>
      </c>
      <c r="B745" s="6" t="inlineStr">
        <is>
          <t>2010-11-01</t>
        </is>
      </c>
      <c r="C745" s="6" t="inlineStr">
        <is>
          <t>2010-11-30</t>
        </is>
      </c>
      <c r="D745" s="6" t="inlineStr">
        <is>
          <t>month</t>
        </is>
      </c>
      <c r="E745" s="6" t="inlineStr">
        <is>
          <t>ENERGY_TO_ARGENTINA</t>
        </is>
      </c>
      <c r="F745" s="6" t="inlineStr">
        <is>
          <t>YACYRETA</t>
        </is>
      </c>
      <c r="G745" s="6" t="inlineStr">
        <is>
          <t>YACYRETA</t>
        </is>
      </c>
      <c r="H745" s="6" t="inlineStr">
        <is>
          <t>SADI</t>
        </is>
      </c>
      <c r="I745" s="8" t="n">
        <v>1351964</v>
      </c>
      <c r="J745" s="6" t="inlineStr">
        <is>
          <t>MWh</t>
        </is>
      </c>
      <c r="K745" s="8" t="n">
        <v>1351964</v>
      </c>
      <c r="L745" s="6" t="inlineStr">
        <is>
          <t>MWh</t>
        </is>
      </c>
      <c r="M745" s="6" t="inlineStr">
        <is>
          <t>EBY</t>
        </is>
      </c>
      <c r="N745" s="6" t="inlineStr">
        <is>
          <t>OFFICIAL_PRIMARY</t>
        </is>
      </c>
      <c r="O745" s="9" t="inlineStr">
        <is>
          <t>OFFICIAL_AGGREGATE</t>
        </is>
      </c>
      <c r="P745" s="8" t="n">
        <v>1</v>
      </c>
      <c r="Q745" s="8" t="n">
        <v>50</v>
      </c>
      <c r="R745" s="7" t="inlineStr">
        <is>
          <t>https://www.eby.gov.py/wp-content/uploads/2019/12/YacyretaEnergiasMensualesDesdePuestaenMarcha.pdf</t>
        </is>
      </c>
      <c r="S745" s="6" t="inlineStr">
        <is>
          <t>EBY-MONTHLY-1994-2012</t>
        </is>
      </c>
      <c r="T745" s="6" t="inlineStr"/>
      <c r="U745" s="4" t="inlineStr">
        <is>
          <t>2026-09-10 23:00:00</t>
        </is>
      </c>
      <c r="V745" s="4" t="inlineStr">
        <is>
          <t>Energia mensual entregada al SADI.</t>
        </is>
      </c>
    </row>
    <row r="746">
      <c r="A746" s="6" t="inlineStr">
        <is>
          <t>R0000745</t>
        </is>
      </c>
      <c r="B746" s="6" t="inlineStr">
        <is>
          <t>2010-11-01</t>
        </is>
      </c>
      <c r="C746" s="6" t="inlineStr">
        <is>
          <t>2010-11-30</t>
        </is>
      </c>
      <c r="D746" s="6" t="inlineStr">
        <is>
          <t>month</t>
        </is>
      </c>
      <c r="E746" s="6" t="inlineStr">
        <is>
          <t>ENERGY_TO_PY</t>
        </is>
      </c>
      <c r="F746" s="6" t="inlineStr">
        <is>
          <t>YACYRETA</t>
        </is>
      </c>
      <c r="G746" s="6" t="inlineStr">
        <is>
          <t>YACYRETA</t>
        </is>
      </c>
      <c r="H746" s="6" t="inlineStr">
        <is>
          <t>SINP</t>
        </is>
      </c>
      <c r="I746" s="8" t="n">
        <v>178316</v>
      </c>
      <c r="J746" s="6" t="inlineStr">
        <is>
          <t>MWh</t>
        </is>
      </c>
      <c r="K746" s="8" t="n">
        <v>178316</v>
      </c>
      <c r="L746" s="6" t="inlineStr">
        <is>
          <t>MWh</t>
        </is>
      </c>
      <c r="M746" s="6" t="inlineStr">
        <is>
          <t>EBY</t>
        </is>
      </c>
      <c r="N746" s="6" t="inlineStr">
        <is>
          <t>OFFICIAL_PRIMARY</t>
        </is>
      </c>
      <c r="O746" s="9" t="inlineStr">
        <is>
          <t>OFFICIAL_AGGREGATE</t>
        </is>
      </c>
      <c r="P746" s="8" t="n">
        <v>1</v>
      </c>
      <c r="Q746" s="8" t="n">
        <v>50</v>
      </c>
      <c r="R746" s="7" t="inlineStr">
        <is>
          <t>https://www.eby.gov.py/wp-content/uploads/2019/12/YacyretaEnergiasMensualesDesdePuestaenMarcha.pdf</t>
        </is>
      </c>
      <c r="S746" s="6" t="inlineStr">
        <is>
          <t>EBY-MONTHLY-1994-2012</t>
        </is>
      </c>
      <c r="T746" s="6" t="inlineStr"/>
      <c r="U746" s="4" t="inlineStr">
        <is>
          <t>2026-09-10 23:00:00</t>
        </is>
      </c>
      <c r="V746" s="4" t="inlineStr">
        <is>
          <t>Energia mensual entregada al SINP.</t>
        </is>
      </c>
    </row>
    <row r="747">
      <c r="A747" s="6" t="inlineStr">
        <is>
          <t>R0000746</t>
        </is>
      </c>
      <c r="B747" s="6" t="inlineStr">
        <is>
          <t>2010-12-01</t>
        </is>
      </c>
      <c r="C747" s="6" t="inlineStr">
        <is>
          <t>2010-12-31</t>
        </is>
      </c>
      <c r="D747" s="6" t="inlineStr">
        <is>
          <t>month</t>
        </is>
      </c>
      <c r="E747" s="6" t="inlineStr">
        <is>
          <t>YACYRETA_NET_ENERGY</t>
        </is>
      </c>
      <c r="F747" s="6" t="inlineStr">
        <is>
          <t>YACYRETA</t>
        </is>
      </c>
      <c r="G747" s="6" t="inlineStr">
        <is>
          <t>YACYRETA</t>
        </is>
      </c>
      <c r="H747" s="6" t="inlineStr">
        <is>
          <t>TOTAL</t>
        </is>
      </c>
      <c r="I747" s="8" t="n">
        <v>1820630</v>
      </c>
      <c r="J747" s="6" t="inlineStr">
        <is>
          <t>MWh</t>
        </is>
      </c>
      <c r="K747" s="8" t="n">
        <v>1820630</v>
      </c>
      <c r="L747" s="6" t="inlineStr">
        <is>
          <t>MWh</t>
        </is>
      </c>
      <c r="M747" s="6" t="inlineStr">
        <is>
          <t>EBY</t>
        </is>
      </c>
      <c r="N747" s="6" t="inlineStr">
        <is>
          <t>OFFICIAL_PRIMARY</t>
        </is>
      </c>
      <c r="O747" s="9" t="inlineStr">
        <is>
          <t>OFFICIAL_AGGREGATE</t>
        </is>
      </c>
      <c r="P747" s="8" t="n">
        <v>1</v>
      </c>
      <c r="Q747" s="8" t="n">
        <v>50</v>
      </c>
      <c r="R747" s="7" t="inlineStr">
        <is>
          <t>https://www.eby.gov.py/wp-content/uploads/2019/12/YacyretaEnergiasMensualesDesdePuestaenMarcha.pdf</t>
        </is>
      </c>
      <c r="S747" s="6" t="inlineStr">
        <is>
          <t>EBY-MONTHLY-1994-2012</t>
        </is>
      </c>
      <c r="T747" s="6" t="inlineStr"/>
      <c r="U747" s="4" t="inlineStr">
        <is>
          <t>2026-09-10 23:00:00</t>
        </is>
      </c>
      <c r="V747" s="4" t="inlineStr">
        <is>
          <t>Energia mensual Yacyreta desde puesta en marcha.</t>
        </is>
      </c>
    </row>
    <row r="748">
      <c r="A748" s="6" t="inlineStr">
        <is>
          <t>R0000747</t>
        </is>
      </c>
      <c r="B748" s="6" t="inlineStr">
        <is>
          <t>2010-12-01</t>
        </is>
      </c>
      <c r="C748" s="6" t="inlineStr">
        <is>
          <t>2010-12-31</t>
        </is>
      </c>
      <c r="D748" s="6" t="inlineStr">
        <is>
          <t>month</t>
        </is>
      </c>
      <c r="E748" s="6" t="inlineStr">
        <is>
          <t>ENERGY_TO_ARGENTINA</t>
        </is>
      </c>
      <c r="F748" s="6" t="inlineStr">
        <is>
          <t>YACYRETA</t>
        </is>
      </c>
      <c r="G748" s="6" t="inlineStr">
        <is>
          <t>YACYRETA</t>
        </is>
      </c>
      <c r="H748" s="6" t="inlineStr">
        <is>
          <t>SADI</t>
        </is>
      </c>
      <c r="I748" s="8" t="n">
        <v>1613854</v>
      </c>
      <c r="J748" s="6" t="inlineStr">
        <is>
          <t>MWh</t>
        </is>
      </c>
      <c r="K748" s="8" t="n">
        <v>1613854</v>
      </c>
      <c r="L748" s="6" t="inlineStr">
        <is>
          <t>MWh</t>
        </is>
      </c>
      <c r="M748" s="6" t="inlineStr">
        <is>
          <t>EBY</t>
        </is>
      </c>
      <c r="N748" s="6" t="inlineStr">
        <is>
          <t>OFFICIAL_PRIMARY</t>
        </is>
      </c>
      <c r="O748" s="9" t="inlineStr">
        <is>
          <t>OFFICIAL_AGGREGATE</t>
        </is>
      </c>
      <c r="P748" s="8" t="n">
        <v>1</v>
      </c>
      <c r="Q748" s="8" t="n">
        <v>50</v>
      </c>
      <c r="R748" s="7" t="inlineStr">
        <is>
          <t>https://www.eby.gov.py/wp-content/uploads/2019/12/YacyretaEnergiasMensualesDesdePuestaenMarcha.pdf</t>
        </is>
      </c>
      <c r="S748" s="6" t="inlineStr">
        <is>
          <t>EBY-MONTHLY-1994-2012</t>
        </is>
      </c>
      <c r="T748" s="6" t="inlineStr"/>
      <c r="U748" s="4" t="inlineStr">
        <is>
          <t>2026-09-10 23:00:00</t>
        </is>
      </c>
      <c r="V748" s="4" t="inlineStr">
        <is>
          <t>Energia mensual entregada al SADI.</t>
        </is>
      </c>
    </row>
    <row r="749">
      <c r="A749" s="6" t="inlineStr">
        <is>
          <t>R0000748</t>
        </is>
      </c>
      <c r="B749" s="6" t="inlineStr">
        <is>
          <t>2010-12-01</t>
        </is>
      </c>
      <c r="C749" s="6" t="inlineStr">
        <is>
          <t>2010-12-31</t>
        </is>
      </c>
      <c r="D749" s="6" t="inlineStr">
        <is>
          <t>month</t>
        </is>
      </c>
      <c r="E749" s="6" t="inlineStr">
        <is>
          <t>ENERGY_TO_PY</t>
        </is>
      </c>
      <c r="F749" s="6" t="inlineStr">
        <is>
          <t>YACYRETA</t>
        </is>
      </c>
      <c r="G749" s="6" t="inlineStr">
        <is>
          <t>YACYRETA</t>
        </is>
      </c>
      <c r="H749" s="6" t="inlineStr">
        <is>
          <t>SINP</t>
        </is>
      </c>
      <c r="I749" s="8" t="n">
        <v>206776</v>
      </c>
      <c r="J749" s="6" t="inlineStr">
        <is>
          <t>MWh</t>
        </is>
      </c>
      <c r="K749" s="8" t="n">
        <v>206776</v>
      </c>
      <c r="L749" s="6" t="inlineStr">
        <is>
          <t>MWh</t>
        </is>
      </c>
      <c r="M749" s="6" t="inlineStr">
        <is>
          <t>EBY</t>
        </is>
      </c>
      <c r="N749" s="6" t="inlineStr">
        <is>
          <t>OFFICIAL_PRIMARY</t>
        </is>
      </c>
      <c r="O749" s="9" t="inlineStr">
        <is>
          <t>OFFICIAL_AGGREGATE</t>
        </is>
      </c>
      <c r="P749" s="8" t="n">
        <v>1</v>
      </c>
      <c r="Q749" s="8" t="n">
        <v>50</v>
      </c>
      <c r="R749" s="7" t="inlineStr">
        <is>
          <t>https://www.eby.gov.py/wp-content/uploads/2019/12/YacyretaEnergiasMensualesDesdePuestaenMarcha.pdf</t>
        </is>
      </c>
      <c r="S749" s="6" t="inlineStr">
        <is>
          <t>EBY-MONTHLY-1994-2012</t>
        </is>
      </c>
      <c r="T749" s="6" t="inlineStr"/>
      <c r="U749" s="4" t="inlineStr">
        <is>
          <t>2026-09-10 23:00:00</t>
        </is>
      </c>
      <c r="V749" s="4" t="inlineStr">
        <is>
          <t>Energia mensual entregada al SINP.</t>
        </is>
      </c>
    </row>
    <row r="750">
      <c r="A750" s="6" t="inlineStr">
        <is>
          <t>R0000749</t>
        </is>
      </c>
      <c r="B750" s="6" t="inlineStr">
        <is>
          <t>2011-01-01</t>
        </is>
      </c>
      <c r="C750" s="6" t="inlineStr">
        <is>
          <t>2011-01-31</t>
        </is>
      </c>
      <c r="D750" s="6" t="inlineStr">
        <is>
          <t>month</t>
        </is>
      </c>
      <c r="E750" s="6" t="inlineStr">
        <is>
          <t>YACYRETA_NET_ENERGY</t>
        </is>
      </c>
      <c r="F750" s="6" t="inlineStr">
        <is>
          <t>YACYRETA</t>
        </is>
      </c>
      <c r="G750" s="6" t="inlineStr">
        <is>
          <t>YACYRETA</t>
        </is>
      </c>
      <c r="H750" s="6" t="inlineStr">
        <is>
          <t>TOTAL</t>
        </is>
      </c>
      <c r="I750" s="8" t="n">
        <v>1855668</v>
      </c>
      <c r="J750" s="6" t="inlineStr">
        <is>
          <t>MWh</t>
        </is>
      </c>
      <c r="K750" s="8" t="n">
        <v>1855668</v>
      </c>
      <c r="L750" s="6" t="inlineStr">
        <is>
          <t>MWh</t>
        </is>
      </c>
      <c r="M750" s="6" t="inlineStr">
        <is>
          <t>EBY</t>
        </is>
      </c>
      <c r="N750" s="6" t="inlineStr">
        <is>
          <t>OFFICIAL_PRIMARY</t>
        </is>
      </c>
      <c r="O750" s="9" t="inlineStr">
        <is>
          <t>OFFICIAL_AGGREGATE</t>
        </is>
      </c>
      <c r="P750" s="8" t="n">
        <v>1</v>
      </c>
      <c r="Q750" s="8" t="n">
        <v>50</v>
      </c>
      <c r="R750" s="7" t="inlineStr">
        <is>
          <t>https://www.eby.gov.py/wp-content/uploads/2019/12/YacyretaEnergiasMensualesDesdePuestaenMarcha.pdf</t>
        </is>
      </c>
      <c r="S750" s="6" t="inlineStr">
        <is>
          <t>EBY-MONTHLY-1994-2012</t>
        </is>
      </c>
      <c r="T750" s="6" t="inlineStr"/>
      <c r="U750" s="4" t="inlineStr">
        <is>
          <t>2026-09-10 23:00:00</t>
        </is>
      </c>
      <c r="V750" s="4" t="inlineStr">
        <is>
          <t>Energia mensual Yacyreta desde puesta en marcha.</t>
        </is>
      </c>
    </row>
    <row r="751">
      <c r="A751" s="6" t="inlineStr">
        <is>
          <t>R0000750</t>
        </is>
      </c>
      <c r="B751" s="6" t="inlineStr">
        <is>
          <t>2011-01-01</t>
        </is>
      </c>
      <c r="C751" s="6" t="inlineStr">
        <is>
          <t>2011-01-31</t>
        </is>
      </c>
      <c r="D751" s="6" t="inlineStr">
        <is>
          <t>month</t>
        </is>
      </c>
      <c r="E751" s="6" t="inlineStr">
        <is>
          <t>ENERGY_TO_ARGENTINA</t>
        </is>
      </c>
      <c r="F751" s="6" t="inlineStr">
        <is>
          <t>YACYRETA</t>
        </is>
      </c>
      <c r="G751" s="6" t="inlineStr">
        <is>
          <t>YACYRETA</t>
        </is>
      </c>
      <c r="H751" s="6" t="inlineStr">
        <is>
          <t>SADI</t>
        </is>
      </c>
      <c r="I751" s="8" t="n">
        <v>1648188</v>
      </c>
      <c r="J751" s="6" t="inlineStr">
        <is>
          <t>MWh</t>
        </is>
      </c>
      <c r="K751" s="8" t="n">
        <v>1648188</v>
      </c>
      <c r="L751" s="6" t="inlineStr">
        <is>
          <t>MWh</t>
        </is>
      </c>
      <c r="M751" s="6" t="inlineStr">
        <is>
          <t>EBY</t>
        </is>
      </c>
      <c r="N751" s="6" t="inlineStr">
        <is>
          <t>OFFICIAL_PRIMARY</t>
        </is>
      </c>
      <c r="O751" s="9" t="inlineStr">
        <is>
          <t>OFFICIAL_AGGREGATE</t>
        </is>
      </c>
      <c r="P751" s="8" t="n">
        <v>1</v>
      </c>
      <c r="Q751" s="8" t="n">
        <v>50</v>
      </c>
      <c r="R751" s="7" t="inlineStr">
        <is>
          <t>https://www.eby.gov.py/wp-content/uploads/2019/12/YacyretaEnergiasMensualesDesdePuestaenMarcha.pdf</t>
        </is>
      </c>
      <c r="S751" s="6" t="inlineStr">
        <is>
          <t>EBY-MONTHLY-1994-2012</t>
        </is>
      </c>
      <c r="T751" s="6" t="inlineStr"/>
      <c r="U751" s="4" t="inlineStr">
        <is>
          <t>2026-09-10 23:00:00</t>
        </is>
      </c>
      <c r="V751" s="4" t="inlineStr">
        <is>
          <t>Energia mensual entregada al SADI.</t>
        </is>
      </c>
    </row>
    <row r="752">
      <c r="A752" s="6" t="inlineStr">
        <is>
          <t>R0000751</t>
        </is>
      </c>
      <c r="B752" s="6" t="inlineStr">
        <is>
          <t>2011-01-01</t>
        </is>
      </c>
      <c r="C752" s="6" t="inlineStr">
        <is>
          <t>2011-01-31</t>
        </is>
      </c>
      <c r="D752" s="6" t="inlineStr">
        <is>
          <t>month</t>
        </is>
      </c>
      <c r="E752" s="6" t="inlineStr">
        <is>
          <t>ENERGY_TO_PY</t>
        </is>
      </c>
      <c r="F752" s="6" t="inlineStr">
        <is>
          <t>YACYRETA</t>
        </is>
      </c>
      <c r="G752" s="6" t="inlineStr">
        <is>
          <t>YACYRETA</t>
        </is>
      </c>
      <c r="H752" s="6" t="inlineStr">
        <is>
          <t>SINP</t>
        </is>
      </c>
      <c r="I752" s="8" t="n">
        <v>207480</v>
      </c>
      <c r="J752" s="6" t="inlineStr">
        <is>
          <t>MWh</t>
        </is>
      </c>
      <c r="K752" s="8" t="n">
        <v>207480</v>
      </c>
      <c r="L752" s="6" t="inlineStr">
        <is>
          <t>MWh</t>
        </is>
      </c>
      <c r="M752" s="6" t="inlineStr">
        <is>
          <t>EBY</t>
        </is>
      </c>
      <c r="N752" s="6" t="inlineStr">
        <is>
          <t>OFFICIAL_PRIMARY</t>
        </is>
      </c>
      <c r="O752" s="9" t="inlineStr">
        <is>
          <t>OFFICIAL_AGGREGATE</t>
        </is>
      </c>
      <c r="P752" s="8" t="n">
        <v>1</v>
      </c>
      <c r="Q752" s="8" t="n">
        <v>50</v>
      </c>
      <c r="R752" s="7" t="inlineStr">
        <is>
          <t>https://www.eby.gov.py/wp-content/uploads/2019/12/YacyretaEnergiasMensualesDesdePuestaenMarcha.pdf</t>
        </is>
      </c>
      <c r="S752" s="6" t="inlineStr">
        <is>
          <t>EBY-MONTHLY-1994-2012</t>
        </is>
      </c>
      <c r="T752" s="6" t="inlineStr"/>
      <c r="U752" s="4" t="inlineStr">
        <is>
          <t>2026-09-10 23:00:00</t>
        </is>
      </c>
      <c r="V752" s="4" t="inlineStr">
        <is>
          <t>Energia mensual entregada al SINP.</t>
        </is>
      </c>
    </row>
    <row r="753">
      <c r="A753" s="6" t="inlineStr">
        <is>
          <t>R0000752</t>
        </is>
      </c>
      <c r="B753" s="6" t="inlineStr">
        <is>
          <t>2011-02-01</t>
        </is>
      </c>
      <c r="C753" s="6" t="inlineStr">
        <is>
          <t>2011-02-28</t>
        </is>
      </c>
      <c r="D753" s="6" t="inlineStr">
        <is>
          <t>month</t>
        </is>
      </c>
      <c r="E753" s="6" t="inlineStr">
        <is>
          <t>YACYRETA_NET_ENERGY</t>
        </is>
      </c>
      <c r="F753" s="6" t="inlineStr">
        <is>
          <t>YACYRETA</t>
        </is>
      </c>
      <c r="G753" s="6" t="inlineStr">
        <is>
          <t>YACYRETA</t>
        </is>
      </c>
      <c r="H753" s="6" t="inlineStr">
        <is>
          <t>TOTAL</t>
        </is>
      </c>
      <c r="I753" s="8" t="n">
        <v>1787512</v>
      </c>
      <c r="J753" s="6" t="inlineStr">
        <is>
          <t>MWh</t>
        </is>
      </c>
      <c r="K753" s="8" t="n">
        <v>1787512</v>
      </c>
      <c r="L753" s="6" t="inlineStr">
        <is>
          <t>MWh</t>
        </is>
      </c>
      <c r="M753" s="6" t="inlineStr">
        <is>
          <t>EBY</t>
        </is>
      </c>
      <c r="N753" s="6" t="inlineStr">
        <is>
          <t>OFFICIAL_PRIMARY</t>
        </is>
      </c>
      <c r="O753" s="9" t="inlineStr">
        <is>
          <t>OFFICIAL_AGGREGATE</t>
        </is>
      </c>
      <c r="P753" s="8" t="n">
        <v>1</v>
      </c>
      <c r="Q753" s="8" t="n">
        <v>50</v>
      </c>
      <c r="R753" s="7" t="inlineStr">
        <is>
          <t>https://www.eby.gov.py/wp-content/uploads/2019/12/YacyretaEnergiasMensualesDesdePuestaenMarcha.pdf</t>
        </is>
      </c>
      <c r="S753" s="6" t="inlineStr">
        <is>
          <t>EBY-MONTHLY-1994-2012</t>
        </is>
      </c>
      <c r="T753" s="6" t="inlineStr"/>
      <c r="U753" s="4" t="inlineStr">
        <is>
          <t>2026-09-10 23:00:00</t>
        </is>
      </c>
      <c r="V753" s="4" t="inlineStr">
        <is>
          <t>Energia mensual Yacyreta desde puesta en marcha.</t>
        </is>
      </c>
    </row>
    <row r="754">
      <c r="A754" s="6" t="inlineStr">
        <is>
          <t>R0000753</t>
        </is>
      </c>
      <c r="B754" s="6" t="inlineStr">
        <is>
          <t>2011-02-01</t>
        </is>
      </c>
      <c r="C754" s="6" t="inlineStr">
        <is>
          <t>2011-02-28</t>
        </is>
      </c>
      <c r="D754" s="6" t="inlineStr">
        <is>
          <t>month</t>
        </is>
      </c>
      <c r="E754" s="6" t="inlineStr">
        <is>
          <t>ENERGY_TO_ARGENTINA</t>
        </is>
      </c>
      <c r="F754" s="6" t="inlineStr">
        <is>
          <t>YACYRETA</t>
        </is>
      </c>
      <c r="G754" s="6" t="inlineStr">
        <is>
          <t>YACYRETA</t>
        </is>
      </c>
      <c r="H754" s="6" t="inlineStr">
        <is>
          <t>SADI</t>
        </is>
      </c>
      <c r="I754" s="8" t="n">
        <v>1604916</v>
      </c>
      <c r="J754" s="6" t="inlineStr">
        <is>
          <t>MWh</t>
        </is>
      </c>
      <c r="K754" s="8" t="n">
        <v>1604916</v>
      </c>
      <c r="L754" s="6" t="inlineStr">
        <is>
          <t>MWh</t>
        </is>
      </c>
      <c r="M754" s="6" t="inlineStr">
        <is>
          <t>EBY</t>
        </is>
      </c>
      <c r="N754" s="6" t="inlineStr">
        <is>
          <t>OFFICIAL_PRIMARY</t>
        </is>
      </c>
      <c r="O754" s="9" t="inlineStr">
        <is>
          <t>OFFICIAL_AGGREGATE</t>
        </is>
      </c>
      <c r="P754" s="8" t="n">
        <v>1</v>
      </c>
      <c r="Q754" s="8" t="n">
        <v>50</v>
      </c>
      <c r="R754" s="7" t="inlineStr">
        <is>
          <t>https://www.eby.gov.py/wp-content/uploads/2019/12/YacyretaEnergiasMensualesDesdePuestaenMarcha.pdf</t>
        </is>
      </c>
      <c r="S754" s="6" t="inlineStr">
        <is>
          <t>EBY-MONTHLY-1994-2012</t>
        </is>
      </c>
      <c r="T754" s="6" t="inlineStr"/>
      <c r="U754" s="4" t="inlineStr">
        <is>
          <t>2026-09-10 23:00:00</t>
        </is>
      </c>
      <c r="V754" s="4" t="inlineStr">
        <is>
          <t>Energia mensual entregada al SADI.</t>
        </is>
      </c>
    </row>
    <row r="755">
      <c r="A755" s="6" t="inlineStr">
        <is>
          <t>R0000754</t>
        </is>
      </c>
      <c r="B755" s="6" t="inlineStr">
        <is>
          <t>2011-02-01</t>
        </is>
      </c>
      <c r="C755" s="6" t="inlineStr">
        <is>
          <t>2011-02-28</t>
        </is>
      </c>
      <c r="D755" s="6" t="inlineStr">
        <is>
          <t>month</t>
        </is>
      </c>
      <c r="E755" s="6" t="inlineStr">
        <is>
          <t>ENERGY_TO_PY</t>
        </is>
      </c>
      <c r="F755" s="6" t="inlineStr">
        <is>
          <t>YACYRETA</t>
        </is>
      </c>
      <c r="G755" s="6" t="inlineStr">
        <is>
          <t>YACYRETA</t>
        </is>
      </c>
      <c r="H755" s="6" t="inlineStr">
        <is>
          <t>SINP</t>
        </is>
      </c>
      <c r="I755" s="8" t="n">
        <v>182596</v>
      </c>
      <c r="J755" s="6" t="inlineStr">
        <is>
          <t>MWh</t>
        </is>
      </c>
      <c r="K755" s="8" t="n">
        <v>182596</v>
      </c>
      <c r="L755" s="6" t="inlineStr">
        <is>
          <t>MWh</t>
        </is>
      </c>
      <c r="M755" s="6" t="inlineStr">
        <is>
          <t>EBY</t>
        </is>
      </c>
      <c r="N755" s="6" t="inlineStr">
        <is>
          <t>OFFICIAL_PRIMARY</t>
        </is>
      </c>
      <c r="O755" s="9" t="inlineStr">
        <is>
          <t>OFFICIAL_AGGREGATE</t>
        </is>
      </c>
      <c r="P755" s="8" t="n">
        <v>1</v>
      </c>
      <c r="Q755" s="8" t="n">
        <v>50</v>
      </c>
      <c r="R755" s="7" t="inlineStr">
        <is>
          <t>https://www.eby.gov.py/wp-content/uploads/2019/12/YacyretaEnergiasMensualesDesdePuestaenMarcha.pdf</t>
        </is>
      </c>
      <c r="S755" s="6" t="inlineStr">
        <is>
          <t>EBY-MONTHLY-1994-2012</t>
        </is>
      </c>
      <c r="T755" s="6" t="inlineStr"/>
      <c r="U755" s="4" t="inlineStr">
        <is>
          <t>2026-09-10 23:00:00</t>
        </is>
      </c>
      <c r="V755" s="4" t="inlineStr">
        <is>
          <t>Energia mensual entregada al SINP.</t>
        </is>
      </c>
    </row>
    <row r="756">
      <c r="A756" s="6" t="inlineStr">
        <is>
          <t>R0000755</t>
        </is>
      </c>
      <c r="B756" s="6" t="inlineStr">
        <is>
          <t>2011-03-01</t>
        </is>
      </c>
      <c r="C756" s="6" t="inlineStr">
        <is>
          <t>2011-03-31</t>
        </is>
      </c>
      <c r="D756" s="6" t="inlineStr">
        <is>
          <t>month</t>
        </is>
      </c>
      <c r="E756" s="6" t="inlineStr">
        <is>
          <t>YACYRETA_NET_ENERGY</t>
        </is>
      </c>
      <c r="F756" s="6" t="inlineStr">
        <is>
          <t>YACYRETA</t>
        </is>
      </c>
      <c r="G756" s="6" t="inlineStr">
        <is>
          <t>YACYRETA</t>
        </is>
      </c>
      <c r="H756" s="6" t="inlineStr">
        <is>
          <t>TOTAL</t>
        </is>
      </c>
      <c r="I756" s="8" t="n">
        <v>1837484</v>
      </c>
      <c r="J756" s="6" t="inlineStr">
        <is>
          <t>MWh</t>
        </is>
      </c>
      <c r="K756" s="8" t="n">
        <v>1837484</v>
      </c>
      <c r="L756" s="6" t="inlineStr">
        <is>
          <t>MWh</t>
        </is>
      </c>
      <c r="M756" s="6" t="inlineStr">
        <is>
          <t>EBY</t>
        </is>
      </c>
      <c r="N756" s="6" t="inlineStr">
        <is>
          <t>OFFICIAL_PRIMARY</t>
        </is>
      </c>
      <c r="O756" s="9" t="inlineStr">
        <is>
          <t>OFFICIAL_AGGREGATE</t>
        </is>
      </c>
      <c r="P756" s="8" t="n">
        <v>1</v>
      </c>
      <c r="Q756" s="8" t="n">
        <v>50</v>
      </c>
      <c r="R756" s="7" t="inlineStr">
        <is>
          <t>https://www.eby.gov.py/wp-content/uploads/2019/12/YacyretaEnergiasMensualesDesdePuestaenMarcha.pdf</t>
        </is>
      </c>
      <c r="S756" s="6" t="inlineStr">
        <is>
          <t>EBY-MONTHLY-1994-2012</t>
        </is>
      </c>
      <c r="T756" s="6" t="inlineStr"/>
      <c r="U756" s="4" t="inlineStr">
        <is>
          <t>2026-09-10 23:00:00</t>
        </is>
      </c>
      <c r="V756" s="4" t="inlineStr">
        <is>
          <t>Energia mensual Yacyreta desde puesta en marcha.</t>
        </is>
      </c>
    </row>
    <row r="757">
      <c r="A757" s="6" t="inlineStr">
        <is>
          <t>R0000756</t>
        </is>
      </c>
      <c r="B757" s="6" t="inlineStr">
        <is>
          <t>2011-03-01</t>
        </is>
      </c>
      <c r="C757" s="6" t="inlineStr">
        <is>
          <t>2011-03-31</t>
        </is>
      </c>
      <c r="D757" s="6" t="inlineStr">
        <is>
          <t>month</t>
        </is>
      </c>
      <c r="E757" s="6" t="inlineStr">
        <is>
          <t>ENERGY_TO_ARGENTINA</t>
        </is>
      </c>
      <c r="F757" s="6" t="inlineStr">
        <is>
          <t>YACYRETA</t>
        </is>
      </c>
      <c r="G757" s="6" t="inlineStr">
        <is>
          <t>YACYRETA</t>
        </is>
      </c>
      <c r="H757" s="6" t="inlineStr">
        <is>
          <t>SADI</t>
        </is>
      </c>
      <c r="I757" s="8" t="n">
        <v>1637610</v>
      </c>
      <c r="J757" s="6" t="inlineStr">
        <is>
          <t>MWh</t>
        </is>
      </c>
      <c r="K757" s="8" t="n">
        <v>1637610</v>
      </c>
      <c r="L757" s="6" t="inlineStr">
        <is>
          <t>MWh</t>
        </is>
      </c>
      <c r="M757" s="6" t="inlineStr">
        <is>
          <t>EBY</t>
        </is>
      </c>
      <c r="N757" s="6" t="inlineStr">
        <is>
          <t>OFFICIAL_PRIMARY</t>
        </is>
      </c>
      <c r="O757" s="9" t="inlineStr">
        <is>
          <t>OFFICIAL_AGGREGATE</t>
        </is>
      </c>
      <c r="P757" s="8" t="n">
        <v>1</v>
      </c>
      <c r="Q757" s="8" t="n">
        <v>50</v>
      </c>
      <c r="R757" s="7" t="inlineStr">
        <is>
          <t>https://www.eby.gov.py/wp-content/uploads/2019/12/YacyretaEnergiasMensualesDesdePuestaenMarcha.pdf</t>
        </is>
      </c>
      <c r="S757" s="6" t="inlineStr">
        <is>
          <t>EBY-MONTHLY-1994-2012</t>
        </is>
      </c>
      <c r="T757" s="6" t="inlineStr"/>
      <c r="U757" s="4" t="inlineStr">
        <is>
          <t>2026-09-10 23:00:00</t>
        </is>
      </c>
      <c r="V757" s="4" t="inlineStr">
        <is>
          <t>Energia mensual entregada al SADI.</t>
        </is>
      </c>
    </row>
    <row r="758">
      <c r="A758" s="6" t="inlineStr">
        <is>
          <t>R0000757</t>
        </is>
      </c>
      <c r="B758" s="6" t="inlineStr">
        <is>
          <t>2011-03-01</t>
        </is>
      </c>
      <c r="C758" s="6" t="inlineStr">
        <is>
          <t>2011-03-31</t>
        </is>
      </c>
      <c r="D758" s="6" t="inlineStr">
        <is>
          <t>month</t>
        </is>
      </c>
      <c r="E758" s="6" t="inlineStr">
        <is>
          <t>ENERGY_TO_PY</t>
        </is>
      </c>
      <c r="F758" s="6" t="inlineStr">
        <is>
          <t>YACYRETA</t>
        </is>
      </c>
      <c r="G758" s="6" t="inlineStr">
        <is>
          <t>YACYRETA</t>
        </is>
      </c>
      <c r="H758" s="6" t="inlineStr">
        <is>
          <t>SINP</t>
        </is>
      </c>
      <c r="I758" s="8" t="n">
        <v>199874</v>
      </c>
      <c r="J758" s="6" t="inlineStr">
        <is>
          <t>MWh</t>
        </is>
      </c>
      <c r="K758" s="8" t="n">
        <v>199874</v>
      </c>
      <c r="L758" s="6" t="inlineStr">
        <is>
          <t>MWh</t>
        </is>
      </c>
      <c r="M758" s="6" t="inlineStr">
        <is>
          <t>EBY</t>
        </is>
      </c>
      <c r="N758" s="6" t="inlineStr">
        <is>
          <t>OFFICIAL_PRIMARY</t>
        </is>
      </c>
      <c r="O758" s="9" t="inlineStr">
        <is>
          <t>OFFICIAL_AGGREGATE</t>
        </is>
      </c>
      <c r="P758" s="8" t="n">
        <v>1</v>
      </c>
      <c r="Q758" s="8" t="n">
        <v>50</v>
      </c>
      <c r="R758" s="7" t="inlineStr">
        <is>
          <t>https://www.eby.gov.py/wp-content/uploads/2019/12/YacyretaEnergiasMensualesDesdePuestaenMarcha.pdf</t>
        </is>
      </c>
      <c r="S758" s="6" t="inlineStr">
        <is>
          <t>EBY-MONTHLY-1994-2012</t>
        </is>
      </c>
      <c r="T758" s="6" t="inlineStr"/>
      <c r="U758" s="4" t="inlineStr">
        <is>
          <t>2026-09-10 23:00:00</t>
        </is>
      </c>
      <c r="V758" s="4" t="inlineStr">
        <is>
          <t>Energia mensual entregada al SINP.</t>
        </is>
      </c>
    </row>
    <row r="759">
      <c r="A759" s="6" t="inlineStr">
        <is>
          <t>R0000758</t>
        </is>
      </c>
      <c r="B759" s="6" t="inlineStr">
        <is>
          <t>2011-04-01</t>
        </is>
      </c>
      <c r="C759" s="6" t="inlineStr">
        <is>
          <t>2011-04-30</t>
        </is>
      </c>
      <c r="D759" s="6" t="inlineStr">
        <is>
          <t>month</t>
        </is>
      </c>
      <c r="E759" s="6" t="inlineStr">
        <is>
          <t>YACYRETA_NET_ENERGY</t>
        </is>
      </c>
      <c r="F759" s="6" t="inlineStr">
        <is>
          <t>YACYRETA</t>
        </is>
      </c>
      <c r="G759" s="6" t="inlineStr">
        <is>
          <t>YACYRETA</t>
        </is>
      </c>
      <c r="H759" s="6" t="inlineStr">
        <is>
          <t>TOTAL</t>
        </is>
      </c>
      <c r="I759" s="8" t="n">
        <v>1825153</v>
      </c>
      <c r="J759" s="6" t="inlineStr">
        <is>
          <t>MWh</t>
        </is>
      </c>
      <c r="K759" s="8" t="n">
        <v>1825153</v>
      </c>
      <c r="L759" s="6" t="inlineStr">
        <is>
          <t>MWh</t>
        </is>
      </c>
      <c r="M759" s="6" t="inlineStr">
        <is>
          <t>EBY</t>
        </is>
      </c>
      <c r="N759" s="6" t="inlineStr">
        <is>
          <t>OFFICIAL_PRIMARY</t>
        </is>
      </c>
      <c r="O759" s="9" t="inlineStr">
        <is>
          <t>OFFICIAL_AGGREGATE</t>
        </is>
      </c>
      <c r="P759" s="8" t="n">
        <v>1</v>
      </c>
      <c r="Q759" s="8" t="n">
        <v>50</v>
      </c>
      <c r="R759" s="7" t="inlineStr">
        <is>
          <t>https://www.eby.gov.py/wp-content/uploads/2019/12/YacyretaEnergiasMensualesDesdePuestaenMarcha.pdf</t>
        </is>
      </c>
      <c r="S759" s="6" t="inlineStr">
        <is>
          <t>EBY-MONTHLY-1994-2012</t>
        </is>
      </c>
      <c r="T759" s="6" t="inlineStr"/>
      <c r="U759" s="4" t="inlineStr">
        <is>
          <t>2026-09-10 23:00:00</t>
        </is>
      </c>
      <c r="V759" s="4" t="inlineStr">
        <is>
          <t>Energia mensual Yacyreta desde puesta en marcha.</t>
        </is>
      </c>
    </row>
    <row r="760">
      <c r="A760" s="6" t="inlineStr">
        <is>
          <t>R0000759</t>
        </is>
      </c>
      <c r="B760" s="6" t="inlineStr">
        <is>
          <t>2011-04-01</t>
        </is>
      </c>
      <c r="C760" s="6" t="inlineStr">
        <is>
          <t>2011-04-30</t>
        </is>
      </c>
      <c r="D760" s="6" t="inlineStr">
        <is>
          <t>month</t>
        </is>
      </c>
      <c r="E760" s="6" t="inlineStr">
        <is>
          <t>ENERGY_TO_ARGENTINA</t>
        </is>
      </c>
      <c r="F760" s="6" t="inlineStr">
        <is>
          <t>YACYRETA</t>
        </is>
      </c>
      <c r="G760" s="6" t="inlineStr">
        <is>
          <t>YACYRETA</t>
        </is>
      </c>
      <c r="H760" s="6" t="inlineStr">
        <is>
          <t>SADI</t>
        </is>
      </c>
      <c r="I760" s="8" t="n">
        <v>1657496</v>
      </c>
      <c r="J760" s="6" t="inlineStr">
        <is>
          <t>MWh</t>
        </is>
      </c>
      <c r="K760" s="8" t="n">
        <v>1657496</v>
      </c>
      <c r="L760" s="6" t="inlineStr">
        <is>
          <t>MWh</t>
        </is>
      </c>
      <c r="M760" s="6" t="inlineStr">
        <is>
          <t>EBY</t>
        </is>
      </c>
      <c r="N760" s="6" t="inlineStr">
        <is>
          <t>OFFICIAL_PRIMARY</t>
        </is>
      </c>
      <c r="O760" s="9" t="inlineStr">
        <is>
          <t>OFFICIAL_AGGREGATE</t>
        </is>
      </c>
      <c r="P760" s="8" t="n">
        <v>1</v>
      </c>
      <c r="Q760" s="8" t="n">
        <v>50</v>
      </c>
      <c r="R760" s="7" t="inlineStr">
        <is>
          <t>https://www.eby.gov.py/wp-content/uploads/2019/12/YacyretaEnergiasMensualesDesdePuestaenMarcha.pdf</t>
        </is>
      </c>
      <c r="S760" s="6" t="inlineStr">
        <is>
          <t>EBY-MONTHLY-1994-2012</t>
        </is>
      </c>
      <c r="T760" s="6" t="inlineStr"/>
      <c r="U760" s="4" t="inlineStr">
        <is>
          <t>2026-09-10 23:00:00</t>
        </is>
      </c>
      <c r="V760" s="4" t="inlineStr">
        <is>
          <t>Energia mensual entregada al SADI.</t>
        </is>
      </c>
    </row>
    <row r="761">
      <c r="A761" s="6" t="inlineStr">
        <is>
          <t>R0000760</t>
        </is>
      </c>
      <c r="B761" s="6" t="inlineStr">
        <is>
          <t>2011-04-01</t>
        </is>
      </c>
      <c r="C761" s="6" t="inlineStr">
        <is>
          <t>2011-04-30</t>
        </is>
      </c>
      <c r="D761" s="6" t="inlineStr">
        <is>
          <t>month</t>
        </is>
      </c>
      <c r="E761" s="6" t="inlineStr">
        <is>
          <t>ENERGY_TO_PY</t>
        </is>
      </c>
      <c r="F761" s="6" t="inlineStr">
        <is>
          <t>YACYRETA</t>
        </is>
      </c>
      <c r="G761" s="6" t="inlineStr">
        <is>
          <t>YACYRETA</t>
        </is>
      </c>
      <c r="H761" s="6" t="inlineStr">
        <is>
          <t>SINP</t>
        </is>
      </c>
      <c r="I761" s="8" t="n">
        <v>167657</v>
      </c>
      <c r="J761" s="6" t="inlineStr">
        <is>
          <t>MWh</t>
        </is>
      </c>
      <c r="K761" s="8" t="n">
        <v>167657</v>
      </c>
      <c r="L761" s="6" t="inlineStr">
        <is>
          <t>MWh</t>
        </is>
      </c>
      <c r="M761" s="6" t="inlineStr">
        <is>
          <t>EBY</t>
        </is>
      </c>
      <c r="N761" s="6" t="inlineStr">
        <is>
          <t>OFFICIAL_PRIMARY</t>
        </is>
      </c>
      <c r="O761" s="9" t="inlineStr">
        <is>
          <t>OFFICIAL_AGGREGATE</t>
        </is>
      </c>
      <c r="P761" s="8" t="n">
        <v>1</v>
      </c>
      <c r="Q761" s="8" t="n">
        <v>50</v>
      </c>
      <c r="R761" s="7" t="inlineStr">
        <is>
          <t>https://www.eby.gov.py/wp-content/uploads/2019/12/YacyretaEnergiasMensualesDesdePuestaenMarcha.pdf</t>
        </is>
      </c>
      <c r="S761" s="6" t="inlineStr">
        <is>
          <t>EBY-MONTHLY-1994-2012</t>
        </is>
      </c>
      <c r="T761" s="6" t="inlineStr"/>
      <c r="U761" s="4" t="inlineStr">
        <is>
          <t>2026-09-10 23:00:00</t>
        </is>
      </c>
      <c r="V761" s="4" t="inlineStr">
        <is>
          <t>Energia mensual entregada al SINP.</t>
        </is>
      </c>
    </row>
    <row r="762">
      <c r="A762" s="6" t="inlineStr">
        <is>
          <t>R0000761</t>
        </is>
      </c>
      <c r="B762" s="6" t="inlineStr">
        <is>
          <t>2011-05-01</t>
        </is>
      </c>
      <c r="C762" s="6" t="inlineStr">
        <is>
          <t>2011-05-31</t>
        </is>
      </c>
      <c r="D762" s="6" t="inlineStr">
        <is>
          <t>month</t>
        </is>
      </c>
      <c r="E762" s="6" t="inlineStr">
        <is>
          <t>YACYRETA_NET_ENERGY</t>
        </is>
      </c>
      <c r="F762" s="6" t="inlineStr">
        <is>
          <t>YACYRETA</t>
        </is>
      </c>
      <c r="G762" s="6" t="inlineStr">
        <is>
          <t>YACYRETA</t>
        </is>
      </c>
      <c r="H762" s="6" t="inlineStr">
        <is>
          <t>TOTAL</t>
        </is>
      </c>
      <c r="I762" s="8" t="n">
        <v>1723623</v>
      </c>
      <c r="J762" s="6" t="inlineStr">
        <is>
          <t>MWh</t>
        </is>
      </c>
      <c r="K762" s="8" t="n">
        <v>1723623</v>
      </c>
      <c r="L762" s="6" t="inlineStr">
        <is>
          <t>MWh</t>
        </is>
      </c>
      <c r="M762" s="6" t="inlineStr">
        <is>
          <t>EBY</t>
        </is>
      </c>
      <c r="N762" s="6" t="inlineStr">
        <is>
          <t>OFFICIAL_PRIMARY</t>
        </is>
      </c>
      <c r="O762" s="9" t="inlineStr">
        <is>
          <t>OFFICIAL_AGGREGATE</t>
        </is>
      </c>
      <c r="P762" s="8" t="n">
        <v>1</v>
      </c>
      <c r="Q762" s="8" t="n">
        <v>50</v>
      </c>
      <c r="R762" s="7" t="inlineStr">
        <is>
          <t>https://www.eby.gov.py/wp-content/uploads/2019/12/YacyretaEnergiasMensualesDesdePuestaenMarcha.pdf</t>
        </is>
      </c>
      <c r="S762" s="6" t="inlineStr">
        <is>
          <t>EBY-MONTHLY-1994-2012</t>
        </is>
      </c>
      <c r="T762" s="6" t="inlineStr"/>
      <c r="U762" s="4" t="inlineStr">
        <is>
          <t>2026-09-10 23:00:00</t>
        </is>
      </c>
      <c r="V762" s="4" t="inlineStr">
        <is>
          <t>Energia mensual Yacyreta desde puesta en marcha.</t>
        </is>
      </c>
    </row>
    <row r="763">
      <c r="A763" s="6" t="inlineStr">
        <is>
          <t>R0000762</t>
        </is>
      </c>
      <c r="B763" s="6" t="inlineStr">
        <is>
          <t>2011-05-01</t>
        </is>
      </c>
      <c r="C763" s="6" t="inlineStr">
        <is>
          <t>2011-05-31</t>
        </is>
      </c>
      <c r="D763" s="6" t="inlineStr">
        <is>
          <t>month</t>
        </is>
      </c>
      <c r="E763" s="6" t="inlineStr">
        <is>
          <t>ENERGY_TO_ARGENTINA</t>
        </is>
      </c>
      <c r="F763" s="6" t="inlineStr">
        <is>
          <t>YACYRETA</t>
        </is>
      </c>
      <c r="G763" s="6" t="inlineStr">
        <is>
          <t>YACYRETA</t>
        </is>
      </c>
      <c r="H763" s="6" t="inlineStr">
        <is>
          <t>SADI</t>
        </is>
      </c>
      <c r="I763" s="8" t="n">
        <v>1562166</v>
      </c>
      <c r="J763" s="6" t="inlineStr">
        <is>
          <t>MWh</t>
        </is>
      </c>
      <c r="K763" s="8" t="n">
        <v>1562166</v>
      </c>
      <c r="L763" s="6" t="inlineStr">
        <is>
          <t>MWh</t>
        </is>
      </c>
      <c r="M763" s="6" t="inlineStr">
        <is>
          <t>EBY</t>
        </is>
      </c>
      <c r="N763" s="6" t="inlineStr">
        <is>
          <t>OFFICIAL_PRIMARY</t>
        </is>
      </c>
      <c r="O763" s="9" t="inlineStr">
        <is>
          <t>OFFICIAL_AGGREGATE</t>
        </is>
      </c>
      <c r="P763" s="8" t="n">
        <v>1</v>
      </c>
      <c r="Q763" s="8" t="n">
        <v>50</v>
      </c>
      <c r="R763" s="7" t="inlineStr">
        <is>
          <t>https://www.eby.gov.py/wp-content/uploads/2019/12/YacyretaEnergiasMensualesDesdePuestaenMarcha.pdf</t>
        </is>
      </c>
      <c r="S763" s="6" t="inlineStr">
        <is>
          <t>EBY-MONTHLY-1994-2012</t>
        </is>
      </c>
      <c r="T763" s="6" t="inlineStr"/>
      <c r="U763" s="4" t="inlineStr">
        <is>
          <t>2026-09-10 23:00:00</t>
        </is>
      </c>
      <c r="V763" s="4" t="inlineStr">
        <is>
          <t>Energia mensual entregada al SADI.</t>
        </is>
      </c>
    </row>
    <row r="764">
      <c r="A764" s="6" t="inlineStr">
        <is>
          <t>R0000763</t>
        </is>
      </c>
      <c r="B764" s="6" t="inlineStr">
        <is>
          <t>2011-05-01</t>
        </is>
      </c>
      <c r="C764" s="6" t="inlineStr">
        <is>
          <t>2011-05-31</t>
        </is>
      </c>
      <c r="D764" s="6" t="inlineStr">
        <is>
          <t>month</t>
        </is>
      </c>
      <c r="E764" s="6" t="inlineStr">
        <is>
          <t>ENERGY_TO_PY</t>
        </is>
      </c>
      <c r="F764" s="6" t="inlineStr">
        <is>
          <t>YACYRETA</t>
        </is>
      </c>
      <c r="G764" s="6" t="inlineStr">
        <is>
          <t>YACYRETA</t>
        </is>
      </c>
      <c r="H764" s="6" t="inlineStr">
        <is>
          <t>SINP</t>
        </is>
      </c>
      <c r="I764" s="8" t="n">
        <v>161457</v>
      </c>
      <c r="J764" s="6" t="inlineStr">
        <is>
          <t>MWh</t>
        </is>
      </c>
      <c r="K764" s="8" t="n">
        <v>161457</v>
      </c>
      <c r="L764" s="6" t="inlineStr">
        <is>
          <t>MWh</t>
        </is>
      </c>
      <c r="M764" s="6" t="inlineStr">
        <is>
          <t>EBY</t>
        </is>
      </c>
      <c r="N764" s="6" t="inlineStr">
        <is>
          <t>OFFICIAL_PRIMARY</t>
        </is>
      </c>
      <c r="O764" s="9" t="inlineStr">
        <is>
          <t>OFFICIAL_AGGREGATE</t>
        </is>
      </c>
      <c r="P764" s="8" t="n">
        <v>1</v>
      </c>
      <c r="Q764" s="8" t="n">
        <v>50</v>
      </c>
      <c r="R764" s="7" t="inlineStr">
        <is>
          <t>https://www.eby.gov.py/wp-content/uploads/2019/12/YacyretaEnergiasMensualesDesdePuestaenMarcha.pdf</t>
        </is>
      </c>
      <c r="S764" s="6" t="inlineStr">
        <is>
          <t>EBY-MONTHLY-1994-2012</t>
        </is>
      </c>
      <c r="T764" s="6" t="inlineStr"/>
      <c r="U764" s="4" t="inlineStr">
        <is>
          <t>2026-09-10 23:00:00</t>
        </is>
      </c>
      <c r="V764" s="4" t="inlineStr">
        <is>
          <t>Energia mensual entregada al SINP.</t>
        </is>
      </c>
    </row>
    <row r="765">
      <c r="A765" s="6" t="inlineStr">
        <is>
          <t>R0000764</t>
        </is>
      </c>
      <c r="B765" s="6" t="inlineStr">
        <is>
          <t>2011-06-01</t>
        </is>
      </c>
      <c r="C765" s="6" t="inlineStr">
        <is>
          <t>2011-06-30</t>
        </is>
      </c>
      <c r="D765" s="6" t="inlineStr">
        <is>
          <t>month</t>
        </is>
      </c>
      <c r="E765" s="6" t="inlineStr">
        <is>
          <t>YACYRETA_NET_ENERGY</t>
        </is>
      </c>
      <c r="F765" s="6" t="inlineStr">
        <is>
          <t>YACYRETA</t>
        </is>
      </c>
      <c r="G765" s="6" t="inlineStr">
        <is>
          <t>YACYRETA</t>
        </is>
      </c>
      <c r="H765" s="6" t="inlineStr">
        <is>
          <t>TOTAL</t>
        </is>
      </c>
      <c r="I765" s="8" t="n">
        <v>1633986</v>
      </c>
      <c r="J765" s="6" t="inlineStr">
        <is>
          <t>MWh</t>
        </is>
      </c>
      <c r="K765" s="8" t="n">
        <v>1633986</v>
      </c>
      <c r="L765" s="6" t="inlineStr">
        <is>
          <t>MWh</t>
        </is>
      </c>
      <c r="M765" s="6" t="inlineStr">
        <is>
          <t>EBY</t>
        </is>
      </c>
      <c r="N765" s="6" t="inlineStr">
        <is>
          <t>OFFICIAL_PRIMARY</t>
        </is>
      </c>
      <c r="O765" s="9" t="inlineStr">
        <is>
          <t>OFFICIAL_AGGREGATE</t>
        </is>
      </c>
      <c r="P765" s="8" t="n">
        <v>1</v>
      </c>
      <c r="Q765" s="8" t="n">
        <v>50</v>
      </c>
      <c r="R765" s="7" t="inlineStr">
        <is>
          <t>https://www.eby.gov.py/wp-content/uploads/2019/12/YacyretaEnergiasMensualesDesdePuestaenMarcha.pdf</t>
        </is>
      </c>
      <c r="S765" s="6" t="inlineStr">
        <is>
          <t>EBY-MONTHLY-1994-2012</t>
        </is>
      </c>
      <c r="T765" s="6" t="inlineStr"/>
      <c r="U765" s="4" t="inlineStr">
        <is>
          <t>2026-09-10 23:00:00</t>
        </is>
      </c>
      <c r="V765" s="4" t="inlineStr">
        <is>
          <t>Energia mensual Yacyreta desde puesta en marcha.</t>
        </is>
      </c>
    </row>
    <row r="766">
      <c r="A766" s="6" t="inlineStr">
        <is>
          <t>R0000765</t>
        </is>
      </c>
      <c r="B766" s="6" t="inlineStr">
        <is>
          <t>2011-06-01</t>
        </is>
      </c>
      <c r="C766" s="6" t="inlineStr">
        <is>
          <t>2011-06-30</t>
        </is>
      </c>
      <c r="D766" s="6" t="inlineStr">
        <is>
          <t>month</t>
        </is>
      </c>
      <c r="E766" s="6" t="inlineStr">
        <is>
          <t>ENERGY_TO_ARGENTINA</t>
        </is>
      </c>
      <c r="F766" s="6" t="inlineStr">
        <is>
          <t>YACYRETA</t>
        </is>
      </c>
      <c r="G766" s="6" t="inlineStr">
        <is>
          <t>YACYRETA</t>
        </is>
      </c>
      <c r="H766" s="6" t="inlineStr">
        <is>
          <t>SADI</t>
        </is>
      </c>
      <c r="I766" s="8" t="n">
        <v>1478906</v>
      </c>
      <c r="J766" s="6" t="inlineStr">
        <is>
          <t>MWh</t>
        </is>
      </c>
      <c r="K766" s="8" t="n">
        <v>1478906</v>
      </c>
      <c r="L766" s="6" t="inlineStr">
        <is>
          <t>MWh</t>
        </is>
      </c>
      <c r="M766" s="6" t="inlineStr">
        <is>
          <t>EBY</t>
        </is>
      </c>
      <c r="N766" s="6" t="inlineStr">
        <is>
          <t>OFFICIAL_PRIMARY</t>
        </is>
      </c>
      <c r="O766" s="9" t="inlineStr">
        <is>
          <t>OFFICIAL_AGGREGATE</t>
        </is>
      </c>
      <c r="P766" s="8" t="n">
        <v>1</v>
      </c>
      <c r="Q766" s="8" t="n">
        <v>50</v>
      </c>
      <c r="R766" s="7" t="inlineStr">
        <is>
          <t>https://www.eby.gov.py/wp-content/uploads/2019/12/YacyretaEnergiasMensualesDesdePuestaenMarcha.pdf</t>
        </is>
      </c>
      <c r="S766" s="6" t="inlineStr">
        <is>
          <t>EBY-MONTHLY-1994-2012</t>
        </is>
      </c>
      <c r="T766" s="6" t="inlineStr"/>
      <c r="U766" s="4" t="inlineStr">
        <is>
          <t>2026-09-10 23:00:00</t>
        </is>
      </c>
      <c r="V766" s="4" t="inlineStr">
        <is>
          <t>Energia mensual entregada al SADI.</t>
        </is>
      </c>
    </row>
    <row r="767">
      <c r="A767" s="6" t="inlineStr">
        <is>
          <t>R0000766</t>
        </is>
      </c>
      <c r="B767" s="6" t="inlineStr">
        <is>
          <t>2011-06-01</t>
        </is>
      </c>
      <c r="C767" s="6" t="inlineStr">
        <is>
          <t>2011-06-30</t>
        </is>
      </c>
      <c r="D767" s="6" t="inlineStr">
        <is>
          <t>month</t>
        </is>
      </c>
      <c r="E767" s="6" t="inlineStr">
        <is>
          <t>ENERGY_TO_PY</t>
        </is>
      </c>
      <c r="F767" s="6" t="inlineStr">
        <is>
          <t>YACYRETA</t>
        </is>
      </c>
      <c r="G767" s="6" t="inlineStr">
        <is>
          <t>YACYRETA</t>
        </is>
      </c>
      <c r="H767" s="6" t="inlineStr">
        <is>
          <t>SINP</t>
        </is>
      </c>
      <c r="I767" s="8" t="n">
        <v>155080</v>
      </c>
      <c r="J767" s="6" t="inlineStr">
        <is>
          <t>MWh</t>
        </is>
      </c>
      <c r="K767" s="8" t="n">
        <v>155080</v>
      </c>
      <c r="L767" s="6" t="inlineStr">
        <is>
          <t>MWh</t>
        </is>
      </c>
      <c r="M767" s="6" t="inlineStr">
        <is>
          <t>EBY</t>
        </is>
      </c>
      <c r="N767" s="6" t="inlineStr">
        <is>
          <t>OFFICIAL_PRIMARY</t>
        </is>
      </c>
      <c r="O767" s="9" t="inlineStr">
        <is>
          <t>OFFICIAL_AGGREGATE</t>
        </is>
      </c>
      <c r="P767" s="8" t="n">
        <v>1</v>
      </c>
      <c r="Q767" s="8" t="n">
        <v>50</v>
      </c>
      <c r="R767" s="7" t="inlineStr">
        <is>
          <t>https://www.eby.gov.py/wp-content/uploads/2019/12/YacyretaEnergiasMensualesDesdePuestaenMarcha.pdf</t>
        </is>
      </c>
      <c r="S767" s="6" t="inlineStr">
        <is>
          <t>EBY-MONTHLY-1994-2012</t>
        </is>
      </c>
      <c r="T767" s="6" t="inlineStr"/>
      <c r="U767" s="4" t="inlineStr">
        <is>
          <t>2026-09-10 23:00:00</t>
        </is>
      </c>
      <c r="V767" s="4" t="inlineStr">
        <is>
          <t>Energia mensual entregada al SINP.</t>
        </is>
      </c>
    </row>
    <row r="768">
      <c r="A768" s="6" t="inlineStr">
        <is>
          <t>R0000767</t>
        </is>
      </c>
      <c r="B768" s="6" t="inlineStr">
        <is>
          <t>2011-07-01</t>
        </is>
      </c>
      <c r="C768" s="6" t="inlineStr">
        <is>
          <t>2011-07-31</t>
        </is>
      </c>
      <c r="D768" s="6" t="inlineStr">
        <is>
          <t>month</t>
        </is>
      </c>
      <c r="E768" s="6" t="inlineStr">
        <is>
          <t>YACYRETA_NET_ENERGY</t>
        </is>
      </c>
      <c r="F768" s="6" t="inlineStr">
        <is>
          <t>YACYRETA</t>
        </is>
      </c>
      <c r="G768" s="6" t="inlineStr">
        <is>
          <t>YACYRETA</t>
        </is>
      </c>
      <c r="H768" s="6" t="inlineStr">
        <is>
          <t>TOTAL</t>
        </is>
      </c>
      <c r="I768" s="8" t="n">
        <v>1734016</v>
      </c>
      <c r="J768" s="6" t="inlineStr">
        <is>
          <t>MWh</t>
        </is>
      </c>
      <c r="K768" s="8" t="n">
        <v>1734016</v>
      </c>
      <c r="L768" s="6" t="inlineStr">
        <is>
          <t>MWh</t>
        </is>
      </c>
      <c r="M768" s="6" t="inlineStr">
        <is>
          <t>EBY</t>
        </is>
      </c>
      <c r="N768" s="6" t="inlineStr">
        <is>
          <t>OFFICIAL_PRIMARY</t>
        </is>
      </c>
      <c r="O768" s="9" t="inlineStr">
        <is>
          <t>OFFICIAL_AGGREGATE</t>
        </is>
      </c>
      <c r="P768" s="8" t="n">
        <v>1</v>
      </c>
      <c r="Q768" s="8" t="n">
        <v>50</v>
      </c>
      <c r="R768" s="7" t="inlineStr">
        <is>
          <t>https://www.eby.gov.py/wp-content/uploads/2019/12/YacyretaEnergiasMensualesDesdePuestaenMarcha.pdf</t>
        </is>
      </c>
      <c r="S768" s="6" t="inlineStr">
        <is>
          <t>EBY-MONTHLY-1994-2012</t>
        </is>
      </c>
      <c r="T768" s="6" t="inlineStr"/>
      <c r="U768" s="4" t="inlineStr">
        <is>
          <t>2026-09-10 23:00:00</t>
        </is>
      </c>
      <c r="V768" s="4" t="inlineStr">
        <is>
          <t>Energia mensual Yacyreta desde puesta en marcha.</t>
        </is>
      </c>
    </row>
    <row r="769">
      <c r="A769" s="6" t="inlineStr">
        <is>
          <t>R0000768</t>
        </is>
      </c>
      <c r="B769" s="6" t="inlineStr">
        <is>
          <t>2011-07-01</t>
        </is>
      </c>
      <c r="C769" s="6" t="inlineStr">
        <is>
          <t>2011-07-31</t>
        </is>
      </c>
      <c r="D769" s="6" t="inlineStr">
        <is>
          <t>month</t>
        </is>
      </c>
      <c r="E769" s="6" t="inlineStr">
        <is>
          <t>ENERGY_TO_ARGENTINA</t>
        </is>
      </c>
      <c r="F769" s="6" t="inlineStr">
        <is>
          <t>YACYRETA</t>
        </is>
      </c>
      <c r="G769" s="6" t="inlineStr">
        <is>
          <t>YACYRETA</t>
        </is>
      </c>
      <c r="H769" s="6" t="inlineStr">
        <is>
          <t>SADI</t>
        </is>
      </c>
      <c r="I769" s="8" t="n">
        <v>1564616</v>
      </c>
      <c r="J769" s="6" t="inlineStr">
        <is>
          <t>MWh</t>
        </is>
      </c>
      <c r="K769" s="8" t="n">
        <v>1564616</v>
      </c>
      <c r="L769" s="6" t="inlineStr">
        <is>
          <t>MWh</t>
        </is>
      </c>
      <c r="M769" s="6" t="inlineStr">
        <is>
          <t>EBY</t>
        </is>
      </c>
      <c r="N769" s="6" t="inlineStr">
        <is>
          <t>OFFICIAL_PRIMARY</t>
        </is>
      </c>
      <c r="O769" s="9" t="inlineStr">
        <is>
          <t>OFFICIAL_AGGREGATE</t>
        </is>
      </c>
      <c r="P769" s="8" t="n">
        <v>1</v>
      </c>
      <c r="Q769" s="8" t="n">
        <v>50</v>
      </c>
      <c r="R769" s="7" t="inlineStr">
        <is>
          <t>https://www.eby.gov.py/wp-content/uploads/2019/12/YacyretaEnergiasMensualesDesdePuestaenMarcha.pdf</t>
        </is>
      </c>
      <c r="S769" s="6" t="inlineStr">
        <is>
          <t>EBY-MONTHLY-1994-2012</t>
        </is>
      </c>
      <c r="T769" s="6" t="inlineStr"/>
      <c r="U769" s="4" t="inlineStr">
        <is>
          <t>2026-09-10 23:00:00</t>
        </is>
      </c>
      <c r="V769" s="4" t="inlineStr">
        <is>
          <t>Energia mensual entregada al SADI.</t>
        </is>
      </c>
    </row>
    <row r="770">
      <c r="A770" s="6" t="inlineStr">
        <is>
          <t>R0000769</t>
        </is>
      </c>
      <c r="B770" s="6" t="inlineStr">
        <is>
          <t>2011-07-01</t>
        </is>
      </c>
      <c r="C770" s="6" t="inlineStr">
        <is>
          <t>2011-07-31</t>
        </is>
      </c>
      <c r="D770" s="6" t="inlineStr">
        <is>
          <t>month</t>
        </is>
      </c>
      <c r="E770" s="6" t="inlineStr">
        <is>
          <t>ENERGY_TO_PY</t>
        </is>
      </c>
      <c r="F770" s="6" t="inlineStr">
        <is>
          <t>YACYRETA</t>
        </is>
      </c>
      <c r="G770" s="6" t="inlineStr">
        <is>
          <t>YACYRETA</t>
        </is>
      </c>
      <c r="H770" s="6" t="inlineStr">
        <is>
          <t>SINP</t>
        </is>
      </c>
      <c r="I770" s="8" t="n">
        <v>169400</v>
      </c>
      <c r="J770" s="6" t="inlineStr">
        <is>
          <t>MWh</t>
        </is>
      </c>
      <c r="K770" s="8" t="n">
        <v>169400</v>
      </c>
      <c r="L770" s="6" t="inlineStr">
        <is>
          <t>MWh</t>
        </is>
      </c>
      <c r="M770" s="6" t="inlineStr">
        <is>
          <t>EBY</t>
        </is>
      </c>
      <c r="N770" s="6" t="inlineStr">
        <is>
          <t>OFFICIAL_PRIMARY</t>
        </is>
      </c>
      <c r="O770" s="9" t="inlineStr">
        <is>
          <t>OFFICIAL_AGGREGATE</t>
        </is>
      </c>
      <c r="P770" s="8" t="n">
        <v>1</v>
      </c>
      <c r="Q770" s="8" t="n">
        <v>50</v>
      </c>
      <c r="R770" s="7" t="inlineStr">
        <is>
          <t>https://www.eby.gov.py/wp-content/uploads/2019/12/YacyretaEnergiasMensualesDesdePuestaenMarcha.pdf</t>
        </is>
      </c>
      <c r="S770" s="6" t="inlineStr">
        <is>
          <t>EBY-MONTHLY-1994-2012</t>
        </is>
      </c>
      <c r="T770" s="6" t="inlineStr"/>
      <c r="U770" s="4" t="inlineStr">
        <is>
          <t>2026-09-10 23:00:00</t>
        </is>
      </c>
      <c r="V770" s="4" t="inlineStr">
        <is>
          <t>Energia mensual entregada al SINP.</t>
        </is>
      </c>
    </row>
    <row r="771">
      <c r="A771" s="6" t="inlineStr">
        <is>
          <t>R0000770</t>
        </is>
      </c>
      <c r="B771" s="6" t="inlineStr">
        <is>
          <t>2011-08-01</t>
        </is>
      </c>
      <c r="C771" s="6" t="inlineStr">
        <is>
          <t>2011-08-31</t>
        </is>
      </c>
      <c r="D771" s="6" t="inlineStr">
        <is>
          <t>month</t>
        </is>
      </c>
      <c r="E771" s="6" t="inlineStr">
        <is>
          <t>YACYRETA_NET_ENERGY</t>
        </is>
      </c>
      <c r="F771" s="6" t="inlineStr">
        <is>
          <t>YACYRETA</t>
        </is>
      </c>
      <c r="G771" s="6" t="inlineStr">
        <is>
          <t>YACYRETA</t>
        </is>
      </c>
      <c r="H771" s="6" t="inlineStr">
        <is>
          <t>TOTAL</t>
        </is>
      </c>
      <c r="I771" s="8" t="n">
        <v>1700404</v>
      </c>
      <c r="J771" s="6" t="inlineStr">
        <is>
          <t>MWh</t>
        </is>
      </c>
      <c r="K771" s="8" t="n">
        <v>1700404</v>
      </c>
      <c r="L771" s="6" t="inlineStr">
        <is>
          <t>MWh</t>
        </is>
      </c>
      <c r="M771" s="6" t="inlineStr">
        <is>
          <t>EBY</t>
        </is>
      </c>
      <c r="N771" s="6" t="inlineStr">
        <is>
          <t>OFFICIAL_PRIMARY</t>
        </is>
      </c>
      <c r="O771" s="9" t="inlineStr">
        <is>
          <t>OFFICIAL_AGGREGATE</t>
        </is>
      </c>
      <c r="P771" s="8" t="n">
        <v>1</v>
      </c>
      <c r="Q771" s="8" t="n">
        <v>50</v>
      </c>
      <c r="R771" s="7" t="inlineStr">
        <is>
          <t>https://www.eby.gov.py/wp-content/uploads/2019/12/YacyretaEnergiasMensualesDesdePuestaenMarcha.pdf</t>
        </is>
      </c>
      <c r="S771" s="6" t="inlineStr">
        <is>
          <t>EBY-MONTHLY-1994-2012</t>
        </is>
      </c>
      <c r="T771" s="6" t="inlineStr"/>
      <c r="U771" s="4" t="inlineStr">
        <is>
          <t>2026-09-10 23:00:00</t>
        </is>
      </c>
      <c r="V771" s="4" t="inlineStr">
        <is>
          <t>Energia mensual Yacyreta desde puesta en marcha.</t>
        </is>
      </c>
    </row>
    <row r="772">
      <c r="A772" s="6" t="inlineStr">
        <is>
          <t>R0000771</t>
        </is>
      </c>
      <c r="B772" s="6" t="inlineStr">
        <is>
          <t>2011-08-01</t>
        </is>
      </c>
      <c r="C772" s="6" t="inlineStr">
        <is>
          <t>2011-08-31</t>
        </is>
      </c>
      <c r="D772" s="6" t="inlineStr">
        <is>
          <t>month</t>
        </is>
      </c>
      <c r="E772" s="6" t="inlineStr">
        <is>
          <t>ENERGY_TO_ARGENTINA</t>
        </is>
      </c>
      <c r="F772" s="6" t="inlineStr">
        <is>
          <t>YACYRETA</t>
        </is>
      </c>
      <c r="G772" s="6" t="inlineStr">
        <is>
          <t>YACYRETA</t>
        </is>
      </c>
      <c r="H772" s="6" t="inlineStr">
        <is>
          <t>SADI</t>
        </is>
      </c>
      <c r="I772" s="8" t="n">
        <v>1524886</v>
      </c>
      <c r="J772" s="6" t="inlineStr">
        <is>
          <t>MWh</t>
        </is>
      </c>
      <c r="K772" s="8" t="n">
        <v>1524886</v>
      </c>
      <c r="L772" s="6" t="inlineStr">
        <is>
          <t>MWh</t>
        </is>
      </c>
      <c r="M772" s="6" t="inlineStr">
        <is>
          <t>EBY</t>
        </is>
      </c>
      <c r="N772" s="6" t="inlineStr">
        <is>
          <t>OFFICIAL_PRIMARY</t>
        </is>
      </c>
      <c r="O772" s="9" t="inlineStr">
        <is>
          <t>OFFICIAL_AGGREGATE</t>
        </is>
      </c>
      <c r="P772" s="8" t="n">
        <v>1</v>
      </c>
      <c r="Q772" s="8" t="n">
        <v>50</v>
      </c>
      <c r="R772" s="7" t="inlineStr">
        <is>
          <t>https://www.eby.gov.py/wp-content/uploads/2019/12/YacyretaEnergiasMensualesDesdePuestaenMarcha.pdf</t>
        </is>
      </c>
      <c r="S772" s="6" t="inlineStr">
        <is>
          <t>EBY-MONTHLY-1994-2012</t>
        </is>
      </c>
      <c r="T772" s="6" t="inlineStr"/>
      <c r="U772" s="4" t="inlineStr">
        <is>
          <t>2026-09-10 23:00:00</t>
        </is>
      </c>
      <c r="V772" s="4" t="inlineStr">
        <is>
          <t>Energia mensual entregada al SADI.</t>
        </is>
      </c>
    </row>
    <row r="773">
      <c r="A773" s="6" t="inlineStr">
        <is>
          <t>R0000772</t>
        </is>
      </c>
      <c r="B773" s="6" t="inlineStr">
        <is>
          <t>2011-08-01</t>
        </is>
      </c>
      <c r="C773" s="6" t="inlineStr">
        <is>
          <t>2011-08-31</t>
        </is>
      </c>
      <c r="D773" s="6" t="inlineStr">
        <is>
          <t>month</t>
        </is>
      </c>
      <c r="E773" s="6" t="inlineStr">
        <is>
          <t>ENERGY_TO_PY</t>
        </is>
      </c>
      <c r="F773" s="6" t="inlineStr">
        <is>
          <t>YACYRETA</t>
        </is>
      </c>
      <c r="G773" s="6" t="inlineStr">
        <is>
          <t>YACYRETA</t>
        </is>
      </c>
      <c r="H773" s="6" t="inlineStr">
        <is>
          <t>SINP</t>
        </is>
      </c>
      <c r="I773" s="8" t="n">
        <v>175518</v>
      </c>
      <c r="J773" s="6" t="inlineStr">
        <is>
          <t>MWh</t>
        </is>
      </c>
      <c r="K773" s="8" t="n">
        <v>175518</v>
      </c>
      <c r="L773" s="6" t="inlineStr">
        <is>
          <t>MWh</t>
        </is>
      </c>
      <c r="M773" s="6" t="inlineStr">
        <is>
          <t>EBY</t>
        </is>
      </c>
      <c r="N773" s="6" t="inlineStr">
        <is>
          <t>OFFICIAL_PRIMARY</t>
        </is>
      </c>
      <c r="O773" s="9" t="inlineStr">
        <is>
          <t>OFFICIAL_AGGREGATE</t>
        </is>
      </c>
      <c r="P773" s="8" t="n">
        <v>1</v>
      </c>
      <c r="Q773" s="8" t="n">
        <v>50</v>
      </c>
      <c r="R773" s="7" t="inlineStr">
        <is>
          <t>https://www.eby.gov.py/wp-content/uploads/2019/12/YacyretaEnergiasMensualesDesdePuestaenMarcha.pdf</t>
        </is>
      </c>
      <c r="S773" s="6" t="inlineStr">
        <is>
          <t>EBY-MONTHLY-1994-2012</t>
        </is>
      </c>
      <c r="T773" s="6" t="inlineStr"/>
      <c r="U773" s="4" t="inlineStr">
        <is>
          <t>2026-09-10 23:00:00</t>
        </is>
      </c>
      <c r="V773" s="4" t="inlineStr">
        <is>
          <t>Energia mensual entregada al SINP.</t>
        </is>
      </c>
    </row>
    <row r="774">
      <c r="A774" s="6" t="inlineStr">
        <is>
          <t>R0000773</t>
        </is>
      </c>
      <c r="B774" s="6" t="inlineStr">
        <is>
          <t>2011-09-01</t>
        </is>
      </c>
      <c r="C774" s="6" t="inlineStr">
        <is>
          <t>2011-09-30</t>
        </is>
      </c>
      <c r="D774" s="6" t="inlineStr">
        <is>
          <t>month</t>
        </is>
      </c>
      <c r="E774" s="6" t="inlineStr">
        <is>
          <t>YACYRETA_NET_ENERGY</t>
        </is>
      </c>
      <c r="F774" s="6" t="inlineStr">
        <is>
          <t>YACYRETA</t>
        </is>
      </c>
      <c r="G774" s="6" t="inlineStr">
        <is>
          <t>YACYRETA</t>
        </is>
      </c>
      <c r="H774" s="6" t="inlineStr">
        <is>
          <t>TOTAL</t>
        </is>
      </c>
      <c r="I774" s="8" t="n">
        <v>1648050</v>
      </c>
      <c r="J774" s="6" t="inlineStr">
        <is>
          <t>MWh</t>
        </is>
      </c>
      <c r="K774" s="8" t="n">
        <v>1648050</v>
      </c>
      <c r="L774" s="6" t="inlineStr">
        <is>
          <t>MWh</t>
        </is>
      </c>
      <c r="M774" s="6" t="inlineStr">
        <is>
          <t>EBY</t>
        </is>
      </c>
      <c r="N774" s="6" t="inlineStr">
        <is>
          <t>OFFICIAL_PRIMARY</t>
        </is>
      </c>
      <c r="O774" s="9" t="inlineStr">
        <is>
          <t>OFFICIAL_AGGREGATE</t>
        </is>
      </c>
      <c r="P774" s="8" t="n">
        <v>1</v>
      </c>
      <c r="Q774" s="8" t="n">
        <v>50</v>
      </c>
      <c r="R774" s="7" t="inlineStr">
        <is>
          <t>https://www.eby.gov.py/wp-content/uploads/2019/12/YacyretaEnergiasMensualesDesdePuestaenMarcha.pdf</t>
        </is>
      </c>
      <c r="S774" s="6" t="inlineStr">
        <is>
          <t>EBY-MONTHLY-1994-2012</t>
        </is>
      </c>
      <c r="T774" s="6" t="inlineStr"/>
      <c r="U774" s="4" t="inlineStr">
        <is>
          <t>2026-09-10 23:00:00</t>
        </is>
      </c>
      <c r="V774" s="4" t="inlineStr">
        <is>
          <t>Energia mensual Yacyreta desde puesta en marcha.</t>
        </is>
      </c>
    </row>
    <row r="775">
      <c r="A775" s="6" t="inlineStr">
        <is>
          <t>R0000774</t>
        </is>
      </c>
      <c r="B775" s="6" t="inlineStr">
        <is>
          <t>2011-09-01</t>
        </is>
      </c>
      <c r="C775" s="6" t="inlineStr">
        <is>
          <t>2011-09-30</t>
        </is>
      </c>
      <c r="D775" s="6" t="inlineStr">
        <is>
          <t>month</t>
        </is>
      </c>
      <c r="E775" s="6" t="inlineStr">
        <is>
          <t>ENERGY_TO_ARGENTINA</t>
        </is>
      </c>
      <c r="F775" s="6" t="inlineStr">
        <is>
          <t>YACYRETA</t>
        </is>
      </c>
      <c r="G775" s="6" t="inlineStr">
        <is>
          <t>YACYRETA</t>
        </is>
      </c>
      <c r="H775" s="6" t="inlineStr">
        <is>
          <t>SADI</t>
        </is>
      </c>
      <c r="I775" s="8" t="n">
        <v>1485424</v>
      </c>
      <c r="J775" s="6" t="inlineStr">
        <is>
          <t>MWh</t>
        </is>
      </c>
      <c r="K775" s="8" t="n">
        <v>1485424</v>
      </c>
      <c r="L775" s="6" t="inlineStr">
        <is>
          <t>MWh</t>
        </is>
      </c>
      <c r="M775" s="6" t="inlineStr">
        <is>
          <t>EBY</t>
        </is>
      </c>
      <c r="N775" s="6" t="inlineStr">
        <is>
          <t>OFFICIAL_PRIMARY</t>
        </is>
      </c>
      <c r="O775" s="9" t="inlineStr">
        <is>
          <t>OFFICIAL_AGGREGATE</t>
        </is>
      </c>
      <c r="P775" s="8" t="n">
        <v>1</v>
      </c>
      <c r="Q775" s="8" t="n">
        <v>50</v>
      </c>
      <c r="R775" s="7" t="inlineStr">
        <is>
          <t>https://www.eby.gov.py/wp-content/uploads/2019/12/YacyretaEnergiasMensualesDesdePuestaenMarcha.pdf</t>
        </is>
      </c>
      <c r="S775" s="6" t="inlineStr">
        <is>
          <t>EBY-MONTHLY-1994-2012</t>
        </is>
      </c>
      <c r="T775" s="6" t="inlineStr"/>
      <c r="U775" s="4" t="inlineStr">
        <is>
          <t>2026-09-10 23:00:00</t>
        </is>
      </c>
      <c r="V775" s="4" t="inlineStr">
        <is>
          <t>Energia mensual entregada al SADI.</t>
        </is>
      </c>
    </row>
    <row r="776">
      <c r="A776" s="6" t="inlineStr">
        <is>
          <t>R0000775</t>
        </is>
      </c>
      <c r="B776" s="6" t="inlineStr">
        <is>
          <t>2011-09-01</t>
        </is>
      </c>
      <c r="C776" s="6" t="inlineStr">
        <is>
          <t>2011-09-30</t>
        </is>
      </c>
      <c r="D776" s="6" t="inlineStr">
        <is>
          <t>month</t>
        </is>
      </c>
      <c r="E776" s="6" t="inlineStr">
        <is>
          <t>ENERGY_TO_PY</t>
        </is>
      </c>
      <c r="F776" s="6" t="inlineStr">
        <is>
          <t>YACYRETA</t>
        </is>
      </c>
      <c r="G776" s="6" t="inlineStr">
        <is>
          <t>YACYRETA</t>
        </is>
      </c>
      <c r="H776" s="6" t="inlineStr">
        <is>
          <t>SINP</t>
        </is>
      </c>
      <c r="I776" s="8" t="n">
        <v>162626</v>
      </c>
      <c r="J776" s="6" t="inlineStr">
        <is>
          <t>MWh</t>
        </is>
      </c>
      <c r="K776" s="8" t="n">
        <v>162626</v>
      </c>
      <c r="L776" s="6" t="inlineStr">
        <is>
          <t>MWh</t>
        </is>
      </c>
      <c r="M776" s="6" t="inlineStr">
        <is>
          <t>EBY</t>
        </is>
      </c>
      <c r="N776" s="6" t="inlineStr">
        <is>
          <t>OFFICIAL_PRIMARY</t>
        </is>
      </c>
      <c r="O776" s="9" t="inlineStr">
        <is>
          <t>OFFICIAL_AGGREGATE</t>
        </is>
      </c>
      <c r="P776" s="8" t="n">
        <v>1</v>
      </c>
      <c r="Q776" s="8" t="n">
        <v>50</v>
      </c>
      <c r="R776" s="7" t="inlineStr">
        <is>
          <t>https://www.eby.gov.py/wp-content/uploads/2019/12/YacyretaEnergiasMensualesDesdePuestaenMarcha.pdf</t>
        </is>
      </c>
      <c r="S776" s="6" t="inlineStr">
        <is>
          <t>EBY-MONTHLY-1994-2012</t>
        </is>
      </c>
      <c r="T776" s="6" t="inlineStr"/>
      <c r="U776" s="4" t="inlineStr">
        <is>
          <t>2026-09-10 23:00:00</t>
        </is>
      </c>
      <c r="V776" s="4" t="inlineStr">
        <is>
          <t>Energia mensual entregada al SINP.</t>
        </is>
      </c>
    </row>
    <row r="777">
      <c r="A777" s="6" t="inlineStr">
        <is>
          <t>R0000776</t>
        </is>
      </c>
      <c r="B777" s="6" t="inlineStr">
        <is>
          <t>2011-10-01</t>
        </is>
      </c>
      <c r="C777" s="6" t="inlineStr">
        <is>
          <t>2011-10-31</t>
        </is>
      </c>
      <c r="D777" s="6" t="inlineStr">
        <is>
          <t>month</t>
        </is>
      </c>
      <c r="E777" s="6" t="inlineStr">
        <is>
          <t>YACYRETA_NET_ENERGY</t>
        </is>
      </c>
      <c r="F777" s="6" t="inlineStr">
        <is>
          <t>YACYRETA</t>
        </is>
      </c>
      <c r="G777" s="6" t="inlineStr">
        <is>
          <t>YACYRETA</t>
        </is>
      </c>
      <c r="H777" s="6" t="inlineStr">
        <is>
          <t>TOTAL</t>
        </is>
      </c>
      <c r="I777" s="8" t="n">
        <v>1732376</v>
      </c>
      <c r="J777" s="6" t="inlineStr">
        <is>
          <t>MWh</t>
        </is>
      </c>
      <c r="K777" s="8" t="n">
        <v>1732376</v>
      </c>
      <c r="L777" s="6" t="inlineStr">
        <is>
          <t>MWh</t>
        </is>
      </c>
      <c r="M777" s="6" t="inlineStr">
        <is>
          <t>EBY</t>
        </is>
      </c>
      <c r="N777" s="6" t="inlineStr">
        <is>
          <t>OFFICIAL_PRIMARY</t>
        </is>
      </c>
      <c r="O777" s="9" t="inlineStr">
        <is>
          <t>OFFICIAL_AGGREGATE</t>
        </is>
      </c>
      <c r="P777" s="8" t="n">
        <v>1</v>
      </c>
      <c r="Q777" s="8" t="n">
        <v>50</v>
      </c>
      <c r="R777" s="7" t="inlineStr">
        <is>
          <t>https://www.eby.gov.py/wp-content/uploads/2019/12/YacyretaEnergiasMensualesDesdePuestaenMarcha.pdf</t>
        </is>
      </c>
      <c r="S777" s="6" t="inlineStr">
        <is>
          <t>EBY-MONTHLY-1994-2012</t>
        </is>
      </c>
      <c r="T777" s="6" t="inlineStr"/>
      <c r="U777" s="4" t="inlineStr">
        <is>
          <t>2026-09-10 23:00:00</t>
        </is>
      </c>
      <c r="V777" s="4" t="inlineStr">
        <is>
          <t>Energia mensual Yacyreta desde puesta en marcha.</t>
        </is>
      </c>
    </row>
    <row r="778">
      <c r="A778" s="6" t="inlineStr">
        <is>
          <t>R0000777</t>
        </is>
      </c>
      <c r="B778" s="6" t="inlineStr">
        <is>
          <t>2011-10-01</t>
        </is>
      </c>
      <c r="C778" s="6" t="inlineStr">
        <is>
          <t>2011-10-31</t>
        </is>
      </c>
      <c r="D778" s="6" t="inlineStr">
        <is>
          <t>month</t>
        </is>
      </c>
      <c r="E778" s="6" t="inlineStr">
        <is>
          <t>ENERGY_TO_ARGENTINA</t>
        </is>
      </c>
      <c r="F778" s="6" t="inlineStr">
        <is>
          <t>YACYRETA</t>
        </is>
      </c>
      <c r="G778" s="6" t="inlineStr">
        <is>
          <t>YACYRETA</t>
        </is>
      </c>
      <c r="H778" s="6" t="inlineStr">
        <is>
          <t>SADI</t>
        </is>
      </c>
      <c r="I778" s="8" t="n">
        <v>1549638</v>
      </c>
      <c r="J778" s="6" t="inlineStr">
        <is>
          <t>MWh</t>
        </is>
      </c>
      <c r="K778" s="8" t="n">
        <v>1549638</v>
      </c>
      <c r="L778" s="6" t="inlineStr">
        <is>
          <t>MWh</t>
        </is>
      </c>
      <c r="M778" s="6" t="inlineStr">
        <is>
          <t>EBY</t>
        </is>
      </c>
      <c r="N778" s="6" t="inlineStr">
        <is>
          <t>OFFICIAL_PRIMARY</t>
        </is>
      </c>
      <c r="O778" s="9" t="inlineStr">
        <is>
          <t>OFFICIAL_AGGREGATE</t>
        </is>
      </c>
      <c r="P778" s="8" t="n">
        <v>1</v>
      </c>
      <c r="Q778" s="8" t="n">
        <v>50</v>
      </c>
      <c r="R778" s="7" t="inlineStr">
        <is>
          <t>https://www.eby.gov.py/wp-content/uploads/2019/12/YacyretaEnergiasMensualesDesdePuestaenMarcha.pdf</t>
        </is>
      </c>
      <c r="S778" s="6" t="inlineStr">
        <is>
          <t>EBY-MONTHLY-1994-2012</t>
        </is>
      </c>
      <c r="T778" s="6" t="inlineStr"/>
      <c r="U778" s="4" t="inlineStr">
        <is>
          <t>2026-09-10 23:00:00</t>
        </is>
      </c>
      <c r="V778" s="4" t="inlineStr">
        <is>
          <t>Energia mensual entregada al SADI.</t>
        </is>
      </c>
    </row>
    <row r="779">
      <c r="A779" s="6" t="inlineStr">
        <is>
          <t>R0000778</t>
        </is>
      </c>
      <c r="B779" s="6" t="inlineStr">
        <is>
          <t>2011-10-01</t>
        </is>
      </c>
      <c r="C779" s="6" t="inlineStr">
        <is>
          <t>2011-10-31</t>
        </is>
      </c>
      <c r="D779" s="6" t="inlineStr">
        <is>
          <t>month</t>
        </is>
      </c>
      <c r="E779" s="6" t="inlineStr">
        <is>
          <t>ENERGY_TO_PY</t>
        </is>
      </c>
      <c r="F779" s="6" t="inlineStr">
        <is>
          <t>YACYRETA</t>
        </is>
      </c>
      <c r="G779" s="6" t="inlineStr">
        <is>
          <t>YACYRETA</t>
        </is>
      </c>
      <c r="H779" s="6" t="inlineStr">
        <is>
          <t>SINP</t>
        </is>
      </c>
      <c r="I779" s="8" t="n">
        <v>182738</v>
      </c>
      <c r="J779" s="6" t="inlineStr">
        <is>
          <t>MWh</t>
        </is>
      </c>
      <c r="K779" s="8" t="n">
        <v>182738</v>
      </c>
      <c r="L779" s="6" t="inlineStr">
        <is>
          <t>MWh</t>
        </is>
      </c>
      <c r="M779" s="6" t="inlineStr">
        <is>
          <t>EBY</t>
        </is>
      </c>
      <c r="N779" s="6" t="inlineStr">
        <is>
          <t>OFFICIAL_PRIMARY</t>
        </is>
      </c>
      <c r="O779" s="9" t="inlineStr">
        <is>
          <t>OFFICIAL_AGGREGATE</t>
        </is>
      </c>
      <c r="P779" s="8" t="n">
        <v>1</v>
      </c>
      <c r="Q779" s="8" t="n">
        <v>50</v>
      </c>
      <c r="R779" s="7" t="inlineStr">
        <is>
          <t>https://www.eby.gov.py/wp-content/uploads/2019/12/YacyretaEnergiasMensualesDesdePuestaenMarcha.pdf</t>
        </is>
      </c>
      <c r="S779" s="6" t="inlineStr">
        <is>
          <t>EBY-MONTHLY-1994-2012</t>
        </is>
      </c>
      <c r="T779" s="6" t="inlineStr"/>
      <c r="U779" s="4" t="inlineStr">
        <is>
          <t>2026-09-10 23:00:00</t>
        </is>
      </c>
      <c r="V779" s="4" t="inlineStr">
        <is>
          <t>Energia mensual entregada al SINP.</t>
        </is>
      </c>
    </row>
    <row r="780">
      <c r="A780" s="6" t="inlineStr">
        <is>
          <t>R0000779</t>
        </is>
      </c>
      <c r="B780" s="6" t="inlineStr">
        <is>
          <t>2011-11-01</t>
        </is>
      </c>
      <c r="C780" s="6" t="inlineStr">
        <is>
          <t>2011-11-30</t>
        </is>
      </c>
      <c r="D780" s="6" t="inlineStr">
        <is>
          <t>month</t>
        </is>
      </c>
      <c r="E780" s="6" t="inlineStr">
        <is>
          <t>YACYRETA_NET_ENERGY</t>
        </is>
      </c>
      <c r="F780" s="6" t="inlineStr">
        <is>
          <t>YACYRETA</t>
        </is>
      </c>
      <c r="G780" s="6" t="inlineStr">
        <is>
          <t>YACYRETA</t>
        </is>
      </c>
      <c r="H780" s="6" t="inlineStr">
        <is>
          <t>TOTAL</t>
        </is>
      </c>
      <c r="I780" s="8" t="n">
        <v>1648367</v>
      </c>
      <c r="J780" s="6" t="inlineStr">
        <is>
          <t>MWh</t>
        </is>
      </c>
      <c r="K780" s="8" t="n">
        <v>1648367</v>
      </c>
      <c r="L780" s="6" t="inlineStr">
        <is>
          <t>MWh</t>
        </is>
      </c>
      <c r="M780" s="6" t="inlineStr">
        <is>
          <t>EBY</t>
        </is>
      </c>
      <c r="N780" s="6" t="inlineStr">
        <is>
          <t>OFFICIAL_PRIMARY</t>
        </is>
      </c>
      <c r="O780" s="9" t="inlineStr">
        <is>
          <t>OFFICIAL_AGGREGATE</t>
        </is>
      </c>
      <c r="P780" s="8" t="n">
        <v>1</v>
      </c>
      <c r="Q780" s="8" t="n">
        <v>50</v>
      </c>
      <c r="R780" s="7" t="inlineStr">
        <is>
          <t>https://www.eby.gov.py/wp-content/uploads/2019/12/YacyretaEnergiasMensualesDesdePuestaenMarcha.pdf</t>
        </is>
      </c>
      <c r="S780" s="6" t="inlineStr">
        <is>
          <t>EBY-MONTHLY-1994-2012</t>
        </is>
      </c>
      <c r="T780" s="6" t="inlineStr"/>
      <c r="U780" s="4" t="inlineStr">
        <is>
          <t>2026-09-10 23:00:00</t>
        </is>
      </c>
      <c r="V780" s="4" t="inlineStr">
        <is>
          <t>Energia mensual Yacyreta desde puesta en marcha.</t>
        </is>
      </c>
    </row>
    <row r="781">
      <c r="A781" s="6" t="inlineStr">
        <is>
          <t>R0000780</t>
        </is>
      </c>
      <c r="B781" s="6" t="inlineStr">
        <is>
          <t>2011-11-01</t>
        </is>
      </c>
      <c r="C781" s="6" t="inlineStr">
        <is>
          <t>2011-11-30</t>
        </is>
      </c>
      <c r="D781" s="6" t="inlineStr">
        <is>
          <t>month</t>
        </is>
      </c>
      <c r="E781" s="6" t="inlineStr">
        <is>
          <t>ENERGY_TO_ARGENTINA</t>
        </is>
      </c>
      <c r="F781" s="6" t="inlineStr">
        <is>
          <t>YACYRETA</t>
        </is>
      </c>
      <c r="G781" s="6" t="inlineStr">
        <is>
          <t>YACYRETA</t>
        </is>
      </c>
      <c r="H781" s="6" t="inlineStr">
        <is>
          <t>SADI</t>
        </is>
      </c>
      <c r="I781" s="8" t="n">
        <v>1456616</v>
      </c>
      <c r="J781" s="6" t="inlineStr">
        <is>
          <t>MWh</t>
        </is>
      </c>
      <c r="K781" s="8" t="n">
        <v>1456616</v>
      </c>
      <c r="L781" s="6" t="inlineStr">
        <is>
          <t>MWh</t>
        </is>
      </c>
      <c r="M781" s="6" t="inlineStr">
        <is>
          <t>EBY</t>
        </is>
      </c>
      <c r="N781" s="6" t="inlineStr">
        <is>
          <t>OFFICIAL_PRIMARY</t>
        </is>
      </c>
      <c r="O781" s="9" t="inlineStr">
        <is>
          <t>OFFICIAL_AGGREGATE</t>
        </is>
      </c>
      <c r="P781" s="8" t="n">
        <v>1</v>
      </c>
      <c r="Q781" s="8" t="n">
        <v>50</v>
      </c>
      <c r="R781" s="7" t="inlineStr">
        <is>
          <t>https://www.eby.gov.py/wp-content/uploads/2019/12/YacyretaEnergiasMensualesDesdePuestaenMarcha.pdf</t>
        </is>
      </c>
      <c r="S781" s="6" t="inlineStr">
        <is>
          <t>EBY-MONTHLY-1994-2012</t>
        </is>
      </c>
      <c r="T781" s="6" t="inlineStr"/>
      <c r="U781" s="4" t="inlineStr">
        <is>
          <t>2026-09-10 23:00:00</t>
        </is>
      </c>
      <c r="V781" s="4" t="inlineStr">
        <is>
          <t>Energia mensual entregada al SADI.</t>
        </is>
      </c>
    </row>
    <row r="782">
      <c r="A782" s="6" t="inlineStr">
        <is>
          <t>R0000781</t>
        </is>
      </c>
      <c r="B782" s="6" t="inlineStr">
        <is>
          <t>2011-11-01</t>
        </is>
      </c>
      <c r="C782" s="6" t="inlineStr">
        <is>
          <t>2011-11-30</t>
        </is>
      </c>
      <c r="D782" s="6" t="inlineStr">
        <is>
          <t>month</t>
        </is>
      </c>
      <c r="E782" s="6" t="inlineStr">
        <is>
          <t>ENERGY_TO_PY</t>
        </is>
      </c>
      <c r="F782" s="6" t="inlineStr">
        <is>
          <t>YACYRETA</t>
        </is>
      </c>
      <c r="G782" s="6" t="inlineStr">
        <is>
          <t>YACYRETA</t>
        </is>
      </c>
      <c r="H782" s="6" t="inlineStr">
        <is>
          <t>SINP</t>
        </is>
      </c>
      <c r="I782" s="8" t="n">
        <v>191751</v>
      </c>
      <c r="J782" s="6" t="inlineStr">
        <is>
          <t>MWh</t>
        </is>
      </c>
      <c r="K782" s="8" t="n">
        <v>191751</v>
      </c>
      <c r="L782" s="6" t="inlineStr">
        <is>
          <t>MWh</t>
        </is>
      </c>
      <c r="M782" s="6" t="inlineStr">
        <is>
          <t>EBY</t>
        </is>
      </c>
      <c r="N782" s="6" t="inlineStr">
        <is>
          <t>OFFICIAL_PRIMARY</t>
        </is>
      </c>
      <c r="O782" s="9" t="inlineStr">
        <is>
          <t>OFFICIAL_AGGREGATE</t>
        </is>
      </c>
      <c r="P782" s="8" t="n">
        <v>1</v>
      </c>
      <c r="Q782" s="8" t="n">
        <v>50</v>
      </c>
      <c r="R782" s="7" t="inlineStr">
        <is>
          <t>https://www.eby.gov.py/wp-content/uploads/2019/12/YacyretaEnergiasMensualesDesdePuestaenMarcha.pdf</t>
        </is>
      </c>
      <c r="S782" s="6" t="inlineStr">
        <is>
          <t>EBY-MONTHLY-1994-2012</t>
        </is>
      </c>
      <c r="T782" s="6" t="inlineStr"/>
      <c r="U782" s="4" t="inlineStr">
        <is>
          <t>2026-09-10 23:00:00</t>
        </is>
      </c>
      <c r="V782" s="4" t="inlineStr">
        <is>
          <t>Energia mensual entregada al SINP.</t>
        </is>
      </c>
    </row>
    <row r="783">
      <c r="A783" s="6" t="inlineStr">
        <is>
          <t>R0000782</t>
        </is>
      </c>
      <c r="B783" s="6" t="inlineStr">
        <is>
          <t>2011-12-01</t>
        </is>
      </c>
      <c r="C783" s="6" t="inlineStr">
        <is>
          <t>2011-12-31</t>
        </is>
      </c>
      <c r="D783" s="6" t="inlineStr">
        <is>
          <t>month</t>
        </is>
      </c>
      <c r="E783" s="6" t="inlineStr">
        <is>
          <t>YACYRETA_NET_ENERGY</t>
        </is>
      </c>
      <c r="F783" s="6" t="inlineStr">
        <is>
          <t>YACYRETA</t>
        </is>
      </c>
      <c r="G783" s="6" t="inlineStr">
        <is>
          <t>YACYRETA</t>
        </is>
      </c>
      <c r="H783" s="6" t="inlineStr">
        <is>
          <t>TOTAL</t>
        </is>
      </c>
      <c r="I783" s="8" t="n">
        <v>1739664</v>
      </c>
      <c r="J783" s="6" t="inlineStr">
        <is>
          <t>MWh</t>
        </is>
      </c>
      <c r="K783" s="8" t="n">
        <v>1739664</v>
      </c>
      <c r="L783" s="6" t="inlineStr">
        <is>
          <t>MWh</t>
        </is>
      </c>
      <c r="M783" s="6" t="inlineStr">
        <is>
          <t>EBY</t>
        </is>
      </c>
      <c r="N783" s="6" t="inlineStr">
        <is>
          <t>OFFICIAL_PRIMARY</t>
        </is>
      </c>
      <c r="O783" s="9" t="inlineStr">
        <is>
          <t>OFFICIAL_AGGREGATE</t>
        </is>
      </c>
      <c r="P783" s="8" t="n">
        <v>1</v>
      </c>
      <c r="Q783" s="8" t="n">
        <v>50</v>
      </c>
      <c r="R783" s="7" t="inlineStr">
        <is>
          <t>https://www.eby.gov.py/wp-content/uploads/2019/12/YacyretaEnergiasMensualesDesdePuestaenMarcha.pdf</t>
        </is>
      </c>
      <c r="S783" s="6" t="inlineStr">
        <is>
          <t>EBY-MONTHLY-1994-2012</t>
        </is>
      </c>
      <c r="T783" s="6" t="inlineStr"/>
      <c r="U783" s="4" t="inlineStr">
        <is>
          <t>2026-09-10 23:00:00</t>
        </is>
      </c>
      <c r="V783" s="4" t="inlineStr">
        <is>
          <t>Energia mensual Yacyreta desde puesta en marcha.</t>
        </is>
      </c>
    </row>
    <row r="784">
      <c r="A784" s="6" t="inlineStr">
        <is>
          <t>R0000783</t>
        </is>
      </c>
      <c r="B784" s="6" t="inlineStr">
        <is>
          <t>2011-12-01</t>
        </is>
      </c>
      <c r="C784" s="6" t="inlineStr">
        <is>
          <t>2011-12-31</t>
        </is>
      </c>
      <c r="D784" s="6" t="inlineStr">
        <is>
          <t>month</t>
        </is>
      </c>
      <c r="E784" s="6" t="inlineStr">
        <is>
          <t>ENERGY_TO_ARGENTINA</t>
        </is>
      </c>
      <c r="F784" s="6" t="inlineStr">
        <is>
          <t>YACYRETA</t>
        </is>
      </c>
      <c r="G784" s="6" t="inlineStr">
        <is>
          <t>YACYRETA</t>
        </is>
      </c>
      <c r="H784" s="6" t="inlineStr">
        <is>
          <t>SADI</t>
        </is>
      </c>
      <c r="I784" s="8" t="n">
        <v>1521236</v>
      </c>
      <c r="J784" s="6" t="inlineStr">
        <is>
          <t>MWh</t>
        </is>
      </c>
      <c r="K784" s="8" t="n">
        <v>1521236</v>
      </c>
      <c r="L784" s="6" t="inlineStr">
        <is>
          <t>MWh</t>
        </is>
      </c>
      <c r="M784" s="6" t="inlineStr">
        <is>
          <t>EBY</t>
        </is>
      </c>
      <c r="N784" s="6" t="inlineStr">
        <is>
          <t>OFFICIAL_PRIMARY</t>
        </is>
      </c>
      <c r="O784" s="9" t="inlineStr">
        <is>
          <t>OFFICIAL_AGGREGATE</t>
        </is>
      </c>
      <c r="P784" s="8" t="n">
        <v>1</v>
      </c>
      <c r="Q784" s="8" t="n">
        <v>50</v>
      </c>
      <c r="R784" s="7" t="inlineStr">
        <is>
          <t>https://www.eby.gov.py/wp-content/uploads/2019/12/YacyretaEnergiasMensualesDesdePuestaenMarcha.pdf</t>
        </is>
      </c>
      <c r="S784" s="6" t="inlineStr">
        <is>
          <t>EBY-MONTHLY-1994-2012</t>
        </is>
      </c>
      <c r="T784" s="6" t="inlineStr"/>
      <c r="U784" s="4" t="inlineStr">
        <is>
          <t>2026-09-10 23:00:00</t>
        </is>
      </c>
      <c r="V784" s="4" t="inlineStr">
        <is>
          <t>Energia mensual entregada al SADI.</t>
        </is>
      </c>
    </row>
    <row r="785">
      <c r="A785" s="6" t="inlineStr">
        <is>
          <t>R0000784</t>
        </is>
      </c>
      <c r="B785" s="6" t="inlineStr">
        <is>
          <t>2011-12-01</t>
        </is>
      </c>
      <c r="C785" s="6" t="inlineStr">
        <is>
          <t>2011-12-31</t>
        </is>
      </c>
      <c r="D785" s="6" t="inlineStr">
        <is>
          <t>month</t>
        </is>
      </c>
      <c r="E785" s="6" t="inlineStr">
        <is>
          <t>ENERGY_TO_PY</t>
        </is>
      </c>
      <c r="F785" s="6" t="inlineStr">
        <is>
          <t>YACYRETA</t>
        </is>
      </c>
      <c r="G785" s="6" t="inlineStr">
        <is>
          <t>YACYRETA</t>
        </is>
      </c>
      <c r="H785" s="6" t="inlineStr">
        <is>
          <t>SINP</t>
        </is>
      </c>
      <c r="I785" s="8" t="n">
        <v>218428</v>
      </c>
      <c r="J785" s="6" t="inlineStr">
        <is>
          <t>MWh</t>
        </is>
      </c>
      <c r="K785" s="8" t="n">
        <v>218428</v>
      </c>
      <c r="L785" s="6" t="inlineStr">
        <is>
          <t>MWh</t>
        </is>
      </c>
      <c r="M785" s="6" t="inlineStr">
        <is>
          <t>EBY</t>
        </is>
      </c>
      <c r="N785" s="6" t="inlineStr">
        <is>
          <t>OFFICIAL_PRIMARY</t>
        </is>
      </c>
      <c r="O785" s="9" t="inlineStr">
        <is>
          <t>OFFICIAL_AGGREGATE</t>
        </is>
      </c>
      <c r="P785" s="8" t="n">
        <v>1</v>
      </c>
      <c r="Q785" s="8" t="n">
        <v>50</v>
      </c>
      <c r="R785" s="7" t="inlineStr">
        <is>
          <t>https://www.eby.gov.py/wp-content/uploads/2019/12/YacyretaEnergiasMensualesDesdePuestaenMarcha.pdf</t>
        </is>
      </c>
      <c r="S785" s="6" t="inlineStr">
        <is>
          <t>EBY-MONTHLY-1994-2012</t>
        </is>
      </c>
      <c r="T785" s="6" t="inlineStr"/>
      <c r="U785" s="4" t="inlineStr">
        <is>
          <t>2026-09-10 23:00:00</t>
        </is>
      </c>
      <c r="V785" s="4" t="inlineStr">
        <is>
          <t>Energia mensual entregada al SINP.</t>
        </is>
      </c>
    </row>
    <row r="786">
      <c r="A786" s="6" t="inlineStr">
        <is>
          <t>R0000785</t>
        </is>
      </c>
      <c r="B786" s="6" t="inlineStr">
        <is>
          <t>2012-01-01</t>
        </is>
      </c>
      <c r="C786" s="6" t="inlineStr">
        <is>
          <t>2012-01-31</t>
        </is>
      </c>
      <c r="D786" s="6" t="inlineStr">
        <is>
          <t>month</t>
        </is>
      </c>
      <c r="E786" s="6" t="inlineStr">
        <is>
          <t>YACYRETA_NET_ENERGY</t>
        </is>
      </c>
      <c r="F786" s="6" t="inlineStr">
        <is>
          <t>YACYRETA</t>
        </is>
      </c>
      <c r="G786" s="6" t="inlineStr">
        <is>
          <t>YACYRETA</t>
        </is>
      </c>
      <c r="H786" s="6" t="inlineStr">
        <is>
          <t>TOTAL</t>
        </is>
      </c>
      <c r="I786" s="8" t="n">
        <v>1716579</v>
      </c>
      <c r="J786" s="6" t="inlineStr">
        <is>
          <t>MWh</t>
        </is>
      </c>
      <c r="K786" s="8" t="n">
        <v>1716579</v>
      </c>
      <c r="L786" s="6" t="inlineStr">
        <is>
          <t>MWh</t>
        </is>
      </c>
      <c r="M786" s="6" t="inlineStr">
        <is>
          <t>EBY</t>
        </is>
      </c>
      <c r="N786" s="6" t="inlineStr">
        <is>
          <t>OFFICIAL_PRIMARY</t>
        </is>
      </c>
      <c r="O786" s="9" t="inlineStr">
        <is>
          <t>OFFICIAL_AGGREGATE</t>
        </is>
      </c>
      <c r="P786" s="8" t="n">
        <v>1</v>
      </c>
      <c r="Q786" s="8" t="n">
        <v>50</v>
      </c>
      <c r="R786" s="7" t="inlineStr">
        <is>
          <t>https://www.eby.gov.py/wp-content/uploads/2019/12/YacyretaEnergiasMensualesDesdePuestaenMarcha.pdf</t>
        </is>
      </c>
      <c r="S786" s="6" t="inlineStr">
        <is>
          <t>EBY-MONTHLY-1994-2012</t>
        </is>
      </c>
      <c r="T786" s="6" t="inlineStr"/>
      <c r="U786" s="4" t="inlineStr">
        <is>
          <t>2026-09-10 23:00:00</t>
        </is>
      </c>
      <c r="V786" s="4" t="inlineStr">
        <is>
          <t>Energia mensual Yacyreta desde puesta en marcha.</t>
        </is>
      </c>
    </row>
    <row r="787">
      <c r="A787" s="6" t="inlineStr">
        <is>
          <t>R0000786</t>
        </is>
      </c>
      <c r="B787" s="6" t="inlineStr">
        <is>
          <t>2012-01-01</t>
        </is>
      </c>
      <c r="C787" s="6" t="inlineStr">
        <is>
          <t>2012-01-31</t>
        </is>
      </c>
      <c r="D787" s="6" t="inlineStr">
        <is>
          <t>month</t>
        </is>
      </c>
      <c r="E787" s="6" t="inlineStr">
        <is>
          <t>ENERGY_TO_ARGENTINA</t>
        </is>
      </c>
      <c r="F787" s="6" t="inlineStr">
        <is>
          <t>YACYRETA</t>
        </is>
      </c>
      <c r="G787" s="6" t="inlineStr">
        <is>
          <t>YACYRETA</t>
        </is>
      </c>
      <c r="H787" s="6" t="inlineStr">
        <is>
          <t>SADI</t>
        </is>
      </c>
      <c r="I787" s="8" t="n">
        <v>1481404</v>
      </c>
      <c r="J787" s="6" t="inlineStr">
        <is>
          <t>MWh</t>
        </is>
      </c>
      <c r="K787" s="8" t="n">
        <v>1481404</v>
      </c>
      <c r="L787" s="6" t="inlineStr">
        <is>
          <t>MWh</t>
        </is>
      </c>
      <c r="M787" s="6" t="inlineStr">
        <is>
          <t>EBY</t>
        </is>
      </c>
      <c r="N787" s="6" t="inlineStr">
        <is>
          <t>OFFICIAL_PRIMARY</t>
        </is>
      </c>
      <c r="O787" s="9" t="inlineStr">
        <is>
          <t>OFFICIAL_AGGREGATE</t>
        </is>
      </c>
      <c r="P787" s="8" t="n">
        <v>1</v>
      </c>
      <c r="Q787" s="8" t="n">
        <v>50</v>
      </c>
      <c r="R787" s="7" t="inlineStr">
        <is>
          <t>https://www.eby.gov.py/wp-content/uploads/2019/12/YacyretaEnergiasMensualesDesdePuestaenMarcha.pdf</t>
        </is>
      </c>
      <c r="S787" s="6" t="inlineStr">
        <is>
          <t>EBY-MONTHLY-1994-2012</t>
        </is>
      </c>
      <c r="T787" s="6" t="inlineStr"/>
      <c r="U787" s="4" t="inlineStr">
        <is>
          <t>2026-09-10 23:00:00</t>
        </is>
      </c>
      <c r="V787" s="4" t="inlineStr">
        <is>
          <t>Energia mensual entregada al SADI.</t>
        </is>
      </c>
    </row>
    <row r="788">
      <c r="A788" s="6" t="inlineStr">
        <is>
          <t>R0000787</t>
        </is>
      </c>
      <c r="B788" s="6" t="inlineStr">
        <is>
          <t>2012-01-01</t>
        </is>
      </c>
      <c r="C788" s="6" t="inlineStr">
        <is>
          <t>2012-01-31</t>
        </is>
      </c>
      <c r="D788" s="6" t="inlineStr">
        <is>
          <t>month</t>
        </is>
      </c>
      <c r="E788" s="6" t="inlineStr">
        <is>
          <t>ENERGY_TO_PY</t>
        </is>
      </c>
      <c r="F788" s="6" t="inlineStr">
        <is>
          <t>YACYRETA</t>
        </is>
      </c>
      <c r="G788" s="6" t="inlineStr">
        <is>
          <t>YACYRETA</t>
        </is>
      </c>
      <c r="H788" s="6" t="inlineStr">
        <is>
          <t>SINP</t>
        </is>
      </c>
      <c r="I788" s="8" t="n">
        <v>235175</v>
      </c>
      <c r="J788" s="6" t="inlineStr">
        <is>
          <t>MWh</t>
        </is>
      </c>
      <c r="K788" s="8" t="n">
        <v>235175</v>
      </c>
      <c r="L788" s="6" t="inlineStr">
        <is>
          <t>MWh</t>
        </is>
      </c>
      <c r="M788" s="6" t="inlineStr">
        <is>
          <t>EBY</t>
        </is>
      </c>
      <c r="N788" s="6" t="inlineStr">
        <is>
          <t>OFFICIAL_PRIMARY</t>
        </is>
      </c>
      <c r="O788" s="9" t="inlineStr">
        <is>
          <t>OFFICIAL_AGGREGATE</t>
        </is>
      </c>
      <c r="P788" s="8" t="n">
        <v>1</v>
      </c>
      <c r="Q788" s="8" t="n">
        <v>50</v>
      </c>
      <c r="R788" s="7" t="inlineStr">
        <is>
          <t>https://www.eby.gov.py/wp-content/uploads/2019/12/YacyretaEnergiasMensualesDesdePuestaenMarcha.pdf</t>
        </is>
      </c>
      <c r="S788" s="6" t="inlineStr">
        <is>
          <t>EBY-MONTHLY-1994-2012</t>
        </is>
      </c>
      <c r="T788" s="6" t="inlineStr"/>
      <c r="U788" s="4" t="inlineStr">
        <is>
          <t>2026-09-10 23:00:00</t>
        </is>
      </c>
      <c r="V788" s="4" t="inlineStr">
        <is>
          <t>Energia mensual entregada al SINP.</t>
        </is>
      </c>
    </row>
    <row r="789">
      <c r="A789" s="6" t="inlineStr">
        <is>
          <t>R0000788</t>
        </is>
      </c>
      <c r="B789" s="6" t="inlineStr">
        <is>
          <t>2012-02-01</t>
        </is>
      </c>
      <c r="C789" s="6" t="inlineStr">
        <is>
          <t>2012-02-29</t>
        </is>
      </c>
      <c r="D789" s="6" t="inlineStr">
        <is>
          <t>month</t>
        </is>
      </c>
      <c r="E789" s="6" t="inlineStr">
        <is>
          <t>YACYRETA_NET_ENERGY</t>
        </is>
      </c>
      <c r="F789" s="6" t="inlineStr">
        <is>
          <t>YACYRETA</t>
        </is>
      </c>
      <c r="G789" s="6" t="inlineStr">
        <is>
          <t>YACYRETA</t>
        </is>
      </c>
      <c r="H789" s="6" t="inlineStr">
        <is>
          <t>TOTAL</t>
        </is>
      </c>
      <c r="I789" s="8" t="n">
        <v>1606281</v>
      </c>
      <c r="J789" s="6" t="inlineStr">
        <is>
          <t>MWh</t>
        </is>
      </c>
      <c r="K789" s="8" t="n">
        <v>1606281</v>
      </c>
      <c r="L789" s="6" t="inlineStr">
        <is>
          <t>MWh</t>
        </is>
      </c>
      <c r="M789" s="6" t="inlineStr">
        <is>
          <t>EBY</t>
        </is>
      </c>
      <c r="N789" s="6" t="inlineStr">
        <is>
          <t>OFFICIAL_PRIMARY</t>
        </is>
      </c>
      <c r="O789" s="9" t="inlineStr">
        <is>
          <t>OFFICIAL_AGGREGATE</t>
        </is>
      </c>
      <c r="P789" s="8" t="n">
        <v>1</v>
      </c>
      <c r="Q789" s="8" t="n">
        <v>50</v>
      </c>
      <c r="R789" s="7" t="inlineStr">
        <is>
          <t>https://www.eby.gov.py/wp-content/uploads/2019/12/YacyretaEnergiasMensualesDesdePuestaenMarcha.pdf</t>
        </is>
      </c>
      <c r="S789" s="6" t="inlineStr">
        <is>
          <t>EBY-MONTHLY-1994-2012</t>
        </is>
      </c>
      <c r="T789" s="6" t="inlineStr"/>
      <c r="U789" s="4" t="inlineStr">
        <is>
          <t>2026-09-10 23:00:00</t>
        </is>
      </c>
      <c r="V789" s="4" t="inlineStr">
        <is>
          <t>Energia mensual Yacyreta desde puesta en marcha.</t>
        </is>
      </c>
    </row>
    <row r="790">
      <c r="A790" s="6" t="inlineStr">
        <is>
          <t>R0000789</t>
        </is>
      </c>
      <c r="B790" s="6" t="inlineStr">
        <is>
          <t>2012-02-01</t>
        </is>
      </c>
      <c r="C790" s="6" t="inlineStr">
        <is>
          <t>2012-02-29</t>
        </is>
      </c>
      <c r="D790" s="6" t="inlineStr">
        <is>
          <t>month</t>
        </is>
      </c>
      <c r="E790" s="6" t="inlineStr">
        <is>
          <t>ENERGY_TO_ARGENTINA</t>
        </is>
      </c>
      <c r="F790" s="6" t="inlineStr">
        <is>
          <t>YACYRETA</t>
        </is>
      </c>
      <c r="G790" s="6" t="inlineStr">
        <is>
          <t>YACYRETA</t>
        </is>
      </c>
      <c r="H790" s="6" t="inlineStr">
        <is>
          <t>SADI</t>
        </is>
      </c>
      <c r="I790" s="8" t="n">
        <v>1375254</v>
      </c>
      <c r="J790" s="6" t="inlineStr">
        <is>
          <t>MWh</t>
        </is>
      </c>
      <c r="K790" s="8" t="n">
        <v>1375254</v>
      </c>
      <c r="L790" s="6" t="inlineStr">
        <is>
          <t>MWh</t>
        </is>
      </c>
      <c r="M790" s="6" t="inlineStr">
        <is>
          <t>EBY</t>
        </is>
      </c>
      <c r="N790" s="6" t="inlineStr">
        <is>
          <t>OFFICIAL_PRIMARY</t>
        </is>
      </c>
      <c r="O790" s="9" t="inlineStr">
        <is>
          <t>OFFICIAL_AGGREGATE</t>
        </is>
      </c>
      <c r="P790" s="8" t="n">
        <v>1</v>
      </c>
      <c r="Q790" s="8" t="n">
        <v>50</v>
      </c>
      <c r="R790" s="7" t="inlineStr">
        <is>
          <t>https://www.eby.gov.py/wp-content/uploads/2019/12/YacyretaEnergiasMensualesDesdePuestaenMarcha.pdf</t>
        </is>
      </c>
      <c r="S790" s="6" t="inlineStr">
        <is>
          <t>EBY-MONTHLY-1994-2012</t>
        </is>
      </c>
      <c r="T790" s="6" t="inlineStr"/>
      <c r="U790" s="4" t="inlineStr">
        <is>
          <t>2026-09-10 23:00:00</t>
        </is>
      </c>
      <c r="V790" s="4" t="inlineStr">
        <is>
          <t>Energia mensual entregada al SADI.</t>
        </is>
      </c>
    </row>
    <row r="791">
      <c r="A791" s="6" t="inlineStr">
        <is>
          <t>R0000790</t>
        </is>
      </c>
      <c r="B791" s="6" t="inlineStr">
        <is>
          <t>2012-02-01</t>
        </is>
      </c>
      <c r="C791" s="6" t="inlineStr">
        <is>
          <t>2012-02-29</t>
        </is>
      </c>
      <c r="D791" s="6" t="inlineStr">
        <is>
          <t>month</t>
        </is>
      </c>
      <c r="E791" s="6" t="inlineStr">
        <is>
          <t>ENERGY_TO_PY</t>
        </is>
      </c>
      <c r="F791" s="6" t="inlineStr">
        <is>
          <t>YACYRETA</t>
        </is>
      </c>
      <c r="G791" s="6" t="inlineStr">
        <is>
          <t>YACYRETA</t>
        </is>
      </c>
      <c r="H791" s="6" t="inlineStr">
        <is>
          <t>SINP</t>
        </is>
      </c>
      <c r="I791" s="8" t="n">
        <v>231027</v>
      </c>
      <c r="J791" s="6" t="inlineStr">
        <is>
          <t>MWh</t>
        </is>
      </c>
      <c r="K791" s="8" t="n">
        <v>231027</v>
      </c>
      <c r="L791" s="6" t="inlineStr">
        <is>
          <t>MWh</t>
        </is>
      </c>
      <c r="M791" s="6" t="inlineStr">
        <is>
          <t>EBY</t>
        </is>
      </c>
      <c r="N791" s="6" t="inlineStr">
        <is>
          <t>OFFICIAL_PRIMARY</t>
        </is>
      </c>
      <c r="O791" s="9" t="inlineStr">
        <is>
          <t>OFFICIAL_AGGREGATE</t>
        </is>
      </c>
      <c r="P791" s="8" t="n">
        <v>1</v>
      </c>
      <c r="Q791" s="8" t="n">
        <v>50</v>
      </c>
      <c r="R791" s="7" t="inlineStr">
        <is>
          <t>https://www.eby.gov.py/wp-content/uploads/2019/12/YacyretaEnergiasMensualesDesdePuestaenMarcha.pdf</t>
        </is>
      </c>
      <c r="S791" s="6" t="inlineStr">
        <is>
          <t>EBY-MONTHLY-1994-2012</t>
        </is>
      </c>
      <c r="T791" s="6" t="inlineStr"/>
      <c r="U791" s="4" t="inlineStr">
        <is>
          <t>2026-09-10 23:00:00</t>
        </is>
      </c>
      <c r="V791" s="4" t="inlineStr">
        <is>
          <t>Energia mensual entregada al SINP.</t>
        </is>
      </c>
    </row>
    <row r="792">
      <c r="A792" s="6" t="inlineStr">
        <is>
          <t>R0000791</t>
        </is>
      </c>
      <c r="B792" s="6" t="inlineStr">
        <is>
          <t>2012-03-01</t>
        </is>
      </c>
      <c r="C792" s="6" t="inlineStr">
        <is>
          <t>2012-03-31</t>
        </is>
      </c>
      <c r="D792" s="6" t="inlineStr">
        <is>
          <t>month</t>
        </is>
      </c>
      <c r="E792" s="6" t="inlineStr">
        <is>
          <t>YACYRETA_NET_ENERGY</t>
        </is>
      </c>
      <c r="F792" s="6" t="inlineStr">
        <is>
          <t>YACYRETA</t>
        </is>
      </c>
      <c r="G792" s="6" t="inlineStr">
        <is>
          <t>YACYRETA</t>
        </is>
      </c>
      <c r="H792" s="6" t="inlineStr">
        <is>
          <t>TOTAL</t>
        </is>
      </c>
      <c r="I792" s="8" t="n">
        <v>1700230</v>
      </c>
      <c r="J792" s="6" t="inlineStr">
        <is>
          <t>MWh</t>
        </is>
      </c>
      <c r="K792" s="8" t="n">
        <v>1700230</v>
      </c>
      <c r="L792" s="6" t="inlineStr">
        <is>
          <t>MWh</t>
        </is>
      </c>
      <c r="M792" s="6" t="inlineStr">
        <is>
          <t>EBY</t>
        </is>
      </c>
      <c r="N792" s="6" t="inlineStr">
        <is>
          <t>OFFICIAL_PRIMARY</t>
        </is>
      </c>
      <c r="O792" s="9" t="inlineStr">
        <is>
          <t>OFFICIAL_AGGREGATE</t>
        </is>
      </c>
      <c r="P792" s="8" t="n">
        <v>1</v>
      </c>
      <c r="Q792" s="8" t="n">
        <v>50</v>
      </c>
      <c r="R792" s="7" t="inlineStr">
        <is>
          <t>https://www.eby.gov.py/wp-content/uploads/2019/12/YacyretaEnergiasMensualesDesdePuestaenMarcha.pdf</t>
        </is>
      </c>
      <c r="S792" s="6" t="inlineStr">
        <is>
          <t>EBY-MONTHLY-1994-2012</t>
        </is>
      </c>
      <c r="T792" s="6" t="inlineStr"/>
      <c r="U792" s="4" t="inlineStr">
        <is>
          <t>2026-09-10 23:00:00</t>
        </is>
      </c>
      <c r="V792" s="4" t="inlineStr">
        <is>
          <t>Energia mensual Yacyreta desde puesta en marcha.</t>
        </is>
      </c>
    </row>
    <row r="793">
      <c r="A793" s="6" t="inlineStr">
        <is>
          <t>R0000792</t>
        </is>
      </c>
      <c r="B793" s="6" t="inlineStr">
        <is>
          <t>2012-03-01</t>
        </is>
      </c>
      <c r="C793" s="6" t="inlineStr">
        <is>
          <t>2012-03-31</t>
        </is>
      </c>
      <c r="D793" s="6" t="inlineStr">
        <is>
          <t>month</t>
        </is>
      </c>
      <c r="E793" s="6" t="inlineStr">
        <is>
          <t>ENERGY_TO_ARGENTINA</t>
        </is>
      </c>
      <c r="F793" s="6" t="inlineStr">
        <is>
          <t>YACYRETA</t>
        </is>
      </c>
      <c r="G793" s="6" t="inlineStr">
        <is>
          <t>YACYRETA</t>
        </is>
      </c>
      <c r="H793" s="6" t="inlineStr">
        <is>
          <t>SADI</t>
        </is>
      </c>
      <c r="I793" s="8" t="n">
        <v>1483694</v>
      </c>
      <c r="J793" s="6" t="inlineStr">
        <is>
          <t>MWh</t>
        </is>
      </c>
      <c r="K793" s="8" t="n">
        <v>1483694</v>
      </c>
      <c r="L793" s="6" t="inlineStr">
        <is>
          <t>MWh</t>
        </is>
      </c>
      <c r="M793" s="6" t="inlineStr">
        <is>
          <t>EBY</t>
        </is>
      </c>
      <c r="N793" s="6" t="inlineStr">
        <is>
          <t>OFFICIAL_PRIMARY</t>
        </is>
      </c>
      <c r="O793" s="9" t="inlineStr">
        <is>
          <t>OFFICIAL_AGGREGATE</t>
        </is>
      </c>
      <c r="P793" s="8" t="n">
        <v>1</v>
      </c>
      <c r="Q793" s="8" t="n">
        <v>50</v>
      </c>
      <c r="R793" s="7" t="inlineStr">
        <is>
          <t>https://www.eby.gov.py/wp-content/uploads/2019/12/YacyretaEnergiasMensualesDesdePuestaenMarcha.pdf</t>
        </is>
      </c>
      <c r="S793" s="6" t="inlineStr">
        <is>
          <t>EBY-MONTHLY-1994-2012</t>
        </is>
      </c>
      <c r="T793" s="6" t="inlineStr"/>
      <c r="U793" s="4" t="inlineStr">
        <is>
          <t>2026-09-10 23:00:00</t>
        </is>
      </c>
      <c r="V793" s="4" t="inlineStr">
        <is>
          <t>Energia mensual entregada al SADI.</t>
        </is>
      </c>
    </row>
    <row r="794">
      <c r="A794" s="6" t="inlineStr">
        <is>
          <t>R0000793</t>
        </is>
      </c>
      <c r="B794" s="6" t="inlineStr">
        <is>
          <t>2012-03-01</t>
        </is>
      </c>
      <c r="C794" s="6" t="inlineStr">
        <is>
          <t>2012-03-31</t>
        </is>
      </c>
      <c r="D794" s="6" t="inlineStr">
        <is>
          <t>month</t>
        </is>
      </c>
      <c r="E794" s="6" t="inlineStr">
        <is>
          <t>ENERGY_TO_PY</t>
        </is>
      </c>
      <c r="F794" s="6" t="inlineStr">
        <is>
          <t>YACYRETA</t>
        </is>
      </c>
      <c r="G794" s="6" t="inlineStr">
        <is>
          <t>YACYRETA</t>
        </is>
      </c>
      <c r="H794" s="6" t="inlineStr">
        <is>
          <t>SINP</t>
        </is>
      </c>
      <c r="I794" s="8" t="n">
        <v>216536</v>
      </c>
      <c r="J794" s="6" t="inlineStr">
        <is>
          <t>MWh</t>
        </is>
      </c>
      <c r="K794" s="8" t="n">
        <v>216536</v>
      </c>
      <c r="L794" s="6" t="inlineStr">
        <is>
          <t>MWh</t>
        </is>
      </c>
      <c r="M794" s="6" t="inlineStr">
        <is>
          <t>EBY</t>
        </is>
      </c>
      <c r="N794" s="6" t="inlineStr">
        <is>
          <t>OFFICIAL_PRIMARY</t>
        </is>
      </c>
      <c r="O794" s="9" t="inlineStr">
        <is>
          <t>OFFICIAL_AGGREGATE</t>
        </is>
      </c>
      <c r="P794" s="8" t="n">
        <v>1</v>
      </c>
      <c r="Q794" s="8" t="n">
        <v>50</v>
      </c>
      <c r="R794" s="7" t="inlineStr">
        <is>
          <t>https://www.eby.gov.py/wp-content/uploads/2019/12/YacyretaEnergiasMensualesDesdePuestaenMarcha.pdf</t>
        </is>
      </c>
      <c r="S794" s="6" t="inlineStr">
        <is>
          <t>EBY-MONTHLY-1994-2012</t>
        </is>
      </c>
      <c r="T794" s="6" t="inlineStr"/>
      <c r="U794" s="4" t="inlineStr">
        <is>
          <t>2026-09-10 23:00:00</t>
        </is>
      </c>
      <c r="V794" s="4" t="inlineStr">
        <is>
          <t>Energia mensual entregada al SINP.</t>
        </is>
      </c>
    </row>
    <row r="795">
      <c r="A795" s="6" t="inlineStr">
        <is>
          <t>R0000794</t>
        </is>
      </c>
      <c r="B795" s="6" t="inlineStr">
        <is>
          <t>2012-04-01</t>
        </is>
      </c>
      <c r="C795" s="6" t="inlineStr">
        <is>
          <t>2012-04-30</t>
        </is>
      </c>
      <c r="D795" s="6" t="inlineStr">
        <is>
          <t>month</t>
        </is>
      </c>
      <c r="E795" s="6" t="inlineStr">
        <is>
          <t>YACYRETA_NET_ENERGY</t>
        </is>
      </c>
      <c r="F795" s="6" t="inlineStr">
        <is>
          <t>YACYRETA</t>
        </is>
      </c>
      <c r="G795" s="6" t="inlineStr">
        <is>
          <t>YACYRETA</t>
        </is>
      </c>
      <c r="H795" s="6" t="inlineStr">
        <is>
          <t>TOTAL</t>
        </is>
      </c>
      <c r="I795" s="8" t="n">
        <v>1623288</v>
      </c>
      <c r="J795" s="6" t="inlineStr">
        <is>
          <t>MWh</t>
        </is>
      </c>
      <c r="K795" s="8" t="n">
        <v>1623288</v>
      </c>
      <c r="L795" s="6" t="inlineStr">
        <is>
          <t>MWh</t>
        </is>
      </c>
      <c r="M795" s="6" t="inlineStr">
        <is>
          <t>EBY</t>
        </is>
      </c>
      <c r="N795" s="6" t="inlineStr">
        <is>
          <t>OFFICIAL_PRIMARY</t>
        </is>
      </c>
      <c r="O795" s="9" t="inlineStr">
        <is>
          <t>OFFICIAL_AGGREGATE</t>
        </is>
      </c>
      <c r="P795" s="8" t="n">
        <v>1</v>
      </c>
      <c r="Q795" s="8" t="n">
        <v>50</v>
      </c>
      <c r="R795" s="7" t="inlineStr">
        <is>
          <t>https://www.eby.gov.py/wp-content/uploads/2019/12/YacyretaEnergiasMensualesDesdePuestaenMarcha.pdf</t>
        </is>
      </c>
      <c r="S795" s="6" t="inlineStr">
        <is>
          <t>EBY-MONTHLY-1994-2012</t>
        </is>
      </c>
      <c r="T795" s="6" t="inlineStr"/>
      <c r="U795" s="4" t="inlineStr">
        <is>
          <t>2026-09-10 23:00:00</t>
        </is>
      </c>
      <c r="V795" s="4" t="inlineStr">
        <is>
          <t>Energia mensual Yacyreta desde puesta en marcha.</t>
        </is>
      </c>
    </row>
    <row r="796">
      <c r="A796" s="6" t="inlineStr">
        <is>
          <t>R0000795</t>
        </is>
      </c>
      <c r="B796" s="6" t="inlineStr">
        <is>
          <t>2012-04-01</t>
        </is>
      </c>
      <c r="C796" s="6" t="inlineStr">
        <is>
          <t>2012-04-30</t>
        </is>
      </c>
      <c r="D796" s="6" t="inlineStr">
        <is>
          <t>month</t>
        </is>
      </c>
      <c r="E796" s="6" t="inlineStr">
        <is>
          <t>ENERGY_TO_ARGENTINA</t>
        </is>
      </c>
      <c r="F796" s="6" t="inlineStr">
        <is>
          <t>YACYRETA</t>
        </is>
      </c>
      <c r="G796" s="6" t="inlineStr">
        <is>
          <t>YACYRETA</t>
        </is>
      </c>
      <c r="H796" s="6" t="inlineStr">
        <is>
          <t>SADI</t>
        </is>
      </c>
      <c r="I796" s="8" t="n">
        <v>1445518</v>
      </c>
      <c r="J796" s="6" t="inlineStr">
        <is>
          <t>MWh</t>
        </is>
      </c>
      <c r="K796" s="8" t="n">
        <v>1445518</v>
      </c>
      <c r="L796" s="6" t="inlineStr">
        <is>
          <t>MWh</t>
        </is>
      </c>
      <c r="M796" s="6" t="inlineStr">
        <is>
          <t>EBY</t>
        </is>
      </c>
      <c r="N796" s="6" t="inlineStr">
        <is>
          <t>OFFICIAL_PRIMARY</t>
        </is>
      </c>
      <c r="O796" s="9" t="inlineStr">
        <is>
          <t>OFFICIAL_AGGREGATE</t>
        </is>
      </c>
      <c r="P796" s="8" t="n">
        <v>1</v>
      </c>
      <c r="Q796" s="8" t="n">
        <v>50</v>
      </c>
      <c r="R796" s="7" t="inlineStr">
        <is>
          <t>https://www.eby.gov.py/wp-content/uploads/2019/12/YacyretaEnergiasMensualesDesdePuestaenMarcha.pdf</t>
        </is>
      </c>
      <c r="S796" s="6" t="inlineStr">
        <is>
          <t>EBY-MONTHLY-1994-2012</t>
        </is>
      </c>
      <c r="T796" s="6" t="inlineStr"/>
      <c r="U796" s="4" t="inlineStr">
        <is>
          <t>2026-09-10 23:00:00</t>
        </is>
      </c>
      <c r="V796" s="4" t="inlineStr">
        <is>
          <t>Energia mensual entregada al SADI.</t>
        </is>
      </c>
    </row>
    <row r="797">
      <c r="A797" s="6" t="inlineStr">
        <is>
          <t>R0000796</t>
        </is>
      </c>
      <c r="B797" s="6" t="inlineStr">
        <is>
          <t>2012-04-01</t>
        </is>
      </c>
      <c r="C797" s="6" t="inlineStr">
        <is>
          <t>2012-04-30</t>
        </is>
      </c>
      <c r="D797" s="6" t="inlineStr">
        <is>
          <t>month</t>
        </is>
      </c>
      <c r="E797" s="6" t="inlineStr">
        <is>
          <t>ENERGY_TO_PY</t>
        </is>
      </c>
      <c r="F797" s="6" t="inlineStr">
        <is>
          <t>YACYRETA</t>
        </is>
      </c>
      <c r="G797" s="6" t="inlineStr">
        <is>
          <t>YACYRETA</t>
        </is>
      </c>
      <c r="H797" s="6" t="inlineStr">
        <is>
          <t>SINP</t>
        </is>
      </c>
      <c r="I797" s="8" t="n">
        <v>177770</v>
      </c>
      <c r="J797" s="6" t="inlineStr">
        <is>
          <t>MWh</t>
        </is>
      </c>
      <c r="K797" s="8" t="n">
        <v>177770</v>
      </c>
      <c r="L797" s="6" t="inlineStr">
        <is>
          <t>MWh</t>
        </is>
      </c>
      <c r="M797" s="6" t="inlineStr">
        <is>
          <t>EBY</t>
        </is>
      </c>
      <c r="N797" s="6" t="inlineStr">
        <is>
          <t>OFFICIAL_PRIMARY</t>
        </is>
      </c>
      <c r="O797" s="9" t="inlineStr">
        <is>
          <t>OFFICIAL_AGGREGATE</t>
        </is>
      </c>
      <c r="P797" s="8" t="n">
        <v>1</v>
      </c>
      <c r="Q797" s="8" t="n">
        <v>50</v>
      </c>
      <c r="R797" s="7" t="inlineStr">
        <is>
          <t>https://www.eby.gov.py/wp-content/uploads/2019/12/YacyretaEnergiasMensualesDesdePuestaenMarcha.pdf</t>
        </is>
      </c>
      <c r="S797" s="6" t="inlineStr">
        <is>
          <t>EBY-MONTHLY-1994-2012</t>
        </is>
      </c>
      <c r="T797" s="6" t="inlineStr"/>
      <c r="U797" s="4" t="inlineStr">
        <is>
          <t>2026-09-10 23:00:00</t>
        </is>
      </c>
      <c r="V797" s="4" t="inlineStr">
        <is>
          <t>Energia mensual entregada al SINP.</t>
        </is>
      </c>
    </row>
    <row r="798">
      <c r="A798" s="6" t="inlineStr">
        <is>
          <t>R0000797</t>
        </is>
      </c>
      <c r="B798" s="6" t="inlineStr">
        <is>
          <t>2012-05-01</t>
        </is>
      </c>
      <c r="C798" s="6" t="inlineStr">
        <is>
          <t>2012-05-31</t>
        </is>
      </c>
      <c r="D798" s="6" t="inlineStr">
        <is>
          <t>month</t>
        </is>
      </c>
      <c r="E798" s="6" t="inlineStr">
        <is>
          <t>YACYRETA_NET_ENERGY</t>
        </is>
      </c>
      <c r="F798" s="6" t="inlineStr">
        <is>
          <t>YACYRETA</t>
        </is>
      </c>
      <c r="G798" s="6" t="inlineStr">
        <is>
          <t>YACYRETA</t>
        </is>
      </c>
      <c r="H798" s="6" t="inlineStr">
        <is>
          <t>TOTAL</t>
        </is>
      </c>
      <c r="I798" s="8" t="n">
        <v>1712564</v>
      </c>
      <c r="J798" s="6" t="inlineStr">
        <is>
          <t>MWh</t>
        </is>
      </c>
      <c r="K798" s="8" t="n">
        <v>1712564</v>
      </c>
      <c r="L798" s="6" t="inlineStr">
        <is>
          <t>MWh</t>
        </is>
      </c>
      <c r="M798" s="6" t="inlineStr">
        <is>
          <t>EBY</t>
        </is>
      </c>
      <c r="N798" s="6" t="inlineStr">
        <is>
          <t>OFFICIAL_PRIMARY</t>
        </is>
      </c>
      <c r="O798" s="9" t="inlineStr">
        <is>
          <t>OFFICIAL_AGGREGATE</t>
        </is>
      </c>
      <c r="P798" s="8" t="n">
        <v>1</v>
      </c>
      <c r="Q798" s="8" t="n">
        <v>50</v>
      </c>
      <c r="R798" s="7" t="inlineStr">
        <is>
          <t>https://www.eby.gov.py/wp-content/uploads/2019/12/YacyretaEnergiasMensualesDesdePuestaenMarcha.pdf</t>
        </is>
      </c>
      <c r="S798" s="6" t="inlineStr">
        <is>
          <t>EBY-MONTHLY-1994-2012</t>
        </is>
      </c>
      <c r="T798" s="6" t="inlineStr"/>
      <c r="U798" s="4" t="inlineStr">
        <is>
          <t>2026-09-10 23:00:00</t>
        </is>
      </c>
      <c r="V798" s="4" t="inlineStr">
        <is>
          <t>Energia mensual Yacyreta desde puesta en marcha.</t>
        </is>
      </c>
    </row>
    <row r="799">
      <c r="A799" s="6" t="inlineStr">
        <is>
          <t>R0000798</t>
        </is>
      </c>
      <c r="B799" s="6" t="inlineStr">
        <is>
          <t>2012-05-01</t>
        </is>
      </c>
      <c r="C799" s="6" t="inlineStr">
        <is>
          <t>2012-05-31</t>
        </is>
      </c>
      <c r="D799" s="6" t="inlineStr">
        <is>
          <t>month</t>
        </is>
      </c>
      <c r="E799" s="6" t="inlineStr">
        <is>
          <t>ENERGY_TO_ARGENTINA</t>
        </is>
      </c>
      <c r="F799" s="6" t="inlineStr">
        <is>
          <t>YACYRETA</t>
        </is>
      </c>
      <c r="G799" s="6" t="inlineStr">
        <is>
          <t>YACYRETA</t>
        </is>
      </c>
      <c r="H799" s="6" t="inlineStr">
        <is>
          <t>SADI</t>
        </is>
      </c>
      <c r="I799" s="8" t="n">
        <v>1524898</v>
      </c>
      <c r="J799" s="6" t="inlineStr">
        <is>
          <t>MWh</t>
        </is>
      </c>
      <c r="K799" s="8" t="n">
        <v>1524898</v>
      </c>
      <c r="L799" s="6" t="inlineStr">
        <is>
          <t>MWh</t>
        </is>
      </c>
      <c r="M799" s="6" t="inlineStr">
        <is>
          <t>EBY</t>
        </is>
      </c>
      <c r="N799" s="6" t="inlineStr">
        <is>
          <t>OFFICIAL_PRIMARY</t>
        </is>
      </c>
      <c r="O799" s="9" t="inlineStr">
        <is>
          <t>OFFICIAL_AGGREGATE</t>
        </is>
      </c>
      <c r="P799" s="8" t="n">
        <v>1</v>
      </c>
      <c r="Q799" s="8" t="n">
        <v>50</v>
      </c>
      <c r="R799" s="7" t="inlineStr">
        <is>
          <t>https://www.eby.gov.py/wp-content/uploads/2019/12/YacyretaEnergiasMensualesDesdePuestaenMarcha.pdf</t>
        </is>
      </c>
      <c r="S799" s="6" t="inlineStr">
        <is>
          <t>EBY-MONTHLY-1994-2012</t>
        </is>
      </c>
      <c r="T799" s="6" t="inlineStr"/>
      <c r="U799" s="4" t="inlineStr">
        <is>
          <t>2026-09-10 23:00:00</t>
        </is>
      </c>
      <c r="V799" s="4" t="inlineStr">
        <is>
          <t>Energia mensual entregada al SADI.</t>
        </is>
      </c>
    </row>
    <row r="800">
      <c r="A800" s="6" t="inlineStr">
        <is>
          <t>R0000799</t>
        </is>
      </c>
      <c r="B800" s="6" t="inlineStr">
        <is>
          <t>2012-05-01</t>
        </is>
      </c>
      <c r="C800" s="6" t="inlineStr">
        <is>
          <t>2012-05-31</t>
        </is>
      </c>
      <c r="D800" s="6" t="inlineStr">
        <is>
          <t>month</t>
        </is>
      </c>
      <c r="E800" s="6" t="inlineStr">
        <is>
          <t>ENERGY_TO_PY</t>
        </is>
      </c>
      <c r="F800" s="6" t="inlineStr">
        <is>
          <t>YACYRETA</t>
        </is>
      </c>
      <c r="G800" s="6" t="inlineStr">
        <is>
          <t>YACYRETA</t>
        </is>
      </c>
      <c r="H800" s="6" t="inlineStr">
        <is>
          <t>SINP</t>
        </is>
      </c>
      <c r="I800" s="8" t="n">
        <v>187666</v>
      </c>
      <c r="J800" s="6" t="inlineStr">
        <is>
          <t>MWh</t>
        </is>
      </c>
      <c r="K800" s="8" t="n">
        <v>187666</v>
      </c>
      <c r="L800" s="6" t="inlineStr">
        <is>
          <t>MWh</t>
        </is>
      </c>
      <c r="M800" s="6" t="inlineStr">
        <is>
          <t>EBY</t>
        </is>
      </c>
      <c r="N800" s="6" t="inlineStr">
        <is>
          <t>OFFICIAL_PRIMARY</t>
        </is>
      </c>
      <c r="O800" s="9" t="inlineStr">
        <is>
          <t>OFFICIAL_AGGREGATE</t>
        </is>
      </c>
      <c r="P800" s="8" t="n">
        <v>1</v>
      </c>
      <c r="Q800" s="8" t="n">
        <v>50</v>
      </c>
      <c r="R800" s="7" t="inlineStr">
        <is>
          <t>https://www.eby.gov.py/wp-content/uploads/2019/12/YacyretaEnergiasMensualesDesdePuestaenMarcha.pdf</t>
        </is>
      </c>
      <c r="S800" s="6" t="inlineStr">
        <is>
          <t>EBY-MONTHLY-1994-2012</t>
        </is>
      </c>
      <c r="T800" s="6" t="inlineStr"/>
      <c r="U800" s="4" t="inlineStr">
        <is>
          <t>2026-09-10 23:00:00</t>
        </is>
      </c>
      <c r="V800" s="4" t="inlineStr">
        <is>
          <t>Energia mensual entregada al SINP.</t>
        </is>
      </c>
    </row>
    <row r="801">
      <c r="A801" s="6" t="inlineStr">
        <is>
          <t>R0000800</t>
        </is>
      </c>
      <c r="B801" s="6" t="inlineStr">
        <is>
          <t>2012-06-01</t>
        </is>
      </c>
      <c r="C801" s="6" t="inlineStr">
        <is>
          <t>2012-06-30</t>
        </is>
      </c>
      <c r="D801" s="6" t="inlineStr">
        <is>
          <t>month</t>
        </is>
      </c>
      <c r="E801" s="6" t="inlineStr">
        <is>
          <t>YACYRETA_NET_ENERGY</t>
        </is>
      </c>
      <c r="F801" s="6" t="inlineStr">
        <is>
          <t>YACYRETA</t>
        </is>
      </c>
      <c r="G801" s="6" t="inlineStr">
        <is>
          <t>YACYRETA</t>
        </is>
      </c>
      <c r="H801" s="6" t="inlineStr">
        <is>
          <t>TOTAL</t>
        </is>
      </c>
      <c r="I801" s="8" t="n">
        <v>1771047</v>
      </c>
      <c r="J801" s="6" t="inlineStr">
        <is>
          <t>MWh</t>
        </is>
      </c>
      <c r="K801" s="8" t="n">
        <v>1771047</v>
      </c>
      <c r="L801" s="6" t="inlineStr">
        <is>
          <t>MWh</t>
        </is>
      </c>
      <c r="M801" s="6" t="inlineStr">
        <is>
          <t>EBY</t>
        </is>
      </c>
      <c r="N801" s="6" t="inlineStr">
        <is>
          <t>OFFICIAL_PRIMARY</t>
        </is>
      </c>
      <c r="O801" s="9" t="inlineStr">
        <is>
          <t>OFFICIAL_AGGREGATE</t>
        </is>
      </c>
      <c r="P801" s="8" t="n">
        <v>1</v>
      </c>
      <c r="Q801" s="8" t="n">
        <v>50</v>
      </c>
      <c r="R801" s="7" t="inlineStr">
        <is>
          <t>https://www.eby.gov.py/wp-content/uploads/2019/12/YacyretaEnergiasMensualesDesdePuestaenMarcha.pdf</t>
        </is>
      </c>
      <c r="S801" s="6" t="inlineStr">
        <is>
          <t>EBY-MONTHLY-1994-2012</t>
        </is>
      </c>
      <c r="T801" s="6" t="inlineStr"/>
      <c r="U801" s="4" t="inlineStr">
        <is>
          <t>2026-09-10 23:00:00</t>
        </is>
      </c>
      <c r="V801" s="4" t="inlineStr">
        <is>
          <t>Energia mensual Yacyreta desde puesta en marcha.</t>
        </is>
      </c>
    </row>
    <row r="802">
      <c r="A802" s="6" t="inlineStr">
        <is>
          <t>R0000801</t>
        </is>
      </c>
      <c r="B802" s="6" t="inlineStr">
        <is>
          <t>2012-06-01</t>
        </is>
      </c>
      <c r="C802" s="6" t="inlineStr">
        <is>
          <t>2012-06-30</t>
        </is>
      </c>
      <c r="D802" s="6" t="inlineStr">
        <is>
          <t>month</t>
        </is>
      </c>
      <c r="E802" s="6" t="inlineStr">
        <is>
          <t>ENERGY_TO_ARGENTINA</t>
        </is>
      </c>
      <c r="F802" s="6" t="inlineStr">
        <is>
          <t>YACYRETA</t>
        </is>
      </c>
      <c r="G802" s="6" t="inlineStr">
        <is>
          <t>YACYRETA</t>
        </is>
      </c>
      <c r="H802" s="6" t="inlineStr">
        <is>
          <t>SADI</t>
        </is>
      </c>
      <c r="I802" s="8" t="n">
        <v>1580578</v>
      </c>
      <c r="J802" s="6" t="inlineStr">
        <is>
          <t>MWh</t>
        </is>
      </c>
      <c r="K802" s="8" t="n">
        <v>1580578</v>
      </c>
      <c r="L802" s="6" t="inlineStr">
        <is>
          <t>MWh</t>
        </is>
      </c>
      <c r="M802" s="6" t="inlineStr">
        <is>
          <t>EBY</t>
        </is>
      </c>
      <c r="N802" s="6" t="inlineStr">
        <is>
          <t>OFFICIAL_PRIMARY</t>
        </is>
      </c>
      <c r="O802" s="9" t="inlineStr">
        <is>
          <t>OFFICIAL_AGGREGATE</t>
        </is>
      </c>
      <c r="P802" s="8" t="n">
        <v>1</v>
      </c>
      <c r="Q802" s="8" t="n">
        <v>50</v>
      </c>
      <c r="R802" s="7" t="inlineStr">
        <is>
          <t>https://www.eby.gov.py/wp-content/uploads/2019/12/YacyretaEnergiasMensualesDesdePuestaenMarcha.pdf</t>
        </is>
      </c>
      <c r="S802" s="6" t="inlineStr">
        <is>
          <t>EBY-MONTHLY-1994-2012</t>
        </is>
      </c>
      <c r="T802" s="6" t="inlineStr"/>
      <c r="U802" s="4" t="inlineStr">
        <is>
          <t>2026-09-10 23:00:00</t>
        </is>
      </c>
      <c r="V802" s="4" t="inlineStr">
        <is>
          <t>Energia mensual entregada al SADI.</t>
        </is>
      </c>
    </row>
    <row r="803">
      <c r="A803" s="6" t="inlineStr">
        <is>
          <t>R0000802</t>
        </is>
      </c>
      <c r="B803" s="6" t="inlineStr">
        <is>
          <t>2012-06-01</t>
        </is>
      </c>
      <c r="C803" s="6" t="inlineStr">
        <is>
          <t>2012-06-30</t>
        </is>
      </c>
      <c r="D803" s="6" t="inlineStr">
        <is>
          <t>month</t>
        </is>
      </c>
      <c r="E803" s="6" t="inlineStr">
        <is>
          <t>ENERGY_TO_PY</t>
        </is>
      </c>
      <c r="F803" s="6" t="inlineStr">
        <is>
          <t>YACYRETA</t>
        </is>
      </c>
      <c r="G803" s="6" t="inlineStr">
        <is>
          <t>YACYRETA</t>
        </is>
      </c>
      <c r="H803" s="6" t="inlineStr">
        <is>
          <t>SINP</t>
        </is>
      </c>
      <c r="I803" s="8" t="n">
        <v>190469</v>
      </c>
      <c r="J803" s="6" t="inlineStr">
        <is>
          <t>MWh</t>
        </is>
      </c>
      <c r="K803" s="8" t="n">
        <v>190469</v>
      </c>
      <c r="L803" s="6" t="inlineStr">
        <is>
          <t>MWh</t>
        </is>
      </c>
      <c r="M803" s="6" t="inlineStr">
        <is>
          <t>EBY</t>
        </is>
      </c>
      <c r="N803" s="6" t="inlineStr">
        <is>
          <t>OFFICIAL_PRIMARY</t>
        </is>
      </c>
      <c r="O803" s="9" t="inlineStr">
        <is>
          <t>OFFICIAL_AGGREGATE</t>
        </is>
      </c>
      <c r="P803" s="8" t="n">
        <v>1</v>
      </c>
      <c r="Q803" s="8" t="n">
        <v>50</v>
      </c>
      <c r="R803" s="7" t="inlineStr">
        <is>
          <t>https://www.eby.gov.py/wp-content/uploads/2019/12/YacyretaEnergiasMensualesDesdePuestaenMarcha.pdf</t>
        </is>
      </c>
      <c r="S803" s="6" t="inlineStr">
        <is>
          <t>EBY-MONTHLY-1994-2012</t>
        </is>
      </c>
      <c r="T803" s="6" t="inlineStr"/>
      <c r="U803" s="4" t="inlineStr">
        <is>
          <t>2026-09-10 23:00:00</t>
        </is>
      </c>
      <c r="V803" s="4" t="inlineStr">
        <is>
          <t>Energia mensual entregada al SINP.</t>
        </is>
      </c>
    </row>
    <row r="804">
      <c r="A804" s="6" t="inlineStr">
        <is>
          <t>R0000803</t>
        </is>
      </c>
      <c r="B804" s="6" t="inlineStr">
        <is>
          <t>1994-01-01</t>
        </is>
      </c>
      <c r="C804" s="6" t="inlineStr">
        <is>
          <t>1994-12-31</t>
        </is>
      </c>
      <c r="D804" s="6" t="inlineStr">
        <is>
          <t>year</t>
        </is>
      </c>
      <c r="E804" s="6" t="inlineStr">
        <is>
          <t>YACYRETA_NET_ENERGY</t>
        </is>
      </c>
      <c r="F804" s="6" t="inlineStr">
        <is>
          <t>YACYRETA</t>
        </is>
      </c>
      <c r="G804" s="6" t="inlineStr">
        <is>
          <t>YACYRETA</t>
        </is>
      </c>
      <c r="H804" s="6" t="inlineStr">
        <is>
          <t>TOTAL</t>
        </is>
      </c>
      <c r="I804" s="8" t="n">
        <v>355361</v>
      </c>
      <c r="J804" s="6" t="inlineStr">
        <is>
          <t>MWh</t>
        </is>
      </c>
      <c r="K804" s="8" t="n">
        <v>355361</v>
      </c>
      <c r="L804" s="6" t="inlineStr">
        <is>
          <t>MWh</t>
        </is>
      </c>
      <c r="M804" s="6" t="inlineStr">
        <is>
          <t>EBY</t>
        </is>
      </c>
      <c r="N804" s="6" t="inlineStr">
        <is>
          <t>OFFICIAL_PRIMARY</t>
        </is>
      </c>
      <c r="O804" s="9" t="inlineStr">
        <is>
          <t>OFFICIAL_AGGREGATE</t>
        </is>
      </c>
      <c r="P804" s="8" t="n">
        <v>1</v>
      </c>
      <c r="Q804" s="8" t="n">
        <v>50</v>
      </c>
      <c r="R804" s="7" t="inlineStr">
        <is>
          <t>https://www.eby.gov.py/wp-content/uploads/2019/12/YacyretaEnergiasMensualesDesdePuestaenMarcha.pdf</t>
        </is>
      </c>
      <c r="S804" s="6" t="inlineStr">
        <is>
          <t>EBY-MONTHLY-1994-2012</t>
        </is>
      </c>
      <c r="T804" s="6" t="inlineStr"/>
      <c r="U804" s="4" t="inlineStr">
        <is>
          <t>2026-09-10 23:00:00</t>
        </is>
      </c>
      <c r="V804" s="4" t="inlineStr">
        <is>
          <t>Total anual publicado.</t>
        </is>
      </c>
    </row>
    <row r="805">
      <c r="A805" s="6" t="inlineStr">
        <is>
          <t>R0000804</t>
        </is>
      </c>
      <c r="B805" s="6" t="inlineStr">
        <is>
          <t>1994-01-01</t>
        </is>
      </c>
      <c r="C805" s="6" t="inlineStr">
        <is>
          <t>1994-12-31</t>
        </is>
      </c>
      <c r="D805" s="6" t="inlineStr">
        <is>
          <t>year</t>
        </is>
      </c>
      <c r="E805" s="6" t="inlineStr">
        <is>
          <t>ENERGY_TO_ARGENTINA</t>
        </is>
      </c>
      <c r="F805" s="6" t="inlineStr">
        <is>
          <t>YACYRETA</t>
        </is>
      </c>
      <c r="G805" s="6" t="inlineStr">
        <is>
          <t>YACYRETA</t>
        </is>
      </c>
      <c r="H805" s="6" t="inlineStr">
        <is>
          <t>SADI</t>
        </is>
      </c>
      <c r="I805" s="8" t="n">
        <v>355361</v>
      </c>
      <c r="J805" s="6" t="inlineStr">
        <is>
          <t>MWh</t>
        </is>
      </c>
      <c r="K805" s="8" t="n">
        <v>355361</v>
      </c>
      <c r="L805" s="6" t="inlineStr">
        <is>
          <t>MWh</t>
        </is>
      </c>
      <c r="M805" s="6" t="inlineStr">
        <is>
          <t>EBY</t>
        </is>
      </c>
      <c r="N805" s="6" t="inlineStr">
        <is>
          <t>OFFICIAL_PRIMARY</t>
        </is>
      </c>
      <c r="O805" s="9" t="inlineStr">
        <is>
          <t>OFFICIAL_AGGREGATE</t>
        </is>
      </c>
      <c r="P805" s="8" t="n">
        <v>1</v>
      </c>
      <c r="Q805" s="8" t="n">
        <v>50</v>
      </c>
      <c r="R805" s="7" t="inlineStr">
        <is>
          <t>https://www.eby.gov.py/wp-content/uploads/2019/12/YacyretaEnergiasMensualesDesdePuestaenMarcha.pdf</t>
        </is>
      </c>
      <c r="S805" s="6" t="inlineStr">
        <is>
          <t>EBY-MONTHLY-1994-2012</t>
        </is>
      </c>
      <c r="T805" s="6" t="inlineStr"/>
      <c r="U805" s="4" t="inlineStr">
        <is>
          <t>2026-09-10 23:00:00</t>
        </is>
      </c>
      <c r="V805" s="4" t="inlineStr">
        <is>
          <t>Total anual publicado.</t>
        </is>
      </c>
    </row>
    <row r="806">
      <c r="A806" s="6" t="inlineStr">
        <is>
          <t>R0000805</t>
        </is>
      </c>
      <c r="B806" s="6" t="inlineStr">
        <is>
          <t>1994-01-01</t>
        </is>
      </c>
      <c r="C806" s="6" t="inlineStr">
        <is>
          <t>1994-12-31</t>
        </is>
      </c>
      <c r="D806" s="6" t="inlineStr">
        <is>
          <t>year</t>
        </is>
      </c>
      <c r="E806" s="6" t="inlineStr">
        <is>
          <t>ENERGY_TO_PY</t>
        </is>
      </c>
      <c r="F806" s="6" t="inlineStr">
        <is>
          <t>YACYRETA</t>
        </is>
      </c>
      <c r="G806" s="6" t="inlineStr">
        <is>
          <t>YACYRETA</t>
        </is>
      </c>
      <c r="H806" s="6" t="inlineStr">
        <is>
          <t>SINP</t>
        </is>
      </c>
      <c r="I806" s="8" t="n">
        <v>0</v>
      </c>
      <c r="J806" s="6" t="inlineStr">
        <is>
          <t>MWh</t>
        </is>
      </c>
      <c r="K806" s="8" t="n">
        <v>0</v>
      </c>
      <c r="L806" s="6" t="inlineStr">
        <is>
          <t>MWh</t>
        </is>
      </c>
      <c r="M806" s="6" t="inlineStr">
        <is>
          <t>EBY</t>
        </is>
      </c>
      <c r="N806" s="6" t="inlineStr">
        <is>
          <t>OFFICIAL_PRIMARY</t>
        </is>
      </c>
      <c r="O806" s="9" t="inlineStr">
        <is>
          <t>OFFICIAL_AGGREGATE</t>
        </is>
      </c>
      <c r="P806" s="8" t="n">
        <v>1</v>
      </c>
      <c r="Q806" s="8" t="n">
        <v>50</v>
      </c>
      <c r="R806" s="7" t="inlineStr">
        <is>
          <t>https://www.eby.gov.py/wp-content/uploads/2019/12/YacyretaEnergiasMensualesDesdePuestaenMarcha.pdf</t>
        </is>
      </c>
      <c r="S806" s="6" t="inlineStr">
        <is>
          <t>EBY-MONTHLY-1994-2012</t>
        </is>
      </c>
      <c r="T806" s="6" t="inlineStr"/>
      <c r="U806" s="4" t="inlineStr">
        <is>
          <t>2026-09-10 23:00:00</t>
        </is>
      </c>
      <c r="V806" s="4" t="inlineStr">
        <is>
          <t>Total anual publicado.</t>
        </is>
      </c>
    </row>
    <row r="807">
      <c r="A807" s="6" t="inlineStr">
        <is>
          <t>R0000806</t>
        </is>
      </c>
      <c r="B807" s="6" t="inlineStr">
        <is>
          <t>1995-01-01</t>
        </is>
      </c>
      <c r="C807" s="6" t="inlineStr">
        <is>
          <t>1995-12-31</t>
        </is>
      </c>
      <c r="D807" s="6" t="inlineStr">
        <is>
          <t>year</t>
        </is>
      </c>
      <c r="E807" s="6" t="inlineStr">
        <is>
          <t>YACYRETA_NET_ENERGY</t>
        </is>
      </c>
      <c r="F807" s="6" t="inlineStr">
        <is>
          <t>YACYRETA</t>
        </is>
      </c>
      <c r="G807" s="6" t="inlineStr">
        <is>
          <t>YACYRETA</t>
        </is>
      </c>
      <c r="H807" s="6" t="inlineStr">
        <is>
          <t>TOTAL</t>
        </is>
      </c>
      <c r="I807" s="8" t="n">
        <v>3792345</v>
      </c>
      <c r="J807" s="6" t="inlineStr">
        <is>
          <t>MWh</t>
        </is>
      </c>
      <c r="K807" s="8" t="n">
        <v>3792345</v>
      </c>
      <c r="L807" s="6" t="inlineStr">
        <is>
          <t>MWh</t>
        </is>
      </c>
      <c r="M807" s="6" t="inlineStr">
        <is>
          <t>EBY</t>
        </is>
      </c>
      <c r="N807" s="6" t="inlineStr">
        <is>
          <t>OFFICIAL_PRIMARY</t>
        </is>
      </c>
      <c r="O807" s="9" t="inlineStr">
        <is>
          <t>OFFICIAL_AGGREGATE</t>
        </is>
      </c>
      <c r="P807" s="8" t="n">
        <v>1</v>
      </c>
      <c r="Q807" s="8" t="n">
        <v>50</v>
      </c>
      <c r="R807" s="7" t="inlineStr">
        <is>
          <t>https://www.eby.gov.py/wp-content/uploads/2019/12/YacyretaEnergiasMensualesDesdePuestaenMarcha.pdf</t>
        </is>
      </c>
      <c r="S807" s="6" t="inlineStr">
        <is>
          <t>EBY-MONTHLY-1994-2012</t>
        </is>
      </c>
      <c r="T807" s="6" t="inlineStr"/>
      <c r="U807" s="4" t="inlineStr">
        <is>
          <t>2026-09-10 23:00:00</t>
        </is>
      </c>
      <c r="V807" s="4" t="inlineStr">
        <is>
          <t>Total anual publicado.</t>
        </is>
      </c>
    </row>
    <row r="808">
      <c r="A808" s="6" t="inlineStr">
        <is>
          <t>R0000807</t>
        </is>
      </c>
      <c r="B808" s="6" t="inlineStr">
        <is>
          <t>1995-01-01</t>
        </is>
      </c>
      <c r="C808" s="6" t="inlineStr">
        <is>
          <t>1995-12-31</t>
        </is>
      </c>
      <c r="D808" s="6" t="inlineStr">
        <is>
          <t>year</t>
        </is>
      </c>
      <c r="E808" s="6" t="inlineStr">
        <is>
          <t>ENERGY_TO_ARGENTINA</t>
        </is>
      </c>
      <c r="F808" s="6" t="inlineStr">
        <is>
          <t>YACYRETA</t>
        </is>
      </c>
      <c r="G808" s="6" t="inlineStr">
        <is>
          <t>YACYRETA</t>
        </is>
      </c>
      <c r="H808" s="6" t="inlineStr">
        <is>
          <t>SADI</t>
        </is>
      </c>
      <c r="I808" s="8" t="n">
        <v>3792345</v>
      </c>
      <c r="J808" s="6" t="inlineStr">
        <is>
          <t>MWh</t>
        </is>
      </c>
      <c r="K808" s="8" t="n">
        <v>3792345</v>
      </c>
      <c r="L808" s="6" t="inlineStr">
        <is>
          <t>MWh</t>
        </is>
      </c>
      <c r="M808" s="6" t="inlineStr">
        <is>
          <t>EBY</t>
        </is>
      </c>
      <c r="N808" s="6" t="inlineStr">
        <is>
          <t>OFFICIAL_PRIMARY</t>
        </is>
      </c>
      <c r="O808" s="9" t="inlineStr">
        <is>
          <t>OFFICIAL_AGGREGATE</t>
        </is>
      </c>
      <c r="P808" s="8" t="n">
        <v>1</v>
      </c>
      <c r="Q808" s="8" t="n">
        <v>50</v>
      </c>
      <c r="R808" s="7" t="inlineStr">
        <is>
          <t>https://www.eby.gov.py/wp-content/uploads/2019/12/YacyretaEnergiasMensualesDesdePuestaenMarcha.pdf</t>
        </is>
      </c>
      <c r="S808" s="6" t="inlineStr">
        <is>
          <t>EBY-MONTHLY-1994-2012</t>
        </is>
      </c>
      <c r="T808" s="6" t="inlineStr"/>
      <c r="U808" s="4" t="inlineStr">
        <is>
          <t>2026-09-10 23:00:00</t>
        </is>
      </c>
      <c r="V808" s="4" t="inlineStr">
        <is>
          <t>Total anual publicado.</t>
        </is>
      </c>
    </row>
    <row r="809">
      <c r="A809" s="6" t="inlineStr">
        <is>
          <t>R0000808</t>
        </is>
      </c>
      <c r="B809" s="6" t="inlineStr">
        <is>
          <t>1995-01-01</t>
        </is>
      </c>
      <c r="C809" s="6" t="inlineStr">
        <is>
          <t>1995-12-31</t>
        </is>
      </c>
      <c r="D809" s="6" t="inlineStr">
        <is>
          <t>year</t>
        </is>
      </c>
      <c r="E809" s="6" t="inlineStr">
        <is>
          <t>ENERGY_TO_PY</t>
        </is>
      </c>
      <c r="F809" s="6" t="inlineStr">
        <is>
          <t>YACYRETA</t>
        </is>
      </c>
      <c r="G809" s="6" t="inlineStr">
        <is>
          <t>YACYRETA</t>
        </is>
      </c>
      <c r="H809" s="6" t="inlineStr">
        <is>
          <t>SINP</t>
        </is>
      </c>
      <c r="I809" s="8" t="n">
        <v>0</v>
      </c>
      <c r="J809" s="6" t="inlineStr">
        <is>
          <t>MWh</t>
        </is>
      </c>
      <c r="K809" s="8" t="n">
        <v>0</v>
      </c>
      <c r="L809" s="6" t="inlineStr">
        <is>
          <t>MWh</t>
        </is>
      </c>
      <c r="M809" s="6" t="inlineStr">
        <is>
          <t>EBY</t>
        </is>
      </c>
      <c r="N809" s="6" t="inlineStr">
        <is>
          <t>OFFICIAL_PRIMARY</t>
        </is>
      </c>
      <c r="O809" s="9" t="inlineStr">
        <is>
          <t>OFFICIAL_AGGREGATE</t>
        </is>
      </c>
      <c r="P809" s="8" t="n">
        <v>1</v>
      </c>
      <c r="Q809" s="8" t="n">
        <v>50</v>
      </c>
      <c r="R809" s="7" t="inlineStr">
        <is>
          <t>https://www.eby.gov.py/wp-content/uploads/2019/12/YacyretaEnergiasMensualesDesdePuestaenMarcha.pdf</t>
        </is>
      </c>
      <c r="S809" s="6" t="inlineStr">
        <is>
          <t>EBY-MONTHLY-1994-2012</t>
        </is>
      </c>
      <c r="T809" s="6" t="inlineStr"/>
      <c r="U809" s="4" t="inlineStr">
        <is>
          <t>2026-09-10 23:00:00</t>
        </is>
      </c>
      <c r="V809" s="4" t="inlineStr">
        <is>
          <t>Total anual publicado.</t>
        </is>
      </c>
    </row>
    <row r="810">
      <c r="A810" s="6" t="inlineStr">
        <is>
          <t>R0000809</t>
        </is>
      </c>
      <c r="B810" s="6" t="inlineStr">
        <is>
          <t>1996-01-01</t>
        </is>
      </c>
      <c r="C810" s="6" t="inlineStr">
        <is>
          <t>1996-12-31</t>
        </is>
      </c>
      <c r="D810" s="6" t="inlineStr">
        <is>
          <t>year</t>
        </is>
      </c>
      <c r="E810" s="6" t="inlineStr">
        <is>
          <t>YACYRETA_NET_ENERGY</t>
        </is>
      </c>
      <c r="F810" s="6" t="inlineStr">
        <is>
          <t>YACYRETA</t>
        </is>
      </c>
      <c r="G810" s="6" t="inlineStr">
        <is>
          <t>YACYRETA</t>
        </is>
      </c>
      <c r="H810" s="6" t="inlineStr">
        <is>
          <t>TOTAL</t>
        </is>
      </c>
      <c r="I810" s="8" t="n">
        <v>6338424</v>
      </c>
      <c r="J810" s="6" t="inlineStr">
        <is>
          <t>MWh</t>
        </is>
      </c>
      <c r="K810" s="8" t="n">
        <v>6338424</v>
      </c>
      <c r="L810" s="6" t="inlineStr">
        <is>
          <t>MWh</t>
        </is>
      </c>
      <c r="M810" s="6" t="inlineStr">
        <is>
          <t>EBY</t>
        </is>
      </c>
      <c r="N810" s="6" t="inlineStr">
        <is>
          <t>OFFICIAL_PRIMARY</t>
        </is>
      </c>
      <c r="O810" s="9" t="inlineStr">
        <is>
          <t>OFFICIAL_AGGREGATE</t>
        </is>
      </c>
      <c r="P810" s="8" t="n">
        <v>1</v>
      </c>
      <c r="Q810" s="8" t="n">
        <v>50</v>
      </c>
      <c r="R810" s="7" t="inlineStr">
        <is>
          <t>https://www.eby.gov.py/wp-content/uploads/2019/12/YacyretaEnergiasMensualesDesdePuestaenMarcha.pdf</t>
        </is>
      </c>
      <c r="S810" s="6" t="inlineStr">
        <is>
          <t>EBY-MONTHLY-1994-2012</t>
        </is>
      </c>
      <c r="T810" s="6" t="inlineStr"/>
      <c r="U810" s="4" t="inlineStr">
        <is>
          <t>2026-09-10 23:00:00</t>
        </is>
      </c>
      <c r="V810" s="4" t="inlineStr">
        <is>
          <t>Total anual publicado.</t>
        </is>
      </c>
    </row>
    <row r="811">
      <c r="A811" s="6" t="inlineStr">
        <is>
          <t>R0000810</t>
        </is>
      </c>
      <c r="B811" s="6" t="inlineStr">
        <is>
          <t>1996-01-01</t>
        </is>
      </c>
      <c r="C811" s="6" t="inlineStr">
        <is>
          <t>1996-12-31</t>
        </is>
      </c>
      <c r="D811" s="6" t="inlineStr">
        <is>
          <t>year</t>
        </is>
      </c>
      <c r="E811" s="6" t="inlineStr">
        <is>
          <t>ENERGY_TO_ARGENTINA</t>
        </is>
      </c>
      <c r="F811" s="6" t="inlineStr">
        <is>
          <t>YACYRETA</t>
        </is>
      </c>
      <c r="G811" s="6" t="inlineStr">
        <is>
          <t>YACYRETA</t>
        </is>
      </c>
      <c r="H811" s="6" t="inlineStr">
        <is>
          <t>SADI</t>
        </is>
      </c>
      <c r="I811" s="8" t="n">
        <v>6332139</v>
      </c>
      <c r="J811" s="6" t="inlineStr">
        <is>
          <t>MWh</t>
        </is>
      </c>
      <c r="K811" s="8" t="n">
        <v>6332139</v>
      </c>
      <c r="L811" s="6" t="inlineStr">
        <is>
          <t>MWh</t>
        </is>
      </c>
      <c r="M811" s="6" t="inlineStr">
        <is>
          <t>EBY</t>
        </is>
      </c>
      <c r="N811" s="6" t="inlineStr">
        <is>
          <t>OFFICIAL_PRIMARY</t>
        </is>
      </c>
      <c r="O811" s="9" t="inlineStr">
        <is>
          <t>OFFICIAL_AGGREGATE</t>
        </is>
      </c>
      <c r="P811" s="8" t="n">
        <v>1</v>
      </c>
      <c r="Q811" s="8" t="n">
        <v>50</v>
      </c>
      <c r="R811" s="7" t="inlineStr">
        <is>
          <t>https://www.eby.gov.py/wp-content/uploads/2019/12/YacyretaEnergiasMensualesDesdePuestaenMarcha.pdf</t>
        </is>
      </c>
      <c r="S811" s="6" t="inlineStr">
        <is>
          <t>EBY-MONTHLY-1994-2012</t>
        </is>
      </c>
      <c r="T811" s="6" t="inlineStr"/>
      <c r="U811" s="4" t="inlineStr">
        <is>
          <t>2026-09-10 23:00:00</t>
        </is>
      </c>
      <c r="V811" s="4" t="inlineStr">
        <is>
          <t>Total anual publicado.</t>
        </is>
      </c>
    </row>
    <row r="812">
      <c r="A812" s="6" t="inlineStr">
        <is>
          <t>R0000811</t>
        </is>
      </c>
      <c r="B812" s="6" t="inlineStr">
        <is>
          <t>1996-01-01</t>
        </is>
      </c>
      <c r="C812" s="6" t="inlineStr">
        <is>
          <t>1996-12-31</t>
        </is>
      </c>
      <c r="D812" s="6" t="inlineStr">
        <is>
          <t>year</t>
        </is>
      </c>
      <c r="E812" s="6" t="inlineStr">
        <is>
          <t>ENERGY_TO_PY</t>
        </is>
      </c>
      <c r="F812" s="6" t="inlineStr">
        <is>
          <t>YACYRETA</t>
        </is>
      </c>
      <c r="G812" s="6" t="inlineStr">
        <is>
          <t>YACYRETA</t>
        </is>
      </c>
      <c r="H812" s="6" t="inlineStr">
        <is>
          <t>SINP</t>
        </is>
      </c>
      <c r="I812" s="8" t="n">
        <v>6284</v>
      </c>
      <c r="J812" s="6" t="inlineStr">
        <is>
          <t>MWh</t>
        </is>
      </c>
      <c r="K812" s="8" t="n">
        <v>6284</v>
      </c>
      <c r="L812" s="6" t="inlineStr">
        <is>
          <t>MWh</t>
        </is>
      </c>
      <c r="M812" s="6" t="inlineStr">
        <is>
          <t>EBY</t>
        </is>
      </c>
      <c r="N812" s="6" t="inlineStr">
        <is>
          <t>OFFICIAL_PRIMARY</t>
        </is>
      </c>
      <c r="O812" s="9" t="inlineStr">
        <is>
          <t>OFFICIAL_AGGREGATE</t>
        </is>
      </c>
      <c r="P812" s="8" t="n">
        <v>1</v>
      </c>
      <c r="Q812" s="8" t="n">
        <v>50</v>
      </c>
      <c r="R812" s="7" t="inlineStr">
        <is>
          <t>https://www.eby.gov.py/wp-content/uploads/2019/12/YacyretaEnergiasMensualesDesdePuestaenMarcha.pdf</t>
        </is>
      </c>
      <c r="S812" s="6" t="inlineStr">
        <is>
          <t>EBY-MONTHLY-1994-2012</t>
        </is>
      </c>
      <c r="T812" s="6" t="inlineStr"/>
      <c r="U812" s="4" t="inlineStr">
        <is>
          <t>2026-09-10 23:00:00</t>
        </is>
      </c>
      <c r="V812" s="4" t="inlineStr">
        <is>
          <t>Total anual publicado.</t>
        </is>
      </c>
    </row>
    <row r="813">
      <c r="A813" s="6" t="inlineStr">
        <is>
          <t>R0000812</t>
        </is>
      </c>
      <c r="B813" s="6" t="inlineStr">
        <is>
          <t>1997-01-01</t>
        </is>
      </c>
      <c r="C813" s="6" t="inlineStr">
        <is>
          <t>1997-12-31</t>
        </is>
      </c>
      <c r="D813" s="6" t="inlineStr">
        <is>
          <t>year</t>
        </is>
      </c>
      <c r="E813" s="6" t="inlineStr">
        <is>
          <t>YACYRETA_NET_ENERGY</t>
        </is>
      </c>
      <c r="F813" s="6" t="inlineStr">
        <is>
          <t>YACYRETA</t>
        </is>
      </c>
      <c r="G813" s="6" t="inlineStr">
        <is>
          <t>YACYRETA</t>
        </is>
      </c>
      <c r="H813" s="6" t="inlineStr">
        <is>
          <t>TOTAL</t>
        </is>
      </c>
      <c r="I813" s="8" t="n">
        <v>10242292</v>
      </c>
      <c r="J813" s="6" t="inlineStr">
        <is>
          <t>MWh</t>
        </is>
      </c>
      <c r="K813" s="8" t="n">
        <v>10242292</v>
      </c>
      <c r="L813" s="6" t="inlineStr">
        <is>
          <t>MWh</t>
        </is>
      </c>
      <c r="M813" s="6" t="inlineStr">
        <is>
          <t>EBY</t>
        </is>
      </c>
      <c r="N813" s="6" t="inlineStr">
        <is>
          <t>OFFICIAL_PRIMARY</t>
        </is>
      </c>
      <c r="O813" s="9" t="inlineStr">
        <is>
          <t>OFFICIAL_AGGREGATE</t>
        </is>
      </c>
      <c r="P813" s="8" t="n">
        <v>1</v>
      </c>
      <c r="Q813" s="8" t="n">
        <v>50</v>
      </c>
      <c r="R813" s="7" t="inlineStr">
        <is>
          <t>https://www.eby.gov.py/wp-content/uploads/2019/12/YacyretaEnergiasMensualesDesdePuestaenMarcha.pdf</t>
        </is>
      </c>
      <c r="S813" s="6" t="inlineStr">
        <is>
          <t>EBY-MONTHLY-1994-2012</t>
        </is>
      </c>
      <c r="T813" s="6" t="inlineStr"/>
      <c r="U813" s="4" t="inlineStr">
        <is>
          <t>2026-09-10 23:00:00</t>
        </is>
      </c>
      <c r="V813" s="4" t="inlineStr">
        <is>
          <t>Total anual publicado.</t>
        </is>
      </c>
    </row>
    <row r="814">
      <c r="A814" s="6" t="inlineStr">
        <is>
          <t>R0000813</t>
        </is>
      </c>
      <c r="B814" s="6" t="inlineStr">
        <is>
          <t>1997-01-01</t>
        </is>
      </c>
      <c r="C814" s="6" t="inlineStr">
        <is>
          <t>1997-12-31</t>
        </is>
      </c>
      <c r="D814" s="6" t="inlineStr">
        <is>
          <t>year</t>
        </is>
      </c>
      <c r="E814" s="6" t="inlineStr">
        <is>
          <t>ENERGY_TO_ARGENTINA</t>
        </is>
      </c>
      <c r="F814" s="6" t="inlineStr">
        <is>
          <t>YACYRETA</t>
        </is>
      </c>
      <c r="G814" s="6" t="inlineStr">
        <is>
          <t>YACYRETA</t>
        </is>
      </c>
      <c r="H814" s="6" t="inlineStr">
        <is>
          <t>SADI</t>
        </is>
      </c>
      <c r="I814" s="8" t="n">
        <v>10056989</v>
      </c>
      <c r="J814" s="6" t="inlineStr">
        <is>
          <t>MWh</t>
        </is>
      </c>
      <c r="K814" s="8" t="n">
        <v>10056989</v>
      </c>
      <c r="L814" s="6" t="inlineStr">
        <is>
          <t>MWh</t>
        </is>
      </c>
      <c r="M814" s="6" t="inlineStr">
        <is>
          <t>EBY</t>
        </is>
      </c>
      <c r="N814" s="6" t="inlineStr">
        <is>
          <t>OFFICIAL_PRIMARY</t>
        </is>
      </c>
      <c r="O814" s="9" t="inlineStr">
        <is>
          <t>OFFICIAL_AGGREGATE</t>
        </is>
      </c>
      <c r="P814" s="8" t="n">
        <v>1</v>
      </c>
      <c r="Q814" s="8" t="n">
        <v>50</v>
      </c>
      <c r="R814" s="7" t="inlineStr">
        <is>
          <t>https://www.eby.gov.py/wp-content/uploads/2019/12/YacyretaEnergiasMensualesDesdePuestaenMarcha.pdf</t>
        </is>
      </c>
      <c r="S814" s="6" t="inlineStr">
        <is>
          <t>EBY-MONTHLY-1994-2012</t>
        </is>
      </c>
      <c r="T814" s="6" t="inlineStr"/>
      <c r="U814" s="4" t="inlineStr">
        <is>
          <t>2026-09-10 23:00:00</t>
        </is>
      </c>
      <c r="V814" s="4" t="inlineStr">
        <is>
          <t>Total anual publicado.</t>
        </is>
      </c>
    </row>
    <row r="815">
      <c r="A815" s="6" t="inlineStr">
        <is>
          <t>R0000814</t>
        </is>
      </c>
      <c r="B815" s="6" t="inlineStr">
        <is>
          <t>1997-01-01</t>
        </is>
      </c>
      <c r="C815" s="6" t="inlineStr">
        <is>
          <t>1997-12-31</t>
        </is>
      </c>
      <c r="D815" s="6" t="inlineStr">
        <is>
          <t>year</t>
        </is>
      </c>
      <c r="E815" s="6" t="inlineStr">
        <is>
          <t>ENERGY_TO_PY</t>
        </is>
      </c>
      <c r="F815" s="6" t="inlineStr">
        <is>
          <t>YACYRETA</t>
        </is>
      </c>
      <c r="G815" s="6" t="inlineStr">
        <is>
          <t>YACYRETA</t>
        </is>
      </c>
      <c r="H815" s="6" t="inlineStr">
        <is>
          <t>SINP</t>
        </is>
      </c>
      <c r="I815" s="8" t="n">
        <v>185303</v>
      </c>
      <c r="J815" s="6" t="inlineStr">
        <is>
          <t>MWh</t>
        </is>
      </c>
      <c r="K815" s="8" t="n">
        <v>185303</v>
      </c>
      <c r="L815" s="6" t="inlineStr">
        <is>
          <t>MWh</t>
        </is>
      </c>
      <c r="M815" s="6" t="inlineStr">
        <is>
          <t>EBY</t>
        </is>
      </c>
      <c r="N815" s="6" t="inlineStr">
        <is>
          <t>OFFICIAL_PRIMARY</t>
        </is>
      </c>
      <c r="O815" s="9" t="inlineStr">
        <is>
          <t>OFFICIAL_AGGREGATE</t>
        </is>
      </c>
      <c r="P815" s="8" t="n">
        <v>1</v>
      </c>
      <c r="Q815" s="8" t="n">
        <v>50</v>
      </c>
      <c r="R815" s="7" t="inlineStr">
        <is>
          <t>https://www.eby.gov.py/wp-content/uploads/2019/12/YacyretaEnergiasMensualesDesdePuestaenMarcha.pdf</t>
        </is>
      </c>
      <c r="S815" s="6" t="inlineStr">
        <is>
          <t>EBY-MONTHLY-1994-2012</t>
        </is>
      </c>
      <c r="T815" s="6" t="inlineStr"/>
      <c r="U815" s="4" t="inlineStr">
        <is>
          <t>2026-09-10 23:00:00</t>
        </is>
      </c>
      <c r="V815" s="4" t="inlineStr">
        <is>
          <t>Total anual publicado.</t>
        </is>
      </c>
    </row>
    <row r="816">
      <c r="A816" s="6" t="inlineStr">
        <is>
          <t>R0000815</t>
        </is>
      </c>
      <c r="B816" s="6" t="inlineStr">
        <is>
          <t>1998-01-01</t>
        </is>
      </c>
      <c r="C816" s="6" t="inlineStr">
        <is>
          <t>1998-12-31</t>
        </is>
      </c>
      <c r="D816" s="6" t="inlineStr">
        <is>
          <t>year</t>
        </is>
      </c>
      <c r="E816" s="6" t="inlineStr">
        <is>
          <t>YACYRETA_NET_ENERGY</t>
        </is>
      </c>
      <c r="F816" s="6" t="inlineStr">
        <is>
          <t>YACYRETA</t>
        </is>
      </c>
      <c r="G816" s="6" t="inlineStr">
        <is>
          <t>YACYRETA</t>
        </is>
      </c>
      <c r="H816" s="6" t="inlineStr">
        <is>
          <t>TOTAL</t>
        </is>
      </c>
      <c r="I816" s="8" t="n">
        <v>11733715</v>
      </c>
      <c r="J816" s="6" t="inlineStr">
        <is>
          <t>MWh</t>
        </is>
      </c>
      <c r="K816" s="8" t="n">
        <v>11733715</v>
      </c>
      <c r="L816" s="6" t="inlineStr">
        <is>
          <t>MWh</t>
        </is>
      </c>
      <c r="M816" s="6" t="inlineStr">
        <is>
          <t>EBY</t>
        </is>
      </c>
      <c r="N816" s="6" t="inlineStr">
        <is>
          <t>OFFICIAL_PRIMARY</t>
        </is>
      </c>
      <c r="O816" s="9" t="inlineStr">
        <is>
          <t>OFFICIAL_AGGREGATE</t>
        </is>
      </c>
      <c r="P816" s="8" t="n">
        <v>1</v>
      </c>
      <c r="Q816" s="8" t="n">
        <v>50</v>
      </c>
      <c r="R816" s="7" t="inlineStr">
        <is>
          <t>https://www.eby.gov.py/wp-content/uploads/2019/12/YacyretaEnergiasMensualesDesdePuestaenMarcha.pdf</t>
        </is>
      </c>
      <c r="S816" s="6" t="inlineStr">
        <is>
          <t>EBY-MONTHLY-1994-2012</t>
        </is>
      </c>
      <c r="T816" s="6" t="inlineStr"/>
      <c r="U816" s="4" t="inlineStr">
        <is>
          <t>2026-09-10 23:00:00</t>
        </is>
      </c>
      <c r="V816" s="4" t="inlineStr">
        <is>
          <t>Total anual publicado.</t>
        </is>
      </c>
    </row>
    <row r="817">
      <c r="A817" s="6" t="inlineStr">
        <is>
          <t>R0000816</t>
        </is>
      </c>
      <c r="B817" s="6" t="inlineStr">
        <is>
          <t>1998-01-01</t>
        </is>
      </c>
      <c r="C817" s="6" t="inlineStr">
        <is>
          <t>1998-12-31</t>
        </is>
      </c>
      <c r="D817" s="6" t="inlineStr">
        <is>
          <t>year</t>
        </is>
      </c>
      <c r="E817" s="6" t="inlineStr">
        <is>
          <t>ENERGY_TO_ARGENTINA</t>
        </is>
      </c>
      <c r="F817" s="6" t="inlineStr">
        <is>
          <t>YACYRETA</t>
        </is>
      </c>
      <c r="G817" s="6" t="inlineStr">
        <is>
          <t>YACYRETA</t>
        </is>
      </c>
      <c r="H817" s="6" t="inlineStr">
        <is>
          <t>SADI</t>
        </is>
      </c>
      <c r="I817" s="8" t="n">
        <v>11617309</v>
      </c>
      <c r="J817" s="6" t="inlineStr">
        <is>
          <t>MWh</t>
        </is>
      </c>
      <c r="K817" s="8" t="n">
        <v>11617309</v>
      </c>
      <c r="L817" s="6" t="inlineStr">
        <is>
          <t>MWh</t>
        </is>
      </c>
      <c r="M817" s="6" t="inlineStr">
        <is>
          <t>EBY</t>
        </is>
      </c>
      <c r="N817" s="6" t="inlineStr">
        <is>
          <t>OFFICIAL_PRIMARY</t>
        </is>
      </c>
      <c r="O817" s="9" t="inlineStr">
        <is>
          <t>OFFICIAL_AGGREGATE</t>
        </is>
      </c>
      <c r="P817" s="8" t="n">
        <v>1</v>
      </c>
      <c r="Q817" s="8" t="n">
        <v>50</v>
      </c>
      <c r="R817" s="7" t="inlineStr">
        <is>
          <t>https://www.eby.gov.py/wp-content/uploads/2019/12/YacyretaEnergiasMensualesDesdePuestaenMarcha.pdf</t>
        </is>
      </c>
      <c r="S817" s="6" t="inlineStr">
        <is>
          <t>EBY-MONTHLY-1994-2012</t>
        </is>
      </c>
      <c r="T817" s="6" t="inlineStr"/>
      <c r="U817" s="4" t="inlineStr">
        <is>
          <t>2026-09-10 23:00:00</t>
        </is>
      </c>
      <c r="V817" s="4" t="inlineStr">
        <is>
          <t>Total anual publicado.</t>
        </is>
      </c>
    </row>
    <row r="818">
      <c r="A818" s="6" t="inlineStr">
        <is>
          <t>R0000817</t>
        </is>
      </c>
      <c r="B818" s="6" t="inlineStr">
        <is>
          <t>1998-01-01</t>
        </is>
      </c>
      <c r="C818" s="6" t="inlineStr">
        <is>
          <t>1998-12-31</t>
        </is>
      </c>
      <c r="D818" s="6" t="inlineStr">
        <is>
          <t>year</t>
        </is>
      </c>
      <c r="E818" s="6" t="inlineStr">
        <is>
          <t>ENERGY_TO_PY</t>
        </is>
      </c>
      <c r="F818" s="6" t="inlineStr">
        <is>
          <t>YACYRETA</t>
        </is>
      </c>
      <c r="G818" s="6" t="inlineStr">
        <is>
          <t>YACYRETA</t>
        </is>
      </c>
      <c r="H818" s="6" t="inlineStr">
        <is>
          <t>SINP</t>
        </is>
      </c>
      <c r="I818" s="8" t="n">
        <v>116405</v>
      </c>
      <c r="J818" s="6" t="inlineStr">
        <is>
          <t>MWh</t>
        </is>
      </c>
      <c r="K818" s="8" t="n">
        <v>116405</v>
      </c>
      <c r="L818" s="6" t="inlineStr">
        <is>
          <t>MWh</t>
        </is>
      </c>
      <c r="M818" s="6" t="inlineStr">
        <is>
          <t>EBY</t>
        </is>
      </c>
      <c r="N818" s="6" t="inlineStr">
        <is>
          <t>OFFICIAL_PRIMARY</t>
        </is>
      </c>
      <c r="O818" s="9" t="inlineStr">
        <is>
          <t>OFFICIAL_AGGREGATE</t>
        </is>
      </c>
      <c r="P818" s="8" t="n">
        <v>1</v>
      </c>
      <c r="Q818" s="8" t="n">
        <v>50</v>
      </c>
      <c r="R818" s="7" t="inlineStr">
        <is>
          <t>https://www.eby.gov.py/wp-content/uploads/2019/12/YacyretaEnergiasMensualesDesdePuestaenMarcha.pdf</t>
        </is>
      </c>
      <c r="S818" s="6" t="inlineStr">
        <is>
          <t>EBY-MONTHLY-1994-2012</t>
        </is>
      </c>
      <c r="T818" s="6" t="inlineStr"/>
      <c r="U818" s="4" t="inlineStr">
        <is>
          <t>2026-09-10 23:00:00</t>
        </is>
      </c>
      <c r="V818" s="4" t="inlineStr">
        <is>
          <t>Total anual publicado.</t>
        </is>
      </c>
    </row>
    <row r="819">
      <c r="A819" s="6" t="inlineStr">
        <is>
          <t>R0000818</t>
        </is>
      </c>
      <c r="B819" s="6" t="inlineStr">
        <is>
          <t>1999-01-01</t>
        </is>
      </c>
      <c r="C819" s="6" t="inlineStr">
        <is>
          <t>1999-12-31</t>
        </is>
      </c>
      <c r="D819" s="6" t="inlineStr">
        <is>
          <t>year</t>
        </is>
      </c>
      <c r="E819" s="6" t="inlineStr">
        <is>
          <t>YACYRETA_NET_ENERGY</t>
        </is>
      </c>
      <c r="F819" s="6" t="inlineStr">
        <is>
          <t>YACYRETA</t>
        </is>
      </c>
      <c r="G819" s="6" t="inlineStr">
        <is>
          <t>YACYRETA</t>
        </is>
      </c>
      <c r="H819" s="6" t="inlineStr">
        <is>
          <t>TOTAL</t>
        </is>
      </c>
      <c r="I819" s="8" t="n">
        <v>11879445</v>
      </c>
      <c r="J819" s="6" t="inlineStr">
        <is>
          <t>MWh</t>
        </is>
      </c>
      <c r="K819" s="8" t="n">
        <v>11879445</v>
      </c>
      <c r="L819" s="6" t="inlineStr">
        <is>
          <t>MWh</t>
        </is>
      </c>
      <c r="M819" s="6" t="inlineStr">
        <is>
          <t>EBY</t>
        </is>
      </c>
      <c r="N819" s="6" t="inlineStr">
        <is>
          <t>OFFICIAL_PRIMARY</t>
        </is>
      </c>
      <c r="O819" s="9" t="inlineStr">
        <is>
          <t>OFFICIAL_AGGREGATE</t>
        </is>
      </c>
      <c r="P819" s="8" t="n">
        <v>1</v>
      </c>
      <c r="Q819" s="8" t="n">
        <v>50</v>
      </c>
      <c r="R819" s="7" t="inlineStr">
        <is>
          <t>https://www.eby.gov.py/wp-content/uploads/2019/12/YacyretaEnergiasMensualesDesdePuestaenMarcha.pdf</t>
        </is>
      </c>
      <c r="S819" s="6" t="inlineStr">
        <is>
          <t>EBY-MONTHLY-1994-2012</t>
        </is>
      </c>
      <c r="T819" s="6" t="inlineStr"/>
      <c r="U819" s="4" t="inlineStr">
        <is>
          <t>2026-09-10 23:00:00</t>
        </is>
      </c>
      <c r="V819" s="4" t="inlineStr">
        <is>
          <t>Total anual publicado.</t>
        </is>
      </c>
    </row>
    <row r="820">
      <c r="A820" s="6" t="inlineStr">
        <is>
          <t>R0000819</t>
        </is>
      </c>
      <c r="B820" s="6" t="inlineStr">
        <is>
          <t>1999-01-01</t>
        </is>
      </c>
      <c r="C820" s="6" t="inlineStr">
        <is>
          <t>1999-12-31</t>
        </is>
      </c>
      <c r="D820" s="6" t="inlineStr">
        <is>
          <t>year</t>
        </is>
      </c>
      <c r="E820" s="6" t="inlineStr">
        <is>
          <t>ENERGY_TO_ARGENTINA</t>
        </is>
      </c>
      <c r="F820" s="6" t="inlineStr">
        <is>
          <t>YACYRETA</t>
        </is>
      </c>
      <c r="G820" s="6" t="inlineStr">
        <is>
          <t>YACYRETA</t>
        </is>
      </c>
      <c r="H820" s="6" t="inlineStr">
        <is>
          <t>SADI</t>
        </is>
      </c>
      <c r="I820" s="8" t="n">
        <v>11833638</v>
      </c>
      <c r="J820" s="6" t="inlineStr">
        <is>
          <t>MWh</t>
        </is>
      </c>
      <c r="K820" s="8" t="n">
        <v>11833638</v>
      </c>
      <c r="L820" s="6" t="inlineStr">
        <is>
          <t>MWh</t>
        </is>
      </c>
      <c r="M820" s="6" t="inlineStr">
        <is>
          <t>EBY</t>
        </is>
      </c>
      <c r="N820" s="6" t="inlineStr">
        <is>
          <t>OFFICIAL_PRIMARY</t>
        </is>
      </c>
      <c r="O820" s="9" t="inlineStr">
        <is>
          <t>OFFICIAL_AGGREGATE</t>
        </is>
      </c>
      <c r="P820" s="8" t="n">
        <v>1</v>
      </c>
      <c r="Q820" s="8" t="n">
        <v>50</v>
      </c>
      <c r="R820" s="7" t="inlineStr">
        <is>
          <t>https://www.eby.gov.py/wp-content/uploads/2019/12/YacyretaEnergiasMensualesDesdePuestaenMarcha.pdf</t>
        </is>
      </c>
      <c r="S820" s="6" t="inlineStr">
        <is>
          <t>EBY-MONTHLY-1994-2012</t>
        </is>
      </c>
      <c r="T820" s="6" t="inlineStr"/>
      <c r="U820" s="4" t="inlineStr">
        <is>
          <t>2026-09-10 23:00:00</t>
        </is>
      </c>
      <c r="V820" s="4" t="inlineStr">
        <is>
          <t>Total anual publicado.</t>
        </is>
      </c>
    </row>
    <row r="821">
      <c r="A821" s="6" t="inlineStr">
        <is>
          <t>R0000820</t>
        </is>
      </c>
      <c r="B821" s="6" t="inlineStr">
        <is>
          <t>1999-01-01</t>
        </is>
      </c>
      <c r="C821" s="6" t="inlineStr">
        <is>
          <t>1999-12-31</t>
        </is>
      </c>
      <c r="D821" s="6" t="inlineStr">
        <is>
          <t>year</t>
        </is>
      </c>
      <c r="E821" s="6" t="inlineStr">
        <is>
          <t>ENERGY_TO_PY</t>
        </is>
      </c>
      <c r="F821" s="6" t="inlineStr">
        <is>
          <t>YACYRETA</t>
        </is>
      </c>
      <c r="G821" s="6" t="inlineStr">
        <is>
          <t>YACYRETA</t>
        </is>
      </c>
      <c r="H821" s="6" t="inlineStr">
        <is>
          <t>SINP</t>
        </is>
      </c>
      <c r="I821" s="8" t="n">
        <v>45807</v>
      </c>
      <c r="J821" s="6" t="inlineStr">
        <is>
          <t>MWh</t>
        </is>
      </c>
      <c r="K821" s="8" t="n">
        <v>45807</v>
      </c>
      <c r="L821" s="6" t="inlineStr">
        <is>
          <t>MWh</t>
        </is>
      </c>
      <c r="M821" s="6" t="inlineStr">
        <is>
          <t>EBY</t>
        </is>
      </c>
      <c r="N821" s="6" t="inlineStr">
        <is>
          <t>OFFICIAL_PRIMARY</t>
        </is>
      </c>
      <c r="O821" s="9" t="inlineStr">
        <is>
          <t>OFFICIAL_AGGREGATE</t>
        </is>
      </c>
      <c r="P821" s="8" t="n">
        <v>1</v>
      </c>
      <c r="Q821" s="8" t="n">
        <v>50</v>
      </c>
      <c r="R821" s="7" t="inlineStr">
        <is>
          <t>https://www.eby.gov.py/wp-content/uploads/2019/12/YacyretaEnergiasMensualesDesdePuestaenMarcha.pdf</t>
        </is>
      </c>
      <c r="S821" s="6" t="inlineStr">
        <is>
          <t>EBY-MONTHLY-1994-2012</t>
        </is>
      </c>
      <c r="T821" s="6" t="inlineStr"/>
      <c r="U821" s="4" t="inlineStr">
        <is>
          <t>2026-09-10 23:00:00</t>
        </is>
      </c>
      <c r="V821" s="4" t="inlineStr">
        <is>
          <t>Total anual publicado.</t>
        </is>
      </c>
    </row>
    <row r="822">
      <c r="A822" s="6" t="inlineStr">
        <is>
          <t>R0000821</t>
        </is>
      </c>
      <c r="B822" s="6" t="inlineStr">
        <is>
          <t>2000-01-01</t>
        </is>
      </c>
      <c r="C822" s="6" t="inlineStr">
        <is>
          <t>2000-12-31</t>
        </is>
      </c>
      <c r="D822" s="6" t="inlineStr">
        <is>
          <t>year</t>
        </is>
      </c>
      <c r="E822" s="6" t="inlineStr">
        <is>
          <t>YACYRETA_NET_ENERGY</t>
        </is>
      </c>
      <c r="F822" s="6" t="inlineStr">
        <is>
          <t>YACYRETA</t>
        </is>
      </c>
      <c r="G822" s="6" t="inlineStr">
        <is>
          <t>YACYRETA</t>
        </is>
      </c>
      <c r="H822" s="6" t="inlineStr">
        <is>
          <t>TOTAL</t>
        </is>
      </c>
      <c r="I822" s="8" t="n">
        <v>11890356</v>
      </c>
      <c r="J822" s="6" t="inlineStr">
        <is>
          <t>MWh</t>
        </is>
      </c>
      <c r="K822" s="8" t="n">
        <v>11890356</v>
      </c>
      <c r="L822" s="6" t="inlineStr">
        <is>
          <t>MWh</t>
        </is>
      </c>
      <c r="M822" s="6" t="inlineStr">
        <is>
          <t>EBY</t>
        </is>
      </c>
      <c r="N822" s="6" t="inlineStr">
        <is>
          <t>OFFICIAL_PRIMARY</t>
        </is>
      </c>
      <c r="O822" s="9" t="inlineStr">
        <is>
          <t>OFFICIAL_AGGREGATE</t>
        </is>
      </c>
      <c r="P822" s="8" t="n">
        <v>1</v>
      </c>
      <c r="Q822" s="8" t="n">
        <v>50</v>
      </c>
      <c r="R822" s="7" t="inlineStr">
        <is>
          <t>https://www.eby.gov.py/wp-content/uploads/2019/12/YacyretaEnergiasMensualesDesdePuestaenMarcha.pdf</t>
        </is>
      </c>
      <c r="S822" s="6" t="inlineStr">
        <is>
          <t>EBY-MONTHLY-1994-2012</t>
        </is>
      </c>
      <c r="T822" s="6" t="inlineStr"/>
      <c r="U822" s="4" t="inlineStr">
        <is>
          <t>2026-09-10 23:00:00</t>
        </is>
      </c>
      <c r="V822" s="4" t="inlineStr">
        <is>
          <t>Total anual publicado.</t>
        </is>
      </c>
    </row>
    <row r="823">
      <c r="A823" s="6" t="inlineStr">
        <is>
          <t>R0000822</t>
        </is>
      </c>
      <c r="B823" s="6" t="inlineStr">
        <is>
          <t>2000-01-01</t>
        </is>
      </c>
      <c r="C823" s="6" t="inlineStr">
        <is>
          <t>2000-12-31</t>
        </is>
      </c>
      <c r="D823" s="6" t="inlineStr">
        <is>
          <t>year</t>
        </is>
      </c>
      <c r="E823" s="6" t="inlineStr">
        <is>
          <t>ENERGY_TO_ARGENTINA</t>
        </is>
      </c>
      <c r="F823" s="6" t="inlineStr">
        <is>
          <t>YACYRETA</t>
        </is>
      </c>
      <c r="G823" s="6" t="inlineStr">
        <is>
          <t>YACYRETA</t>
        </is>
      </c>
      <c r="H823" s="6" t="inlineStr">
        <is>
          <t>SADI</t>
        </is>
      </c>
      <c r="I823" s="8" t="n">
        <v>11860029</v>
      </c>
      <c r="J823" s="6" t="inlineStr">
        <is>
          <t>MWh</t>
        </is>
      </c>
      <c r="K823" s="8" t="n">
        <v>11860029</v>
      </c>
      <c r="L823" s="6" t="inlineStr">
        <is>
          <t>MWh</t>
        </is>
      </c>
      <c r="M823" s="6" t="inlineStr">
        <is>
          <t>EBY</t>
        </is>
      </c>
      <c r="N823" s="6" t="inlineStr">
        <is>
          <t>OFFICIAL_PRIMARY</t>
        </is>
      </c>
      <c r="O823" s="9" t="inlineStr">
        <is>
          <t>OFFICIAL_AGGREGATE</t>
        </is>
      </c>
      <c r="P823" s="8" t="n">
        <v>1</v>
      </c>
      <c r="Q823" s="8" t="n">
        <v>50</v>
      </c>
      <c r="R823" s="7" t="inlineStr">
        <is>
          <t>https://www.eby.gov.py/wp-content/uploads/2019/12/YacyretaEnergiasMensualesDesdePuestaenMarcha.pdf</t>
        </is>
      </c>
      <c r="S823" s="6" t="inlineStr">
        <is>
          <t>EBY-MONTHLY-1994-2012</t>
        </is>
      </c>
      <c r="T823" s="6" t="inlineStr"/>
      <c r="U823" s="4" t="inlineStr">
        <is>
          <t>2026-09-10 23:00:00</t>
        </is>
      </c>
      <c r="V823" s="4" t="inlineStr">
        <is>
          <t>Total anual publicado.</t>
        </is>
      </c>
    </row>
    <row r="824">
      <c r="A824" s="6" t="inlineStr">
        <is>
          <t>R0000823</t>
        </is>
      </c>
      <c r="B824" s="6" t="inlineStr">
        <is>
          <t>2000-01-01</t>
        </is>
      </c>
      <c r="C824" s="6" t="inlineStr">
        <is>
          <t>2000-12-31</t>
        </is>
      </c>
      <c r="D824" s="6" t="inlineStr">
        <is>
          <t>year</t>
        </is>
      </c>
      <c r="E824" s="6" t="inlineStr">
        <is>
          <t>ENERGY_TO_PY</t>
        </is>
      </c>
      <c r="F824" s="6" t="inlineStr">
        <is>
          <t>YACYRETA</t>
        </is>
      </c>
      <c r="G824" s="6" t="inlineStr">
        <is>
          <t>YACYRETA</t>
        </is>
      </c>
      <c r="H824" s="6" t="inlineStr">
        <is>
          <t>SINP</t>
        </is>
      </c>
      <c r="I824" s="8" t="n">
        <v>30327</v>
      </c>
      <c r="J824" s="6" t="inlineStr">
        <is>
          <t>MWh</t>
        </is>
      </c>
      <c r="K824" s="8" t="n">
        <v>30327</v>
      </c>
      <c r="L824" s="6" t="inlineStr">
        <is>
          <t>MWh</t>
        </is>
      </c>
      <c r="M824" s="6" t="inlineStr">
        <is>
          <t>EBY</t>
        </is>
      </c>
      <c r="N824" s="6" t="inlineStr">
        <is>
          <t>OFFICIAL_PRIMARY</t>
        </is>
      </c>
      <c r="O824" s="9" t="inlineStr">
        <is>
          <t>OFFICIAL_AGGREGATE</t>
        </is>
      </c>
      <c r="P824" s="8" t="n">
        <v>1</v>
      </c>
      <c r="Q824" s="8" t="n">
        <v>50</v>
      </c>
      <c r="R824" s="7" t="inlineStr">
        <is>
          <t>https://www.eby.gov.py/wp-content/uploads/2019/12/YacyretaEnergiasMensualesDesdePuestaenMarcha.pdf</t>
        </is>
      </c>
      <c r="S824" s="6" t="inlineStr">
        <is>
          <t>EBY-MONTHLY-1994-2012</t>
        </is>
      </c>
      <c r="T824" s="6" t="inlineStr"/>
      <c r="U824" s="4" t="inlineStr">
        <is>
          <t>2026-09-10 23:00:00</t>
        </is>
      </c>
      <c r="V824" s="4" t="inlineStr">
        <is>
          <t>Total anual publicado.</t>
        </is>
      </c>
    </row>
    <row r="825">
      <c r="A825" s="6" t="inlineStr">
        <is>
          <t>R0000824</t>
        </is>
      </c>
      <c r="B825" s="6" t="inlineStr">
        <is>
          <t>2001-01-01</t>
        </is>
      </c>
      <c r="C825" s="6" t="inlineStr">
        <is>
          <t>2001-12-31</t>
        </is>
      </c>
      <c r="D825" s="6" t="inlineStr">
        <is>
          <t>year</t>
        </is>
      </c>
      <c r="E825" s="6" t="inlineStr">
        <is>
          <t>YACYRETA_NET_ENERGY</t>
        </is>
      </c>
      <c r="F825" s="6" t="inlineStr">
        <is>
          <t>YACYRETA</t>
        </is>
      </c>
      <c r="G825" s="6" t="inlineStr">
        <is>
          <t>YACYRETA</t>
        </is>
      </c>
      <c r="H825" s="6" t="inlineStr">
        <is>
          <t>TOTAL</t>
        </is>
      </c>
      <c r="I825" s="8" t="n">
        <v>11507494</v>
      </c>
      <c r="J825" s="6" t="inlineStr">
        <is>
          <t>MWh</t>
        </is>
      </c>
      <c r="K825" s="8" t="n">
        <v>11507494</v>
      </c>
      <c r="L825" s="6" t="inlineStr">
        <is>
          <t>MWh</t>
        </is>
      </c>
      <c r="M825" s="6" t="inlineStr">
        <is>
          <t>EBY</t>
        </is>
      </c>
      <c r="N825" s="6" t="inlineStr">
        <is>
          <t>OFFICIAL_PRIMARY</t>
        </is>
      </c>
      <c r="O825" s="9" t="inlineStr">
        <is>
          <t>OFFICIAL_AGGREGATE</t>
        </is>
      </c>
      <c r="P825" s="8" t="n">
        <v>1</v>
      </c>
      <c r="Q825" s="8" t="n">
        <v>50</v>
      </c>
      <c r="R825" s="7" t="inlineStr">
        <is>
          <t>https://www.eby.gov.py/wp-content/uploads/2019/12/YacyretaEnergiasMensualesDesdePuestaenMarcha.pdf</t>
        </is>
      </c>
      <c r="S825" s="6" t="inlineStr">
        <is>
          <t>EBY-MONTHLY-1994-2012</t>
        </is>
      </c>
      <c r="T825" s="6" t="inlineStr"/>
      <c r="U825" s="4" t="inlineStr">
        <is>
          <t>2026-09-10 23:00:00</t>
        </is>
      </c>
      <c r="V825" s="4" t="inlineStr">
        <is>
          <t>Total anual publicado.</t>
        </is>
      </c>
    </row>
    <row r="826">
      <c r="A826" s="6" t="inlineStr">
        <is>
          <t>R0000825</t>
        </is>
      </c>
      <c r="B826" s="6" t="inlineStr">
        <is>
          <t>2001-01-01</t>
        </is>
      </c>
      <c r="C826" s="6" t="inlineStr">
        <is>
          <t>2001-12-31</t>
        </is>
      </c>
      <c r="D826" s="6" t="inlineStr">
        <is>
          <t>year</t>
        </is>
      </c>
      <c r="E826" s="6" t="inlineStr">
        <is>
          <t>ENERGY_TO_ARGENTINA</t>
        </is>
      </c>
      <c r="F826" s="6" t="inlineStr">
        <is>
          <t>YACYRETA</t>
        </is>
      </c>
      <c r="G826" s="6" t="inlineStr">
        <is>
          <t>YACYRETA</t>
        </is>
      </c>
      <c r="H826" s="6" t="inlineStr">
        <is>
          <t>SADI</t>
        </is>
      </c>
      <c r="I826" s="8" t="n">
        <v>11421675</v>
      </c>
      <c r="J826" s="6" t="inlineStr">
        <is>
          <t>MWh</t>
        </is>
      </c>
      <c r="K826" s="8" t="n">
        <v>11421675</v>
      </c>
      <c r="L826" s="6" t="inlineStr">
        <is>
          <t>MWh</t>
        </is>
      </c>
      <c r="M826" s="6" t="inlineStr">
        <is>
          <t>EBY</t>
        </is>
      </c>
      <c r="N826" s="6" t="inlineStr">
        <is>
          <t>OFFICIAL_PRIMARY</t>
        </is>
      </c>
      <c r="O826" s="9" t="inlineStr">
        <is>
          <t>OFFICIAL_AGGREGATE</t>
        </is>
      </c>
      <c r="P826" s="8" t="n">
        <v>1</v>
      </c>
      <c r="Q826" s="8" t="n">
        <v>50</v>
      </c>
      <c r="R826" s="7" t="inlineStr">
        <is>
          <t>https://www.eby.gov.py/wp-content/uploads/2019/12/YacyretaEnergiasMensualesDesdePuestaenMarcha.pdf</t>
        </is>
      </c>
      <c r="S826" s="6" t="inlineStr">
        <is>
          <t>EBY-MONTHLY-1994-2012</t>
        </is>
      </c>
      <c r="T826" s="6" t="inlineStr"/>
      <c r="U826" s="4" t="inlineStr">
        <is>
          <t>2026-09-10 23:00:00</t>
        </is>
      </c>
      <c r="V826" s="4" t="inlineStr">
        <is>
          <t>Total anual publicado.</t>
        </is>
      </c>
    </row>
    <row r="827">
      <c r="A827" s="6" t="inlineStr">
        <is>
          <t>R0000826</t>
        </is>
      </c>
      <c r="B827" s="6" t="inlineStr">
        <is>
          <t>2001-01-01</t>
        </is>
      </c>
      <c r="C827" s="6" t="inlineStr">
        <is>
          <t>2001-12-31</t>
        </is>
      </c>
      <c r="D827" s="6" t="inlineStr">
        <is>
          <t>year</t>
        </is>
      </c>
      <c r="E827" s="6" t="inlineStr">
        <is>
          <t>ENERGY_TO_PY</t>
        </is>
      </c>
      <c r="F827" s="6" t="inlineStr">
        <is>
          <t>YACYRETA</t>
        </is>
      </c>
      <c r="G827" s="6" t="inlineStr">
        <is>
          <t>YACYRETA</t>
        </is>
      </c>
      <c r="H827" s="6" t="inlineStr">
        <is>
          <t>SINP</t>
        </is>
      </c>
      <c r="I827" s="8" t="n">
        <v>85818</v>
      </c>
      <c r="J827" s="6" t="inlineStr">
        <is>
          <t>MWh</t>
        </is>
      </c>
      <c r="K827" s="8" t="n">
        <v>85818</v>
      </c>
      <c r="L827" s="6" t="inlineStr">
        <is>
          <t>MWh</t>
        </is>
      </c>
      <c r="M827" s="6" t="inlineStr">
        <is>
          <t>EBY</t>
        </is>
      </c>
      <c r="N827" s="6" t="inlineStr">
        <is>
          <t>OFFICIAL_PRIMARY</t>
        </is>
      </c>
      <c r="O827" s="9" t="inlineStr">
        <is>
          <t>OFFICIAL_AGGREGATE</t>
        </is>
      </c>
      <c r="P827" s="8" t="n">
        <v>1</v>
      </c>
      <c r="Q827" s="8" t="n">
        <v>50</v>
      </c>
      <c r="R827" s="7" t="inlineStr">
        <is>
          <t>https://www.eby.gov.py/wp-content/uploads/2019/12/YacyretaEnergiasMensualesDesdePuestaenMarcha.pdf</t>
        </is>
      </c>
      <c r="S827" s="6" t="inlineStr">
        <is>
          <t>EBY-MONTHLY-1994-2012</t>
        </is>
      </c>
      <c r="T827" s="6" t="inlineStr"/>
      <c r="U827" s="4" t="inlineStr">
        <is>
          <t>2026-09-10 23:00:00</t>
        </is>
      </c>
      <c r="V827" s="4" t="inlineStr">
        <is>
          <t>Total anual publicado.</t>
        </is>
      </c>
    </row>
    <row r="828">
      <c r="A828" s="6" t="inlineStr">
        <is>
          <t>R0000827</t>
        </is>
      </c>
      <c r="B828" s="6" t="inlineStr">
        <is>
          <t>2002-01-01</t>
        </is>
      </c>
      <c r="C828" s="6" t="inlineStr">
        <is>
          <t>2002-12-31</t>
        </is>
      </c>
      <c r="D828" s="6" t="inlineStr">
        <is>
          <t>year</t>
        </is>
      </c>
      <c r="E828" s="6" t="inlineStr">
        <is>
          <t>YACYRETA_NET_ENERGY</t>
        </is>
      </c>
      <c r="F828" s="6" t="inlineStr">
        <is>
          <t>YACYRETA</t>
        </is>
      </c>
      <c r="G828" s="6" t="inlineStr">
        <is>
          <t>YACYRETA</t>
        </is>
      </c>
      <c r="H828" s="6" t="inlineStr">
        <is>
          <t>TOTAL</t>
        </is>
      </c>
      <c r="I828" s="8" t="n">
        <v>12335237</v>
      </c>
      <c r="J828" s="6" t="inlineStr">
        <is>
          <t>MWh</t>
        </is>
      </c>
      <c r="K828" s="8" t="n">
        <v>12335237</v>
      </c>
      <c r="L828" s="6" t="inlineStr">
        <is>
          <t>MWh</t>
        </is>
      </c>
      <c r="M828" s="6" t="inlineStr">
        <is>
          <t>EBY</t>
        </is>
      </c>
      <c r="N828" s="6" t="inlineStr">
        <is>
          <t>OFFICIAL_PRIMARY</t>
        </is>
      </c>
      <c r="O828" s="9" t="inlineStr">
        <is>
          <t>OFFICIAL_AGGREGATE</t>
        </is>
      </c>
      <c r="P828" s="8" t="n">
        <v>1</v>
      </c>
      <c r="Q828" s="8" t="n">
        <v>50</v>
      </c>
      <c r="R828" s="7" t="inlineStr">
        <is>
          <t>https://www.eby.gov.py/wp-content/uploads/2019/12/YacyretaEnergiasMensualesDesdePuestaenMarcha.pdf</t>
        </is>
      </c>
      <c r="S828" s="6" t="inlineStr">
        <is>
          <t>EBY-MONTHLY-1994-2012</t>
        </is>
      </c>
      <c r="T828" s="6" t="inlineStr"/>
      <c r="U828" s="4" t="inlineStr">
        <is>
          <t>2026-09-10 23:00:00</t>
        </is>
      </c>
      <c r="V828" s="4" t="inlineStr">
        <is>
          <t>Total anual publicado.</t>
        </is>
      </c>
    </row>
    <row r="829">
      <c r="A829" s="6" t="inlineStr">
        <is>
          <t>R0000828</t>
        </is>
      </c>
      <c r="B829" s="6" t="inlineStr">
        <is>
          <t>2002-01-01</t>
        </is>
      </c>
      <c r="C829" s="6" t="inlineStr">
        <is>
          <t>2002-12-31</t>
        </is>
      </c>
      <c r="D829" s="6" t="inlineStr">
        <is>
          <t>year</t>
        </is>
      </c>
      <c r="E829" s="6" t="inlineStr">
        <is>
          <t>ENERGY_TO_ARGENTINA</t>
        </is>
      </c>
      <c r="F829" s="6" t="inlineStr">
        <is>
          <t>YACYRETA</t>
        </is>
      </c>
      <c r="G829" s="6" t="inlineStr">
        <is>
          <t>YACYRETA</t>
        </is>
      </c>
      <c r="H829" s="6" t="inlineStr">
        <is>
          <t>SADI</t>
        </is>
      </c>
      <c r="I829" s="8" t="n">
        <v>12286418</v>
      </c>
      <c r="J829" s="6" t="inlineStr">
        <is>
          <t>MWh</t>
        </is>
      </c>
      <c r="K829" s="8" t="n">
        <v>12286418</v>
      </c>
      <c r="L829" s="6" t="inlineStr">
        <is>
          <t>MWh</t>
        </is>
      </c>
      <c r="M829" s="6" t="inlineStr">
        <is>
          <t>EBY</t>
        </is>
      </c>
      <c r="N829" s="6" t="inlineStr">
        <is>
          <t>OFFICIAL_PRIMARY</t>
        </is>
      </c>
      <c r="O829" s="9" t="inlineStr">
        <is>
          <t>OFFICIAL_AGGREGATE</t>
        </is>
      </c>
      <c r="P829" s="8" t="n">
        <v>1</v>
      </c>
      <c r="Q829" s="8" t="n">
        <v>50</v>
      </c>
      <c r="R829" s="7" t="inlineStr">
        <is>
          <t>https://www.eby.gov.py/wp-content/uploads/2019/12/YacyretaEnergiasMensualesDesdePuestaenMarcha.pdf</t>
        </is>
      </c>
      <c r="S829" s="6" t="inlineStr">
        <is>
          <t>EBY-MONTHLY-1994-2012</t>
        </is>
      </c>
      <c r="T829" s="6" t="inlineStr"/>
      <c r="U829" s="4" t="inlineStr">
        <is>
          <t>2026-09-10 23:00:00</t>
        </is>
      </c>
      <c r="V829" s="4" t="inlineStr">
        <is>
          <t>Total anual publicado.</t>
        </is>
      </c>
    </row>
    <row r="830">
      <c r="A830" s="6" t="inlineStr">
        <is>
          <t>R0000829</t>
        </is>
      </c>
      <c r="B830" s="6" t="inlineStr">
        <is>
          <t>2002-01-01</t>
        </is>
      </c>
      <c r="C830" s="6" t="inlineStr">
        <is>
          <t>2002-12-31</t>
        </is>
      </c>
      <c r="D830" s="6" t="inlineStr">
        <is>
          <t>year</t>
        </is>
      </c>
      <c r="E830" s="6" t="inlineStr">
        <is>
          <t>ENERGY_TO_PY</t>
        </is>
      </c>
      <c r="F830" s="6" t="inlineStr">
        <is>
          <t>YACYRETA</t>
        </is>
      </c>
      <c r="G830" s="6" t="inlineStr">
        <is>
          <t>YACYRETA</t>
        </is>
      </c>
      <c r="H830" s="6" t="inlineStr">
        <is>
          <t>SINP</t>
        </is>
      </c>
      <c r="I830" s="8" t="n">
        <v>48819</v>
      </c>
      <c r="J830" s="6" t="inlineStr">
        <is>
          <t>MWh</t>
        </is>
      </c>
      <c r="K830" s="8" t="n">
        <v>48819</v>
      </c>
      <c r="L830" s="6" t="inlineStr">
        <is>
          <t>MWh</t>
        </is>
      </c>
      <c r="M830" s="6" t="inlineStr">
        <is>
          <t>EBY</t>
        </is>
      </c>
      <c r="N830" s="6" t="inlineStr">
        <is>
          <t>OFFICIAL_PRIMARY</t>
        </is>
      </c>
      <c r="O830" s="9" t="inlineStr">
        <is>
          <t>OFFICIAL_AGGREGATE</t>
        </is>
      </c>
      <c r="P830" s="8" t="n">
        <v>1</v>
      </c>
      <c r="Q830" s="8" t="n">
        <v>50</v>
      </c>
      <c r="R830" s="7" t="inlineStr">
        <is>
          <t>https://www.eby.gov.py/wp-content/uploads/2019/12/YacyretaEnergiasMensualesDesdePuestaenMarcha.pdf</t>
        </is>
      </c>
      <c r="S830" s="6" t="inlineStr">
        <is>
          <t>EBY-MONTHLY-1994-2012</t>
        </is>
      </c>
      <c r="T830" s="6" t="inlineStr"/>
      <c r="U830" s="4" t="inlineStr">
        <is>
          <t>2026-09-10 23:00:00</t>
        </is>
      </c>
      <c r="V830" s="4" t="inlineStr">
        <is>
          <t>Total anual publicado.</t>
        </is>
      </c>
    </row>
    <row r="831">
      <c r="A831" s="6" t="inlineStr">
        <is>
          <t>R0000830</t>
        </is>
      </c>
      <c r="B831" s="6" t="inlineStr">
        <is>
          <t>2003-01-01</t>
        </is>
      </c>
      <c r="C831" s="6" t="inlineStr">
        <is>
          <t>2003-12-31</t>
        </is>
      </c>
      <c r="D831" s="6" t="inlineStr">
        <is>
          <t>year</t>
        </is>
      </c>
      <c r="E831" s="6" t="inlineStr">
        <is>
          <t>YACYRETA_NET_ENERGY</t>
        </is>
      </c>
      <c r="F831" s="6" t="inlineStr">
        <is>
          <t>YACYRETA</t>
        </is>
      </c>
      <c r="G831" s="6" t="inlineStr">
        <is>
          <t>YACYRETA</t>
        </is>
      </c>
      <c r="H831" s="6" t="inlineStr">
        <is>
          <t>TOTAL</t>
        </is>
      </c>
      <c r="I831" s="8" t="n">
        <v>12131912</v>
      </c>
      <c r="J831" s="6" t="inlineStr">
        <is>
          <t>MWh</t>
        </is>
      </c>
      <c r="K831" s="8" t="n">
        <v>12131912</v>
      </c>
      <c r="L831" s="6" t="inlineStr">
        <is>
          <t>MWh</t>
        </is>
      </c>
      <c r="M831" s="6" t="inlineStr">
        <is>
          <t>EBY</t>
        </is>
      </c>
      <c r="N831" s="6" t="inlineStr">
        <is>
          <t>OFFICIAL_PRIMARY</t>
        </is>
      </c>
      <c r="O831" s="9" t="inlineStr">
        <is>
          <t>OFFICIAL_AGGREGATE</t>
        </is>
      </c>
      <c r="P831" s="8" t="n">
        <v>1</v>
      </c>
      <c r="Q831" s="8" t="n">
        <v>50</v>
      </c>
      <c r="R831" s="7" t="inlineStr">
        <is>
          <t>https://www.eby.gov.py/wp-content/uploads/2019/12/YacyretaEnergiasMensualesDesdePuestaenMarcha.pdf</t>
        </is>
      </c>
      <c r="S831" s="6" t="inlineStr">
        <is>
          <t>EBY-MONTHLY-1994-2012</t>
        </is>
      </c>
      <c r="T831" s="6" t="inlineStr"/>
      <c r="U831" s="4" t="inlineStr">
        <is>
          <t>2026-09-10 23:00:00</t>
        </is>
      </c>
      <c r="V831" s="4" t="inlineStr">
        <is>
          <t>Total anual publicado.</t>
        </is>
      </c>
    </row>
    <row r="832">
      <c r="A832" s="6" t="inlineStr">
        <is>
          <t>R0000831</t>
        </is>
      </c>
      <c r="B832" s="6" t="inlineStr">
        <is>
          <t>2003-01-01</t>
        </is>
      </c>
      <c r="C832" s="6" t="inlineStr">
        <is>
          <t>2003-12-31</t>
        </is>
      </c>
      <c r="D832" s="6" t="inlineStr">
        <is>
          <t>year</t>
        </is>
      </c>
      <c r="E832" s="6" t="inlineStr">
        <is>
          <t>ENERGY_TO_ARGENTINA</t>
        </is>
      </c>
      <c r="F832" s="6" t="inlineStr">
        <is>
          <t>YACYRETA</t>
        </is>
      </c>
      <c r="G832" s="6" t="inlineStr">
        <is>
          <t>YACYRETA</t>
        </is>
      </c>
      <c r="H832" s="6" t="inlineStr">
        <is>
          <t>SADI</t>
        </is>
      </c>
      <c r="I832" s="8" t="n">
        <v>12070800</v>
      </c>
      <c r="J832" s="6" t="inlineStr">
        <is>
          <t>MWh</t>
        </is>
      </c>
      <c r="K832" s="8" t="n">
        <v>12070800</v>
      </c>
      <c r="L832" s="6" t="inlineStr">
        <is>
          <t>MWh</t>
        </is>
      </c>
      <c r="M832" s="6" t="inlineStr">
        <is>
          <t>EBY</t>
        </is>
      </c>
      <c r="N832" s="6" t="inlineStr">
        <is>
          <t>OFFICIAL_PRIMARY</t>
        </is>
      </c>
      <c r="O832" s="9" t="inlineStr">
        <is>
          <t>OFFICIAL_AGGREGATE</t>
        </is>
      </c>
      <c r="P832" s="8" t="n">
        <v>1</v>
      </c>
      <c r="Q832" s="8" t="n">
        <v>50</v>
      </c>
      <c r="R832" s="7" t="inlineStr">
        <is>
          <t>https://www.eby.gov.py/wp-content/uploads/2019/12/YacyretaEnergiasMensualesDesdePuestaenMarcha.pdf</t>
        </is>
      </c>
      <c r="S832" s="6" t="inlineStr">
        <is>
          <t>EBY-MONTHLY-1994-2012</t>
        </is>
      </c>
      <c r="T832" s="6" t="inlineStr"/>
      <c r="U832" s="4" t="inlineStr">
        <is>
          <t>2026-09-10 23:00:00</t>
        </is>
      </c>
      <c r="V832" s="4" t="inlineStr">
        <is>
          <t>Total anual publicado.</t>
        </is>
      </c>
    </row>
    <row r="833">
      <c r="A833" s="6" t="inlineStr">
        <is>
          <t>R0000832</t>
        </is>
      </c>
      <c r="B833" s="6" t="inlineStr">
        <is>
          <t>2003-01-01</t>
        </is>
      </c>
      <c r="C833" s="6" t="inlineStr">
        <is>
          <t>2003-12-31</t>
        </is>
      </c>
      <c r="D833" s="6" t="inlineStr">
        <is>
          <t>year</t>
        </is>
      </c>
      <c r="E833" s="6" t="inlineStr">
        <is>
          <t>ENERGY_TO_PY</t>
        </is>
      </c>
      <c r="F833" s="6" t="inlineStr">
        <is>
          <t>YACYRETA</t>
        </is>
      </c>
      <c r="G833" s="6" t="inlineStr">
        <is>
          <t>YACYRETA</t>
        </is>
      </c>
      <c r="H833" s="6" t="inlineStr">
        <is>
          <t>SINP</t>
        </is>
      </c>
      <c r="I833" s="8" t="n">
        <v>61112</v>
      </c>
      <c r="J833" s="6" t="inlineStr">
        <is>
          <t>MWh</t>
        </is>
      </c>
      <c r="K833" s="8" t="n">
        <v>61112</v>
      </c>
      <c r="L833" s="6" t="inlineStr">
        <is>
          <t>MWh</t>
        </is>
      </c>
      <c r="M833" s="6" t="inlineStr">
        <is>
          <t>EBY</t>
        </is>
      </c>
      <c r="N833" s="6" t="inlineStr">
        <is>
          <t>OFFICIAL_PRIMARY</t>
        </is>
      </c>
      <c r="O833" s="9" t="inlineStr">
        <is>
          <t>OFFICIAL_AGGREGATE</t>
        </is>
      </c>
      <c r="P833" s="8" t="n">
        <v>1</v>
      </c>
      <c r="Q833" s="8" t="n">
        <v>50</v>
      </c>
      <c r="R833" s="7" t="inlineStr">
        <is>
          <t>https://www.eby.gov.py/wp-content/uploads/2019/12/YacyretaEnergiasMensualesDesdePuestaenMarcha.pdf</t>
        </is>
      </c>
      <c r="S833" s="6" t="inlineStr">
        <is>
          <t>EBY-MONTHLY-1994-2012</t>
        </is>
      </c>
      <c r="T833" s="6" t="inlineStr"/>
      <c r="U833" s="4" t="inlineStr">
        <is>
          <t>2026-09-10 23:00:00</t>
        </is>
      </c>
      <c r="V833" s="4" t="inlineStr">
        <is>
          <t>Total anual publicado.</t>
        </is>
      </c>
    </row>
    <row r="834">
      <c r="A834" s="6" t="inlineStr">
        <is>
          <t>R0000833</t>
        </is>
      </c>
      <c r="B834" s="6" t="inlineStr">
        <is>
          <t>2004-01-01</t>
        </is>
      </c>
      <c r="C834" s="6" t="inlineStr">
        <is>
          <t>2004-12-31</t>
        </is>
      </c>
      <c r="D834" s="6" t="inlineStr">
        <is>
          <t>year</t>
        </is>
      </c>
      <c r="E834" s="6" t="inlineStr">
        <is>
          <t>YACYRETA_NET_ENERGY</t>
        </is>
      </c>
      <c r="F834" s="6" t="inlineStr">
        <is>
          <t>YACYRETA</t>
        </is>
      </c>
      <c r="G834" s="6" t="inlineStr">
        <is>
          <t>YACYRETA</t>
        </is>
      </c>
      <c r="H834" s="6" t="inlineStr">
        <is>
          <t>TOTAL</t>
        </is>
      </c>
      <c r="I834" s="8" t="n">
        <v>11938790</v>
      </c>
      <c r="J834" s="6" t="inlineStr">
        <is>
          <t>MWh</t>
        </is>
      </c>
      <c r="K834" s="8" t="n">
        <v>11938790</v>
      </c>
      <c r="L834" s="6" t="inlineStr">
        <is>
          <t>MWh</t>
        </is>
      </c>
      <c r="M834" s="6" t="inlineStr">
        <is>
          <t>EBY</t>
        </is>
      </c>
      <c r="N834" s="6" t="inlineStr">
        <is>
          <t>OFFICIAL_PRIMARY</t>
        </is>
      </c>
      <c r="O834" s="9" t="inlineStr">
        <is>
          <t>OFFICIAL_AGGREGATE</t>
        </is>
      </c>
      <c r="P834" s="8" t="n">
        <v>1</v>
      </c>
      <c r="Q834" s="8" t="n">
        <v>50</v>
      </c>
      <c r="R834" s="7" t="inlineStr">
        <is>
          <t>https://www.eby.gov.py/wp-content/uploads/2019/12/YacyretaEnergiasMensualesDesdePuestaenMarcha.pdf</t>
        </is>
      </c>
      <c r="S834" s="6" t="inlineStr">
        <is>
          <t>EBY-MONTHLY-1994-2012</t>
        </is>
      </c>
      <c r="T834" s="6" t="inlineStr"/>
      <c r="U834" s="4" t="inlineStr">
        <is>
          <t>2026-09-10 23:00:00</t>
        </is>
      </c>
      <c r="V834" s="4" t="inlineStr">
        <is>
          <t>Total anual publicado.</t>
        </is>
      </c>
    </row>
    <row r="835">
      <c r="A835" s="6" t="inlineStr">
        <is>
          <t>R0000834</t>
        </is>
      </c>
      <c r="B835" s="6" t="inlineStr">
        <is>
          <t>2004-01-01</t>
        </is>
      </c>
      <c r="C835" s="6" t="inlineStr">
        <is>
          <t>2004-12-31</t>
        </is>
      </c>
      <c r="D835" s="6" t="inlineStr">
        <is>
          <t>year</t>
        </is>
      </c>
      <c r="E835" s="6" t="inlineStr">
        <is>
          <t>ENERGY_TO_ARGENTINA</t>
        </is>
      </c>
      <c r="F835" s="6" t="inlineStr">
        <is>
          <t>YACYRETA</t>
        </is>
      </c>
      <c r="G835" s="6" t="inlineStr">
        <is>
          <t>YACYRETA</t>
        </is>
      </c>
      <c r="H835" s="6" t="inlineStr">
        <is>
          <t>SADI</t>
        </is>
      </c>
      <c r="I835" s="8" t="n">
        <v>11861111</v>
      </c>
      <c r="J835" s="6" t="inlineStr">
        <is>
          <t>MWh</t>
        </is>
      </c>
      <c r="K835" s="8" t="n">
        <v>11861111</v>
      </c>
      <c r="L835" s="6" t="inlineStr">
        <is>
          <t>MWh</t>
        </is>
      </c>
      <c r="M835" s="6" t="inlineStr">
        <is>
          <t>EBY</t>
        </is>
      </c>
      <c r="N835" s="6" t="inlineStr">
        <is>
          <t>OFFICIAL_PRIMARY</t>
        </is>
      </c>
      <c r="O835" s="9" t="inlineStr">
        <is>
          <t>OFFICIAL_AGGREGATE</t>
        </is>
      </c>
      <c r="P835" s="8" t="n">
        <v>1</v>
      </c>
      <c r="Q835" s="8" t="n">
        <v>50</v>
      </c>
      <c r="R835" s="7" t="inlineStr">
        <is>
          <t>https://www.eby.gov.py/wp-content/uploads/2019/12/YacyretaEnergiasMensualesDesdePuestaenMarcha.pdf</t>
        </is>
      </c>
      <c r="S835" s="6" t="inlineStr">
        <is>
          <t>EBY-MONTHLY-1994-2012</t>
        </is>
      </c>
      <c r="T835" s="6" t="inlineStr"/>
      <c r="U835" s="4" t="inlineStr">
        <is>
          <t>2026-09-10 23:00:00</t>
        </is>
      </c>
      <c r="V835" s="4" t="inlineStr">
        <is>
          <t>Total anual publicado.</t>
        </is>
      </c>
    </row>
    <row r="836">
      <c r="A836" s="6" t="inlineStr">
        <is>
          <t>R0000835</t>
        </is>
      </c>
      <c r="B836" s="6" t="inlineStr">
        <is>
          <t>2004-01-01</t>
        </is>
      </c>
      <c r="C836" s="6" t="inlineStr">
        <is>
          <t>2004-12-31</t>
        </is>
      </c>
      <c r="D836" s="6" t="inlineStr">
        <is>
          <t>year</t>
        </is>
      </c>
      <c r="E836" s="6" t="inlineStr">
        <is>
          <t>ENERGY_TO_PY</t>
        </is>
      </c>
      <c r="F836" s="6" t="inlineStr">
        <is>
          <t>YACYRETA</t>
        </is>
      </c>
      <c r="G836" s="6" t="inlineStr">
        <is>
          <t>YACYRETA</t>
        </is>
      </c>
      <c r="H836" s="6" t="inlineStr">
        <is>
          <t>SINP</t>
        </is>
      </c>
      <c r="I836" s="8" t="n">
        <v>77680</v>
      </c>
      <c r="J836" s="6" t="inlineStr">
        <is>
          <t>MWh</t>
        </is>
      </c>
      <c r="K836" s="8" t="n">
        <v>77680</v>
      </c>
      <c r="L836" s="6" t="inlineStr">
        <is>
          <t>MWh</t>
        </is>
      </c>
      <c r="M836" s="6" t="inlineStr">
        <is>
          <t>EBY</t>
        </is>
      </c>
      <c r="N836" s="6" t="inlineStr">
        <is>
          <t>OFFICIAL_PRIMARY</t>
        </is>
      </c>
      <c r="O836" s="9" t="inlineStr">
        <is>
          <t>OFFICIAL_AGGREGATE</t>
        </is>
      </c>
      <c r="P836" s="8" t="n">
        <v>1</v>
      </c>
      <c r="Q836" s="8" t="n">
        <v>50</v>
      </c>
      <c r="R836" s="7" t="inlineStr">
        <is>
          <t>https://www.eby.gov.py/wp-content/uploads/2019/12/YacyretaEnergiasMensualesDesdePuestaenMarcha.pdf</t>
        </is>
      </c>
      <c r="S836" s="6" t="inlineStr">
        <is>
          <t>EBY-MONTHLY-1994-2012</t>
        </is>
      </c>
      <c r="T836" s="6" t="inlineStr"/>
      <c r="U836" s="4" t="inlineStr">
        <is>
          <t>2026-09-10 23:00:00</t>
        </is>
      </c>
      <c r="V836" s="4" t="inlineStr">
        <is>
          <t>Total anual publicado.</t>
        </is>
      </c>
    </row>
    <row r="837">
      <c r="A837" s="6" t="inlineStr">
        <is>
          <t>R0000836</t>
        </is>
      </c>
      <c r="B837" s="6" t="inlineStr">
        <is>
          <t>2005-01-01</t>
        </is>
      </c>
      <c r="C837" s="6" t="inlineStr">
        <is>
          <t>2005-12-31</t>
        </is>
      </c>
      <c r="D837" s="6" t="inlineStr">
        <is>
          <t>year</t>
        </is>
      </c>
      <c r="E837" s="6" t="inlineStr">
        <is>
          <t>YACYRETA_NET_ENERGY</t>
        </is>
      </c>
      <c r="F837" s="6" t="inlineStr">
        <is>
          <t>YACYRETA</t>
        </is>
      </c>
      <c r="G837" s="6" t="inlineStr">
        <is>
          <t>YACYRETA</t>
        </is>
      </c>
      <c r="H837" s="6" t="inlineStr">
        <is>
          <t>TOTAL</t>
        </is>
      </c>
      <c r="I837" s="8" t="n">
        <v>12591468</v>
      </c>
      <c r="J837" s="6" t="inlineStr">
        <is>
          <t>MWh</t>
        </is>
      </c>
      <c r="K837" s="8" t="n">
        <v>12591468</v>
      </c>
      <c r="L837" s="6" t="inlineStr">
        <is>
          <t>MWh</t>
        </is>
      </c>
      <c r="M837" s="6" t="inlineStr">
        <is>
          <t>EBY</t>
        </is>
      </c>
      <c r="N837" s="6" t="inlineStr">
        <is>
          <t>OFFICIAL_PRIMARY</t>
        </is>
      </c>
      <c r="O837" s="9" t="inlineStr">
        <is>
          <t>OFFICIAL_AGGREGATE</t>
        </is>
      </c>
      <c r="P837" s="8" t="n">
        <v>1</v>
      </c>
      <c r="Q837" s="8" t="n">
        <v>50</v>
      </c>
      <c r="R837" s="7" t="inlineStr">
        <is>
          <t>https://www.eby.gov.py/wp-content/uploads/2019/12/YacyretaEnergiasMensualesDesdePuestaenMarcha.pdf</t>
        </is>
      </c>
      <c r="S837" s="6" t="inlineStr">
        <is>
          <t>EBY-MONTHLY-1994-2012</t>
        </is>
      </c>
      <c r="T837" s="6" t="inlineStr"/>
      <c r="U837" s="4" t="inlineStr">
        <is>
          <t>2026-09-10 23:00:00</t>
        </is>
      </c>
      <c r="V837" s="4" t="inlineStr">
        <is>
          <t>Total anual publicado.</t>
        </is>
      </c>
    </row>
    <row r="838">
      <c r="A838" s="6" t="inlineStr">
        <is>
          <t>R0000837</t>
        </is>
      </c>
      <c r="B838" s="6" t="inlineStr">
        <is>
          <t>2005-01-01</t>
        </is>
      </c>
      <c r="C838" s="6" t="inlineStr">
        <is>
          <t>2005-12-31</t>
        </is>
      </c>
      <c r="D838" s="6" t="inlineStr">
        <is>
          <t>year</t>
        </is>
      </c>
      <c r="E838" s="6" t="inlineStr">
        <is>
          <t>ENERGY_TO_ARGENTINA</t>
        </is>
      </c>
      <c r="F838" s="6" t="inlineStr">
        <is>
          <t>YACYRETA</t>
        </is>
      </c>
      <c r="G838" s="6" t="inlineStr">
        <is>
          <t>YACYRETA</t>
        </is>
      </c>
      <c r="H838" s="6" t="inlineStr">
        <is>
          <t>SADI</t>
        </is>
      </c>
      <c r="I838" s="8" t="n">
        <v>12299152</v>
      </c>
      <c r="J838" s="6" t="inlineStr">
        <is>
          <t>MWh</t>
        </is>
      </c>
      <c r="K838" s="8" t="n">
        <v>12299152</v>
      </c>
      <c r="L838" s="6" t="inlineStr">
        <is>
          <t>MWh</t>
        </is>
      </c>
      <c r="M838" s="6" t="inlineStr">
        <is>
          <t>EBY</t>
        </is>
      </c>
      <c r="N838" s="6" t="inlineStr">
        <is>
          <t>OFFICIAL_PRIMARY</t>
        </is>
      </c>
      <c r="O838" s="9" t="inlineStr">
        <is>
          <t>OFFICIAL_AGGREGATE</t>
        </is>
      </c>
      <c r="P838" s="8" t="n">
        <v>1</v>
      </c>
      <c r="Q838" s="8" t="n">
        <v>50</v>
      </c>
      <c r="R838" s="7" t="inlineStr">
        <is>
          <t>https://www.eby.gov.py/wp-content/uploads/2019/12/YacyretaEnergiasMensualesDesdePuestaenMarcha.pdf</t>
        </is>
      </c>
      <c r="S838" s="6" t="inlineStr">
        <is>
          <t>EBY-MONTHLY-1994-2012</t>
        </is>
      </c>
      <c r="T838" s="6" t="inlineStr"/>
      <c r="U838" s="4" t="inlineStr">
        <is>
          <t>2026-09-10 23:00:00</t>
        </is>
      </c>
      <c r="V838" s="4" t="inlineStr">
        <is>
          <t>Total anual publicado.</t>
        </is>
      </c>
    </row>
    <row r="839">
      <c r="A839" s="6" t="inlineStr">
        <is>
          <t>R0000838</t>
        </is>
      </c>
      <c r="B839" s="6" t="inlineStr">
        <is>
          <t>2005-01-01</t>
        </is>
      </c>
      <c r="C839" s="6" t="inlineStr">
        <is>
          <t>2005-12-31</t>
        </is>
      </c>
      <c r="D839" s="6" t="inlineStr">
        <is>
          <t>year</t>
        </is>
      </c>
      <c r="E839" s="6" t="inlineStr">
        <is>
          <t>ENERGY_TO_PY</t>
        </is>
      </c>
      <c r="F839" s="6" t="inlineStr">
        <is>
          <t>YACYRETA</t>
        </is>
      </c>
      <c r="G839" s="6" t="inlineStr">
        <is>
          <t>YACYRETA</t>
        </is>
      </c>
      <c r="H839" s="6" t="inlineStr">
        <is>
          <t>SINP</t>
        </is>
      </c>
      <c r="I839" s="8" t="n">
        <v>292316</v>
      </c>
      <c r="J839" s="6" t="inlineStr">
        <is>
          <t>MWh</t>
        </is>
      </c>
      <c r="K839" s="8" t="n">
        <v>292316</v>
      </c>
      <c r="L839" s="6" t="inlineStr">
        <is>
          <t>MWh</t>
        </is>
      </c>
      <c r="M839" s="6" t="inlineStr">
        <is>
          <t>EBY</t>
        </is>
      </c>
      <c r="N839" s="6" t="inlineStr">
        <is>
          <t>OFFICIAL_PRIMARY</t>
        </is>
      </c>
      <c r="O839" s="9" t="inlineStr">
        <is>
          <t>OFFICIAL_AGGREGATE</t>
        </is>
      </c>
      <c r="P839" s="8" t="n">
        <v>1</v>
      </c>
      <c r="Q839" s="8" t="n">
        <v>50</v>
      </c>
      <c r="R839" s="7" t="inlineStr">
        <is>
          <t>https://www.eby.gov.py/wp-content/uploads/2019/12/YacyretaEnergiasMensualesDesdePuestaenMarcha.pdf</t>
        </is>
      </c>
      <c r="S839" s="6" t="inlineStr">
        <is>
          <t>EBY-MONTHLY-1994-2012</t>
        </is>
      </c>
      <c r="T839" s="6" t="inlineStr"/>
      <c r="U839" s="4" t="inlineStr">
        <is>
          <t>2026-09-10 23:00:00</t>
        </is>
      </c>
      <c r="V839" s="4" t="inlineStr">
        <is>
          <t>Total anual publicado.</t>
        </is>
      </c>
    </row>
    <row r="840">
      <c r="A840" s="6" t="inlineStr">
        <is>
          <t>R0000839</t>
        </is>
      </c>
      <c r="B840" s="6" t="inlineStr">
        <is>
          <t>2006-01-01</t>
        </is>
      </c>
      <c r="C840" s="6" t="inlineStr">
        <is>
          <t>2006-12-31</t>
        </is>
      </c>
      <c r="D840" s="6" t="inlineStr">
        <is>
          <t>year</t>
        </is>
      </c>
      <c r="E840" s="6" t="inlineStr">
        <is>
          <t>YACYRETA_NET_ENERGY</t>
        </is>
      </c>
      <c r="F840" s="6" t="inlineStr">
        <is>
          <t>YACYRETA</t>
        </is>
      </c>
      <c r="G840" s="6" t="inlineStr">
        <is>
          <t>YACYRETA</t>
        </is>
      </c>
      <c r="H840" s="6" t="inlineStr">
        <is>
          <t>TOTAL</t>
        </is>
      </c>
      <c r="I840" s="8" t="n">
        <v>13031055</v>
      </c>
      <c r="J840" s="6" t="inlineStr">
        <is>
          <t>MWh</t>
        </is>
      </c>
      <c r="K840" s="8" t="n">
        <v>13031055</v>
      </c>
      <c r="L840" s="6" t="inlineStr">
        <is>
          <t>MWh</t>
        </is>
      </c>
      <c r="M840" s="6" t="inlineStr">
        <is>
          <t>EBY</t>
        </is>
      </c>
      <c r="N840" s="6" t="inlineStr">
        <is>
          <t>OFFICIAL_PRIMARY</t>
        </is>
      </c>
      <c r="O840" s="9" t="inlineStr">
        <is>
          <t>OFFICIAL_AGGREGATE</t>
        </is>
      </c>
      <c r="P840" s="8" t="n">
        <v>1</v>
      </c>
      <c r="Q840" s="8" t="n">
        <v>50</v>
      </c>
      <c r="R840" s="7" t="inlineStr">
        <is>
          <t>https://www.eby.gov.py/wp-content/uploads/2019/12/YacyretaEnergiasMensualesDesdePuestaenMarcha.pdf</t>
        </is>
      </c>
      <c r="S840" s="6" t="inlineStr">
        <is>
          <t>EBY-MONTHLY-1994-2012</t>
        </is>
      </c>
      <c r="T840" s="6" t="inlineStr"/>
      <c r="U840" s="4" t="inlineStr">
        <is>
          <t>2026-09-10 23:00:00</t>
        </is>
      </c>
      <c r="V840" s="4" t="inlineStr">
        <is>
          <t>Total anual publicado.</t>
        </is>
      </c>
    </row>
    <row r="841">
      <c r="A841" s="6" t="inlineStr">
        <is>
          <t>R0000840</t>
        </is>
      </c>
      <c r="B841" s="6" t="inlineStr">
        <is>
          <t>2006-01-01</t>
        </is>
      </c>
      <c r="C841" s="6" t="inlineStr">
        <is>
          <t>2006-12-31</t>
        </is>
      </c>
      <c r="D841" s="6" t="inlineStr">
        <is>
          <t>year</t>
        </is>
      </c>
      <c r="E841" s="6" t="inlineStr">
        <is>
          <t>ENERGY_TO_ARGENTINA</t>
        </is>
      </c>
      <c r="F841" s="6" t="inlineStr">
        <is>
          <t>YACYRETA</t>
        </is>
      </c>
      <c r="G841" s="6" t="inlineStr">
        <is>
          <t>YACYRETA</t>
        </is>
      </c>
      <c r="H841" s="6" t="inlineStr">
        <is>
          <t>SADI</t>
        </is>
      </c>
      <c r="I841" s="8" t="n">
        <v>12609700</v>
      </c>
      <c r="J841" s="6" t="inlineStr">
        <is>
          <t>MWh</t>
        </is>
      </c>
      <c r="K841" s="8" t="n">
        <v>12609700</v>
      </c>
      <c r="L841" s="6" t="inlineStr">
        <is>
          <t>MWh</t>
        </is>
      </c>
      <c r="M841" s="6" t="inlineStr">
        <is>
          <t>EBY</t>
        </is>
      </c>
      <c r="N841" s="6" t="inlineStr">
        <is>
          <t>OFFICIAL_PRIMARY</t>
        </is>
      </c>
      <c r="O841" s="9" t="inlineStr">
        <is>
          <t>OFFICIAL_AGGREGATE</t>
        </is>
      </c>
      <c r="P841" s="8" t="n">
        <v>1</v>
      </c>
      <c r="Q841" s="8" t="n">
        <v>50</v>
      </c>
      <c r="R841" s="7" t="inlineStr">
        <is>
          <t>https://www.eby.gov.py/wp-content/uploads/2019/12/YacyretaEnergiasMensualesDesdePuestaenMarcha.pdf</t>
        </is>
      </c>
      <c r="S841" s="6" t="inlineStr">
        <is>
          <t>EBY-MONTHLY-1994-2012</t>
        </is>
      </c>
      <c r="T841" s="6" t="inlineStr"/>
      <c r="U841" s="4" t="inlineStr">
        <is>
          <t>2026-09-10 23:00:00</t>
        </is>
      </c>
      <c r="V841" s="4" t="inlineStr">
        <is>
          <t>Total anual publicado.</t>
        </is>
      </c>
    </row>
    <row r="842">
      <c r="A842" s="6" t="inlineStr">
        <is>
          <t>R0000841</t>
        </is>
      </c>
      <c r="B842" s="6" t="inlineStr">
        <is>
          <t>2006-01-01</t>
        </is>
      </c>
      <c r="C842" s="6" t="inlineStr">
        <is>
          <t>2006-12-31</t>
        </is>
      </c>
      <c r="D842" s="6" t="inlineStr">
        <is>
          <t>year</t>
        </is>
      </c>
      <c r="E842" s="6" t="inlineStr">
        <is>
          <t>ENERGY_TO_PY</t>
        </is>
      </c>
      <c r="F842" s="6" t="inlineStr">
        <is>
          <t>YACYRETA</t>
        </is>
      </c>
      <c r="G842" s="6" t="inlineStr">
        <is>
          <t>YACYRETA</t>
        </is>
      </c>
      <c r="H842" s="6" t="inlineStr">
        <is>
          <t>SINP</t>
        </is>
      </c>
      <c r="I842" s="8" t="n">
        <v>421355</v>
      </c>
      <c r="J842" s="6" t="inlineStr">
        <is>
          <t>MWh</t>
        </is>
      </c>
      <c r="K842" s="8" t="n">
        <v>421355</v>
      </c>
      <c r="L842" s="6" t="inlineStr">
        <is>
          <t>MWh</t>
        </is>
      </c>
      <c r="M842" s="6" t="inlineStr">
        <is>
          <t>EBY</t>
        </is>
      </c>
      <c r="N842" s="6" t="inlineStr">
        <is>
          <t>OFFICIAL_PRIMARY</t>
        </is>
      </c>
      <c r="O842" s="9" t="inlineStr">
        <is>
          <t>OFFICIAL_AGGREGATE</t>
        </is>
      </c>
      <c r="P842" s="8" t="n">
        <v>1</v>
      </c>
      <c r="Q842" s="8" t="n">
        <v>50</v>
      </c>
      <c r="R842" s="7" t="inlineStr">
        <is>
          <t>https://www.eby.gov.py/wp-content/uploads/2019/12/YacyretaEnergiasMensualesDesdePuestaenMarcha.pdf</t>
        </is>
      </c>
      <c r="S842" s="6" t="inlineStr">
        <is>
          <t>EBY-MONTHLY-1994-2012</t>
        </is>
      </c>
      <c r="T842" s="6" t="inlineStr"/>
      <c r="U842" s="4" t="inlineStr">
        <is>
          <t>2026-09-10 23:00:00</t>
        </is>
      </c>
      <c r="V842" s="4" t="inlineStr">
        <is>
          <t>Total anual publicado.</t>
        </is>
      </c>
    </row>
    <row r="843">
      <c r="A843" s="6" t="inlineStr">
        <is>
          <t>R0000842</t>
        </is>
      </c>
      <c r="B843" s="6" t="inlineStr">
        <is>
          <t>2007-01-01</t>
        </is>
      </c>
      <c r="C843" s="6" t="inlineStr">
        <is>
          <t>2007-12-31</t>
        </is>
      </c>
      <c r="D843" s="6" t="inlineStr">
        <is>
          <t>year</t>
        </is>
      </c>
      <c r="E843" s="6" t="inlineStr">
        <is>
          <t>YACYRETA_NET_ENERGY</t>
        </is>
      </c>
      <c r="F843" s="6" t="inlineStr">
        <is>
          <t>YACYRETA</t>
        </is>
      </c>
      <c r="G843" s="6" t="inlineStr">
        <is>
          <t>YACYRETA</t>
        </is>
      </c>
      <c r="H843" s="6" t="inlineStr">
        <is>
          <t>TOTAL</t>
        </is>
      </c>
      <c r="I843" s="8" t="n">
        <v>14674671</v>
      </c>
      <c r="J843" s="6" t="inlineStr">
        <is>
          <t>MWh</t>
        </is>
      </c>
      <c r="K843" s="8" t="n">
        <v>14674671</v>
      </c>
      <c r="L843" s="6" t="inlineStr">
        <is>
          <t>MWh</t>
        </is>
      </c>
      <c r="M843" s="6" t="inlineStr">
        <is>
          <t>EBY</t>
        </is>
      </c>
      <c r="N843" s="6" t="inlineStr">
        <is>
          <t>OFFICIAL_PRIMARY</t>
        </is>
      </c>
      <c r="O843" s="9" t="inlineStr">
        <is>
          <t>OFFICIAL_AGGREGATE</t>
        </is>
      </c>
      <c r="P843" s="8" t="n">
        <v>1</v>
      </c>
      <c r="Q843" s="8" t="n">
        <v>50</v>
      </c>
      <c r="R843" s="7" t="inlineStr">
        <is>
          <t>https://www.eby.gov.py/wp-content/uploads/2019/12/YacyretaEnergiasMensualesDesdePuestaenMarcha.pdf</t>
        </is>
      </c>
      <c r="S843" s="6" t="inlineStr">
        <is>
          <t>EBY-MONTHLY-1994-2012</t>
        </is>
      </c>
      <c r="T843" s="6" t="inlineStr"/>
      <c r="U843" s="4" t="inlineStr">
        <is>
          <t>2026-09-10 23:00:00</t>
        </is>
      </c>
      <c r="V843" s="4" t="inlineStr">
        <is>
          <t>Total anual publicado.</t>
        </is>
      </c>
    </row>
    <row r="844">
      <c r="A844" s="6" t="inlineStr">
        <is>
          <t>R0000843</t>
        </is>
      </c>
      <c r="B844" s="6" t="inlineStr">
        <is>
          <t>2007-01-01</t>
        </is>
      </c>
      <c r="C844" s="6" t="inlineStr">
        <is>
          <t>2007-12-31</t>
        </is>
      </c>
      <c r="D844" s="6" t="inlineStr">
        <is>
          <t>year</t>
        </is>
      </c>
      <c r="E844" s="6" t="inlineStr">
        <is>
          <t>ENERGY_TO_ARGENTINA</t>
        </is>
      </c>
      <c r="F844" s="6" t="inlineStr">
        <is>
          <t>YACYRETA</t>
        </is>
      </c>
      <c r="G844" s="6" t="inlineStr">
        <is>
          <t>YACYRETA</t>
        </is>
      </c>
      <c r="H844" s="6" t="inlineStr">
        <is>
          <t>SADI</t>
        </is>
      </c>
      <c r="I844" s="8" t="n">
        <v>14154114</v>
      </c>
      <c r="J844" s="6" t="inlineStr">
        <is>
          <t>MWh</t>
        </is>
      </c>
      <c r="K844" s="8" t="n">
        <v>14154114</v>
      </c>
      <c r="L844" s="6" t="inlineStr">
        <is>
          <t>MWh</t>
        </is>
      </c>
      <c r="M844" s="6" t="inlineStr">
        <is>
          <t>EBY</t>
        </is>
      </c>
      <c r="N844" s="6" t="inlineStr">
        <is>
          <t>OFFICIAL_PRIMARY</t>
        </is>
      </c>
      <c r="O844" s="9" t="inlineStr">
        <is>
          <t>OFFICIAL_AGGREGATE</t>
        </is>
      </c>
      <c r="P844" s="8" t="n">
        <v>1</v>
      </c>
      <c r="Q844" s="8" t="n">
        <v>50</v>
      </c>
      <c r="R844" s="7" t="inlineStr">
        <is>
          <t>https://www.eby.gov.py/wp-content/uploads/2019/12/YacyretaEnergiasMensualesDesdePuestaenMarcha.pdf</t>
        </is>
      </c>
      <c r="S844" s="6" t="inlineStr">
        <is>
          <t>EBY-MONTHLY-1994-2012</t>
        </is>
      </c>
      <c r="T844" s="6" t="inlineStr"/>
      <c r="U844" s="4" t="inlineStr">
        <is>
          <t>2026-09-10 23:00:00</t>
        </is>
      </c>
      <c r="V844" s="4" t="inlineStr">
        <is>
          <t>Total anual publicado.</t>
        </is>
      </c>
    </row>
    <row r="845">
      <c r="A845" s="6" t="inlineStr">
        <is>
          <t>R0000844</t>
        </is>
      </c>
      <c r="B845" s="6" t="inlineStr">
        <is>
          <t>2007-01-01</t>
        </is>
      </c>
      <c r="C845" s="6" t="inlineStr">
        <is>
          <t>2007-12-31</t>
        </is>
      </c>
      <c r="D845" s="6" t="inlineStr">
        <is>
          <t>year</t>
        </is>
      </c>
      <c r="E845" s="6" t="inlineStr">
        <is>
          <t>ENERGY_TO_PY</t>
        </is>
      </c>
      <c r="F845" s="6" t="inlineStr">
        <is>
          <t>YACYRETA</t>
        </is>
      </c>
      <c r="G845" s="6" t="inlineStr">
        <is>
          <t>YACYRETA</t>
        </is>
      </c>
      <c r="H845" s="6" t="inlineStr">
        <is>
          <t>SINP</t>
        </is>
      </c>
      <c r="I845" s="8" t="n">
        <v>520557</v>
      </c>
      <c r="J845" s="6" t="inlineStr">
        <is>
          <t>MWh</t>
        </is>
      </c>
      <c r="K845" s="8" t="n">
        <v>520557</v>
      </c>
      <c r="L845" s="6" t="inlineStr">
        <is>
          <t>MWh</t>
        </is>
      </c>
      <c r="M845" s="6" t="inlineStr">
        <is>
          <t>EBY</t>
        </is>
      </c>
      <c r="N845" s="6" t="inlineStr">
        <is>
          <t>OFFICIAL_PRIMARY</t>
        </is>
      </c>
      <c r="O845" s="9" t="inlineStr">
        <is>
          <t>OFFICIAL_AGGREGATE</t>
        </is>
      </c>
      <c r="P845" s="8" t="n">
        <v>1</v>
      </c>
      <c r="Q845" s="8" t="n">
        <v>50</v>
      </c>
      <c r="R845" s="7" t="inlineStr">
        <is>
          <t>https://www.eby.gov.py/wp-content/uploads/2019/12/YacyretaEnergiasMensualesDesdePuestaenMarcha.pdf</t>
        </is>
      </c>
      <c r="S845" s="6" t="inlineStr">
        <is>
          <t>EBY-MONTHLY-1994-2012</t>
        </is>
      </c>
      <c r="T845" s="6" t="inlineStr"/>
      <c r="U845" s="4" t="inlineStr">
        <is>
          <t>2026-09-10 23:00:00</t>
        </is>
      </c>
      <c r="V845" s="4" t="inlineStr">
        <is>
          <t>Total anual publicado.</t>
        </is>
      </c>
    </row>
    <row r="846">
      <c r="A846" s="6" t="inlineStr">
        <is>
          <t>R0000845</t>
        </is>
      </c>
      <c r="B846" s="6" t="inlineStr">
        <is>
          <t>2008-01-01</t>
        </is>
      </c>
      <c r="C846" s="6" t="inlineStr">
        <is>
          <t>2008-12-31</t>
        </is>
      </c>
      <c r="D846" s="6" t="inlineStr">
        <is>
          <t>year</t>
        </is>
      </c>
      <c r="E846" s="6" t="inlineStr">
        <is>
          <t>YACYRETA_NET_ENERGY</t>
        </is>
      </c>
      <c r="F846" s="6" t="inlineStr">
        <is>
          <t>YACYRETA</t>
        </is>
      </c>
      <c r="G846" s="6" t="inlineStr">
        <is>
          <t>YACYRETA</t>
        </is>
      </c>
      <c r="H846" s="6" t="inlineStr">
        <is>
          <t>TOTAL</t>
        </is>
      </c>
      <c r="I846" s="8" t="n">
        <v>15117172</v>
      </c>
      <c r="J846" s="6" t="inlineStr">
        <is>
          <t>MWh</t>
        </is>
      </c>
      <c r="K846" s="8" t="n">
        <v>15117172</v>
      </c>
      <c r="L846" s="6" t="inlineStr">
        <is>
          <t>MWh</t>
        </is>
      </c>
      <c r="M846" s="6" t="inlineStr">
        <is>
          <t>EBY</t>
        </is>
      </c>
      <c r="N846" s="6" t="inlineStr">
        <is>
          <t>OFFICIAL_PRIMARY</t>
        </is>
      </c>
      <c r="O846" s="9" t="inlineStr">
        <is>
          <t>OFFICIAL_AGGREGATE</t>
        </is>
      </c>
      <c r="P846" s="8" t="n">
        <v>1</v>
      </c>
      <c r="Q846" s="8" t="n">
        <v>50</v>
      </c>
      <c r="R846" s="7" t="inlineStr">
        <is>
          <t>https://www.eby.gov.py/wp-content/uploads/2019/12/YacyretaEnergiasMensualesDesdePuestaenMarcha.pdf</t>
        </is>
      </c>
      <c r="S846" s="6" t="inlineStr">
        <is>
          <t>EBY-MONTHLY-1994-2012</t>
        </is>
      </c>
      <c r="T846" s="6" t="inlineStr"/>
      <c r="U846" s="4" t="inlineStr">
        <is>
          <t>2026-09-10 23:00:00</t>
        </is>
      </c>
      <c r="V846" s="4" t="inlineStr">
        <is>
          <t>Total anual publicado.</t>
        </is>
      </c>
    </row>
    <row r="847">
      <c r="A847" s="6" t="inlineStr">
        <is>
          <t>R0000846</t>
        </is>
      </c>
      <c r="B847" s="6" t="inlineStr">
        <is>
          <t>2008-01-01</t>
        </is>
      </c>
      <c r="C847" s="6" t="inlineStr">
        <is>
          <t>2008-12-31</t>
        </is>
      </c>
      <c r="D847" s="6" t="inlineStr">
        <is>
          <t>year</t>
        </is>
      </c>
      <c r="E847" s="6" t="inlineStr">
        <is>
          <t>ENERGY_TO_ARGENTINA</t>
        </is>
      </c>
      <c r="F847" s="6" t="inlineStr">
        <is>
          <t>YACYRETA</t>
        </is>
      </c>
      <c r="G847" s="6" t="inlineStr">
        <is>
          <t>YACYRETA</t>
        </is>
      </c>
      <c r="H847" s="6" t="inlineStr">
        <is>
          <t>SADI</t>
        </is>
      </c>
      <c r="I847" s="8" t="n">
        <v>13943004</v>
      </c>
      <c r="J847" s="6" t="inlineStr">
        <is>
          <t>MWh</t>
        </is>
      </c>
      <c r="K847" s="8" t="n">
        <v>13943004</v>
      </c>
      <c r="L847" s="6" t="inlineStr">
        <is>
          <t>MWh</t>
        </is>
      </c>
      <c r="M847" s="6" t="inlineStr">
        <is>
          <t>EBY</t>
        </is>
      </c>
      <c r="N847" s="6" t="inlineStr">
        <is>
          <t>OFFICIAL_PRIMARY</t>
        </is>
      </c>
      <c r="O847" s="9" t="inlineStr">
        <is>
          <t>OFFICIAL_AGGREGATE</t>
        </is>
      </c>
      <c r="P847" s="8" t="n">
        <v>1</v>
      </c>
      <c r="Q847" s="8" t="n">
        <v>50</v>
      </c>
      <c r="R847" s="7" t="inlineStr">
        <is>
          <t>https://www.eby.gov.py/wp-content/uploads/2019/12/YacyretaEnergiasMensualesDesdePuestaenMarcha.pdf</t>
        </is>
      </c>
      <c r="S847" s="6" t="inlineStr">
        <is>
          <t>EBY-MONTHLY-1994-2012</t>
        </is>
      </c>
      <c r="T847" s="6" t="inlineStr"/>
      <c r="U847" s="4" t="inlineStr">
        <is>
          <t>2026-09-10 23:00:00</t>
        </is>
      </c>
      <c r="V847" s="4" t="inlineStr">
        <is>
          <t>Total anual publicado.</t>
        </is>
      </c>
    </row>
    <row r="848">
      <c r="A848" s="6" t="inlineStr">
        <is>
          <t>R0000847</t>
        </is>
      </c>
      <c r="B848" s="6" t="inlineStr">
        <is>
          <t>2008-01-01</t>
        </is>
      </c>
      <c r="C848" s="6" t="inlineStr">
        <is>
          <t>2008-12-31</t>
        </is>
      </c>
      <c r="D848" s="6" t="inlineStr">
        <is>
          <t>year</t>
        </is>
      </c>
      <c r="E848" s="6" t="inlineStr">
        <is>
          <t>ENERGY_TO_PY</t>
        </is>
      </c>
      <c r="F848" s="6" t="inlineStr">
        <is>
          <t>YACYRETA</t>
        </is>
      </c>
      <c r="G848" s="6" t="inlineStr">
        <is>
          <t>YACYRETA</t>
        </is>
      </c>
      <c r="H848" s="6" t="inlineStr">
        <is>
          <t>SINP</t>
        </is>
      </c>
      <c r="I848" s="8" t="n">
        <v>1174168</v>
      </c>
      <c r="J848" s="6" t="inlineStr">
        <is>
          <t>MWh</t>
        </is>
      </c>
      <c r="K848" s="8" t="n">
        <v>1174168</v>
      </c>
      <c r="L848" s="6" t="inlineStr">
        <is>
          <t>MWh</t>
        </is>
      </c>
      <c r="M848" s="6" t="inlineStr">
        <is>
          <t>EBY</t>
        </is>
      </c>
      <c r="N848" s="6" t="inlineStr">
        <is>
          <t>OFFICIAL_PRIMARY</t>
        </is>
      </c>
      <c r="O848" s="9" t="inlineStr">
        <is>
          <t>OFFICIAL_AGGREGATE</t>
        </is>
      </c>
      <c r="P848" s="8" t="n">
        <v>1</v>
      </c>
      <c r="Q848" s="8" t="n">
        <v>50</v>
      </c>
      <c r="R848" s="7" t="inlineStr">
        <is>
          <t>https://www.eby.gov.py/wp-content/uploads/2019/12/YacyretaEnergiasMensualesDesdePuestaenMarcha.pdf</t>
        </is>
      </c>
      <c r="S848" s="6" t="inlineStr">
        <is>
          <t>EBY-MONTHLY-1994-2012</t>
        </is>
      </c>
      <c r="T848" s="6" t="inlineStr"/>
      <c r="U848" s="4" t="inlineStr">
        <is>
          <t>2026-09-10 23:00:00</t>
        </is>
      </c>
      <c r="V848" s="4" t="inlineStr">
        <is>
          <t>Total anual publicado.</t>
        </is>
      </c>
    </row>
    <row r="849">
      <c r="A849" s="6" t="inlineStr">
        <is>
          <t>R0000848</t>
        </is>
      </c>
      <c r="B849" s="6" t="inlineStr">
        <is>
          <t>2009-01-01</t>
        </is>
      </c>
      <c r="C849" s="6" t="inlineStr">
        <is>
          <t>2009-12-31</t>
        </is>
      </c>
      <c r="D849" s="6" t="inlineStr">
        <is>
          <t>year</t>
        </is>
      </c>
      <c r="E849" s="6" t="inlineStr">
        <is>
          <t>YACYRETA_NET_ENERGY</t>
        </is>
      </c>
      <c r="F849" s="6" t="inlineStr">
        <is>
          <t>YACYRETA</t>
        </is>
      </c>
      <c r="G849" s="6" t="inlineStr">
        <is>
          <t>YACYRETA</t>
        </is>
      </c>
      <c r="H849" s="6" t="inlineStr">
        <is>
          <t>TOTAL</t>
        </is>
      </c>
      <c r="I849" s="8" t="n">
        <v>16544487</v>
      </c>
      <c r="J849" s="6" t="inlineStr">
        <is>
          <t>MWh</t>
        </is>
      </c>
      <c r="K849" s="8" t="n">
        <v>16544487</v>
      </c>
      <c r="L849" s="6" t="inlineStr">
        <is>
          <t>MWh</t>
        </is>
      </c>
      <c r="M849" s="6" t="inlineStr">
        <is>
          <t>EBY</t>
        </is>
      </c>
      <c r="N849" s="6" t="inlineStr">
        <is>
          <t>OFFICIAL_PRIMARY</t>
        </is>
      </c>
      <c r="O849" s="9" t="inlineStr">
        <is>
          <t>OFFICIAL_AGGREGATE</t>
        </is>
      </c>
      <c r="P849" s="8" t="n">
        <v>1</v>
      </c>
      <c r="Q849" s="8" t="n">
        <v>50</v>
      </c>
      <c r="R849" s="7" t="inlineStr">
        <is>
          <t>https://www.eby.gov.py/wp-content/uploads/2019/12/YacyretaEnergiasMensualesDesdePuestaenMarcha.pdf</t>
        </is>
      </c>
      <c r="S849" s="6" t="inlineStr">
        <is>
          <t>EBY-MONTHLY-1994-2012</t>
        </is>
      </c>
      <c r="T849" s="6" t="inlineStr"/>
      <c r="U849" s="4" t="inlineStr">
        <is>
          <t>2026-09-10 23:00:00</t>
        </is>
      </c>
      <c r="V849" s="4" t="inlineStr">
        <is>
          <t>Total anual publicado.</t>
        </is>
      </c>
    </row>
    <row r="850">
      <c r="A850" s="6" t="inlineStr">
        <is>
          <t>R0000849</t>
        </is>
      </c>
      <c r="B850" s="6" t="inlineStr">
        <is>
          <t>2009-01-01</t>
        </is>
      </c>
      <c r="C850" s="6" t="inlineStr">
        <is>
          <t>2009-12-31</t>
        </is>
      </c>
      <c r="D850" s="6" t="inlineStr">
        <is>
          <t>year</t>
        </is>
      </c>
      <c r="E850" s="6" t="inlineStr">
        <is>
          <t>ENERGY_TO_ARGENTINA</t>
        </is>
      </c>
      <c r="F850" s="6" t="inlineStr">
        <is>
          <t>YACYRETA</t>
        </is>
      </c>
      <c r="G850" s="6" t="inlineStr">
        <is>
          <t>YACYRETA</t>
        </is>
      </c>
      <c r="H850" s="6" t="inlineStr">
        <is>
          <t>SADI</t>
        </is>
      </c>
      <c r="I850" s="8" t="n">
        <v>14516672</v>
      </c>
      <c r="J850" s="6" t="inlineStr">
        <is>
          <t>MWh</t>
        </is>
      </c>
      <c r="K850" s="8" t="n">
        <v>14516672</v>
      </c>
      <c r="L850" s="6" t="inlineStr">
        <is>
          <t>MWh</t>
        </is>
      </c>
      <c r="M850" s="6" t="inlineStr">
        <is>
          <t>EBY</t>
        </is>
      </c>
      <c r="N850" s="6" t="inlineStr">
        <is>
          <t>OFFICIAL_PRIMARY</t>
        </is>
      </c>
      <c r="O850" s="9" t="inlineStr">
        <is>
          <t>OFFICIAL_AGGREGATE</t>
        </is>
      </c>
      <c r="P850" s="8" t="n">
        <v>1</v>
      </c>
      <c r="Q850" s="8" t="n">
        <v>50</v>
      </c>
      <c r="R850" s="7" t="inlineStr">
        <is>
          <t>https://www.eby.gov.py/wp-content/uploads/2019/12/YacyretaEnergiasMensualesDesdePuestaenMarcha.pdf</t>
        </is>
      </c>
      <c r="S850" s="6" t="inlineStr">
        <is>
          <t>EBY-MONTHLY-1994-2012</t>
        </is>
      </c>
      <c r="T850" s="6" t="inlineStr"/>
      <c r="U850" s="4" t="inlineStr">
        <is>
          <t>2026-09-10 23:00:00</t>
        </is>
      </c>
      <c r="V850" s="4" t="inlineStr">
        <is>
          <t>Total anual publicado.</t>
        </is>
      </c>
    </row>
    <row r="851">
      <c r="A851" s="6" t="inlineStr">
        <is>
          <t>R0000850</t>
        </is>
      </c>
      <c r="B851" s="6" t="inlineStr">
        <is>
          <t>2009-01-01</t>
        </is>
      </c>
      <c r="C851" s="6" t="inlineStr">
        <is>
          <t>2009-12-31</t>
        </is>
      </c>
      <c r="D851" s="6" t="inlineStr">
        <is>
          <t>year</t>
        </is>
      </c>
      <c r="E851" s="6" t="inlineStr">
        <is>
          <t>ENERGY_TO_PY</t>
        </is>
      </c>
      <c r="F851" s="6" t="inlineStr">
        <is>
          <t>YACYRETA</t>
        </is>
      </c>
      <c r="G851" s="6" t="inlineStr">
        <is>
          <t>YACYRETA</t>
        </is>
      </c>
      <c r="H851" s="6" t="inlineStr">
        <is>
          <t>SINP</t>
        </is>
      </c>
      <c r="I851" s="8" t="n">
        <v>2027815</v>
      </c>
      <c r="J851" s="6" t="inlineStr">
        <is>
          <t>MWh</t>
        </is>
      </c>
      <c r="K851" s="8" t="n">
        <v>2027815</v>
      </c>
      <c r="L851" s="6" t="inlineStr">
        <is>
          <t>MWh</t>
        </is>
      </c>
      <c r="M851" s="6" t="inlineStr">
        <is>
          <t>EBY</t>
        </is>
      </c>
      <c r="N851" s="6" t="inlineStr">
        <is>
          <t>OFFICIAL_PRIMARY</t>
        </is>
      </c>
      <c r="O851" s="9" t="inlineStr">
        <is>
          <t>OFFICIAL_AGGREGATE</t>
        </is>
      </c>
      <c r="P851" s="8" t="n">
        <v>1</v>
      </c>
      <c r="Q851" s="8" t="n">
        <v>50</v>
      </c>
      <c r="R851" s="7" t="inlineStr">
        <is>
          <t>https://www.eby.gov.py/wp-content/uploads/2019/12/YacyretaEnergiasMensualesDesdePuestaenMarcha.pdf</t>
        </is>
      </c>
      <c r="S851" s="6" t="inlineStr">
        <is>
          <t>EBY-MONTHLY-1994-2012</t>
        </is>
      </c>
      <c r="T851" s="6" t="inlineStr"/>
      <c r="U851" s="4" t="inlineStr">
        <is>
          <t>2026-09-10 23:00:00</t>
        </is>
      </c>
      <c r="V851" s="4" t="inlineStr">
        <is>
          <t>Total anual publicado.</t>
        </is>
      </c>
    </row>
    <row r="852">
      <c r="A852" s="6" t="inlineStr">
        <is>
          <t>R0000851</t>
        </is>
      </c>
      <c r="B852" s="6" t="inlineStr">
        <is>
          <t>2010-01-01</t>
        </is>
      </c>
      <c r="C852" s="6" t="inlineStr">
        <is>
          <t>2010-12-31</t>
        </is>
      </c>
      <c r="D852" s="6" t="inlineStr">
        <is>
          <t>year</t>
        </is>
      </c>
      <c r="E852" s="6" t="inlineStr">
        <is>
          <t>YACYRETA_NET_ENERGY</t>
        </is>
      </c>
      <c r="F852" s="6" t="inlineStr">
        <is>
          <t>YACYRETA</t>
        </is>
      </c>
      <c r="G852" s="6" t="inlineStr">
        <is>
          <t>YACYRETA</t>
        </is>
      </c>
      <c r="H852" s="6" t="inlineStr">
        <is>
          <t>TOTAL</t>
        </is>
      </c>
      <c r="I852" s="8" t="n">
        <v>19656681</v>
      </c>
      <c r="J852" s="6" t="inlineStr">
        <is>
          <t>MWh</t>
        </is>
      </c>
      <c r="K852" s="8" t="n">
        <v>19656681</v>
      </c>
      <c r="L852" s="6" t="inlineStr">
        <is>
          <t>MWh</t>
        </is>
      </c>
      <c r="M852" s="6" t="inlineStr">
        <is>
          <t>EBY</t>
        </is>
      </c>
      <c r="N852" s="6" t="inlineStr">
        <is>
          <t>OFFICIAL_PRIMARY</t>
        </is>
      </c>
      <c r="O852" s="9" t="inlineStr">
        <is>
          <t>OFFICIAL_AGGREGATE</t>
        </is>
      </c>
      <c r="P852" s="8" t="n">
        <v>1</v>
      </c>
      <c r="Q852" s="8" t="n">
        <v>50</v>
      </c>
      <c r="R852" s="7" t="inlineStr">
        <is>
          <t>https://www.eby.gov.py/wp-content/uploads/2019/12/YacyretaEnergiasMensualesDesdePuestaenMarcha.pdf</t>
        </is>
      </c>
      <c r="S852" s="6" t="inlineStr">
        <is>
          <t>EBY-MONTHLY-1994-2012</t>
        </is>
      </c>
      <c r="T852" s="6" t="inlineStr"/>
      <c r="U852" s="4" t="inlineStr">
        <is>
          <t>2026-09-10 23:00:00</t>
        </is>
      </c>
      <c r="V852" s="4" t="inlineStr">
        <is>
          <t>Total anual publicado.</t>
        </is>
      </c>
    </row>
    <row r="853">
      <c r="A853" s="6" t="inlineStr">
        <is>
          <t>R0000852</t>
        </is>
      </c>
      <c r="B853" s="6" t="inlineStr">
        <is>
          <t>2010-01-01</t>
        </is>
      </c>
      <c r="C853" s="6" t="inlineStr">
        <is>
          <t>2010-12-31</t>
        </is>
      </c>
      <c r="D853" s="6" t="inlineStr">
        <is>
          <t>year</t>
        </is>
      </c>
      <c r="E853" s="6" t="inlineStr">
        <is>
          <t>ENERGY_TO_ARGENTINA</t>
        </is>
      </c>
      <c r="F853" s="6" t="inlineStr">
        <is>
          <t>YACYRETA</t>
        </is>
      </c>
      <c r="G853" s="6" t="inlineStr">
        <is>
          <t>YACYRETA</t>
        </is>
      </c>
      <c r="H853" s="6" t="inlineStr">
        <is>
          <t>SADI</t>
        </is>
      </c>
      <c r="I853" s="8" t="n">
        <v>17382336</v>
      </c>
      <c r="J853" s="6" t="inlineStr">
        <is>
          <t>MWh</t>
        </is>
      </c>
      <c r="K853" s="8" t="n">
        <v>17382336</v>
      </c>
      <c r="L853" s="6" t="inlineStr">
        <is>
          <t>MWh</t>
        </is>
      </c>
      <c r="M853" s="6" t="inlineStr">
        <is>
          <t>EBY</t>
        </is>
      </c>
      <c r="N853" s="6" t="inlineStr">
        <is>
          <t>OFFICIAL_PRIMARY</t>
        </is>
      </c>
      <c r="O853" s="9" t="inlineStr">
        <is>
          <t>OFFICIAL_AGGREGATE</t>
        </is>
      </c>
      <c r="P853" s="8" t="n">
        <v>1</v>
      </c>
      <c r="Q853" s="8" t="n">
        <v>50</v>
      </c>
      <c r="R853" s="7" t="inlineStr">
        <is>
          <t>https://www.eby.gov.py/wp-content/uploads/2019/12/YacyretaEnergiasMensualesDesdePuestaenMarcha.pdf</t>
        </is>
      </c>
      <c r="S853" s="6" t="inlineStr">
        <is>
          <t>EBY-MONTHLY-1994-2012</t>
        </is>
      </c>
      <c r="T853" s="6" t="inlineStr"/>
      <c r="U853" s="4" t="inlineStr">
        <is>
          <t>2026-09-10 23:00:00</t>
        </is>
      </c>
      <c r="V853" s="4" t="inlineStr">
        <is>
          <t>Total anual publicado.</t>
        </is>
      </c>
    </row>
    <row r="854">
      <c r="A854" s="6" t="inlineStr">
        <is>
          <t>R0000853</t>
        </is>
      </c>
      <c r="B854" s="6" t="inlineStr">
        <is>
          <t>2010-01-01</t>
        </is>
      </c>
      <c r="C854" s="6" t="inlineStr">
        <is>
          <t>2010-12-31</t>
        </is>
      </c>
      <c r="D854" s="6" t="inlineStr">
        <is>
          <t>year</t>
        </is>
      </c>
      <c r="E854" s="6" t="inlineStr">
        <is>
          <t>ENERGY_TO_PY</t>
        </is>
      </c>
      <c r="F854" s="6" t="inlineStr">
        <is>
          <t>YACYRETA</t>
        </is>
      </c>
      <c r="G854" s="6" t="inlineStr">
        <is>
          <t>YACYRETA</t>
        </is>
      </c>
      <c r="H854" s="6" t="inlineStr">
        <is>
          <t>SINP</t>
        </is>
      </c>
      <c r="I854" s="8" t="n">
        <v>2274345</v>
      </c>
      <c r="J854" s="6" t="inlineStr">
        <is>
          <t>MWh</t>
        </is>
      </c>
      <c r="K854" s="8" t="n">
        <v>2274345</v>
      </c>
      <c r="L854" s="6" t="inlineStr">
        <is>
          <t>MWh</t>
        </is>
      </c>
      <c r="M854" s="6" t="inlineStr">
        <is>
          <t>EBY</t>
        </is>
      </c>
      <c r="N854" s="6" t="inlineStr">
        <is>
          <t>OFFICIAL_PRIMARY</t>
        </is>
      </c>
      <c r="O854" s="9" t="inlineStr">
        <is>
          <t>OFFICIAL_AGGREGATE</t>
        </is>
      </c>
      <c r="P854" s="8" t="n">
        <v>1</v>
      </c>
      <c r="Q854" s="8" t="n">
        <v>50</v>
      </c>
      <c r="R854" s="7" t="inlineStr">
        <is>
          <t>https://www.eby.gov.py/wp-content/uploads/2019/12/YacyretaEnergiasMensualesDesdePuestaenMarcha.pdf</t>
        </is>
      </c>
      <c r="S854" s="6" t="inlineStr">
        <is>
          <t>EBY-MONTHLY-1994-2012</t>
        </is>
      </c>
      <c r="T854" s="6" t="inlineStr"/>
      <c r="U854" s="4" t="inlineStr">
        <is>
          <t>2026-09-10 23:00:00</t>
        </is>
      </c>
      <c r="V854" s="4" t="inlineStr">
        <is>
          <t>Total anual publicado.</t>
        </is>
      </c>
    </row>
    <row r="855">
      <c r="A855" s="6" t="inlineStr">
        <is>
          <t>R0000854</t>
        </is>
      </c>
      <c r="B855" s="6" t="inlineStr">
        <is>
          <t>2011-01-01</t>
        </is>
      </c>
      <c r="C855" s="6" t="inlineStr">
        <is>
          <t>2011-12-31</t>
        </is>
      </c>
      <c r="D855" s="6" t="inlineStr">
        <is>
          <t>year</t>
        </is>
      </c>
      <c r="E855" s="6" t="inlineStr">
        <is>
          <t>YACYRETA_NET_ENERGY</t>
        </is>
      </c>
      <c r="F855" s="6" t="inlineStr">
        <is>
          <t>YACYRETA</t>
        </is>
      </c>
      <c r="G855" s="6" t="inlineStr">
        <is>
          <t>YACYRETA</t>
        </is>
      </c>
      <c r="H855" s="6" t="inlineStr">
        <is>
          <t>TOTAL</t>
        </is>
      </c>
      <c r="I855" s="8" t="n">
        <v>20866302</v>
      </c>
      <c r="J855" s="6" t="inlineStr">
        <is>
          <t>MWh</t>
        </is>
      </c>
      <c r="K855" s="8" t="n">
        <v>20866302</v>
      </c>
      <c r="L855" s="6" t="inlineStr">
        <is>
          <t>MWh</t>
        </is>
      </c>
      <c r="M855" s="6" t="inlineStr">
        <is>
          <t>EBY</t>
        </is>
      </c>
      <c r="N855" s="6" t="inlineStr">
        <is>
          <t>OFFICIAL_PRIMARY</t>
        </is>
      </c>
      <c r="O855" s="9" t="inlineStr">
        <is>
          <t>OFFICIAL_AGGREGATE</t>
        </is>
      </c>
      <c r="P855" s="8" t="n">
        <v>1</v>
      </c>
      <c r="Q855" s="8" t="n">
        <v>50</v>
      </c>
      <c r="R855" s="7" t="inlineStr">
        <is>
          <t>https://www.eby.gov.py/wp-content/uploads/2019/12/YacyretaEnergiasMensualesDesdePuestaenMarcha.pdf</t>
        </is>
      </c>
      <c r="S855" s="6" t="inlineStr">
        <is>
          <t>EBY-MONTHLY-1994-2012</t>
        </is>
      </c>
      <c r="T855" s="6" t="inlineStr"/>
      <c r="U855" s="4" t="inlineStr">
        <is>
          <t>2026-09-10 23:00:00</t>
        </is>
      </c>
      <c r="V855" s="4" t="inlineStr">
        <is>
          <t>Total anual publicado.</t>
        </is>
      </c>
    </row>
    <row r="856">
      <c r="A856" s="6" t="inlineStr">
        <is>
          <t>R0000855</t>
        </is>
      </c>
      <c r="B856" s="6" t="inlineStr">
        <is>
          <t>2011-01-01</t>
        </is>
      </c>
      <c r="C856" s="6" t="inlineStr">
        <is>
          <t>2011-12-31</t>
        </is>
      </c>
      <c r="D856" s="6" t="inlineStr">
        <is>
          <t>year</t>
        </is>
      </c>
      <c r="E856" s="6" t="inlineStr">
        <is>
          <t>ENERGY_TO_ARGENTINA</t>
        </is>
      </c>
      <c r="F856" s="6" t="inlineStr">
        <is>
          <t>YACYRETA</t>
        </is>
      </c>
      <c r="G856" s="6" t="inlineStr">
        <is>
          <t>YACYRETA</t>
        </is>
      </c>
      <c r="H856" s="6" t="inlineStr">
        <is>
          <t>SADI</t>
        </is>
      </c>
      <c r="I856" s="8" t="n">
        <v>18691698</v>
      </c>
      <c r="J856" s="6" t="inlineStr">
        <is>
          <t>MWh</t>
        </is>
      </c>
      <c r="K856" s="8" t="n">
        <v>18691698</v>
      </c>
      <c r="L856" s="6" t="inlineStr">
        <is>
          <t>MWh</t>
        </is>
      </c>
      <c r="M856" s="6" t="inlineStr">
        <is>
          <t>EBY</t>
        </is>
      </c>
      <c r="N856" s="6" t="inlineStr">
        <is>
          <t>OFFICIAL_PRIMARY</t>
        </is>
      </c>
      <c r="O856" s="9" t="inlineStr">
        <is>
          <t>OFFICIAL_AGGREGATE</t>
        </is>
      </c>
      <c r="P856" s="8" t="n">
        <v>1</v>
      </c>
      <c r="Q856" s="8" t="n">
        <v>50</v>
      </c>
      <c r="R856" s="7" t="inlineStr">
        <is>
          <t>https://www.eby.gov.py/wp-content/uploads/2019/12/YacyretaEnergiasMensualesDesdePuestaenMarcha.pdf</t>
        </is>
      </c>
      <c r="S856" s="6" t="inlineStr">
        <is>
          <t>EBY-MONTHLY-1994-2012</t>
        </is>
      </c>
      <c r="T856" s="6" t="inlineStr"/>
      <c r="U856" s="4" t="inlineStr">
        <is>
          <t>2026-09-10 23:00:00</t>
        </is>
      </c>
      <c r="V856" s="4" t="inlineStr">
        <is>
          <t>Total anual publicado.</t>
        </is>
      </c>
    </row>
    <row r="857">
      <c r="A857" s="6" t="inlineStr">
        <is>
          <t>R0000856</t>
        </is>
      </c>
      <c r="B857" s="6" t="inlineStr">
        <is>
          <t>2011-01-01</t>
        </is>
      </c>
      <c r="C857" s="6" t="inlineStr">
        <is>
          <t>2011-12-31</t>
        </is>
      </c>
      <c r="D857" s="6" t="inlineStr">
        <is>
          <t>year</t>
        </is>
      </c>
      <c r="E857" s="6" t="inlineStr">
        <is>
          <t>ENERGY_TO_PY</t>
        </is>
      </c>
      <c r="F857" s="6" t="inlineStr">
        <is>
          <t>YACYRETA</t>
        </is>
      </c>
      <c r="G857" s="6" t="inlineStr">
        <is>
          <t>YACYRETA</t>
        </is>
      </c>
      <c r="H857" s="6" t="inlineStr">
        <is>
          <t>SINP</t>
        </is>
      </c>
      <c r="I857" s="8" t="n">
        <v>2174604</v>
      </c>
      <c r="J857" s="6" t="inlineStr">
        <is>
          <t>MWh</t>
        </is>
      </c>
      <c r="K857" s="8" t="n">
        <v>2174604</v>
      </c>
      <c r="L857" s="6" t="inlineStr">
        <is>
          <t>MWh</t>
        </is>
      </c>
      <c r="M857" s="6" t="inlineStr">
        <is>
          <t>EBY</t>
        </is>
      </c>
      <c r="N857" s="6" t="inlineStr">
        <is>
          <t>OFFICIAL_PRIMARY</t>
        </is>
      </c>
      <c r="O857" s="9" t="inlineStr">
        <is>
          <t>OFFICIAL_AGGREGATE</t>
        </is>
      </c>
      <c r="P857" s="8" t="n">
        <v>1</v>
      </c>
      <c r="Q857" s="8" t="n">
        <v>50</v>
      </c>
      <c r="R857" s="7" t="inlineStr">
        <is>
          <t>https://www.eby.gov.py/wp-content/uploads/2019/12/YacyretaEnergiasMensualesDesdePuestaenMarcha.pdf</t>
        </is>
      </c>
      <c r="S857" s="6" t="inlineStr">
        <is>
          <t>EBY-MONTHLY-1994-2012</t>
        </is>
      </c>
      <c r="T857" s="6" t="inlineStr"/>
      <c r="U857" s="4" t="inlineStr">
        <is>
          <t>2026-09-10 23:00:00</t>
        </is>
      </c>
      <c r="V857" s="4" t="inlineStr">
        <is>
          <t>Total anual publicado.</t>
        </is>
      </c>
    </row>
    <row r="858">
      <c r="A858" s="6" t="inlineStr">
        <is>
          <t>R0000857</t>
        </is>
      </c>
      <c r="B858" s="6" t="inlineStr">
        <is>
          <t>2012-01-01</t>
        </is>
      </c>
      <c r="C858" s="6" t="inlineStr">
        <is>
          <t>2012-06-30</t>
        </is>
      </c>
      <c r="D858" s="6" t="inlineStr">
        <is>
          <t>year_partial</t>
        </is>
      </c>
      <c r="E858" s="6" t="inlineStr">
        <is>
          <t>YACYRETA_NET_ENERGY</t>
        </is>
      </c>
      <c r="F858" s="6" t="inlineStr">
        <is>
          <t>YACYRETA</t>
        </is>
      </c>
      <c r="G858" s="6" t="inlineStr">
        <is>
          <t>YACYRETA</t>
        </is>
      </c>
      <c r="H858" s="6" t="inlineStr">
        <is>
          <t>TOTAL</t>
        </is>
      </c>
      <c r="I858" s="8" t="n">
        <v>10129988</v>
      </c>
      <c r="J858" s="6" t="inlineStr">
        <is>
          <t>MWh</t>
        </is>
      </c>
      <c r="K858" s="8" t="n">
        <v>10129988</v>
      </c>
      <c r="L858" s="6" t="inlineStr">
        <is>
          <t>MWh</t>
        </is>
      </c>
      <c r="M858" s="6" t="inlineStr">
        <is>
          <t>EBY</t>
        </is>
      </c>
      <c r="N858" s="6" t="inlineStr">
        <is>
          <t>OFFICIAL_PRIMARY</t>
        </is>
      </c>
      <c r="O858" s="9" t="inlineStr">
        <is>
          <t>OFFICIAL_AGGREGATE</t>
        </is>
      </c>
      <c r="P858" s="8" t="n">
        <v>1</v>
      </c>
      <c r="Q858" s="8" t="n">
        <v>50</v>
      </c>
      <c r="R858" s="7" t="inlineStr">
        <is>
          <t>https://www.eby.gov.py/wp-content/uploads/2019/12/YacyretaEnergiasMensualesDesdePuestaenMarcha.pdf</t>
        </is>
      </c>
      <c r="S858" s="6" t="inlineStr">
        <is>
          <t>EBY-MONTHLY-1994-2012</t>
        </is>
      </c>
      <c r="T858" s="6" t="inlineStr"/>
      <c r="U858" s="4" t="inlineStr">
        <is>
          <t>2026-09-10 23:00:00</t>
        </is>
      </c>
      <c r="V858" s="4" t="inlineStr">
        <is>
          <t>Parcial enero-junio.</t>
        </is>
      </c>
    </row>
    <row r="859">
      <c r="A859" s="6" t="inlineStr">
        <is>
          <t>R0000858</t>
        </is>
      </c>
      <c r="B859" s="6" t="inlineStr">
        <is>
          <t>2012-01-01</t>
        </is>
      </c>
      <c r="C859" s="6" t="inlineStr">
        <is>
          <t>2012-06-30</t>
        </is>
      </c>
      <c r="D859" s="6" t="inlineStr">
        <is>
          <t>year_partial</t>
        </is>
      </c>
      <c r="E859" s="6" t="inlineStr">
        <is>
          <t>ENERGY_TO_ARGENTINA</t>
        </is>
      </c>
      <c r="F859" s="6" t="inlineStr">
        <is>
          <t>YACYRETA</t>
        </is>
      </c>
      <c r="G859" s="6" t="inlineStr">
        <is>
          <t>YACYRETA</t>
        </is>
      </c>
      <c r="H859" s="6" t="inlineStr">
        <is>
          <t>SADI</t>
        </is>
      </c>
      <c r="I859" s="8" t="n">
        <v>8891346</v>
      </c>
      <c r="J859" s="6" t="inlineStr">
        <is>
          <t>MWh</t>
        </is>
      </c>
      <c r="K859" s="8" t="n">
        <v>8891346</v>
      </c>
      <c r="L859" s="6" t="inlineStr">
        <is>
          <t>MWh</t>
        </is>
      </c>
      <c r="M859" s="6" t="inlineStr">
        <is>
          <t>EBY</t>
        </is>
      </c>
      <c r="N859" s="6" t="inlineStr">
        <is>
          <t>OFFICIAL_PRIMARY</t>
        </is>
      </c>
      <c r="O859" s="9" t="inlineStr">
        <is>
          <t>OFFICIAL_AGGREGATE</t>
        </is>
      </c>
      <c r="P859" s="8" t="n">
        <v>1</v>
      </c>
      <c r="Q859" s="8" t="n">
        <v>50</v>
      </c>
      <c r="R859" s="7" t="inlineStr">
        <is>
          <t>https://www.eby.gov.py/wp-content/uploads/2019/12/YacyretaEnergiasMensualesDesdePuestaenMarcha.pdf</t>
        </is>
      </c>
      <c r="S859" s="6" t="inlineStr">
        <is>
          <t>EBY-MONTHLY-1994-2012</t>
        </is>
      </c>
      <c r="T859" s="6" t="inlineStr"/>
      <c r="U859" s="4" t="inlineStr">
        <is>
          <t>2026-09-10 23:00:00</t>
        </is>
      </c>
      <c r="V859" s="4" t="inlineStr">
        <is>
          <t>Parcial enero-junio.</t>
        </is>
      </c>
    </row>
    <row r="860">
      <c r="A860" s="6" t="inlineStr">
        <is>
          <t>R0000859</t>
        </is>
      </c>
      <c r="B860" s="6" t="inlineStr">
        <is>
          <t>2012-01-01</t>
        </is>
      </c>
      <c r="C860" s="6" t="inlineStr">
        <is>
          <t>2012-06-30</t>
        </is>
      </c>
      <c r="D860" s="6" t="inlineStr">
        <is>
          <t>year_partial</t>
        </is>
      </c>
      <c r="E860" s="6" t="inlineStr">
        <is>
          <t>ENERGY_TO_PY</t>
        </is>
      </c>
      <c r="F860" s="6" t="inlineStr">
        <is>
          <t>YACYRETA</t>
        </is>
      </c>
      <c r="G860" s="6" t="inlineStr">
        <is>
          <t>YACYRETA</t>
        </is>
      </c>
      <c r="H860" s="6" t="inlineStr">
        <is>
          <t>SINP</t>
        </is>
      </c>
      <c r="I860" s="8" t="n">
        <v>1238642</v>
      </c>
      <c r="J860" s="6" t="inlineStr">
        <is>
          <t>MWh</t>
        </is>
      </c>
      <c r="K860" s="8" t="n">
        <v>1238642</v>
      </c>
      <c r="L860" s="6" t="inlineStr">
        <is>
          <t>MWh</t>
        </is>
      </c>
      <c r="M860" s="6" t="inlineStr">
        <is>
          <t>EBY</t>
        </is>
      </c>
      <c r="N860" s="6" t="inlineStr">
        <is>
          <t>OFFICIAL_PRIMARY</t>
        </is>
      </c>
      <c r="O860" s="9" t="inlineStr">
        <is>
          <t>OFFICIAL_AGGREGATE</t>
        </is>
      </c>
      <c r="P860" s="8" t="n">
        <v>1</v>
      </c>
      <c r="Q860" s="8" t="n">
        <v>50</v>
      </c>
      <c r="R860" s="7" t="inlineStr">
        <is>
          <t>https://www.eby.gov.py/wp-content/uploads/2019/12/YacyretaEnergiasMensualesDesdePuestaenMarcha.pdf</t>
        </is>
      </c>
      <c r="S860" s="6" t="inlineStr">
        <is>
          <t>EBY-MONTHLY-1994-2012</t>
        </is>
      </c>
      <c r="T860" s="6" t="inlineStr"/>
      <c r="U860" s="4" t="inlineStr">
        <is>
          <t>2026-09-10 23:00:00</t>
        </is>
      </c>
      <c r="V860" s="4" t="inlineStr">
        <is>
          <t>Parcial enero-junio.</t>
        </is>
      </c>
    </row>
    <row r="861">
      <c r="A861" s="6" t="inlineStr">
        <is>
          <t>R0000860</t>
        </is>
      </c>
      <c r="B861" s="6" t="inlineStr">
        <is>
          <t>2020-01-01</t>
        </is>
      </c>
      <c r="C861" s="6" t="inlineStr">
        <is>
          <t>2020-12-31</t>
        </is>
      </c>
      <c r="D861" s="6" t="inlineStr">
        <is>
          <t>year</t>
        </is>
      </c>
      <c r="E861" s="6" t="inlineStr">
        <is>
          <t>YACYRETA_GROSS_ENERGY</t>
        </is>
      </c>
      <c r="F861" s="6" t="inlineStr">
        <is>
          <t>YACYRETA</t>
        </is>
      </c>
      <c r="G861" s="6" t="inlineStr">
        <is>
          <t>YACYRETA</t>
        </is>
      </c>
      <c r="H861" s="6" t="inlineStr">
        <is>
          <t>TOTAL</t>
        </is>
      </c>
      <c r="I861" s="8" t="n">
        <v>15039934</v>
      </c>
      <c r="J861" s="6" t="inlineStr">
        <is>
          <t>MWh</t>
        </is>
      </c>
      <c r="K861" s="8" t="n">
        <v>15039934</v>
      </c>
      <c r="L861" s="6" t="inlineStr">
        <is>
          <t>MWh</t>
        </is>
      </c>
      <c r="M861" s="6" t="inlineStr">
        <is>
          <t>EBY</t>
        </is>
      </c>
      <c r="N861" s="6" t="inlineStr">
        <is>
          <t>OFFICIAL_PRIMARY</t>
        </is>
      </c>
      <c r="O861" s="9" t="inlineStr">
        <is>
          <t>OFFICIAL_AGGREGATE</t>
        </is>
      </c>
      <c r="P861" s="8" t="n">
        <v>1</v>
      </c>
      <c r="Q861" s="8" t="n">
        <v>50</v>
      </c>
      <c r="R861" s="7" t="inlineStr">
        <is>
          <t>https://www.eby.gov.py/informe-de-produccion-anual-de-la-central-hidroelectrica-yacyreta/</t>
        </is>
      </c>
      <c r="S861" s="6" t="inlineStr">
        <is>
          <t>EBY-ANNUAL-2020</t>
        </is>
      </c>
      <c r="T861" s="6" t="inlineStr"/>
      <c r="U861" s="4" t="inlineStr">
        <is>
          <t>2026-09-10 23:00:00</t>
        </is>
      </c>
      <c r="V861" s="4" t="inlineStr">
        <is>
          <t>Generacion bruta anual 2020.</t>
        </is>
      </c>
    </row>
    <row r="862">
      <c r="A862" s="6" t="inlineStr">
        <is>
          <t>R0000861</t>
        </is>
      </c>
      <c r="B862" s="6" t="inlineStr">
        <is>
          <t>2020-01-01</t>
        </is>
      </c>
      <c r="C862" s="6" t="inlineStr">
        <is>
          <t>2020-12-31</t>
        </is>
      </c>
      <c r="D862" s="6" t="inlineStr">
        <is>
          <t>year</t>
        </is>
      </c>
      <c r="E862" s="6" t="inlineStr">
        <is>
          <t>YACYRETA_NET_ENERGY</t>
        </is>
      </c>
      <c r="F862" s="6" t="inlineStr">
        <is>
          <t>YACYRETA</t>
        </is>
      </c>
      <c r="G862" s="6" t="inlineStr">
        <is>
          <t>YACYRETA</t>
        </is>
      </c>
      <c r="H862" s="6" t="inlineStr">
        <is>
          <t>TOTAL</t>
        </is>
      </c>
      <c r="I862" s="8" t="n">
        <v>14857292</v>
      </c>
      <c r="J862" s="6" t="inlineStr">
        <is>
          <t>MWh</t>
        </is>
      </c>
      <c r="K862" s="8" t="n">
        <v>14857292</v>
      </c>
      <c r="L862" s="6" t="inlineStr">
        <is>
          <t>MWh</t>
        </is>
      </c>
      <c r="M862" s="6" t="inlineStr">
        <is>
          <t>EBY</t>
        </is>
      </c>
      <c r="N862" s="6" t="inlineStr">
        <is>
          <t>OFFICIAL_PRIMARY</t>
        </is>
      </c>
      <c r="O862" s="9" t="inlineStr">
        <is>
          <t>OFFICIAL_AGGREGATE</t>
        </is>
      </c>
      <c r="P862" s="8" t="n">
        <v>1</v>
      </c>
      <c r="Q862" s="8" t="n">
        <v>50</v>
      </c>
      <c r="R862" s="7" t="inlineStr">
        <is>
          <t>https://www.eby.gov.py/informe-de-produccion-anual-de-la-central-hidroelectrica-yacyreta/</t>
        </is>
      </c>
      <c r="S862" s="6" t="inlineStr">
        <is>
          <t>EBY-ANNUAL-2020</t>
        </is>
      </c>
      <c r="T862" s="6" t="inlineStr"/>
      <c r="U862" s="4" t="inlineStr">
        <is>
          <t>2026-09-10 23:00:00</t>
        </is>
      </c>
      <c r="V862" s="4" t="inlineStr">
        <is>
          <t>Generacion neta anual 2020.</t>
        </is>
      </c>
    </row>
    <row r="863">
      <c r="A863" s="6" t="inlineStr">
        <is>
          <t>R0000862</t>
        </is>
      </c>
      <c r="B863" s="6" t="inlineStr">
        <is>
          <t>2020-01-01</t>
        </is>
      </c>
      <c r="C863" s="6" t="inlineStr">
        <is>
          <t>2020-12-31</t>
        </is>
      </c>
      <c r="D863" s="6" t="inlineStr">
        <is>
          <t>year</t>
        </is>
      </c>
      <c r="E863" s="6" t="inlineStr">
        <is>
          <t>ENERGY_TO_PY</t>
        </is>
      </c>
      <c r="F863" s="6" t="inlineStr">
        <is>
          <t>YACYRETA</t>
        </is>
      </c>
      <c r="G863" s="6" t="inlineStr">
        <is>
          <t>YACYRETA</t>
        </is>
      </c>
      <c r="H863" s="6" t="inlineStr">
        <is>
          <t>SINP</t>
        </is>
      </c>
      <c r="I863" s="8" t="n">
        <v>1664316.8</v>
      </c>
      <c r="J863" s="6" t="inlineStr">
        <is>
          <t>MWh</t>
        </is>
      </c>
      <c r="K863" s="8" t="n">
        <v>1664316.8</v>
      </c>
      <c r="L863" s="6" t="inlineStr">
        <is>
          <t>MWh</t>
        </is>
      </c>
      <c r="M863" s="6" t="inlineStr">
        <is>
          <t>EBY</t>
        </is>
      </c>
      <c r="N863" s="6" t="inlineStr">
        <is>
          <t>OFFICIAL_PRIMARY</t>
        </is>
      </c>
      <c r="O863" s="9" t="inlineStr">
        <is>
          <t>OFFICIAL_AGGREGATE</t>
        </is>
      </c>
      <c r="P863" s="8" t="n">
        <v>1</v>
      </c>
      <c r="Q863" s="8" t="n">
        <v>50</v>
      </c>
      <c r="R863" s="7" t="inlineStr">
        <is>
          <t>https://www.eby.gov.py/informe-de-produccion-anual-de-la-central-hidroelectrica-yacyreta/</t>
        </is>
      </c>
      <c r="S863" s="6" t="inlineStr">
        <is>
          <t>EBY-ANNUAL-2020</t>
        </is>
      </c>
      <c r="T863" s="6" t="inlineStr"/>
      <c r="U863" s="4" t="inlineStr">
        <is>
          <t>2026-09-10 23:00:00</t>
        </is>
      </c>
      <c r="V863" s="4" t="inlineStr">
        <is>
          <t>Energia entregada al SINP en 2020.</t>
        </is>
      </c>
    </row>
    <row r="864">
      <c r="A864" s="6" t="inlineStr">
        <is>
          <t>R0000863</t>
        </is>
      </c>
      <c r="B864" s="6" t="inlineStr">
        <is>
          <t>2020-01-01</t>
        </is>
      </c>
      <c r="C864" s="6" t="inlineStr">
        <is>
          <t>2020-12-31</t>
        </is>
      </c>
      <c r="D864" s="6" t="inlineStr">
        <is>
          <t>year</t>
        </is>
      </c>
      <c r="E864" s="6" t="inlineStr">
        <is>
          <t>ENERGY_TO_ARGENTINA</t>
        </is>
      </c>
      <c r="F864" s="6" t="inlineStr">
        <is>
          <t>YACYRETA</t>
        </is>
      </c>
      <c r="G864" s="6" t="inlineStr">
        <is>
          <t>YACYRETA</t>
        </is>
      </c>
      <c r="H864" s="6" t="inlineStr">
        <is>
          <t>SADI</t>
        </is>
      </c>
      <c r="I864" s="8" t="n">
        <v>13192975.2</v>
      </c>
      <c r="J864" s="6" t="inlineStr">
        <is>
          <t>MWh</t>
        </is>
      </c>
      <c r="K864" s="8" t="n">
        <v>13192975.2</v>
      </c>
      <c r="L864" s="6" t="inlineStr">
        <is>
          <t>MWh</t>
        </is>
      </c>
      <c r="M864" s="6" t="inlineStr">
        <is>
          <t>EBY</t>
        </is>
      </c>
      <c r="N864" s="6" t="inlineStr">
        <is>
          <t>OFFICIAL_PRIMARY</t>
        </is>
      </c>
      <c r="O864" s="9" t="inlineStr">
        <is>
          <t>OFFICIAL_AGGREGATE</t>
        </is>
      </c>
      <c r="P864" s="8" t="n">
        <v>1</v>
      </c>
      <c r="Q864" s="8" t="n">
        <v>50</v>
      </c>
      <c r="R864" s="7" t="inlineStr">
        <is>
          <t>https://www.eby.gov.py/informe-de-produccion-anual-de-la-central-hidroelectrica-yacyreta/</t>
        </is>
      </c>
      <c r="S864" s="6" t="inlineStr">
        <is>
          <t>EBY-ANNUAL-2020</t>
        </is>
      </c>
      <c r="T864" s="6" t="inlineStr"/>
      <c r="U864" s="4" t="inlineStr">
        <is>
          <t>2026-09-10 23:00:00</t>
        </is>
      </c>
      <c r="V864" s="4" t="inlineStr">
        <is>
          <t>Energia entregada al SADI en 2020.</t>
        </is>
      </c>
    </row>
    <row r="865">
      <c r="A865" s="6" t="inlineStr">
        <is>
          <t>R0000864</t>
        </is>
      </c>
      <c r="B865" s="6" t="inlineStr">
        <is>
          <t>1983-01-01</t>
        </is>
      </c>
      <c r="C865" s="6" t="inlineStr">
        <is>
          <t>1983-12-31</t>
        </is>
      </c>
      <c r="D865" s="6" t="inlineStr">
        <is>
          <t>year</t>
        </is>
      </c>
      <c r="E865" s="6" t="inlineStr">
        <is>
          <t>ANDE_BILLED_NATIONAL_ENERGY</t>
        </is>
      </c>
      <c r="F865" s="6" t="inlineStr">
        <is>
          <t>PY_SIN</t>
        </is>
      </c>
      <c r="G865" s="6" t="inlineStr">
        <is>
          <t>PY</t>
        </is>
      </c>
      <c r="H865" s="6" t="inlineStr">
        <is>
          <t>PY</t>
        </is>
      </c>
      <c r="I865" s="8" t="n">
        <v>827224.6850000001</v>
      </c>
      <c r="J865" s="6" t="inlineStr">
        <is>
          <t>MWh</t>
        </is>
      </c>
      <c r="K865" s="8" t="n">
        <v>827224.6850000001</v>
      </c>
      <c r="L865" s="6" t="inlineStr">
        <is>
          <t>MWh</t>
        </is>
      </c>
      <c r="M865" s="6" t="inlineStr">
        <is>
          <t>ANDE</t>
        </is>
      </c>
      <c r="N865" s="6" t="inlineStr">
        <is>
          <t>OFFICIAL_PRIMARY</t>
        </is>
      </c>
      <c r="O865" s="9" t="inlineStr">
        <is>
          <t>OFFICIAL_AGGREGATE</t>
        </is>
      </c>
      <c r="P865" s="8" t="n">
        <v>1</v>
      </c>
      <c r="Q865" s="8" t="n">
        <v>40</v>
      </c>
      <c r="R865" s="7" t="inlineStr">
        <is>
          <t>https://www.ande.gov.py/estadisticas/BalanceEnergia1983-2006/CompilacionEstadistica83-06.pdf</t>
        </is>
      </c>
      <c r="S865" s="6" t="inlineStr">
        <is>
          <t>ANDE-83-06</t>
        </is>
      </c>
      <c r="T865" s="6" t="inlineStr"/>
      <c r="U865" s="4" t="inlineStr">
        <is>
          <t>2026-09-11 00:05:00</t>
        </is>
      </c>
      <c r="V865" s="4" t="inlineStr">
        <is>
          <t>Serie historica antigua; usar compilaciones posteriores para solapes cuando existan.</t>
        </is>
      </c>
    </row>
    <row r="866">
      <c r="A866" s="6" t="inlineStr">
        <is>
          <t>R0000865</t>
        </is>
      </c>
      <c r="B866" s="6" t="inlineStr">
        <is>
          <t>1983-01-01</t>
        </is>
      </c>
      <c r="C866" s="6" t="inlineStr">
        <is>
          <t>1983-12-31</t>
        </is>
      </c>
      <c r="D866" s="6" t="inlineStr">
        <is>
          <t>year</t>
        </is>
      </c>
      <c r="E866" s="6" t="inlineStr">
        <is>
          <t>ANDE_TOTAL_ENERGY_SOLD</t>
        </is>
      </c>
      <c r="F866" s="6" t="inlineStr">
        <is>
          <t>PY_SIN</t>
        </is>
      </c>
      <c r="G866" s="6" t="inlineStr">
        <is>
          <t>PY</t>
        </is>
      </c>
      <c r="H866" s="6" t="inlineStr">
        <is>
          <t>PY</t>
        </is>
      </c>
      <c r="I866" s="8" t="n">
        <v>846937.882</v>
      </c>
      <c r="J866" s="6" t="inlineStr">
        <is>
          <t>MWh</t>
        </is>
      </c>
      <c r="K866" s="8" t="n">
        <v>846937.882</v>
      </c>
      <c r="L866" s="6" t="inlineStr">
        <is>
          <t>MWh</t>
        </is>
      </c>
      <c r="M866" s="6" t="inlineStr">
        <is>
          <t>ANDE</t>
        </is>
      </c>
      <c r="N866" s="6" t="inlineStr">
        <is>
          <t>OFFICIAL_PRIMARY</t>
        </is>
      </c>
      <c r="O866" s="9" t="inlineStr">
        <is>
          <t>OFFICIAL_AGGREGATE</t>
        </is>
      </c>
      <c r="P866" s="8" t="n">
        <v>1</v>
      </c>
      <c r="Q866" s="8" t="n">
        <v>40</v>
      </c>
      <c r="R866" s="7" t="inlineStr">
        <is>
          <t>https://www.ande.gov.py/estadisticas/BalanceEnergia1983-2006/CompilacionEstadistica83-06.pdf</t>
        </is>
      </c>
      <c r="S866" s="6" t="inlineStr">
        <is>
          <t>ANDE-83-06</t>
        </is>
      </c>
      <c r="T866" s="6" t="inlineStr"/>
      <c r="U866" s="4" t="inlineStr">
        <is>
          <t>2026-09-11 00:05:00</t>
        </is>
      </c>
      <c r="V866" s="4" t="inlineStr">
        <is>
          <t>Serie historica antigua; usar compilaciones posteriores para solapes cuando existan.</t>
        </is>
      </c>
    </row>
    <row r="867">
      <c r="A867" s="6" t="inlineStr">
        <is>
          <t>R0000866</t>
        </is>
      </c>
      <c r="B867" s="6" t="inlineStr">
        <is>
          <t>1983-01-01</t>
        </is>
      </c>
      <c r="C867" s="6" t="inlineStr">
        <is>
          <t>1983-12-31</t>
        </is>
      </c>
      <c r="D867" s="6" t="inlineStr">
        <is>
          <t>year</t>
        </is>
      </c>
      <c r="E867" s="6" t="inlineStr">
        <is>
          <t>ANDE_BILLED_RESIDENTIAL_ENERGY</t>
        </is>
      </c>
      <c r="F867" s="6" t="inlineStr">
        <is>
          <t>PY_SIN</t>
        </is>
      </c>
      <c r="G867" s="6" t="inlineStr">
        <is>
          <t>PY</t>
        </is>
      </c>
      <c r="H867" s="6" t="inlineStr">
        <is>
          <t>PY</t>
        </is>
      </c>
      <c r="I867" s="8" t="n">
        <v>492189.732</v>
      </c>
      <c r="J867" s="6" t="inlineStr">
        <is>
          <t>MWh</t>
        </is>
      </c>
      <c r="K867" s="8" t="n">
        <v>492189.732</v>
      </c>
      <c r="L867" s="6" t="inlineStr">
        <is>
          <t>MWh</t>
        </is>
      </c>
      <c r="M867" s="6" t="inlineStr">
        <is>
          <t>ANDE</t>
        </is>
      </c>
      <c r="N867" s="6" t="inlineStr">
        <is>
          <t>OFFICIAL_PRIMARY</t>
        </is>
      </c>
      <c r="O867" s="9" t="inlineStr">
        <is>
          <t>OFFICIAL_AGGREGATE</t>
        </is>
      </c>
      <c r="P867" s="8" t="n">
        <v>1</v>
      </c>
      <c r="Q867" s="8" t="n">
        <v>40</v>
      </c>
      <c r="R867" s="7" t="inlineStr">
        <is>
          <t>https://www.ande.gov.py/estadisticas/BalanceEnergia1983-2006/CompilacionEstadistica83-06.pdf</t>
        </is>
      </c>
      <c r="S867" s="6" t="inlineStr">
        <is>
          <t>ANDE-83-06</t>
        </is>
      </c>
      <c r="T867" s="6" t="inlineStr"/>
      <c r="U867" s="4" t="inlineStr">
        <is>
          <t>2026-09-11 00:05:00</t>
        </is>
      </c>
      <c r="V867" s="4" t="inlineStr">
        <is>
          <t>Serie historica antigua; usar compilaciones posteriores para solapes cuando existan.</t>
        </is>
      </c>
    </row>
    <row r="868">
      <c r="A868" s="6" t="inlineStr">
        <is>
          <t>R0000867</t>
        </is>
      </c>
      <c r="B868" s="6" t="inlineStr">
        <is>
          <t>1983-01-01</t>
        </is>
      </c>
      <c r="C868" s="6" t="inlineStr">
        <is>
          <t>1983-12-31</t>
        </is>
      </c>
      <c r="D868" s="6" t="inlineStr">
        <is>
          <t>year</t>
        </is>
      </c>
      <c r="E868" s="6" t="inlineStr">
        <is>
          <t>ANDE_BILLED_INDUSTRIAL_ENERGY</t>
        </is>
      </c>
      <c r="F868" s="6" t="inlineStr">
        <is>
          <t>PY_SIN</t>
        </is>
      </c>
      <c r="G868" s="6" t="inlineStr">
        <is>
          <t>PY</t>
        </is>
      </c>
      <c r="H868" s="6" t="inlineStr">
        <is>
          <t>PY</t>
        </is>
      </c>
      <c r="I868" s="8" t="n">
        <v>252620.96</v>
      </c>
      <c r="J868" s="6" t="inlineStr">
        <is>
          <t>MWh</t>
        </is>
      </c>
      <c r="K868" s="8" t="n">
        <v>252620.96</v>
      </c>
      <c r="L868" s="6" t="inlineStr">
        <is>
          <t>MWh</t>
        </is>
      </c>
      <c r="M868" s="6" t="inlineStr">
        <is>
          <t>ANDE</t>
        </is>
      </c>
      <c r="N868" s="6" t="inlineStr">
        <is>
          <t>OFFICIAL_PRIMARY</t>
        </is>
      </c>
      <c r="O868" s="9" t="inlineStr">
        <is>
          <t>OFFICIAL_AGGREGATE</t>
        </is>
      </c>
      <c r="P868" s="8" t="n">
        <v>1</v>
      </c>
      <c r="Q868" s="8" t="n">
        <v>40</v>
      </c>
      <c r="R868" s="7" t="inlineStr">
        <is>
          <t>https://www.ande.gov.py/estadisticas/BalanceEnergia1983-2006/CompilacionEstadistica83-06.pdf</t>
        </is>
      </c>
      <c r="S868" s="6" t="inlineStr">
        <is>
          <t>ANDE-83-06</t>
        </is>
      </c>
      <c r="T868" s="6" t="inlineStr"/>
      <c r="U868" s="4" t="inlineStr">
        <is>
          <t>2026-09-11 00:05:00</t>
        </is>
      </c>
      <c r="V868" s="4" t="inlineStr">
        <is>
          <t>Serie historica antigua; usar compilaciones posteriores para solapes cuando existan.</t>
        </is>
      </c>
    </row>
    <row r="869">
      <c r="A869" s="6" t="inlineStr">
        <is>
          <t>R0000868</t>
        </is>
      </c>
      <c r="B869" s="6" t="inlineStr">
        <is>
          <t>1983-01-01</t>
        </is>
      </c>
      <c r="C869" s="6" t="inlineStr">
        <is>
          <t>1983-12-31</t>
        </is>
      </c>
      <c r="D869" s="6" t="inlineStr">
        <is>
          <t>year</t>
        </is>
      </c>
      <c r="E869" s="6" t="inlineStr">
        <is>
          <t>ANDE_BILLED_OTHER_ENERGY</t>
        </is>
      </c>
      <c r="F869" s="6" t="inlineStr">
        <is>
          <t>PY_SIN</t>
        </is>
      </c>
      <c r="G869" s="6" t="inlineStr">
        <is>
          <t>PY</t>
        </is>
      </c>
      <c r="H869" s="6" t="inlineStr">
        <is>
          <t>PY</t>
        </is>
      </c>
      <c r="I869" s="8" t="n">
        <v>74872.45</v>
      </c>
      <c r="J869" s="6" t="inlineStr">
        <is>
          <t>MWh</t>
        </is>
      </c>
      <c r="K869" s="8" t="n">
        <v>74872.45</v>
      </c>
      <c r="L869" s="6" t="inlineStr">
        <is>
          <t>MWh</t>
        </is>
      </c>
      <c r="M869" s="6" t="inlineStr">
        <is>
          <t>ANDE</t>
        </is>
      </c>
      <c r="N869" s="6" t="inlineStr">
        <is>
          <t>OFFICIAL_PRIMARY</t>
        </is>
      </c>
      <c r="O869" s="9" t="inlineStr">
        <is>
          <t>OFFICIAL_AGGREGATE</t>
        </is>
      </c>
      <c r="P869" s="8" t="n">
        <v>1</v>
      </c>
      <c r="Q869" s="8" t="n">
        <v>40</v>
      </c>
      <c r="R869" s="7" t="inlineStr">
        <is>
          <t>https://www.ande.gov.py/estadisticas/BalanceEnergia1983-2006/CompilacionEstadistica83-06.pdf</t>
        </is>
      </c>
      <c r="S869" s="6" t="inlineStr">
        <is>
          <t>ANDE-83-06</t>
        </is>
      </c>
      <c r="T869" s="6" t="inlineStr"/>
      <c r="U869" s="4" t="inlineStr">
        <is>
          <t>2026-09-11 00:05:00</t>
        </is>
      </c>
      <c r="V869" s="4" t="inlineStr">
        <is>
          <t>Serie historica antigua; usar compilaciones posteriores para solapes cuando existan.</t>
        </is>
      </c>
    </row>
    <row r="870">
      <c r="A870" s="6" t="inlineStr">
        <is>
          <t>R0000869</t>
        </is>
      </c>
      <c r="B870" s="6" t="inlineStr">
        <is>
          <t>1983-01-01</t>
        </is>
      </c>
      <c r="C870" s="6" t="inlineStr">
        <is>
          <t>1983-12-31</t>
        </is>
      </c>
      <c r="D870" s="6" t="inlineStr">
        <is>
          <t>year</t>
        </is>
      </c>
      <c r="E870" s="6" t="inlineStr">
        <is>
          <t>ANDE_EXPORT_BILLED_ENERGY</t>
        </is>
      </c>
      <c r="F870" s="6" t="inlineStr">
        <is>
          <t>PY_SIN</t>
        </is>
      </c>
      <c r="G870" s="6" t="inlineStr">
        <is>
          <t>PY</t>
        </is>
      </c>
      <c r="H870" s="6" t="inlineStr">
        <is>
          <t>EXTERNAL</t>
        </is>
      </c>
      <c r="I870" s="8" t="n">
        <v>19713.197</v>
      </c>
      <c r="J870" s="6" t="inlineStr">
        <is>
          <t>MWh</t>
        </is>
      </c>
      <c r="K870" s="8" t="n">
        <v>19713.197</v>
      </c>
      <c r="L870" s="6" t="inlineStr">
        <is>
          <t>MWh</t>
        </is>
      </c>
      <c r="M870" s="6" t="inlineStr">
        <is>
          <t>ANDE</t>
        </is>
      </c>
      <c r="N870" s="6" t="inlineStr">
        <is>
          <t>OFFICIAL_PRIMARY</t>
        </is>
      </c>
      <c r="O870" s="9" t="inlineStr">
        <is>
          <t>OFFICIAL_AGGREGATE</t>
        </is>
      </c>
      <c r="P870" s="8" t="n">
        <v>1</v>
      </c>
      <c r="Q870" s="8" t="n">
        <v>40</v>
      </c>
      <c r="R870" s="7" t="inlineStr">
        <is>
          <t>https://www.ande.gov.py/estadisticas/BalanceEnergia1983-2006/CompilacionEstadistica83-06.pdf</t>
        </is>
      </c>
      <c r="S870" s="6" t="inlineStr">
        <is>
          <t>ANDE-83-06</t>
        </is>
      </c>
      <c r="T870" s="6" t="inlineStr"/>
      <c r="U870" s="4" t="inlineStr">
        <is>
          <t>2026-09-11 00:05:00</t>
        </is>
      </c>
      <c r="V870" s="4" t="inlineStr">
        <is>
          <t>Serie historica antigua; usar compilaciones posteriores para solapes cuando existan.</t>
        </is>
      </c>
    </row>
    <row r="871">
      <c r="A871" s="6" t="inlineStr">
        <is>
          <t>R0000870</t>
        </is>
      </c>
      <c r="B871" s="6" t="inlineStr">
        <is>
          <t>1984-01-01</t>
        </is>
      </c>
      <c r="C871" s="6" t="inlineStr">
        <is>
          <t>1984-12-31</t>
        </is>
      </c>
      <c r="D871" s="6" t="inlineStr">
        <is>
          <t>year</t>
        </is>
      </c>
      <c r="E871" s="6" t="inlineStr">
        <is>
          <t>ANDE_BILLED_NATIONAL_ENERGY</t>
        </is>
      </c>
      <c r="F871" s="6" t="inlineStr">
        <is>
          <t>PY_SIN</t>
        </is>
      </c>
      <c r="G871" s="6" t="inlineStr">
        <is>
          <t>PY</t>
        </is>
      </c>
      <c r="H871" s="6" t="inlineStr">
        <is>
          <t>PY</t>
        </is>
      </c>
      <c r="I871" s="8" t="n">
        <v>907326.727</v>
      </c>
      <c r="J871" s="6" t="inlineStr">
        <is>
          <t>MWh</t>
        </is>
      </c>
      <c r="K871" s="8" t="n">
        <v>907326.727</v>
      </c>
      <c r="L871" s="6" t="inlineStr">
        <is>
          <t>MWh</t>
        </is>
      </c>
      <c r="M871" s="6" t="inlineStr">
        <is>
          <t>ANDE</t>
        </is>
      </c>
      <c r="N871" s="6" t="inlineStr">
        <is>
          <t>OFFICIAL_PRIMARY</t>
        </is>
      </c>
      <c r="O871" s="9" t="inlineStr">
        <is>
          <t>OFFICIAL_AGGREGATE</t>
        </is>
      </c>
      <c r="P871" s="8" t="n">
        <v>1</v>
      </c>
      <c r="Q871" s="8" t="n">
        <v>40</v>
      </c>
      <c r="R871" s="7" t="inlineStr">
        <is>
          <t>https://www.ande.gov.py/estadisticas/BalanceEnergia1983-2006/CompilacionEstadistica83-06.pdf</t>
        </is>
      </c>
      <c r="S871" s="6" t="inlineStr">
        <is>
          <t>ANDE-83-06</t>
        </is>
      </c>
      <c r="T871" s="6" t="inlineStr"/>
      <c r="U871" s="4" t="inlineStr">
        <is>
          <t>2026-09-11 00:05:00</t>
        </is>
      </c>
      <c r="V871" s="4" t="inlineStr">
        <is>
          <t>Serie historica antigua; usar compilaciones posteriores para solapes cuando existan.</t>
        </is>
      </c>
    </row>
    <row r="872">
      <c r="A872" s="6" t="inlineStr">
        <is>
          <t>R0000871</t>
        </is>
      </c>
      <c r="B872" s="6" t="inlineStr">
        <is>
          <t>1984-01-01</t>
        </is>
      </c>
      <c r="C872" s="6" t="inlineStr">
        <is>
          <t>1984-12-31</t>
        </is>
      </c>
      <c r="D872" s="6" t="inlineStr">
        <is>
          <t>year</t>
        </is>
      </c>
      <c r="E872" s="6" t="inlineStr">
        <is>
          <t>ANDE_TOTAL_ENERGY_SOLD</t>
        </is>
      </c>
      <c r="F872" s="6" t="inlineStr">
        <is>
          <t>PY_SIN</t>
        </is>
      </c>
      <c r="G872" s="6" t="inlineStr">
        <is>
          <t>PY</t>
        </is>
      </c>
      <c r="H872" s="6" t="inlineStr">
        <is>
          <t>PY</t>
        </is>
      </c>
      <c r="I872" s="8" t="n">
        <v>933234.348</v>
      </c>
      <c r="J872" s="6" t="inlineStr">
        <is>
          <t>MWh</t>
        </is>
      </c>
      <c r="K872" s="8" t="n">
        <v>933234.348</v>
      </c>
      <c r="L872" s="6" t="inlineStr">
        <is>
          <t>MWh</t>
        </is>
      </c>
      <c r="M872" s="6" t="inlineStr">
        <is>
          <t>ANDE</t>
        </is>
      </c>
      <c r="N872" s="6" t="inlineStr">
        <is>
          <t>OFFICIAL_PRIMARY</t>
        </is>
      </c>
      <c r="O872" s="9" t="inlineStr">
        <is>
          <t>OFFICIAL_AGGREGATE</t>
        </is>
      </c>
      <c r="P872" s="8" t="n">
        <v>1</v>
      </c>
      <c r="Q872" s="8" t="n">
        <v>40</v>
      </c>
      <c r="R872" s="7" t="inlineStr">
        <is>
          <t>https://www.ande.gov.py/estadisticas/BalanceEnergia1983-2006/CompilacionEstadistica83-06.pdf</t>
        </is>
      </c>
      <c r="S872" s="6" t="inlineStr">
        <is>
          <t>ANDE-83-06</t>
        </is>
      </c>
      <c r="T872" s="6" t="inlineStr"/>
      <c r="U872" s="4" t="inlineStr">
        <is>
          <t>2026-09-11 00:05:00</t>
        </is>
      </c>
      <c r="V872" s="4" t="inlineStr">
        <is>
          <t>Serie historica antigua; usar compilaciones posteriores para solapes cuando existan.</t>
        </is>
      </c>
    </row>
    <row r="873">
      <c r="A873" s="6" t="inlineStr">
        <is>
          <t>R0000872</t>
        </is>
      </c>
      <c r="B873" s="6" t="inlineStr">
        <is>
          <t>1984-01-01</t>
        </is>
      </c>
      <c r="C873" s="6" t="inlineStr">
        <is>
          <t>1984-12-31</t>
        </is>
      </c>
      <c r="D873" s="6" t="inlineStr">
        <is>
          <t>year</t>
        </is>
      </c>
      <c r="E873" s="6" t="inlineStr">
        <is>
          <t>ANDE_BILLED_RESIDENTIAL_ENERGY</t>
        </is>
      </c>
      <c r="F873" s="6" t="inlineStr">
        <is>
          <t>PY_SIN</t>
        </is>
      </c>
      <c r="G873" s="6" t="inlineStr">
        <is>
          <t>PY</t>
        </is>
      </c>
      <c r="H873" s="6" t="inlineStr">
        <is>
          <t>PY</t>
        </is>
      </c>
      <c r="I873" s="8" t="n">
        <v>540703.223</v>
      </c>
      <c r="J873" s="6" t="inlineStr">
        <is>
          <t>MWh</t>
        </is>
      </c>
      <c r="K873" s="8" t="n">
        <v>540703.223</v>
      </c>
      <c r="L873" s="6" t="inlineStr">
        <is>
          <t>MWh</t>
        </is>
      </c>
      <c r="M873" s="6" t="inlineStr">
        <is>
          <t>ANDE</t>
        </is>
      </c>
      <c r="N873" s="6" t="inlineStr">
        <is>
          <t>OFFICIAL_PRIMARY</t>
        </is>
      </c>
      <c r="O873" s="9" t="inlineStr">
        <is>
          <t>OFFICIAL_AGGREGATE</t>
        </is>
      </c>
      <c r="P873" s="8" t="n">
        <v>1</v>
      </c>
      <c r="Q873" s="8" t="n">
        <v>40</v>
      </c>
      <c r="R873" s="7" t="inlineStr">
        <is>
          <t>https://www.ande.gov.py/estadisticas/BalanceEnergia1983-2006/CompilacionEstadistica83-06.pdf</t>
        </is>
      </c>
      <c r="S873" s="6" t="inlineStr">
        <is>
          <t>ANDE-83-06</t>
        </is>
      </c>
      <c r="T873" s="6" t="inlineStr"/>
      <c r="U873" s="4" t="inlineStr">
        <is>
          <t>2026-09-11 00:05:00</t>
        </is>
      </c>
      <c r="V873" s="4" t="inlineStr">
        <is>
          <t>Serie historica antigua; usar compilaciones posteriores para solapes cuando existan.</t>
        </is>
      </c>
    </row>
    <row r="874">
      <c r="A874" s="6" t="inlineStr">
        <is>
          <t>R0000873</t>
        </is>
      </c>
      <c r="B874" s="6" t="inlineStr">
        <is>
          <t>1984-01-01</t>
        </is>
      </c>
      <c r="C874" s="6" t="inlineStr">
        <is>
          <t>1984-12-31</t>
        </is>
      </c>
      <c r="D874" s="6" t="inlineStr">
        <is>
          <t>year</t>
        </is>
      </c>
      <c r="E874" s="6" t="inlineStr">
        <is>
          <t>ANDE_BILLED_INDUSTRIAL_ENERGY</t>
        </is>
      </c>
      <c r="F874" s="6" t="inlineStr">
        <is>
          <t>PY_SIN</t>
        </is>
      </c>
      <c r="G874" s="6" t="inlineStr">
        <is>
          <t>PY</t>
        </is>
      </c>
      <c r="H874" s="6" t="inlineStr">
        <is>
          <t>PY</t>
        </is>
      </c>
      <c r="I874" s="8" t="n">
        <v>286111.405</v>
      </c>
      <c r="J874" s="6" t="inlineStr">
        <is>
          <t>MWh</t>
        </is>
      </c>
      <c r="K874" s="8" t="n">
        <v>286111.405</v>
      </c>
      <c r="L874" s="6" t="inlineStr">
        <is>
          <t>MWh</t>
        </is>
      </c>
      <c r="M874" s="6" t="inlineStr">
        <is>
          <t>ANDE</t>
        </is>
      </c>
      <c r="N874" s="6" t="inlineStr">
        <is>
          <t>OFFICIAL_PRIMARY</t>
        </is>
      </c>
      <c r="O874" s="9" t="inlineStr">
        <is>
          <t>OFFICIAL_AGGREGATE</t>
        </is>
      </c>
      <c r="P874" s="8" t="n">
        <v>1</v>
      </c>
      <c r="Q874" s="8" t="n">
        <v>40</v>
      </c>
      <c r="R874" s="7" t="inlineStr">
        <is>
          <t>https://www.ande.gov.py/estadisticas/BalanceEnergia1983-2006/CompilacionEstadistica83-06.pdf</t>
        </is>
      </c>
      <c r="S874" s="6" t="inlineStr">
        <is>
          <t>ANDE-83-06</t>
        </is>
      </c>
      <c r="T874" s="6" t="inlineStr"/>
      <c r="U874" s="4" t="inlineStr">
        <is>
          <t>2026-09-11 00:05:00</t>
        </is>
      </c>
      <c r="V874" s="4" t="inlineStr">
        <is>
          <t>Serie historica antigua; usar compilaciones posteriores para solapes cuando existan.</t>
        </is>
      </c>
    </row>
    <row r="875">
      <c r="A875" s="6" t="inlineStr">
        <is>
          <t>R0000874</t>
        </is>
      </c>
      <c r="B875" s="6" t="inlineStr">
        <is>
          <t>1984-01-01</t>
        </is>
      </c>
      <c r="C875" s="6" t="inlineStr">
        <is>
          <t>1984-12-31</t>
        </is>
      </c>
      <c r="D875" s="6" t="inlineStr">
        <is>
          <t>year</t>
        </is>
      </c>
      <c r="E875" s="6" t="inlineStr">
        <is>
          <t>ANDE_BILLED_OTHER_ENERGY</t>
        </is>
      </c>
      <c r="F875" s="6" t="inlineStr">
        <is>
          <t>PY_SIN</t>
        </is>
      </c>
      <c r="G875" s="6" t="inlineStr">
        <is>
          <t>PY</t>
        </is>
      </c>
      <c r="H875" s="6" t="inlineStr">
        <is>
          <t>PY</t>
        </is>
      </c>
      <c r="I875" s="8" t="n">
        <v>80512.099</v>
      </c>
      <c r="J875" s="6" t="inlineStr">
        <is>
          <t>MWh</t>
        </is>
      </c>
      <c r="K875" s="8" t="n">
        <v>80512.099</v>
      </c>
      <c r="L875" s="6" t="inlineStr">
        <is>
          <t>MWh</t>
        </is>
      </c>
      <c r="M875" s="6" t="inlineStr">
        <is>
          <t>ANDE</t>
        </is>
      </c>
      <c r="N875" s="6" t="inlineStr">
        <is>
          <t>OFFICIAL_PRIMARY</t>
        </is>
      </c>
      <c r="O875" s="9" t="inlineStr">
        <is>
          <t>OFFICIAL_AGGREGATE</t>
        </is>
      </c>
      <c r="P875" s="8" t="n">
        <v>1</v>
      </c>
      <c r="Q875" s="8" t="n">
        <v>40</v>
      </c>
      <c r="R875" s="7" t="inlineStr">
        <is>
          <t>https://www.ande.gov.py/estadisticas/BalanceEnergia1983-2006/CompilacionEstadistica83-06.pdf</t>
        </is>
      </c>
      <c r="S875" s="6" t="inlineStr">
        <is>
          <t>ANDE-83-06</t>
        </is>
      </c>
      <c r="T875" s="6" t="inlineStr"/>
      <c r="U875" s="4" t="inlineStr">
        <is>
          <t>2026-09-11 00:05:00</t>
        </is>
      </c>
      <c r="V875" s="4" t="inlineStr">
        <is>
          <t>Serie historica antigua; usar compilaciones posteriores para solapes cuando existan.</t>
        </is>
      </c>
    </row>
    <row r="876">
      <c r="A876" s="6" t="inlineStr">
        <is>
          <t>R0000875</t>
        </is>
      </c>
      <c r="B876" s="6" t="inlineStr">
        <is>
          <t>1984-01-01</t>
        </is>
      </c>
      <c r="C876" s="6" t="inlineStr">
        <is>
          <t>1984-12-31</t>
        </is>
      </c>
      <c r="D876" s="6" t="inlineStr">
        <is>
          <t>year</t>
        </is>
      </c>
      <c r="E876" s="6" t="inlineStr">
        <is>
          <t>ANDE_EXPORT_BILLED_ENERGY</t>
        </is>
      </c>
      <c r="F876" s="6" t="inlineStr">
        <is>
          <t>PY_SIN</t>
        </is>
      </c>
      <c r="G876" s="6" t="inlineStr">
        <is>
          <t>PY</t>
        </is>
      </c>
      <c r="H876" s="6" t="inlineStr">
        <is>
          <t>EXTERNAL</t>
        </is>
      </c>
      <c r="I876" s="8" t="n">
        <v>25907.621</v>
      </c>
      <c r="J876" s="6" t="inlineStr">
        <is>
          <t>MWh</t>
        </is>
      </c>
      <c r="K876" s="8" t="n">
        <v>25907.621</v>
      </c>
      <c r="L876" s="6" t="inlineStr">
        <is>
          <t>MWh</t>
        </is>
      </c>
      <c r="M876" s="6" t="inlineStr">
        <is>
          <t>ANDE</t>
        </is>
      </c>
      <c r="N876" s="6" t="inlineStr">
        <is>
          <t>OFFICIAL_PRIMARY</t>
        </is>
      </c>
      <c r="O876" s="9" t="inlineStr">
        <is>
          <t>OFFICIAL_AGGREGATE</t>
        </is>
      </c>
      <c r="P876" s="8" t="n">
        <v>1</v>
      </c>
      <c r="Q876" s="8" t="n">
        <v>40</v>
      </c>
      <c r="R876" s="7" t="inlineStr">
        <is>
          <t>https://www.ande.gov.py/estadisticas/BalanceEnergia1983-2006/CompilacionEstadistica83-06.pdf</t>
        </is>
      </c>
      <c r="S876" s="6" t="inlineStr">
        <is>
          <t>ANDE-83-06</t>
        </is>
      </c>
      <c r="T876" s="6" t="inlineStr"/>
      <c r="U876" s="4" t="inlineStr">
        <is>
          <t>2026-09-11 00:05:00</t>
        </is>
      </c>
      <c r="V876" s="4" t="inlineStr">
        <is>
          <t>Serie historica antigua; usar compilaciones posteriores para solapes cuando existan.</t>
        </is>
      </c>
    </row>
    <row r="877">
      <c r="A877" s="6" t="inlineStr">
        <is>
          <t>R0000876</t>
        </is>
      </c>
      <c r="B877" s="6" t="inlineStr">
        <is>
          <t>1985-01-01</t>
        </is>
      </c>
      <c r="C877" s="6" t="inlineStr">
        <is>
          <t>1985-12-31</t>
        </is>
      </c>
      <c r="D877" s="6" t="inlineStr">
        <is>
          <t>year</t>
        </is>
      </c>
      <c r="E877" s="6" t="inlineStr">
        <is>
          <t>ANDE_BILLED_NATIONAL_ENERGY</t>
        </is>
      </c>
      <c r="F877" s="6" t="inlineStr">
        <is>
          <t>PY_SIN</t>
        </is>
      </c>
      <c r="G877" s="6" t="inlineStr">
        <is>
          <t>PY</t>
        </is>
      </c>
      <c r="H877" s="6" t="inlineStr">
        <is>
          <t>PY</t>
        </is>
      </c>
      <c r="I877" s="8" t="n">
        <v>999906.123</v>
      </c>
      <c r="J877" s="6" t="inlineStr">
        <is>
          <t>MWh</t>
        </is>
      </c>
      <c r="K877" s="8" t="n">
        <v>999906.123</v>
      </c>
      <c r="L877" s="6" t="inlineStr">
        <is>
          <t>MWh</t>
        </is>
      </c>
      <c r="M877" s="6" t="inlineStr">
        <is>
          <t>ANDE</t>
        </is>
      </c>
      <c r="N877" s="6" t="inlineStr">
        <is>
          <t>OFFICIAL_PRIMARY</t>
        </is>
      </c>
      <c r="O877" s="9" t="inlineStr">
        <is>
          <t>OFFICIAL_AGGREGATE</t>
        </is>
      </c>
      <c r="P877" s="8" t="n">
        <v>1</v>
      </c>
      <c r="Q877" s="8" t="n">
        <v>40</v>
      </c>
      <c r="R877" s="7" t="inlineStr">
        <is>
          <t>https://www.ande.gov.py/estadisticas/BalanceEnergia1983-2006/CompilacionEstadistica83-06.pdf</t>
        </is>
      </c>
      <c r="S877" s="6" t="inlineStr">
        <is>
          <t>ANDE-83-06</t>
        </is>
      </c>
      <c r="T877" s="6" t="inlineStr"/>
      <c r="U877" s="4" t="inlineStr">
        <is>
          <t>2026-09-11 00:05:00</t>
        </is>
      </c>
      <c r="V877" s="4" t="inlineStr">
        <is>
          <t>Serie historica antigua; usar compilaciones posteriores para solapes cuando existan.</t>
        </is>
      </c>
    </row>
    <row r="878">
      <c r="A878" s="6" t="inlineStr">
        <is>
          <t>R0000877</t>
        </is>
      </c>
      <c r="B878" s="6" t="inlineStr">
        <is>
          <t>1985-01-01</t>
        </is>
      </c>
      <c r="C878" s="6" t="inlineStr">
        <is>
          <t>1985-12-31</t>
        </is>
      </c>
      <c r="D878" s="6" t="inlineStr">
        <is>
          <t>year</t>
        </is>
      </c>
      <c r="E878" s="6" t="inlineStr">
        <is>
          <t>ANDE_TOTAL_ENERGY_SOLD</t>
        </is>
      </c>
      <c r="F878" s="6" t="inlineStr">
        <is>
          <t>PY_SIN</t>
        </is>
      </c>
      <c r="G878" s="6" t="inlineStr">
        <is>
          <t>PY</t>
        </is>
      </c>
      <c r="H878" s="6" t="inlineStr">
        <is>
          <t>PY</t>
        </is>
      </c>
      <c r="I878" s="8" t="n">
        <v>1031969.616</v>
      </c>
      <c r="J878" s="6" t="inlineStr">
        <is>
          <t>MWh</t>
        </is>
      </c>
      <c r="K878" s="8" t="n">
        <v>1031969.616</v>
      </c>
      <c r="L878" s="6" t="inlineStr">
        <is>
          <t>MWh</t>
        </is>
      </c>
      <c r="M878" s="6" t="inlineStr">
        <is>
          <t>ANDE</t>
        </is>
      </c>
      <c r="N878" s="6" t="inlineStr">
        <is>
          <t>OFFICIAL_PRIMARY</t>
        </is>
      </c>
      <c r="O878" s="9" t="inlineStr">
        <is>
          <t>OFFICIAL_AGGREGATE</t>
        </is>
      </c>
      <c r="P878" s="8" t="n">
        <v>1</v>
      </c>
      <c r="Q878" s="8" t="n">
        <v>40</v>
      </c>
      <c r="R878" s="7" t="inlineStr">
        <is>
          <t>https://www.ande.gov.py/estadisticas/BalanceEnergia1983-2006/CompilacionEstadistica83-06.pdf</t>
        </is>
      </c>
      <c r="S878" s="6" t="inlineStr">
        <is>
          <t>ANDE-83-06</t>
        </is>
      </c>
      <c r="T878" s="6" t="inlineStr"/>
      <c r="U878" s="4" t="inlineStr">
        <is>
          <t>2026-09-11 00:05:00</t>
        </is>
      </c>
      <c r="V878" s="4" t="inlineStr">
        <is>
          <t>Serie historica antigua; usar compilaciones posteriores para solapes cuando existan.</t>
        </is>
      </c>
    </row>
    <row r="879">
      <c r="A879" s="6" t="inlineStr">
        <is>
          <t>R0000878</t>
        </is>
      </c>
      <c r="B879" s="6" t="inlineStr">
        <is>
          <t>1985-01-01</t>
        </is>
      </c>
      <c r="C879" s="6" t="inlineStr">
        <is>
          <t>1985-12-31</t>
        </is>
      </c>
      <c r="D879" s="6" t="inlineStr">
        <is>
          <t>year</t>
        </is>
      </c>
      <c r="E879" s="6" t="inlineStr">
        <is>
          <t>ANDE_BILLED_RESIDENTIAL_ENERGY</t>
        </is>
      </c>
      <c r="F879" s="6" t="inlineStr">
        <is>
          <t>PY_SIN</t>
        </is>
      </c>
      <c r="G879" s="6" t="inlineStr">
        <is>
          <t>PY</t>
        </is>
      </c>
      <c r="H879" s="6" t="inlineStr">
        <is>
          <t>PY</t>
        </is>
      </c>
      <c r="I879" s="8" t="n">
        <v>399542.108</v>
      </c>
      <c r="J879" s="6" t="inlineStr">
        <is>
          <t>MWh</t>
        </is>
      </c>
      <c r="K879" s="8" t="n">
        <v>399542.108</v>
      </c>
      <c r="L879" s="6" t="inlineStr">
        <is>
          <t>MWh</t>
        </is>
      </c>
      <c r="M879" s="6" t="inlineStr">
        <is>
          <t>ANDE</t>
        </is>
      </c>
      <c r="N879" s="6" t="inlineStr">
        <is>
          <t>OFFICIAL_PRIMARY</t>
        </is>
      </c>
      <c r="O879" s="9" t="inlineStr">
        <is>
          <t>OFFICIAL_AGGREGATE</t>
        </is>
      </c>
      <c r="P879" s="8" t="n">
        <v>1</v>
      </c>
      <c r="Q879" s="8" t="n">
        <v>40</v>
      </c>
      <c r="R879" s="7" t="inlineStr">
        <is>
          <t>https://www.ande.gov.py/estadisticas/BalanceEnergia1983-2006/CompilacionEstadistica83-06.pdf</t>
        </is>
      </c>
      <c r="S879" s="6" t="inlineStr">
        <is>
          <t>ANDE-83-06</t>
        </is>
      </c>
      <c r="T879" s="6" t="inlineStr"/>
      <c r="U879" s="4" t="inlineStr">
        <is>
          <t>2026-09-11 00:05:00</t>
        </is>
      </c>
      <c r="V879" s="4" t="inlineStr">
        <is>
          <t>Serie historica antigua; usar compilaciones posteriores para solapes cuando existan.</t>
        </is>
      </c>
    </row>
    <row r="880">
      <c r="A880" s="6" t="inlineStr">
        <is>
          <t>R0000879</t>
        </is>
      </c>
      <c r="B880" s="6" t="inlineStr">
        <is>
          <t>1985-01-01</t>
        </is>
      </c>
      <c r="C880" s="6" t="inlineStr">
        <is>
          <t>1985-12-31</t>
        </is>
      </c>
      <c r="D880" s="6" t="inlineStr">
        <is>
          <t>year</t>
        </is>
      </c>
      <c r="E880" s="6" t="inlineStr">
        <is>
          <t>ANDE_BILLED_INDUSTRIAL_ENERGY</t>
        </is>
      </c>
      <c r="F880" s="6" t="inlineStr">
        <is>
          <t>PY_SIN</t>
        </is>
      </c>
      <c r="G880" s="6" t="inlineStr">
        <is>
          <t>PY</t>
        </is>
      </c>
      <c r="H880" s="6" t="inlineStr">
        <is>
          <t>PY</t>
        </is>
      </c>
      <c r="I880" s="8" t="n">
        <v>203952.32</v>
      </c>
      <c r="J880" s="6" t="inlineStr">
        <is>
          <t>MWh</t>
        </is>
      </c>
      <c r="K880" s="8" t="n">
        <v>203952.32</v>
      </c>
      <c r="L880" s="6" t="inlineStr">
        <is>
          <t>MWh</t>
        </is>
      </c>
      <c r="M880" s="6" t="inlineStr">
        <is>
          <t>ANDE</t>
        </is>
      </c>
      <c r="N880" s="6" t="inlineStr">
        <is>
          <t>OFFICIAL_PRIMARY</t>
        </is>
      </c>
      <c r="O880" s="9" t="inlineStr">
        <is>
          <t>OFFICIAL_AGGREGATE</t>
        </is>
      </c>
      <c r="P880" s="8" t="n">
        <v>1</v>
      </c>
      <c r="Q880" s="8" t="n">
        <v>40</v>
      </c>
      <c r="R880" s="7" t="inlineStr">
        <is>
          <t>https://www.ande.gov.py/estadisticas/BalanceEnergia1983-2006/CompilacionEstadistica83-06.pdf</t>
        </is>
      </c>
      <c r="S880" s="6" t="inlineStr">
        <is>
          <t>ANDE-83-06</t>
        </is>
      </c>
      <c r="T880" s="6" t="inlineStr"/>
      <c r="U880" s="4" t="inlineStr">
        <is>
          <t>2026-09-11 00:05:00</t>
        </is>
      </c>
      <c r="V880" s="4" t="inlineStr">
        <is>
          <t>Serie historica antigua; usar compilaciones posteriores para solapes cuando existan.</t>
        </is>
      </c>
    </row>
    <row r="881">
      <c r="A881" s="6" t="inlineStr">
        <is>
          <t>R0000880</t>
        </is>
      </c>
      <c r="B881" s="6" t="inlineStr">
        <is>
          <t>1985-01-01</t>
        </is>
      </c>
      <c r="C881" s="6" t="inlineStr">
        <is>
          <t>1985-12-31</t>
        </is>
      </c>
      <c r="D881" s="6" t="inlineStr">
        <is>
          <t>year</t>
        </is>
      </c>
      <c r="E881" s="6" t="inlineStr">
        <is>
          <t>ANDE_BILLED_OTHER_ENERGY</t>
        </is>
      </c>
      <c r="F881" s="6" t="inlineStr">
        <is>
          <t>PY_SIN</t>
        </is>
      </c>
      <c r="G881" s="6" t="inlineStr">
        <is>
          <t>PY</t>
        </is>
      </c>
      <c r="H881" s="6" t="inlineStr">
        <is>
          <t>PY</t>
        </is>
      </c>
      <c r="I881" s="8" t="n">
        <v>230246.741</v>
      </c>
      <c r="J881" s="6" t="inlineStr">
        <is>
          <t>MWh</t>
        </is>
      </c>
      <c r="K881" s="8" t="n">
        <v>230246.741</v>
      </c>
      <c r="L881" s="6" t="inlineStr">
        <is>
          <t>MWh</t>
        </is>
      </c>
      <c r="M881" s="6" t="inlineStr">
        <is>
          <t>ANDE</t>
        </is>
      </c>
      <c r="N881" s="6" t="inlineStr">
        <is>
          <t>OFFICIAL_PRIMARY</t>
        </is>
      </c>
      <c r="O881" s="9" t="inlineStr">
        <is>
          <t>OFFICIAL_AGGREGATE</t>
        </is>
      </c>
      <c r="P881" s="8" t="n">
        <v>1</v>
      </c>
      <c r="Q881" s="8" t="n">
        <v>40</v>
      </c>
      <c r="R881" s="7" t="inlineStr">
        <is>
          <t>https://www.ande.gov.py/estadisticas/BalanceEnergia1983-2006/CompilacionEstadistica83-06.pdf</t>
        </is>
      </c>
      <c r="S881" s="6" t="inlineStr">
        <is>
          <t>ANDE-83-06</t>
        </is>
      </c>
      <c r="T881" s="6" t="inlineStr"/>
      <c r="U881" s="4" t="inlineStr">
        <is>
          <t>2026-09-11 00:05:00</t>
        </is>
      </c>
      <c r="V881" s="4" t="inlineStr">
        <is>
          <t>Serie historica antigua; usar compilaciones posteriores para solapes cuando existan.</t>
        </is>
      </c>
    </row>
    <row r="882">
      <c r="A882" s="6" t="inlineStr">
        <is>
          <t>R0000881</t>
        </is>
      </c>
      <c r="B882" s="6" t="inlineStr">
        <is>
          <t>1985-01-01</t>
        </is>
      </c>
      <c r="C882" s="6" t="inlineStr">
        <is>
          <t>1985-12-31</t>
        </is>
      </c>
      <c r="D882" s="6" t="inlineStr">
        <is>
          <t>year</t>
        </is>
      </c>
      <c r="E882" s="6" t="inlineStr">
        <is>
          <t>ANDE_EXPORT_BILLED_ENERGY</t>
        </is>
      </c>
      <c r="F882" s="6" t="inlineStr">
        <is>
          <t>PY_SIN</t>
        </is>
      </c>
      <c r="G882" s="6" t="inlineStr">
        <is>
          <t>PY</t>
        </is>
      </c>
      <c r="H882" s="6" t="inlineStr">
        <is>
          <t>EXTERNAL</t>
        </is>
      </c>
      <c r="I882" s="8" t="n">
        <v>32063.493</v>
      </c>
      <c r="J882" s="6" t="inlineStr">
        <is>
          <t>MWh</t>
        </is>
      </c>
      <c r="K882" s="8" t="n">
        <v>32063.493</v>
      </c>
      <c r="L882" s="6" t="inlineStr">
        <is>
          <t>MWh</t>
        </is>
      </c>
      <c r="M882" s="6" t="inlineStr">
        <is>
          <t>ANDE</t>
        </is>
      </c>
      <c r="N882" s="6" t="inlineStr">
        <is>
          <t>OFFICIAL_PRIMARY</t>
        </is>
      </c>
      <c r="O882" s="9" t="inlineStr">
        <is>
          <t>OFFICIAL_AGGREGATE</t>
        </is>
      </c>
      <c r="P882" s="8" t="n">
        <v>1</v>
      </c>
      <c r="Q882" s="8" t="n">
        <v>40</v>
      </c>
      <c r="R882" s="7" t="inlineStr">
        <is>
          <t>https://www.ande.gov.py/estadisticas/BalanceEnergia1983-2006/CompilacionEstadistica83-06.pdf</t>
        </is>
      </c>
      <c r="S882" s="6" t="inlineStr">
        <is>
          <t>ANDE-83-06</t>
        </is>
      </c>
      <c r="T882" s="6" t="inlineStr"/>
      <c r="U882" s="4" t="inlineStr">
        <is>
          <t>2026-09-11 00:05:00</t>
        </is>
      </c>
      <c r="V882" s="4" t="inlineStr">
        <is>
          <t>Serie historica antigua; usar compilaciones posteriores para solapes cuando existan.</t>
        </is>
      </c>
    </row>
    <row r="883">
      <c r="A883" s="6" t="inlineStr">
        <is>
          <t>R0000882</t>
        </is>
      </c>
      <c r="B883" s="6" t="inlineStr">
        <is>
          <t>1986-01-01</t>
        </is>
      </c>
      <c r="C883" s="6" t="inlineStr">
        <is>
          <t>1986-12-31</t>
        </is>
      </c>
      <c r="D883" s="6" t="inlineStr">
        <is>
          <t>year</t>
        </is>
      </c>
      <c r="E883" s="6" t="inlineStr">
        <is>
          <t>ANDE_BILLED_NATIONAL_ENERGY</t>
        </is>
      </c>
      <c r="F883" s="6" t="inlineStr">
        <is>
          <t>PY_SIN</t>
        </is>
      </c>
      <c r="G883" s="6" t="inlineStr">
        <is>
          <t>PY</t>
        </is>
      </c>
      <c r="H883" s="6" t="inlineStr">
        <is>
          <t>PY</t>
        </is>
      </c>
      <c r="I883" s="8" t="n">
        <v>1109980.476</v>
      </c>
      <c r="J883" s="6" t="inlineStr">
        <is>
          <t>MWh</t>
        </is>
      </c>
      <c r="K883" s="8" t="n">
        <v>1109980.476</v>
      </c>
      <c r="L883" s="6" t="inlineStr">
        <is>
          <t>MWh</t>
        </is>
      </c>
      <c r="M883" s="6" t="inlineStr">
        <is>
          <t>ANDE</t>
        </is>
      </c>
      <c r="N883" s="6" t="inlineStr">
        <is>
          <t>OFFICIAL_PRIMARY</t>
        </is>
      </c>
      <c r="O883" s="9" t="inlineStr">
        <is>
          <t>OFFICIAL_AGGREGATE</t>
        </is>
      </c>
      <c r="P883" s="8" t="n">
        <v>1</v>
      </c>
      <c r="Q883" s="8" t="n">
        <v>40</v>
      </c>
      <c r="R883" s="7" t="inlineStr">
        <is>
          <t>https://www.ande.gov.py/estadisticas/BalanceEnergia1983-2006/CompilacionEstadistica83-06.pdf</t>
        </is>
      </c>
      <c r="S883" s="6" t="inlineStr">
        <is>
          <t>ANDE-83-06</t>
        </is>
      </c>
      <c r="T883" s="6" t="inlineStr"/>
      <c r="U883" s="4" t="inlineStr">
        <is>
          <t>2026-09-11 00:05:00</t>
        </is>
      </c>
      <c r="V883" s="4" t="inlineStr">
        <is>
          <t>Serie historica antigua; usar compilaciones posteriores para solapes cuando existan.</t>
        </is>
      </c>
    </row>
    <row r="884">
      <c r="A884" s="6" t="inlineStr">
        <is>
          <t>R0000883</t>
        </is>
      </c>
      <c r="B884" s="6" t="inlineStr">
        <is>
          <t>1986-01-01</t>
        </is>
      </c>
      <c r="C884" s="6" t="inlineStr">
        <is>
          <t>1986-12-31</t>
        </is>
      </c>
      <c r="D884" s="6" t="inlineStr">
        <is>
          <t>year</t>
        </is>
      </c>
      <c r="E884" s="6" t="inlineStr">
        <is>
          <t>ANDE_TOTAL_ENERGY_SOLD</t>
        </is>
      </c>
      <c r="F884" s="6" t="inlineStr">
        <is>
          <t>PY_SIN</t>
        </is>
      </c>
      <c r="G884" s="6" t="inlineStr">
        <is>
          <t>PY</t>
        </is>
      </c>
      <c r="H884" s="6" t="inlineStr">
        <is>
          <t>PY</t>
        </is>
      </c>
      <c r="I884" s="8" t="n">
        <v>1134529.616</v>
      </c>
      <c r="J884" s="6" t="inlineStr">
        <is>
          <t>MWh</t>
        </is>
      </c>
      <c r="K884" s="8" t="n">
        <v>1134529.616</v>
      </c>
      <c r="L884" s="6" t="inlineStr">
        <is>
          <t>MWh</t>
        </is>
      </c>
      <c r="M884" s="6" t="inlineStr">
        <is>
          <t>ANDE</t>
        </is>
      </c>
      <c r="N884" s="6" t="inlineStr">
        <is>
          <t>OFFICIAL_PRIMARY</t>
        </is>
      </c>
      <c r="O884" s="9" t="inlineStr">
        <is>
          <t>OFFICIAL_AGGREGATE</t>
        </is>
      </c>
      <c r="P884" s="8" t="n">
        <v>1</v>
      </c>
      <c r="Q884" s="8" t="n">
        <v>40</v>
      </c>
      <c r="R884" s="7" t="inlineStr">
        <is>
          <t>https://www.ande.gov.py/estadisticas/BalanceEnergia1983-2006/CompilacionEstadistica83-06.pdf</t>
        </is>
      </c>
      <c r="S884" s="6" t="inlineStr">
        <is>
          <t>ANDE-83-06</t>
        </is>
      </c>
      <c r="T884" s="6" t="inlineStr"/>
      <c r="U884" s="4" t="inlineStr">
        <is>
          <t>2026-09-11 00:05:00</t>
        </is>
      </c>
      <c r="V884" s="4" t="inlineStr">
        <is>
          <t>Serie historica antigua; usar compilaciones posteriores para solapes cuando existan.</t>
        </is>
      </c>
    </row>
    <row r="885">
      <c r="A885" s="6" t="inlineStr">
        <is>
          <t>R0000884</t>
        </is>
      </c>
      <c r="B885" s="6" t="inlineStr">
        <is>
          <t>1986-01-01</t>
        </is>
      </c>
      <c r="C885" s="6" t="inlineStr">
        <is>
          <t>1986-12-31</t>
        </is>
      </c>
      <c r="D885" s="6" t="inlineStr">
        <is>
          <t>year</t>
        </is>
      </c>
      <c r="E885" s="6" t="inlineStr">
        <is>
          <t>ANDE_BILLED_RESIDENTIAL_ENERGY</t>
        </is>
      </c>
      <c r="F885" s="6" t="inlineStr">
        <is>
          <t>PY_SIN</t>
        </is>
      </c>
      <c r="G885" s="6" t="inlineStr">
        <is>
          <t>PY</t>
        </is>
      </c>
      <c r="H885" s="6" t="inlineStr">
        <is>
          <t>PY</t>
        </is>
      </c>
      <c r="I885" s="8" t="n">
        <v>461227.696</v>
      </c>
      <c r="J885" s="6" t="inlineStr">
        <is>
          <t>MWh</t>
        </is>
      </c>
      <c r="K885" s="8" t="n">
        <v>461227.696</v>
      </c>
      <c r="L885" s="6" t="inlineStr">
        <is>
          <t>MWh</t>
        </is>
      </c>
      <c r="M885" s="6" t="inlineStr">
        <is>
          <t>ANDE</t>
        </is>
      </c>
      <c r="N885" s="6" t="inlineStr">
        <is>
          <t>OFFICIAL_PRIMARY</t>
        </is>
      </c>
      <c r="O885" s="9" t="inlineStr">
        <is>
          <t>OFFICIAL_AGGREGATE</t>
        </is>
      </c>
      <c r="P885" s="8" t="n">
        <v>1</v>
      </c>
      <c r="Q885" s="8" t="n">
        <v>40</v>
      </c>
      <c r="R885" s="7" t="inlineStr">
        <is>
          <t>https://www.ande.gov.py/estadisticas/BalanceEnergia1983-2006/CompilacionEstadistica83-06.pdf</t>
        </is>
      </c>
      <c r="S885" s="6" t="inlineStr">
        <is>
          <t>ANDE-83-06</t>
        </is>
      </c>
      <c r="T885" s="6" t="inlineStr"/>
      <c r="U885" s="4" t="inlineStr">
        <is>
          <t>2026-09-11 00:05:00</t>
        </is>
      </c>
      <c r="V885" s="4" t="inlineStr">
        <is>
          <t>Serie historica antigua; usar compilaciones posteriores para solapes cuando existan.</t>
        </is>
      </c>
    </row>
    <row r="886">
      <c r="A886" s="6" t="inlineStr">
        <is>
          <t>R0000885</t>
        </is>
      </c>
      <c r="B886" s="6" t="inlineStr">
        <is>
          <t>1986-01-01</t>
        </is>
      </c>
      <c r="C886" s="6" t="inlineStr">
        <is>
          <t>1986-12-31</t>
        </is>
      </c>
      <c r="D886" s="6" t="inlineStr">
        <is>
          <t>year</t>
        </is>
      </c>
      <c r="E886" s="6" t="inlineStr">
        <is>
          <t>ANDE_BILLED_INDUSTRIAL_ENERGY</t>
        </is>
      </c>
      <c r="F886" s="6" t="inlineStr">
        <is>
          <t>PY_SIN</t>
        </is>
      </c>
      <c r="G886" s="6" t="inlineStr">
        <is>
          <t>PY</t>
        </is>
      </c>
      <c r="H886" s="6" t="inlineStr">
        <is>
          <t>PY</t>
        </is>
      </c>
      <c r="I886" s="8" t="n">
        <v>211923.316</v>
      </c>
      <c r="J886" s="6" t="inlineStr">
        <is>
          <t>MWh</t>
        </is>
      </c>
      <c r="K886" s="8" t="n">
        <v>211923.316</v>
      </c>
      <c r="L886" s="6" t="inlineStr">
        <is>
          <t>MWh</t>
        </is>
      </c>
      <c r="M886" s="6" t="inlineStr">
        <is>
          <t>ANDE</t>
        </is>
      </c>
      <c r="N886" s="6" t="inlineStr">
        <is>
          <t>OFFICIAL_PRIMARY</t>
        </is>
      </c>
      <c r="O886" s="9" t="inlineStr">
        <is>
          <t>OFFICIAL_AGGREGATE</t>
        </is>
      </c>
      <c r="P886" s="8" t="n">
        <v>1</v>
      </c>
      <c r="Q886" s="8" t="n">
        <v>40</v>
      </c>
      <c r="R886" s="7" t="inlineStr">
        <is>
          <t>https://www.ande.gov.py/estadisticas/BalanceEnergia1983-2006/CompilacionEstadistica83-06.pdf</t>
        </is>
      </c>
      <c r="S886" s="6" t="inlineStr">
        <is>
          <t>ANDE-83-06</t>
        </is>
      </c>
      <c r="T886" s="6" t="inlineStr"/>
      <c r="U886" s="4" t="inlineStr">
        <is>
          <t>2026-09-11 00:05:00</t>
        </is>
      </c>
      <c r="V886" s="4" t="inlineStr">
        <is>
          <t>Serie historica antigua; usar compilaciones posteriores para solapes cuando existan.</t>
        </is>
      </c>
    </row>
    <row r="887">
      <c r="A887" s="6" t="inlineStr">
        <is>
          <t>R0000886</t>
        </is>
      </c>
      <c r="B887" s="6" t="inlineStr">
        <is>
          <t>1986-01-01</t>
        </is>
      </c>
      <c r="C887" s="6" t="inlineStr">
        <is>
          <t>1986-12-31</t>
        </is>
      </c>
      <c r="D887" s="6" t="inlineStr">
        <is>
          <t>year</t>
        </is>
      </c>
      <c r="E887" s="6" t="inlineStr">
        <is>
          <t>ANDE_BILLED_OTHER_ENERGY</t>
        </is>
      </c>
      <c r="F887" s="6" t="inlineStr">
        <is>
          <t>PY_SIN</t>
        </is>
      </c>
      <c r="G887" s="6" t="inlineStr">
        <is>
          <t>PY</t>
        </is>
      </c>
      <c r="H887" s="6" t="inlineStr">
        <is>
          <t>PY</t>
        </is>
      </c>
      <c r="I887" s="8" t="n">
        <v>260548.359</v>
      </c>
      <c r="J887" s="6" t="inlineStr">
        <is>
          <t>MWh</t>
        </is>
      </c>
      <c r="K887" s="8" t="n">
        <v>260548.359</v>
      </c>
      <c r="L887" s="6" t="inlineStr">
        <is>
          <t>MWh</t>
        </is>
      </c>
      <c r="M887" s="6" t="inlineStr">
        <is>
          <t>ANDE</t>
        </is>
      </c>
      <c r="N887" s="6" t="inlineStr">
        <is>
          <t>OFFICIAL_PRIMARY</t>
        </is>
      </c>
      <c r="O887" s="9" t="inlineStr">
        <is>
          <t>OFFICIAL_AGGREGATE</t>
        </is>
      </c>
      <c r="P887" s="8" t="n">
        <v>1</v>
      </c>
      <c r="Q887" s="8" t="n">
        <v>40</v>
      </c>
      <c r="R887" s="7" t="inlineStr">
        <is>
          <t>https://www.ande.gov.py/estadisticas/BalanceEnergia1983-2006/CompilacionEstadistica83-06.pdf</t>
        </is>
      </c>
      <c r="S887" s="6" t="inlineStr">
        <is>
          <t>ANDE-83-06</t>
        </is>
      </c>
      <c r="T887" s="6" t="inlineStr"/>
      <c r="U887" s="4" t="inlineStr">
        <is>
          <t>2026-09-11 00:05:00</t>
        </is>
      </c>
      <c r="V887" s="4" t="inlineStr">
        <is>
          <t>Serie historica antigua; usar compilaciones posteriores para solapes cuando existan.</t>
        </is>
      </c>
    </row>
    <row r="888">
      <c r="A888" s="6" t="inlineStr">
        <is>
          <t>R0000887</t>
        </is>
      </c>
      <c r="B888" s="6" t="inlineStr">
        <is>
          <t>1986-01-01</t>
        </is>
      </c>
      <c r="C888" s="6" t="inlineStr">
        <is>
          <t>1986-12-31</t>
        </is>
      </c>
      <c r="D888" s="6" t="inlineStr">
        <is>
          <t>year</t>
        </is>
      </c>
      <c r="E888" s="6" t="inlineStr">
        <is>
          <t>ANDE_EXPORT_BILLED_ENERGY</t>
        </is>
      </c>
      <c r="F888" s="6" t="inlineStr">
        <is>
          <t>PY_SIN</t>
        </is>
      </c>
      <c r="G888" s="6" t="inlineStr">
        <is>
          <t>PY</t>
        </is>
      </c>
      <c r="H888" s="6" t="inlineStr">
        <is>
          <t>EXTERNAL</t>
        </is>
      </c>
      <c r="I888" s="8" t="n">
        <v>24549.14</v>
      </c>
      <c r="J888" s="6" t="inlineStr">
        <is>
          <t>MWh</t>
        </is>
      </c>
      <c r="K888" s="8" t="n">
        <v>24549.14</v>
      </c>
      <c r="L888" s="6" t="inlineStr">
        <is>
          <t>MWh</t>
        </is>
      </c>
      <c r="M888" s="6" t="inlineStr">
        <is>
          <t>ANDE</t>
        </is>
      </c>
      <c r="N888" s="6" t="inlineStr">
        <is>
          <t>OFFICIAL_PRIMARY</t>
        </is>
      </c>
      <c r="O888" s="9" t="inlineStr">
        <is>
          <t>OFFICIAL_AGGREGATE</t>
        </is>
      </c>
      <c r="P888" s="8" t="n">
        <v>1</v>
      </c>
      <c r="Q888" s="8" t="n">
        <v>40</v>
      </c>
      <c r="R888" s="7" t="inlineStr">
        <is>
          <t>https://www.ande.gov.py/estadisticas/BalanceEnergia1983-2006/CompilacionEstadistica83-06.pdf</t>
        </is>
      </c>
      <c r="S888" s="6" t="inlineStr">
        <is>
          <t>ANDE-83-06</t>
        </is>
      </c>
      <c r="T888" s="6" t="inlineStr"/>
      <c r="U888" s="4" t="inlineStr">
        <is>
          <t>2026-09-11 00:05:00</t>
        </is>
      </c>
      <c r="V888" s="4" t="inlineStr">
        <is>
          <t>Serie historica antigua; usar compilaciones posteriores para solapes cuando existan.</t>
        </is>
      </c>
    </row>
    <row r="889">
      <c r="A889" s="6" t="inlineStr">
        <is>
          <t>R0000888</t>
        </is>
      </c>
      <c r="B889" s="6" t="inlineStr">
        <is>
          <t>1987-01-01</t>
        </is>
      </c>
      <c r="C889" s="6" t="inlineStr">
        <is>
          <t>1987-12-31</t>
        </is>
      </c>
      <c r="D889" s="6" t="inlineStr">
        <is>
          <t>year</t>
        </is>
      </c>
      <c r="E889" s="6" t="inlineStr">
        <is>
          <t>ANDE_BILLED_NATIONAL_ENERGY</t>
        </is>
      </c>
      <c r="F889" s="6" t="inlineStr">
        <is>
          <t>PY_SIN</t>
        </is>
      </c>
      <c r="G889" s="6" t="inlineStr">
        <is>
          <t>PY</t>
        </is>
      </c>
      <c r="H889" s="6" t="inlineStr">
        <is>
          <t>PY</t>
        </is>
      </c>
      <c r="I889" s="8" t="n">
        <v>1315833.442</v>
      </c>
      <c r="J889" s="6" t="inlineStr">
        <is>
          <t>MWh</t>
        </is>
      </c>
      <c r="K889" s="8" t="n">
        <v>1315833.442</v>
      </c>
      <c r="L889" s="6" t="inlineStr">
        <is>
          <t>MWh</t>
        </is>
      </c>
      <c r="M889" s="6" t="inlineStr">
        <is>
          <t>ANDE</t>
        </is>
      </c>
      <c r="N889" s="6" t="inlineStr">
        <is>
          <t>OFFICIAL_PRIMARY</t>
        </is>
      </c>
      <c r="O889" s="9" t="inlineStr">
        <is>
          <t>OFFICIAL_AGGREGATE</t>
        </is>
      </c>
      <c r="P889" s="8" t="n">
        <v>1</v>
      </c>
      <c r="Q889" s="8" t="n">
        <v>40</v>
      </c>
      <c r="R889" s="7" t="inlineStr">
        <is>
          <t>https://www.ande.gov.py/estadisticas/BalanceEnergia1983-2006/CompilacionEstadistica83-06.pdf</t>
        </is>
      </c>
      <c r="S889" s="6" t="inlineStr">
        <is>
          <t>ANDE-83-06</t>
        </is>
      </c>
      <c r="T889" s="6" t="inlineStr"/>
      <c r="U889" s="4" t="inlineStr">
        <is>
          <t>2026-09-11 00:05:00</t>
        </is>
      </c>
      <c r="V889" s="4" t="inlineStr">
        <is>
          <t>Serie historica antigua; usar compilaciones posteriores para solapes cuando existan.</t>
        </is>
      </c>
    </row>
    <row r="890">
      <c r="A890" s="6" t="inlineStr">
        <is>
          <t>R0000889</t>
        </is>
      </c>
      <c r="B890" s="6" t="inlineStr">
        <is>
          <t>1987-01-01</t>
        </is>
      </c>
      <c r="C890" s="6" t="inlineStr">
        <is>
          <t>1987-12-31</t>
        </is>
      </c>
      <c r="D890" s="6" t="inlineStr">
        <is>
          <t>year</t>
        </is>
      </c>
      <c r="E890" s="6" t="inlineStr">
        <is>
          <t>ANDE_TOTAL_ENERGY_SOLD</t>
        </is>
      </c>
      <c r="F890" s="6" t="inlineStr">
        <is>
          <t>PY_SIN</t>
        </is>
      </c>
      <c r="G890" s="6" t="inlineStr">
        <is>
          <t>PY</t>
        </is>
      </c>
      <c r="H890" s="6" t="inlineStr">
        <is>
          <t>PY</t>
        </is>
      </c>
      <c r="I890" s="8" t="n">
        <v>1457853.661</v>
      </c>
      <c r="J890" s="6" t="inlineStr">
        <is>
          <t>MWh</t>
        </is>
      </c>
      <c r="K890" s="8" t="n">
        <v>1457853.661</v>
      </c>
      <c r="L890" s="6" t="inlineStr">
        <is>
          <t>MWh</t>
        </is>
      </c>
      <c r="M890" s="6" t="inlineStr">
        <is>
          <t>ANDE</t>
        </is>
      </c>
      <c r="N890" s="6" t="inlineStr">
        <is>
          <t>OFFICIAL_PRIMARY</t>
        </is>
      </c>
      <c r="O890" s="9" t="inlineStr">
        <is>
          <t>OFFICIAL_AGGREGATE</t>
        </is>
      </c>
      <c r="P890" s="8" t="n">
        <v>1</v>
      </c>
      <c r="Q890" s="8" t="n">
        <v>40</v>
      </c>
      <c r="R890" s="7" t="inlineStr">
        <is>
          <t>https://www.ande.gov.py/estadisticas/BalanceEnergia1983-2006/CompilacionEstadistica83-06.pdf</t>
        </is>
      </c>
      <c r="S890" s="6" t="inlineStr">
        <is>
          <t>ANDE-83-06</t>
        </is>
      </c>
      <c r="T890" s="6" t="inlineStr"/>
      <c r="U890" s="4" t="inlineStr">
        <is>
          <t>2026-09-11 00:05:00</t>
        </is>
      </c>
      <c r="V890" s="4" t="inlineStr">
        <is>
          <t>Serie historica antigua; usar compilaciones posteriores para solapes cuando existan.</t>
        </is>
      </c>
    </row>
    <row r="891">
      <c r="A891" s="6" t="inlineStr">
        <is>
          <t>R0000890</t>
        </is>
      </c>
      <c r="B891" s="6" t="inlineStr">
        <is>
          <t>1987-01-01</t>
        </is>
      </c>
      <c r="C891" s="6" t="inlineStr">
        <is>
          <t>1987-12-31</t>
        </is>
      </c>
      <c r="D891" s="6" t="inlineStr">
        <is>
          <t>year</t>
        </is>
      </c>
      <c r="E891" s="6" t="inlineStr">
        <is>
          <t>ANDE_BILLED_RESIDENTIAL_ENERGY</t>
        </is>
      </c>
      <c r="F891" s="6" t="inlineStr">
        <is>
          <t>PY_SIN</t>
        </is>
      </c>
      <c r="G891" s="6" t="inlineStr">
        <is>
          <t>PY</t>
        </is>
      </c>
      <c r="H891" s="6" t="inlineStr">
        <is>
          <t>PY</t>
        </is>
      </c>
      <c r="I891" s="8" t="n">
        <v>504914.825</v>
      </c>
      <c r="J891" s="6" t="inlineStr">
        <is>
          <t>MWh</t>
        </is>
      </c>
      <c r="K891" s="8" t="n">
        <v>504914.825</v>
      </c>
      <c r="L891" s="6" t="inlineStr">
        <is>
          <t>MWh</t>
        </is>
      </c>
      <c r="M891" s="6" t="inlineStr">
        <is>
          <t>ANDE</t>
        </is>
      </c>
      <c r="N891" s="6" t="inlineStr">
        <is>
          <t>OFFICIAL_PRIMARY</t>
        </is>
      </c>
      <c r="O891" s="9" t="inlineStr">
        <is>
          <t>OFFICIAL_AGGREGATE</t>
        </is>
      </c>
      <c r="P891" s="8" t="n">
        <v>1</v>
      </c>
      <c r="Q891" s="8" t="n">
        <v>40</v>
      </c>
      <c r="R891" s="7" t="inlineStr">
        <is>
          <t>https://www.ande.gov.py/estadisticas/BalanceEnergia1983-2006/CompilacionEstadistica83-06.pdf</t>
        </is>
      </c>
      <c r="S891" s="6" t="inlineStr">
        <is>
          <t>ANDE-83-06</t>
        </is>
      </c>
      <c r="T891" s="6" t="inlineStr"/>
      <c r="U891" s="4" t="inlineStr">
        <is>
          <t>2026-09-11 00:05:00</t>
        </is>
      </c>
      <c r="V891" s="4" t="inlineStr">
        <is>
          <t>Serie historica antigua; usar compilaciones posteriores para solapes cuando existan.</t>
        </is>
      </c>
    </row>
    <row r="892">
      <c r="A892" s="6" t="inlineStr">
        <is>
          <t>R0000891</t>
        </is>
      </c>
      <c r="B892" s="6" t="inlineStr">
        <is>
          <t>1987-01-01</t>
        </is>
      </c>
      <c r="C892" s="6" t="inlineStr">
        <is>
          <t>1987-12-31</t>
        </is>
      </c>
      <c r="D892" s="6" t="inlineStr">
        <is>
          <t>year</t>
        </is>
      </c>
      <c r="E892" s="6" t="inlineStr">
        <is>
          <t>ANDE_BILLED_INDUSTRIAL_ENERGY</t>
        </is>
      </c>
      <c r="F892" s="6" t="inlineStr">
        <is>
          <t>PY_SIN</t>
        </is>
      </c>
      <c r="G892" s="6" t="inlineStr">
        <is>
          <t>PY</t>
        </is>
      </c>
      <c r="H892" s="6" t="inlineStr">
        <is>
          <t>PY</t>
        </is>
      </c>
      <c r="I892" s="8" t="n">
        <v>326236.682</v>
      </c>
      <c r="J892" s="6" t="inlineStr">
        <is>
          <t>MWh</t>
        </is>
      </c>
      <c r="K892" s="8" t="n">
        <v>326236.682</v>
      </c>
      <c r="L892" s="6" t="inlineStr">
        <is>
          <t>MWh</t>
        </is>
      </c>
      <c r="M892" s="6" t="inlineStr">
        <is>
          <t>ANDE</t>
        </is>
      </c>
      <c r="N892" s="6" t="inlineStr">
        <is>
          <t>OFFICIAL_PRIMARY</t>
        </is>
      </c>
      <c r="O892" s="9" t="inlineStr">
        <is>
          <t>OFFICIAL_AGGREGATE</t>
        </is>
      </c>
      <c r="P892" s="8" t="n">
        <v>1</v>
      </c>
      <c r="Q892" s="8" t="n">
        <v>40</v>
      </c>
      <c r="R892" s="7" t="inlineStr">
        <is>
          <t>https://www.ande.gov.py/estadisticas/BalanceEnergia1983-2006/CompilacionEstadistica83-06.pdf</t>
        </is>
      </c>
      <c r="S892" s="6" t="inlineStr">
        <is>
          <t>ANDE-83-06</t>
        </is>
      </c>
      <c r="T892" s="6" t="inlineStr"/>
      <c r="U892" s="4" t="inlineStr">
        <is>
          <t>2026-09-11 00:05:00</t>
        </is>
      </c>
      <c r="V892" s="4" t="inlineStr">
        <is>
          <t>Serie historica antigua; usar compilaciones posteriores para solapes cuando existan.</t>
        </is>
      </c>
    </row>
    <row r="893">
      <c r="A893" s="6" t="inlineStr">
        <is>
          <t>R0000892</t>
        </is>
      </c>
      <c r="B893" s="6" t="inlineStr">
        <is>
          <t>1987-01-01</t>
        </is>
      </c>
      <c r="C893" s="6" t="inlineStr">
        <is>
          <t>1987-12-31</t>
        </is>
      </c>
      <c r="D893" s="6" t="inlineStr">
        <is>
          <t>year</t>
        </is>
      </c>
      <c r="E893" s="6" t="inlineStr">
        <is>
          <t>ANDE_BILLED_OTHER_ENERGY</t>
        </is>
      </c>
      <c r="F893" s="6" t="inlineStr">
        <is>
          <t>PY_SIN</t>
        </is>
      </c>
      <c r="G893" s="6" t="inlineStr">
        <is>
          <t>PY</t>
        </is>
      </c>
      <c r="H893" s="6" t="inlineStr">
        <is>
          <t>PY</t>
        </is>
      </c>
      <c r="I893" s="8" t="n">
        <v>287718.495</v>
      </c>
      <c r="J893" s="6" t="inlineStr">
        <is>
          <t>MWh</t>
        </is>
      </c>
      <c r="K893" s="8" t="n">
        <v>287718.495</v>
      </c>
      <c r="L893" s="6" t="inlineStr">
        <is>
          <t>MWh</t>
        </is>
      </c>
      <c r="M893" s="6" t="inlineStr">
        <is>
          <t>ANDE</t>
        </is>
      </c>
      <c r="N893" s="6" t="inlineStr">
        <is>
          <t>OFFICIAL_PRIMARY</t>
        </is>
      </c>
      <c r="O893" s="9" t="inlineStr">
        <is>
          <t>OFFICIAL_AGGREGATE</t>
        </is>
      </c>
      <c r="P893" s="8" t="n">
        <v>1</v>
      </c>
      <c r="Q893" s="8" t="n">
        <v>40</v>
      </c>
      <c r="R893" s="7" t="inlineStr">
        <is>
          <t>https://www.ande.gov.py/estadisticas/BalanceEnergia1983-2006/CompilacionEstadistica83-06.pdf</t>
        </is>
      </c>
      <c r="S893" s="6" t="inlineStr">
        <is>
          <t>ANDE-83-06</t>
        </is>
      </c>
      <c r="T893" s="6" t="inlineStr"/>
      <c r="U893" s="4" t="inlineStr">
        <is>
          <t>2026-09-11 00:05:00</t>
        </is>
      </c>
      <c r="V893" s="4" t="inlineStr">
        <is>
          <t>Serie historica antigua; usar compilaciones posteriores para solapes cuando existan.</t>
        </is>
      </c>
    </row>
    <row r="894">
      <c r="A894" s="6" t="inlineStr">
        <is>
          <t>R0000893</t>
        </is>
      </c>
      <c r="B894" s="6" t="inlineStr">
        <is>
          <t>1987-01-01</t>
        </is>
      </c>
      <c r="C894" s="6" t="inlineStr">
        <is>
          <t>1987-12-31</t>
        </is>
      </c>
      <c r="D894" s="6" t="inlineStr">
        <is>
          <t>year</t>
        </is>
      </c>
      <c r="E894" s="6" t="inlineStr">
        <is>
          <t>ANDE_EXPORT_BILLED_ENERGY</t>
        </is>
      </c>
      <c r="F894" s="6" t="inlineStr">
        <is>
          <t>PY_SIN</t>
        </is>
      </c>
      <c r="G894" s="6" t="inlineStr">
        <is>
          <t>PY</t>
        </is>
      </c>
      <c r="H894" s="6" t="inlineStr">
        <is>
          <t>EXTERNAL</t>
        </is>
      </c>
      <c r="I894" s="8" t="n">
        <v>142020.219</v>
      </c>
      <c r="J894" s="6" t="inlineStr">
        <is>
          <t>MWh</t>
        </is>
      </c>
      <c r="K894" s="8" t="n">
        <v>142020.219</v>
      </c>
      <c r="L894" s="6" t="inlineStr">
        <is>
          <t>MWh</t>
        </is>
      </c>
      <c r="M894" s="6" t="inlineStr">
        <is>
          <t>ANDE</t>
        </is>
      </c>
      <c r="N894" s="6" t="inlineStr">
        <is>
          <t>OFFICIAL_PRIMARY</t>
        </is>
      </c>
      <c r="O894" s="9" t="inlineStr">
        <is>
          <t>OFFICIAL_AGGREGATE</t>
        </is>
      </c>
      <c r="P894" s="8" t="n">
        <v>1</v>
      </c>
      <c r="Q894" s="8" t="n">
        <v>40</v>
      </c>
      <c r="R894" s="7" t="inlineStr">
        <is>
          <t>https://www.ande.gov.py/estadisticas/BalanceEnergia1983-2006/CompilacionEstadistica83-06.pdf</t>
        </is>
      </c>
      <c r="S894" s="6" t="inlineStr">
        <is>
          <t>ANDE-83-06</t>
        </is>
      </c>
      <c r="T894" s="6" t="inlineStr"/>
      <c r="U894" s="4" t="inlineStr">
        <is>
          <t>2026-09-11 00:05:00</t>
        </is>
      </c>
      <c r="V894" s="4" t="inlineStr">
        <is>
          <t>Serie historica antigua; usar compilaciones posteriores para solapes cuando existan.</t>
        </is>
      </c>
    </row>
    <row r="895">
      <c r="A895" s="6" t="inlineStr">
        <is>
          <t>R0000894</t>
        </is>
      </c>
      <c r="B895" s="6" t="inlineStr">
        <is>
          <t>1988-01-01</t>
        </is>
      </c>
      <c r="C895" s="6" t="inlineStr">
        <is>
          <t>1988-12-31</t>
        </is>
      </c>
      <c r="D895" s="6" t="inlineStr">
        <is>
          <t>year</t>
        </is>
      </c>
      <c r="E895" s="6" t="inlineStr">
        <is>
          <t>ANDE_BILLED_NATIONAL_ENERGY</t>
        </is>
      </c>
      <c r="F895" s="6" t="inlineStr">
        <is>
          <t>PY_SIN</t>
        </is>
      </c>
      <c r="G895" s="6" t="inlineStr">
        <is>
          <t>PY</t>
        </is>
      </c>
      <c r="H895" s="6" t="inlineStr">
        <is>
          <t>PY</t>
        </is>
      </c>
      <c r="I895" s="8" t="n">
        <v>1579923.281</v>
      </c>
      <c r="J895" s="6" t="inlineStr">
        <is>
          <t>MWh</t>
        </is>
      </c>
      <c r="K895" s="8" t="n">
        <v>1579923.281</v>
      </c>
      <c r="L895" s="6" t="inlineStr">
        <is>
          <t>MWh</t>
        </is>
      </c>
      <c r="M895" s="6" t="inlineStr">
        <is>
          <t>ANDE</t>
        </is>
      </c>
      <c r="N895" s="6" t="inlineStr">
        <is>
          <t>OFFICIAL_PRIMARY</t>
        </is>
      </c>
      <c r="O895" s="9" t="inlineStr">
        <is>
          <t>OFFICIAL_AGGREGATE</t>
        </is>
      </c>
      <c r="P895" s="8" t="n">
        <v>1</v>
      </c>
      <c r="Q895" s="8" t="n">
        <v>40</v>
      </c>
      <c r="R895" s="7" t="inlineStr">
        <is>
          <t>https://www.ande.gov.py/estadisticas/BalanceEnergia1983-2006/CompilacionEstadistica83-06.pdf</t>
        </is>
      </c>
      <c r="S895" s="6" t="inlineStr">
        <is>
          <t>ANDE-83-06</t>
        </is>
      </c>
      <c r="T895" s="6" t="inlineStr"/>
      <c r="U895" s="4" t="inlineStr">
        <is>
          <t>2026-09-11 00:05:00</t>
        </is>
      </c>
      <c r="V895" s="4" t="inlineStr">
        <is>
          <t>Serie historica antigua; usar compilaciones posteriores para solapes cuando existan.</t>
        </is>
      </c>
    </row>
    <row r="896">
      <c r="A896" s="6" t="inlineStr">
        <is>
          <t>R0000895</t>
        </is>
      </c>
      <c r="B896" s="6" t="inlineStr">
        <is>
          <t>1988-01-01</t>
        </is>
      </c>
      <c r="C896" s="6" t="inlineStr">
        <is>
          <t>1988-12-31</t>
        </is>
      </c>
      <c r="D896" s="6" t="inlineStr">
        <is>
          <t>year</t>
        </is>
      </c>
      <c r="E896" s="6" t="inlineStr">
        <is>
          <t>ANDE_TOTAL_ENERGY_SOLD</t>
        </is>
      </c>
      <c r="F896" s="6" t="inlineStr">
        <is>
          <t>PY_SIN</t>
        </is>
      </c>
      <c r="G896" s="6" t="inlineStr">
        <is>
          <t>PY</t>
        </is>
      </c>
      <c r="H896" s="6" t="inlineStr">
        <is>
          <t>PY</t>
        </is>
      </c>
      <c r="I896" s="8" t="n">
        <v>1818308.731</v>
      </c>
      <c r="J896" s="6" t="inlineStr">
        <is>
          <t>MWh</t>
        </is>
      </c>
      <c r="K896" s="8" t="n">
        <v>1818308.731</v>
      </c>
      <c r="L896" s="6" t="inlineStr">
        <is>
          <t>MWh</t>
        </is>
      </c>
      <c r="M896" s="6" t="inlineStr">
        <is>
          <t>ANDE</t>
        </is>
      </c>
      <c r="N896" s="6" t="inlineStr">
        <is>
          <t>OFFICIAL_PRIMARY</t>
        </is>
      </c>
      <c r="O896" s="9" t="inlineStr">
        <is>
          <t>OFFICIAL_AGGREGATE</t>
        </is>
      </c>
      <c r="P896" s="8" t="n">
        <v>1</v>
      </c>
      <c r="Q896" s="8" t="n">
        <v>40</v>
      </c>
      <c r="R896" s="7" t="inlineStr">
        <is>
          <t>https://www.ande.gov.py/estadisticas/BalanceEnergia1983-2006/CompilacionEstadistica83-06.pdf</t>
        </is>
      </c>
      <c r="S896" s="6" t="inlineStr">
        <is>
          <t>ANDE-83-06</t>
        </is>
      </c>
      <c r="T896" s="6" t="inlineStr"/>
      <c r="U896" s="4" t="inlineStr">
        <is>
          <t>2026-09-11 00:05:00</t>
        </is>
      </c>
      <c r="V896" s="4" t="inlineStr">
        <is>
          <t>Serie historica antigua; usar compilaciones posteriores para solapes cuando existan.</t>
        </is>
      </c>
    </row>
    <row r="897">
      <c r="A897" s="6" t="inlineStr">
        <is>
          <t>R0000896</t>
        </is>
      </c>
      <c r="B897" s="6" t="inlineStr">
        <is>
          <t>1988-01-01</t>
        </is>
      </c>
      <c r="C897" s="6" t="inlineStr">
        <is>
          <t>1988-12-31</t>
        </is>
      </c>
      <c r="D897" s="6" t="inlineStr">
        <is>
          <t>year</t>
        </is>
      </c>
      <c r="E897" s="6" t="inlineStr">
        <is>
          <t>ANDE_BILLED_RESIDENTIAL_ENERGY</t>
        </is>
      </c>
      <c r="F897" s="6" t="inlineStr">
        <is>
          <t>PY_SIN</t>
        </is>
      </c>
      <c r="G897" s="6" t="inlineStr">
        <is>
          <t>PY</t>
        </is>
      </c>
      <c r="H897" s="6" t="inlineStr">
        <is>
          <t>PY</t>
        </is>
      </c>
      <c r="I897" s="8" t="n">
        <v>566682.773</v>
      </c>
      <c r="J897" s="6" t="inlineStr">
        <is>
          <t>MWh</t>
        </is>
      </c>
      <c r="K897" s="8" t="n">
        <v>566682.773</v>
      </c>
      <c r="L897" s="6" t="inlineStr">
        <is>
          <t>MWh</t>
        </is>
      </c>
      <c r="M897" s="6" t="inlineStr">
        <is>
          <t>ANDE</t>
        </is>
      </c>
      <c r="N897" s="6" t="inlineStr">
        <is>
          <t>OFFICIAL_PRIMARY</t>
        </is>
      </c>
      <c r="O897" s="9" t="inlineStr">
        <is>
          <t>OFFICIAL_AGGREGATE</t>
        </is>
      </c>
      <c r="P897" s="8" t="n">
        <v>1</v>
      </c>
      <c r="Q897" s="8" t="n">
        <v>40</v>
      </c>
      <c r="R897" s="7" t="inlineStr">
        <is>
          <t>https://www.ande.gov.py/estadisticas/BalanceEnergia1983-2006/CompilacionEstadistica83-06.pdf</t>
        </is>
      </c>
      <c r="S897" s="6" t="inlineStr">
        <is>
          <t>ANDE-83-06</t>
        </is>
      </c>
      <c r="T897" s="6" t="inlineStr"/>
      <c r="U897" s="4" t="inlineStr">
        <is>
          <t>2026-09-11 00:05:00</t>
        </is>
      </c>
      <c r="V897" s="4" t="inlineStr">
        <is>
          <t>Serie historica antigua; usar compilaciones posteriores para solapes cuando existan.</t>
        </is>
      </c>
    </row>
    <row r="898">
      <c r="A898" s="6" t="inlineStr">
        <is>
          <t>R0000897</t>
        </is>
      </c>
      <c r="B898" s="6" t="inlineStr">
        <is>
          <t>1988-01-01</t>
        </is>
      </c>
      <c r="C898" s="6" t="inlineStr">
        <is>
          <t>1988-12-31</t>
        </is>
      </c>
      <c r="D898" s="6" t="inlineStr">
        <is>
          <t>year</t>
        </is>
      </c>
      <c r="E898" s="6" t="inlineStr">
        <is>
          <t>ANDE_BILLED_INDUSTRIAL_ENERGY</t>
        </is>
      </c>
      <c r="F898" s="6" t="inlineStr">
        <is>
          <t>PY_SIN</t>
        </is>
      </c>
      <c r="G898" s="6" t="inlineStr">
        <is>
          <t>PY</t>
        </is>
      </c>
      <c r="H898" s="6" t="inlineStr">
        <is>
          <t>PY</t>
        </is>
      </c>
      <c r="I898" s="8" t="n">
        <v>392952.126</v>
      </c>
      <c r="J898" s="6" t="inlineStr">
        <is>
          <t>MWh</t>
        </is>
      </c>
      <c r="K898" s="8" t="n">
        <v>392952.126</v>
      </c>
      <c r="L898" s="6" t="inlineStr">
        <is>
          <t>MWh</t>
        </is>
      </c>
      <c r="M898" s="6" t="inlineStr">
        <is>
          <t>ANDE</t>
        </is>
      </c>
      <c r="N898" s="6" t="inlineStr">
        <is>
          <t>OFFICIAL_PRIMARY</t>
        </is>
      </c>
      <c r="O898" s="9" t="inlineStr">
        <is>
          <t>OFFICIAL_AGGREGATE</t>
        </is>
      </c>
      <c r="P898" s="8" t="n">
        <v>1</v>
      </c>
      <c r="Q898" s="8" t="n">
        <v>40</v>
      </c>
      <c r="R898" s="7" t="inlineStr">
        <is>
          <t>https://www.ande.gov.py/estadisticas/BalanceEnergia1983-2006/CompilacionEstadistica83-06.pdf</t>
        </is>
      </c>
      <c r="S898" s="6" t="inlineStr">
        <is>
          <t>ANDE-83-06</t>
        </is>
      </c>
      <c r="T898" s="6" t="inlineStr"/>
      <c r="U898" s="4" t="inlineStr">
        <is>
          <t>2026-09-11 00:05:00</t>
        </is>
      </c>
      <c r="V898" s="4" t="inlineStr">
        <is>
          <t>Serie historica antigua; usar compilaciones posteriores para solapes cuando existan.</t>
        </is>
      </c>
    </row>
    <row r="899">
      <c r="A899" s="6" t="inlineStr">
        <is>
          <t>R0000898</t>
        </is>
      </c>
      <c r="B899" s="6" t="inlineStr">
        <is>
          <t>1988-01-01</t>
        </is>
      </c>
      <c r="C899" s="6" t="inlineStr">
        <is>
          <t>1988-12-31</t>
        </is>
      </c>
      <c r="D899" s="6" t="inlineStr">
        <is>
          <t>year</t>
        </is>
      </c>
      <c r="E899" s="6" t="inlineStr">
        <is>
          <t>ANDE_BILLED_OTHER_ENERGY</t>
        </is>
      </c>
      <c r="F899" s="6" t="inlineStr">
        <is>
          <t>PY_SIN</t>
        </is>
      </c>
      <c r="G899" s="6" t="inlineStr">
        <is>
          <t>PY</t>
        </is>
      </c>
      <c r="H899" s="6" t="inlineStr">
        <is>
          <t>PY</t>
        </is>
      </c>
      <c r="I899" s="8" t="n">
        <v>317609.536</v>
      </c>
      <c r="J899" s="6" t="inlineStr">
        <is>
          <t>MWh</t>
        </is>
      </c>
      <c r="K899" s="8" t="n">
        <v>317609.536</v>
      </c>
      <c r="L899" s="6" t="inlineStr">
        <is>
          <t>MWh</t>
        </is>
      </c>
      <c r="M899" s="6" t="inlineStr">
        <is>
          <t>ANDE</t>
        </is>
      </c>
      <c r="N899" s="6" t="inlineStr">
        <is>
          <t>OFFICIAL_PRIMARY</t>
        </is>
      </c>
      <c r="O899" s="9" t="inlineStr">
        <is>
          <t>OFFICIAL_AGGREGATE</t>
        </is>
      </c>
      <c r="P899" s="8" t="n">
        <v>1</v>
      </c>
      <c r="Q899" s="8" t="n">
        <v>40</v>
      </c>
      <c r="R899" s="7" t="inlineStr">
        <is>
          <t>https://www.ande.gov.py/estadisticas/BalanceEnergia1983-2006/CompilacionEstadistica83-06.pdf</t>
        </is>
      </c>
      <c r="S899" s="6" t="inlineStr">
        <is>
          <t>ANDE-83-06</t>
        </is>
      </c>
      <c r="T899" s="6" t="inlineStr"/>
      <c r="U899" s="4" t="inlineStr">
        <is>
          <t>2026-09-11 00:05:00</t>
        </is>
      </c>
      <c r="V899" s="4" t="inlineStr">
        <is>
          <t>Serie historica antigua; usar compilaciones posteriores para solapes cuando existan.</t>
        </is>
      </c>
    </row>
    <row r="900">
      <c r="A900" s="6" t="inlineStr">
        <is>
          <t>R0000899</t>
        </is>
      </c>
      <c r="B900" s="6" t="inlineStr">
        <is>
          <t>1988-01-01</t>
        </is>
      </c>
      <c r="C900" s="6" t="inlineStr">
        <is>
          <t>1988-12-31</t>
        </is>
      </c>
      <c r="D900" s="6" t="inlineStr">
        <is>
          <t>year</t>
        </is>
      </c>
      <c r="E900" s="6" t="inlineStr">
        <is>
          <t>ANDE_EXPORT_BILLED_ENERGY</t>
        </is>
      </c>
      <c r="F900" s="6" t="inlineStr">
        <is>
          <t>PY_SIN</t>
        </is>
      </c>
      <c r="G900" s="6" t="inlineStr">
        <is>
          <t>PY</t>
        </is>
      </c>
      <c r="H900" s="6" t="inlineStr">
        <is>
          <t>EXTERNAL</t>
        </is>
      </c>
      <c r="I900" s="8" t="n">
        <v>238385.45</v>
      </c>
      <c r="J900" s="6" t="inlineStr">
        <is>
          <t>MWh</t>
        </is>
      </c>
      <c r="K900" s="8" t="n">
        <v>238385.45</v>
      </c>
      <c r="L900" s="6" t="inlineStr">
        <is>
          <t>MWh</t>
        </is>
      </c>
      <c r="M900" s="6" t="inlineStr">
        <is>
          <t>ANDE</t>
        </is>
      </c>
      <c r="N900" s="6" t="inlineStr">
        <is>
          <t>OFFICIAL_PRIMARY</t>
        </is>
      </c>
      <c r="O900" s="9" t="inlineStr">
        <is>
          <t>OFFICIAL_AGGREGATE</t>
        </is>
      </c>
      <c r="P900" s="8" t="n">
        <v>1</v>
      </c>
      <c r="Q900" s="8" t="n">
        <v>40</v>
      </c>
      <c r="R900" s="7" t="inlineStr">
        <is>
          <t>https://www.ande.gov.py/estadisticas/BalanceEnergia1983-2006/CompilacionEstadistica83-06.pdf</t>
        </is>
      </c>
      <c r="S900" s="6" t="inlineStr">
        <is>
          <t>ANDE-83-06</t>
        </is>
      </c>
      <c r="T900" s="6" t="inlineStr"/>
      <c r="U900" s="4" t="inlineStr">
        <is>
          <t>2026-09-11 00:05:00</t>
        </is>
      </c>
      <c r="V900" s="4" t="inlineStr">
        <is>
          <t>Serie historica antigua; usar compilaciones posteriores para solapes cuando existan.</t>
        </is>
      </c>
    </row>
    <row r="901">
      <c r="A901" s="6" t="inlineStr">
        <is>
          <t>R0000900</t>
        </is>
      </c>
      <c r="B901" s="6" t="inlineStr">
        <is>
          <t>1989-01-01</t>
        </is>
      </c>
      <c r="C901" s="6" t="inlineStr">
        <is>
          <t>1989-12-31</t>
        </is>
      </c>
      <c r="D901" s="6" t="inlineStr">
        <is>
          <t>year</t>
        </is>
      </c>
      <c r="E901" s="6" t="inlineStr">
        <is>
          <t>ANDE_BILLED_NATIONAL_ENERGY</t>
        </is>
      </c>
      <c r="F901" s="6" t="inlineStr">
        <is>
          <t>PY_SIN</t>
        </is>
      </c>
      <c r="G901" s="6" t="inlineStr">
        <is>
          <t>PY</t>
        </is>
      </c>
      <c r="H901" s="6" t="inlineStr">
        <is>
          <t>PY</t>
        </is>
      </c>
      <c r="I901" s="8" t="n">
        <v>1606633.549</v>
      </c>
      <c r="J901" s="6" t="inlineStr">
        <is>
          <t>MWh</t>
        </is>
      </c>
      <c r="K901" s="8" t="n">
        <v>1606633.549</v>
      </c>
      <c r="L901" s="6" t="inlineStr">
        <is>
          <t>MWh</t>
        </is>
      </c>
      <c r="M901" s="6" t="inlineStr">
        <is>
          <t>ANDE</t>
        </is>
      </c>
      <c r="N901" s="6" t="inlineStr">
        <is>
          <t>OFFICIAL_PRIMARY</t>
        </is>
      </c>
      <c r="O901" s="9" t="inlineStr">
        <is>
          <t>OFFICIAL_AGGREGATE</t>
        </is>
      </c>
      <c r="P901" s="8" t="n">
        <v>1</v>
      </c>
      <c r="Q901" s="8" t="n">
        <v>40</v>
      </c>
      <c r="R901" s="7" t="inlineStr">
        <is>
          <t>https://www.ande.gov.py/estadisticas/BalanceEnergia1983-2006/CompilacionEstadistica83-06.pdf</t>
        </is>
      </c>
      <c r="S901" s="6" t="inlineStr">
        <is>
          <t>ANDE-83-06</t>
        </is>
      </c>
      <c r="T901" s="6" t="inlineStr"/>
      <c r="U901" s="4" t="inlineStr">
        <is>
          <t>2026-09-11 00:05:00</t>
        </is>
      </c>
      <c r="V901" s="4" t="inlineStr">
        <is>
          <t>Serie historica antigua; usar compilaciones posteriores para solapes cuando existan.</t>
        </is>
      </c>
    </row>
    <row r="902">
      <c r="A902" s="6" t="inlineStr">
        <is>
          <t>R0000901</t>
        </is>
      </c>
      <c r="B902" s="6" t="inlineStr">
        <is>
          <t>1989-01-01</t>
        </is>
      </c>
      <c r="C902" s="6" t="inlineStr">
        <is>
          <t>1989-12-31</t>
        </is>
      </c>
      <c r="D902" s="6" t="inlineStr">
        <is>
          <t>year</t>
        </is>
      </c>
      <c r="E902" s="6" t="inlineStr">
        <is>
          <t>ANDE_TOTAL_ENERGY_SOLD</t>
        </is>
      </c>
      <c r="F902" s="6" t="inlineStr">
        <is>
          <t>PY_SIN</t>
        </is>
      </c>
      <c r="G902" s="6" t="inlineStr">
        <is>
          <t>PY</t>
        </is>
      </c>
      <c r="H902" s="6" t="inlineStr">
        <is>
          <t>PY</t>
        </is>
      </c>
      <c r="I902" s="8" t="n">
        <v>1867202.635</v>
      </c>
      <c r="J902" s="6" t="inlineStr">
        <is>
          <t>MWh</t>
        </is>
      </c>
      <c r="K902" s="8" t="n">
        <v>1867202.635</v>
      </c>
      <c r="L902" s="6" t="inlineStr">
        <is>
          <t>MWh</t>
        </is>
      </c>
      <c r="M902" s="6" t="inlineStr">
        <is>
          <t>ANDE</t>
        </is>
      </c>
      <c r="N902" s="6" t="inlineStr">
        <is>
          <t>OFFICIAL_PRIMARY</t>
        </is>
      </c>
      <c r="O902" s="9" t="inlineStr">
        <is>
          <t>OFFICIAL_AGGREGATE</t>
        </is>
      </c>
      <c r="P902" s="8" t="n">
        <v>1</v>
      </c>
      <c r="Q902" s="8" t="n">
        <v>40</v>
      </c>
      <c r="R902" s="7" t="inlineStr">
        <is>
          <t>https://www.ande.gov.py/estadisticas/BalanceEnergia1983-2006/CompilacionEstadistica83-06.pdf</t>
        </is>
      </c>
      <c r="S902" s="6" t="inlineStr">
        <is>
          <t>ANDE-83-06</t>
        </is>
      </c>
      <c r="T902" s="6" t="inlineStr"/>
      <c r="U902" s="4" t="inlineStr">
        <is>
          <t>2026-09-11 00:05:00</t>
        </is>
      </c>
      <c r="V902" s="4" t="inlineStr">
        <is>
          <t>Serie historica antigua; usar compilaciones posteriores para solapes cuando existan.</t>
        </is>
      </c>
    </row>
    <row r="903">
      <c r="A903" s="6" t="inlineStr">
        <is>
          <t>R0000902</t>
        </is>
      </c>
      <c r="B903" s="6" t="inlineStr">
        <is>
          <t>1989-01-01</t>
        </is>
      </c>
      <c r="C903" s="6" t="inlineStr">
        <is>
          <t>1989-12-31</t>
        </is>
      </c>
      <c r="D903" s="6" t="inlineStr">
        <is>
          <t>year</t>
        </is>
      </c>
      <c r="E903" s="6" t="inlineStr">
        <is>
          <t>ANDE_BILLED_RESIDENTIAL_ENERGY</t>
        </is>
      </c>
      <c r="F903" s="6" t="inlineStr">
        <is>
          <t>PY_SIN</t>
        </is>
      </c>
      <c r="G903" s="6" t="inlineStr">
        <is>
          <t>PY</t>
        </is>
      </c>
      <c r="H903" s="6" t="inlineStr">
        <is>
          <t>PY</t>
        </is>
      </c>
      <c r="I903" s="8" t="n">
        <v>580781.172</v>
      </c>
      <c r="J903" s="6" t="inlineStr">
        <is>
          <t>MWh</t>
        </is>
      </c>
      <c r="K903" s="8" t="n">
        <v>580781.172</v>
      </c>
      <c r="L903" s="6" t="inlineStr">
        <is>
          <t>MWh</t>
        </is>
      </c>
      <c r="M903" s="6" t="inlineStr">
        <is>
          <t>ANDE</t>
        </is>
      </c>
      <c r="N903" s="6" t="inlineStr">
        <is>
          <t>OFFICIAL_PRIMARY</t>
        </is>
      </c>
      <c r="O903" s="9" t="inlineStr">
        <is>
          <t>OFFICIAL_AGGREGATE</t>
        </is>
      </c>
      <c r="P903" s="8" t="n">
        <v>1</v>
      </c>
      <c r="Q903" s="8" t="n">
        <v>40</v>
      </c>
      <c r="R903" s="7" t="inlineStr">
        <is>
          <t>https://www.ande.gov.py/estadisticas/BalanceEnergia1983-2006/CompilacionEstadistica83-06.pdf</t>
        </is>
      </c>
      <c r="S903" s="6" t="inlineStr">
        <is>
          <t>ANDE-83-06</t>
        </is>
      </c>
      <c r="T903" s="6" t="inlineStr"/>
      <c r="U903" s="4" t="inlineStr">
        <is>
          <t>2026-09-11 00:05:00</t>
        </is>
      </c>
      <c r="V903" s="4" t="inlineStr">
        <is>
          <t>Serie historica antigua; usar compilaciones posteriores para solapes cuando existan.</t>
        </is>
      </c>
    </row>
    <row r="904">
      <c r="A904" s="6" t="inlineStr">
        <is>
          <t>R0000903</t>
        </is>
      </c>
      <c r="B904" s="6" t="inlineStr">
        <is>
          <t>1989-01-01</t>
        </is>
      </c>
      <c r="C904" s="6" t="inlineStr">
        <is>
          <t>1989-12-31</t>
        </is>
      </c>
      <c r="D904" s="6" t="inlineStr">
        <is>
          <t>year</t>
        </is>
      </c>
      <c r="E904" s="6" t="inlineStr">
        <is>
          <t>ANDE_BILLED_INDUSTRIAL_ENERGY</t>
        </is>
      </c>
      <c r="F904" s="6" t="inlineStr">
        <is>
          <t>PY_SIN</t>
        </is>
      </c>
      <c r="G904" s="6" t="inlineStr">
        <is>
          <t>PY</t>
        </is>
      </c>
      <c r="H904" s="6" t="inlineStr">
        <is>
          <t>PY</t>
        </is>
      </c>
      <c r="I904" s="8" t="n">
        <v>450567.409</v>
      </c>
      <c r="J904" s="6" t="inlineStr">
        <is>
          <t>MWh</t>
        </is>
      </c>
      <c r="K904" s="8" t="n">
        <v>450567.409</v>
      </c>
      <c r="L904" s="6" t="inlineStr">
        <is>
          <t>MWh</t>
        </is>
      </c>
      <c r="M904" s="6" t="inlineStr">
        <is>
          <t>ANDE</t>
        </is>
      </c>
      <c r="N904" s="6" t="inlineStr">
        <is>
          <t>OFFICIAL_PRIMARY</t>
        </is>
      </c>
      <c r="O904" s="9" t="inlineStr">
        <is>
          <t>OFFICIAL_AGGREGATE</t>
        </is>
      </c>
      <c r="P904" s="8" t="n">
        <v>1</v>
      </c>
      <c r="Q904" s="8" t="n">
        <v>40</v>
      </c>
      <c r="R904" s="7" t="inlineStr">
        <is>
          <t>https://www.ande.gov.py/estadisticas/BalanceEnergia1983-2006/CompilacionEstadistica83-06.pdf</t>
        </is>
      </c>
      <c r="S904" s="6" t="inlineStr">
        <is>
          <t>ANDE-83-06</t>
        </is>
      </c>
      <c r="T904" s="6" t="inlineStr"/>
      <c r="U904" s="4" t="inlineStr">
        <is>
          <t>2026-09-11 00:05:00</t>
        </is>
      </c>
      <c r="V904" s="4" t="inlineStr">
        <is>
          <t>Serie historica antigua; usar compilaciones posteriores para solapes cuando existan.</t>
        </is>
      </c>
    </row>
    <row r="905">
      <c r="A905" s="6" t="inlineStr">
        <is>
          <t>R0000904</t>
        </is>
      </c>
      <c r="B905" s="6" t="inlineStr">
        <is>
          <t>1989-01-01</t>
        </is>
      </c>
      <c r="C905" s="6" t="inlineStr">
        <is>
          <t>1989-12-31</t>
        </is>
      </c>
      <c r="D905" s="6" t="inlineStr">
        <is>
          <t>year</t>
        </is>
      </c>
      <c r="E905" s="6" t="inlineStr">
        <is>
          <t>ANDE_BILLED_OTHER_ENERGY</t>
        </is>
      </c>
      <c r="F905" s="6" t="inlineStr">
        <is>
          <t>PY_SIN</t>
        </is>
      </c>
      <c r="G905" s="6" t="inlineStr">
        <is>
          <t>PY</t>
        </is>
      </c>
      <c r="H905" s="6" t="inlineStr">
        <is>
          <t>PY</t>
        </is>
      </c>
      <c r="I905" s="8" t="n">
        <v>332414.7</v>
      </c>
      <c r="J905" s="6" t="inlineStr">
        <is>
          <t>MWh</t>
        </is>
      </c>
      <c r="K905" s="8" t="n">
        <v>332414.7</v>
      </c>
      <c r="L905" s="6" t="inlineStr">
        <is>
          <t>MWh</t>
        </is>
      </c>
      <c r="M905" s="6" t="inlineStr">
        <is>
          <t>ANDE</t>
        </is>
      </c>
      <c r="N905" s="6" t="inlineStr">
        <is>
          <t>OFFICIAL_PRIMARY</t>
        </is>
      </c>
      <c r="O905" s="9" t="inlineStr">
        <is>
          <t>OFFICIAL_AGGREGATE</t>
        </is>
      </c>
      <c r="P905" s="8" t="n">
        <v>1</v>
      </c>
      <c r="Q905" s="8" t="n">
        <v>40</v>
      </c>
      <c r="R905" s="7" t="inlineStr">
        <is>
          <t>https://www.ande.gov.py/estadisticas/BalanceEnergia1983-2006/CompilacionEstadistica83-06.pdf</t>
        </is>
      </c>
      <c r="S905" s="6" t="inlineStr">
        <is>
          <t>ANDE-83-06</t>
        </is>
      </c>
      <c r="T905" s="6" t="inlineStr"/>
      <c r="U905" s="4" t="inlineStr">
        <is>
          <t>2026-09-11 00:05:00</t>
        </is>
      </c>
      <c r="V905" s="4" t="inlineStr">
        <is>
          <t>Serie historica antigua; usar compilaciones posteriores para solapes cuando existan.</t>
        </is>
      </c>
    </row>
    <row r="906">
      <c r="A906" s="6" t="inlineStr">
        <is>
          <t>R0000905</t>
        </is>
      </c>
      <c r="B906" s="6" t="inlineStr">
        <is>
          <t>1989-01-01</t>
        </is>
      </c>
      <c r="C906" s="6" t="inlineStr">
        <is>
          <t>1989-12-31</t>
        </is>
      </c>
      <c r="D906" s="6" t="inlineStr">
        <is>
          <t>year</t>
        </is>
      </c>
      <c r="E906" s="6" t="inlineStr">
        <is>
          <t>ANDE_EXPORT_BILLED_ENERGY</t>
        </is>
      </c>
      <c r="F906" s="6" t="inlineStr">
        <is>
          <t>PY_SIN</t>
        </is>
      </c>
      <c r="G906" s="6" t="inlineStr">
        <is>
          <t>PY</t>
        </is>
      </c>
      <c r="H906" s="6" t="inlineStr">
        <is>
          <t>EXTERNAL</t>
        </is>
      </c>
      <c r="I906" s="8" t="n">
        <v>260569.086</v>
      </c>
      <c r="J906" s="6" t="inlineStr">
        <is>
          <t>MWh</t>
        </is>
      </c>
      <c r="K906" s="8" t="n">
        <v>260569.086</v>
      </c>
      <c r="L906" s="6" t="inlineStr">
        <is>
          <t>MWh</t>
        </is>
      </c>
      <c r="M906" s="6" t="inlineStr">
        <is>
          <t>ANDE</t>
        </is>
      </c>
      <c r="N906" s="6" t="inlineStr">
        <is>
          <t>OFFICIAL_PRIMARY</t>
        </is>
      </c>
      <c r="O906" s="9" t="inlineStr">
        <is>
          <t>OFFICIAL_AGGREGATE</t>
        </is>
      </c>
      <c r="P906" s="8" t="n">
        <v>1</v>
      </c>
      <c r="Q906" s="8" t="n">
        <v>40</v>
      </c>
      <c r="R906" s="7" t="inlineStr">
        <is>
          <t>https://www.ande.gov.py/estadisticas/BalanceEnergia1983-2006/CompilacionEstadistica83-06.pdf</t>
        </is>
      </c>
      <c r="S906" s="6" t="inlineStr">
        <is>
          <t>ANDE-83-06</t>
        </is>
      </c>
      <c r="T906" s="6" t="inlineStr"/>
      <c r="U906" s="4" t="inlineStr">
        <is>
          <t>2026-09-11 00:05:00</t>
        </is>
      </c>
      <c r="V906" s="4" t="inlineStr">
        <is>
          <t>Serie historica antigua; usar compilaciones posteriores para solapes cuando existan.</t>
        </is>
      </c>
    </row>
    <row r="907">
      <c r="A907" s="6" t="inlineStr">
        <is>
          <t>R0000906</t>
        </is>
      </c>
      <c r="B907" s="6" t="inlineStr">
        <is>
          <t>1990-01-01</t>
        </is>
      </c>
      <c r="C907" s="6" t="inlineStr">
        <is>
          <t>1990-12-31</t>
        </is>
      </c>
      <c r="D907" s="6" t="inlineStr">
        <is>
          <t>year</t>
        </is>
      </c>
      <c r="E907" s="6" t="inlineStr">
        <is>
          <t>ANDE_BILLED_NATIONAL_ENERGY</t>
        </is>
      </c>
      <c r="F907" s="6" t="inlineStr">
        <is>
          <t>PY_SIN</t>
        </is>
      </c>
      <c r="G907" s="6" t="inlineStr">
        <is>
          <t>PY</t>
        </is>
      </c>
      <c r="H907" s="6" t="inlineStr">
        <is>
          <t>PY</t>
        </is>
      </c>
      <c r="I907" s="8" t="n">
        <v>1827017.917</v>
      </c>
      <c r="J907" s="6" t="inlineStr">
        <is>
          <t>MWh</t>
        </is>
      </c>
      <c r="K907" s="8" t="n">
        <v>1827017.917</v>
      </c>
      <c r="L907" s="6" t="inlineStr">
        <is>
          <t>MWh</t>
        </is>
      </c>
      <c r="M907" s="6" t="inlineStr">
        <is>
          <t>ANDE</t>
        </is>
      </c>
      <c r="N907" s="6" t="inlineStr">
        <is>
          <t>OFFICIAL_PRIMARY</t>
        </is>
      </c>
      <c r="O907" s="9" t="inlineStr">
        <is>
          <t>OFFICIAL_AGGREGATE</t>
        </is>
      </c>
      <c r="P907" s="8" t="n">
        <v>1</v>
      </c>
      <c r="Q907" s="8" t="n">
        <v>40</v>
      </c>
      <c r="R907" s="7" t="inlineStr">
        <is>
          <t>https://www.ande.gov.py/estadisticas/BalanceEnergia1983-2006/CompilacionEstadistica83-06.pdf</t>
        </is>
      </c>
      <c r="S907" s="6" t="inlineStr">
        <is>
          <t>ANDE-83-06</t>
        </is>
      </c>
      <c r="T907" s="6" t="inlineStr"/>
      <c r="U907" s="4" t="inlineStr">
        <is>
          <t>2026-09-11 00:05:00</t>
        </is>
      </c>
      <c r="V907" s="4" t="inlineStr">
        <is>
          <t>Serie historica antigua; usar compilaciones posteriores para solapes cuando existan.</t>
        </is>
      </c>
    </row>
    <row r="908">
      <c r="A908" s="6" t="inlineStr">
        <is>
          <t>R0000907</t>
        </is>
      </c>
      <c r="B908" s="6" t="inlineStr">
        <is>
          <t>1990-01-01</t>
        </is>
      </c>
      <c r="C908" s="6" t="inlineStr">
        <is>
          <t>1990-12-31</t>
        </is>
      </c>
      <c r="D908" s="6" t="inlineStr">
        <is>
          <t>year</t>
        </is>
      </c>
      <c r="E908" s="6" t="inlineStr">
        <is>
          <t>ANDE_TOTAL_ENERGY_SOLD</t>
        </is>
      </c>
      <c r="F908" s="6" t="inlineStr">
        <is>
          <t>PY_SIN</t>
        </is>
      </c>
      <c r="G908" s="6" t="inlineStr">
        <is>
          <t>PY</t>
        </is>
      </c>
      <c r="H908" s="6" t="inlineStr">
        <is>
          <t>PY</t>
        </is>
      </c>
      <c r="I908" s="8" t="n">
        <v>2042234.993</v>
      </c>
      <c r="J908" s="6" t="inlineStr">
        <is>
          <t>MWh</t>
        </is>
      </c>
      <c r="K908" s="8" t="n">
        <v>2042234.993</v>
      </c>
      <c r="L908" s="6" t="inlineStr">
        <is>
          <t>MWh</t>
        </is>
      </c>
      <c r="M908" s="6" t="inlineStr">
        <is>
          <t>ANDE</t>
        </is>
      </c>
      <c r="N908" s="6" t="inlineStr">
        <is>
          <t>OFFICIAL_PRIMARY</t>
        </is>
      </c>
      <c r="O908" s="9" t="inlineStr">
        <is>
          <t>OFFICIAL_AGGREGATE</t>
        </is>
      </c>
      <c r="P908" s="8" t="n">
        <v>1</v>
      </c>
      <c r="Q908" s="8" t="n">
        <v>40</v>
      </c>
      <c r="R908" s="7" t="inlineStr">
        <is>
          <t>https://www.ande.gov.py/estadisticas/BalanceEnergia1983-2006/CompilacionEstadistica83-06.pdf</t>
        </is>
      </c>
      <c r="S908" s="6" t="inlineStr">
        <is>
          <t>ANDE-83-06</t>
        </is>
      </c>
      <c r="T908" s="6" t="inlineStr"/>
      <c r="U908" s="4" t="inlineStr">
        <is>
          <t>2026-09-11 00:05:00</t>
        </is>
      </c>
      <c r="V908" s="4" t="inlineStr">
        <is>
          <t>Serie historica antigua; usar compilaciones posteriores para solapes cuando existan.</t>
        </is>
      </c>
    </row>
    <row r="909">
      <c r="A909" s="6" t="inlineStr">
        <is>
          <t>R0000908</t>
        </is>
      </c>
      <c r="B909" s="6" t="inlineStr">
        <is>
          <t>1990-01-01</t>
        </is>
      </c>
      <c r="C909" s="6" t="inlineStr">
        <is>
          <t>1990-12-31</t>
        </is>
      </c>
      <c r="D909" s="6" t="inlineStr">
        <is>
          <t>year</t>
        </is>
      </c>
      <c r="E909" s="6" t="inlineStr">
        <is>
          <t>ANDE_BILLED_RESIDENTIAL_ENERGY</t>
        </is>
      </c>
      <c r="F909" s="6" t="inlineStr">
        <is>
          <t>PY_SIN</t>
        </is>
      </c>
      <c r="G909" s="6" t="inlineStr">
        <is>
          <t>PY</t>
        </is>
      </c>
      <c r="H909" s="6" t="inlineStr">
        <is>
          <t>PY</t>
        </is>
      </c>
      <c r="I909" s="8" t="n">
        <v>685627.884</v>
      </c>
      <c r="J909" s="6" t="inlineStr">
        <is>
          <t>MWh</t>
        </is>
      </c>
      <c r="K909" s="8" t="n">
        <v>685627.884</v>
      </c>
      <c r="L909" s="6" t="inlineStr">
        <is>
          <t>MWh</t>
        </is>
      </c>
      <c r="M909" s="6" t="inlineStr">
        <is>
          <t>ANDE</t>
        </is>
      </c>
      <c r="N909" s="6" t="inlineStr">
        <is>
          <t>OFFICIAL_PRIMARY</t>
        </is>
      </c>
      <c r="O909" s="9" t="inlineStr">
        <is>
          <t>OFFICIAL_AGGREGATE</t>
        </is>
      </c>
      <c r="P909" s="8" t="n">
        <v>1</v>
      </c>
      <c r="Q909" s="8" t="n">
        <v>40</v>
      </c>
      <c r="R909" s="7" t="inlineStr">
        <is>
          <t>https://www.ande.gov.py/estadisticas/BalanceEnergia1983-2006/CompilacionEstadistica83-06.pdf</t>
        </is>
      </c>
      <c r="S909" s="6" t="inlineStr">
        <is>
          <t>ANDE-83-06</t>
        </is>
      </c>
      <c r="T909" s="6" t="inlineStr"/>
      <c r="U909" s="4" t="inlineStr">
        <is>
          <t>2026-09-11 00:05:00</t>
        </is>
      </c>
      <c r="V909" s="4" t="inlineStr">
        <is>
          <t>Serie historica antigua; usar compilaciones posteriores para solapes cuando existan.</t>
        </is>
      </c>
    </row>
    <row r="910">
      <c r="A910" s="6" t="inlineStr">
        <is>
          <t>R0000909</t>
        </is>
      </c>
      <c r="B910" s="6" t="inlineStr">
        <is>
          <t>1990-01-01</t>
        </is>
      </c>
      <c r="C910" s="6" t="inlineStr">
        <is>
          <t>1990-12-31</t>
        </is>
      </c>
      <c r="D910" s="6" t="inlineStr">
        <is>
          <t>year</t>
        </is>
      </c>
      <c r="E910" s="6" t="inlineStr">
        <is>
          <t>ANDE_BILLED_INDUSTRIAL_ENERGY</t>
        </is>
      </c>
      <c r="F910" s="6" t="inlineStr">
        <is>
          <t>PY_SIN</t>
        </is>
      </c>
      <c r="G910" s="6" t="inlineStr">
        <is>
          <t>PY</t>
        </is>
      </c>
      <c r="H910" s="6" t="inlineStr">
        <is>
          <t>PY</t>
        </is>
      </c>
      <c r="I910" s="8" t="n">
        <v>489191.258</v>
      </c>
      <c r="J910" s="6" t="inlineStr">
        <is>
          <t>MWh</t>
        </is>
      </c>
      <c r="K910" s="8" t="n">
        <v>489191.258</v>
      </c>
      <c r="L910" s="6" t="inlineStr">
        <is>
          <t>MWh</t>
        </is>
      </c>
      <c r="M910" s="6" t="inlineStr">
        <is>
          <t>ANDE</t>
        </is>
      </c>
      <c r="N910" s="6" t="inlineStr">
        <is>
          <t>OFFICIAL_PRIMARY</t>
        </is>
      </c>
      <c r="O910" s="9" t="inlineStr">
        <is>
          <t>OFFICIAL_AGGREGATE</t>
        </is>
      </c>
      <c r="P910" s="8" t="n">
        <v>1</v>
      </c>
      <c r="Q910" s="8" t="n">
        <v>40</v>
      </c>
      <c r="R910" s="7" t="inlineStr">
        <is>
          <t>https://www.ande.gov.py/estadisticas/BalanceEnergia1983-2006/CompilacionEstadistica83-06.pdf</t>
        </is>
      </c>
      <c r="S910" s="6" t="inlineStr">
        <is>
          <t>ANDE-83-06</t>
        </is>
      </c>
      <c r="T910" s="6" t="inlineStr"/>
      <c r="U910" s="4" t="inlineStr">
        <is>
          <t>2026-09-11 00:05:00</t>
        </is>
      </c>
      <c r="V910" s="4" t="inlineStr">
        <is>
          <t>Serie historica antigua; usar compilaciones posteriores para solapes cuando existan.</t>
        </is>
      </c>
    </row>
    <row r="911">
      <c r="A911" s="6" t="inlineStr">
        <is>
          <t>R0000910</t>
        </is>
      </c>
      <c r="B911" s="6" t="inlineStr">
        <is>
          <t>1990-01-01</t>
        </is>
      </c>
      <c r="C911" s="6" t="inlineStr">
        <is>
          <t>1990-12-31</t>
        </is>
      </c>
      <c r="D911" s="6" t="inlineStr">
        <is>
          <t>year</t>
        </is>
      </c>
      <c r="E911" s="6" t="inlineStr">
        <is>
          <t>ANDE_BILLED_OTHER_ENERGY</t>
        </is>
      </c>
      <c r="F911" s="6" t="inlineStr">
        <is>
          <t>PY_SIN</t>
        </is>
      </c>
      <c r="G911" s="6" t="inlineStr">
        <is>
          <t>PY</t>
        </is>
      </c>
      <c r="H911" s="6" t="inlineStr">
        <is>
          <t>PY</t>
        </is>
      </c>
      <c r="I911" s="8" t="n">
        <v>370963.352</v>
      </c>
      <c r="J911" s="6" t="inlineStr">
        <is>
          <t>MWh</t>
        </is>
      </c>
      <c r="K911" s="8" t="n">
        <v>370963.352</v>
      </c>
      <c r="L911" s="6" t="inlineStr">
        <is>
          <t>MWh</t>
        </is>
      </c>
      <c r="M911" s="6" t="inlineStr">
        <is>
          <t>ANDE</t>
        </is>
      </c>
      <c r="N911" s="6" t="inlineStr">
        <is>
          <t>OFFICIAL_PRIMARY</t>
        </is>
      </c>
      <c r="O911" s="9" t="inlineStr">
        <is>
          <t>OFFICIAL_AGGREGATE</t>
        </is>
      </c>
      <c r="P911" s="8" t="n">
        <v>1</v>
      </c>
      <c r="Q911" s="8" t="n">
        <v>40</v>
      </c>
      <c r="R911" s="7" t="inlineStr">
        <is>
          <t>https://www.ande.gov.py/estadisticas/BalanceEnergia1983-2006/CompilacionEstadistica83-06.pdf</t>
        </is>
      </c>
      <c r="S911" s="6" t="inlineStr">
        <is>
          <t>ANDE-83-06</t>
        </is>
      </c>
      <c r="T911" s="6" t="inlineStr"/>
      <c r="U911" s="4" t="inlineStr">
        <is>
          <t>2026-09-11 00:05:00</t>
        </is>
      </c>
      <c r="V911" s="4" t="inlineStr">
        <is>
          <t>Serie historica antigua; usar compilaciones posteriores para solapes cuando existan.</t>
        </is>
      </c>
    </row>
    <row r="912">
      <c r="A912" s="6" t="inlineStr">
        <is>
          <t>R0000911</t>
        </is>
      </c>
      <c r="B912" s="6" t="inlineStr">
        <is>
          <t>1990-01-01</t>
        </is>
      </c>
      <c r="C912" s="6" t="inlineStr">
        <is>
          <t>1990-12-31</t>
        </is>
      </c>
      <c r="D912" s="6" t="inlineStr">
        <is>
          <t>year</t>
        </is>
      </c>
      <c r="E912" s="6" t="inlineStr">
        <is>
          <t>ANDE_EXPORT_BILLED_ENERGY</t>
        </is>
      </c>
      <c r="F912" s="6" t="inlineStr">
        <is>
          <t>PY_SIN</t>
        </is>
      </c>
      <c r="G912" s="6" t="inlineStr">
        <is>
          <t>PY</t>
        </is>
      </c>
      <c r="H912" s="6" t="inlineStr">
        <is>
          <t>EXTERNAL</t>
        </is>
      </c>
      <c r="I912" s="8" t="n">
        <v>215217.076</v>
      </c>
      <c r="J912" s="6" t="inlineStr">
        <is>
          <t>MWh</t>
        </is>
      </c>
      <c r="K912" s="8" t="n">
        <v>215217.076</v>
      </c>
      <c r="L912" s="6" t="inlineStr">
        <is>
          <t>MWh</t>
        </is>
      </c>
      <c r="M912" s="6" t="inlineStr">
        <is>
          <t>ANDE</t>
        </is>
      </c>
      <c r="N912" s="6" t="inlineStr">
        <is>
          <t>OFFICIAL_PRIMARY</t>
        </is>
      </c>
      <c r="O912" s="9" t="inlineStr">
        <is>
          <t>OFFICIAL_AGGREGATE</t>
        </is>
      </c>
      <c r="P912" s="8" t="n">
        <v>1</v>
      </c>
      <c r="Q912" s="8" t="n">
        <v>40</v>
      </c>
      <c r="R912" s="7" t="inlineStr">
        <is>
          <t>https://www.ande.gov.py/estadisticas/BalanceEnergia1983-2006/CompilacionEstadistica83-06.pdf</t>
        </is>
      </c>
      <c r="S912" s="6" t="inlineStr">
        <is>
          <t>ANDE-83-06</t>
        </is>
      </c>
      <c r="T912" s="6" t="inlineStr"/>
      <c r="U912" s="4" t="inlineStr">
        <is>
          <t>2026-09-11 00:05:00</t>
        </is>
      </c>
      <c r="V912" s="4" t="inlineStr">
        <is>
          <t>Serie historica antigua; usar compilaciones posteriores para solapes cuando existan.</t>
        </is>
      </c>
    </row>
    <row r="913">
      <c r="A913" s="6" t="inlineStr">
        <is>
          <t>R0000912</t>
        </is>
      </c>
      <c r="B913" s="6" t="inlineStr">
        <is>
          <t>1991-01-01</t>
        </is>
      </c>
      <c r="C913" s="6" t="inlineStr">
        <is>
          <t>1991-12-31</t>
        </is>
      </c>
      <c r="D913" s="6" t="inlineStr">
        <is>
          <t>year</t>
        </is>
      </c>
      <c r="E913" s="6" t="inlineStr">
        <is>
          <t>ANDE_BILLED_NATIONAL_ENERGY</t>
        </is>
      </c>
      <c r="F913" s="6" t="inlineStr">
        <is>
          <t>PY_SIN</t>
        </is>
      </c>
      <c r="G913" s="6" t="inlineStr">
        <is>
          <t>PY</t>
        </is>
      </c>
      <c r="H913" s="6" t="inlineStr">
        <is>
          <t>PY</t>
        </is>
      </c>
      <c r="I913" s="8" t="n">
        <v>2028875.343</v>
      </c>
      <c r="J913" s="6" t="inlineStr">
        <is>
          <t>MWh</t>
        </is>
      </c>
      <c r="K913" s="8" t="n">
        <v>2028875.343</v>
      </c>
      <c r="L913" s="6" t="inlineStr">
        <is>
          <t>MWh</t>
        </is>
      </c>
      <c r="M913" s="6" t="inlineStr">
        <is>
          <t>ANDE</t>
        </is>
      </c>
      <c r="N913" s="6" t="inlineStr">
        <is>
          <t>OFFICIAL_PRIMARY</t>
        </is>
      </c>
      <c r="O913" s="9" t="inlineStr">
        <is>
          <t>OFFICIAL_AGGREGATE</t>
        </is>
      </c>
      <c r="P913" s="8" t="n">
        <v>1</v>
      </c>
      <c r="Q913" s="8" t="n">
        <v>40</v>
      </c>
      <c r="R913" s="7" t="inlineStr">
        <is>
          <t>https://www.ande.gov.py/estadisticas/BalanceEnergia1983-2006/CompilacionEstadistica83-06.pdf</t>
        </is>
      </c>
      <c r="S913" s="6" t="inlineStr">
        <is>
          <t>ANDE-83-06</t>
        </is>
      </c>
      <c r="T913" s="6" t="inlineStr"/>
      <c r="U913" s="4" t="inlineStr">
        <is>
          <t>2026-09-11 00:05:00</t>
        </is>
      </c>
      <c r="V913" s="4" t="inlineStr">
        <is>
          <t>Serie historica antigua; usar compilaciones posteriores para solapes cuando existan.</t>
        </is>
      </c>
    </row>
    <row r="914">
      <c r="A914" s="6" t="inlineStr">
        <is>
          <t>R0000913</t>
        </is>
      </c>
      <c r="B914" s="6" t="inlineStr">
        <is>
          <t>1991-01-01</t>
        </is>
      </c>
      <c r="C914" s="6" t="inlineStr">
        <is>
          <t>1991-12-31</t>
        </is>
      </c>
      <c r="D914" s="6" t="inlineStr">
        <is>
          <t>year</t>
        </is>
      </c>
      <c r="E914" s="6" t="inlineStr">
        <is>
          <t>ANDE_TOTAL_ENERGY_SOLD</t>
        </is>
      </c>
      <c r="F914" s="6" t="inlineStr">
        <is>
          <t>PY_SIN</t>
        </is>
      </c>
      <c r="G914" s="6" t="inlineStr">
        <is>
          <t>PY</t>
        </is>
      </c>
      <c r="H914" s="6" t="inlineStr">
        <is>
          <t>PY</t>
        </is>
      </c>
      <c r="I914" s="8" t="n">
        <v>2175214.257</v>
      </c>
      <c r="J914" s="6" t="inlineStr">
        <is>
          <t>MWh</t>
        </is>
      </c>
      <c r="K914" s="8" t="n">
        <v>2175214.257</v>
      </c>
      <c r="L914" s="6" t="inlineStr">
        <is>
          <t>MWh</t>
        </is>
      </c>
      <c r="M914" s="6" t="inlineStr">
        <is>
          <t>ANDE</t>
        </is>
      </c>
      <c r="N914" s="6" t="inlineStr">
        <is>
          <t>OFFICIAL_PRIMARY</t>
        </is>
      </c>
      <c r="O914" s="9" t="inlineStr">
        <is>
          <t>OFFICIAL_AGGREGATE</t>
        </is>
      </c>
      <c r="P914" s="8" t="n">
        <v>1</v>
      </c>
      <c r="Q914" s="8" t="n">
        <v>40</v>
      </c>
      <c r="R914" s="7" t="inlineStr">
        <is>
          <t>https://www.ande.gov.py/estadisticas/BalanceEnergia1983-2006/CompilacionEstadistica83-06.pdf</t>
        </is>
      </c>
      <c r="S914" s="6" t="inlineStr">
        <is>
          <t>ANDE-83-06</t>
        </is>
      </c>
      <c r="T914" s="6" t="inlineStr"/>
      <c r="U914" s="4" t="inlineStr">
        <is>
          <t>2026-09-11 00:05:00</t>
        </is>
      </c>
      <c r="V914" s="4" t="inlineStr">
        <is>
          <t>Serie historica antigua; usar compilaciones posteriores para solapes cuando existan.</t>
        </is>
      </c>
    </row>
    <row r="915">
      <c r="A915" s="6" t="inlineStr">
        <is>
          <t>R0000914</t>
        </is>
      </c>
      <c r="B915" s="6" t="inlineStr">
        <is>
          <t>1991-01-01</t>
        </is>
      </c>
      <c r="C915" s="6" t="inlineStr">
        <is>
          <t>1991-12-31</t>
        </is>
      </c>
      <c r="D915" s="6" t="inlineStr">
        <is>
          <t>year</t>
        </is>
      </c>
      <c r="E915" s="6" t="inlineStr">
        <is>
          <t>ANDE_BILLED_RESIDENTIAL_ENERGY</t>
        </is>
      </c>
      <c r="F915" s="6" t="inlineStr">
        <is>
          <t>PY_SIN</t>
        </is>
      </c>
      <c r="G915" s="6" t="inlineStr">
        <is>
          <t>PY</t>
        </is>
      </c>
      <c r="H915" s="6" t="inlineStr">
        <is>
          <t>PY</t>
        </is>
      </c>
      <c r="I915" s="8" t="n">
        <v>778996.2879999999</v>
      </c>
      <c r="J915" s="6" t="inlineStr">
        <is>
          <t>MWh</t>
        </is>
      </c>
      <c r="K915" s="8" t="n">
        <v>778996.2879999999</v>
      </c>
      <c r="L915" s="6" t="inlineStr">
        <is>
          <t>MWh</t>
        </is>
      </c>
      <c r="M915" s="6" t="inlineStr">
        <is>
          <t>ANDE</t>
        </is>
      </c>
      <c r="N915" s="6" t="inlineStr">
        <is>
          <t>OFFICIAL_PRIMARY</t>
        </is>
      </c>
      <c r="O915" s="9" t="inlineStr">
        <is>
          <t>OFFICIAL_AGGREGATE</t>
        </is>
      </c>
      <c r="P915" s="8" t="n">
        <v>1</v>
      </c>
      <c r="Q915" s="8" t="n">
        <v>40</v>
      </c>
      <c r="R915" s="7" t="inlineStr">
        <is>
          <t>https://www.ande.gov.py/estadisticas/BalanceEnergia1983-2006/CompilacionEstadistica83-06.pdf</t>
        </is>
      </c>
      <c r="S915" s="6" t="inlineStr">
        <is>
          <t>ANDE-83-06</t>
        </is>
      </c>
      <c r="T915" s="6" t="inlineStr"/>
      <c r="U915" s="4" t="inlineStr">
        <is>
          <t>2026-09-11 00:05:00</t>
        </is>
      </c>
      <c r="V915" s="4" t="inlineStr">
        <is>
          <t>Serie historica antigua; usar compilaciones posteriores para solapes cuando existan.</t>
        </is>
      </c>
    </row>
    <row r="916">
      <c r="A916" s="6" t="inlineStr">
        <is>
          <t>R0000915</t>
        </is>
      </c>
      <c r="B916" s="6" t="inlineStr">
        <is>
          <t>1991-01-01</t>
        </is>
      </c>
      <c r="C916" s="6" t="inlineStr">
        <is>
          <t>1991-12-31</t>
        </is>
      </c>
      <c r="D916" s="6" t="inlineStr">
        <is>
          <t>year</t>
        </is>
      </c>
      <c r="E916" s="6" t="inlineStr">
        <is>
          <t>ANDE_BILLED_INDUSTRIAL_ENERGY</t>
        </is>
      </c>
      <c r="F916" s="6" t="inlineStr">
        <is>
          <t>PY_SIN</t>
        </is>
      </c>
      <c r="G916" s="6" t="inlineStr">
        <is>
          <t>PY</t>
        </is>
      </c>
      <c r="H916" s="6" t="inlineStr">
        <is>
          <t>PY</t>
        </is>
      </c>
      <c r="I916" s="8" t="n">
        <v>515949.711</v>
      </c>
      <c r="J916" s="6" t="inlineStr">
        <is>
          <t>MWh</t>
        </is>
      </c>
      <c r="K916" s="8" t="n">
        <v>515949.711</v>
      </c>
      <c r="L916" s="6" t="inlineStr">
        <is>
          <t>MWh</t>
        </is>
      </c>
      <c r="M916" s="6" t="inlineStr">
        <is>
          <t>ANDE</t>
        </is>
      </c>
      <c r="N916" s="6" t="inlineStr">
        <is>
          <t>OFFICIAL_PRIMARY</t>
        </is>
      </c>
      <c r="O916" s="9" t="inlineStr">
        <is>
          <t>OFFICIAL_AGGREGATE</t>
        </is>
      </c>
      <c r="P916" s="8" t="n">
        <v>1</v>
      </c>
      <c r="Q916" s="8" t="n">
        <v>40</v>
      </c>
      <c r="R916" s="7" t="inlineStr">
        <is>
          <t>https://www.ande.gov.py/estadisticas/BalanceEnergia1983-2006/CompilacionEstadistica83-06.pdf</t>
        </is>
      </c>
      <c r="S916" s="6" t="inlineStr">
        <is>
          <t>ANDE-83-06</t>
        </is>
      </c>
      <c r="T916" s="6" t="inlineStr"/>
      <c r="U916" s="4" t="inlineStr">
        <is>
          <t>2026-09-11 00:05:00</t>
        </is>
      </c>
      <c r="V916" s="4" t="inlineStr">
        <is>
          <t>Serie historica antigua; usar compilaciones posteriores para solapes cuando existan.</t>
        </is>
      </c>
    </row>
    <row r="917">
      <c r="A917" s="6" t="inlineStr">
        <is>
          <t>R0000916</t>
        </is>
      </c>
      <c r="B917" s="6" t="inlineStr">
        <is>
          <t>1991-01-01</t>
        </is>
      </c>
      <c r="C917" s="6" t="inlineStr">
        <is>
          <t>1991-12-31</t>
        </is>
      </c>
      <c r="D917" s="6" t="inlineStr">
        <is>
          <t>year</t>
        </is>
      </c>
      <c r="E917" s="6" t="inlineStr">
        <is>
          <t>ANDE_BILLED_OTHER_ENERGY</t>
        </is>
      </c>
      <c r="F917" s="6" t="inlineStr">
        <is>
          <t>PY_SIN</t>
        </is>
      </c>
      <c r="G917" s="6" t="inlineStr">
        <is>
          <t>PY</t>
        </is>
      </c>
      <c r="H917" s="6" t="inlineStr">
        <is>
          <t>PY</t>
        </is>
      </c>
      <c r="I917" s="8" t="n">
        <v>414823.427</v>
      </c>
      <c r="J917" s="6" t="inlineStr">
        <is>
          <t>MWh</t>
        </is>
      </c>
      <c r="K917" s="8" t="n">
        <v>414823.427</v>
      </c>
      <c r="L917" s="6" t="inlineStr">
        <is>
          <t>MWh</t>
        </is>
      </c>
      <c r="M917" s="6" t="inlineStr">
        <is>
          <t>ANDE</t>
        </is>
      </c>
      <c r="N917" s="6" t="inlineStr">
        <is>
          <t>OFFICIAL_PRIMARY</t>
        </is>
      </c>
      <c r="O917" s="9" t="inlineStr">
        <is>
          <t>OFFICIAL_AGGREGATE</t>
        </is>
      </c>
      <c r="P917" s="8" t="n">
        <v>1</v>
      </c>
      <c r="Q917" s="8" t="n">
        <v>40</v>
      </c>
      <c r="R917" s="7" t="inlineStr">
        <is>
          <t>https://www.ande.gov.py/estadisticas/BalanceEnergia1983-2006/CompilacionEstadistica83-06.pdf</t>
        </is>
      </c>
      <c r="S917" s="6" t="inlineStr">
        <is>
          <t>ANDE-83-06</t>
        </is>
      </c>
      <c r="T917" s="6" t="inlineStr"/>
      <c r="U917" s="4" t="inlineStr">
        <is>
          <t>2026-09-11 00:05:00</t>
        </is>
      </c>
      <c r="V917" s="4" t="inlineStr">
        <is>
          <t>Serie historica antigua; usar compilaciones posteriores para solapes cuando existan.</t>
        </is>
      </c>
    </row>
    <row r="918">
      <c r="A918" s="6" t="inlineStr">
        <is>
          <t>R0000917</t>
        </is>
      </c>
      <c r="B918" s="6" t="inlineStr">
        <is>
          <t>1991-01-01</t>
        </is>
      </c>
      <c r="C918" s="6" t="inlineStr">
        <is>
          <t>1991-12-31</t>
        </is>
      </c>
      <c r="D918" s="6" t="inlineStr">
        <is>
          <t>year</t>
        </is>
      </c>
      <c r="E918" s="6" t="inlineStr">
        <is>
          <t>ANDE_EXPORT_BILLED_ENERGY</t>
        </is>
      </c>
      <c r="F918" s="6" t="inlineStr">
        <is>
          <t>PY_SIN</t>
        </is>
      </c>
      <c r="G918" s="6" t="inlineStr">
        <is>
          <t>PY</t>
        </is>
      </c>
      <c r="H918" s="6" t="inlineStr">
        <is>
          <t>EXTERNAL</t>
        </is>
      </c>
      <c r="I918" s="8" t="n">
        <v>146338.914</v>
      </c>
      <c r="J918" s="6" t="inlineStr">
        <is>
          <t>MWh</t>
        </is>
      </c>
      <c r="K918" s="8" t="n">
        <v>146338.914</v>
      </c>
      <c r="L918" s="6" t="inlineStr">
        <is>
          <t>MWh</t>
        </is>
      </c>
      <c r="M918" s="6" t="inlineStr">
        <is>
          <t>ANDE</t>
        </is>
      </c>
      <c r="N918" s="6" t="inlineStr">
        <is>
          <t>OFFICIAL_PRIMARY</t>
        </is>
      </c>
      <c r="O918" s="9" t="inlineStr">
        <is>
          <t>OFFICIAL_AGGREGATE</t>
        </is>
      </c>
      <c r="P918" s="8" t="n">
        <v>1</v>
      </c>
      <c r="Q918" s="8" t="n">
        <v>40</v>
      </c>
      <c r="R918" s="7" t="inlineStr">
        <is>
          <t>https://www.ande.gov.py/estadisticas/BalanceEnergia1983-2006/CompilacionEstadistica83-06.pdf</t>
        </is>
      </c>
      <c r="S918" s="6" t="inlineStr">
        <is>
          <t>ANDE-83-06</t>
        </is>
      </c>
      <c r="T918" s="6" t="inlineStr"/>
      <c r="U918" s="4" t="inlineStr">
        <is>
          <t>2026-09-11 00:05:00</t>
        </is>
      </c>
      <c r="V918" s="4" t="inlineStr">
        <is>
          <t>Serie historica antigua; usar compilaciones posteriores para solapes cuando existan.</t>
        </is>
      </c>
    </row>
    <row r="919">
      <c r="A919" s="6" t="inlineStr">
        <is>
          <t>R0000918</t>
        </is>
      </c>
      <c r="B919" s="6" t="inlineStr">
        <is>
          <t>1992-01-01</t>
        </is>
      </c>
      <c r="C919" s="6" t="inlineStr">
        <is>
          <t>1992-12-31</t>
        </is>
      </c>
      <c r="D919" s="6" t="inlineStr">
        <is>
          <t>year</t>
        </is>
      </c>
      <c r="E919" s="6" t="inlineStr">
        <is>
          <t>ANDE_BILLED_NATIONAL_ENERGY</t>
        </is>
      </c>
      <c r="F919" s="6" t="inlineStr">
        <is>
          <t>PY_SIN</t>
        </is>
      </c>
      <c r="G919" s="6" t="inlineStr">
        <is>
          <t>PY</t>
        </is>
      </c>
      <c r="H919" s="6" t="inlineStr">
        <is>
          <t>PY</t>
        </is>
      </c>
      <c r="I919" s="8" t="n">
        <v>2286491.578</v>
      </c>
      <c r="J919" s="6" t="inlineStr">
        <is>
          <t>MWh</t>
        </is>
      </c>
      <c r="K919" s="8" t="n">
        <v>2286491.578</v>
      </c>
      <c r="L919" s="6" t="inlineStr">
        <is>
          <t>MWh</t>
        </is>
      </c>
      <c r="M919" s="6" t="inlineStr">
        <is>
          <t>ANDE</t>
        </is>
      </c>
      <c r="N919" s="6" t="inlineStr">
        <is>
          <t>OFFICIAL_PRIMARY</t>
        </is>
      </c>
      <c r="O919" s="9" t="inlineStr">
        <is>
          <t>OFFICIAL_AGGREGATE</t>
        </is>
      </c>
      <c r="P919" s="8" t="n">
        <v>1</v>
      </c>
      <c r="Q919" s="8" t="n">
        <v>40</v>
      </c>
      <c r="R919" s="7" t="inlineStr">
        <is>
          <t>https://www.ande.gov.py/estadisticas/BalanceEnergia1983-2006/CompilacionEstadistica83-06.pdf</t>
        </is>
      </c>
      <c r="S919" s="6" t="inlineStr">
        <is>
          <t>ANDE-83-06</t>
        </is>
      </c>
      <c r="T919" s="6" t="inlineStr"/>
      <c r="U919" s="4" t="inlineStr">
        <is>
          <t>2026-09-11 00:05:00</t>
        </is>
      </c>
      <c r="V919" s="4" t="inlineStr">
        <is>
          <t>Serie historica antigua; usar compilaciones posteriores para solapes cuando existan.</t>
        </is>
      </c>
    </row>
    <row r="920">
      <c r="A920" s="6" t="inlineStr">
        <is>
          <t>R0000919</t>
        </is>
      </c>
      <c r="B920" s="6" t="inlineStr">
        <is>
          <t>1992-01-01</t>
        </is>
      </c>
      <c r="C920" s="6" t="inlineStr">
        <is>
          <t>1992-12-31</t>
        </is>
      </c>
      <c r="D920" s="6" t="inlineStr">
        <is>
          <t>year</t>
        </is>
      </c>
      <c r="E920" s="6" t="inlineStr">
        <is>
          <t>ANDE_TOTAL_ENERGY_SOLD</t>
        </is>
      </c>
      <c r="F920" s="6" t="inlineStr">
        <is>
          <t>PY_SIN</t>
        </is>
      </c>
      <c r="G920" s="6" t="inlineStr">
        <is>
          <t>PY</t>
        </is>
      </c>
      <c r="H920" s="6" t="inlineStr">
        <is>
          <t>PY</t>
        </is>
      </c>
      <c r="I920" s="8" t="n">
        <v>2398712.823</v>
      </c>
      <c r="J920" s="6" t="inlineStr">
        <is>
          <t>MWh</t>
        </is>
      </c>
      <c r="K920" s="8" t="n">
        <v>2398712.823</v>
      </c>
      <c r="L920" s="6" t="inlineStr">
        <is>
          <t>MWh</t>
        </is>
      </c>
      <c r="M920" s="6" t="inlineStr">
        <is>
          <t>ANDE</t>
        </is>
      </c>
      <c r="N920" s="6" t="inlineStr">
        <is>
          <t>OFFICIAL_PRIMARY</t>
        </is>
      </c>
      <c r="O920" s="9" t="inlineStr">
        <is>
          <t>OFFICIAL_AGGREGATE</t>
        </is>
      </c>
      <c r="P920" s="8" t="n">
        <v>1</v>
      </c>
      <c r="Q920" s="8" t="n">
        <v>40</v>
      </c>
      <c r="R920" s="7" t="inlineStr">
        <is>
          <t>https://www.ande.gov.py/estadisticas/BalanceEnergia1983-2006/CompilacionEstadistica83-06.pdf</t>
        </is>
      </c>
      <c r="S920" s="6" t="inlineStr">
        <is>
          <t>ANDE-83-06</t>
        </is>
      </c>
      <c r="T920" s="6" t="inlineStr"/>
      <c r="U920" s="4" t="inlineStr">
        <is>
          <t>2026-09-11 00:05:00</t>
        </is>
      </c>
      <c r="V920" s="4" t="inlineStr">
        <is>
          <t>Serie historica antigua; usar compilaciones posteriores para solapes cuando existan.</t>
        </is>
      </c>
    </row>
    <row r="921">
      <c r="A921" s="6" t="inlineStr">
        <is>
          <t>R0000920</t>
        </is>
      </c>
      <c r="B921" s="6" t="inlineStr">
        <is>
          <t>1992-01-01</t>
        </is>
      </c>
      <c r="C921" s="6" t="inlineStr">
        <is>
          <t>1992-12-31</t>
        </is>
      </c>
      <c r="D921" s="6" t="inlineStr">
        <is>
          <t>year</t>
        </is>
      </c>
      <c r="E921" s="6" t="inlineStr">
        <is>
          <t>ANDE_BILLED_RESIDENTIAL_ENERGY</t>
        </is>
      </c>
      <c r="F921" s="6" t="inlineStr">
        <is>
          <t>PY_SIN</t>
        </is>
      </c>
      <c r="G921" s="6" t="inlineStr">
        <is>
          <t>PY</t>
        </is>
      </c>
      <c r="H921" s="6" t="inlineStr">
        <is>
          <t>PY</t>
        </is>
      </c>
      <c r="I921" s="8" t="n">
        <v>903195.376</v>
      </c>
      <c r="J921" s="6" t="inlineStr">
        <is>
          <t>MWh</t>
        </is>
      </c>
      <c r="K921" s="8" t="n">
        <v>903195.376</v>
      </c>
      <c r="L921" s="6" t="inlineStr">
        <is>
          <t>MWh</t>
        </is>
      </c>
      <c r="M921" s="6" t="inlineStr">
        <is>
          <t>ANDE</t>
        </is>
      </c>
      <c r="N921" s="6" t="inlineStr">
        <is>
          <t>OFFICIAL_PRIMARY</t>
        </is>
      </c>
      <c r="O921" s="9" t="inlineStr">
        <is>
          <t>OFFICIAL_AGGREGATE</t>
        </is>
      </c>
      <c r="P921" s="8" t="n">
        <v>1</v>
      </c>
      <c r="Q921" s="8" t="n">
        <v>40</v>
      </c>
      <c r="R921" s="7" t="inlineStr">
        <is>
          <t>https://www.ande.gov.py/estadisticas/BalanceEnergia1983-2006/CompilacionEstadistica83-06.pdf</t>
        </is>
      </c>
      <c r="S921" s="6" t="inlineStr">
        <is>
          <t>ANDE-83-06</t>
        </is>
      </c>
      <c r="T921" s="6" t="inlineStr"/>
      <c r="U921" s="4" t="inlineStr">
        <is>
          <t>2026-09-11 00:05:00</t>
        </is>
      </c>
      <c r="V921" s="4" t="inlineStr">
        <is>
          <t>Serie historica antigua; usar compilaciones posteriores para solapes cuando existan.</t>
        </is>
      </c>
    </row>
    <row r="922">
      <c r="A922" s="6" t="inlineStr">
        <is>
          <t>R0000921</t>
        </is>
      </c>
      <c r="B922" s="6" t="inlineStr">
        <is>
          <t>1992-01-01</t>
        </is>
      </c>
      <c r="C922" s="6" t="inlineStr">
        <is>
          <t>1992-12-31</t>
        </is>
      </c>
      <c r="D922" s="6" t="inlineStr">
        <is>
          <t>year</t>
        </is>
      </c>
      <c r="E922" s="6" t="inlineStr">
        <is>
          <t>ANDE_BILLED_INDUSTRIAL_ENERGY</t>
        </is>
      </c>
      <c r="F922" s="6" t="inlineStr">
        <is>
          <t>PY_SIN</t>
        </is>
      </c>
      <c r="G922" s="6" t="inlineStr">
        <is>
          <t>PY</t>
        </is>
      </c>
      <c r="H922" s="6" t="inlineStr">
        <is>
          <t>PY</t>
        </is>
      </c>
      <c r="I922" s="8" t="n">
        <v>578175.1360000001</v>
      </c>
      <c r="J922" s="6" t="inlineStr">
        <is>
          <t>MWh</t>
        </is>
      </c>
      <c r="K922" s="8" t="n">
        <v>578175.1360000001</v>
      </c>
      <c r="L922" s="6" t="inlineStr">
        <is>
          <t>MWh</t>
        </is>
      </c>
      <c r="M922" s="6" t="inlineStr">
        <is>
          <t>ANDE</t>
        </is>
      </c>
      <c r="N922" s="6" t="inlineStr">
        <is>
          <t>OFFICIAL_PRIMARY</t>
        </is>
      </c>
      <c r="O922" s="9" t="inlineStr">
        <is>
          <t>OFFICIAL_AGGREGATE</t>
        </is>
      </c>
      <c r="P922" s="8" t="n">
        <v>1</v>
      </c>
      <c r="Q922" s="8" t="n">
        <v>40</v>
      </c>
      <c r="R922" s="7" t="inlineStr">
        <is>
          <t>https://www.ande.gov.py/estadisticas/BalanceEnergia1983-2006/CompilacionEstadistica83-06.pdf</t>
        </is>
      </c>
      <c r="S922" s="6" t="inlineStr">
        <is>
          <t>ANDE-83-06</t>
        </is>
      </c>
      <c r="T922" s="6" t="inlineStr"/>
      <c r="U922" s="4" t="inlineStr">
        <is>
          <t>2026-09-11 00:05:00</t>
        </is>
      </c>
      <c r="V922" s="4" t="inlineStr">
        <is>
          <t>Serie historica antigua; usar compilaciones posteriores para solapes cuando existan.</t>
        </is>
      </c>
    </row>
    <row r="923">
      <c r="A923" s="6" t="inlineStr">
        <is>
          <t>R0000922</t>
        </is>
      </c>
      <c r="B923" s="6" t="inlineStr">
        <is>
          <t>1992-01-01</t>
        </is>
      </c>
      <c r="C923" s="6" t="inlineStr">
        <is>
          <t>1992-12-31</t>
        </is>
      </c>
      <c r="D923" s="6" t="inlineStr">
        <is>
          <t>year</t>
        </is>
      </c>
      <c r="E923" s="6" t="inlineStr">
        <is>
          <t>ANDE_BILLED_OTHER_ENERGY</t>
        </is>
      </c>
      <c r="F923" s="6" t="inlineStr">
        <is>
          <t>PY_SIN</t>
        </is>
      </c>
      <c r="G923" s="6" t="inlineStr">
        <is>
          <t>PY</t>
        </is>
      </c>
      <c r="H923" s="6" t="inlineStr">
        <is>
          <t>PY</t>
        </is>
      </c>
      <c r="I923" s="8" t="n">
        <v>448199.993</v>
      </c>
      <c r="J923" s="6" t="inlineStr">
        <is>
          <t>MWh</t>
        </is>
      </c>
      <c r="K923" s="8" t="n">
        <v>448199.993</v>
      </c>
      <c r="L923" s="6" t="inlineStr">
        <is>
          <t>MWh</t>
        </is>
      </c>
      <c r="M923" s="6" t="inlineStr">
        <is>
          <t>ANDE</t>
        </is>
      </c>
      <c r="N923" s="6" t="inlineStr">
        <is>
          <t>OFFICIAL_PRIMARY</t>
        </is>
      </c>
      <c r="O923" s="9" t="inlineStr">
        <is>
          <t>OFFICIAL_AGGREGATE</t>
        </is>
      </c>
      <c r="P923" s="8" t="n">
        <v>1</v>
      </c>
      <c r="Q923" s="8" t="n">
        <v>40</v>
      </c>
      <c r="R923" s="7" t="inlineStr">
        <is>
          <t>https://www.ande.gov.py/estadisticas/BalanceEnergia1983-2006/CompilacionEstadistica83-06.pdf</t>
        </is>
      </c>
      <c r="S923" s="6" t="inlineStr">
        <is>
          <t>ANDE-83-06</t>
        </is>
      </c>
      <c r="T923" s="6" t="inlineStr"/>
      <c r="U923" s="4" t="inlineStr">
        <is>
          <t>2026-09-11 00:05:00</t>
        </is>
      </c>
      <c r="V923" s="4" t="inlineStr">
        <is>
          <t>Serie historica antigua; usar compilaciones posteriores para solapes cuando existan.</t>
        </is>
      </c>
    </row>
    <row r="924">
      <c r="A924" s="6" t="inlineStr">
        <is>
          <t>R0000923</t>
        </is>
      </c>
      <c r="B924" s="6" t="inlineStr">
        <is>
          <t>1992-01-01</t>
        </is>
      </c>
      <c r="C924" s="6" t="inlineStr">
        <is>
          <t>1992-12-31</t>
        </is>
      </c>
      <c r="D924" s="6" t="inlineStr">
        <is>
          <t>year</t>
        </is>
      </c>
      <c r="E924" s="6" t="inlineStr">
        <is>
          <t>ANDE_EXPORT_BILLED_ENERGY</t>
        </is>
      </c>
      <c r="F924" s="6" t="inlineStr">
        <is>
          <t>PY_SIN</t>
        </is>
      </c>
      <c r="G924" s="6" t="inlineStr">
        <is>
          <t>PY</t>
        </is>
      </c>
      <c r="H924" s="6" t="inlineStr">
        <is>
          <t>EXTERNAL</t>
        </is>
      </c>
      <c r="I924" s="8" t="n">
        <v>112221.245</v>
      </c>
      <c r="J924" s="6" t="inlineStr">
        <is>
          <t>MWh</t>
        </is>
      </c>
      <c r="K924" s="8" t="n">
        <v>112221.245</v>
      </c>
      <c r="L924" s="6" t="inlineStr">
        <is>
          <t>MWh</t>
        </is>
      </c>
      <c r="M924" s="6" t="inlineStr">
        <is>
          <t>ANDE</t>
        </is>
      </c>
      <c r="N924" s="6" t="inlineStr">
        <is>
          <t>OFFICIAL_PRIMARY</t>
        </is>
      </c>
      <c r="O924" s="9" t="inlineStr">
        <is>
          <t>OFFICIAL_AGGREGATE</t>
        </is>
      </c>
      <c r="P924" s="8" t="n">
        <v>1</v>
      </c>
      <c r="Q924" s="8" t="n">
        <v>40</v>
      </c>
      <c r="R924" s="7" t="inlineStr">
        <is>
          <t>https://www.ande.gov.py/estadisticas/BalanceEnergia1983-2006/CompilacionEstadistica83-06.pdf</t>
        </is>
      </c>
      <c r="S924" s="6" t="inlineStr">
        <is>
          <t>ANDE-83-06</t>
        </is>
      </c>
      <c r="T924" s="6" t="inlineStr"/>
      <c r="U924" s="4" t="inlineStr">
        <is>
          <t>2026-09-11 00:05:00</t>
        </is>
      </c>
      <c r="V924" s="4" t="inlineStr">
        <is>
          <t>Serie historica antigua; usar compilaciones posteriores para solapes cuando existan.</t>
        </is>
      </c>
    </row>
    <row r="925">
      <c r="A925" s="6" t="inlineStr">
        <is>
          <t>R0000924</t>
        </is>
      </c>
      <c r="B925" s="6" t="inlineStr">
        <is>
          <t>1993-01-01</t>
        </is>
      </c>
      <c r="C925" s="6" t="inlineStr">
        <is>
          <t>1993-12-31</t>
        </is>
      </c>
      <c r="D925" s="6" t="inlineStr">
        <is>
          <t>year</t>
        </is>
      </c>
      <c r="E925" s="6" t="inlineStr">
        <is>
          <t>ANDE_BILLED_NATIONAL_ENERGY</t>
        </is>
      </c>
      <c r="F925" s="6" t="inlineStr">
        <is>
          <t>PY_SIN</t>
        </is>
      </c>
      <c r="G925" s="6" t="inlineStr">
        <is>
          <t>PY</t>
        </is>
      </c>
      <c r="H925" s="6" t="inlineStr">
        <is>
          <t>PY</t>
        </is>
      </c>
      <c r="I925" s="8" t="n">
        <v>2643395.838</v>
      </c>
      <c r="J925" s="6" t="inlineStr">
        <is>
          <t>MWh</t>
        </is>
      </c>
      <c r="K925" s="8" t="n">
        <v>2643395.838</v>
      </c>
      <c r="L925" s="6" t="inlineStr">
        <is>
          <t>MWh</t>
        </is>
      </c>
      <c r="M925" s="6" t="inlineStr">
        <is>
          <t>ANDE</t>
        </is>
      </c>
      <c r="N925" s="6" t="inlineStr">
        <is>
          <t>OFFICIAL_PRIMARY</t>
        </is>
      </c>
      <c r="O925" s="9" t="inlineStr">
        <is>
          <t>OFFICIAL_AGGREGATE</t>
        </is>
      </c>
      <c r="P925" s="8" t="n">
        <v>1</v>
      </c>
      <c r="Q925" s="8" t="n">
        <v>40</v>
      </c>
      <c r="R925" s="7" t="inlineStr">
        <is>
          <t>https://www.ande.gov.py/estadisticas/BalanceEnergia1983-2006/CompilacionEstadistica83-06.pdf</t>
        </is>
      </c>
      <c r="S925" s="6" t="inlineStr">
        <is>
          <t>ANDE-83-06</t>
        </is>
      </c>
      <c r="T925" s="6" t="inlineStr"/>
      <c r="U925" s="4" t="inlineStr">
        <is>
          <t>2026-09-11 00:05:00</t>
        </is>
      </c>
      <c r="V925" s="4" t="inlineStr">
        <is>
          <t>Serie historica antigua; usar compilaciones posteriores para solapes cuando existan.</t>
        </is>
      </c>
    </row>
    <row r="926">
      <c r="A926" s="6" t="inlineStr">
        <is>
          <t>R0000925</t>
        </is>
      </c>
      <c r="B926" s="6" t="inlineStr">
        <is>
          <t>1993-01-01</t>
        </is>
      </c>
      <c r="C926" s="6" t="inlineStr">
        <is>
          <t>1993-12-31</t>
        </is>
      </c>
      <c r="D926" s="6" t="inlineStr">
        <is>
          <t>year</t>
        </is>
      </c>
      <c r="E926" s="6" t="inlineStr">
        <is>
          <t>ANDE_TOTAL_ENERGY_SOLD</t>
        </is>
      </c>
      <c r="F926" s="6" t="inlineStr">
        <is>
          <t>PY_SIN</t>
        </is>
      </c>
      <c r="G926" s="6" t="inlineStr">
        <is>
          <t>PY</t>
        </is>
      </c>
      <c r="H926" s="6" t="inlineStr">
        <is>
          <t>PY</t>
        </is>
      </c>
      <c r="I926" s="8" t="n">
        <v>2757928.982</v>
      </c>
      <c r="J926" s="6" t="inlineStr">
        <is>
          <t>MWh</t>
        </is>
      </c>
      <c r="K926" s="8" t="n">
        <v>2757928.982</v>
      </c>
      <c r="L926" s="6" t="inlineStr">
        <is>
          <t>MWh</t>
        </is>
      </c>
      <c r="M926" s="6" t="inlineStr">
        <is>
          <t>ANDE</t>
        </is>
      </c>
      <c r="N926" s="6" t="inlineStr">
        <is>
          <t>OFFICIAL_PRIMARY</t>
        </is>
      </c>
      <c r="O926" s="9" t="inlineStr">
        <is>
          <t>OFFICIAL_AGGREGATE</t>
        </is>
      </c>
      <c r="P926" s="8" t="n">
        <v>1</v>
      </c>
      <c r="Q926" s="8" t="n">
        <v>40</v>
      </c>
      <c r="R926" s="7" t="inlineStr">
        <is>
          <t>https://www.ande.gov.py/estadisticas/BalanceEnergia1983-2006/CompilacionEstadistica83-06.pdf</t>
        </is>
      </c>
      <c r="S926" s="6" t="inlineStr">
        <is>
          <t>ANDE-83-06</t>
        </is>
      </c>
      <c r="T926" s="6" t="inlineStr"/>
      <c r="U926" s="4" t="inlineStr">
        <is>
          <t>2026-09-11 00:05:00</t>
        </is>
      </c>
      <c r="V926" s="4" t="inlineStr">
        <is>
          <t>Serie historica antigua; usar compilaciones posteriores para solapes cuando existan.</t>
        </is>
      </c>
    </row>
    <row r="927">
      <c r="A927" s="6" t="inlineStr">
        <is>
          <t>R0000926</t>
        </is>
      </c>
      <c r="B927" s="6" t="inlineStr">
        <is>
          <t>1993-01-01</t>
        </is>
      </c>
      <c r="C927" s="6" t="inlineStr">
        <is>
          <t>1993-12-31</t>
        </is>
      </c>
      <c r="D927" s="6" t="inlineStr">
        <is>
          <t>year</t>
        </is>
      </c>
      <c r="E927" s="6" t="inlineStr">
        <is>
          <t>ANDE_BILLED_RESIDENTIAL_ENERGY</t>
        </is>
      </c>
      <c r="F927" s="6" t="inlineStr">
        <is>
          <t>PY_SIN</t>
        </is>
      </c>
      <c r="G927" s="6" t="inlineStr">
        <is>
          <t>PY</t>
        </is>
      </c>
      <c r="H927" s="6" t="inlineStr">
        <is>
          <t>PY</t>
        </is>
      </c>
      <c r="I927" s="8" t="n">
        <v>1091985.853</v>
      </c>
      <c r="J927" s="6" t="inlineStr">
        <is>
          <t>MWh</t>
        </is>
      </c>
      <c r="K927" s="8" t="n">
        <v>1091985.853</v>
      </c>
      <c r="L927" s="6" t="inlineStr">
        <is>
          <t>MWh</t>
        </is>
      </c>
      <c r="M927" s="6" t="inlineStr">
        <is>
          <t>ANDE</t>
        </is>
      </c>
      <c r="N927" s="6" t="inlineStr">
        <is>
          <t>OFFICIAL_PRIMARY</t>
        </is>
      </c>
      <c r="O927" s="9" t="inlineStr">
        <is>
          <t>OFFICIAL_AGGREGATE</t>
        </is>
      </c>
      <c r="P927" s="8" t="n">
        <v>1</v>
      </c>
      <c r="Q927" s="8" t="n">
        <v>40</v>
      </c>
      <c r="R927" s="7" t="inlineStr">
        <is>
          <t>https://www.ande.gov.py/estadisticas/BalanceEnergia1983-2006/CompilacionEstadistica83-06.pdf</t>
        </is>
      </c>
      <c r="S927" s="6" t="inlineStr">
        <is>
          <t>ANDE-83-06</t>
        </is>
      </c>
      <c r="T927" s="6" t="inlineStr"/>
      <c r="U927" s="4" t="inlineStr">
        <is>
          <t>2026-09-11 00:05:00</t>
        </is>
      </c>
      <c r="V927" s="4" t="inlineStr">
        <is>
          <t>Serie historica antigua; usar compilaciones posteriores para solapes cuando existan.</t>
        </is>
      </c>
    </row>
    <row r="928">
      <c r="A928" s="6" t="inlineStr">
        <is>
          <t>R0000927</t>
        </is>
      </c>
      <c r="B928" s="6" t="inlineStr">
        <is>
          <t>1993-01-01</t>
        </is>
      </c>
      <c r="C928" s="6" t="inlineStr">
        <is>
          <t>1993-12-31</t>
        </is>
      </c>
      <c r="D928" s="6" t="inlineStr">
        <is>
          <t>year</t>
        </is>
      </c>
      <c r="E928" s="6" t="inlineStr">
        <is>
          <t>ANDE_BILLED_INDUSTRIAL_ENERGY</t>
        </is>
      </c>
      <c r="F928" s="6" t="inlineStr">
        <is>
          <t>PY_SIN</t>
        </is>
      </c>
      <c r="G928" s="6" t="inlineStr">
        <is>
          <t>PY</t>
        </is>
      </c>
      <c r="H928" s="6" t="inlineStr">
        <is>
          <t>PY</t>
        </is>
      </c>
      <c r="I928" s="8" t="n">
        <v>627802.925</v>
      </c>
      <c r="J928" s="6" t="inlineStr">
        <is>
          <t>MWh</t>
        </is>
      </c>
      <c r="K928" s="8" t="n">
        <v>627802.925</v>
      </c>
      <c r="L928" s="6" t="inlineStr">
        <is>
          <t>MWh</t>
        </is>
      </c>
      <c r="M928" s="6" t="inlineStr">
        <is>
          <t>ANDE</t>
        </is>
      </c>
      <c r="N928" s="6" t="inlineStr">
        <is>
          <t>OFFICIAL_PRIMARY</t>
        </is>
      </c>
      <c r="O928" s="9" t="inlineStr">
        <is>
          <t>OFFICIAL_AGGREGATE</t>
        </is>
      </c>
      <c r="P928" s="8" t="n">
        <v>1</v>
      </c>
      <c r="Q928" s="8" t="n">
        <v>40</v>
      </c>
      <c r="R928" s="7" t="inlineStr">
        <is>
          <t>https://www.ande.gov.py/estadisticas/BalanceEnergia1983-2006/CompilacionEstadistica83-06.pdf</t>
        </is>
      </c>
      <c r="S928" s="6" t="inlineStr">
        <is>
          <t>ANDE-83-06</t>
        </is>
      </c>
      <c r="T928" s="6" t="inlineStr"/>
      <c r="U928" s="4" t="inlineStr">
        <is>
          <t>2026-09-11 00:05:00</t>
        </is>
      </c>
      <c r="V928" s="4" t="inlineStr">
        <is>
          <t>Serie historica antigua; usar compilaciones posteriores para solapes cuando existan.</t>
        </is>
      </c>
    </row>
    <row r="929">
      <c r="A929" s="6" t="inlineStr">
        <is>
          <t>R0000928</t>
        </is>
      </c>
      <c r="B929" s="6" t="inlineStr">
        <is>
          <t>1993-01-01</t>
        </is>
      </c>
      <c r="C929" s="6" t="inlineStr">
        <is>
          <t>1993-12-31</t>
        </is>
      </c>
      <c r="D929" s="6" t="inlineStr">
        <is>
          <t>year</t>
        </is>
      </c>
      <c r="E929" s="6" t="inlineStr">
        <is>
          <t>ANDE_BILLED_OTHER_ENERGY</t>
        </is>
      </c>
      <c r="F929" s="6" t="inlineStr">
        <is>
          <t>PY_SIN</t>
        </is>
      </c>
      <c r="G929" s="6" t="inlineStr">
        <is>
          <t>PY</t>
        </is>
      </c>
      <c r="H929" s="6" t="inlineStr">
        <is>
          <t>PY</t>
        </is>
      </c>
      <c r="I929" s="8" t="n">
        <v>500635.413</v>
      </c>
      <c r="J929" s="6" t="inlineStr">
        <is>
          <t>MWh</t>
        </is>
      </c>
      <c r="K929" s="8" t="n">
        <v>500635.413</v>
      </c>
      <c r="L929" s="6" t="inlineStr">
        <is>
          <t>MWh</t>
        </is>
      </c>
      <c r="M929" s="6" t="inlineStr">
        <is>
          <t>ANDE</t>
        </is>
      </c>
      <c r="N929" s="6" t="inlineStr">
        <is>
          <t>OFFICIAL_PRIMARY</t>
        </is>
      </c>
      <c r="O929" s="9" t="inlineStr">
        <is>
          <t>OFFICIAL_AGGREGATE</t>
        </is>
      </c>
      <c r="P929" s="8" t="n">
        <v>1</v>
      </c>
      <c r="Q929" s="8" t="n">
        <v>40</v>
      </c>
      <c r="R929" s="7" t="inlineStr">
        <is>
          <t>https://www.ande.gov.py/estadisticas/BalanceEnergia1983-2006/CompilacionEstadistica83-06.pdf</t>
        </is>
      </c>
      <c r="S929" s="6" t="inlineStr">
        <is>
          <t>ANDE-83-06</t>
        </is>
      </c>
      <c r="T929" s="6" t="inlineStr"/>
      <c r="U929" s="4" t="inlineStr">
        <is>
          <t>2026-09-11 00:05:00</t>
        </is>
      </c>
      <c r="V929" s="4" t="inlineStr">
        <is>
          <t>Serie historica antigua; usar compilaciones posteriores para solapes cuando existan.</t>
        </is>
      </c>
    </row>
    <row r="930">
      <c r="A930" s="6" t="inlineStr">
        <is>
          <t>R0000929</t>
        </is>
      </c>
      <c r="B930" s="6" t="inlineStr">
        <is>
          <t>1993-01-01</t>
        </is>
      </c>
      <c r="C930" s="6" t="inlineStr">
        <is>
          <t>1993-12-31</t>
        </is>
      </c>
      <c r="D930" s="6" t="inlineStr">
        <is>
          <t>year</t>
        </is>
      </c>
      <c r="E930" s="6" t="inlineStr">
        <is>
          <t>ANDE_EXPORT_BILLED_ENERGY</t>
        </is>
      </c>
      <c r="F930" s="6" t="inlineStr">
        <is>
          <t>PY_SIN</t>
        </is>
      </c>
      <c r="G930" s="6" t="inlineStr">
        <is>
          <t>PY</t>
        </is>
      </c>
      <c r="H930" s="6" t="inlineStr">
        <is>
          <t>EXTERNAL</t>
        </is>
      </c>
      <c r="I930" s="8" t="n">
        <v>114533.144</v>
      </c>
      <c r="J930" s="6" t="inlineStr">
        <is>
          <t>MWh</t>
        </is>
      </c>
      <c r="K930" s="8" t="n">
        <v>114533.144</v>
      </c>
      <c r="L930" s="6" t="inlineStr">
        <is>
          <t>MWh</t>
        </is>
      </c>
      <c r="M930" s="6" t="inlineStr">
        <is>
          <t>ANDE</t>
        </is>
      </c>
      <c r="N930" s="6" t="inlineStr">
        <is>
          <t>OFFICIAL_PRIMARY</t>
        </is>
      </c>
      <c r="O930" s="9" t="inlineStr">
        <is>
          <t>OFFICIAL_AGGREGATE</t>
        </is>
      </c>
      <c r="P930" s="8" t="n">
        <v>1</v>
      </c>
      <c r="Q930" s="8" t="n">
        <v>40</v>
      </c>
      <c r="R930" s="7" t="inlineStr">
        <is>
          <t>https://www.ande.gov.py/estadisticas/BalanceEnergia1983-2006/CompilacionEstadistica83-06.pdf</t>
        </is>
      </c>
      <c r="S930" s="6" t="inlineStr">
        <is>
          <t>ANDE-83-06</t>
        </is>
      </c>
      <c r="T930" s="6" t="inlineStr"/>
      <c r="U930" s="4" t="inlineStr">
        <is>
          <t>2026-09-11 00:05:00</t>
        </is>
      </c>
      <c r="V930" s="4" t="inlineStr">
        <is>
          <t>Serie historica antigua; usar compilaciones posteriores para solapes cuando existan.</t>
        </is>
      </c>
    </row>
    <row r="931">
      <c r="A931" s="6" t="inlineStr">
        <is>
          <t>R0000930</t>
        </is>
      </c>
      <c r="B931" s="6" t="inlineStr">
        <is>
          <t>1994-01-01</t>
        </is>
      </c>
      <c r="C931" s="6" t="inlineStr">
        <is>
          <t>1994-12-31</t>
        </is>
      </c>
      <c r="D931" s="6" t="inlineStr">
        <is>
          <t>year</t>
        </is>
      </c>
      <c r="E931" s="6" t="inlineStr">
        <is>
          <t>ANDE_BILLED_NATIONAL_ENERGY</t>
        </is>
      </c>
      <c r="F931" s="6" t="inlineStr">
        <is>
          <t>PY_SIN</t>
        </is>
      </c>
      <c r="G931" s="6" t="inlineStr">
        <is>
          <t>PY</t>
        </is>
      </c>
      <c r="H931" s="6" t="inlineStr">
        <is>
          <t>PY</t>
        </is>
      </c>
      <c r="I931" s="8" t="n">
        <v>2961442.739</v>
      </c>
      <c r="J931" s="6" t="inlineStr">
        <is>
          <t>MWh</t>
        </is>
      </c>
      <c r="K931" s="8" t="n">
        <v>2961442.739</v>
      </c>
      <c r="L931" s="6" t="inlineStr">
        <is>
          <t>MWh</t>
        </is>
      </c>
      <c r="M931" s="6" t="inlineStr">
        <is>
          <t>ANDE</t>
        </is>
      </c>
      <c r="N931" s="6" t="inlineStr">
        <is>
          <t>OFFICIAL_PRIMARY</t>
        </is>
      </c>
      <c r="O931" s="9" t="inlineStr">
        <is>
          <t>OFFICIAL_AGGREGATE</t>
        </is>
      </c>
      <c r="P931" s="8" t="n">
        <v>1</v>
      </c>
      <c r="Q931" s="8" t="n">
        <v>40</v>
      </c>
      <c r="R931" s="7" t="inlineStr">
        <is>
          <t>https://www.ande.gov.py/estadisticas/BalanceEnergia1983-2006/CompilacionEstadistica83-06.pdf</t>
        </is>
      </c>
      <c r="S931" s="6" t="inlineStr">
        <is>
          <t>ANDE-83-06</t>
        </is>
      </c>
      <c r="T931" s="6" t="inlineStr"/>
      <c r="U931" s="4" t="inlineStr">
        <is>
          <t>2026-09-11 00:05:00</t>
        </is>
      </c>
      <c r="V931" s="4" t="inlineStr">
        <is>
          <t>Serie historica antigua; usar compilaciones posteriores para solapes cuando existan.</t>
        </is>
      </c>
    </row>
    <row r="932">
      <c r="A932" s="6" t="inlineStr">
        <is>
          <t>R0000931</t>
        </is>
      </c>
      <c r="B932" s="6" t="inlineStr">
        <is>
          <t>1994-01-01</t>
        </is>
      </c>
      <c r="C932" s="6" t="inlineStr">
        <is>
          <t>1994-12-31</t>
        </is>
      </c>
      <c r="D932" s="6" t="inlineStr">
        <is>
          <t>year</t>
        </is>
      </c>
      <c r="E932" s="6" t="inlineStr">
        <is>
          <t>ANDE_TOTAL_ENERGY_SOLD</t>
        </is>
      </c>
      <c r="F932" s="6" t="inlineStr">
        <is>
          <t>PY_SIN</t>
        </is>
      </c>
      <c r="G932" s="6" t="inlineStr">
        <is>
          <t>PY</t>
        </is>
      </c>
      <c r="H932" s="6" t="inlineStr">
        <is>
          <t>PY</t>
        </is>
      </c>
      <c r="I932" s="8" t="n">
        <v>3140874.443</v>
      </c>
      <c r="J932" s="6" t="inlineStr">
        <is>
          <t>MWh</t>
        </is>
      </c>
      <c r="K932" s="8" t="n">
        <v>3140874.443</v>
      </c>
      <c r="L932" s="6" t="inlineStr">
        <is>
          <t>MWh</t>
        </is>
      </c>
      <c r="M932" s="6" t="inlineStr">
        <is>
          <t>ANDE</t>
        </is>
      </c>
      <c r="N932" s="6" t="inlineStr">
        <is>
          <t>OFFICIAL_PRIMARY</t>
        </is>
      </c>
      <c r="O932" s="9" t="inlineStr">
        <is>
          <t>OFFICIAL_AGGREGATE</t>
        </is>
      </c>
      <c r="P932" s="8" t="n">
        <v>1</v>
      </c>
      <c r="Q932" s="8" t="n">
        <v>40</v>
      </c>
      <c r="R932" s="7" t="inlineStr">
        <is>
          <t>https://www.ande.gov.py/estadisticas/BalanceEnergia1983-2006/CompilacionEstadistica83-06.pdf</t>
        </is>
      </c>
      <c r="S932" s="6" t="inlineStr">
        <is>
          <t>ANDE-83-06</t>
        </is>
      </c>
      <c r="T932" s="6" t="inlineStr"/>
      <c r="U932" s="4" t="inlineStr">
        <is>
          <t>2026-09-11 00:05:00</t>
        </is>
      </c>
      <c r="V932" s="4" t="inlineStr">
        <is>
          <t>Serie historica antigua; usar compilaciones posteriores para solapes cuando existan.</t>
        </is>
      </c>
    </row>
    <row r="933">
      <c r="A933" s="6" t="inlineStr">
        <is>
          <t>R0000932</t>
        </is>
      </c>
      <c r="B933" s="6" t="inlineStr">
        <is>
          <t>1994-01-01</t>
        </is>
      </c>
      <c r="C933" s="6" t="inlineStr">
        <is>
          <t>1994-12-31</t>
        </is>
      </c>
      <c r="D933" s="6" t="inlineStr">
        <is>
          <t>year</t>
        </is>
      </c>
      <c r="E933" s="6" t="inlineStr">
        <is>
          <t>ANDE_BILLED_RESIDENTIAL_ENERGY</t>
        </is>
      </c>
      <c r="F933" s="6" t="inlineStr">
        <is>
          <t>PY_SIN</t>
        </is>
      </c>
      <c r="G933" s="6" t="inlineStr">
        <is>
          <t>PY</t>
        </is>
      </c>
      <c r="H933" s="6" t="inlineStr">
        <is>
          <t>PY</t>
        </is>
      </c>
      <c r="I933" s="8" t="n">
        <v>1237303.064</v>
      </c>
      <c r="J933" s="6" t="inlineStr">
        <is>
          <t>MWh</t>
        </is>
      </c>
      <c r="K933" s="8" t="n">
        <v>1237303.064</v>
      </c>
      <c r="L933" s="6" t="inlineStr">
        <is>
          <t>MWh</t>
        </is>
      </c>
      <c r="M933" s="6" t="inlineStr">
        <is>
          <t>ANDE</t>
        </is>
      </c>
      <c r="N933" s="6" t="inlineStr">
        <is>
          <t>OFFICIAL_PRIMARY</t>
        </is>
      </c>
      <c r="O933" s="9" t="inlineStr">
        <is>
          <t>OFFICIAL_AGGREGATE</t>
        </is>
      </c>
      <c r="P933" s="8" t="n">
        <v>1</v>
      </c>
      <c r="Q933" s="8" t="n">
        <v>40</v>
      </c>
      <c r="R933" s="7" t="inlineStr">
        <is>
          <t>https://www.ande.gov.py/estadisticas/BalanceEnergia1983-2006/CompilacionEstadistica83-06.pdf</t>
        </is>
      </c>
      <c r="S933" s="6" t="inlineStr">
        <is>
          <t>ANDE-83-06</t>
        </is>
      </c>
      <c r="T933" s="6" t="inlineStr"/>
      <c r="U933" s="4" t="inlineStr">
        <is>
          <t>2026-09-11 00:05:00</t>
        </is>
      </c>
      <c r="V933" s="4" t="inlineStr">
        <is>
          <t>Serie historica antigua; usar compilaciones posteriores para solapes cuando existan.</t>
        </is>
      </c>
    </row>
    <row r="934">
      <c r="A934" s="6" t="inlineStr">
        <is>
          <t>R0000933</t>
        </is>
      </c>
      <c r="B934" s="6" t="inlineStr">
        <is>
          <t>1994-01-01</t>
        </is>
      </c>
      <c r="C934" s="6" t="inlineStr">
        <is>
          <t>1994-12-31</t>
        </is>
      </c>
      <c r="D934" s="6" t="inlineStr">
        <is>
          <t>year</t>
        </is>
      </c>
      <c r="E934" s="6" t="inlineStr">
        <is>
          <t>ANDE_BILLED_INDUSTRIAL_ENERGY</t>
        </is>
      </c>
      <c r="F934" s="6" t="inlineStr">
        <is>
          <t>PY_SIN</t>
        </is>
      </c>
      <c r="G934" s="6" t="inlineStr">
        <is>
          <t>PY</t>
        </is>
      </c>
      <c r="H934" s="6" t="inlineStr">
        <is>
          <t>PY</t>
        </is>
      </c>
      <c r="I934" s="8" t="n">
        <v>697719.072</v>
      </c>
      <c r="J934" s="6" t="inlineStr">
        <is>
          <t>MWh</t>
        </is>
      </c>
      <c r="K934" s="8" t="n">
        <v>697719.072</v>
      </c>
      <c r="L934" s="6" t="inlineStr">
        <is>
          <t>MWh</t>
        </is>
      </c>
      <c r="M934" s="6" t="inlineStr">
        <is>
          <t>ANDE</t>
        </is>
      </c>
      <c r="N934" s="6" t="inlineStr">
        <is>
          <t>OFFICIAL_PRIMARY</t>
        </is>
      </c>
      <c r="O934" s="9" t="inlineStr">
        <is>
          <t>OFFICIAL_AGGREGATE</t>
        </is>
      </c>
      <c r="P934" s="8" t="n">
        <v>1</v>
      </c>
      <c r="Q934" s="8" t="n">
        <v>40</v>
      </c>
      <c r="R934" s="7" t="inlineStr">
        <is>
          <t>https://www.ande.gov.py/estadisticas/BalanceEnergia1983-2006/CompilacionEstadistica83-06.pdf</t>
        </is>
      </c>
      <c r="S934" s="6" t="inlineStr">
        <is>
          <t>ANDE-83-06</t>
        </is>
      </c>
      <c r="T934" s="6" t="inlineStr"/>
      <c r="U934" s="4" t="inlineStr">
        <is>
          <t>2026-09-11 00:05:00</t>
        </is>
      </c>
      <c r="V934" s="4" t="inlineStr">
        <is>
          <t>Serie historica antigua; usar compilaciones posteriores para solapes cuando existan.</t>
        </is>
      </c>
    </row>
    <row r="935">
      <c r="A935" s="6" t="inlineStr">
        <is>
          <t>R0000934</t>
        </is>
      </c>
      <c r="B935" s="6" t="inlineStr">
        <is>
          <t>1994-01-01</t>
        </is>
      </c>
      <c r="C935" s="6" t="inlineStr">
        <is>
          <t>1994-12-31</t>
        </is>
      </c>
      <c r="D935" s="6" t="inlineStr">
        <is>
          <t>year</t>
        </is>
      </c>
      <c r="E935" s="6" t="inlineStr">
        <is>
          <t>ANDE_BILLED_OTHER_ENERGY</t>
        </is>
      </c>
      <c r="F935" s="6" t="inlineStr">
        <is>
          <t>PY_SIN</t>
        </is>
      </c>
      <c r="G935" s="6" t="inlineStr">
        <is>
          <t>PY</t>
        </is>
      </c>
      <c r="H935" s="6" t="inlineStr">
        <is>
          <t>PY</t>
        </is>
      </c>
      <c r="I935" s="8" t="n">
        <v>496789.73</v>
      </c>
      <c r="J935" s="6" t="inlineStr">
        <is>
          <t>MWh</t>
        </is>
      </c>
      <c r="K935" s="8" t="n">
        <v>496789.73</v>
      </c>
      <c r="L935" s="6" t="inlineStr">
        <is>
          <t>MWh</t>
        </is>
      </c>
      <c r="M935" s="6" t="inlineStr">
        <is>
          <t>ANDE</t>
        </is>
      </c>
      <c r="N935" s="6" t="inlineStr">
        <is>
          <t>OFFICIAL_PRIMARY</t>
        </is>
      </c>
      <c r="O935" s="9" t="inlineStr">
        <is>
          <t>OFFICIAL_AGGREGATE</t>
        </is>
      </c>
      <c r="P935" s="8" t="n">
        <v>1</v>
      </c>
      <c r="Q935" s="8" t="n">
        <v>40</v>
      </c>
      <c r="R935" s="7" t="inlineStr">
        <is>
          <t>https://www.ande.gov.py/estadisticas/BalanceEnergia1983-2006/CompilacionEstadistica83-06.pdf</t>
        </is>
      </c>
      <c r="S935" s="6" t="inlineStr">
        <is>
          <t>ANDE-83-06</t>
        </is>
      </c>
      <c r="T935" s="6" t="inlineStr"/>
      <c r="U935" s="4" t="inlineStr">
        <is>
          <t>2026-09-11 00:05:00</t>
        </is>
      </c>
      <c r="V935" s="4" t="inlineStr">
        <is>
          <t>Serie historica antigua; usar compilaciones posteriores para solapes cuando existan.</t>
        </is>
      </c>
    </row>
    <row r="936">
      <c r="A936" s="6" t="inlineStr">
        <is>
          <t>R0000935</t>
        </is>
      </c>
      <c r="B936" s="6" t="inlineStr">
        <is>
          <t>1994-01-01</t>
        </is>
      </c>
      <c r="C936" s="6" t="inlineStr">
        <is>
          <t>1994-12-31</t>
        </is>
      </c>
      <c r="D936" s="6" t="inlineStr">
        <is>
          <t>year</t>
        </is>
      </c>
      <c r="E936" s="6" t="inlineStr">
        <is>
          <t>ANDE_EXPORT_BILLED_ENERGY</t>
        </is>
      </c>
      <c r="F936" s="6" t="inlineStr">
        <is>
          <t>PY_SIN</t>
        </is>
      </c>
      <c r="G936" s="6" t="inlineStr">
        <is>
          <t>PY</t>
        </is>
      </c>
      <c r="H936" s="6" t="inlineStr">
        <is>
          <t>EXTERNAL</t>
        </is>
      </c>
      <c r="I936" s="8" t="n">
        <v>179431.704</v>
      </c>
      <c r="J936" s="6" t="inlineStr">
        <is>
          <t>MWh</t>
        </is>
      </c>
      <c r="K936" s="8" t="n">
        <v>179431.704</v>
      </c>
      <c r="L936" s="6" t="inlineStr">
        <is>
          <t>MWh</t>
        </is>
      </c>
      <c r="M936" s="6" t="inlineStr">
        <is>
          <t>ANDE</t>
        </is>
      </c>
      <c r="N936" s="6" t="inlineStr">
        <is>
          <t>OFFICIAL_PRIMARY</t>
        </is>
      </c>
      <c r="O936" s="9" t="inlineStr">
        <is>
          <t>OFFICIAL_AGGREGATE</t>
        </is>
      </c>
      <c r="P936" s="8" t="n">
        <v>1</v>
      </c>
      <c r="Q936" s="8" t="n">
        <v>40</v>
      </c>
      <c r="R936" s="7" t="inlineStr">
        <is>
          <t>https://www.ande.gov.py/estadisticas/BalanceEnergia1983-2006/CompilacionEstadistica83-06.pdf</t>
        </is>
      </c>
      <c r="S936" s="6" t="inlineStr">
        <is>
          <t>ANDE-83-06</t>
        </is>
      </c>
      <c r="T936" s="6" t="inlineStr"/>
      <c r="U936" s="4" t="inlineStr">
        <is>
          <t>2026-09-11 00:05:00</t>
        </is>
      </c>
      <c r="V936" s="4" t="inlineStr">
        <is>
          <t>Serie historica antigua; usar compilaciones posteriores para solapes cuando existan.</t>
        </is>
      </c>
    </row>
    <row r="937">
      <c r="A937" s="6" t="inlineStr">
        <is>
          <t>R0000936</t>
        </is>
      </c>
      <c r="B937" s="6" t="inlineStr">
        <is>
          <t>1995-01-01</t>
        </is>
      </c>
      <c r="C937" s="6" t="inlineStr">
        <is>
          <t>1995-12-31</t>
        </is>
      </c>
      <c r="D937" s="6" t="inlineStr">
        <is>
          <t>year</t>
        </is>
      </c>
      <c r="E937" s="6" t="inlineStr">
        <is>
          <t>ANDE_BILLED_NATIONAL_ENERGY</t>
        </is>
      </c>
      <c r="F937" s="6" t="inlineStr">
        <is>
          <t>PY_SIN</t>
        </is>
      </c>
      <c r="G937" s="6" t="inlineStr">
        <is>
          <t>PY</t>
        </is>
      </c>
      <c r="H937" s="6" t="inlineStr">
        <is>
          <t>PY</t>
        </is>
      </c>
      <c r="I937" s="8" t="n">
        <v>3375568.804</v>
      </c>
      <c r="J937" s="6" t="inlineStr">
        <is>
          <t>MWh</t>
        </is>
      </c>
      <c r="K937" s="8" t="n">
        <v>3375568.804</v>
      </c>
      <c r="L937" s="6" t="inlineStr">
        <is>
          <t>MWh</t>
        </is>
      </c>
      <c r="M937" s="6" t="inlineStr">
        <is>
          <t>ANDE</t>
        </is>
      </c>
      <c r="N937" s="6" t="inlineStr">
        <is>
          <t>OFFICIAL_PRIMARY</t>
        </is>
      </c>
      <c r="O937" s="9" t="inlineStr">
        <is>
          <t>OFFICIAL_AGGREGATE</t>
        </is>
      </c>
      <c r="P937" s="8" t="n">
        <v>1</v>
      </c>
      <c r="Q937" s="8" t="n">
        <v>40</v>
      </c>
      <c r="R937" s="7" t="inlineStr">
        <is>
          <t>https://www.ande.gov.py/estadisticas/BalanceEnergia1983-2006/CompilacionEstadistica83-06.pdf</t>
        </is>
      </c>
      <c r="S937" s="6" t="inlineStr">
        <is>
          <t>ANDE-83-06</t>
        </is>
      </c>
      <c r="T937" s="6" t="inlineStr"/>
      <c r="U937" s="4" t="inlineStr">
        <is>
          <t>2026-09-11 00:05:00</t>
        </is>
      </c>
      <c r="V937" s="4" t="inlineStr">
        <is>
          <t>Serie historica antigua; usar compilaciones posteriores para solapes cuando existan.</t>
        </is>
      </c>
    </row>
    <row r="938">
      <c r="A938" s="6" t="inlineStr">
        <is>
          <t>R0000937</t>
        </is>
      </c>
      <c r="B938" s="6" t="inlineStr">
        <is>
          <t>1995-01-01</t>
        </is>
      </c>
      <c r="C938" s="6" t="inlineStr">
        <is>
          <t>1995-12-31</t>
        </is>
      </c>
      <c r="D938" s="6" t="inlineStr">
        <is>
          <t>year</t>
        </is>
      </c>
      <c r="E938" s="6" t="inlineStr">
        <is>
          <t>ANDE_TOTAL_ENERGY_SOLD</t>
        </is>
      </c>
      <c r="F938" s="6" t="inlineStr">
        <is>
          <t>PY_SIN</t>
        </is>
      </c>
      <c r="G938" s="6" t="inlineStr">
        <is>
          <t>PY</t>
        </is>
      </c>
      <c r="H938" s="6" t="inlineStr">
        <is>
          <t>PY</t>
        </is>
      </c>
      <c r="I938" s="8" t="n">
        <v>3605894.515</v>
      </c>
      <c r="J938" s="6" t="inlineStr">
        <is>
          <t>MWh</t>
        </is>
      </c>
      <c r="K938" s="8" t="n">
        <v>3605894.515</v>
      </c>
      <c r="L938" s="6" t="inlineStr">
        <is>
          <t>MWh</t>
        </is>
      </c>
      <c r="M938" s="6" t="inlineStr">
        <is>
          <t>ANDE</t>
        </is>
      </c>
      <c r="N938" s="6" t="inlineStr">
        <is>
          <t>OFFICIAL_PRIMARY</t>
        </is>
      </c>
      <c r="O938" s="9" t="inlineStr">
        <is>
          <t>OFFICIAL_AGGREGATE</t>
        </is>
      </c>
      <c r="P938" s="8" t="n">
        <v>1</v>
      </c>
      <c r="Q938" s="8" t="n">
        <v>40</v>
      </c>
      <c r="R938" s="7" t="inlineStr">
        <is>
          <t>https://www.ande.gov.py/estadisticas/BalanceEnergia1983-2006/CompilacionEstadistica83-06.pdf</t>
        </is>
      </c>
      <c r="S938" s="6" t="inlineStr">
        <is>
          <t>ANDE-83-06</t>
        </is>
      </c>
      <c r="T938" s="6" t="inlineStr"/>
      <c r="U938" s="4" t="inlineStr">
        <is>
          <t>2026-09-11 00:05:00</t>
        </is>
      </c>
      <c r="V938" s="4" t="inlineStr">
        <is>
          <t>Serie historica antigua; usar compilaciones posteriores para solapes cuando existan.</t>
        </is>
      </c>
    </row>
    <row r="939">
      <c r="A939" s="6" t="inlineStr">
        <is>
          <t>R0000938</t>
        </is>
      </c>
      <c r="B939" s="6" t="inlineStr">
        <is>
          <t>1995-01-01</t>
        </is>
      </c>
      <c r="C939" s="6" t="inlineStr">
        <is>
          <t>1995-12-31</t>
        </is>
      </c>
      <c r="D939" s="6" t="inlineStr">
        <is>
          <t>year</t>
        </is>
      </c>
      <c r="E939" s="6" t="inlineStr">
        <is>
          <t>ANDE_BILLED_RESIDENTIAL_ENERGY</t>
        </is>
      </c>
      <c r="F939" s="6" t="inlineStr">
        <is>
          <t>PY_SIN</t>
        </is>
      </c>
      <c r="G939" s="6" t="inlineStr">
        <is>
          <t>PY</t>
        </is>
      </c>
      <c r="H939" s="6" t="inlineStr">
        <is>
          <t>PY</t>
        </is>
      </c>
      <c r="I939" s="8" t="n">
        <v>1444914.624</v>
      </c>
      <c r="J939" s="6" t="inlineStr">
        <is>
          <t>MWh</t>
        </is>
      </c>
      <c r="K939" s="8" t="n">
        <v>1444914.624</v>
      </c>
      <c r="L939" s="6" t="inlineStr">
        <is>
          <t>MWh</t>
        </is>
      </c>
      <c r="M939" s="6" t="inlineStr">
        <is>
          <t>ANDE</t>
        </is>
      </c>
      <c r="N939" s="6" t="inlineStr">
        <is>
          <t>OFFICIAL_PRIMARY</t>
        </is>
      </c>
      <c r="O939" s="9" t="inlineStr">
        <is>
          <t>OFFICIAL_AGGREGATE</t>
        </is>
      </c>
      <c r="P939" s="8" t="n">
        <v>1</v>
      </c>
      <c r="Q939" s="8" t="n">
        <v>40</v>
      </c>
      <c r="R939" s="7" t="inlineStr">
        <is>
          <t>https://www.ande.gov.py/estadisticas/BalanceEnergia1983-2006/CompilacionEstadistica83-06.pdf</t>
        </is>
      </c>
      <c r="S939" s="6" t="inlineStr">
        <is>
          <t>ANDE-83-06</t>
        </is>
      </c>
      <c r="T939" s="6" t="inlineStr"/>
      <c r="U939" s="4" t="inlineStr">
        <is>
          <t>2026-09-11 00:05:00</t>
        </is>
      </c>
      <c r="V939" s="4" t="inlineStr">
        <is>
          <t>Serie historica antigua; usar compilaciones posteriores para solapes cuando existan.</t>
        </is>
      </c>
    </row>
    <row r="940">
      <c r="A940" s="6" t="inlineStr">
        <is>
          <t>R0000939</t>
        </is>
      </c>
      <c r="B940" s="6" t="inlineStr">
        <is>
          <t>1995-01-01</t>
        </is>
      </c>
      <c r="C940" s="6" t="inlineStr">
        <is>
          <t>1995-12-31</t>
        </is>
      </c>
      <c r="D940" s="6" t="inlineStr">
        <is>
          <t>year</t>
        </is>
      </c>
      <c r="E940" s="6" t="inlineStr">
        <is>
          <t>ANDE_BILLED_INDUSTRIAL_ENERGY</t>
        </is>
      </c>
      <c r="F940" s="6" t="inlineStr">
        <is>
          <t>PY_SIN</t>
        </is>
      </c>
      <c r="G940" s="6" t="inlineStr">
        <is>
          <t>PY</t>
        </is>
      </c>
      <c r="H940" s="6" t="inlineStr">
        <is>
          <t>PY</t>
        </is>
      </c>
      <c r="I940" s="8" t="n">
        <v>798335.6360000001</v>
      </c>
      <c r="J940" s="6" t="inlineStr">
        <is>
          <t>MWh</t>
        </is>
      </c>
      <c r="K940" s="8" t="n">
        <v>798335.6360000001</v>
      </c>
      <c r="L940" s="6" t="inlineStr">
        <is>
          <t>MWh</t>
        </is>
      </c>
      <c r="M940" s="6" t="inlineStr">
        <is>
          <t>ANDE</t>
        </is>
      </c>
      <c r="N940" s="6" t="inlineStr">
        <is>
          <t>OFFICIAL_PRIMARY</t>
        </is>
      </c>
      <c r="O940" s="9" t="inlineStr">
        <is>
          <t>OFFICIAL_AGGREGATE</t>
        </is>
      </c>
      <c r="P940" s="8" t="n">
        <v>1</v>
      </c>
      <c r="Q940" s="8" t="n">
        <v>40</v>
      </c>
      <c r="R940" s="7" t="inlineStr">
        <is>
          <t>https://www.ande.gov.py/estadisticas/BalanceEnergia1983-2006/CompilacionEstadistica83-06.pdf</t>
        </is>
      </c>
      <c r="S940" s="6" t="inlineStr">
        <is>
          <t>ANDE-83-06</t>
        </is>
      </c>
      <c r="T940" s="6" t="inlineStr"/>
      <c r="U940" s="4" t="inlineStr">
        <is>
          <t>2026-09-11 00:05:00</t>
        </is>
      </c>
      <c r="V940" s="4" t="inlineStr">
        <is>
          <t>Serie historica antigua; usar compilaciones posteriores para solapes cuando existan.</t>
        </is>
      </c>
    </row>
    <row r="941">
      <c r="A941" s="6" t="inlineStr">
        <is>
          <t>R0000940</t>
        </is>
      </c>
      <c r="B941" s="6" t="inlineStr">
        <is>
          <t>1995-01-01</t>
        </is>
      </c>
      <c r="C941" s="6" t="inlineStr">
        <is>
          <t>1995-12-31</t>
        </is>
      </c>
      <c r="D941" s="6" t="inlineStr">
        <is>
          <t>year</t>
        </is>
      </c>
      <c r="E941" s="6" t="inlineStr">
        <is>
          <t>ANDE_BILLED_OTHER_ENERGY</t>
        </is>
      </c>
      <c r="F941" s="6" t="inlineStr">
        <is>
          <t>PY_SIN</t>
        </is>
      </c>
      <c r="G941" s="6" t="inlineStr">
        <is>
          <t>PY</t>
        </is>
      </c>
      <c r="H941" s="6" t="inlineStr">
        <is>
          <t>PY</t>
        </is>
      </c>
      <c r="I941" s="8" t="n">
        <v>483045.037</v>
      </c>
      <c r="J941" s="6" t="inlineStr">
        <is>
          <t>MWh</t>
        </is>
      </c>
      <c r="K941" s="8" t="n">
        <v>483045.037</v>
      </c>
      <c r="L941" s="6" t="inlineStr">
        <is>
          <t>MWh</t>
        </is>
      </c>
      <c r="M941" s="6" t="inlineStr">
        <is>
          <t>ANDE</t>
        </is>
      </c>
      <c r="N941" s="6" t="inlineStr">
        <is>
          <t>OFFICIAL_PRIMARY</t>
        </is>
      </c>
      <c r="O941" s="9" t="inlineStr">
        <is>
          <t>OFFICIAL_AGGREGATE</t>
        </is>
      </c>
      <c r="P941" s="8" t="n">
        <v>1</v>
      </c>
      <c r="Q941" s="8" t="n">
        <v>40</v>
      </c>
      <c r="R941" s="7" t="inlineStr">
        <is>
          <t>https://www.ande.gov.py/estadisticas/BalanceEnergia1983-2006/CompilacionEstadistica83-06.pdf</t>
        </is>
      </c>
      <c r="S941" s="6" t="inlineStr">
        <is>
          <t>ANDE-83-06</t>
        </is>
      </c>
      <c r="T941" s="6" t="inlineStr"/>
      <c r="U941" s="4" t="inlineStr">
        <is>
          <t>2026-09-11 00:05:00</t>
        </is>
      </c>
      <c r="V941" s="4" t="inlineStr">
        <is>
          <t>Serie historica antigua; usar compilaciones posteriores para solapes cuando existan.</t>
        </is>
      </c>
    </row>
    <row r="942">
      <c r="A942" s="6" t="inlineStr">
        <is>
          <t>R0000941</t>
        </is>
      </c>
      <c r="B942" s="6" t="inlineStr">
        <is>
          <t>1995-01-01</t>
        </is>
      </c>
      <c r="C942" s="6" t="inlineStr">
        <is>
          <t>1995-12-31</t>
        </is>
      </c>
      <c r="D942" s="6" t="inlineStr">
        <is>
          <t>year</t>
        </is>
      </c>
      <c r="E942" s="6" t="inlineStr">
        <is>
          <t>ANDE_EXPORT_BILLED_ENERGY</t>
        </is>
      </c>
      <c r="F942" s="6" t="inlineStr">
        <is>
          <t>PY_SIN</t>
        </is>
      </c>
      <c r="G942" s="6" t="inlineStr">
        <is>
          <t>PY</t>
        </is>
      </c>
      <c r="H942" s="6" t="inlineStr">
        <is>
          <t>EXTERNAL</t>
        </is>
      </c>
      <c r="I942" s="8" t="n">
        <v>225696.357</v>
      </c>
      <c r="J942" s="6" t="inlineStr">
        <is>
          <t>MWh</t>
        </is>
      </c>
      <c r="K942" s="8" t="n">
        <v>225696.357</v>
      </c>
      <c r="L942" s="6" t="inlineStr">
        <is>
          <t>MWh</t>
        </is>
      </c>
      <c r="M942" s="6" t="inlineStr">
        <is>
          <t>ANDE</t>
        </is>
      </c>
      <c r="N942" s="6" t="inlineStr">
        <is>
          <t>OFFICIAL_PRIMARY</t>
        </is>
      </c>
      <c r="O942" s="9" t="inlineStr">
        <is>
          <t>OFFICIAL_AGGREGATE</t>
        </is>
      </c>
      <c r="P942" s="8" t="n">
        <v>1</v>
      </c>
      <c r="Q942" s="8" t="n">
        <v>40</v>
      </c>
      <c r="R942" s="7" t="inlineStr">
        <is>
          <t>https://www.ande.gov.py/estadisticas/BalanceEnergia1983-2006/CompilacionEstadistica83-06.pdf</t>
        </is>
      </c>
      <c r="S942" s="6" t="inlineStr">
        <is>
          <t>ANDE-83-06</t>
        </is>
      </c>
      <c r="T942" s="6" t="inlineStr"/>
      <c r="U942" s="4" t="inlineStr">
        <is>
          <t>2026-09-11 00:05:00</t>
        </is>
      </c>
      <c r="V942" s="4" t="inlineStr">
        <is>
          <t>Serie historica antigua; usar compilaciones posteriores para solapes cuando existan.</t>
        </is>
      </c>
    </row>
    <row r="943">
      <c r="A943" s="6" t="inlineStr">
        <is>
          <t>R0000942</t>
        </is>
      </c>
      <c r="B943" s="6" t="inlineStr">
        <is>
          <t>1996-01-01</t>
        </is>
      </c>
      <c r="C943" s="6" t="inlineStr">
        <is>
          <t>1996-12-31</t>
        </is>
      </c>
      <c r="D943" s="6" t="inlineStr">
        <is>
          <t>year</t>
        </is>
      </c>
      <c r="E943" s="6" t="inlineStr">
        <is>
          <t>ANDE_BILLED_NATIONAL_ENERGY</t>
        </is>
      </c>
      <c r="F943" s="6" t="inlineStr">
        <is>
          <t>PY_SIN</t>
        </is>
      </c>
      <c r="G943" s="6" t="inlineStr">
        <is>
          <t>PY</t>
        </is>
      </c>
      <c r="H943" s="6" t="inlineStr">
        <is>
          <t>PY</t>
        </is>
      </c>
      <c r="I943" s="8" t="n">
        <v>3582050.592</v>
      </c>
      <c r="J943" s="6" t="inlineStr">
        <is>
          <t>MWh</t>
        </is>
      </c>
      <c r="K943" s="8" t="n">
        <v>3582050.592</v>
      </c>
      <c r="L943" s="6" t="inlineStr">
        <is>
          <t>MWh</t>
        </is>
      </c>
      <c r="M943" s="6" t="inlineStr">
        <is>
          <t>ANDE</t>
        </is>
      </c>
      <c r="N943" s="6" t="inlineStr">
        <is>
          <t>OFFICIAL_PRIMARY</t>
        </is>
      </c>
      <c r="O943" s="9" t="inlineStr">
        <is>
          <t>OFFICIAL_AGGREGATE</t>
        </is>
      </c>
      <c r="P943" s="8" t="n">
        <v>1</v>
      </c>
      <c r="Q943" s="8" t="n">
        <v>40</v>
      </c>
      <c r="R943" s="7" t="inlineStr">
        <is>
          <t>https://www.ande.gov.py/estadisticas/BalanceEnergia1983-2006/CompilacionEstadistica83-06.pdf</t>
        </is>
      </c>
      <c r="S943" s="6" t="inlineStr">
        <is>
          <t>ANDE-83-06</t>
        </is>
      </c>
      <c r="T943" s="6" t="inlineStr"/>
      <c r="U943" s="4" t="inlineStr">
        <is>
          <t>2026-09-11 00:05:00</t>
        </is>
      </c>
      <c r="V943" s="4" t="inlineStr">
        <is>
          <t>Serie historica antigua; usar compilaciones posteriores para solapes cuando existan.</t>
        </is>
      </c>
    </row>
    <row r="944">
      <c r="A944" s="6" t="inlineStr">
        <is>
          <t>R0000943</t>
        </is>
      </c>
      <c r="B944" s="6" t="inlineStr">
        <is>
          <t>1996-01-01</t>
        </is>
      </c>
      <c r="C944" s="6" t="inlineStr">
        <is>
          <t>1996-12-31</t>
        </is>
      </c>
      <c r="D944" s="6" t="inlineStr">
        <is>
          <t>year</t>
        </is>
      </c>
      <c r="E944" s="6" t="inlineStr">
        <is>
          <t>ANDE_TOTAL_ENERGY_SOLD</t>
        </is>
      </c>
      <c r="F944" s="6" t="inlineStr">
        <is>
          <t>PY_SIN</t>
        </is>
      </c>
      <c r="G944" s="6" t="inlineStr">
        <is>
          <t>PY</t>
        </is>
      </c>
      <c r="H944" s="6" t="inlineStr">
        <is>
          <t>PY</t>
        </is>
      </c>
      <c r="I944" s="8" t="n">
        <v>3791966.915</v>
      </c>
      <c r="J944" s="6" t="inlineStr">
        <is>
          <t>MWh</t>
        </is>
      </c>
      <c r="K944" s="8" t="n">
        <v>3791966.915</v>
      </c>
      <c r="L944" s="6" t="inlineStr">
        <is>
          <t>MWh</t>
        </is>
      </c>
      <c r="M944" s="6" t="inlineStr">
        <is>
          <t>ANDE</t>
        </is>
      </c>
      <c r="N944" s="6" t="inlineStr">
        <is>
          <t>OFFICIAL_PRIMARY</t>
        </is>
      </c>
      <c r="O944" s="9" t="inlineStr">
        <is>
          <t>OFFICIAL_AGGREGATE</t>
        </is>
      </c>
      <c r="P944" s="8" t="n">
        <v>1</v>
      </c>
      <c r="Q944" s="8" t="n">
        <v>40</v>
      </c>
      <c r="R944" s="7" t="inlineStr">
        <is>
          <t>https://www.ande.gov.py/estadisticas/BalanceEnergia1983-2006/CompilacionEstadistica83-06.pdf</t>
        </is>
      </c>
      <c r="S944" s="6" t="inlineStr">
        <is>
          <t>ANDE-83-06</t>
        </is>
      </c>
      <c r="T944" s="6" t="inlineStr"/>
      <c r="U944" s="4" t="inlineStr">
        <is>
          <t>2026-09-11 00:05:00</t>
        </is>
      </c>
      <c r="V944" s="4" t="inlineStr">
        <is>
          <t>Serie historica antigua; usar compilaciones posteriores para solapes cuando existan.</t>
        </is>
      </c>
    </row>
    <row r="945">
      <c r="A945" s="6" t="inlineStr">
        <is>
          <t>R0000944</t>
        </is>
      </c>
      <c r="B945" s="6" t="inlineStr">
        <is>
          <t>1996-01-01</t>
        </is>
      </c>
      <c r="C945" s="6" t="inlineStr">
        <is>
          <t>1996-12-31</t>
        </is>
      </c>
      <c r="D945" s="6" t="inlineStr">
        <is>
          <t>year</t>
        </is>
      </c>
      <c r="E945" s="6" t="inlineStr">
        <is>
          <t>ANDE_BILLED_RESIDENTIAL_ENERGY</t>
        </is>
      </c>
      <c r="F945" s="6" t="inlineStr">
        <is>
          <t>PY_SIN</t>
        </is>
      </c>
      <c r="G945" s="6" t="inlineStr">
        <is>
          <t>PY</t>
        </is>
      </c>
      <c r="H945" s="6" t="inlineStr">
        <is>
          <t>PY</t>
        </is>
      </c>
      <c r="I945" s="8" t="n">
        <v>1590367.844</v>
      </c>
      <c r="J945" s="6" t="inlineStr">
        <is>
          <t>MWh</t>
        </is>
      </c>
      <c r="K945" s="8" t="n">
        <v>1590367.844</v>
      </c>
      <c r="L945" s="6" t="inlineStr">
        <is>
          <t>MWh</t>
        </is>
      </c>
      <c r="M945" s="6" t="inlineStr">
        <is>
          <t>ANDE</t>
        </is>
      </c>
      <c r="N945" s="6" t="inlineStr">
        <is>
          <t>OFFICIAL_PRIMARY</t>
        </is>
      </c>
      <c r="O945" s="9" t="inlineStr">
        <is>
          <t>OFFICIAL_AGGREGATE</t>
        </is>
      </c>
      <c r="P945" s="8" t="n">
        <v>1</v>
      </c>
      <c r="Q945" s="8" t="n">
        <v>40</v>
      </c>
      <c r="R945" s="7" t="inlineStr">
        <is>
          <t>https://www.ande.gov.py/estadisticas/BalanceEnergia1983-2006/CompilacionEstadistica83-06.pdf</t>
        </is>
      </c>
      <c r="S945" s="6" t="inlineStr">
        <is>
          <t>ANDE-83-06</t>
        </is>
      </c>
      <c r="T945" s="6" t="inlineStr"/>
      <c r="U945" s="4" t="inlineStr">
        <is>
          <t>2026-09-11 00:05:00</t>
        </is>
      </c>
      <c r="V945" s="4" t="inlineStr">
        <is>
          <t>Serie historica antigua; usar compilaciones posteriores para solapes cuando existan.</t>
        </is>
      </c>
    </row>
    <row r="946">
      <c r="A946" s="6" t="inlineStr">
        <is>
          <t>R0000945</t>
        </is>
      </c>
      <c r="B946" s="6" t="inlineStr">
        <is>
          <t>1996-01-01</t>
        </is>
      </c>
      <c r="C946" s="6" t="inlineStr">
        <is>
          <t>1996-12-31</t>
        </is>
      </c>
      <c r="D946" s="6" t="inlineStr">
        <is>
          <t>year</t>
        </is>
      </c>
      <c r="E946" s="6" t="inlineStr">
        <is>
          <t>ANDE_BILLED_INDUSTRIAL_ENERGY</t>
        </is>
      </c>
      <c r="F946" s="6" t="inlineStr">
        <is>
          <t>PY_SIN</t>
        </is>
      </c>
      <c r="G946" s="6" t="inlineStr">
        <is>
          <t>PY</t>
        </is>
      </c>
      <c r="H946" s="6" t="inlineStr">
        <is>
          <t>PY</t>
        </is>
      </c>
      <c r="I946" s="8" t="n">
        <v>767802.4889999999</v>
      </c>
      <c r="J946" s="6" t="inlineStr">
        <is>
          <t>MWh</t>
        </is>
      </c>
      <c r="K946" s="8" t="n">
        <v>767802.4889999999</v>
      </c>
      <c r="L946" s="6" t="inlineStr">
        <is>
          <t>MWh</t>
        </is>
      </c>
      <c r="M946" s="6" t="inlineStr">
        <is>
          <t>ANDE</t>
        </is>
      </c>
      <c r="N946" s="6" t="inlineStr">
        <is>
          <t>OFFICIAL_PRIMARY</t>
        </is>
      </c>
      <c r="O946" s="9" t="inlineStr">
        <is>
          <t>OFFICIAL_AGGREGATE</t>
        </is>
      </c>
      <c r="P946" s="8" t="n">
        <v>1</v>
      </c>
      <c r="Q946" s="8" t="n">
        <v>40</v>
      </c>
      <c r="R946" s="7" t="inlineStr">
        <is>
          <t>https://www.ande.gov.py/estadisticas/BalanceEnergia1983-2006/CompilacionEstadistica83-06.pdf</t>
        </is>
      </c>
      <c r="S946" s="6" t="inlineStr">
        <is>
          <t>ANDE-83-06</t>
        </is>
      </c>
      <c r="T946" s="6" t="inlineStr"/>
      <c r="U946" s="4" t="inlineStr">
        <is>
          <t>2026-09-11 00:05:00</t>
        </is>
      </c>
      <c r="V946" s="4" t="inlineStr">
        <is>
          <t>Serie historica antigua; usar compilaciones posteriores para solapes cuando existan.</t>
        </is>
      </c>
    </row>
    <row r="947">
      <c r="A947" s="6" t="inlineStr">
        <is>
          <t>R0000946</t>
        </is>
      </c>
      <c r="B947" s="6" t="inlineStr">
        <is>
          <t>1996-01-01</t>
        </is>
      </c>
      <c r="C947" s="6" t="inlineStr">
        <is>
          <t>1996-12-31</t>
        </is>
      </c>
      <c r="D947" s="6" t="inlineStr">
        <is>
          <t>year</t>
        </is>
      </c>
      <c r="E947" s="6" t="inlineStr">
        <is>
          <t>ANDE_BILLED_OTHER_ENERGY</t>
        </is>
      </c>
      <c r="F947" s="6" t="inlineStr">
        <is>
          <t>PY_SIN</t>
        </is>
      </c>
      <c r="G947" s="6" t="inlineStr">
        <is>
          <t>PY</t>
        </is>
      </c>
      <c r="H947" s="6" t="inlineStr">
        <is>
          <t>PY</t>
        </is>
      </c>
      <c r="I947" s="8" t="n">
        <v>526577.205</v>
      </c>
      <c r="J947" s="6" t="inlineStr">
        <is>
          <t>MWh</t>
        </is>
      </c>
      <c r="K947" s="8" t="n">
        <v>526577.205</v>
      </c>
      <c r="L947" s="6" t="inlineStr">
        <is>
          <t>MWh</t>
        </is>
      </c>
      <c r="M947" s="6" t="inlineStr">
        <is>
          <t>ANDE</t>
        </is>
      </c>
      <c r="N947" s="6" t="inlineStr">
        <is>
          <t>OFFICIAL_PRIMARY</t>
        </is>
      </c>
      <c r="O947" s="9" t="inlineStr">
        <is>
          <t>OFFICIAL_AGGREGATE</t>
        </is>
      </c>
      <c r="P947" s="8" t="n">
        <v>1</v>
      </c>
      <c r="Q947" s="8" t="n">
        <v>40</v>
      </c>
      <c r="R947" s="7" t="inlineStr">
        <is>
          <t>https://www.ande.gov.py/estadisticas/BalanceEnergia1983-2006/CompilacionEstadistica83-06.pdf</t>
        </is>
      </c>
      <c r="S947" s="6" t="inlineStr">
        <is>
          <t>ANDE-83-06</t>
        </is>
      </c>
      <c r="T947" s="6" t="inlineStr"/>
      <c r="U947" s="4" t="inlineStr">
        <is>
          <t>2026-09-11 00:05:00</t>
        </is>
      </c>
      <c r="V947" s="4" t="inlineStr">
        <is>
          <t>Serie historica antigua; usar compilaciones posteriores para solapes cuando existan.</t>
        </is>
      </c>
    </row>
    <row r="948">
      <c r="A948" s="6" t="inlineStr">
        <is>
          <t>R0000947</t>
        </is>
      </c>
      <c r="B948" s="6" t="inlineStr">
        <is>
          <t>1996-01-01</t>
        </is>
      </c>
      <c r="C948" s="6" t="inlineStr">
        <is>
          <t>1996-12-31</t>
        </is>
      </c>
      <c r="D948" s="6" t="inlineStr">
        <is>
          <t>year</t>
        </is>
      </c>
      <c r="E948" s="6" t="inlineStr">
        <is>
          <t>ANDE_EXPORT_BILLED_ENERGY</t>
        </is>
      </c>
      <c r="F948" s="6" t="inlineStr">
        <is>
          <t>PY_SIN</t>
        </is>
      </c>
      <c r="G948" s="6" t="inlineStr">
        <is>
          <t>PY</t>
        </is>
      </c>
      <c r="H948" s="6" t="inlineStr">
        <is>
          <t>EXTERNAL</t>
        </is>
      </c>
      <c r="I948" s="8" t="n">
        <v>207384.21</v>
      </c>
      <c r="J948" s="6" t="inlineStr">
        <is>
          <t>MWh</t>
        </is>
      </c>
      <c r="K948" s="8" t="n">
        <v>207384.21</v>
      </c>
      <c r="L948" s="6" t="inlineStr">
        <is>
          <t>MWh</t>
        </is>
      </c>
      <c r="M948" s="6" t="inlineStr">
        <is>
          <t>ANDE</t>
        </is>
      </c>
      <c r="N948" s="6" t="inlineStr">
        <is>
          <t>OFFICIAL_PRIMARY</t>
        </is>
      </c>
      <c r="O948" s="9" t="inlineStr">
        <is>
          <t>OFFICIAL_AGGREGATE</t>
        </is>
      </c>
      <c r="P948" s="8" t="n">
        <v>1</v>
      </c>
      <c r="Q948" s="8" t="n">
        <v>40</v>
      </c>
      <c r="R948" s="7" t="inlineStr">
        <is>
          <t>https://www.ande.gov.py/estadisticas/BalanceEnergia1983-2006/CompilacionEstadistica83-06.pdf</t>
        </is>
      </c>
      <c r="S948" s="6" t="inlineStr">
        <is>
          <t>ANDE-83-06</t>
        </is>
      </c>
      <c r="T948" s="6" t="inlineStr"/>
      <c r="U948" s="4" t="inlineStr">
        <is>
          <t>2026-09-11 00:05:00</t>
        </is>
      </c>
      <c r="V948" s="4" t="inlineStr">
        <is>
          <t>Serie historica antigua; usar compilaciones posteriores para solapes cuando existan.</t>
        </is>
      </c>
    </row>
    <row r="949">
      <c r="A949" s="6" t="inlineStr">
        <is>
          <t>R0000948</t>
        </is>
      </c>
      <c r="B949" s="6" t="inlineStr">
        <is>
          <t>1997-01-01</t>
        </is>
      </c>
      <c r="C949" s="6" t="inlineStr">
        <is>
          <t>1997-12-31</t>
        </is>
      </c>
      <c r="D949" s="6" t="inlineStr">
        <is>
          <t>year</t>
        </is>
      </c>
      <c r="E949" s="6" t="inlineStr">
        <is>
          <t>ANDE_BILLED_NATIONAL_ENERGY</t>
        </is>
      </c>
      <c r="F949" s="6" t="inlineStr">
        <is>
          <t>PY_SIN</t>
        </is>
      </c>
      <c r="G949" s="6" t="inlineStr">
        <is>
          <t>PY</t>
        </is>
      </c>
      <c r="H949" s="6" t="inlineStr">
        <is>
          <t>PY</t>
        </is>
      </c>
      <c r="I949" s="8" t="n">
        <v>3825266.1</v>
      </c>
      <c r="J949" s="6" t="inlineStr">
        <is>
          <t>MWh</t>
        </is>
      </c>
      <c r="K949" s="8" t="n">
        <v>3825266.1</v>
      </c>
      <c r="L949" s="6" t="inlineStr">
        <is>
          <t>MWh</t>
        </is>
      </c>
      <c r="M949" s="6" t="inlineStr">
        <is>
          <t>ANDE</t>
        </is>
      </c>
      <c r="N949" s="6" t="inlineStr">
        <is>
          <t>OFFICIAL_PRIMARY</t>
        </is>
      </c>
      <c r="O949" s="9" t="inlineStr">
        <is>
          <t>OFFICIAL_AGGREGATE</t>
        </is>
      </c>
      <c r="P949" s="8" t="n">
        <v>1</v>
      </c>
      <c r="Q949" s="8" t="n">
        <v>40</v>
      </c>
      <c r="R949" s="7" t="inlineStr">
        <is>
          <t>https://www.ande.gov.py/estadisticas/BalanceEnergia1983-2006/CompilacionEstadistica83-06.pdf</t>
        </is>
      </c>
      <c r="S949" s="6" t="inlineStr">
        <is>
          <t>ANDE-83-06</t>
        </is>
      </c>
      <c r="T949" s="6" t="inlineStr"/>
      <c r="U949" s="4" t="inlineStr">
        <is>
          <t>2026-09-11 00:05:00</t>
        </is>
      </c>
      <c r="V949" s="4" t="inlineStr">
        <is>
          <t>Serie historica antigua; usar compilaciones posteriores para solapes cuando existan.</t>
        </is>
      </c>
    </row>
    <row r="950">
      <c r="A950" s="6" t="inlineStr">
        <is>
          <t>R0000949</t>
        </is>
      </c>
      <c r="B950" s="6" t="inlineStr">
        <is>
          <t>1997-01-01</t>
        </is>
      </c>
      <c r="C950" s="6" t="inlineStr">
        <is>
          <t>1997-12-31</t>
        </is>
      </c>
      <c r="D950" s="6" t="inlineStr">
        <is>
          <t>year</t>
        </is>
      </c>
      <c r="E950" s="6" t="inlineStr">
        <is>
          <t>ANDE_TOTAL_ENERGY_SOLD</t>
        </is>
      </c>
      <c r="F950" s="6" t="inlineStr">
        <is>
          <t>PY_SIN</t>
        </is>
      </c>
      <c r="G950" s="6" t="inlineStr">
        <is>
          <t>PY</t>
        </is>
      </c>
      <c r="H950" s="6" t="inlineStr">
        <is>
          <t>PY</t>
        </is>
      </c>
      <c r="I950" s="8" t="n">
        <v>3973477.997</v>
      </c>
      <c r="J950" s="6" t="inlineStr">
        <is>
          <t>MWh</t>
        </is>
      </c>
      <c r="K950" s="8" t="n">
        <v>3973477.997</v>
      </c>
      <c r="L950" s="6" t="inlineStr">
        <is>
          <t>MWh</t>
        </is>
      </c>
      <c r="M950" s="6" t="inlineStr">
        <is>
          <t>ANDE</t>
        </is>
      </c>
      <c r="N950" s="6" t="inlineStr">
        <is>
          <t>OFFICIAL_PRIMARY</t>
        </is>
      </c>
      <c r="O950" s="9" t="inlineStr">
        <is>
          <t>OFFICIAL_AGGREGATE</t>
        </is>
      </c>
      <c r="P950" s="8" t="n">
        <v>1</v>
      </c>
      <c r="Q950" s="8" t="n">
        <v>40</v>
      </c>
      <c r="R950" s="7" t="inlineStr">
        <is>
          <t>https://www.ande.gov.py/estadisticas/BalanceEnergia1983-2006/CompilacionEstadistica83-06.pdf</t>
        </is>
      </c>
      <c r="S950" s="6" t="inlineStr">
        <is>
          <t>ANDE-83-06</t>
        </is>
      </c>
      <c r="T950" s="6" t="inlineStr"/>
      <c r="U950" s="4" t="inlineStr">
        <is>
          <t>2026-09-11 00:05:00</t>
        </is>
      </c>
      <c r="V950" s="4" t="inlineStr">
        <is>
          <t>Serie historica antigua; usar compilaciones posteriores para solapes cuando existan.</t>
        </is>
      </c>
    </row>
    <row r="951">
      <c r="A951" s="6" t="inlineStr">
        <is>
          <t>R0000950</t>
        </is>
      </c>
      <c r="B951" s="6" t="inlineStr">
        <is>
          <t>1997-01-01</t>
        </is>
      </c>
      <c r="C951" s="6" t="inlineStr">
        <is>
          <t>1997-12-31</t>
        </is>
      </c>
      <c r="D951" s="6" t="inlineStr">
        <is>
          <t>year</t>
        </is>
      </c>
      <c r="E951" s="6" t="inlineStr">
        <is>
          <t>ANDE_BILLED_RESIDENTIAL_ENERGY</t>
        </is>
      </c>
      <c r="F951" s="6" t="inlineStr">
        <is>
          <t>PY_SIN</t>
        </is>
      </c>
      <c r="G951" s="6" t="inlineStr">
        <is>
          <t>PY</t>
        </is>
      </c>
      <c r="H951" s="6" t="inlineStr">
        <is>
          <t>PY</t>
        </is>
      </c>
      <c r="I951" s="8" t="n">
        <v>1722163.68</v>
      </c>
      <c r="J951" s="6" t="inlineStr">
        <is>
          <t>MWh</t>
        </is>
      </c>
      <c r="K951" s="8" t="n">
        <v>1722163.68</v>
      </c>
      <c r="L951" s="6" t="inlineStr">
        <is>
          <t>MWh</t>
        </is>
      </c>
      <c r="M951" s="6" t="inlineStr">
        <is>
          <t>ANDE</t>
        </is>
      </c>
      <c r="N951" s="6" t="inlineStr">
        <is>
          <t>OFFICIAL_PRIMARY</t>
        </is>
      </c>
      <c r="O951" s="9" t="inlineStr">
        <is>
          <t>OFFICIAL_AGGREGATE</t>
        </is>
      </c>
      <c r="P951" s="8" t="n">
        <v>1</v>
      </c>
      <c r="Q951" s="8" t="n">
        <v>40</v>
      </c>
      <c r="R951" s="7" t="inlineStr">
        <is>
          <t>https://www.ande.gov.py/estadisticas/BalanceEnergia1983-2006/CompilacionEstadistica83-06.pdf</t>
        </is>
      </c>
      <c r="S951" s="6" t="inlineStr">
        <is>
          <t>ANDE-83-06</t>
        </is>
      </c>
      <c r="T951" s="6" t="inlineStr"/>
      <c r="U951" s="4" t="inlineStr">
        <is>
          <t>2026-09-11 00:05:00</t>
        </is>
      </c>
      <c r="V951" s="4" t="inlineStr">
        <is>
          <t>Serie historica antigua; usar compilaciones posteriores para solapes cuando existan.</t>
        </is>
      </c>
    </row>
    <row r="952">
      <c r="A952" s="6" t="inlineStr">
        <is>
          <t>R0000951</t>
        </is>
      </c>
      <c r="B952" s="6" t="inlineStr">
        <is>
          <t>1997-01-01</t>
        </is>
      </c>
      <c r="C952" s="6" t="inlineStr">
        <is>
          <t>1997-12-31</t>
        </is>
      </c>
      <c r="D952" s="6" t="inlineStr">
        <is>
          <t>year</t>
        </is>
      </c>
      <c r="E952" s="6" t="inlineStr">
        <is>
          <t>ANDE_BILLED_INDUSTRIAL_ENERGY</t>
        </is>
      </c>
      <c r="F952" s="6" t="inlineStr">
        <is>
          <t>PY_SIN</t>
        </is>
      </c>
      <c r="G952" s="6" t="inlineStr">
        <is>
          <t>PY</t>
        </is>
      </c>
      <c r="H952" s="6" t="inlineStr">
        <is>
          <t>PY</t>
        </is>
      </c>
      <c r="I952" s="8" t="n">
        <v>761709.871</v>
      </c>
      <c r="J952" s="6" t="inlineStr">
        <is>
          <t>MWh</t>
        </is>
      </c>
      <c r="K952" s="8" t="n">
        <v>761709.871</v>
      </c>
      <c r="L952" s="6" t="inlineStr">
        <is>
          <t>MWh</t>
        </is>
      </c>
      <c r="M952" s="6" t="inlineStr">
        <is>
          <t>ANDE</t>
        </is>
      </c>
      <c r="N952" s="6" t="inlineStr">
        <is>
          <t>OFFICIAL_PRIMARY</t>
        </is>
      </c>
      <c r="O952" s="9" t="inlineStr">
        <is>
          <t>OFFICIAL_AGGREGATE</t>
        </is>
      </c>
      <c r="P952" s="8" t="n">
        <v>1</v>
      </c>
      <c r="Q952" s="8" t="n">
        <v>40</v>
      </c>
      <c r="R952" s="7" t="inlineStr">
        <is>
          <t>https://www.ande.gov.py/estadisticas/BalanceEnergia1983-2006/CompilacionEstadistica83-06.pdf</t>
        </is>
      </c>
      <c r="S952" s="6" t="inlineStr">
        <is>
          <t>ANDE-83-06</t>
        </is>
      </c>
      <c r="T952" s="6" t="inlineStr"/>
      <c r="U952" s="4" t="inlineStr">
        <is>
          <t>2026-09-11 00:05:00</t>
        </is>
      </c>
      <c r="V952" s="4" t="inlineStr">
        <is>
          <t>Serie historica antigua; usar compilaciones posteriores para solapes cuando existan.</t>
        </is>
      </c>
    </row>
    <row r="953">
      <c r="A953" s="6" t="inlineStr">
        <is>
          <t>R0000952</t>
        </is>
      </c>
      <c r="B953" s="6" t="inlineStr">
        <is>
          <t>1997-01-01</t>
        </is>
      </c>
      <c r="C953" s="6" t="inlineStr">
        <is>
          <t>1997-12-31</t>
        </is>
      </c>
      <c r="D953" s="6" t="inlineStr">
        <is>
          <t>year</t>
        </is>
      </c>
      <c r="E953" s="6" t="inlineStr">
        <is>
          <t>ANDE_BILLED_OTHER_ENERGY</t>
        </is>
      </c>
      <c r="F953" s="6" t="inlineStr">
        <is>
          <t>PY_SIN</t>
        </is>
      </c>
      <c r="G953" s="6" t="inlineStr">
        <is>
          <t>PY</t>
        </is>
      </c>
      <c r="H953" s="6" t="inlineStr">
        <is>
          <t>PY</t>
        </is>
      </c>
      <c r="I953" s="8" t="n">
        <v>588447.313</v>
      </c>
      <c r="J953" s="6" t="inlineStr">
        <is>
          <t>MWh</t>
        </is>
      </c>
      <c r="K953" s="8" t="n">
        <v>588447.313</v>
      </c>
      <c r="L953" s="6" t="inlineStr">
        <is>
          <t>MWh</t>
        </is>
      </c>
      <c r="M953" s="6" t="inlineStr">
        <is>
          <t>ANDE</t>
        </is>
      </c>
      <c r="N953" s="6" t="inlineStr">
        <is>
          <t>OFFICIAL_PRIMARY</t>
        </is>
      </c>
      <c r="O953" s="9" t="inlineStr">
        <is>
          <t>OFFICIAL_AGGREGATE</t>
        </is>
      </c>
      <c r="P953" s="8" t="n">
        <v>1</v>
      </c>
      <c r="Q953" s="8" t="n">
        <v>40</v>
      </c>
      <c r="R953" s="7" t="inlineStr">
        <is>
          <t>https://www.ande.gov.py/estadisticas/BalanceEnergia1983-2006/CompilacionEstadistica83-06.pdf</t>
        </is>
      </c>
      <c r="S953" s="6" t="inlineStr">
        <is>
          <t>ANDE-83-06</t>
        </is>
      </c>
      <c r="T953" s="6" t="inlineStr"/>
      <c r="U953" s="4" t="inlineStr">
        <is>
          <t>2026-09-11 00:05:00</t>
        </is>
      </c>
      <c r="V953" s="4" t="inlineStr">
        <is>
          <t>Serie historica antigua; usar compilaciones posteriores para solapes cuando existan.</t>
        </is>
      </c>
    </row>
    <row r="954">
      <c r="A954" s="6" t="inlineStr">
        <is>
          <t>R0000953</t>
        </is>
      </c>
      <c r="B954" s="6" t="inlineStr">
        <is>
          <t>1997-01-01</t>
        </is>
      </c>
      <c r="C954" s="6" t="inlineStr">
        <is>
          <t>1997-12-31</t>
        </is>
      </c>
      <c r="D954" s="6" t="inlineStr">
        <is>
          <t>year</t>
        </is>
      </c>
      <c r="E954" s="6" t="inlineStr">
        <is>
          <t>ANDE_EXPORT_BILLED_ENERGY</t>
        </is>
      </c>
      <c r="F954" s="6" t="inlineStr">
        <is>
          <t>PY_SIN</t>
        </is>
      </c>
      <c r="G954" s="6" t="inlineStr">
        <is>
          <t>PY</t>
        </is>
      </c>
      <c r="H954" s="6" t="inlineStr">
        <is>
          <t>EXTERNAL</t>
        </is>
      </c>
      <c r="I954" s="8" t="n">
        <v>145666.528</v>
      </c>
      <c r="J954" s="6" t="inlineStr">
        <is>
          <t>MWh</t>
        </is>
      </c>
      <c r="K954" s="8" t="n">
        <v>145666.528</v>
      </c>
      <c r="L954" s="6" t="inlineStr">
        <is>
          <t>MWh</t>
        </is>
      </c>
      <c r="M954" s="6" t="inlineStr">
        <is>
          <t>ANDE</t>
        </is>
      </c>
      <c r="N954" s="6" t="inlineStr">
        <is>
          <t>OFFICIAL_PRIMARY</t>
        </is>
      </c>
      <c r="O954" s="9" t="inlineStr">
        <is>
          <t>OFFICIAL_AGGREGATE</t>
        </is>
      </c>
      <c r="P954" s="8" t="n">
        <v>1</v>
      </c>
      <c r="Q954" s="8" t="n">
        <v>40</v>
      </c>
      <c r="R954" s="7" t="inlineStr">
        <is>
          <t>https://www.ande.gov.py/estadisticas/BalanceEnergia1983-2006/CompilacionEstadistica83-06.pdf</t>
        </is>
      </c>
      <c r="S954" s="6" t="inlineStr">
        <is>
          <t>ANDE-83-06</t>
        </is>
      </c>
      <c r="T954" s="6" t="inlineStr"/>
      <c r="U954" s="4" t="inlineStr">
        <is>
          <t>2026-09-11 00:05:00</t>
        </is>
      </c>
      <c r="V954" s="4" t="inlineStr">
        <is>
          <t>Serie historica antigua; usar compilaciones posteriores para solapes cuando existan.</t>
        </is>
      </c>
    </row>
    <row r="955">
      <c r="A955" s="6" t="inlineStr">
        <is>
          <t>R0000954</t>
        </is>
      </c>
      <c r="B955" s="6" t="inlineStr">
        <is>
          <t>1998-01-01</t>
        </is>
      </c>
      <c r="C955" s="6" t="inlineStr">
        <is>
          <t>1998-12-31</t>
        </is>
      </c>
      <c r="D955" s="6" t="inlineStr">
        <is>
          <t>year</t>
        </is>
      </c>
      <c r="E955" s="6" t="inlineStr">
        <is>
          <t>ANDE_BILLED_RESIDENTIAL_ENERGY</t>
        </is>
      </c>
      <c r="F955" s="6" t="inlineStr">
        <is>
          <t>PY_SIN</t>
        </is>
      </c>
      <c r="G955" s="6" t="inlineStr">
        <is>
          <t>PY</t>
        </is>
      </c>
      <c r="H955" s="6" t="inlineStr">
        <is>
          <t>PY</t>
        </is>
      </c>
      <c r="I955" s="8" t="n">
        <v>1782023</v>
      </c>
      <c r="J955" s="6" t="inlineStr">
        <is>
          <t>MWh</t>
        </is>
      </c>
      <c r="K955" s="8" t="n">
        <v>1782023</v>
      </c>
      <c r="L955" s="6" t="inlineStr">
        <is>
          <t>MWh</t>
        </is>
      </c>
      <c r="M955" s="6" t="inlineStr">
        <is>
          <t>ANDE</t>
        </is>
      </c>
      <c r="N955" s="6" t="inlineStr">
        <is>
          <t>OFFICIAL_PRIMARY</t>
        </is>
      </c>
      <c r="O955" s="9" t="inlineStr">
        <is>
          <t>OFFICIAL_AGGREGATE</t>
        </is>
      </c>
      <c r="P955" s="8" t="n">
        <v>1</v>
      </c>
      <c r="Q955" s="8" t="n">
        <v>75</v>
      </c>
      <c r="R955" s="7" t="inlineStr">
        <is>
          <t>https://www.ande.gov.py/documentos_contables/650/compilacion_estadistica_1998-2018.pdf</t>
        </is>
      </c>
      <c r="S955" s="6" t="inlineStr">
        <is>
          <t>ANDE-98-18</t>
        </is>
      </c>
      <c r="T955" s="6" t="inlineStr"/>
      <c r="U955" s="4" t="inlineStr">
        <is>
          <t>2026-09-11 00:05:00</t>
        </is>
      </c>
      <c r="V955" s="4" t="inlineStr">
        <is>
          <t>Serie revisada; prioridad sobre compilacion 1983-2006 en años solapados.</t>
        </is>
      </c>
    </row>
    <row r="956">
      <c r="A956" s="6" t="inlineStr">
        <is>
          <t>R0000955</t>
        </is>
      </c>
      <c r="B956" s="6" t="inlineStr">
        <is>
          <t>1999-01-01</t>
        </is>
      </c>
      <c r="C956" s="6" t="inlineStr">
        <is>
          <t>1999-12-31</t>
        </is>
      </c>
      <c r="D956" s="6" t="inlineStr">
        <is>
          <t>year</t>
        </is>
      </c>
      <c r="E956" s="6" t="inlineStr">
        <is>
          <t>ANDE_BILLED_RESIDENTIAL_ENERGY</t>
        </is>
      </c>
      <c r="F956" s="6" t="inlineStr">
        <is>
          <t>PY_SIN</t>
        </is>
      </c>
      <c r="G956" s="6" t="inlineStr">
        <is>
          <t>PY</t>
        </is>
      </c>
      <c r="H956" s="6" t="inlineStr">
        <is>
          <t>PY</t>
        </is>
      </c>
      <c r="I956" s="8" t="n">
        <v>1903647</v>
      </c>
      <c r="J956" s="6" t="inlineStr">
        <is>
          <t>MWh</t>
        </is>
      </c>
      <c r="K956" s="8" t="n">
        <v>1903647</v>
      </c>
      <c r="L956" s="6" t="inlineStr">
        <is>
          <t>MWh</t>
        </is>
      </c>
      <c r="M956" s="6" t="inlineStr">
        <is>
          <t>ANDE</t>
        </is>
      </c>
      <c r="N956" s="6" t="inlineStr">
        <is>
          <t>OFFICIAL_PRIMARY</t>
        </is>
      </c>
      <c r="O956" s="9" t="inlineStr">
        <is>
          <t>OFFICIAL_AGGREGATE</t>
        </is>
      </c>
      <c r="P956" s="8" t="n">
        <v>1</v>
      </c>
      <c r="Q956" s="8" t="n">
        <v>75</v>
      </c>
      <c r="R956" s="7" t="inlineStr">
        <is>
          <t>https://www.ande.gov.py/documentos_contables/650/compilacion_estadistica_1998-2018.pdf</t>
        </is>
      </c>
      <c r="S956" s="6" t="inlineStr">
        <is>
          <t>ANDE-98-18</t>
        </is>
      </c>
      <c r="T956" s="6" t="inlineStr"/>
      <c r="U956" s="4" t="inlineStr">
        <is>
          <t>2026-09-11 00:05:00</t>
        </is>
      </c>
      <c r="V956" s="4" t="inlineStr">
        <is>
          <t>Serie revisada; prioridad sobre compilacion 1983-2006 en años solapados.</t>
        </is>
      </c>
    </row>
    <row r="957">
      <c r="A957" s="6" t="inlineStr">
        <is>
          <t>R0000956</t>
        </is>
      </c>
      <c r="B957" s="6" t="inlineStr">
        <is>
          <t>2000-01-01</t>
        </is>
      </c>
      <c r="C957" s="6" t="inlineStr">
        <is>
          <t>2000-12-31</t>
        </is>
      </c>
      <c r="D957" s="6" t="inlineStr">
        <is>
          <t>year</t>
        </is>
      </c>
      <c r="E957" s="6" t="inlineStr">
        <is>
          <t>ANDE_BILLED_RESIDENTIAL_ENERGY</t>
        </is>
      </c>
      <c r="F957" s="6" t="inlineStr">
        <is>
          <t>PY_SIN</t>
        </is>
      </c>
      <c r="G957" s="6" t="inlineStr">
        <is>
          <t>PY</t>
        </is>
      </c>
      <c r="H957" s="6" t="inlineStr">
        <is>
          <t>PY</t>
        </is>
      </c>
      <c r="I957" s="8" t="n">
        <v>2025445</v>
      </c>
      <c r="J957" s="6" t="inlineStr">
        <is>
          <t>MWh</t>
        </is>
      </c>
      <c r="K957" s="8" t="n">
        <v>2025445</v>
      </c>
      <c r="L957" s="6" t="inlineStr">
        <is>
          <t>MWh</t>
        </is>
      </c>
      <c r="M957" s="6" t="inlineStr">
        <is>
          <t>ANDE</t>
        </is>
      </c>
      <c r="N957" s="6" t="inlineStr">
        <is>
          <t>OFFICIAL_PRIMARY</t>
        </is>
      </c>
      <c r="O957" s="9" t="inlineStr">
        <is>
          <t>OFFICIAL_AGGREGATE</t>
        </is>
      </c>
      <c r="P957" s="8" t="n">
        <v>1</v>
      </c>
      <c r="Q957" s="8" t="n">
        <v>75</v>
      </c>
      <c r="R957" s="7" t="inlineStr">
        <is>
          <t>https://www.ande.gov.py/documentos_contables/650/compilacion_estadistica_1998-2018.pdf</t>
        </is>
      </c>
      <c r="S957" s="6" t="inlineStr">
        <is>
          <t>ANDE-98-18</t>
        </is>
      </c>
      <c r="T957" s="6" t="inlineStr"/>
      <c r="U957" s="4" t="inlineStr">
        <is>
          <t>2026-09-11 00:05:00</t>
        </is>
      </c>
      <c r="V957" s="4" t="inlineStr">
        <is>
          <t>Serie revisada; prioridad sobre compilacion 1983-2006 en años solapados.</t>
        </is>
      </c>
    </row>
    <row r="958">
      <c r="A958" s="6" t="inlineStr">
        <is>
          <t>R0000957</t>
        </is>
      </c>
      <c r="B958" s="6" t="inlineStr">
        <is>
          <t>2001-01-01</t>
        </is>
      </c>
      <c r="C958" s="6" t="inlineStr">
        <is>
          <t>2001-12-31</t>
        </is>
      </c>
      <c r="D958" s="6" t="inlineStr">
        <is>
          <t>year</t>
        </is>
      </c>
      <c r="E958" s="6" t="inlineStr">
        <is>
          <t>ANDE_BILLED_RESIDENTIAL_ENERGY</t>
        </is>
      </c>
      <c r="F958" s="6" t="inlineStr">
        <is>
          <t>PY_SIN</t>
        </is>
      </c>
      <c r="G958" s="6" t="inlineStr">
        <is>
          <t>PY</t>
        </is>
      </c>
      <c r="H958" s="6" t="inlineStr">
        <is>
          <t>PY</t>
        </is>
      </c>
      <c r="I958" s="8" t="n">
        <v>2019210</v>
      </c>
      <c r="J958" s="6" t="inlineStr">
        <is>
          <t>MWh</t>
        </is>
      </c>
      <c r="K958" s="8" t="n">
        <v>2019210</v>
      </c>
      <c r="L958" s="6" t="inlineStr">
        <is>
          <t>MWh</t>
        </is>
      </c>
      <c r="M958" s="6" t="inlineStr">
        <is>
          <t>ANDE</t>
        </is>
      </c>
      <c r="N958" s="6" t="inlineStr">
        <is>
          <t>OFFICIAL_PRIMARY</t>
        </is>
      </c>
      <c r="O958" s="9" t="inlineStr">
        <is>
          <t>OFFICIAL_AGGREGATE</t>
        </is>
      </c>
      <c r="P958" s="8" t="n">
        <v>1</v>
      </c>
      <c r="Q958" s="8" t="n">
        <v>75</v>
      </c>
      <c r="R958" s="7" t="inlineStr">
        <is>
          <t>https://www.ande.gov.py/documentos_contables/650/compilacion_estadistica_1998-2018.pdf</t>
        </is>
      </c>
      <c r="S958" s="6" t="inlineStr">
        <is>
          <t>ANDE-98-18</t>
        </is>
      </c>
      <c r="T958" s="6" t="inlineStr"/>
      <c r="U958" s="4" t="inlineStr">
        <is>
          <t>2026-09-11 00:05:00</t>
        </is>
      </c>
      <c r="V958" s="4" t="inlineStr">
        <is>
          <t>Serie revisada; prioridad sobre compilacion 1983-2006 en años solapados.</t>
        </is>
      </c>
    </row>
    <row r="959">
      <c r="A959" s="6" t="inlineStr">
        <is>
          <t>R0000958</t>
        </is>
      </c>
      <c r="B959" s="6" t="inlineStr">
        <is>
          <t>2002-01-01</t>
        </is>
      </c>
      <c r="C959" s="6" t="inlineStr">
        <is>
          <t>2002-12-31</t>
        </is>
      </c>
      <c r="D959" s="6" t="inlineStr">
        <is>
          <t>year</t>
        </is>
      </c>
      <c r="E959" s="6" t="inlineStr">
        <is>
          <t>ANDE_BILLED_RESIDENTIAL_ENERGY</t>
        </is>
      </c>
      <c r="F959" s="6" t="inlineStr">
        <is>
          <t>PY_SIN</t>
        </is>
      </c>
      <c r="G959" s="6" t="inlineStr">
        <is>
          <t>PY</t>
        </is>
      </c>
      <c r="H959" s="6" t="inlineStr">
        <is>
          <t>PY</t>
        </is>
      </c>
      <c r="I959" s="8" t="n">
        <v>1931244</v>
      </c>
      <c r="J959" s="6" t="inlineStr">
        <is>
          <t>MWh</t>
        </is>
      </c>
      <c r="K959" s="8" t="n">
        <v>1931244</v>
      </c>
      <c r="L959" s="6" t="inlineStr">
        <is>
          <t>MWh</t>
        </is>
      </c>
      <c r="M959" s="6" t="inlineStr">
        <is>
          <t>ANDE</t>
        </is>
      </c>
      <c r="N959" s="6" t="inlineStr">
        <is>
          <t>OFFICIAL_PRIMARY</t>
        </is>
      </c>
      <c r="O959" s="9" t="inlineStr">
        <is>
          <t>OFFICIAL_AGGREGATE</t>
        </is>
      </c>
      <c r="P959" s="8" t="n">
        <v>1</v>
      </c>
      <c r="Q959" s="8" t="n">
        <v>75</v>
      </c>
      <c r="R959" s="7" t="inlineStr">
        <is>
          <t>https://www.ande.gov.py/documentos_contables/650/compilacion_estadistica_1998-2018.pdf</t>
        </is>
      </c>
      <c r="S959" s="6" t="inlineStr">
        <is>
          <t>ANDE-98-18</t>
        </is>
      </c>
      <c r="T959" s="6" t="inlineStr"/>
      <c r="U959" s="4" t="inlineStr">
        <is>
          <t>2026-09-11 00:05:00</t>
        </is>
      </c>
      <c r="V959" s="4" t="inlineStr">
        <is>
          <t>Serie revisada; prioridad sobre compilacion 1983-2006 en años solapados.</t>
        </is>
      </c>
    </row>
    <row r="960">
      <c r="A960" s="6" t="inlineStr">
        <is>
          <t>R0000959</t>
        </is>
      </c>
      <c r="B960" s="6" t="inlineStr">
        <is>
          <t>2003-01-01</t>
        </is>
      </c>
      <c r="C960" s="6" t="inlineStr">
        <is>
          <t>2003-12-31</t>
        </is>
      </c>
      <c r="D960" s="6" t="inlineStr">
        <is>
          <t>year</t>
        </is>
      </c>
      <c r="E960" s="6" t="inlineStr">
        <is>
          <t>ANDE_BILLED_RESIDENTIAL_ENERGY</t>
        </is>
      </c>
      <c r="F960" s="6" t="inlineStr">
        <is>
          <t>PY_SIN</t>
        </is>
      </c>
      <c r="G960" s="6" t="inlineStr">
        <is>
          <t>PY</t>
        </is>
      </c>
      <c r="H960" s="6" t="inlineStr">
        <is>
          <t>PY</t>
        </is>
      </c>
      <c r="I960" s="8" t="n">
        <v>1787699</v>
      </c>
      <c r="J960" s="6" t="inlineStr">
        <is>
          <t>MWh</t>
        </is>
      </c>
      <c r="K960" s="8" t="n">
        <v>1787699</v>
      </c>
      <c r="L960" s="6" t="inlineStr">
        <is>
          <t>MWh</t>
        </is>
      </c>
      <c r="M960" s="6" t="inlineStr">
        <is>
          <t>ANDE</t>
        </is>
      </c>
      <c r="N960" s="6" t="inlineStr">
        <is>
          <t>OFFICIAL_PRIMARY</t>
        </is>
      </c>
      <c r="O960" s="9" t="inlineStr">
        <is>
          <t>OFFICIAL_AGGREGATE</t>
        </is>
      </c>
      <c r="P960" s="10" t="n">
        <v>0</v>
      </c>
      <c r="Q960" s="8" t="n">
        <v>75</v>
      </c>
      <c r="R960" s="7" t="inlineStr">
        <is>
          <t>https://www.ande.gov.py/documentos_contables/650/compilacion_estadistica_1998-2018.pdf</t>
        </is>
      </c>
      <c r="S960" s="6" t="inlineStr">
        <is>
          <t>ANDE-98-18</t>
        </is>
      </c>
      <c r="T960" s="6" t="inlineStr"/>
      <c r="U960" s="4" t="inlineStr">
        <is>
          <t>2026-09-11 00:05:00</t>
        </is>
      </c>
      <c r="V960" s="4" t="inlineStr">
        <is>
          <t>Serie revisada; prioridad sobre compilacion 1983-2006 en años solapados.</t>
        </is>
      </c>
    </row>
    <row r="961">
      <c r="A961" s="6" t="inlineStr">
        <is>
          <t>R0000960</t>
        </is>
      </c>
      <c r="B961" s="6" t="inlineStr">
        <is>
          <t>2004-01-01</t>
        </is>
      </c>
      <c r="C961" s="6" t="inlineStr">
        <is>
          <t>2004-12-31</t>
        </is>
      </c>
      <c r="D961" s="6" t="inlineStr">
        <is>
          <t>year</t>
        </is>
      </c>
      <c r="E961" s="6" t="inlineStr">
        <is>
          <t>ANDE_BILLED_RESIDENTIAL_ENERGY</t>
        </is>
      </c>
      <c r="F961" s="6" t="inlineStr">
        <is>
          <t>PY_SIN</t>
        </is>
      </c>
      <c r="G961" s="6" t="inlineStr">
        <is>
          <t>PY</t>
        </is>
      </c>
      <c r="H961" s="6" t="inlineStr">
        <is>
          <t>PY</t>
        </is>
      </c>
      <c r="I961" s="8" t="n">
        <v>1836695</v>
      </c>
      <c r="J961" s="6" t="inlineStr">
        <is>
          <t>MWh</t>
        </is>
      </c>
      <c r="K961" s="8" t="n">
        <v>1836695</v>
      </c>
      <c r="L961" s="6" t="inlineStr">
        <is>
          <t>MWh</t>
        </is>
      </c>
      <c r="M961" s="6" t="inlineStr">
        <is>
          <t>ANDE</t>
        </is>
      </c>
      <c r="N961" s="6" t="inlineStr">
        <is>
          <t>OFFICIAL_PRIMARY</t>
        </is>
      </c>
      <c r="O961" s="9" t="inlineStr">
        <is>
          <t>OFFICIAL_AGGREGATE</t>
        </is>
      </c>
      <c r="P961" s="10" t="n">
        <v>0</v>
      </c>
      <c r="Q961" s="8" t="n">
        <v>75</v>
      </c>
      <c r="R961" s="7" t="inlineStr">
        <is>
          <t>https://www.ande.gov.py/documentos_contables/650/compilacion_estadistica_1998-2018.pdf</t>
        </is>
      </c>
      <c r="S961" s="6" t="inlineStr">
        <is>
          <t>ANDE-98-18</t>
        </is>
      </c>
      <c r="T961" s="6" t="inlineStr"/>
      <c r="U961" s="4" t="inlineStr">
        <is>
          <t>2026-09-11 00:05:00</t>
        </is>
      </c>
      <c r="V961" s="4" t="inlineStr">
        <is>
          <t>Serie revisada; prioridad sobre compilacion 1983-2006 en años solapados.</t>
        </is>
      </c>
    </row>
    <row r="962">
      <c r="A962" s="6" t="inlineStr">
        <is>
          <t>R0000961</t>
        </is>
      </c>
      <c r="B962" s="6" t="inlineStr">
        <is>
          <t>2005-01-01</t>
        </is>
      </c>
      <c r="C962" s="6" t="inlineStr">
        <is>
          <t>2005-12-31</t>
        </is>
      </c>
      <c r="D962" s="6" t="inlineStr">
        <is>
          <t>year</t>
        </is>
      </c>
      <c r="E962" s="6" t="inlineStr">
        <is>
          <t>ANDE_BILLED_RESIDENTIAL_ENERGY</t>
        </is>
      </c>
      <c r="F962" s="6" t="inlineStr">
        <is>
          <t>PY_SIN</t>
        </is>
      </c>
      <c r="G962" s="6" t="inlineStr">
        <is>
          <t>PY</t>
        </is>
      </c>
      <c r="H962" s="6" t="inlineStr">
        <is>
          <t>PY</t>
        </is>
      </c>
      <c r="I962" s="8" t="n">
        <v>1937656</v>
      </c>
      <c r="J962" s="6" t="inlineStr">
        <is>
          <t>MWh</t>
        </is>
      </c>
      <c r="K962" s="8" t="n">
        <v>1937656</v>
      </c>
      <c r="L962" s="6" t="inlineStr">
        <is>
          <t>MWh</t>
        </is>
      </c>
      <c r="M962" s="6" t="inlineStr">
        <is>
          <t>ANDE</t>
        </is>
      </c>
      <c r="N962" s="6" t="inlineStr">
        <is>
          <t>OFFICIAL_PRIMARY</t>
        </is>
      </c>
      <c r="O962" s="9" t="inlineStr">
        <is>
          <t>OFFICIAL_AGGREGATE</t>
        </is>
      </c>
      <c r="P962" s="10" t="n">
        <v>0</v>
      </c>
      <c r="Q962" s="8" t="n">
        <v>75</v>
      </c>
      <c r="R962" s="7" t="inlineStr">
        <is>
          <t>https://www.ande.gov.py/documentos_contables/650/compilacion_estadistica_1998-2018.pdf</t>
        </is>
      </c>
      <c r="S962" s="6" t="inlineStr">
        <is>
          <t>ANDE-98-18</t>
        </is>
      </c>
      <c r="T962" s="6" t="inlineStr"/>
      <c r="U962" s="4" t="inlineStr">
        <is>
          <t>2026-09-11 00:05:00</t>
        </is>
      </c>
      <c r="V962" s="4" t="inlineStr">
        <is>
          <t>Serie revisada; prioridad sobre compilacion 1983-2006 en años solapados.</t>
        </is>
      </c>
    </row>
    <row r="963">
      <c r="A963" s="6" t="inlineStr">
        <is>
          <t>R0000962</t>
        </is>
      </c>
      <c r="B963" s="6" t="inlineStr">
        <is>
          <t>2006-01-01</t>
        </is>
      </c>
      <c r="C963" s="6" t="inlineStr">
        <is>
          <t>2006-12-31</t>
        </is>
      </c>
      <c r="D963" s="6" t="inlineStr">
        <is>
          <t>year</t>
        </is>
      </c>
      <c r="E963" s="6" t="inlineStr">
        <is>
          <t>ANDE_BILLED_RESIDENTIAL_ENERGY</t>
        </is>
      </c>
      <c r="F963" s="6" t="inlineStr">
        <is>
          <t>PY_SIN</t>
        </is>
      </c>
      <c r="G963" s="6" t="inlineStr">
        <is>
          <t>PY</t>
        </is>
      </c>
      <c r="H963" s="6" t="inlineStr">
        <is>
          <t>PY</t>
        </is>
      </c>
      <c r="I963" s="8" t="n">
        <v>2096986</v>
      </c>
      <c r="J963" s="6" t="inlineStr">
        <is>
          <t>MWh</t>
        </is>
      </c>
      <c r="K963" s="8" t="n">
        <v>2096986</v>
      </c>
      <c r="L963" s="6" t="inlineStr">
        <is>
          <t>MWh</t>
        </is>
      </c>
      <c r="M963" s="6" t="inlineStr">
        <is>
          <t>ANDE</t>
        </is>
      </c>
      <c r="N963" s="6" t="inlineStr">
        <is>
          <t>OFFICIAL_PRIMARY</t>
        </is>
      </c>
      <c r="O963" s="9" t="inlineStr">
        <is>
          <t>OFFICIAL_AGGREGATE</t>
        </is>
      </c>
      <c r="P963" s="10" t="n">
        <v>0</v>
      </c>
      <c r="Q963" s="8" t="n">
        <v>75</v>
      </c>
      <c r="R963" s="7" t="inlineStr">
        <is>
          <t>https://www.ande.gov.py/documentos_contables/650/compilacion_estadistica_1998-2018.pdf</t>
        </is>
      </c>
      <c r="S963" s="6" t="inlineStr">
        <is>
          <t>ANDE-98-18</t>
        </is>
      </c>
      <c r="T963" s="6" t="inlineStr"/>
      <c r="U963" s="4" t="inlineStr">
        <is>
          <t>2026-09-11 00:05:00</t>
        </is>
      </c>
      <c r="V963" s="4" t="inlineStr">
        <is>
          <t>Serie revisada; prioridad sobre compilacion 1983-2006 en años solapados.</t>
        </is>
      </c>
    </row>
    <row r="964">
      <c r="A964" s="6" t="inlineStr">
        <is>
          <t>R0000963</t>
        </is>
      </c>
      <c r="B964" s="6" t="inlineStr">
        <is>
          <t>2007-01-01</t>
        </is>
      </c>
      <c r="C964" s="6" t="inlineStr">
        <is>
          <t>2007-12-31</t>
        </is>
      </c>
      <c r="D964" s="6" t="inlineStr">
        <is>
          <t>year</t>
        </is>
      </c>
      <c r="E964" s="6" t="inlineStr">
        <is>
          <t>ANDE_BILLED_RESIDENTIAL_ENERGY</t>
        </is>
      </c>
      <c r="F964" s="6" t="inlineStr">
        <is>
          <t>PY_SIN</t>
        </is>
      </c>
      <c r="G964" s="6" t="inlineStr">
        <is>
          <t>PY</t>
        </is>
      </c>
      <c r="H964" s="6" t="inlineStr">
        <is>
          <t>PY</t>
        </is>
      </c>
      <c r="I964" s="8" t="n">
        <v>2300746</v>
      </c>
      <c r="J964" s="6" t="inlineStr">
        <is>
          <t>MWh</t>
        </is>
      </c>
      <c r="K964" s="8" t="n">
        <v>2300746</v>
      </c>
      <c r="L964" s="6" t="inlineStr">
        <is>
          <t>MWh</t>
        </is>
      </c>
      <c r="M964" s="6" t="inlineStr">
        <is>
          <t>ANDE</t>
        </is>
      </c>
      <c r="N964" s="6" t="inlineStr">
        <is>
          <t>OFFICIAL_PRIMARY</t>
        </is>
      </c>
      <c r="O964" s="9" t="inlineStr">
        <is>
          <t>OFFICIAL_AGGREGATE</t>
        </is>
      </c>
      <c r="P964" s="10" t="n">
        <v>0</v>
      </c>
      <c r="Q964" s="8" t="n">
        <v>75</v>
      </c>
      <c r="R964" s="7" t="inlineStr">
        <is>
          <t>https://www.ande.gov.py/documentos_contables/650/compilacion_estadistica_1998-2018.pdf</t>
        </is>
      </c>
      <c r="S964" s="6" t="inlineStr">
        <is>
          <t>ANDE-98-18</t>
        </is>
      </c>
      <c r="T964" s="6" t="inlineStr"/>
      <c r="U964" s="4" t="inlineStr">
        <is>
          <t>2026-09-11 00:05:00</t>
        </is>
      </c>
      <c r="V964" s="4" t="inlineStr">
        <is>
          <t>Serie revisada; prioridad sobre compilacion 1983-2006 en años solapados.</t>
        </is>
      </c>
    </row>
    <row r="965">
      <c r="A965" s="6" t="inlineStr">
        <is>
          <t>R0000964</t>
        </is>
      </c>
      <c r="B965" s="6" t="inlineStr">
        <is>
          <t>2008-01-01</t>
        </is>
      </c>
      <c r="C965" s="6" t="inlineStr">
        <is>
          <t>2008-12-31</t>
        </is>
      </c>
      <c r="D965" s="6" t="inlineStr">
        <is>
          <t>year</t>
        </is>
      </c>
      <c r="E965" s="6" t="inlineStr">
        <is>
          <t>ANDE_BILLED_RESIDENTIAL_ENERGY</t>
        </is>
      </c>
      <c r="F965" s="6" t="inlineStr">
        <is>
          <t>PY_SIN</t>
        </is>
      </c>
      <c r="G965" s="6" t="inlineStr">
        <is>
          <t>PY</t>
        </is>
      </c>
      <c r="H965" s="6" t="inlineStr">
        <is>
          <t>PY</t>
        </is>
      </c>
      <c r="I965" s="8" t="n">
        <v>2472885</v>
      </c>
      <c r="J965" s="6" t="inlineStr">
        <is>
          <t>MWh</t>
        </is>
      </c>
      <c r="K965" s="8" t="n">
        <v>2472885</v>
      </c>
      <c r="L965" s="6" t="inlineStr">
        <is>
          <t>MWh</t>
        </is>
      </c>
      <c r="M965" s="6" t="inlineStr">
        <is>
          <t>ANDE</t>
        </is>
      </c>
      <c r="N965" s="6" t="inlineStr">
        <is>
          <t>OFFICIAL_PRIMARY</t>
        </is>
      </c>
      <c r="O965" s="9" t="inlineStr">
        <is>
          <t>OFFICIAL_AGGREGATE</t>
        </is>
      </c>
      <c r="P965" s="10" t="n">
        <v>0</v>
      </c>
      <c r="Q965" s="8" t="n">
        <v>75</v>
      </c>
      <c r="R965" s="7" t="inlineStr">
        <is>
          <t>https://www.ande.gov.py/documentos_contables/650/compilacion_estadistica_1998-2018.pdf</t>
        </is>
      </c>
      <c r="S965" s="6" t="inlineStr">
        <is>
          <t>ANDE-98-18</t>
        </is>
      </c>
      <c r="T965" s="6" t="inlineStr"/>
      <c r="U965" s="4" t="inlineStr">
        <is>
          <t>2026-09-11 00:05:00</t>
        </is>
      </c>
      <c r="V965" s="4" t="inlineStr">
        <is>
          <t>Serie revisada; prioridad sobre compilacion 1983-2006 en años solapados.</t>
        </is>
      </c>
    </row>
    <row r="966">
      <c r="A966" s="6" t="inlineStr">
        <is>
          <t>R0000965</t>
        </is>
      </c>
      <c r="B966" s="6" t="inlineStr">
        <is>
          <t>2009-01-01</t>
        </is>
      </c>
      <c r="C966" s="6" t="inlineStr">
        <is>
          <t>2009-12-31</t>
        </is>
      </c>
      <c r="D966" s="6" t="inlineStr">
        <is>
          <t>year</t>
        </is>
      </c>
      <c r="E966" s="6" t="inlineStr">
        <is>
          <t>ANDE_BILLED_RESIDENTIAL_ENERGY</t>
        </is>
      </c>
      <c r="F966" s="6" t="inlineStr">
        <is>
          <t>PY_SIN</t>
        </is>
      </c>
      <c r="G966" s="6" t="inlineStr">
        <is>
          <t>PY</t>
        </is>
      </c>
      <c r="H966" s="6" t="inlineStr">
        <is>
          <t>PY</t>
        </is>
      </c>
      <c r="I966" s="8" t="n">
        <v>2691463</v>
      </c>
      <c r="J966" s="6" t="inlineStr">
        <is>
          <t>MWh</t>
        </is>
      </c>
      <c r="K966" s="8" t="n">
        <v>2691463</v>
      </c>
      <c r="L966" s="6" t="inlineStr">
        <is>
          <t>MWh</t>
        </is>
      </c>
      <c r="M966" s="6" t="inlineStr">
        <is>
          <t>ANDE</t>
        </is>
      </c>
      <c r="N966" s="6" t="inlineStr">
        <is>
          <t>OFFICIAL_PRIMARY</t>
        </is>
      </c>
      <c r="O966" s="9" t="inlineStr">
        <is>
          <t>OFFICIAL_AGGREGATE</t>
        </is>
      </c>
      <c r="P966" s="10" t="n">
        <v>0</v>
      </c>
      <c r="Q966" s="8" t="n">
        <v>75</v>
      </c>
      <c r="R966" s="7" t="inlineStr">
        <is>
          <t>https://www.ande.gov.py/documentos_contables/650/compilacion_estadistica_1998-2018.pdf</t>
        </is>
      </c>
      <c r="S966" s="6" t="inlineStr">
        <is>
          <t>ANDE-98-18</t>
        </is>
      </c>
      <c r="T966" s="6" t="inlineStr"/>
      <c r="U966" s="4" t="inlineStr">
        <is>
          <t>2026-09-11 00:05:00</t>
        </is>
      </c>
      <c r="V966" s="4" t="inlineStr">
        <is>
          <t>Serie revisada; prioridad sobre compilacion 1983-2006 en años solapados.</t>
        </is>
      </c>
    </row>
    <row r="967">
      <c r="A967" s="6" t="inlineStr">
        <is>
          <t>R0000966</t>
        </is>
      </c>
      <c r="B967" s="6" t="inlineStr">
        <is>
          <t>2010-01-01</t>
        </is>
      </c>
      <c r="C967" s="6" t="inlineStr">
        <is>
          <t>2010-12-31</t>
        </is>
      </c>
      <c r="D967" s="6" t="inlineStr">
        <is>
          <t>year</t>
        </is>
      </c>
      <c r="E967" s="6" t="inlineStr">
        <is>
          <t>ANDE_BILLED_RESIDENTIAL_ENERGY</t>
        </is>
      </c>
      <c r="F967" s="6" t="inlineStr">
        <is>
          <t>PY_SIN</t>
        </is>
      </c>
      <c r="G967" s="6" t="inlineStr">
        <is>
          <t>PY</t>
        </is>
      </c>
      <c r="H967" s="6" t="inlineStr">
        <is>
          <t>PY</t>
        </is>
      </c>
      <c r="I967" s="8" t="n">
        <v>2848571</v>
      </c>
      <c r="J967" s="6" t="inlineStr">
        <is>
          <t>MWh</t>
        </is>
      </c>
      <c r="K967" s="8" t="n">
        <v>2848571</v>
      </c>
      <c r="L967" s="6" t="inlineStr">
        <is>
          <t>MWh</t>
        </is>
      </c>
      <c r="M967" s="6" t="inlineStr">
        <is>
          <t>ANDE</t>
        </is>
      </c>
      <c r="N967" s="6" t="inlineStr">
        <is>
          <t>OFFICIAL_PRIMARY</t>
        </is>
      </c>
      <c r="O967" s="9" t="inlineStr">
        <is>
          <t>OFFICIAL_AGGREGATE</t>
        </is>
      </c>
      <c r="P967" s="10" t="n">
        <v>0</v>
      </c>
      <c r="Q967" s="8" t="n">
        <v>75</v>
      </c>
      <c r="R967" s="7" t="inlineStr">
        <is>
          <t>https://www.ande.gov.py/documentos_contables/650/compilacion_estadistica_1998-2018.pdf</t>
        </is>
      </c>
      <c r="S967" s="6" t="inlineStr">
        <is>
          <t>ANDE-98-18</t>
        </is>
      </c>
      <c r="T967" s="6" t="inlineStr"/>
      <c r="U967" s="4" t="inlineStr">
        <is>
          <t>2026-09-11 00:05:00</t>
        </is>
      </c>
      <c r="V967" s="4" t="inlineStr">
        <is>
          <t>Serie revisada; prioridad sobre compilacion 1983-2006 en años solapados.</t>
        </is>
      </c>
    </row>
    <row r="968">
      <c r="A968" s="6" t="inlineStr">
        <is>
          <t>R0000967</t>
        </is>
      </c>
      <c r="B968" s="6" t="inlineStr">
        <is>
          <t>2011-01-01</t>
        </is>
      </c>
      <c r="C968" s="6" t="inlineStr">
        <is>
          <t>2011-12-31</t>
        </is>
      </c>
      <c r="D968" s="6" t="inlineStr">
        <is>
          <t>year</t>
        </is>
      </c>
      <c r="E968" s="6" t="inlineStr">
        <is>
          <t>ANDE_BILLED_RESIDENTIAL_ENERGY</t>
        </is>
      </c>
      <c r="F968" s="6" t="inlineStr">
        <is>
          <t>PY_SIN</t>
        </is>
      </c>
      <c r="G968" s="6" t="inlineStr">
        <is>
          <t>PY</t>
        </is>
      </c>
      <c r="H968" s="6" t="inlineStr">
        <is>
          <t>PY</t>
        </is>
      </c>
      <c r="I968" s="8" t="n">
        <v>3204965</v>
      </c>
      <c r="J968" s="6" t="inlineStr">
        <is>
          <t>MWh</t>
        </is>
      </c>
      <c r="K968" s="8" t="n">
        <v>3204965</v>
      </c>
      <c r="L968" s="6" t="inlineStr">
        <is>
          <t>MWh</t>
        </is>
      </c>
      <c r="M968" s="6" t="inlineStr">
        <is>
          <t>ANDE</t>
        </is>
      </c>
      <c r="N968" s="6" t="inlineStr">
        <is>
          <t>OFFICIAL_PRIMARY</t>
        </is>
      </c>
      <c r="O968" s="9" t="inlineStr">
        <is>
          <t>OFFICIAL_AGGREGATE</t>
        </is>
      </c>
      <c r="P968" s="10" t="n">
        <v>0</v>
      </c>
      <c r="Q968" s="8" t="n">
        <v>75</v>
      </c>
      <c r="R968" s="7" t="inlineStr">
        <is>
          <t>https://www.ande.gov.py/documentos_contables/650/compilacion_estadistica_1998-2018.pdf</t>
        </is>
      </c>
      <c r="S968" s="6" t="inlineStr">
        <is>
          <t>ANDE-98-18</t>
        </is>
      </c>
      <c r="T968" s="6" t="inlineStr"/>
      <c r="U968" s="4" t="inlineStr">
        <is>
          <t>2026-09-11 00:05:00</t>
        </is>
      </c>
      <c r="V968" s="4" t="inlineStr">
        <is>
          <t>Serie revisada; prioridad sobre compilacion 1983-2006 en años solapados.</t>
        </is>
      </c>
    </row>
    <row r="969">
      <c r="A969" s="6" t="inlineStr">
        <is>
          <t>R0000968</t>
        </is>
      </c>
      <c r="B969" s="6" t="inlineStr">
        <is>
          <t>2012-01-01</t>
        </is>
      </c>
      <c r="C969" s="6" t="inlineStr">
        <is>
          <t>2012-12-31</t>
        </is>
      </c>
      <c r="D969" s="6" t="inlineStr">
        <is>
          <t>year</t>
        </is>
      </c>
      <c r="E969" s="6" t="inlineStr">
        <is>
          <t>ANDE_BILLED_RESIDENTIAL_ENERGY</t>
        </is>
      </c>
      <c r="F969" s="6" t="inlineStr">
        <is>
          <t>PY_SIN</t>
        </is>
      </c>
      <c r="G969" s="6" t="inlineStr">
        <is>
          <t>PY</t>
        </is>
      </c>
      <c r="H969" s="6" t="inlineStr">
        <is>
          <t>PY</t>
        </is>
      </c>
      <c r="I969" s="8" t="n">
        <v>3561075</v>
      </c>
      <c r="J969" s="6" t="inlineStr">
        <is>
          <t>MWh</t>
        </is>
      </c>
      <c r="K969" s="8" t="n">
        <v>3561075</v>
      </c>
      <c r="L969" s="6" t="inlineStr">
        <is>
          <t>MWh</t>
        </is>
      </c>
      <c r="M969" s="6" t="inlineStr">
        <is>
          <t>ANDE</t>
        </is>
      </c>
      <c r="N969" s="6" t="inlineStr">
        <is>
          <t>OFFICIAL_PRIMARY</t>
        </is>
      </c>
      <c r="O969" s="9" t="inlineStr">
        <is>
          <t>OFFICIAL_AGGREGATE</t>
        </is>
      </c>
      <c r="P969" s="10" t="n">
        <v>0</v>
      </c>
      <c r="Q969" s="8" t="n">
        <v>75</v>
      </c>
      <c r="R969" s="7" t="inlineStr">
        <is>
          <t>https://www.ande.gov.py/documentos_contables/650/compilacion_estadistica_1998-2018.pdf</t>
        </is>
      </c>
      <c r="S969" s="6" t="inlineStr">
        <is>
          <t>ANDE-98-18</t>
        </is>
      </c>
      <c r="T969" s="6" t="inlineStr"/>
      <c r="U969" s="4" t="inlineStr">
        <is>
          <t>2026-09-11 00:05:00</t>
        </is>
      </c>
      <c r="V969" s="4" t="inlineStr">
        <is>
          <t>Serie revisada; prioridad sobre compilacion 1983-2006 en años solapados.</t>
        </is>
      </c>
    </row>
    <row r="970">
      <c r="A970" s="6" t="inlineStr">
        <is>
          <t>R0000969</t>
        </is>
      </c>
      <c r="B970" s="6" t="inlineStr">
        <is>
          <t>2013-01-01</t>
        </is>
      </c>
      <c r="C970" s="6" t="inlineStr">
        <is>
          <t>2013-12-31</t>
        </is>
      </c>
      <c r="D970" s="6" t="inlineStr">
        <is>
          <t>year</t>
        </is>
      </c>
      <c r="E970" s="6" t="inlineStr">
        <is>
          <t>ANDE_BILLED_RESIDENTIAL_ENERGY</t>
        </is>
      </c>
      <c r="F970" s="6" t="inlineStr">
        <is>
          <t>PY_SIN</t>
        </is>
      </c>
      <c r="G970" s="6" t="inlineStr">
        <is>
          <t>PY</t>
        </is>
      </c>
      <c r="H970" s="6" t="inlineStr">
        <is>
          <t>PY</t>
        </is>
      </c>
      <c r="I970" s="8" t="n">
        <v>3918516</v>
      </c>
      <c r="J970" s="6" t="inlineStr">
        <is>
          <t>MWh</t>
        </is>
      </c>
      <c r="K970" s="8" t="n">
        <v>3918516</v>
      </c>
      <c r="L970" s="6" t="inlineStr">
        <is>
          <t>MWh</t>
        </is>
      </c>
      <c r="M970" s="6" t="inlineStr">
        <is>
          <t>ANDE</t>
        </is>
      </c>
      <c r="N970" s="6" t="inlineStr">
        <is>
          <t>OFFICIAL_PRIMARY</t>
        </is>
      </c>
      <c r="O970" s="9" t="inlineStr">
        <is>
          <t>OFFICIAL_AGGREGATE</t>
        </is>
      </c>
      <c r="P970" s="10" t="n">
        <v>0</v>
      </c>
      <c r="Q970" s="8" t="n">
        <v>75</v>
      </c>
      <c r="R970" s="7" t="inlineStr">
        <is>
          <t>https://www.ande.gov.py/documentos_contables/650/compilacion_estadistica_1998-2018.pdf</t>
        </is>
      </c>
      <c r="S970" s="6" t="inlineStr">
        <is>
          <t>ANDE-98-18</t>
        </is>
      </c>
      <c r="T970" s="6" t="inlineStr"/>
      <c r="U970" s="4" t="inlineStr">
        <is>
          <t>2026-09-11 00:05:00</t>
        </is>
      </c>
      <c r="V970" s="4" t="inlineStr">
        <is>
          <t>Serie revisada; prioridad sobre compilacion 1983-2006 en años solapados.</t>
        </is>
      </c>
    </row>
    <row r="971">
      <c r="A971" s="6" t="inlineStr">
        <is>
          <t>R0000970</t>
        </is>
      </c>
      <c r="B971" s="6" t="inlineStr">
        <is>
          <t>2014-01-01</t>
        </is>
      </c>
      <c r="C971" s="6" t="inlineStr">
        <is>
          <t>2014-12-31</t>
        </is>
      </c>
      <c r="D971" s="6" t="inlineStr">
        <is>
          <t>year</t>
        </is>
      </c>
      <c r="E971" s="6" t="inlineStr">
        <is>
          <t>ANDE_BILLED_RESIDENTIAL_ENERGY</t>
        </is>
      </c>
      <c r="F971" s="6" t="inlineStr">
        <is>
          <t>PY_SIN</t>
        </is>
      </c>
      <c r="G971" s="6" t="inlineStr">
        <is>
          <t>PY</t>
        </is>
      </c>
      <c r="H971" s="6" t="inlineStr">
        <is>
          <t>PY</t>
        </is>
      </c>
      <c r="I971" s="8" t="n">
        <v>4323380</v>
      </c>
      <c r="J971" s="6" t="inlineStr">
        <is>
          <t>MWh</t>
        </is>
      </c>
      <c r="K971" s="8" t="n">
        <v>4323380</v>
      </c>
      <c r="L971" s="6" t="inlineStr">
        <is>
          <t>MWh</t>
        </is>
      </c>
      <c r="M971" s="6" t="inlineStr">
        <is>
          <t>ANDE</t>
        </is>
      </c>
      <c r="N971" s="6" t="inlineStr">
        <is>
          <t>OFFICIAL_PRIMARY</t>
        </is>
      </c>
      <c r="O971" s="9" t="inlineStr">
        <is>
          <t>OFFICIAL_AGGREGATE</t>
        </is>
      </c>
      <c r="P971" s="10" t="n">
        <v>0</v>
      </c>
      <c r="Q971" s="8" t="n">
        <v>75</v>
      </c>
      <c r="R971" s="7" t="inlineStr">
        <is>
          <t>https://www.ande.gov.py/documentos_contables/650/compilacion_estadistica_1998-2018.pdf</t>
        </is>
      </c>
      <c r="S971" s="6" t="inlineStr">
        <is>
          <t>ANDE-98-18</t>
        </is>
      </c>
      <c r="T971" s="6" t="inlineStr"/>
      <c r="U971" s="4" t="inlineStr">
        <is>
          <t>2026-09-11 00:05:00</t>
        </is>
      </c>
      <c r="V971" s="4" t="inlineStr">
        <is>
          <t>Serie revisada; prioridad sobre compilacion 1983-2006 en años solapados.</t>
        </is>
      </c>
    </row>
    <row r="972">
      <c r="A972" s="6" t="inlineStr">
        <is>
          <t>R0000971</t>
        </is>
      </c>
      <c r="B972" s="6" t="inlineStr">
        <is>
          <t>2015-01-01</t>
        </is>
      </c>
      <c r="C972" s="6" t="inlineStr">
        <is>
          <t>2015-12-31</t>
        </is>
      </c>
      <c r="D972" s="6" t="inlineStr">
        <is>
          <t>year</t>
        </is>
      </c>
      <c r="E972" s="6" t="inlineStr">
        <is>
          <t>ANDE_BILLED_RESIDENTIAL_ENERGY</t>
        </is>
      </c>
      <c r="F972" s="6" t="inlineStr">
        <is>
          <t>PY_SIN</t>
        </is>
      </c>
      <c r="G972" s="6" t="inlineStr">
        <is>
          <t>PY</t>
        </is>
      </c>
      <c r="H972" s="6" t="inlineStr">
        <is>
          <t>PY</t>
        </is>
      </c>
      <c r="I972" s="8" t="n">
        <v>4542495</v>
      </c>
      <c r="J972" s="6" t="inlineStr">
        <is>
          <t>MWh</t>
        </is>
      </c>
      <c r="K972" s="8" t="n">
        <v>4542495</v>
      </c>
      <c r="L972" s="6" t="inlineStr">
        <is>
          <t>MWh</t>
        </is>
      </c>
      <c r="M972" s="6" t="inlineStr">
        <is>
          <t>ANDE</t>
        </is>
      </c>
      <c r="N972" s="6" t="inlineStr">
        <is>
          <t>OFFICIAL_PRIMARY</t>
        </is>
      </c>
      <c r="O972" s="9" t="inlineStr">
        <is>
          <t>OFFICIAL_AGGREGATE</t>
        </is>
      </c>
      <c r="P972" s="10" t="n">
        <v>0</v>
      </c>
      <c r="Q972" s="8" t="n">
        <v>75</v>
      </c>
      <c r="R972" s="7" t="inlineStr">
        <is>
          <t>https://www.ande.gov.py/documentos_contables/650/compilacion_estadistica_1998-2018.pdf</t>
        </is>
      </c>
      <c r="S972" s="6" t="inlineStr">
        <is>
          <t>ANDE-98-18</t>
        </is>
      </c>
      <c r="T972" s="6" t="inlineStr"/>
      <c r="U972" s="4" t="inlineStr">
        <is>
          <t>2026-09-11 00:05:00</t>
        </is>
      </c>
      <c r="V972" s="4" t="inlineStr">
        <is>
          <t>Serie revisada; prioridad sobre compilacion 1983-2006 en años solapados.</t>
        </is>
      </c>
    </row>
    <row r="973">
      <c r="A973" s="6" t="inlineStr">
        <is>
          <t>R0000972</t>
        </is>
      </c>
      <c r="B973" s="6" t="inlineStr">
        <is>
          <t>2016-01-01</t>
        </is>
      </c>
      <c r="C973" s="6" t="inlineStr">
        <is>
          <t>2016-12-31</t>
        </is>
      </c>
      <c r="D973" s="6" t="inlineStr">
        <is>
          <t>year</t>
        </is>
      </c>
      <c r="E973" s="6" t="inlineStr">
        <is>
          <t>ANDE_BILLED_RESIDENTIAL_ENERGY</t>
        </is>
      </c>
      <c r="F973" s="6" t="inlineStr">
        <is>
          <t>PY_SIN</t>
        </is>
      </c>
      <c r="G973" s="6" t="inlineStr">
        <is>
          <t>PY</t>
        </is>
      </c>
      <c r="H973" s="6" t="inlineStr">
        <is>
          <t>PY</t>
        </is>
      </c>
      <c r="I973" s="8" t="n">
        <v>4793863</v>
      </c>
      <c r="J973" s="6" t="inlineStr">
        <is>
          <t>MWh</t>
        </is>
      </c>
      <c r="K973" s="8" t="n">
        <v>4793863</v>
      </c>
      <c r="L973" s="6" t="inlineStr">
        <is>
          <t>MWh</t>
        </is>
      </c>
      <c r="M973" s="6" t="inlineStr">
        <is>
          <t>ANDE</t>
        </is>
      </c>
      <c r="N973" s="6" t="inlineStr">
        <is>
          <t>OFFICIAL_PRIMARY</t>
        </is>
      </c>
      <c r="O973" s="9" t="inlineStr">
        <is>
          <t>OFFICIAL_AGGREGATE</t>
        </is>
      </c>
      <c r="P973" s="10" t="n">
        <v>0</v>
      </c>
      <c r="Q973" s="8" t="n">
        <v>75</v>
      </c>
      <c r="R973" s="7" t="inlineStr">
        <is>
          <t>https://www.ande.gov.py/documentos_contables/650/compilacion_estadistica_1998-2018.pdf</t>
        </is>
      </c>
      <c r="S973" s="6" t="inlineStr">
        <is>
          <t>ANDE-98-18</t>
        </is>
      </c>
      <c r="T973" s="6" t="inlineStr"/>
      <c r="U973" s="4" t="inlineStr">
        <is>
          <t>2026-09-11 00:05:00</t>
        </is>
      </c>
      <c r="V973" s="4" t="inlineStr">
        <is>
          <t>Serie revisada; prioridad sobre compilacion 1983-2006 en años solapados.</t>
        </is>
      </c>
    </row>
    <row r="974">
      <c r="A974" s="6" t="inlineStr">
        <is>
          <t>R0000973</t>
        </is>
      </c>
      <c r="B974" s="6" t="inlineStr">
        <is>
          <t>2017-01-01</t>
        </is>
      </c>
      <c r="C974" s="6" t="inlineStr">
        <is>
          <t>2017-12-31</t>
        </is>
      </c>
      <c r="D974" s="6" t="inlineStr">
        <is>
          <t>year</t>
        </is>
      </c>
      <c r="E974" s="6" t="inlineStr">
        <is>
          <t>ANDE_BILLED_RESIDENTIAL_ENERGY</t>
        </is>
      </c>
      <c r="F974" s="6" t="inlineStr">
        <is>
          <t>PY_SIN</t>
        </is>
      </c>
      <c r="G974" s="6" t="inlineStr">
        <is>
          <t>PY</t>
        </is>
      </c>
      <c r="H974" s="6" t="inlineStr">
        <is>
          <t>PY</t>
        </is>
      </c>
      <c r="I974" s="8" t="n">
        <v>4920271</v>
      </c>
      <c r="J974" s="6" t="inlineStr">
        <is>
          <t>MWh</t>
        </is>
      </c>
      <c r="K974" s="8" t="n">
        <v>4920271</v>
      </c>
      <c r="L974" s="6" t="inlineStr">
        <is>
          <t>MWh</t>
        </is>
      </c>
      <c r="M974" s="6" t="inlineStr">
        <is>
          <t>ANDE</t>
        </is>
      </c>
      <c r="N974" s="6" t="inlineStr">
        <is>
          <t>OFFICIAL_PRIMARY</t>
        </is>
      </c>
      <c r="O974" s="9" t="inlineStr">
        <is>
          <t>OFFICIAL_AGGREGATE</t>
        </is>
      </c>
      <c r="P974" s="10" t="n">
        <v>0</v>
      </c>
      <c r="Q974" s="8" t="n">
        <v>75</v>
      </c>
      <c r="R974" s="7" t="inlineStr">
        <is>
          <t>https://www.ande.gov.py/documentos_contables/650/compilacion_estadistica_1998-2018.pdf</t>
        </is>
      </c>
      <c r="S974" s="6" t="inlineStr">
        <is>
          <t>ANDE-98-18</t>
        </is>
      </c>
      <c r="T974" s="6" t="inlineStr"/>
      <c r="U974" s="4" t="inlineStr">
        <is>
          <t>2026-09-11 00:05:00</t>
        </is>
      </c>
      <c r="V974" s="4" t="inlineStr">
        <is>
          <t>Serie revisada; prioridad sobre compilacion 1983-2006 en años solapados.</t>
        </is>
      </c>
    </row>
    <row r="975">
      <c r="A975" s="6" t="inlineStr">
        <is>
          <t>R0000974</t>
        </is>
      </c>
      <c r="B975" s="6" t="inlineStr">
        <is>
          <t>2018-01-01</t>
        </is>
      </c>
      <c r="C975" s="6" t="inlineStr">
        <is>
          <t>2018-12-31</t>
        </is>
      </c>
      <c r="D975" s="6" t="inlineStr">
        <is>
          <t>year</t>
        </is>
      </c>
      <c r="E975" s="6" t="inlineStr">
        <is>
          <t>ANDE_BILLED_RESIDENTIAL_ENERGY</t>
        </is>
      </c>
      <c r="F975" s="6" t="inlineStr">
        <is>
          <t>PY_SIN</t>
        </is>
      </c>
      <c r="G975" s="6" t="inlineStr">
        <is>
          <t>PY</t>
        </is>
      </c>
      <c r="H975" s="6" t="inlineStr">
        <is>
          <t>PY</t>
        </is>
      </c>
      <c r="I975" s="8" t="n">
        <v>5376642</v>
      </c>
      <c r="J975" s="6" t="inlineStr">
        <is>
          <t>MWh</t>
        </is>
      </c>
      <c r="K975" s="8" t="n">
        <v>5376642</v>
      </c>
      <c r="L975" s="6" t="inlineStr">
        <is>
          <t>MWh</t>
        </is>
      </c>
      <c r="M975" s="6" t="inlineStr">
        <is>
          <t>ANDE</t>
        </is>
      </c>
      <c r="N975" s="6" t="inlineStr">
        <is>
          <t>OFFICIAL_PRIMARY</t>
        </is>
      </c>
      <c r="O975" s="9" t="inlineStr">
        <is>
          <t>OFFICIAL_AGGREGATE</t>
        </is>
      </c>
      <c r="P975" s="10" t="n">
        <v>0</v>
      </c>
      <c r="Q975" s="8" t="n">
        <v>75</v>
      </c>
      <c r="R975" s="7" t="inlineStr">
        <is>
          <t>https://www.ande.gov.py/documentos_contables/650/compilacion_estadistica_1998-2018.pdf</t>
        </is>
      </c>
      <c r="S975" s="6" t="inlineStr">
        <is>
          <t>ANDE-98-18</t>
        </is>
      </c>
      <c r="T975" s="6" t="inlineStr"/>
      <c r="U975" s="4" t="inlineStr">
        <is>
          <t>2026-09-11 00:05:00</t>
        </is>
      </c>
      <c r="V975" s="4" t="inlineStr">
        <is>
          <t>Serie revisada; prioridad sobre compilacion 1983-2006 en años solapados.</t>
        </is>
      </c>
    </row>
    <row r="976">
      <c r="A976" s="6" t="inlineStr">
        <is>
          <t>R0000975</t>
        </is>
      </c>
      <c r="B976" s="6" t="inlineStr">
        <is>
          <t>1998-01-01</t>
        </is>
      </c>
      <c r="C976" s="6" t="inlineStr">
        <is>
          <t>1998-12-31</t>
        </is>
      </c>
      <c r="D976" s="6" t="inlineStr">
        <is>
          <t>year</t>
        </is>
      </c>
      <c r="E976" s="6" t="inlineStr">
        <is>
          <t>ANDE_BILLED_INDUSTRIAL_ENERGY</t>
        </is>
      </c>
      <c r="F976" s="6" t="inlineStr">
        <is>
          <t>PY_SIN</t>
        </is>
      </c>
      <c r="G976" s="6" t="inlineStr">
        <is>
          <t>PY</t>
        </is>
      </c>
      <c r="H976" s="6" t="inlineStr">
        <is>
          <t>PY</t>
        </is>
      </c>
      <c r="I976" s="8" t="n">
        <v>847784</v>
      </c>
      <c r="J976" s="6" t="inlineStr">
        <is>
          <t>MWh</t>
        </is>
      </c>
      <c r="K976" s="8" t="n">
        <v>847784</v>
      </c>
      <c r="L976" s="6" t="inlineStr">
        <is>
          <t>MWh</t>
        </is>
      </c>
      <c r="M976" s="6" t="inlineStr">
        <is>
          <t>ANDE</t>
        </is>
      </c>
      <c r="N976" s="6" t="inlineStr">
        <is>
          <t>OFFICIAL_PRIMARY</t>
        </is>
      </c>
      <c r="O976" s="9" t="inlineStr">
        <is>
          <t>OFFICIAL_AGGREGATE</t>
        </is>
      </c>
      <c r="P976" s="8" t="n">
        <v>1</v>
      </c>
      <c r="Q976" s="8" t="n">
        <v>75</v>
      </c>
      <c r="R976" s="7" t="inlineStr">
        <is>
          <t>https://www.ande.gov.py/documentos_contables/650/compilacion_estadistica_1998-2018.pdf</t>
        </is>
      </c>
      <c r="S976" s="6" t="inlineStr">
        <is>
          <t>ANDE-98-18</t>
        </is>
      </c>
      <c r="T976" s="6" t="inlineStr"/>
      <c r="U976" s="4" t="inlineStr">
        <is>
          <t>2026-09-11 00:05:00</t>
        </is>
      </c>
      <c r="V976" s="4" t="inlineStr">
        <is>
          <t>Serie revisada; prioridad sobre compilacion 1983-2006 en años solapados.</t>
        </is>
      </c>
    </row>
    <row r="977">
      <c r="A977" s="6" t="inlineStr">
        <is>
          <t>R0000976</t>
        </is>
      </c>
      <c r="B977" s="6" t="inlineStr">
        <is>
          <t>1999-01-01</t>
        </is>
      </c>
      <c r="C977" s="6" t="inlineStr">
        <is>
          <t>1999-12-31</t>
        </is>
      </c>
      <c r="D977" s="6" t="inlineStr">
        <is>
          <t>year</t>
        </is>
      </c>
      <c r="E977" s="6" t="inlineStr">
        <is>
          <t>ANDE_BILLED_INDUSTRIAL_ENERGY</t>
        </is>
      </c>
      <c r="F977" s="6" t="inlineStr">
        <is>
          <t>PY_SIN</t>
        </is>
      </c>
      <c r="G977" s="6" t="inlineStr">
        <is>
          <t>PY</t>
        </is>
      </c>
      <c r="H977" s="6" t="inlineStr">
        <is>
          <t>PY</t>
        </is>
      </c>
      <c r="I977" s="8" t="n">
        <v>979097</v>
      </c>
      <c r="J977" s="6" t="inlineStr">
        <is>
          <t>MWh</t>
        </is>
      </c>
      <c r="K977" s="8" t="n">
        <v>979097</v>
      </c>
      <c r="L977" s="6" t="inlineStr">
        <is>
          <t>MWh</t>
        </is>
      </c>
      <c r="M977" s="6" t="inlineStr">
        <is>
          <t>ANDE</t>
        </is>
      </c>
      <c r="N977" s="6" t="inlineStr">
        <is>
          <t>OFFICIAL_PRIMARY</t>
        </is>
      </c>
      <c r="O977" s="9" t="inlineStr">
        <is>
          <t>OFFICIAL_AGGREGATE</t>
        </is>
      </c>
      <c r="P977" s="8" t="n">
        <v>1</v>
      </c>
      <c r="Q977" s="8" t="n">
        <v>75</v>
      </c>
      <c r="R977" s="7" t="inlineStr">
        <is>
          <t>https://www.ande.gov.py/documentos_contables/650/compilacion_estadistica_1998-2018.pdf</t>
        </is>
      </c>
      <c r="S977" s="6" t="inlineStr">
        <is>
          <t>ANDE-98-18</t>
        </is>
      </c>
      <c r="T977" s="6" t="inlineStr"/>
      <c r="U977" s="4" t="inlineStr">
        <is>
          <t>2026-09-11 00:05:00</t>
        </is>
      </c>
      <c r="V977" s="4" t="inlineStr">
        <is>
          <t>Serie revisada; prioridad sobre compilacion 1983-2006 en años solapados.</t>
        </is>
      </c>
    </row>
    <row r="978">
      <c r="A978" s="6" t="inlineStr">
        <is>
          <t>R0000977</t>
        </is>
      </c>
      <c r="B978" s="6" t="inlineStr">
        <is>
          <t>2000-01-01</t>
        </is>
      </c>
      <c r="C978" s="6" t="inlineStr">
        <is>
          <t>2000-12-31</t>
        </is>
      </c>
      <c r="D978" s="6" t="inlineStr">
        <is>
          <t>year</t>
        </is>
      </c>
      <c r="E978" s="6" t="inlineStr">
        <is>
          <t>ANDE_BILLED_INDUSTRIAL_ENERGY</t>
        </is>
      </c>
      <c r="F978" s="6" t="inlineStr">
        <is>
          <t>PY_SIN</t>
        </is>
      </c>
      <c r="G978" s="6" t="inlineStr">
        <is>
          <t>PY</t>
        </is>
      </c>
      <c r="H978" s="6" t="inlineStr">
        <is>
          <t>PY</t>
        </is>
      </c>
      <c r="I978" s="8" t="n">
        <v>890791</v>
      </c>
      <c r="J978" s="6" t="inlineStr">
        <is>
          <t>MWh</t>
        </is>
      </c>
      <c r="K978" s="8" t="n">
        <v>890791</v>
      </c>
      <c r="L978" s="6" t="inlineStr">
        <is>
          <t>MWh</t>
        </is>
      </c>
      <c r="M978" s="6" t="inlineStr">
        <is>
          <t>ANDE</t>
        </is>
      </c>
      <c r="N978" s="6" t="inlineStr">
        <is>
          <t>OFFICIAL_PRIMARY</t>
        </is>
      </c>
      <c r="O978" s="9" t="inlineStr">
        <is>
          <t>OFFICIAL_AGGREGATE</t>
        </is>
      </c>
      <c r="P978" s="8" t="n">
        <v>1</v>
      </c>
      <c r="Q978" s="8" t="n">
        <v>75</v>
      </c>
      <c r="R978" s="7" t="inlineStr">
        <is>
          <t>https://www.ande.gov.py/documentos_contables/650/compilacion_estadistica_1998-2018.pdf</t>
        </is>
      </c>
      <c r="S978" s="6" t="inlineStr">
        <is>
          <t>ANDE-98-18</t>
        </is>
      </c>
      <c r="T978" s="6" t="inlineStr"/>
      <c r="U978" s="4" t="inlineStr">
        <is>
          <t>2026-09-11 00:05:00</t>
        </is>
      </c>
      <c r="V978" s="4" t="inlineStr">
        <is>
          <t>Serie revisada; prioridad sobre compilacion 1983-2006 en años solapados.</t>
        </is>
      </c>
    </row>
    <row r="979">
      <c r="A979" s="6" t="inlineStr">
        <is>
          <t>R0000978</t>
        </is>
      </c>
      <c r="B979" s="6" t="inlineStr">
        <is>
          <t>2001-01-01</t>
        </is>
      </c>
      <c r="C979" s="6" t="inlineStr">
        <is>
          <t>2001-12-31</t>
        </is>
      </c>
      <c r="D979" s="6" t="inlineStr">
        <is>
          <t>year</t>
        </is>
      </c>
      <c r="E979" s="6" t="inlineStr">
        <is>
          <t>ANDE_BILLED_INDUSTRIAL_ENERGY</t>
        </is>
      </c>
      <c r="F979" s="6" t="inlineStr">
        <is>
          <t>PY_SIN</t>
        </is>
      </c>
      <c r="G979" s="6" t="inlineStr">
        <is>
          <t>PY</t>
        </is>
      </c>
      <c r="H979" s="6" t="inlineStr">
        <is>
          <t>PY</t>
        </is>
      </c>
      <c r="I979" s="8" t="n">
        <v>919910</v>
      </c>
      <c r="J979" s="6" t="inlineStr">
        <is>
          <t>MWh</t>
        </is>
      </c>
      <c r="K979" s="8" t="n">
        <v>919910</v>
      </c>
      <c r="L979" s="6" t="inlineStr">
        <is>
          <t>MWh</t>
        </is>
      </c>
      <c r="M979" s="6" t="inlineStr">
        <is>
          <t>ANDE</t>
        </is>
      </c>
      <c r="N979" s="6" t="inlineStr">
        <is>
          <t>OFFICIAL_PRIMARY</t>
        </is>
      </c>
      <c r="O979" s="9" t="inlineStr">
        <is>
          <t>OFFICIAL_AGGREGATE</t>
        </is>
      </c>
      <c r="P979" s="8" t="n">
        <v>1</v>
      </c>
      <c r="Q979" s="8" t="n">
        <v>75</v>
      </c>
      <c r="R979" s="7" t="inlineStr">
        <is>
          <t>https://www.ande.gov.py/documentos_contables/650/compilacion_estadistica_1998-2018.pdf</t>
        </is>
      </c>
      <c r="S979" s="6" t="inlineStr">
        <is>
          <t>ANDE-98-18</t>
        </is>
      </c>
      <c r="T979" s="6" t="inlineStr"/>
      <c r="U979" s="4" t="inlineStr">
        <is>
          <t>2026-09-11 00:05:00</t>
        </is>
      </c>
      <c r="V979" s="4" t="inlineStr">
        <is>
          <t>Serie revisada; prioridad sobre compilacion 1983-2006 en años solapados.</t>
        </is>
      </c>
    </row>
    <row r="980">
      <c r="A980" s="6" t="inlineStr">
        <is>
          <t>R0000979</t>
        </is>
      </c>
      <c r="B980" s="6" t="inlineStr">
        <is>
          <t>2002-01-01</t>
        </is>
      </c>
      <c r="C980" s="6" t="inlineStr">
        <is>
          <t>2002-12-31</t>
        </is>
      </c>
      <c r="D980" s="6" t="inlineStr">
        <is>
          <t>year</t>
        </is>
      </c>
      <c r="E980" s="6" t="inlineStr">
        <is>
          <t>ANDE_BILLED_INDUSTRIAL_ENERGY</t>
        </is>
      </c>
      <c r="F980" s="6" t="inlineStr">
        <is>
          <t>PY_SIN</t>
        </is>
      </c>
      <c r="G980" s="6" t="inlineStr">
        <is>
          <t>PY</t>
        </is>
      </c>
      <c r="H980" s="6" t="inlineStr">
        <is>
          <t>PY</t>
        </is>
      </c>
      <c r="I980" s="8" t="n">
        <v>931350</v>
      </c>
      <c r="J980" s="6" t="inlineStr">
        <is>
          <t>MWh</t>
        </is>
      </c>
      <c r="K980" s="8" t="n">
        <v>931350</v>
      </c>
      <c r="L980" s="6" t="inlineStr">
        <is>
          <t>MWh</t>
        </is>
      </c>
      <c r="M980" s="6" t="inlineStr">
        <is>
          <t>ANDE</t>
        </is>
      </c>
      <c r="N980" s="6" t="inlineStr">
        <is>
          <t>OFFICIAL_PRIMARY</t>
        </is>
      </c>
      <c r="O980" s="9" t="inlineStr">
        <is>
          <t>OFFICIAL_AGGREGATE</t>
        </is>
      </c>
      <c r="P980" s="8" t="n">
        <v>1</v>
      </c>
      <c r="Q980" s="8" t="n">
        <v>75</v>
      </c>
      <c r="R980" s="7" t="inlineStr">
        <is>
          <t>https://www.ande.gov.py/documentos_contables/650/compilacion_estadistica_1998-2018.pdf</t>
        </is>
      </c>
      <c r="S980" s="6" t="inlineStr">
        <is>
          <t>ANDE-98-18</t>
        </is>
      </c>
      <c r="T980" s="6" t="inlineStr"/>
      <c r="U980" s="4" t="inlineStr">
        <is>
          <t>2026-09-11 00:05:00</t>
        </is>
      </c>
      <c r="V980" s="4" t="inlineStr">
        <is>
          <t>Serie revisada; prioridad sobre compilacion 1983-2006 en años solapados.</t>
        </is>
      </c>
    </row>
    <row r="981">
      <c r="A981" s="6" t="inlineStr">
        <is>
          <t>R0000980</t>
        </is>
      </c>
      <c r="B981" s="6" t="inlineStr">
        <is>
          <t>2003-01-01</t>
        </is>
      </c>
      <c r="C981" s="6" t="inlineStr">
        <is>
          <t>2003-12-31</t>
        </is>
      </c>
      <c r="D981" s="6" t="inlineStr">
        <is>
          <t>year</t>
        </is>
      </c>
      <c r="E981" s="6" t="inlineStr">
        <is>
          <t>ANDE_BILLED_INDUSTRIAL_ENERGY</t>
        </is>
      </c>
      <c r="F981" s="6" t="inlineStr">
        <is>
          <t>PY_SIN</t>
        </is>
      </c>
      <c r="G981" s="6" t="inlineStr">
        <is>
          <t>PY</t>
        </is>
      </c>
      <c r="H981" s="6" t="inlineStr">
        <is>
          <t>PY</t>
        </is>
      </c>
      <c r="I981" s="8" t="n">
        <v>1054432</v>
      </c>
      <c r="J981" s="6" t="inlineStr">
        <is>
          <t>MWh</t>
        </is>
      </c>
      <c r="K981" s="8" t="n">
        <v>1054432</v>
      </c>
      <c r="L981" s="6" t="inlineStr">
        <is>
          <t>MWh</t>
        </is>
      </c>
      <c r="M981" s="6" t="inlineStr">
        <is>
          <t>ANDE</t>
        </is>
      </c>
      <c r="N981" s="6" t="inlineStr">
        <is>
          <t>OFFICIAL_PRIMARY</t>
        </is>
      </c>
      <c r="O981" s="9" t="inlineStr">
        <is>
          <t>OFFICIAL_AGGREGATE</t>
        </is>
      </c>
      <c r="P981" s="10" t="n">
        <v>0</v>
      </c>
      <c r="Q981" s="8" t="n">
        <v>75</v>
      </c>
      <c r="R981" s="7" t="inlineStr">
        <is>
          <t>https://www.ande.gov.py/documentos_contables/650/compilacion_estadistica_1998-2018.pdf</t>
        </is>
      </c>
      <c r="S981" s="6" t="inlineStr">
        <is>
          <t>ANDE-98-18</t>
        </is>
      </c>
      <c r="T981" s="6" t="inlineStr"/>
      <c r="U981" s="4" t="inlineStr">
        <is>
          <t>2026-09-11 00:05:00</t>
        </is>
      </c>
      <c r="V981" s="4" t="inlineStr">
        <is>
          <t>Serie revisada; prioridad sobre compilacion 1983-2006 en años solapados.</t>
        </is>
      </c>
    </row>
    <row r="982">
      <c r="A982" s="6" t="inlineStr">
        <is>
          <t>R0000981</t>
        </is>
      </c>
      <c r="B982" s="6" t="inlineStr">
        <is>
          <t>2004-01-01</t>
        </is>
      </c>
      <c r="C982" s="6" t="inlineStr">
        <is>
          <t>2004-12-31</t>
        </is>
      </c>
      <c r="D982" s="6" t="inlineStr">
        <is>
          <t>year</t>
        </is>
      </c>
      <c r="E982" s="6" t="inlineStr">
        <is>
          <t>ANDE_BILLED_INDUSTRIAL_ENERGY</t>
        </is>
      </c>
      <c r="F982" s="6" t="inlineStr">
        <is>
          <t>PY_SIN</t>
        </is>
      </c>
      <c r="G982" s="6" t="inlineStr">
        <is>
          <t>PY</t>
        </is>
      </c>
      <c r="H982" s="6" t="inlineStr">
        <is>
          <t>PY</t>
        </is>
      </c>
      <c r="I982" s="8" t="n">
        <v>1153733</v>
      </c>
      <c r="J982" s="6" t="inlineStr">
        <is>
          <t>MWh</t>
        </is>
      </c>
      <c r="K982" s="8" t="n">
        <v>1153733</v>
      </c>
      <c r="L982" s="6" t="inlineStr">
        <is>
          <t>MWh</t>
        </is>
      </c>
      <c r="M982" s="6" t="inlineStr">
        <is>
          <t>ANDE</t>
        </is>
      </c>
      <c r="N982" s="6" t="inlineStr">
        <is>
          <t>OFFICIAL_PRIMARY</t>
        </is>
      </c>
      <c r="O982" s="9" t="inlineStr">
        <is>
          <t>OFFICIAL_AGGREGATE</t>
        </is>
      </c>
      <c r="P982" s="10" t="n">
        <v>0</v>
      </c>
      <c r="Q982" s="8" t="n">
        <v>75</v>
      </c>
      <c r="R982" s="7" t="inlineStr">
        <is>
          <t>https://www.ande.gov.py/documentos_contables/650/compilacion_estadistica_1998-2018.pdf</t>
        </is>
      </c>
      <c r="S982" s="6" t="inlineStr">
        <is>
          <t>ANDE-98-18</t>
        </is>
      </c>
      <c r="T982" s="6" t="inlineStr"/>
      <c r="U982" s="4" t="inlineStr">
        <is>
          <t>2026-09-11 00:05:00</t>
        </is>
      </c>
      <c r="V982" s="4" t="inlineStr">
        <is>
          <t>Serie revisada; prioridad sobre compilacion 1983-2006 en años solapados.</t>
        </is>
      </c>
    </row>
    <row r="983">
      <c r="A983" s="6" t="inlineStr">
        <is>
          <t>R0000982</t>
        </is>
      </c>
      <c r="B983" s="6" t="inlineStr">
        <is>
          <t>2005-01-01</t>
        </is>
      </c>
      <c r="C983" s="6" t="inlineStr">
        <is>
          <t>2005-12-31</t>
        </is>
      </c>
      <c r="D983" s="6" t="inlineStr">
        <is>
          <t>year</t>
        </is>
      </c>
      <c r="E983" s="6" t="inlineStr">
        <is>
          <t>ANDE_BILLED_INDUSTRIAL_ENERGY</t>
        </is>
      </c>
      <c r="F983" s="6" t="inlineStr">
        <is>
          <t>PY_SIN</t>
        </is>
      </c>
      <c r="G983" s="6" t="inlineStr">
        <is>
          <t>PY</t>
        </is>
      </c>
      <c r="H983" s="6" t="inlineStr">
        <is>
          <t>PY</t>
        </is>
      </c>
      <c r="I983" s="8" t="n">
        <v>1249665</v>
      </c>
      <c r="J983" s="6" t="inlineStr">
        <is>
          <t>MWh</t>
        </is>
      </c>
      <c r="K983" s="8" t="n">
        <v>1249665</v>
      </c>
      <c r="L983" s="6" t="inlineStr">
        <is>
          <t>MWh</t>
        </is>
      </c>
      <c r="M983" s="6" t="inlineStr">
        <is>
          <t>ANDE</t>
        </is>
      </c>
      <c r="N983" s="6" t="inlineStr">
        <is>
          <t>OFFICIAL_PRIMARY</t>
        </is>
      </c>
      <c r="O983" s="9" t="inlineStr">
        <is>
          <t>OFFICIAL_AGGREGATE</t>
        </is>
      </c>
      <c r="P983" s="10" t="n">
        <v>0</v>
      </c>
      <c r="Q983" s="8" t="n">
        <v>75</v>
      </c>
      <c r="R983" s="7" t="inlineStr">
        <is>
          <t>https://www.ande.gov.py/documentos_contables/650/compilacion_estadistica_1998-2018.pdf</t>
        </is>
      </c>
      <c r="S983" s="6" t="inlineStr">
        <is>
          <t>ANDE-98-18</t>
        </is>
      </c>
      <c r="T983" s="6" t="inlineStr"/>
      <c r="U983" s="4" t="inlineStr">
        <is>
          <t>2026-09-11 00:05:00</t>
        </is>
      </c>
      <c r="V983" s="4" t="inlineStr">
        <is>
          <t>Serie revisada; prioridad sobre compilacion 1983-2006 en años solapados.</t>
        </is>
      </c>
    </row>
    <row r="984">
      <c r="A984" s="6" t="inlineStr">
        <is>
          <t>R0000983</t>
        </is>
      </c>
      <c r="B984" s="6" t="inlineStr">
        <is>
          <t>2006-01-01</t>
        </is>
      </c>
      <c r="C984" s="6" t="inlineStr">
        <is>
          <t>2006-12-31</t>
        </is>
      </c>
      <c r="D984" s="6" t="inlineStr">
        <is>
          <t>year</t>
        </is>
      </c>
      <c r="E984" s="6" t="inlineStr">
        <is>
          <t>ANDE_BILLED_INDUSTRIAL_ENERGY</t>
        </is>
      </c>
      <c r="F984" s="6" t="inlineStr">
        <is>
          <t>PY_SIN</t>
        </is>
      </c>
      <c r="G984" s="6" t="inlineStr">
        <is>
          <t>PY</t>
        </is>
      </c>
      <c r="H984" s="6" t="inlineStr">
        <is>
          <t>PY</t>
        </is>
      </c>
      <c r="I984" s="8" t="n">
        <v>1371385</v>
      </c>
      <c r="J984" s="6" t="inlineStr">
        <is>
          <t>MWh</t>
        </is>
      </c>
      <c r="K984" s="8" t="n">
        <v>1371385</v>
      </c>
      <c r="L984" s="6" t="inlineStr">
        <is>
          <t>MWh</t>
        </is>
      </c>
      <c r="M984" s="6" t="inlineStr">
        <is>
          <t>ANDE</t>
        </is>
      </c>
      <c r="N984" s="6" t="inlineStr">
        <is>
          <t>OFFICIAL_PRIMARY</t>
        </is>
      </c>
      <c r="O984" s="9" t="inlineStr">
        <is>
          <t>OFFICIAL_AGGREGATE</t>
        </is>
      </c>
      <c r="P984" s="10" t="n">
        <v>0</v>
      </c>
      <c r="Q984" s="8" t="n">
        <v>75</v>
      </c>
      <c r="R984" s="7" t="inlineStr">
        <is>
          <t>https://www.ande.gov.py/documentos_contables/650/compilacion_estadistica_1998-2018.pdf</t>
        </is>
      </c>
      <c r="S984" s="6" t="inlineStr">
        <is>
          <t>ANDE-98-18</t>
        </is>
      </c>
      <c r="T984" s="6" t="inlineStr"/>
      <c r="U984" s="4" t="inlineStr">
        <is>
          <t>2026-09-11 00:05:00</t>
        </is>
      </c>
      <c r="V984" s="4" t="inlineStr">
        <is>
          <t>Serie revisada; prioridad sobre compilacion 1983-2006 en años solapados.</t>
        </is>
      </c>
    </row>
    <row r="985">
      <c r="A985" s="6" t="inlineStr">
        <is>
          <t>R0000984</t>
        </is>
      </c>
      <c r="B985" s="6" t="inlineStr">
        <is>
          <t>2007-01-01</t>
        </is>
      </c>
      <c r="C985" s="6" t="inlineStr">
        <is>
          <t>2007-12-31</t>
        </is>
      </c>
      <c r="D985" s="6" t="inlineStr">
        <is>
          <t>year</t>
        </is>
      </c>
      <c r="E985" s="6" t="inlineStr">
        <is>
          <t>ANDE_BILLED_INDUSTRIAL_ENERGY</t>
        </is>
      </c>
      <c r="F985" s="6" t="inlineStr">
        <is>
          <t>PY_SIN</t>
        </is>
      </c>
      <c r="G985" s="6" t="inlineStr">
        <is>
          <t>PY</t>
        </is>
      </c>
      <c r="H985" s="6" t="inlineStr">
        <is>
          <t>PY</t>
        </is>
      </c>
      <c r="I985" s="8" t="n">
        <v>1463326</v>
      </c>
      <c r="J985" s="6" t="inlineStr">
        <is>
          <t>MWh</t>
        </is>
      </c>
      <c r="K985" s="8" t="n">
        <v>1463326</v>
      </c>
      <c r="L985" s="6" t="inlineStr">
        <is>
          <t>MWh</t>
        </is>
      </c>
      <c r="M985" s="6" t="inlineStr">
        <is>
          <t>ANDE</t>
        </is>
      </c>
      <c r="N985" s="6" t="inlineStr">
        <is>
          <t>OFFICIAL_PRIMARY</t>
        </is>
      </c>
      <c r="O985" s="9" t="inlineStr">
        <is>
          <t>OFFICIAL_AGGREGATE</t>
        </is>
      </c>
      <c r="P985" s="10" t="n">
        <v>0</v>
      </c>
      <c r="Q985" s="8" t="n">
        <v>75</v>
      </c>
      <c r="R985" s="7" t="inlineStr">
        <is>
          <t>https://www.ande.gov.py/documentos_contables/650/compilacion_estadistica_1998-2018.pdf</t>
        </is>
      </c>
      <c r="S985" s="6" t="inlineStr">
        <is>
          <t>ANDE-98-18</t>
        </is>
      </c>
      <c r="T985" s="6" t="inlineStr"/>
      <c r="U985" s="4" t="inlineStr">
        <is>
          <t>2026-09-11 00:05:00</t>
        </is>
      </c>
      <c r="V985" s="4" t="inlineStr">
        <is>
          <t>Serie revisada; prioridad sobre compilacion 1983-2006 en años solapados.</t>
        </is>
      </c>
    </row>
    <row r="986">
      <c r="A986" s="6" t="inlineStr">
        <is>
          <t>R0000985</t>
        </is>
      </c>
      <c r="B986" s="6" t="inlineStr">
        <is>
          <t>2008-01-01</t>
        </is>
      </c>
      <c r="C986" s="6" t="inlineStr">
        <is>
          <t>2008-12-31</t>
        </is>
      </c>
      <c r="D986" s="6" t="inlineStr">
        <is>
          <t>year</t>
        </is>
      </c>
      <c r="E986" s="6" t="inlineStr">
        <is>
          <t>ANDE_BILLED_INDUSTRIAL_ENERGY</t>
        </is>
      </c>
      <c r="F986" s="6" t="inlineStr">
        <is>
          <t>PY_SIN</t>
        </is>
      </c>
      <c r="G986" s="6" t="inlineStr">
        <is>
          <t>PY</t>
        </is>
      </c>
      <c r="H986" s="6" t="inlineStr">
        <is>
          <t>PY</t>
        </is>
      </c>
      <c r="I986" s="8" t="n">
        <v>1536273</v>
      </c>
      <c r="J986" s="6" t="inlineStr">
        <is>
          <t>MWh</t>
        </is>
      </c>
      <c r="K986" s="8" t="n">
        <v>1536273</v>
      </c>
      <c r="L986" s="6" t="inlineStr">
        <is>
          <t>MWh</t>
        </is>
      </c>
      <c r="M986" s="6" t="inlineStr">
        <is>
          <t>ANDE</t>
        </is>
      </c>
      <c r="N986" s="6" t="inlineStr">
        <is>
          <t>OFFICIAL_PRIMARY</t>
        </is>
      </c>
      <c r="O986" s="9" t="inlineStr">
        <is>
          <t>OFFICIAL_AGGREGATE</t>
        </is>
      </c>
      <c r="P986" s="10" t="n">
        <v>0</v>
      </c>
      <c r="Q986" s="8" t="n">
        <v>75</v>
      </c>
      <c r="R986" s="7" t="inlineStr">
        <is>
          <t>https://www.ande.gov.py/documentos_contables/650/compilacion_estadistica_1998-2018.pdf</t>
        </is>
      </c>
      <c r="S986" s="6" t="inlineStr">
        <is>
          <t>ANDE-98-18</t>
        </is>
      </c>
      <c r="T986" s="6" t="inlineStr"/>
      <c r="U986" s="4" t="inlineStr">
        <is>
          <t>2026-09-11 00:05:00</t>
        </is>
      </c>
      <c r="V986" s="4" t="inlineStr">
        <is>
          <t>Serie revisada; prioridad sobre compilacion 1983-2006 en años solapados.</t>
        </is>
      </c>
    </row>
    <row r="987">
      <c r="A987" s="6" t="inlineStr">
        <is>
          <t>R0000986</t>
        </is>
      </c>
      <c r="B987" s="6" t="inlineStr">
        <is>
          <t>2009-01-01</t>
        </is>
      </c>
      <c r="C987" s="6" t="inlineStr">
        <is>
          <t>2009-12-31</t>
        </is>
      </c>
      <c r="D987" s="6" t="inlineStr">
        <is>
          <t>year</t>
        </is>
      </c>
      <c r="E987" s="6" t="inlineStr">
        <is>
          <t>ANDE_BILLED_INDUSTRIAL_ENERGY</t>
        </is>
      </c>
      <c r="F987" s="6" t="inlineStr">
        <is>
          <t>PY_SIN</t>
        </is>
      </c>
      <c r="G987" s="6" t="inlineStr">
        <is>
          <t>PY</t>
        </is>
      </c>
      <c r="H987" s="6" t="inlineStr">
        <is>
          <t>PY</t>
        </is>
      </c>
      <c r="I987" s="8" t="n">
        <v>1517290</v>
      </c>
      <c r="J987" s="6" t="inlineStr">
        <is>
          <t>MWh</t>
        </is>
      </c>
      <c r="K987" s="8" t="n">
        <v>1517290</v>
      </c>
      <c r="L987" s="6" t="inlineStr">
        <is>
          <t>MWh</t>
        </is>
      </c>
      <c r="M987" s="6" t="inlineStr">
        <is>
          <t>ANDE</t>
        </is>
      </c>
      <c r="N987" s="6" t="inlineStr">
        <is>
          <t>OFFICIAL_PRIMARY</t>
        </is>
      </c>
      <c r="O987" s="9" t="inlineStr">
        <is>
          <t>OFFICIAL_AGGREGATE</t>
        </is>
      </c>
      <c r="P987" s="10" t="n">
        <v>0</v>
      </c>
      <c r="Q987" s="8" t="n">
        <v>75</v>
      </c>
      <c r="R987" s="7" t="inlineStr">
        <is>
          <t>https://www.ande.gov.py/documentos_contables/650/compilacion_estadistica_1998-2018.pdf</t>
        </is>
      </c>
      <c r="S987" s="6" t="inlineStr">
        <is>
          <t>ANDE-98-18</t>
        </is>
      </c>
      <c r="T987" s="6" t="inlineStr"/>
      <c r="U987" s="4" t="inlineStr">
        <is>
          <t>2026-09-11 00:05:00</t>
        </is>
      </c>
      <c r="V987" s="4" t="inlineStr">
        <is>
          <t>Serie revisada; prioridad sobre compilacion 1983-2006 en años solapados.</t>
        </is>
      </c>
    </row>
    <row r="988">
      <c r="A988" s="6" t="inlineStr">
        <is>
          <t>R0000987</t>
        </is>
      </c>
      <c r="B988" s="6" t="inlineStr">
        <is>
          <t>2010-01-01</t>
        </is>
      </c>
      <c r="C988" s="6" t="inlineStr">
        <is>
          <t>2010-12-31</t>
        </is>
      </c>
      <c r="D988" s="6" t="inlineStr">
        <is>
          <t>year</t>
        </is>
      </c>
      <c r="E988" s="6" t="inlineStr">
        <is>
          <t>ANDE_BILLED_INDUSTRIAL_ENERGY</t>
        </is>
      </c>
      <c r="F988" s="6" t="inlineStr">
        <is>
          <t>PY_SIN</t>
        </is>
      </c>
      <c r="G988" s="6" t="inlineStr">
        <is>
          <t>PY</t>
        </is>
      </c>
      <c r="H988" s="6" t="inlineStr">
        <is>
          <t>PY</t>
        </is>
      </c>
      <c r="I988" s="8" t="n">
        <v>1623020</v>
      </c>
      <c r="J988" s="6" t="inlineStr">
        <is>
          <t>MWh</t>
        </is>
      </c>
      <c r="K988" s="8" t="n">
        <v>1623020</v>
      </c>
      <c r="L988" s="6" t="inlineStr">
        <is>
          <t>MWh</t>
        </is>
      </c>
      <c r="M988" s="6" t="inlineStr">
        <is>
          <t>ANDE</t>
        </is>
      </c>
      <c r="N988" s="6" t="inlineStr">
        <is>
          <t>OFFICIAL_PRIMARY</t>
        </is>
      </c>
      <c r="O988" s="9" t="inlineStr">
        <is>
          <t>OFFICIAL_AGGREGATE</t>
        </is>
      </c>
      <c r="P988" s="10" t="n">
        <v>0</v>
      </c>
      <c r="Q988" s="8" t="n">
        <v>75</v>
      </c>
      <c r="R988" s="7" t="inlineStr">
        <is>
          <t>https://www.ande.gov.py/documentos_contables/650/compilacion_estadistica_1998-2018.pdf</t>
        </is>
      </c>
      <c r="S988" s="6" t="inlineStr">
        <is>
          <t>ANDE-98-18</t>
        </is>
      </c>
      <c r="T988" s="6" t="inlineStr"/>
      <c r="U988" s="4" t="inlineStr">
        <is>
          <t>2026-09-11 00:05:00</t>
        </is>
      </c>
      <c r="V988" s="4" t="inlineStr">
        <is>
          <t>Serie revisada; prioridad sobre compilacion 1983-2006 en años solapados.</t>
        </is>
      </c>
    </row>
    <row r="989">
      <c r="A989" s="6" t="inlineStr">
        <is>
          <t>R0000988</t>
        </is>
      </c>
      <c r="B989" s="6" t="inlineStr">
        <is>
          <t>2011-01-01</t>
        </is>
      </c>
      <c r="C989" s="6" t="inlineStr">
        <is>
          <t>2011-12-31</t>
        </is>
      </c>
      <c r="D989" s="6" t="inlineStr">
        <is>
          <t>year</t>
        </is>
      </c>
      <c r="E989" s="6" t="inlineStr">
        <is>
          <t>ANDE_BILLED_INDUSTRIAL_ENERGY</t>
        </is>
      </c>
      <c r="F989" s="6" t="inlineStr">
        <is>
          <t>PY_SIN</t>
        </is>
      </c>
      <c r="G989" s="6" t="inlineStr">
        <is>
          <t>PY</t>
        </is>
      </c>
      <c r="H989" s="6" t="inlineStr">
        <is>
          <t>PY</t>
        </is>
      </c>
      <c r="I989" s="8" t="n">
        <v>1709464</v>
      </c>
      <c r="J989" s="6" t="inlineStr">
        <is>
          <t>MWh</t>
        </is>
      </c>
      <c r="K989" s="8" t="n">
        <v>1709464</v>
      </c>
      <c r="L989" s="6" t="inlineStr">
        <is>
          <t>MWh</t>
        </is>
      </c>
      <c r="M989" s="6" t="inlineStr">
        <is>
          <t>ANDE</t>
        </is>
      </c>
      <c r="N989" s="6" t="inlineStr">
        <is>
          <t>OFFICIAL_PRIMARY</t>
        </is>
      </c>
      <c r="O989" s="9" t="inlineStr">
        <is>
          <t>OFFICIAL_AGGREGATE</t>
        </is>
      </c>
      <c r="P989" s="10" t="n">
        <v>0</v>
      </c>
      <c r="Q989" s="8" t="n">
        <v>75</v>
      </c>
      <c r="R989" s="7" t="inlineStr">
        <is>
          <t>https://www.ande.gov.py/documentos_contables/650/compilacion_estadistica_1998-2018.pdf</t>
        </is>
      </c>
      <c r="S989" s="6" t="inlineStr">
        <is>
          <t>ANDE-98-18</t>
        </is>
      </c>
      <c r="T989" s="6" t="inlineStr"/>
      <c r="U989" s="4" t="inlineStr">
        <is>
          <t>2026-09-11 00:05:00</t>
        </is>
      </c>
      <c r="V989" s="4" t="inlineStr">
        <is>
          <t>Serie revisada; prioridad sobre compilacion 1983-2006 en años solapados.</t>
        </is>
      </c>
    </row>
    <row r="990">
      <c r="A990" s="6" t="inlineStr">
        <is>
          <t>R0000989</t>
        </is>
      </c>
      <c r="B990" s="6" t="inlineStr">
        <is>
          <t>2012-01-01</t>
        </is>
      </c>
      <c r="C990" s="6" t="inlineStr">
        <is>
          <t>2012-12-31</t>
        </is>
      </c>
      <c r="D990" s="6" t="inlineStr">
        <is>
          <t>year</t>
        </is>
      </c>
      <c r="E990" s="6" t="inlineStr">
        <is>
          <t>ANDE_BILLED_INDUSTRIAL_ENERGY</t>
        </is>
      </c>
      <c r="F990" s="6" t="inlineStr">
        <is>
          <t>PY_SIN</t>
        </is>
      </c>
      <c r="G990" s="6" t="inlineStr">
        <is>
          <t>PY</t>
        </is>
      </c>
      <c r="H990" s="6" t="inlineStr">
        <is>
          <t>PY</t>
        </is>
      </c>
      <c r="I990" s="8" t="n">
        <v>1805789</v>
      </c>
      <c r="J990" s="6" t="inlineStr">
        <is>
          <t>MWh</t>
        </is>
      </c>
      <c r="K990" s="8" t="n">
        <v>1805789</v>
      </c>
      <c r="L990" s="6" t="inlineStr">
        <is>
          <t>MWh</t>
        </is>
      </c>
      <c r="M990" s="6" t="inlineStr">
        <is>
          <t>ANDE</t>
        </is>
      </c>
      <c r="N990" s="6" t="inlineStr">
        <is>
          <t>OFFICIAL_PRIMARY</t>
        </is>
      </c>
      <c r="O990" s="9" t="inlineStr">
        <is>
          <t>OFFICIAL_AGGREGATE</t>
        </is>
      </c>
      <c r="P990" s="10" t="n">
        <v>0</v>
      </c>
      <c r="Q990" s="8" t="n">
        <v>75</v>
      </c>
      <c r="R990" s="7" t="inlineStr">
        <is>
          <t>https://www.ande.gov.py/documentos_contables/650/compilacion_estadistica_1998-2018.pdf</t>
        </is>
      </c>
      <c r="S990" s="6" t="inlineStr">
        <is>
          <t>ANDE-98-18</t>
        </is>
      </c>
      <c r="T990" s="6" t="inlineStr"/>
      <c r="U990" s="4" t="inlineStr">
        <is>
          <t>2026-09-11 00:05:00</t>
        </is>
      </c>
      <c r="V990" s="4" t="inlineStr">
        <is>
          <t>Serie revisada; prioridad sobre compilacion 1983-2006 en años solapados.</t>
        </is>
      </c>
    </row>
    <row r="991">
      <c r="A991" s="6" t="inlineStr">
        <is>
          <t>R0000990</t>
        </is>
      </c>
      <c r="B991" s="6" t="inlineStr">
        <is>
          <t>2013-01-01</t>
        </is>
      </c>
      <c r="C991" s="6" t="inlineStr">
        <is>
          <t>2013-12-31</t>
        </is>
      </c>
      <c r="D991" s="6" t="inlineStr">
        <is>
          <t>year</t>
        </is>
      </c>
      <c r="E991" s="6" t="inlineStr">
        <is>
          <t>ANDE_BILLED_INDUSTRIAL_ENERGY</t>
        </is>
      </c>
      <c r="F991" s="6" t="inlineStr">
        <is>
          <t>PY_SIN</t>
        </is>
      </c>
      <c r="G991" s="6" t="inlineStr">
        <is>
          <t>PY</t>
        </is>
      </c>
      <c r="H991" s="6" t="inlineStr">
        <is>
          <t>PY</t>
        </is>
      </c>
      <c r="I991" s="8" t="n">
        <v>1931209</v>
      </c>
      <c r="J991" s="6" t="inlineStr">
        <is>
          <t>MWh</t>
        </is>
      </c>
      <c r="K991" s="8" t="n">
        <v>1931209</v>
      </c>
      <c r="L991" s="6" t="inlineStr">
        <is>
          <t>MWh</t>
        </is>
      </c>
      <c r="M991" s="6" t="inlineStr">
        <is>
          <t>ANDE</t>
        </is>
      </c>
      <c r="N991" s="6" t="inlineStr">
        <is>
          <t>OFFICIAL_PRIMARY</t>
        </is>
      </c>
      <c r="O991" s="9" t="inlineStr">
        <is>
          <t>OFFICIAL_AGGREGATE</t>
        </is>
      </c>
      <c r="P991" s="10" t="n">
        <v>0</v>
      </c>
      <c r="Q991" s="8" t="n">
        <v>75</v>
      </c>
      <c r="R991" s="7" t="inlineStr">
        <is>
          <t>https://www.ande.gov.py/documentos_contables/650/compilacion_estadistica_1998-2018.pdf</t>
        </is>
      </c>
      <c r="S991" s="6" t="inlineStr">
        <is>
          <t>ANDE-98-18</t>
        </is>
      </c>
      <c r="T991" s="6" t="inlineStr"/>
      <c r="U991" s="4" t="inlineStr">
        <is>
          <t>2026-09-11 00:05:00</t>
        </is>
      </c>
      <c r="V991" s="4" t="inlineStr">
        <is>
          <t>Serie revisada; prioridad sobre compilacion 1983-2006 en años solapados.</t>
        </is>
      </c>
    </row>
    <row r="992">
      <c r="A992" s="6" t="inlineStr">
        <is>
          <t>R0000991</t>
        </is>
      </c>
      <c r="B992" s="6" t="inlineStr">
        <is>
          <t>2014-01-01</t>
        </is>
      </c>
      <c r="C992" s="6" t="inlineStr">
        <is>
          <t>2014-12-31</t>
        </is>
      </c>
      <c r="D992" s="6" t="inlineStr">
        <is>
          <t>year</t>
        </is>
      </c>
      <c r="E992" s="6" t="inlineStr">
        <is>
          <t>ANDE_BILLED_INDUSTRIAL_ENERGY</t>
        </is>
      </c>
      <c r="F992" s="6" t="inlineStr">
        <is>
          <t>PY_SIN</t>
        </is>
      </c>
      <c r="G992" s="6" t="inlineStr">
        <is>
          <t>PY</t>
        </is>
      </c>
      <c r="H992" s="6" t="inlineStr">
        <is>
          <t>PY</t>
        </is>
      </c>
      <c r="I992" s="8" t="n">
        <v>2019926</v>
      </c>
      <c r="J992" s="6" t="inlineStr">
        <is>
          <t>MWh</t>
        </is>
      </c>
      <c r="K992" s="8" t="n">
        <v>2019926</v>
      </c>
      <c r="L992" s="6" t="inlineStr">
        <is>
          <t>MWh</t>
        </is>
      </c>
      <c r="M992" s="6" t="inlineStr">
        <is>
          <t>ANDE</t>
        </is>
      </c>
      <c r="N992" s="6" t="inlineStr">
        <is>
          <t>OFFICIAL_PRIMARY</t>
        </is>
      </c>
      <c r="O992" s="9" t="inlineStr">
        <is>
          <t>OFFICIAL_AGGREGATE</t>
        </is>
      </c>
      <c r="P992" s="10" t="n">
        <v>0</v>
      </c>
      <c r="Q992" s="8" t="n">
        <v>75</v>
      </c>
      <c r="R992" s="7" t="inlineStr">
        <is>
          <t>https://www.ande.gov.py/documentos_contables/650/compilacion_estadistica_1998-2018.pdf</t>
        </is>
      </c>
      <c r="S992" s="6" t="inlineStr">
        <is>
          <t>ANDE-98-18</t>
        </is>
      </c>
      <c r="T992" s="6" t="inlineStr"/>
      <c r="U992" s="4" t="inlineStr">
        <is>
          <t>2026-09-11 00:05:00</t>
        </is>
      </c>
      <c r="V992" s="4" t="inlineStr">
        <is>
          <t>Serie revisada; prioridad sobre compilacion 1983-2006 en años solapados.</t>
        </is>
      </c>
    </row>
    <row r="993">
      <c r="A993" s="6" t="inlineStr">
        <is>
          <t>R0000992</t>
        </is>
      </c>
      <c r="B993" s="6" t="inlineStr">
        <is>
          <t>2015-01-01</t>
        </is>
      </c>
      <c r="C993" s="6" t="inlineStr">
        <is>
          <t>2015-12-31</t>
        </is>
      </c>
      <c r="D993" s="6" t="inlineStr">
        <is>
          <t>year</t>
        </is>
      </c>
      <c r="E993" s="6" t="inlineStr">
        <is>
          <t>ANDE_BILLED_INDUSTRIAL_ENERGY</t>
        </is>
      </c>
      <c r="F993" s="6" t="inlineStr">
        <is>
          <t>PY_SIN</t>
        </is>
      </c>
      <c r="G993" s="6" t="inlineStr">
        <is>
          <t>PY</t>
        </is>
      </c>
      <c r="H993" s="6" t="inlineStr">
        <is>
          <t>PY</t>
        </is>
      </c>
      <c r="I993" s="8" t="n">
        <v>2116997</v>
      </c>
      <c r="J993" s="6" t="inlineStr">
        <is>
          <t>MWh</t>
        </is>
      </c>
      <c r="K993" s="8" t="n">
        <v>2116997</v>
      </c>
      <c r="L993" s="6" t="inlineStr">
        <is>
          <t>MWh</t>
        </is>
      </c>
      <c r="M993" s="6" t="inlineStr">
        <is>
          <t>ANDE</t>
        </is>
      </c>
      <c r="N993" s="6" t="inlineStr">
        <is>
          <t>OFFICIAL_PRIMARY</t>
        </is>
      </c>
      <c r="O993" s="9" t="inlineStr">
        <is>
          <t>OFFICIAL_AGGREGATE</t>
        </is>
      </c>
      <c r="P993" s="10" t="n">
        <v>0</v>
      </c>
      <c r="Q993" s="8" t="n">
        <v>75</v>
      </c>
      <c r="R993" s="7" t="inlineStr">
        <is>
          <t>https://www.ande.gov.py/documentos_contables/650/compilacion_estadistica_1998-2018.pdf</t>
        </is>
      </c>
      <c r="S993" s="6" t="inlineStr">
        <is>
          <t>ANDE-98-18</t>
        </is>
      </c>
      <c r="T993" s="6" t="inlineStr"/>
      <c r="U993" s="4" t="inlineStr">
        <is>
          <t>2026-09-11 00:05:00</t>
        </is>
      </c>
      <c r="V993" s="4" t="inlineStr">
        <is>
          <t>Serie revisada; prioridad sobre compilacion 1983-2006 en años solapados.</t>
        </is>
      </c>
    </row>
    <row r="994">
      <c r="A994" s="6" t="inlineStr">
        <is>
          <t>R0000993</t>
        </is>
      </c>
      <c r="B994" s="6" t="inlineStr">
        <is>
          <t>2016-01-01</t>
        </is>
      </c>
      <c r="C994" s="6" t="inlineStr">
        <is>
          <t>2016-12-31</t>
        </is>
      </c>
      <c r="D994" s="6" t="inlineStr">
        <is>
          <t>year</t>
        </is>
      </c>
      <c r="E994" s="6" t="inlineStr">
        <is>
          <t>ANDE_BILLED_INDUSTRIAL_ENERGY</t>
        </is>
      </c>
      <c r="F994" s="6" t="inlineStr">
        <is>
          <t>PY_SIN</t>
        </is>
      </c>
      <c r="G994" s="6" t="inlineStr">
        <is>
          <t>PY</t>
        </is>
      </c>
      <c r="H994" s="6" t="inlineStr">
        <is>
          <t>PY</t>
        </is>
      </c>
      <c r="I994" s="8" t="n">
        <v>1818777</v>
      </c>
      <c r="J994" s="6" t="inlineStr">
        <is>
          <t>MWh</t>
        </is>
      </c>
      <c r="K994" s="8" t="n">
        <v>1818777</v>
      </c>
      <c r="L994" s="6" t="inlineStr">
        <is>
          <t>MWh</t>
        </is>
      </c>
      <c r="M994" s="6" t="inlineStr">
        <is>
          <t>ANDE</t>
        </is>
      </c>
      <c r="N994" s="6" t="inlineStr">
        <is>
          <t>OFFICIAL_PRIMARY</t>
        </is>
      </c>
      <c r="O994" s="9" t="inlineStr">
        <is>
          <t>OFFICIAL_AGGREGATE</t>
        </is>
      </c>
      <c r="P994" s="10" t="n">
        <v>0</v>
      </c>
      <c r="Q994" s="8" t="n">
        <v>75</v>
      </c>
      <c r="R994" s="7" t="inlineStr">
        <is>
          <t>https://www.ande.gov.py/documentos_contables/650/compilacion_estadistica_1998-2018.pdf</t>
        </is>
      </c>
      <c r="S994" s="6" t="inlineStr">
        <is>
          <t>ANDE-98-18</t>
        </is>
      </c>
      <c r="T994" s="6" t="inlineStr"/>
      <c r="U994" s="4" t="inlineStr">
        <is>
          <t>2026-09-11 00:05:00</t>
        </is>
      </c>
      <c r="V994" s="4" t="inlineStr">
        <is>
          <t>Serie revisada; prioridad sobre compilacion 1983-2006 en años solapados.</t>
        </is>
      </c>
    </row>
    <row r="995">
      <c r="A995" s="6" t="inlineStr">
        <is>
          <t>R0000994</t>
        </is>
      </c>
      <c r="B995" s="6" t="inlineStr">
        <is>
          <t>2017-01-01</t>
        </is>
      </c>
      <c r="C995" s="6" t="inlineStr">
        <is>
          <t>2017-12-31</t>
        </is>
      </c>
      <c r="D995" s="6" t="inlineStr">
        <is>
          <t>year</t>
        </is>
      </c>
      <c r="E995" s="6" t="inlineStr">
        <is>
          <t>ANDE_BILLED_INDUSTRIAL_ENERGY</t>
        </is>
      </c>
      <c r="F995" s="6" t="inlineStr">
        <is>
          <t>PY_SIN</t>
        </is>
      </c>
      <c r="G995" s="6" t="inlineStr">
        <is>
          <t>PY</t>
        </is>
      </c>
      <c r="H995" s="6" t="inlineStr">
        <is>
          <t>PY</t>
        </is>
      </c>
      <c r="I995" s="8" t="n">
        <v>1758443</v>
      </c>
      <c r="J995" s="6" t="inlineStr">
        <is>
          <t>MWh</t>
        </is>
      </c>
      <c r="K995" s="8" t="n">
        <v>1758443</v>
      </c>
      <c r="L995" s="6" t="inlineStr">
        <is>
          <t>MWh</t>
        </is>
      </c>
      <c r="M995" s="6" t="inlineStr">
        <is>
          <t>ANDE</t>
        </is>
      </c>
      <c r="N995" s="6" t="inlineStr">
        <is>
          <t>OFFICIAL_PRIMARY</t>
        </is>
      </c>
      <c r="O995" s="9" t="inlineStr">
        <is>
          <t>OFFICIAL_AGGREGATE</t>
        </is>
      </c>
      <c r="P995" s="10" t="n">
        <v>0</v>
      </c>
      <c r="Q995" s="8" t="n">
        <v>75</v>
      </c>
      <c r="R995" s="7" t="inlineStr">
        <is>
          <t>https://www.ande.gov.py/documentos_contables/650/compilacion_estadistica_1998-2018.pdf</t>
        </is>
      </c>
      <c r="S995" s="6" t="inlineStr">
        <is>
          <t>ANDE-98-18</t>
        </is>
      </c>
      <c r="T995" s="6" t="inlineStr"/>
      <c r="U995" s="4" t="inlineStr">
        <is>
          <t>2026-09-11 00:05:00</t>
        </is>
      </c>
      <c r="V995" s="4" t="inlineStr">
        <is>
          <t>Serie revisada; prioridad sobre compilacion 1983-2006 en años solapados.</t>
        </is>
      </c>
    </row>
    <row r="996">
      <c r="A996" s="6" t="inlineStr">
        <is>
          <t>R0000995</t>
        </is>
      </c>
      <c r="B996" s="6" t="inlineStr">
        <is>
          <t>2018-01-01</t>
        </is>
      </c>
      <c r="C996" s="6" t="inlineStr">
        <is>
          <t>2018-12-31</t>
        </is>
      </c>
      <c r="D996" s="6" t="inlineStr">
        <is>
          <t>year</t>
        </is>
      </c>
      <c r="E996" s="6" t="inlineStr">
        <is>
          <t>ANDE_BILLED_INDUSTRIAL_ENERGY</t>
        </is>
      </c>
      <c r="F996" s="6" t="inlineStr">
        <is>
          <t>PY_SIN</t>
        </is>
      </c>
      <c r="G996" s="6" t="inlineStr">
        <is>
          <t>PY</t>
        </is>
      </c>
      <c r="H996" s="6" t="inlineStr">
        <is>
          <t>PY</t>
        </is>
      </c>
      <c r="I996" s="8" t="n">
        <v>1703564</v>
      </c>
      <c r="J996" s="6" t="inlineStr">
        <is>
          <t>MWh</t>
        </is>
      </c>
      <c r="K996" s="8" t="n">
        <v>1703564</v>
      </c>
      <c r="L996" s="6" t="inlineStr">
        <is>
          <t>MWh</t>
        </is>
      </c>
      <c r="M996" s="6" t="inlineStr">
        <is>
          <t>ANDE</t>
        </is>
      </c>
      <c r="N996" s="6" t="inlineStr">
        <is>
          <t>OFFICIAL_PRIMARY</t>
        </is>
      </c>
      <c r="O996" s="9" t="inlineStr">
        <is>
          <t>OFFICIAL_AGGREGATE</t>
        </is>
      </c>
      <c r="P996" s="10" t="n">
        <v>0</v>
      </c>
      <c r="Q996" s="8" t="n">
        <v>75</v>
      </c>
      <c r="R996" s="7" t="inlineStr">
        <is>
          <t>https://www.ande.gov.py/documentos_contables/650/compilacion_estadistica_1998-2018.pdf</t>
        </is>
      </c>
      <c r="S996" s="6" t="inlineStr">
        <is>
          <t>ANDE-98-18</t>
        </is>
      </c>
      <c r="T996" s="6" t="inlineStr"/>
      <c r="U996" s="4" t="inlineStr">
        <is>
          <t>2026-09-11 00:05:00</t>
        </is>
      </c>
      <c r="V996" s="4" t="inlineStr">
        <is>
          <t>Serie revisada; prioridad sobre compilacion 1983-2006 en años solapados.</t>
        </is>
      </c>
    </row>
    <row r="997">
      <c r="A997" s="6" t="inlineStr">
        <is>
          <t>R0000996</t>
        </is>
      </c>
      <c r="B997" s="6" t="inlineStr">
        <is>
          <t>1998-01-01</t>
        </is>
      </c>
      <c r="C997" s="6" t="inlineStr">
        <is>
          <t>1998-12-31</t>
        </is>
      </c>
      <c r="D997" s="6" t="inlineStr">
        <is>
          <t>year</t>
        </is>
      </c>
      <c r="E997" s="6" t="inlineStr">
        <is>
          <t>ANDE_BILLED_OTHER_ENERGY</t>
        </is>
      </c>
      <c r="F997" s="6" t="inlineStr">
        <is>
          <t>PY_SIN</t>
        </is>
      </c>
      <c r="G997" s="6" t="inlineStr">
        <is>
          <t>PY</t>
        </is>
      </c>
      <c r="H997" s="6" t="inlineStr">
        <is>
          <t>PY</t>
        </is>
      </c>
      <c r="I997" s="8" t="n">
        <v>1153343</v>
      </c>
      <c r="J997" s="6" t="inlineStr">
        <is>
          <t>MWh</t>
        </is>
      </c>
      <c r="K997" s="8" t="n">
        <v>1153343</v>
      </c>
      <c r="L997" s="6" t="inlineStr">
        <is>
          <t>MWh</t>
        </is>
      </c>
      <c r="M997" s="6" t="inlineStr">
        <is>
          <t>ANDE</t>
        </is>
      </c>
      <c r="N997" s="6" t="inlineStr">
        <is>
          <t>OFFICIAL_PRIMARY</t>
        </is>
      </c>
      <c r="O997" s="9" t="inlineStr">
        <is>
          <t>OFFICIAL_AGGREGATE</t>
        </is>
      </c>
      <c r="P997" s="8" t="n">
        <v>1</v>
      </c>
      <c r="Q997" s="8" t="n">
        <v>75</v>
      </c>
      <c r="R997" s="7" t="inlineStr">
        <is>
          <t>https://www.ande.gov.py/documentos_contables/650/compilacion_estadistica_1998-2018.pdf</t>
        </is>
      </c>
      <c r="S997" s="6" t="inlineStr">
        <is>
          <t>ANDE-98-18</t>
        </is>
      </c>
      <c r="T997" s="6" t="inlineStr"/>
      <c r="U997" s="4" t="inlineStr">
        <is>
          <t>2026-09-11 00:05:00</t>
        </is>
      </c>
      <c r="V997" s="4" t="inlineStr">
        <is>
          <t>Serie revisada; prioridad sobre compilacion 1983-2006 en años solapados.</t>
        </is>
      </c>
    </row>
    <row r="998">
      <c r="A998" s="6" t="inlineStr">
        <is>
          <t>R0000997</t>
        </is>
      </c>
      <c r="B998" s="6" t="inlineStr">
        <is>
          <t>1999-01-01</t>
        </is>
      </c>
      <c r="C998" s="6" t="inlineStr">
        <is>
          <t>1999-12-31</t>
        </is>
      </c>
      <c r="D998" s="6" t="inlineStr">
        <is>
          <t>year</t>
        </is>
      </c>
      <c r="E998" s="6" t="inlineStr">
        <is>
          <t>ANDE_BILLED_OTHER_ENERGY</t>
        </is>
      </c>
      <c r="F998" s="6" t="inlineStr">
        <is>
          <t>PY_SIN</t>
        </is>
      </c>
      <c r="G998" s="6" t="inlineStr">
        <is>
          <t>PY</t>
        </is>
      </c>
      <c r="H998" s="6" t="inlineStr">
        <is>
          <t>PY</t>
        </is>
      </c>
      <c r="I998" s="8" t="n">
        <v>1215706</v>
      </c>
      <c r="J998" s="6" t="inlineStr">
        <is>
          <t>MWh</t>
        </is>
      </c>
      <c r="K998" s="8" t="n">
        <v>1215706</v>
      </c>
      <c r="L998" s="6" t="inlineStr">
        <is>
          <t>MWh</t>
        </is>
      </c>
      <c r="M998" s="6" t="inlineStr">
        <is>
          <t>ANDE</t>
        </is>
      </c>
      <c r="N998" s="6" t="inlineStr">
        <is>
          <t>OFFICIAL_PRIMARY</t>
        </is>
      </c>
      <c r="O998" s="9" t="inlineStr">
        <is>
          <t>OFFICIAL_AGGREGATE</t>
        </is>
      </c>
      <c r="P998" s="8" t="n">
        <v>1</v>
      </c>
      <c r="Q998" s="8" t="n">
        <v>75</v>
      </c>
      <c r="R998" s="7" t="inlineStr">
        <is>
          <t>https://www.ande.gov.py/documentos_contables/650/compilacion_estadistica_1998-2018.pdf</t>
        </is>
      </c>
      <c r="S998" s="6" t="inlineStr">
        <is>
          <t>ANDE-98-18</t>
        </is>
      </c>
      <c r="T998" s="6" t="inlineStr"/>
      <c r="U998" s="4" t="inlineStr">
        <is>
          <t>2026-09-11 00:05:00</t>
        </is>
      </c>
      <c r="V998" s="4" t="inlineStr">
        <is>
          <t>Serie revisada; prioridad sobre compilacion 1983-2006 en años solapados.</t>
        </is>
      </c>
    </row>
    <row r="999">
      <c r="A999" s="6" t="inlineStr">
        <is>
          <t>R0000998</t>
        </is>
      </c>
      <c r="B999" s="6" t="inlineStr">
        <is>
          <t>2000-01-01</t>
        </is>
      </c>
      <c r="C999" s="6" t="inlineStr">
        <is>
          <t>2000-12-31</t>
        </is>
      </c>
      <c r="D999" s="6" t="inlineStr">
        <is>
          <t>year</t>
        </is>
      </c>
      <c r="E999" s="6" t="inlineStr">
        <is>
          <t>ANDE_BILLED_OTHER_ENERGY</t>
        </is>
      </c>
      <c r="F999" s="6" t="inlineStr">
        <is>
          <t>PY_SIN</t>
        </is>
      </c>
      <c r="G999" s="6" t="inlineStr">
        <is>
          <t>PY</t>
        </is>
      </c>
      <c r="H999" s="6" t="inlineStr">
        <is>
          <t>PY</t>
        </is>
      </c>
      <c r="I999" s="8" t="n">
        <v>1284658</v>
      </c>
      <c r="J999" s="6" t="inlineStr">
        <is>
          <t>MWh</t>
        </is>
      </c>
      <c r="K999" s="8" t="n">
        <v>1284658</v>
      </c>
      <c r="L999" s="6" t="inlineStr">
        <is>
          <t>MWh</t>
        </is>
      </c>
      <c r="M999" s="6" t="inlineStr">
        <is>
          <t>ANDE</t>
        </is>
      </c>
      <c r="N999" s="6" t="inlineStr">
        <is>
          <t>OFFICIAL_PRIMARY</t>
        </is>
      </c>
      <c r="O999" s="9" t="inlineStr">
        <is>
          <t>OFFICIAL_AGGREGATE</t>
        </is>
      </c>
      <c r="P999" s="8" t="n">
        <v>1</v>
      </c>
      <c r="Q999" s="8" t="n">
        <v>75</v>
      </c>
      <c r="R999" s="7" t="inlineStr">
        <is>
          <t>https://www.ande.gov.py/documentos_contables/650/compilacion_estadistica_1998-2018.pdf</t>
        </is>
      </c>
      <c r="S999" s="6" t="inlineStr">
        <is>
          <t>ANDE-98-18</t>
        </is>
      </c>
      <c r="T999" s="6" t="inlineStr"/>
      <c r="U999" s="4" t="inlineStr">
        <is>
          <t>2026-09-11 00:05:00</t>
        </is>
      </c>
      <c r="V999" s="4" t="inlineStr">
        <is>
          <t>Serie revisada; prioridad sobre compilacion 1983-2006 en años solapados.</t>
        </is>
      </c>
    </row>
    <row r="1000">
      <c r="A1000" s="6" t="inlineStr">
        <is>
          <t>R0000999</t>
        </is>
      </c>
      <c r="B1000" s="6" t="inlineStr">
        <is>
          <t>2001-01-01</t>
        </is>
      </c>
      <c r="C1000" s="6" t="inlineStr">
        <is>
          <t>2001-12-31</t>
        </is>
      </c>
      <c r="D1000" s="6" t="inlineStr">
        <is>
          <t>year</t>
        </is>
      </c>
      <c r="E1000" s="6" t="inlineStr">
        <is>
          <t>ANDE_BILLED_OTHER_ENERGY</t>
        </is>
      </c>
      <c r="F1000" s="6" t="inlineStr">
        <is>
          <t>PY_SIN</t>
        </is>
      </c>
      <c r="G1000" s="6" t="inlineStr">
        <is>
          <t>PY</t>
        </is>
      </c>
      <c r="H1000" s="6" t="inlineStr">
        <is>
          <t>PY</t>
        </is>
      </c>
      <c r="I1000" s="8" t="n">
        <v>1292793</v>
      </c>
      <c r="J1000" s="6" t="inlineStr">
        <is>
          <t>MWh</t>
        </is>
      </c>
      <c r="K1000" s="8" t="n">
        <v>1292793</v>
      </c>
      <c r="L1000" s="6" t="inlineStr">
        <is>
          <t>MWh</t>
        </is>
      </c>
      <c r="M1000" s="6" t="inlineStr">
        <is>
          <t>ANDE</t>
        </is>
      </c>
      <c r="N1000" s="6" t="inlineStr">
        <is>
          <t>OFFICIAL_PRIMARY</t>
        </is>
      </c>
      <c r="O1000" s="9" t="inlineStr">
        <is>
          <t>OFFICIAL_AGGREGATE</t>
        </is>
      </c>
      <c r="P1000" s="8" t="n">
        <v>1</v>
      </c>
      <c r="Q1000" s="8" t="n">
        <v>75</v>
      </c>
      <c r="R1000" s="7" t="inlineStr">
        <is>
          <t>https://www.ande.gov.py/documentos_contables/650/compilacion_estadistica_1998-2018.pdf</t>
        </is>
      </c>
      <c r="S1000" s="6" t="inlineStr">
        <is>
          <t>ANDE-98-18</t>
        </is>
      </c>
      <c r="T1000" s="6" t="inlineStr"/>
      <c r="U1000" s="4" t="inlineStr">
        <is>
          <t>2026-09-11 00:05:00</t>
        </is>
      </c>
      <c r="V1000" s="4" t="inlineStr">
        <is>
          <t>Serie revisada; prioridad sobre compilacion 1983-2006 en años solapados.</t>
        </is>
      </c>
    </row>
    <row r="1001">
      <c r="A1001" s="6" t="inlineStr">
        <is>
          <t>R0001000</t>
        </is>
      </c>
      <c r="B1001" s="6" t="inlineStr">
        <is>
          <t>2002-01-01</t>
        </is>
      </c>
      <c r="C1001" s="6" t="inlineStr">
        <is>
          <t>2002-12-31</t>
        </is>
      </c>
      <c r="D1001" s="6" t="inlineStr">
        <is>
          <t>year</t>
        </is>
      </c>
      <c r="E1001" s="6" t="inlineStr">
        <is>
          <t>ANDE_BILLED_OTHER_ENERGY</t>
        </is>
      </c>
      <c r="F1001" s="6" t="inlineStr">
        <is>
          <t>PY_SIN</t>
        </is>
      </c>
      <c r="G1001" s="6" t="inlineStr">
        <is>
          <t>PY</t>
        </is>
      </c>
      <c r="H1001" s="6" t="inlineStr">
        <is>
          <t>PY</t>
        </is>
      </c>
      <c r="I1001" s="8" t="n">
        <v>1270999</v>
      </c>
      <c r="J1001" s="6" t="inlineStr">
        <is>
          <t>MWh</t>
        </is>
      </c>
      <c r="K1001" s="8" t="n">
        <v>1270999</v>
      </c>
      <c r="L1001" s="6" t="inlineStr">
        <is>
          <t>MWh</t>
        </is>
      </c>
      <c r="M1001" s="6" t="inlineStr">
        <is>
          <t>ANDE</t>
        </is>
      </c>
      <c r="N1001" s="6" t="inlineStr">
        <is>
          <t>OFFICIAL_PRIMARY</t>
        </is>
      </c>
      <c r="O1001" s="9" t="inlineStr">
        <is>
          <t>OFFICIAL_AGGREGATE</t>
        </is>
      </c>
      <c r="P1001" s="8" t="n">
        <v>1</v>
      </c>
      <c r="Q1001" s="8" t="n">
        <v>75</v>
      </c>
      <c r="R1001" s="7" t="inlineStr">
        <is>
          <t>https://www.ande.gov.py/documentos_contables/650/compilacion_estadistica_1998-2018.pdf</t>
        </is>
      </c>
      <c r="S1001" s="6" t="inlineStr">
        <is>
          <t>ANDE-98-18</t>
        </is>
      </c>
      <c r="T1001" s="6" t="inlineStr"/>
      <c r="U1001" s="4" t="inlineStr">
        <is>
          <t>2026-09-11 00:05:00</t>
        </is>
      </c>
      <c r="V1001" s="4" t="inlineStr">
        <is>
          <t>Serie revisada; prioridad sobre compilacion 1983-2006 en años solapados.</t>
        </is>
      </c>
    </row>
    <row r="1002">
      <c r="A1002" s="6" t="inlineStr">
        <is>
          <t>R0001001</t>
        </is>
      </c>
      <c r="B1002" s="6" t="inlineStr">
        <is>
          <t>2003-01-01</t>
        </is>
      </c>
      <c r="C1002" s="6" t="inlineStr">
        <is>
          <t>2003-12-31</t>
        </is>
      </c>
      <c r="D1002" s="6" t="inlineStr">
        <is>
          <t>year</t>
        </is>
      </c>
      <c r="E1002" s="6" t="inlineStr">
        <is>
          <t>ANDE_BILLED_OTHER_ENERGY</t>
        </is>
      </c>
      <c r="F1002" s="6" t="inlineStr">
        <is>
          <t>PY_SIN</t>
        </is>
      </c>
      <c r="G1002" s="6" t="inlineStr">
        <is>
          <t>PY</t>
        </is>
      </c>
      <c r="H1002" s="6" t="inlineStr">
        <is>
          <t>PY</t>
        </is>
      </c>
      <c r="I1002" s="8" t="n">
        <v>1195049</v>
      </c>
      <c r="J1002" s="6" t="inlineStr">
        <is>
          <t>MWh</t>
        </is>
      </c>
      <c r="K1002" s="8" t="n">
        <v>1195049</v>
      </c>
      <c r="L1002" s="6" t="inlineStr">
        <is>
          <t>MWh</t>
        </is>
      </c>
      <c r="M1002" s="6" t="inlineStr">
        <is>
          <t>ANDE</t>
        </is>
      </c>
      <c r="N1002" s="6" t="inlineStr">
        <is>
          <t>OFFICIAL_PRIMARY</t>
        </is>
      </c>
      <c r="O1002" s="9" t="inlineStr">
        <is>
          <t>OFFICIAL_AGGREGATE</t>
        </is>
      </c>
      <c r="P1002" s="10" t="n">
        <v>0</v>
      </c>
      <c r="Q1002" s="8" t="n">
        <v>75</v>
      </c>
      <c r="R1002" s="7" t="inlineStr">
        <is>
          <t>https://www.ande.gov.py/documentos_contables/650/compilacion_estadistica_1998-2018.pdf</t>
        </is>
      </c>
      <c r="S1002" s="6" t="inlineStr">
        <is>
          <t>ANDE-98-18</t>
        </is>
      </c>
      <c r="T1002" s="6" t="inlineStr"/>
      <c r="U1002" s="4" t="inlineStr">
        <is>
          <t>2026-09-11 00:05:00</t>
        </is>
      </c>
      <c r="V1002" s="4" t="inlineStr">
        <is>
          <t>Serie revisada; prioridad sobre compilacion 1983-2006 en años solapados.</t>
        </is>
      </c>
    </row>
    <row r="1003">
      <c r="A1003" s="6" t="inlineStr">
        <is>
          <t>R0001002</t>
        </is>
      </c>
      <c r="B1003" s="6" t="inlineStr">
        <is>
          <t>2004-01-01</t>
        </is>
      </c>
      <c r="C1003" s="6" t="inlineStr">
        <is>
          <t>2004-12-31</t>
        </is>
      </c>
      <c r="D1003" s="6" t="inlineStr">
        <is>
          <t>year</t>
        </is>
      </c>
      <c r="E1003" s="6" t="inlineStr">
        <is>
          <t>ANDE_BILLED_OTHER_ENERGY</t>
        </is>
      </c>
      <c r="F1003" s="6" t="inlineStr">
        <is>
          <t>PY_SIN</t>
        </is>
      </c>
      <c r="G1003" s="6" t="inlineStr">
        <is>
          <t>PY</t>
        </is>
      </c>
      <c r="H1003" s="6" t="inlineStr">
        <is>
          <t>PY</t>
        </is>
      </c>
      <c r="I1003" s="8" t="n">
        <v>1152810</v>
      </c>
      <c r="J1003" s="6" t="inlineStr">
        <is>
          <t>MWh</t>
        </is>
      </c>
      <c r="K1003" s="8" t="n">
        <v>1152810</v>
      </c>
      <c r="L1003" s="6" t="inlineStr">
        <is>
          <t>MWh</t>
        </is>
      </c>
      <c r="M1003" s="6" t="inlineStr">
        <is>
          <t>ANDE</t>
        </is>
      </c>
      <c r="N1003" s="6" t="inlineStr">
        <is>
          <t>OFFICIAL_PRIMARY</t>
        </is>
      </c>
      <c r="O1003" s="9" t="inlineStr">
        <is>
          <t>OFFICIAL_AGGREGATE</t>
        </is>
      </c>
      <c r="P1003" s="10" t="n">
        <v>0</v>
      </c>
      <c r="Q1003" s="8" t="n">
        <v>75</v>
      </c>
      <c r="R1003" s="7" t="inlineStr">
        <is>
          <t>https://www.ande.gov.py/documentos_contables/650/compilacion_estadistica_1998-2018.pdf</t>
        </is>
      </c>
      <c r="S1003" s="6" t="inlineStr">
        <is>
          <t>ANDE-98-18</t>
        </is>
      </c>
      <c r="T1003" s="6" t="inlineStr"/>
      <c r="U1003" s="4" t="inlineStr">
        <is>
          <t>2026-09-11 00:05:00</t>
        </is>
      </c>
      <c r="V1003" s="4" t="inlineStr">
        <is>
          <t>Serie revisada; prioridad sobre compilacion 1983-2006 en años solapados.</t>
        </is>
      </c>
    </row>
    <row r="1004">
      <c r="A1004" s="6" t="inlineStr">
        <is>
          <t>R0001003</t>
        </is>
      </c>
      <c r="B1004" s="6" t="inlineStr">
        <is>
          <t>2005-01-01</t>
        </is>
      </c>
      <c r="C1004" s="6" t="inlineStr">
        <is>
          <t>2005-12-31</t>
        </is>
      </c>
      <c r="D1004" s="6" t="inlineStr">
        <is>
          <t>year</t>
        </is>
      </c>
      <c r="E1004" s="6" t="inlineStr">
        <is>
          <t>ANDE_BILLED_OTHER_ENERGY</t>
        </is>
      </c>
      <c r="F1004" s="6" t="inlineStr">
        <is>
          <t>PY_SIN</t>
        </is>
      </c>
      <c r="G1004" s="6" t="inlineStr">
        <is>
          <t>PY</t>
        </is>
      </c>
      <c r="H1004" s="6" t="inlineStr">
        <is>
          <t>PY</t>
        </is>
      </c>
      <c r="I1004" s="8" t="n">
        <v>1237218</v>
      </c>
      <c r="J1004" s="6" t="inlineStr">
        <is>
          <t>MWh</t>
        </is>
      </c>
      <c r="K1004" s="8" t="n">
        <v>1237218</v>
      </c>
      <c r="L1004" s="6" t="inlineStr">
        <is>
          <t>MWh</t>
        </is>
      </c>
      <c r="M1004" s="6" t="inlineStr">
        <is>
          <t>ANDE</t>
        </is>
      </c>
      <c r="N1004" s="6" t="inlineStr">
        <is>
          <t>OFFICIAL_PRIMARY</t>
        </is>
      </c>
      <c r="O1004" s="9" t="inlineStr">
        <is>
          <t>OFFICIAL_AGGREGATE</t>
        </is>
      </c>
      <c r="P1004" s="10" t="n">
        <v>0</v>
      </c>
      <c r="Q1004" s="8" t="n">
        <v>75</v>
      </c>
      <c r="R1004" s="7" t="inlineStr">
        <is>
          <t>https://www.ande.gov.py/documentos_contables/650/compilacion_estadistica_1998-2018.pdf</t>
        </is>
      </c>
      <c r="S1004" s="6" t="inlineStr">
        <is>
          <t>ANDE-98-18</t>
        </is>
      </c>
      <c r="T1004" s="6" t="inlineStr"/>
      <c r="U1004" s="4" t="inlineStr">
        <is>
          <t>2026-09-11 00:05:00</t>
        </is>
      </c>
      <c r="V1004" s="4" t="inlineStr">
        <is>
          <t>Serie revisada; prioridad sobre compilacion 1983-2006 en años solapados.</t>
        </is>
      </c>
    </row>
    <row r="1005">
      <c r="A1005" s="6" t="inlineStr">
        <is>
          <t>R0001004</t>
        </is>
      </c>
      <c r="B1005" s="6" t="inlineStr">
        <is>
          <t>2006-01-01</t>
        </is>
      </c>
      <c r="C1005" s="6" t="inlineStr">
        <is>
          <t>2006-12-31</t>
        </is>
      </c>
      <c r="D1005" s="6" t="inlineStr">
        <is>
          <t>year</t>
        </is>
      </c>
      <c r="E1005" s="6" t="inlineStr">
        <is>
          <t>ANDE_BILLED_OTHER_ENERGY</t>
        </is>
      </c>
      <c r="F1005" s="6" t="inlineStr">
        <is>
          <t>PY_SIN</t>
        </is>
      </c>
      <c r="G1005" s="6" t="inlineStr">
        <is>
          <t>PY</t>
        </is>
      </c>
      <c r="H1005" s="6" t="inlineStr">
        <is>
          <t>PY</t>
        </is>
      </c>
      <c r="I1005" s="8" t="n">
        <v>1330010</v>
      </c>
      <c r="J1005" s="6" t="inlineStr">
        <is>
          <t>MWh</t>
        </is>
      </c>
      <c r="K1005" s="8" t="n">
        <v>1330010</v>
      </c>
      <c r="L1005" s="6" t="inlineStr">
        <is>
          <t>MWh</t>
        </is>
      </c>
      <c r="M1005" s="6" t="inlineStr">
        <is>
          <t>ANDE</t>
        </is>
      </c>
      <c r="N1005" s="6" t="inlineStr">
        <is>
          <t>OFFICIAL_PRIMARY</t>
        </is>
      </c>
      <c r="O1005" s="9" t="inlineStr">
        <is>
          <t>OFFICIAL_AGGREGATE</t>
        </is>
      </c>
      <c r="P1005" s="10" t="n">
        <v>0</v>
      </c>
      <c r="Q1005" s="8" t="n">
        <v>75</v>
      </c>
      <c r="R1005" s="7" t="inlineStr">
        <is>
          <t>https://www.ande.gov.py/documentos_contables/650/compilacion_estadistica_1998-2018.pdf</t>
        </is>
      </c>
      <c r="S1005" s="6" t="inlineStr">
        <is>
          <t>ANDE-98-18</t>
        </is>
      </c>
      <c r="T1005" s="6" t="inlineStr"/>
      <c r="U1005" s="4" t="inlineStr">
        <is>
          <t>2026-09-11 00:05:00</t>
        </is>
      </c>
      <c r="V1005" s="4" t="inlineStr">
        <is>
          <t>Serie revisada; prioridad sobre compilacion 1983-2006 en años solapados.</t>
        </is>
      </c>
    </row>
    <row r="1006">
      <c r="A1006" s="6" t="inlineStr">
        <is>
          <t>R0001005</t>
        </is>
      </c>
      <c r="B1006" s="6" t="inlineStr">
        <is>
          <t>2007-01-01</t>
        </is>
      </c>
      <c r="C1006" s="6" t="inlineStr">
        <is>
          <t>2007-12-31</t>
        </is>
      </c>
      <c r="D1006" s="6" t="inlineStr">
        <is>
          <t>year</t>
        </is>
      </c>
      <c r="E1006" s="6" t="inlineStr">
        <is>
          <t>ANDE_BILLED_OTHER_ENERGY</t>
        </is>
      </c>
      <c r="F1006" s="6" t="inlineStr">
        <is>
          <t>PY_SIN</t>
        </is>
      </c>
      <c r="G1006" s="6" t="inlineStr">
        <is>
          <t>PY</t>
        </is>
      </c>
      <c r="H1006" s="6" t="inlineStr">
        <is>
          <t>PY</t>
        </is>
      </c>
      <c r="I1006" s="8" t="n">
        <v>1480231</v>
      </c>
      <c r="J1006" s="6" t="inlineStr">
        <is>
          <t>MWh</t>
        </is>
      </c>
      <c r="K1006" s="8" t="n">
        <v>1480231</v>
      </c>
      <c r="L1006" s="6" t="inlineStr">
        <is>
          <t>MWh</t>
        </is>
      </c>
      <c r="M1006" s="6" t="inlineStr">
        <is>
          <t>ANDE</t>
        </is>
      </c>
      <c r="N1006" s="6" t="inlineStr">
        <is>
          <t>OFFICIAL_PRIMARY</t>
        </is>
      </c>
      <c r="O1006" s="9" t="inlineStr">
        <is>
          <t>OFFICIAL_AGGREGATE</t>
        </is>
      </c>
      <c r="P1006" s="10" t="n">
        <v>0</v>
      </c>
      <c r="Q1006" s="8" t="n">
        <v>75</v>
      </c>
      <c r="R1006" s="7" t="inlineStr">
        <is>
          <t>https://www.ande.gov.py/documentos_contables/650/compilacion_estadistica_1998-2018.pdf</t>
        </is>
      </c>
      <c r="S1006" s="6" t="inlineStr">
        <is>
          <t>ANDE-98-18</t>
        </is>
      </c>
      <c r="T1006" s="6" t="inlineStr"/>
      <c r="U1006" s="4" t="inlineStr">
        <is>
          <t>2026-09-11 00:05:00</t>
        </is>
      </c>
      <c r="V1006" s="4" t="inlineStr">
        <is>
          <t>Serie revisada; prioridad sobre compilacion 1983-2006 en años solapados.</t>
        </is>
      </c>
    </row>
    <row r="1007">
      <c r="A1007" s="6" t="inlineStr">
        <is>
          <t>R0001006</t>
        </is>
      </c>
      <c r="B1007" s="6" t="inlineStr">
        <is>
          <t>2008-01-01</t>
        </is>
      </c>
      <c r="C1007" s="6" t="inlineStr">
        <is>
          <t>2008-12-31</t>
        </is>
      </c>
      <c r="D1007" s="6" t="inlineStr">
        <is>
          <t>year</t>
        </is>
      </c>
      <c r="E1007" s="6" t="inlineStr">
        <is>
          <t>ANDE_BILLED_OTHER_ENERGY</t>
        </is>
      </c>
      <c r="F1007" s="6" t="inlineStr">
        <is>
          <t>PY_SIN</t>
        </is>
      </c>
      <c r="G1007" s="6" t="inlineStr">
        <is>
          <t>PY</t>
        </is>
      </c>
      <c r="H1007" s="6" t="inlineStr">
        <is>
          <t>PY</t>
        </is>
      </c>
      <c r="I1007" s="8" t="n">
        <v>1618748</v>
      </c>
      <c r="J1007" s="6" t="inlineStr">
        <is>
          <t>MWh</t>
        </is>
      </c>
      <c r="K1007" s="8" t="n">
        <v>1618748</v>
      </c>
      <c r="L1007" s="6" t="inlineStr">
        <is>
          <t>MWh</t>
        </is>
      </c>
      <c r="M1007" s="6" t="inlineStr">
        <is>
          <t>ANDE</t>
        </is>
      </c>
      <c r="N1007" s="6" t="inlineStr">
        <is>
          <t>OFFICIAL_PRIMARY</t>
        </is>
      </c>
      <c r="O1007" s="9" t="inlineStr">
        <is>
          <t>OFFICIAL_AGGREGATE</t>
        </is>
      </c>
      <c r="P1007" s="10" t="n">
        <v>0</v>
      </c>
      <c r="Q1007" s="8" t="n">
        <v>75</v>
      </c>
      <c r="R1007" s="7" t="inlineStr">
        <is>
          <t>https://www.ande.gov.py/documentos_contables/650/compilacion_estadistica_1998-2018.pdf</t>
        </is>
      </c>
      <c r="S1007" s="6" t="inlineStr">
        <is>
          <t>ANDE-98-18</t>
        </is>
      </c>
      <c r="T1007" s="6" t="inlineStr"/>
      <c r="U1007" s="4" t="inlineStr">
        <is>
          <t>2026-09-11 00:05:00</t>
        </is>
      </c>
      <c r="V1007" s="4" t="inlineStr">
        <is>
          <t>Serie revisada; prioridad sobre compilacion 1983-2006 en años solapados.</t>
        </is>
      </c>
    </row>
    <row r="1008">
      <c r="A1008" s="6" t="inlineStr">
        <is>
          <t>R0001007</t>
        </is>
      </c>
      <c r="B1008" s="6" t="inlineStr">
        <is>
          <t>2009-01-01</t>
        </is>
      </c>
      <c r="C1008" s="6" t="inlineStr">
        <is>
          <t>2009-12-31</t>
        </is>
      </c>
      <c r="D1008" s="6" t="inlineStr">
        <is>
          <t>year</t>
        </is>
      </c>
      <c r="E1008" s="6" t="inlineStr">
        <is>
          <t>ANDE_BILLED_OTHER_ENERGY</t>
        </is>
      </c>
      <c r="F1008" s="6" t="inlineStr">
        <is>
          <t>PY_SIN</t>
        </is>
      </c>
      <c r="G1008" s="6" t="inlineStr">
        <is>
          <t>PY</t>
        </is>
      </c>
      <c r="H1008" s="6" t="inlineStr">
        <is>
          <t>PY</t>
        </is>
      </c>
      <c r="I1008" s="8" t="n">
        <v>1708145</v>
      </c>
      <c r="J1008" s="6" t="inlineStr">
        <is>
          <t>MWh</t>
        </is>
      </c>
      <c r="K1008" s="8" t="n">
        <v>1708145</v>
      </c>
      <c r="L1008" s="6" t="inlineStr">
        <is>
          <t>MWh</t>
        </is>
      </c>
      <c r="M1008" s="6" t="inlineStr">
        <is>
          <t>ANDE</t>
        </is>
      </c>
      <c r="N1008" s="6" t="inlineStr">
        <is>
          <t>OFFICIAL_PRIMARY</t>
        </is>
      </c>
      <c r="O1008" s="9" t="inlineStr">
        <is>
          <t>OFFICIAL_AGGREGATE</t>
        </is>
      </c>
      <c r="P1008" s="10" t="n">
        <v>0</v>
      </c>
      <c r="Q1008" s="8" t="n">
        <v>75</v>
      </c>
      <c r="R1008" s="7" t="inlineStr">
        <is>
          <t>https://www.ande.gov.py/documentos_contables/650/compilacion_estadistica_1998-2018.pdf</t>
        </is>
      </c>
      <c r="S1008" s="6" t="inlineStr">
        <is>
          <t>ANDE-98-18</t>
        </is>
      </c>
      <c r="T1008" s="6" t="inlineStr"/>
      <c r="U1008" s="4" t="inlineStr">
        <is>
          <t>2026-09-11 00:05:00</t>
        </is>
      </c>
      <c r="V1008" s="4" t="inlineStr">
        <is>
          <t>Serie revisada; prioridad sobre compilacion 1983-2006 en años solapados.</t>
        </is>
      </c>
    </row>
    <row r="1009">
      <c r="A1009" s="6" t="inlineStr">
        <is>
          <t>R0001008</t>
        </is>
      </c>
      <c r="B1009" s="6" t="inlineStr">
        <is>
          <t>2010-01-01</t>
        </is>
      </c>
      <c r="C1009" s="6" t="inlineStr">
        <is>
          <t>2010-12-31</t>
        </is>
      </c>
      <c r="D1009" s="6" t="inlineStr">
        <is>
          <t>year</t>
        </is>
      </c>
      <c r="E1009" s="6" t="inlineStr">
        <is>
          <t>ANDE_BILLED_OTHER_ENERGY</t>
        </is>
      </c>
      <c r="F1009" s="6" t="inlineStr">
        <is>
          <t>PY_SIN</t>
        </is>
      </c>
      <c r="G1009" s="6" t="inlineStr">
        <is>
          <t>PY</t>
        </is>
      </c>
      <c r="H1009" s="6" t="inlineStr">
        <is>
          <t>PY</t>
        </is>
      </c>
      <c r="I1009" s="8" t="n">
        <v>1762985</v>
      </c>
      <c r="J1009" s="6" t="inlineStr">
        <is>
          <t>MWh</t>
        </is>
      </c>
      <c r="K1009" s="8" t="n">
        <v>1762985</v>
      </c>
      <c r="L1009" s="6" t="inlineStr">
        <is>
          <t>MWh</t>
        </is>
      </c>
      <c r="M1009" s="6" t="inlineStr">
        <is>
          <t>ANDE</t>
        </is>
      </c>
      <c r="N1009" s="6" t="inlineStr">
        <is>
          <t>OFFICIAL_PRIMARY</t>
        </is>
      </c>
      <c r="O1009" s="9" t="inlineStr">
        <is>
          <t>OFFICIAL_AGGREGATE</t>
        </is>
      </c>
      <c r="P1009" s="10" t="n">
        <v>0</v>
      </c>
      <c r="Q1009" s="8" t="n">
        <v>75</v>
      </c>
      <c r="R1009" s="7" t="inlineStr">
        <is>
          <t>https://www.ande.gov.py/documentos_contables/650/compilacion_estadistica_1998-2018.pdf</t>
        </is>
      </c>
      <c r="S1009" s="6" t="inlineStr">
        <is>
          <t>ANDE-98-18</t>
        </is>
      </c>
      <c r="T1009" s="6" t="inlineStr"/>
      <c r="U1009" s="4" t="inlineStr">
        <is>
          <t>2026-09-11 00:05:00</t>
        </is>
      </c>
      <c r="V1009" s="4" t="inlineStr">
        <is>
          <t>Serie revisada; prioridad sobre compilacion 1983-2006 en años solapados.</t>
        </is>
      </c>
    </row>
    <row r="1010">
      <c r="A1010" s="6" t="inlineStr">
        <is>
          <t>R0001009</t>
        </is>
      </c>
      <c r="B1010" s="6" t="inlineStr">
        <is>
          <t>2011-01-01</t>
        </is>
      </c>
      <c r="C1010" s="6" t="inlineStr">
        <is>
          <t>2011-12-31</t>
        </is>
      </c>
      <c r="D1010" s="6" t="inlineStr">
        <is>
          <t>year</t>
        </is>
      </c>
      <c r="E1010" s="6" t="inlineStr">
        <is>
          <t>ANDE_BILLED_OTHER_ENERGY</t>
        </is>
      </c>
      <c r="F1010" s="6" t="inlineStr">
        <is>
          <t>PY_SIN</t>
        </is>
      </c>
      <c r="G1010" s="6" t="inlineStr">
        <is>
          <t>PY</t>
        </is>
      </c>
      <c r="H1010" s="6" t="inlineStr">
        <is>
          <t>PY</t>
        </is>
      </c>
      <c r="I1010" s="8" t="n">
        <v>1997079</v>
      </c>
      <c r="J1010" s="6" t="inlineStr">
        <is>
          <t>MWh</t>
        </is>
      </c>
      <c r="K1010" s="8" t="n">
        <v>1997079</v>
      </c>
      <c r="L1010" s="6" t="inlineStr">
        <is>
          <t>MWh</t>
        </is>
      </c>
      <c r="M1010" s="6" t="inlineStr">
        <is>
          <t>ANDE</t>
        </is>
      </c>
      <c r="N1010" s="6" t="inlineStr">
        <is>
          <t>OFFICIAL_PRIMARY</t>
        </is>
      </c>
      <c r="O1010" s="9" t="inlineStr">
        <is>
          <t>OFFICIAL_AGGREGATE</t>
        </is>
      </c>
      <c r="P1010" s="10" t="n">
        <v>0</v>
      </c>
      <c r="Q1010" s="8" t="n">
        <v>75</v>
      </c>
      <c r="R1010" s="7" t="inlineStr">
        <is>
          <t>https://www.ande.gov.py/documentos_contables/650/compilacion_estadistica_1998-2018.pdf</t>
        </is>
      </c>
      <c r="S1010" s="6" t="inlineStr">
        <is>
          <t>ANDE-98-18</t>
        </is>
      </c>
      <c r="T1010" s="6" t="inlineStr"/>
      <c r="U1010" s="4" t="inlineStr">
        <is>
          <t>2026-09-11 00:05:00</t>
        </is>
      </c>
      <c r="V1010" s="4" t="inlineStr">
        <is>
          <t>Serie revisada; prioridad sobre compilacion 1983-2006 en años solapados.</t>
        </is>
      </c>
    </row>
    <row r="1011">
      <c r="A1011" s="6" t="inlineStr">
        <is>
          <t>R0001010</t>
        </is>
      </c>
      <c r="B1011" s="6" t="inlineStr">
        <is>
          <t>2012-01-01</t>
        </is>
      </c>
      <c r="C1011" s="6" t="inlineStr">
        <is>
          <t>2012-12-31</t>
        </is>
      </c>
      <c r="D1011" s="6" t="inlineStr">
        <is>
          <t>year</t>
        </is>
      </c>
      <c r="E1011" s="6" t="inlineStr">
        <is>
          <t>ANDE_BILLED_OTHER_ENERGY</t>
        </is>
      </c>
      <c r="F1011" s="6" t="inlineStr">
        <is>
          <t>PY_SIN</t>
        </is>
      </c>
      <c r="G1011" s="6" t="inlineStr">
        <is>
          <t>PY</t>
        </is>
      </c>
      <c r="H1011" s="6" t="inlineStr">
        <is>
          <t>PY</t>
        </is>
      </c>
      <c r="I1011" s="8" t="n">
        <v>2145471</v>
      </c>
      <c r="J1011" s="6" t="inlineStr">
        <is>
          <t>MWh</t>
        </is>
      </c>
      <c r="K1011" s="8" t="n">
        <v>2145471</v>
      </c>
      <c r="L1011" s="6" t="inlineStr">
        <is>
          <t>MWh</t>
        </is>
      </c>
      <c r="M1011" s="6" t="inlineStr">
        <is>
          <t>ANDE</t>
        </is>
      </c>
      <c r="N1011" s="6" t="inlineStr">
        <is>
          <t>OFFICIAL_PRIMARY</t>
        </is>
      </c>
      <c r="O1011" s="9" t="inlineStr">
        <is>
          <t>OFFICIAL_AGGREGATE</t>
        </is>
      </c>
      <c r="P1011" s="10" t="n">
        <v>0</v>
      </c>
      <c r="Q1011" s="8" t="n">
        <v>75</v>
      </c>
      <c r="R1011" s="7" t="inlineStr">
        <is>
          <t>https://www.ande.gov.py/documentos_contables/650/compilacion_estadistica_1998-2018.pdf</t>
        </is>
      </c>
      <c r="S1011" s="6" t="inlineStr">
        <is>
          <t>ANDE-98-18</t>
        </is>
      </c>
      <c r="T1011" s="6" t="inlineStr"/>
      <c r="U1011" s="4" t="inlineStr">
        <is>
          <t>2026-09-11 00:05:00</t>
        </is>
      </c>
      <c r="V1011" s="4" t="inlineStr">
        <is>
          <t>Serie revisada; prioridad sobre compilacion 1983-2006 en años solapados.</t>
        </is>
      </c>
    </row>
    <row r="1012">
      <c r="A1012" s="6" t="inlineStr">
        <is>
          <t>R0001011</t>
        </is>
      </c>
      <c r="B1012" s="6" t="inlineStr">
        <is>
          <t>2013-01-01</t>
        </is>
      </c>
      <c r="C1012" s="6" t="inlineStr">
        <is>
          <t>2013-12-31</t>
        </is>
      </c>
      <c r="D1012" s="6" t="inlineStr">
        <is>
          <t>year</t>
        </is>
      </c>
      <c r="E1012" s="6" t="inlineStr">
        <is>
          <t>ANDE_BILLED_OTHER_ENERGY</t>
        </is>
      </c>
      <c r="F1012" s="6" t="inlineStr">
        <is>
          <t>PY_SIN</t>
        </is>
      </c>
      <c r="G1012" s="6" t="inlineStr">
        <is>
          <t>PY</t>
        </is>
      </c>
      <c r="H1012" s="6" t="inlineStr">
        <is>
          <t>PY</t>
        </is>
      </c>
      <c r="I1012" s="8" t="n">
        <v>2376227</v>
      </c>
      <c r="J1012" s="6" t="inlineStr">
        <is>
          <t>MWh</t>
        </is>
      </c>
      <c r="K1012" s="8" t="n">
        <v>2376227</v>
      </c>
      <c r="L1012" s="6" t="inlineStr">
        <is>
          <t>MWh</t>
        </is>
      </c>
      <c r="M1012" s="6" t="inlineStr">
        <is>
          <t>ANDE</t>
        </is>
      </c>
      <c r="N1012" s="6" t="inlineStr">
        <is>
          <t>OFFICIAL_PRIMARY</t>
        </is>
      </c>
      <c r="O1012" s="9" t="inlineStr">
        <is>
          <t>OFFICIAL_AGGREGATE</t>
        </is>
      </c>
      <c r="P1012" s="10" t="n">
        <v>0</v>
      </c>
      <c r="Q1012" s="8" t="n">
        <v>75</v>
      </c>
      <c r="R1012" s="7" t="inlineStr">
        <is>
          <t>https://www.ande.gov.py/documentos_contables/650/compilacion_estadistica_1998-2018.pdf</t>
        </is>
      </c>
      <c r="S1012" s="6" t="inlineStr">
        <is>
          <t>ANDE-98-18</t>
        </is>
      </c>
      <c r="T1012" s="6" t="inlineStr"/>
      <c r="U1012" s="4" t="inlineStr">
        <is>
          <t>2026-09-11 00:05:00</t>
        </is>
      </c>
      <c r="V1012" s="4" t="inlineStr">
        <is>
          <t>Serie revisada; prioridad sobre compilacion 1983-2006 en años solapados.</t>
        </is>
      </c>
    </row>
    <row r="1013">
      <c r="A1013" s="6" t="inlineStr">
        <is>
          <t>R0001012</t>
        </is>
      </c>
      <c r="B1013" s="6" t="inlineStr">
        <is>
          <t>2014-01-01</t>
        </is>
      </c>
      <c r="C1013" s="6" t="inlineStr">
        <is>
          <t>2014-12-31</t>
        </is>
      </c>
      <c r="D1013" s="6" t="inlineStr">
        <is>
          <t>year</t>
        </is>
      </c>
      <c r="E1013" s="6" t="inlineStr">
        <is>
          <t>ANDE_BILLED_OTHER_ENERGY</t>
        </is>
      </c>
      <c r="F1013" s="6" t="inlineStr">
        <is>
          <t>PY_SIN</t>
        </is>
      </c>
      <c r="G1013" s="6" t="inlineStr">
        <is>
          <t>PY</t>
        </is>
      </c>
      <c r="H1013" s="6" t="inlineStr">
        <is>
          <t>PY</t>
        </is>
      </c>
      <c r="I1013" s="8" t="n">
        <v>2617070</v>
      </c>
      <c r="J1013" s="6" t="inlineStr">
        <is>
          <t>MWh</t>
        </is>
      </c>
      <c r="K1013" s="8" t="n">
        <v>2617070</v>
      </c>
      <c r="L1013" s="6" t="inlineStr">
        <is>
          <t>MWh</t>
        </is>
      </c>
      <c r="M1013" s="6" t="inlineStr">
        <is>
          <t>ANDE</t>
        </is>
      </c>
      <c r="N1013" s="6" t="inlineStr">
        <is>
          <t>OFFICIAL_PRIMARY</t>
        </is>
      </c>
      <c r="O1013" s="9" t="inlineStr">
        <is>
          <t>OFFICIAL_AGGREGATE</t>
        </is>
      </c>
      <c r="P1013" s="10" t="n">
        <v>0</v>
      </c>
      <c r="Q1013" s="8" t="n">
        <v>75</v>
      </c>
      <c r="R1013" s="7" t="inlineStr">
        <is>
          <t>https://www.ande.gov.py/documentos_contables/650/compilacion_estadistica_1998-2018.pdf</t>
        </is>
      </c>
      <c r="S1013" s="6" t="inlineStr">
        <is>
          <t>ANDE-98-18</t>
        </is>
      </c>
      <c r="T1013" s="6" t="inlineStr"/>
      <c r="U1013" s="4" t="inlineStr">
        <is>
          <t>2026-09-11 00:05:00</t>
        </is>
      </c>
      <c r="V1013" s="4" t="inlineStr">
        <is>
          <t>Serie revisada; prioridad sobre compilacion 1983-2006 en años solapados.</t>
        </is>
      </c>
    </row>
    <row r="1014">
      <c r="A1014" s="6" t="inlineStr">
        <is>
          <t>R0001013</t>
        </is>
      </c>
      <c r="B1014" s="6" t="inlineStr">
        <is>
          <t>2015-01-01</t>
        </is>
      </c>
      <c r="C1014" s="6" t="inlineStr">
        <is>
          <t>2015-12-31</t>
        </is>
      </c>
      <c r="D1014" s="6" t="inlineStr">
        <is>
          <t>year</t>
        </is>
      </c>
      <c r="E1014" s="6" t="inlineStr">
        <is>
          <t>ANDE_BILLED_OTHER_ENERGY</t>
        </is>
      </c>
      <c r="F1014" s="6" t="inlineStr">
        <is>
          <t>PY_SIN</t>
        </is>
      </c>
      <c r="G1014" s="6" t="inlineStr">
        <is>
          <t>PY</t>
        </is>
      </c>
      <c r="H1014" s="6" t="inlineStr">
        <is>
          <t>PY</t>
        </is>
      </c>
      <c r="I1014" s="8" t="n">
        <v>2803706</v>
      </c>
      <c r="J1014" s="6" t="inlineStr">
        <is>
          <t>MWh</t>
        </is>
      </c>
      <c r="K1014" s="8" t="n">
        <v>2803706</v>
      </c>
      <c r="L1014" s="6" t="inlineStr">
        <is>
          <t>MWh</t>
        </is>
      </c>
      <c r="M1014" s="6" t="inlineStr">
        <is>
          <t>ANDE</t>
        </is>
      </c>
      <c r="N1014" s="6" t="inlineStr">
        <is>
          <t>OFFICIAL_PRIMARY</t>
        </is>
      </c>
      <c r="O1014" s="9" t="inlineStr">
        <is>
          <t>OFFICIAL_AGGREGATE</t>
        </is>
      </c>
      <c r="P1014" s="10" t="n">
        <v>0</v>
      </c>
      <c r="Q1014" s="8" t="n">
        <v>75</v>
      </c>
      <c r="R1014" s="7" t="inlineStr">
        <is>
          <t>https://www.ande.gov.py/documentos_contables/650/compilacion_estadistica_1998-2018.pdf</t>
        </is>
      </c>
      <c r="S1014" s="6" t="inlineStr">
        <is>
          <t>ANDE-98-18</t>
        </is>
      </c>
      <c r="T1014" s="6" t="inlineStr"/>
      <c r="U1014" s="4" t="inlineStr">
        <is>
          <t>2026-09-11 00:05:00</t>
        </is>
      </c>
      <c r="V1014" s="4" t="inlineStr">
        <is>
          <t>Serie revisada; prioridad sobre compilacion 1983-2006 en años solapados.</t>
        </is>
      </c>
    </row>
    <row r="1015">
      <c r="A1015" s="6" t="inlineStr">
        <is>
          <t>R0001014</t>
        </is>
      </c>
      <c r="B1015" s="6" t="inlineStr">
        <is>
          <t>2016-01-01</t>
        </is>
      </c>
      <c r="C1015" s="6" t="inlineStr">
        <is>
          <t>2016-12-31</t>
        </is>
      </c>
      <c r="D1015" s="6" t="inlineStr">
        <is>
          <t>year</t>
        </is>
      </c>
      <c r="E1015" s="6" t="inlineStr">
        <is>
          <t>ANDE_BILLED_OTHER_ENERGY</t>
        </is>
      </c>
      <c r="F1015" s="6" t="inlineStr">
        <is>
          <t>PY_SIN</t>
        </is>
      </c>
      <c r="G1015" s="6" t="inlineStr">
        <is>
          <t>PY</t>
        </is>
      </c>
      <c r="H1015" s="6" t="inlineStr">
        <is>
          <t>PY</t>
        </is>
      </c>
      <c r="I1015" s="8" t="n">
        <v>3265688</v>
      </c>
      <c r="J1015" s="6" t="inlineStr">
        <is>
          <t>MWh</t>
        </is>
      </c>
      <c r="K1015" s="8" t="n">
        <v>3265688</v>
      </c>
      <c r="L1015" s="6" t="inlineStr">
        <is>
          <t>MWh</t>
        </is>
      </c>
      <c r="M1015" s="6" t="inlineStr">
        <is>
          <t>ANDE</t>
        </is>
      </c>
      <c r="N1015" s="6" t="inlineStr">
        <is>
          <t>OFFICIAL_PRIMARY</t>
        </is>
      </c>
      <c r="O1015" s="9" t="inlineStr">
        <is>
          <t>OFFICIAL_AGGREGATE</t>
        </is>
      </c>
      <c r="P1015" s="10" t="n">
        <v>0</v>
      </c>
      <c r="Q1015" s="8" t="n">
        <v>75</v>
      </c>
      <c r="R1015" s="7" t="inlineStr">
        <is>
          <t>https://www.ande.gov.py/documentos_contables/650/compilacion_estadistica_1998-2018.pdf</t>
        </is>
      </c>
      <c r="S1015" s="6" t="inlineStr">
        <is>
          <t>ANDE-98-18</t>
        </is>
      </c>
      <c r="T1015" s="6" t="inlineStr"/>
      <c r="U1015" s="4" t="inlineStr">
        <is>
          <t>2026-09-11 00:05:00</t>
        </is>
      </c>
      <c r="V1015" s="4" t="inlineStr">
        <is>
          <t>Serie revisada; prioridad sobre compilacion 1983-2006 en años solapados.</t>
        </is>
      </c>
    </row>
    <row r="1016">
      <c r="A1016" s="6" t="inlineStr">
        <is>
          <t>R0001015</t>
        </is>
      </c>
      <c r="B1016" s="6" t="inlineStr">
        <is>
          <t>2017-01-01</t>
        </is>
      </c>
      <c r="C1016" s="6" t="inlineStr">
        <is>
          <t>2017-12-31</t>
        </is>
      </c>
      <c r="D1016" s="6" t="inlineStr">
        <is>
          <t>year</t>
        </is>
      </c>
      <c r="E1016" s="6" t="inlineStr">
        <is>
          <t>ANDE_BILLED_OTHER_ENERGY</t>
        </is>
      </c>
      <c r="F1016" s="6" t="inlineStr">
        <is>
          <t>PY_SIN</t>
        </is>
      </c>
      <c r="G1016" s="6" t="inlineStr">
        <is>
          <t>PY</t>
        </is>
      </c>
      <c r="H1016" s="6" t="inlineStr">
        <is>
          <t>PY</t>
        </is>
      </c>
      <c r="I1016" s="8" t="n">
        <v>3937962</v>
      </c>
      <c r="J1016" s="6" t="inlineStr">
        <is>
          <t>MWh</t>
        </is>
      </c>
      <c r="K1016" s="8" t="n">
        <v>3937962</v>
      </c>
      <c r="L1016" s="6" t="inlineStr">
        <is>
          <t>MWh</t>
        </is>
      </c>
      <c r="M1016" s="6" t="inlineStr">
        <is>
          <t>ANDE</t>
        </is>
      </c>
      <c r="N1016" s="6" t="inlineStr">
        <is>
          <t>OFFICIAL_PRIMARY</t>
        </is>
      </c>
      <c r="O1016" s="9" t="inlineStr">
        <is>
          <t>OFFICIAL_AGGREGATE</t>
        </is>
      </c>
      <c r="P1016" s="10" t="n">
        <v>0</v>
      </c>
      <c r="Q1016" s="8" t="n">
        <v>75</v>
      </c>
      <c r="R1016" s="7" t="inlineStr">
        <is>
          <t>https://www.ande.gov.py/documentos_contables/650/compilacion_estadistica_1998-2018.pdf</t>
        </is>
      </c>
      <c r="S1016" s="6" t="inlineStr">
        <is>
          <t>ANDE-98-18</t>
        </is>
      </c>
      <c r="T1016" s="6" t="inlineStr"/>
      <c r="U1016" s="4" t="inlineStr">
        <is>
          <t>2026-09-11 00:05:00</t>
        </is>
      </c>
      <c r="V1016" s="4" t="inlineStr">
        <is>
          <t>Serie revisada; prioridad sobre compilacion 1983-2006 en años solapados.</t>
        </is>
      </c>
    </row>
    <row r="1017">
      <c r="A1017" s="6" t="inlineStr">
        <is>
          <t>R0001016</t>
        </is>
      </c>
      <c r="B1017" s="6" t="inlineStr">
        <is>
          <t>2018-01-01</t>
        </is>
      </c>
      <c r="C1017" s="6" t="inlineStr">
        <is>
          <t>2018-12-31</t>
        </is>
      </c>
      <c r="D1017" s="6" t="inlineStr">
        <is>
          <t>year</t>
        </is>
      </c>
      <c r="E1017" s="6" t="inlineStr">
        <is>
          <t>ANDE_BILLED_OTHER_ENERGY</t>
        </is>
      </c>
      <c r="F1017" s="6" t="inlineStr">
        <is>
          <t>PY_SIN</t>
        </is>
      </c>
      <c r="G1017" s="6" t="inlineStr">
        <is>
          <t>PY</t>
        </is>
      </c>
      <c r="H1017" s="6" t="inlineStr">
        <is>
          <t>PY</t>
        </is>
      </c>
      <c r="I1017" s="8" t="n">
        <v>4519966</v>
      </c>
      <c r="J1017" s="6" t="inlineStr">
        <is>
          <t>MWh</t>
        </is>
      </c>
      <c r="K1017" s="8" t="n">
        <v>4519966</v>
      </c>
      <c r="L1017" s="6" t="inlineStr">
        <is>
          <t>MWh</t>
        </is>
      </c>
      <c r="M1017" s="6" t="inlineStr">
        <is>
          <t>ANDE</t>
        </is>
      </c>
      <c r="N1017" s="6" t="inlineStr">
        <is>
          <t>OFFICIAL_PRIMARY</t>
        </is>
      </c>
      <c r="O1017" s="9" t="inlineStr">
        <is>
          <t>OFFICIAL_AGGREGATE</t>
        </is>
      </c>
      <c r="P1017" s="10" t="n">
        <v>0</v>
      </c>
      <c r="Q1017" s="8" t="n">
        <v>75</v>
      </c>
      <c r="R1017" s="7" t="inlineStr">
        <is>
          <t>https://www.ande.gov.py/documentos_contables/650/compilacion_estadistica_1998-2018.pdf</t>
        </is>
      </c>
      <c r="S1017" s="6" t="inlineStr">
        <is>
          <t>ANDE-98-18</t>
        </is>
      </c>
      <c r="T1017" s="6" t="inlineStr"/>
      <c r="U1017" s="4" t="inlineStr">
        <is>
          <t>2026-09-11 00:05:00</t>
        </is>
      </c>
      <c r="V1017" s="4" t="inlineStr">
        <is>
          <t>Serie revisada; prioridad sobre compilacion 1983-2006 en años solapados.</t>
        </is>
      </c>
    </row>
    <row r="1018">
      <c r="A1018" s="6" t="inlineStr">
        <is>
          <t>R0001017</t>
        </is>
      </c>
      <c r="B1018" s="6" t="inlineStr">
        <is>
          <t>1998-01-01</t>
        </is>
      </c>
      <c r="C1018" s="6" t="inlineStr">
        <is>
          <t>1998-12-31</t>
        </is>
      </c>
      <c r="D1018" s="6" t="inlineStr">
        <is>
          <t>year</t>
        </is>
      </c>
      <c r="E1018" s="6" t="inlineStr">
        <is>
          <t>ANDE_BILLED_GOV_ENERGY</t>
        </is>
      </c>
      <c r="F1018" s="6" t="inlineStr">
        <is>
          <t>PY_SIN</t>
        </is>
      </c>
      <c r="G1018" s="6" t="inlineStr">
        <is>
          <t>PY</t>
        </is>
      </c>
      <c r="H1018" s="6" t="inlineStr">
        <is>
          <t>PY</t>
        </is>
      </c>
      <c r="I1018" s="8" t="n">
        <v>84298</v>
      </c>
      <c r="J1018" s="6" t="inlineStr">
        <is>
          <t>MWh</t>
        </is>
      </c>
      <c r="K1018" s="8" t="n">
        <v>84298</v>
      </c>
      <c r="L1018" s="6" t="inlineStr">
        <is>
          <t>MWh</t>
        </is>
      </c>
      <c r="M1018" s="6" t="inlineStr">
        <is>
          <t>ANDE</t>
        </is>
      </c>
      <c r="N1018" s="6" t="inlineStr">
        <is>
          <t>OFFICIAL_PRIMARY</t>
        </is>
      </c>
      <c r="O1018" s="9" t="inlineStr">
        <is>
          <t>OFFICIAL_AGGREGATE</t>
        </is>
      </c>
      <c r="P1018" s="8" t="n">
        <v>1</v>
      </c>
      <c r="Q1018" s="8" t="n">
        <v>75</v>
      </c>
      <c r="R1018" s="7" t="inlineStr">
        <is>
          <t>https://www.ande.gov.py/documentos_contables/650/compilacion_estadistica_1998-2018.pdf</t>
        </is>
      </c>
      <c r="S1018" s="6" t="inlineStr">
        <is>
          <t>ANDE-98-18</t>
        </is>
      </c>
      <c r="T1018" s="6" t="inlineStr"/>
      <c r="U1018" s="4" t="inlineStr">
        <is>
          <t>2026-09-11 00:05:00</t>
        </is>
      </c>
      <c r="V1018" s="4" t="inlineStr">
        <is>
          <t>Serie revisada; prioridad sobre compilacion 1983-2006 en años solapados.</t>
        </is>
      </c>
    </row>
    <row r="1019">
      <c r="A1019" s="6" t="inlineStr">
        <is>
          <t>R0001018</t>
        </is>
      </c>
      <c r="B1019" s="6" t="inlineStr">
        <is>
          <t>1999-01-01</t>
        </is>
      </c>
      <c r="C1019" s="6" t="inlineStr">
        <is>
          <t>1999-12-31</t>
        </is>
      </c>
      <c r="D1019" s="6" t="inlineStr">
        <is>
          <t>year</t>
        </is>
      </c>
      <c r="E1019" s="6" t="inlineStr">
        <is>
          <t>ANDE_BILLED_GOV_ENERGY</t>
        </is>
      </c>
      <c r="F1019" s="6" t="inlineStr">
        <is>
          <t>PY_SIN</t>
        </is>
      </c>
      <c r="G1019" s="6" t="inlineStr">
        <is>
          <t>PY</t>
        </is>
      </c>
      <c r="H1019" s="6" t="inlineStr">
        <is>
          <t>PY</t>
        </is>
      </c>
      <c r="I1019" s="8" t="n">
        <v>114685</v>
      </c>
      <c r="J1019" s="6" t="inlineStr">
        <is>
          <t>MWh</t>
        </is>
      </c>
      <c r="K1019" s="8" t="n">
        <v>114685</v>
      </c>
      <c r="L1019" s="6" t="inlineStr">
        <is>
          <t>MWh</t>
        </is>
      </c>
      <c r="M1019" s="6" t="inlineStr">
        <is>
          <t>ANDE</t>
        </is>
      </c>
      <c r="N1019" s="6" t="inlineStr">
        <is>
          <t>OFFICIAL_PRIMARY</t>
        </is>
      </c>
      <c r="O1019" s="9" t="inlineStr">
        <is>
          <t>OFFICIAL_AGGREGATE</t>
        </is>
      </c>
      <c r="P1019" s="8" t="n">
        <v>1</v>
      </c>
      <c r="Q1019" s="8" t="n">
        <v>75</v>
      </c>
      <c r="R1019" s="7" t="inlineStr">
        <is>
          <t>https://www.ande.gov.py/documentos_contables/650/compilacion_estadistica_1998-2018.pdf</t>
        </is>
      </c>
      <c r="S1019" s="6" t="inlineStr">
        <is>
          <t>ANDE-98-18</t>
        </is>
      </c>
      <c r="T1019" s="6" t="inlineStr"/>
      <c r="U1019" s="4" t="inlineStr">
        <is>
          <t>2026-09-11 00:05:00</t>
        </is>
      </c>
      <c r="V1019" s="4" t="inlineStr">
        <is>
          <t>Serie revisada; prioridad sobre compilacion 1983-2006 en años solapados.</t>
        </is>
      </c>
    </row>
    <row r="1020">
      <c r="A1020" s="6" t="inlineStr">
        <is>
          <t>R0001019</t>
        </is>
      </c>
      <c r="B1020" s="6" t="inlineStr">
        <is>
          <t>2000-01-01</t>
        </is>
      </c>
      <c r="C1020" s="6" t="inlineStr">
        <is>
          <t>2000-12-31</t>
        </is>
      </c>
      <c r="D1020" s="6" t="inlineStr">
        <is>
          <t>year</t>
        </is>
      </c>
      <c r="E1020" s="6" t="inlineStr">
        <is>
          <t>ANDE_BILLED_GOV_ENERGY</t>
        </is>
      </c>
      <c r="F1020" s="6" t="inlineStr">
        <is>
          <t>PY_SIN</t>
        </is>
      </c>
      <c r="G1020" s="6" t="inlineStr">
        <is>
          <t>PY</t>
        </is>
      </c>
      <c r="H1020" s="6" t="inlineStr">
        <is>
          <t>PY</t>
        </is>
      </c>
      <c r="I1020" s="8" t="n">
        <v>141307</v>
      </c>
      <c r="J1020" s="6" t="inlineStr">
        <is>
          <t>MWh</t>
        </is>
      </c>
      <c r="K1020" s="8" t="n">
        <v>141307</v>
      </c>
      <c r="L1020" s="6" t="inlineStr">
        <is>
          <t>MWh</t>
        </is>
      </c>
      <c r="M1020" s="6" t="inlineStr">
        <is>
          <t>ANDE</t>
        </is>
      </c>
      <c r="N1020" s="6" t="inlineStr">
        <is>
          <t>OFFICIAL_PRIMARY</t>
        </is>
      </c>
      <c r="O1020" s="9" t="inlineStr">
        <is>
          <t>OFFICIAL_AGGREGATE</t>
        </is>
      </c>
      <c r="P1020" s="8" t="n">
        <v>1</v>
      </c>
      <c r="Q1020" s="8" t="n">
        <v>75</v>
      </c>
      <c r="R1020" s="7" t="inlineStr">
        <is>
          <t>https://www.ande.gov.py/documentos_contables/650/compilacion_estadistica_1998-2018.pdf</t>
        </is>
      </c>
      <c r="S1020" s="6" t="inlineStr">
        <is>
          <t>ANDE-98-18</t>
        </is>
      </c>
      <c r="T1020" s="6" t="inlineStr"/>
      <c r="U1020" s="4" t="inlineStr">
        <is>
          <t>2026-09-11 00:05:00</t>
        </is>
      </c>
      <c r="V1020" s="4" t="inlineStr">
        <is>
          <t>Serie revisada; prioridad sobre compilacion 1983-2006 en años solapados.</t>
        </is>
      </c>
    </row>
    <row r="1021">
      <c r="A1021" s="6" t="inlineStr">
        <is>
          <t>R0001020</t>
        </is>
      </c>
      <c r="B1021" s="6" t="inlineStr">
        <is>
          <t>2001-01-01</t>
        </is>
      </c>
      <c r="C1021" s="6" t="inlineStr">
        <is>
          <t>2001-12-31</t>
        </is>
      </c>
      <c r="D1021" s="6" t="inlineStr">
        <is>
          <t>year</t>
        </is>
      </c>
      <c r="E1021" s="6" t="inlineStr">
        <is>
          <t>ANDE_BILLED_GOV_ENERGY</t>
        </is>
      </c>
      <c r="F1021" s="6" t="inlineStr">
        <is>
          <t>PY_SIN</t>
        </is>
      </c>
      <c r="G1021" s="6" t="inlineStr">
        <is>
          <t>PY</t>
        </is>
      </c>
      <c r="H1021" s="6" t="inlineStr">
        <is>
          <t>PY</t>
        </is>
      </c>
      <c r="I1021" s="8" t="n">
        <v>146788</v>
      </c>
      <c r="J1021" s="6" t="inlineStr">
        <is>
          <t>MWh</t>
        </is>
      </c>
      <c r="K1021" s="8" t="n">
        <v>146788</v>
      </c>
      <c r="L1021" s="6" t="inlineStr">
        <is>
          <t>MWh</t>
        </is>
      </c>
      <c r="M1021" s="6" t="inlineStr">
        <is>
          <t>ANDE</t>
        </is>
      </c>
      <c r="N1021" s="6" t="inlineStr">
        <is>
          <t>OFFICIAL_PRIMARY</t>
        </is>
      </c>
      <c r="O1021" s="9" t="inlineStr">
        <is>
          <t>OFFICIAL_AGGREGATE</t>
        </is>
      </c>
      <c r="P1021" s="8" t="n">
        <v>1</v>
      </c>
      <c r="Q1021" s="8" t="n">
        <v>75</v>
      </c>
      <c r="R1021" s="7" t="inlineStr">
        <is>
          <t>https://www.ande.gov.py/documentos_contables/650/compilacion_estadistica_1998-2018.pdf</t>
        </is>
      </c>
      <c r="S1021" s="6" t="inlineStr">
        <is>
          <t>ANDE-98-18</t>
        </is>
      </c>
      <c r="T1021" s="6" t="inlineStr"/>
      <c r="U1021" s="4" t="inlineStr">
        <is>
          <t>2026-09-11 00:05:00</t>
        </is>
      </c>
      <c r="V1021" s="4" t="inlineStr">
        <is>
          <t>Serie revisada; prioridad sobre compilacion 1983-2006 en años solapados.</t>
        </is>
      </c>
    </row>
    <row r="1022">
      <c r="A1022" s="6" t="inlineStr">
        <is>
          <t>R0001021</t>
        </is>
      </c>
      <c r="B1022" s="6" t="inlineStr">
        <is>
          <t>2002-01-01</t>
        </is>
      </c>
      <c r="C1022" s="6" t="inlineStr">
        <is>
          <t>2002-12-31</t>
        </is>
      </c>
      <c r="D1022" s="6" t="inlineStr">
        <is>
          <t>year</t>
        </is>
      </c>
      <c r="E1022" s="6" t="inlineStr">
        <is>
          <t>ANDE_BILLED_GOV_ENERGY</t>
        </is>
      </c>
      <c r="F1022" s="6" t="inlineStr">
        <is>
          <t>PY_SIN</t>
        </is>
      </c>
      <c r="G1022" s="6" t="inlineStr">
        <is>
          <t>PY</t>
        </is>
      </c>
      <c r="H1022" s="6" t="inlineStr">
        <is>
          <t>PY</t>
        </is>
      </c>
      <c r="I1022" s="8" t="n">
        <v>146896</v>
      </c>
      <c r="J1022" s="6" t="inlineStr">
        <is>
          <t>MWh</t>
        </is>
      </c>
      <c r="K1022" s="8" t="n">
        <v>146896</v>
      </c>
      <c r="L1022" s="6" t="inlineStr">
        <is>
          <t>MWh</t>
        </is>
      </c>
      <c r="M1022" s="6" t="inlineStr">
        <is>
          <t>ANDE</t>
        </is>
      </c>
      <c r="N1022" s="6" t="inlineStr">
        <is>
          <t>OFFICIAL_PRIMARY</t>
        </is>
      </c>
      <c r="O1022" s="9" t="inlineStr">
        <is>
          <t>OFFICIAL_AGGREGATE</t>
        </is>
      </c>
      <c r="P1022" s="8" t="n">
        <v>1</v>
      </c>
      <c r="Q1022" s="8" t="n">
        <v>75</v>
      </c>
      <c r="R1022" s="7" t="inlineStr">
        <is>
          <t>https://www.ande.gov.py/documentos_contables/650/compilacion_estadistica_1998-2018.pdf</t>
        </is>
      </c>
      <c r="S1022" s="6" t="inlineStr">
        <is>
          <t>ANDE-98-18</t>
        </is>
      </c>
      <c r="T1022" s="6" t="inlineStr"/>
      <c r="U1022" s="4" t="inlineStr">
        <is>
          <t>2026-09-11 00:05:00</t>
        </is>
      </c>
      <c r="V1022" s="4" t="inlineStr">
        <is>
          <t>Serie revisada; prioridad sobre compilacion 1983-2006 en años solapados.</t>
        </is>
      </c>
    </row>
    <row r="1023">
      <c r="A1023" s="6" t="inlineStr">
        <is>
          <t>R0001022</t>
        </is>
      </c>
      <c r="B1023" s="6" t="inlineStr">
        <is>
          <t>2003-01-01</t>
        </is>
      </c>
      <c r="C1023" s="6" t="inlineStr">
        <is>
          <t>2003-12-31</t>
        </is>
      </c>
      <c r="D1023" s="6" t="inlineStr">
        <is>
          <t>year</t>
        </is>
      </c>
      <c r="E1023" s="6" t="inlineStr">
        <is>
          <t>ANDE_BILLED_GOV_ENERGY</t>
        </is>
      </c>
      <c r="F1023" s="6" t="inlineStr">
        <is>
          <t>PY_SIN</t>
        </is>
      </c>
      <c r="G1023" s="6" t="inlineStr">
        <is>
          <t>PY</t>
        </is>
      </c>
      <c r="H1023" s="6" t="inlineStr">
        <is>
          <t>PY</t>
        </is>
      </c>
      <c r="I1023" s="8" t="n">
        <v>148429</v>
      </c>
      <c r="J1023" s="6" t="inlineStr">
        <is>
          <t>MWh</t>
        </is>
      </c>
      <c r="K1023" s="8" t="n">
        <v>148429</v>
      </c>
      <c r="L1023" s="6" t="inlineStr">
        <is>
          <t>MWh</t>
        </is>
      </c>
      <c r="M1023" s="6" t="inlineStr">
        <is>
          <t>ANDE</t>
        </is>
      </c>
      <c r="N1023" s="6" t="inlineStr">
        <is>
          <t>OFFICIAL_PRIMARY</t>
        </is>
      </c>
      <c r="O1023" s="9" t="inlineStr">
        <is>
          <t>OFFICIAL_AGGREGATE</t>
        </is>
      </c>
      <c r="P1023" s="10" t="n">
        <v>0</v>
      </c>
      <c r="Q1023" s="8" t="n">
        <v>75</v>
      </c>
      <c r="R1023" s="7" t="inlineStr">
        <is>
          <t>https://www.ande.gov.py/documentos_contables/650/compilacion_estadistica_1998-2018.pdf</t>
        </is>
      </c>
      <c r="S1023" s="6" t="inlineStr">
        <is>
          <t>ANDE-98-18</t>
        </is>
      </c>
      <c r="T1023" s="6" t="inlineStr"/>
      <c r="U1023" s="4" t="inlineStr">
        <is>
          <t>2026-09-11 00:05:00</t>
        </is>
      </c>
      <c r="V1023" s="4" t="inlineStr">
        <is>
          <t>Serie revisada; prioridad sobre compilacion 1983-2006 en años solapados.</t>
        </is>
      </c>
    </row>
    <row r="1024">
      <c r="A1024" s="6" t="inlineStr">
        <is>
          <t>R0001023</t>
        </is>
      </c>
      <c r="B1024" s="6" t="inlineStr">
        <is>
          <t>2004-01-01</t>
        </is>
      </c>
      <c r="C1024" s="6" t="inlineStr">
        <is>
          <t>2004-12-31</t>
        </is>
      </c>
      <c r="D1024" s="6" t="inlineStr">
        <is>
          <t>year</t>
        </is>
      </c>
      <c r="E1024" s="6" t="inlineStr">
        <is>
          <t>ANDE_BILLED_GOV_ENERGY</t>
        </is>
      </c>
      <c r="F1024" s="6" t="inlineStr">
        <is>
          <t>PY_SIN</t>
        </is>
      </c>
      <c r="G1024" s="6" t="inlineStr">
        <is>
          <t>PY</t>
        </is>
      </c>
      <c r="H1024" s="6" t="inlineStr">
        <is>
          <t>PY</t>
        </is>
      </c>
      <c r="I1024" s="8" t="n">
        <v>159552</v>
      </c>
      <c r="J1024" s="6" t="inlineStr">
        <is>
          <t>MWh</t>
        </is>
      </c>
      <c r="K1024" s="8" t="n">
        <v>159552</v>
      </c>
      <c r="L1024" s="6" t="inlineStr">
        <is>
          <t>MWh</t>
        </is>
      </c>
      <c r="M1024" s="6" t="inlineStr">
        <is>
          <t>ANDE</t>
        </is>
      </c>
      <c r="N1024" s="6" t="inlineStr">
        <is>
          <t>OFFICIAL_PRIMARY</t>
        </is>
      </c>
      <c r="O1024" s="9" t="inlineStr">
        <is>
          <t>OFFICIAL_AGGREGATE</t>
        </is>
      </c>
      <c r="P1024" s="10" t="n">
        <v>0</v>
      </c>
      <c r="Q1024" s="8" t="n">
        <v>75</v>
      </c>
      <c r="R1024" s="7" t="inlineStr">
        <is>
          <t>https://www.ande.gov.py/documentos_contables/650/compilacion_estadistica_1998-2018.pdf</t>
        </is>
      </c>
      <c r="S1024" s="6" t="inlineStr">
        <is>
          <t>ANDE-98-18</t>
        </is>
      </c>
      <c r="T1024" s="6" t="inlineStr"/>
      <c r="U1024" s="4" t="inlineStr">
        <is>
          <t>2026-09-11 00:05:00</t>
        </is>
      </c>
      <c r="V1024" s="4" t="inlineStr">
        <is>
          <t>Serie revisada; prioridad sobre compilacion 1983-2006 en años solapados.</t>
        </is>
      </c>
    </row>
    <row r="1025">
      <c r="A1025" s="6" t="inlineStr">
        <is>
          <t>R0001024</t>
        </is>
      </c>
      <c r="B1025" s="6" t="inlineStr">
        <is>
          <t>2005-01-01</t>
        </is>
      </c>
      <c r="C1025" s="6" t="inlineStr">
        <is>
          <t>2005-12-31</t>
        </is>
      </c>
      <c r="D1025" s="6" t="inlineStr">
        <is>
          <t>year</t>
        </is>
      </c>
      <c r="E1025" s="6" t="inlineStr">
        <is>
          <t>ANDE_BILLED_GOV_ENERGY</t>
        </is>
      </c>
      <c r="F1025" s="6" t="inlineStr">
        <is>
          <t>PY_SIN</t>
        </is>
      </c>
      <c r="G1025" s="6" t="inlineStr">
        <is>
          <t>PY</t>
        </is>
      </c>
      <c r="H1025" s="6" t="inlineStr">
        <is>
          <t>PY</t>
        </is>
      </c>
      <c r="I1025" s="8" t="n">
        <v>178047</v>
      </c>
      <c r="J1025" s="6" t="inlineStr">
        <is>
          <t>MWh</t>
        </is>
      </c>
      <c r="K1025" s="8" t="n">
        <v>178047</v>
      </c>
      <c r="L1025" s="6" t="inlineStr">
        <is>
          <t>MWh</t>
        </is>
      </c>
      <c r="M1025" s="6" t="inlineStr">
        <is>
          <t>ANDE</t>
        </is>
      </c>
      <c r="N1025" s="6" t="inlineStr">
        <is>
          <t>OFFICIAL_PRIMARY</t>
        </is>
      </c>
      <c r="O1025" s="9" t="inlineStr">
        <is>
          <t>OFFICIAL_AGGREGATE</t>
        </is>
      </c>
      <c r="P1025" s="10" t="n">
        <v>0</v>
      </c>
      <c r="Q1025" s="8" t="n">
        <v>75</v>
      </c>
      <c r="R1025" s="7" t="inlineStr">
        <is>
          <t>https://www.ande.gov.py/documentos_contables/650/compilacion_estadistica_1998-2018.pdf</t>
        </is>
      </c>
      <c r="S1025" s="6" t="inlineStr">
        <is>
          <t>ANDE-98-18</t>
        </is>
      </c>
      <c r="T1025" s="6" t="inlineStr"/>
      <c r="U1025" s="4" t="inlineStr">
        <is>
          <t>2026-09-11 00:05:00</t>
        </is>
      </c>
      <c r="V1025" s="4" t="inlineStr">
        <is>
          <t>Serie revisada; prioridad sobre compilacion 1983-2006 en años solapados.</t>
        </is>
      </c>
    </row>
    <row r="1026">
      <c r="A1026" s="6" t="inlineStr">
        <is>
          <t>R0001025</t>
        </is>
      </c>
      <c r="B1026" s="6" t="inlineStr">
        <is>
          <t>2006-01-01</t>
        </is>
      </c>
      <c r="C1026" s="6" t="inlineStr">
        <is>
          <t>2006-12-31</t>
        </is>
      </c>
      <c r="D1026" s="6" t="inlineStr">
        <is>
          <t>year</t>
        </is>
      </c>
      <c r="E1026" s="6" t="inlineStr">
        <is>
          <t>ANDE_BILLED_GOV_ENERGY</t>
        </is>
      </c>
      <c r="F1026" s="6" t="inlineStr">
        <is>
          <t>PY_SIN</t>
        </is>
      </c>
      <c r="G1026" s="6" t="inlineStr">
        <is>
          <t>PY</t>
        </is>
      </c>
      <c r="H1026" s="6" t="inlineStr">
        <is>
          <t>PY</t>
        </is>
      </c>
      <c r="I1026" s="8" t="n">
        <v>186349</v>
      </c>
      <c r="J1026" s="6" t="inlineStr">
        <is>
          <t>MWh</t>
        </is>
      </c>
      <c r="K1026" s="8" t="n">
        <v>186349</v>
      </c>
      <c r="L1026" s="6" t="inlineStr">
        <is>
          <t>MWh</t>
        </is>
      </c>
      <c r="M1026" s="6" t="inlineStr">
        <is>
          <t>ANDE</t>
        </is>
      </c>
      <c r="N1026" s="6" t="inlineStr">
        <is>
          <t>OFFICIAL_PRIMARY</t>
        </is>
      </c>
      <c r="O1026" s="9" t="inlineStr">
        <is>
          <t>OFFICIAL_AGGREGATE</t>
        </is>
      </c>
      <c r="P1026" s="10" t="n">
        <v>0</v>
      </c>
      <c r="Q1026" s="8" t="n">
        <v>75</v>
      </c>
      <c r="R1026" s="7" t="inlineStr">
        <is>
          <t>https://www.ande.gov.py/documentos_contables/650/compilacion_estadistica_1998-2018.pdf</t>
        </is>
      </c>
      <c r="S1026" s="6" t="inlineStr">
        <is>
          <t>ANDE-98-18</t>
        </is>
      </c>
      <c r="T1026" s="6" t="inlineStr"/>
      <c r="U1026" s="4" t="inlineStr">
        <is>
          <t>2026-09-11 00:05:00</t>
        </is>
      </c>
      <c r="V1026" s="4" t="inlineStr">
        <is>
          <t>Serie revisada; prioridad sobre compilacion 1983-2006 en años solapados.</t>
        </is>
      </c>
    </row>
    <row r="1027">
      <c r="A1027" s="6" t="inlineStr">
        <is>
          <t>R0001026</t>
        </is>
      </c>
      <c r="B1027" s="6" t="inlineStr">
        <is>
          <t>2007-01-01</t>
        </is>
      </c>
      <c r="C1027" s="6" t="inlineStr">
        <is>
          <t>2007-12-31</t>
        </is>
      </c>
      <c r="D1027" s="6" t="inlineStr">
        <is>
          <t>year</t>
        </is>
      </c>
      <c r="E1027" s="6" t="inlineStr">
        <is>
          <t>ANDE_BILLED_GOV_ENERGY</t>
        </is>
      </c>
      <c r="F1027" s="6" t="inlineStr">
        <is>
          <t>PY_SIN</t>
        </is>
      </c>
      <c r="G1027" s="6" t="inlineStr">
        <is>
          <t>PY</t>
        </is>
      </c>
      <c r="H1027" s="6" t="inlineStr">
        <is>
          <t>PY</t>
        </is>
      </c>
      <c r="I1027" s="8" t="n">
        <v>194247</v>
      </c>
      <c r="J1027" s="6" t="inlineStr">
        <is>
          <t>MWh</t>
        </is>
      </c>
      <c r="K1027" s="8" t="n">
        <v>194247</v>
      </c>
      <c r="L1027" s="6" t="inlineStr">
        <is>
          <t>MWh</t>
        </is>
      </c>
      <c r="M1027" s="6" t="inlineStr">
        <is>
          <t>ANDE</t>
        </is>
      </c>
      <c r="N1027" s="6" t="inlineStr">
        <is>
          <t>OFFICIAL_PRIMARY</t>
        </is>
      </c>
      <c r="O1027" s="9" t="inlineStr">
        <is>
          <t>OFFICIAL_AGGREGATE</t>
        </is>
      </c>
      <c r="P1027" s="10" t="n">
        <v>0</v>
      </c>
      <c r="Q1027" s="8" t="n">
        <v>75</v>
      </c>
      <c r="R1027" s="7" t="inlineStr">
        <is>
          <t>https://www.ande.gov.py/documentos_contables/650/compilacion_estadistica_1998-2018.pdf</t>
        </is>
      </c>
      <c r="S1027" s="6" t="inlineStr">
        <is>
          <t>ANDE-98-18</t>
        </is>
      </c>
      <c r="T1027" s="6" t="inlineStr"/>
      <c r="U1027" s="4" t="inlineStr">
        <is>
          <t>2026-09-11 00:05:00</t>
        </is>
      </c>
      <c r="V1027" s="4" t="inlineStr">
        <is>
          <t>Serie revisada; prioridad sobre compilacion 1983-2006 en años solapados.</t>
        </is>
      </c>
    </row>
    <row r="1028">
      <c r="A1028" s="6" t="inlineStr">
        <is>
          <t>R0001027</t>
        </is>
      </c>
      <c r="B1028" s="6" t="inlineStr">
        <is>
          <t>2008-01-01</t>
        </is>
      </c>
      <c r="C1028" s="6" t="inlineStr">
        <is>
          <t>2008-12-31</t>
        </is>
      </c>
      <c r="D1028" s="6" t="inlineStr">
        <is>
          <t>year</t>
        </is>
      </c>
      <c r="E1028" s="6" t="inlineStr">
        <is>
          <t>ANDE_BILLED_GOV_ENERGY</t>
        </is>
      </c>
      <c r="F1028" s="6" t="inlineStr">
        <is>
          <t>PY_SIN</t>
        </is>
      </c>
      <c r="G1028" s="6" t="inlineStr">
        <is>
          <t>PY</t>
        </is>
      </c>
      <c r="H1028" s="6" t="inlineStr">
        <is>
          <t>PY</t>
        </is>
      </c>
      <c r="I1028" s="8" t="n">
        <v>197412</v>
      </c>
      <c r="J1028" s="6" t="inlineStr">
        <is>
          <t>MWh</t>
        </is>
      </c>
      <c r="K1028" s="8" t="n">
        <v>197412</v>
      </c>
      <c r="L1028" s="6" t="inlineStr">
        <is>
          <t>MWh</t>
        </is>
      </c>
      <c r="M1028" s="6" t="inlineStr">
        <is>
          <t>ANDE</t>
        </is>
      </c>
      <c r="N1028" s="6" t="inlineStr">
        <is>
          <t>OFFICIAL_PRIMARY</t>
        </is>
      </c>
      <c r="O1028" s="9" t="inlineStr">
        <is>
          <t>OFFICIAL_AGGREGATE</t>
        </is>
      </c>
      <c r="P1028" s="10" t="n">
        <v>0</v>
      </c>
      <c r="Q1028" s="8" t="n">
        <v>75</v>
      </c>
      <c r="R1028" s="7" t="inlineStr">
        <is>
          <t>https://www.ande.gov.py/documentos_contables/650/compilacion_estadistica_1998-2018.pdf</t>
        </is>
      </c>
      <c r="S1028" s="6" t="inlineStr">
        <is>
          <t>ANDE-98-18</t>
        </is>
      </c>
      <c r="T1028" s="6" t="inlineStr"/>
      <c r="U1028" s="4" t="inlineStr">
        <is>
          <t>2026-09-11 00:05:00</t>
        </is>
      </c>
      <c r="V1028" s="4" t="inlineStr">
        <is>
          <t>Serie revisada; prioridad sobre compilacion 1983-2006 en años solapados.</t>
        </is>
      </c>
    </row>
    <row r="1029">
      <c r="A1029" s="6" t="inlineStr">
        <is>
          <t>R0001028</t>
        </is>
      </c>
      <c r="B1029" s="6" t="inlineStr">
        <is>
          <t>2009-01-01</t>
        </is>
      </c>
      <c r="C1029" s="6" t="inlineStr">
        <is>
          <t>2009-12-31</t>
        </is>
      </c>
      <c r="D1029" s="6" t="inlineStr">
        <is>
          <t>year</t>
        </is>
      </c>
      <c r="E1029" s="6" t="inlineStr">
        <is>
          <t>ANDE_BILLED_GOV_ENERGY</t>
        </is>
      </c>
      <c r="F1029" s="6" t="inlineStr">
        <is>
          <t>PY_SIN</t>
        </is>
      </c>
      <c r="G1029" s="6" t="inlineStr">
        <is>
          <t>PY</t>
        </is>
      </c>
      <c r="H1029" s="6" t="inlineStr">
        <is>
          <t>PY</t>
        </is>
      </c>
      <c r="I1029" s="8" t="n">
        <v>369457</v>
      </c>
      <c r="J1029" s="6" t="inlineStr">
        <is>
          <t>MWh</t>
        </is>
      </c>
      <c r="K1029" s="8" t="n">
        <v>369457</v>
      </c>
      <c r="L1029" s="6" t="inlineStr">
        <is>
          <t>MWh</t>
        </is>
      </c>
      <c r="M1029" s="6" t="inlineStr">
        <is>
          <t>ANDE</t>
        </is>
      </c>
      <c r="N1029" s="6" t="inlineStr">
        <is>
          <t>OFFICIAL_PRIMARY</t>
        </is>
      </c>
      <c r="O1029" s="9" t="inlineStr">
        <is>
          <t>OFFICIAL_AGGREGATE</t>
        </is>
      </c>
      <c r="P1029" s="10" t="n">
        <v>0</v>
      </c>
      <c r="Q1029" s="8" t="n">
        <v>75</v>
      </c>
      <c r="R1029" s="7" t="inlineStr">
        <is>
          <t>https://www.ande.gov.py/documentos_contables/650/compilacion_estadistica_1998-2018.pdf</t>
        </is>
      </c>
      <c r="S1029" s="6" t="inlineStr">
        <is>
          <t>ANDE-98-18</t>
        </is>
      </c>
      <c r="T1029" s="6" t="inlineStr"/>
      <c r="U1029" s="4" t="inlineStr">
        <is>
          <t>2026-09-11 00:05:00</t>
        </is>
      </c>
      <c r="V1029" s="4" t="inlineStr">
        <is>
          <t>Serie revisada; prioridad sobre compilacion 1983-2006 en años solapados.</t>
        </is>
      </c>
    </row>
    <row r="1030">
      <c r="A1030" s="6" t="inlineStr">
        <is>
          <t>R0001029</t>
        </is>
      </c>
      <c r="B1030" s="6" t="inlineStr">
        <is>
          <t>2010-01-01</t>
        </is>
      </c>
      <c r="C1030" s="6" t="inlineStr">
        <is>
          <t>2010-12-31</t>
        </is>
      </c>
      <c r="D1030" s="6" t="inlineStr">
        <is>
          <t>year</t>
        </is>
      </c>
      <c r="E1030" s="6" t="inlineStr">
        <is>
          <t>ANDE_BILLED_GOV_ENERGY</t>
        </is>
      </c>
      <c r="F1030" s="6" t="inlineStr">
        <is>
          <t>PY_SIN</t>
        </is>
      </c>
      <c r="G1030" s="6" t="inlineStr">
        <is>
          <t>PY</t>
        </is>
      </c>
      <c r="H1030" s="6" t="inlineStr">
        <is>
          <t>PY</t>
        </is>
      </c>
      <c r="I1030" s="8" t="n">
        <v>470323</v>
      </c>
      <c r="J1030" s="6" t="inlineStr">
        <is>
          <t>MWh</t>
        </is>
      </c>
      <c r="K1030" s="8" t="n">
        <v>470323</v>
      </c>
      <c r="L1030" s="6" t="inlineStr">
        <is>
          <t>MWh</t>
        </is>
      </c>
      <c r="M1030" s="6" t="inlineStr">
        <is>
          <t>ANDE</t>
        </is>
      </c>
      <c r="N1030" s="6" t="inlineStr">
        <is>
          <t>OFFICIAL_PRIMARY</t>
        </is>
      </c>
      <c r="O1030" s="9" t="inlineStr">
        <is>
          <t>OFFICIAL_AGGREGATE</t>
        </is>
      </c>
      <c r="P1030" s="10" t="n">
        <v>0</v>
      </c>
      <c r="Q1030" s="8" t="n">
        <v>75</v>
      </c>
      <c r="R1030" s="7" t="inlineStr">
        <is>
          <t>https://www.ande.gov.py/documentos_contables/650/compilacion_estadistica_1998-2018.pdf</t>
        </is>
      </c>
      <c r="S1030" s="6" t="inlineStr">
        <is>
          <t>ANDE-98-18</t>
        </is>
      </c>
      <c r="T1030" s="6" t="inlineStr"/>
      <c r="U1030" s="4" t="inlineStr">
        <is>
          <t>2026-09-11 00:05:00</t>
        </is>
      </c>
      <c r="V1030" s="4" t="inlineStr">
        <is>
          <t>Serie revisada; prioridad sobre compilacion 1983-2006 en años solapados.</t>
        </is>
      </c>
    </row>
    <row r="1031">
      <c r="A1031" s="6" t="inlineStr">
        <is>
          <t>R0001030</t>
        </is>
      </c>
      <c r="B1031" s="6" t="inlineStr">
        <is>
          <t>2011-01-01</t>
        </is>
      </c>
      <c r="C1031" s="6" t="inlineStr">
        <is>
          <t>2011-12-31</t>
        </is>
      </c>
      <c r="D1031" s="6" t="inlineStr">
        <is>
          <t>year</t>
        </is>
      </c>
      <c r="E1031" s="6" t="inlineStr">
        <is>
          <t>ANDE_BILLED_GOV_ENERGY</t>
        </is>
      </c>
      <c r="F1031" s="6" t="inlineStr">
        <is>
          <t>PY_SIN</t>
        </is>
      </c>
      <c r="G1031" s="6" t="inlineStr">
        <is>
          <t>PY</t>
        </is>
      </c>
      <c r="H1031" s="6" t="inlineStr">
        <is>
          <t>PY</t>
        </is>
      </c>
      <c r="I1031" s="8" t="n">
        <v>489290</v>
      </c>
      <c r="J1031" s="6" t="inlineStr">
        <is>
          <t>MWh</t>
        </is>
      </c>
      <c r="K1031" s="8" t="n">
        <v>489290</v>
      </c>
      <c r="L1031" s="6" t="inlineStr">
        <is>
          <t>MWh</t>
        </is>
      </c>
      <c r="M1031" s="6" t="inlineStr">
        <is>
          <t>ANDE</t>
        </is>
      </c>
      <c r="N1031" s="6" t="inlineStr">
        <is>
          <t>OFFICIAL_PRIMARY</t>
        </is>
      </c>
      <c r="O1031" s="9" t="inlineStr">
        <is>
          <t>OFFICIAL_AGGREGATE</t>
        </is>
      </c>
      <c r="P1031" s="10" t="n">
        <v>0</v>
      </c>
      <c r="Q1031" s="8" t="n">
        <v>75</v>
      </c>
      <c r="R1031" s="7" t="inlineStr">
        <is>
          <t>https://www.ande.gov.py/documentos_contables/650/compilacion_estadistica_1998-2018.pdf</t>
        </is>
      </c>
      <c r="S1031" s="6" t="inlineStr">
        <is>
          <t>ANDE-98-18</t>
        </is>
      </c>
      <c r="T1031" s="6" t="inlineStr"/>
      <c r="U1031" s="4" t="inlineStr">
        <is>
          <t>2026-09-11 00:05:00</t>
        </is>
      </c>
      <c r="V1031" s="4" t="inlineStr">
        <is>
          <t>Serie revisada; prioridad sobre compilacion 1983-2006 en años solapados.</t>
        </is>
      </c>
    </row>
    <row r="1032">
      <c r="A1032" s="6" t="inlineStr">
        <is>
          <t>R0001031</t>
        </is>
      </c>
      <c r="B1032" s="6" t="inlineStr">
        <is>
          <t>2012-01-01</t>
        </is>
      </c>
      <c r="C1032" s="6" t="inlineStr">
        <is>
          <t>2012-12-31</t>
        </is>
      </c>
      <c r="D1032" s="6" t="inlineStr">
        <is>
          <t>year</t>
        </is>
      </c>
      <c r="E1032" s="6" t="inlineStr">
        <is>
          <t>ANDE_BILLED_GOV_ENERGY</t>
        </is>
      </c>
      <c r="F1032" s="6" t="inlineStr">
        <is>
          <t>PY_SIN</t>
        </is>
      </c>
      <c r="G1032" s="6" t="inlineStr">
        <is>
          <t>PY</t>
        </is>
      </c>
      <c r="H1032" s="6" t="inlineStr">
        <is>
          <t>PY</t>
        </is>
      </c>
      <c r="I1032" s="8" t="n">
        <v>532452</v>
      </c>
      <c r="J1032" s="6" t="inlineStr">
        <is>
          <t>MWh</t>
        </is>
      </c>
      <c r="K1032" s="8" t="n">
        <v>532452</v>
      </c>
      <c r="L1032" s="6" t="inlineStr">
        <is>
          <t>MWh</t>
        </is>
      </c>
      <c r="M1032" s="6" t="inlineStr">
        <is>
          <t>ANDE</t>
        </is>
      </c>
      <c r="N1032" s="6" t="inlineStr">
        <is>
          <t>OFFICIAL_PRIMARY</t>
        </is>
      </c>
      <c r="O1032" s="9" t="inlineStr">
        <is>
          <t>OFFICIAL_AGGREGATE</t>
        </is>
      </c>
      <c r="P1032" s="10" t="n">
        <v>0</v>
      </c>
      <c r="Q1032" s="8" t="n">
        <v>75</v>
      </c>
      <c r="R1032" s="7" t="inlineStr">
        <is>
          <t>https://www.ande.gov.py/documentos_contables/650/compilacion_estadistica_1998-2018.pdf</t>
        </is>
      </c>
      <c r="S1032" s="6" t="inlineStr">
        <is>
          <t>ANDE-98-18</t>
        </is>
      </c>
      <c r="T1032" s="6" t="inlineStr"/>
      <c r="U1032" s="4" t="inlineStr">
        <is>
          <t>2026-09-11 00:05:00</t>
        </is>
      </c>
      <c r="V1032" s="4" t="inlineStr">
        <is>
          <t>Serie revisada; prioridad sobre compilacion 1983-2006 en años solapados.</t>
        </is>
      </c>
    </row>
    <row r="1033">
      <c r="A1033" s="6" t="inlineStr">
        <is>
          <t>R0001032</t>
        </is>
      </c>
      <c r="B1033" s="6" t="inlineStr">
        <is>
          <t>2013-01-01</t>
        </is>
      </c>
      <c r="C1033" s="6" t="inlineStr">
        <is>
          <t>2013-12-31</t>
        </is>
      </c>
      <c r="D1033" s="6" t="inlineStr">
        <is>
          <t>year</t>
        </is>
      </c>
      <c r="E1033" s="6" t="inlineStr">
        <is>
          <t>ANDE_BILLED_GOV_ENERGY</t>
        </is>
      </c>
      <c r="F1033" s="6" t="inlineStr">
        <is>
          <t>PY_SIN</t>
        </is>
      </c>
      <c r="G1033" s="6" t="inlineStr">
        <is>
          <t>PY</t>
        </is>
      </c>
      <c r="H1033" s="6" t="inlineStr">
        <is>
          <t>PY</t>
        </is>
      </c>
      <c r="I1033" s="8" t="n">
        <v>587940</v>
      </c>
      <c r="J1033" s="6" t="inlineStr">
        <is>
          <t>MWh</t>
        </is>
      </c>
      <c r="K1033" s="8" t="n">
        <v>587940</v>
      </c>
      <c r="L1033" s="6" t="inlineStr">
        <is>
          <t>MWh</t>
        </is>
      </c>
      <c r="M1033" s="6" t="inlineStr">
        <is>
          <t>ANDE</t>
        </is>
      </c>
      <c r="N1033" s="6" t="inlineStr">
        <is>
          <t>OFFICIAL_PRIMARY</t>
        </is>
      </c>
      <c r="O1033" s="9" t="inlineStr">
        <is>
          <t>OFFICIAL_AGGREGATE</t>
        </is>
      </c>
      <c r="P1033" s="10" t="n">
        <v>0</v>
      </c>
      <c r="Q1033" s="8" t="n">
        <v>75</v>
      </c>
      <c r="R1033" s="7" t="inlineStr">
        <is>
          <t>https://www.ande.gov.py/documentos_contables/650/compilacion_estadistica_1998-2018.pdf</t>
        </is>
      </c>
      <c r="S1033" s="6" t="inlineStr">
        <is>
          <t>ANDE-98-18</t>
        </is>
      </c>
      <c r="T1033" s="6" t="inlineStr"/>
      <c r="U1033" s="4" t="inlineStr">
        <is>
          <t>2026-09-11 00:05:00</t>
        </is>
      </c>
      <c r="V1033" s="4" t="inlineStr">
        <is>
          <t>Serie revisada; prioridad sobre compilacion 1983-2006 en años solapados.</t>
        </is>
      </c>
    </row>
    <row r="1034">
      <c r="A1034" s="6" t="inlineStr">
        <is>
          <t>R0001033</t>
        </is>
      </c>
      <c r="B1034" s="6" t="inlineStr">
        <is>
          <t>2014-01-01</t>
        </is>
      </c>
      <c r="C1034" s="6" t="inlineStr">
        <is>
          <t>2014-12-31</t>
        </is>
      </c>
      <c r="D1034" s="6" t="inlineStr">
        <is>
          <t>year</t>
        </is>
      </c>
      <c r="E1034" s="6" t="inlineStr">
        <is>
          <t>ANDE_BILLED_GOV_ENERGY</t>
        </is>
      </c>
      <c r="F1034" s="6" t="inlineStr">
        <is>
          <t>PY_SIN</t>
        </is>
      </c>
      <c r="G1034" s="6" t="inlineStr">
        <is>
          <t>PY</t>
        </is>
      </c>
      <c r="H1034" s="6" t="inlineStr">
        <is>
          <t>PY</t>
        </is>
      </c>
      <c r="I1034" s="8" t="n">
        <v>602124</v>
      </c>
      <c r="J1034" s="6" t="inlineStr">
        <is>
          <t>MWh</t>
        </is>
      </c>
      <c r="K1034" s="8" t="n">
        <v>602124</v>
      </c>
      <c r="L1034" s="6" t="inlineStr">
        <is>
          <t>MWh</t>
        </is>
      </c>
      <c r="M1034" s="6" t="inlineStr">
        <is>
          <t>ANDE</t>
        </is>
      </c>
      <c r="N1034" s="6" t="inlineStr">
        <is>
          <t>OFFICIAL_PRIMARY</t>
        </is>
      </c>
      <c r="O1034" s="9" t="inlineStr">
        <is>
          <t>OFFICIAL_AGGREGATE</t>
        </is>
      </c>
      <c r="P1034" s="10" t="n">
        <v>0</v>
      </c>
      <c r="Q1034" s="8" t="n">
        <v>75</v>
      </c>
      <c r="R1034" s="7" t="inlineStr">
        <is>
          <t>https://www.ande.gov.py/documentos_contables/650/compilacion_estadistica_1998-2018.pdf</t>
        </is>
      </c>
      <c r="S1034" s="6" t="inlineStr">
        <is>
          <t>ANDE-98-18</t>
        </is>
      </c>
      <c r="T1034" s="6" t="inlineStr"/>
      <c r="U1034" s="4" t="inlineStr">
        <is>
          <t>2026-09-11 00:05:00</t>
        </is>
      </c>
      <c r="V1034" s="4" t="inlineStr">
        <is>
          <t>Serie revisada; prioridad sobre compilacion 1983-2006 en años solapados.</t>
        </is>
      </c>
    </row>
    <row r="1035">
      <c r="A1035" s="6" t="inlineStr">
        <is>
          <t>R0001034</t>
        </is>
      </c>
      <c r="B1035" s="6" t="inlineStr">
        <is>
          <t>2015-01-01</t>
        </is>
      </c>
      <c r="C1035" s="6" t="inlineStr">
        <is>
          <t>2015-12-31</t>
        </is>
      </c>
      <c r="D1035" s="6" t="inlineStr">
        <is>
          <t>year</t>
        </is>
      </c>
      <c r="E1035" s="6" t="inlineStr">
        <is>
          <t>ANDE_BILLED_GOV_ENERGY</t>
        </is>
      </c>
      <c r="F1035" s="6" t="inlineStr">
        <is>
          <t>PY_SIN</t>
        </is>
      </c>
      <c r="G1035" s="6" t="inlineStr">
        <is>
          <t>PY</t>
        </is>
      </c>
      <c r="H1035" s="6" t="inlineStr">
        <is>
          <t>PY</t>
        </is>
      </c>
      <c r="I1035" s="8" t="n">
        <v>632737</v>
      </c>
      <c r="J1035" s="6" t="inlineStr">
        <is>
          <t>MWh</t>
        </is>
      </c>
      <c r="K1035" s="8" t="n">
        <v>632737</v>
      </c>
      <c r="L1035" s="6" t="inlineStr">
        <is>
          <t>MWh</t>
        </is>
      </c>
      <c r="M1035" s="6" t="inlineStr">
        <is>
          <t>ANDE</t>
        </is>
      </c>
      <c r="N1035" s="6" t="inlineStr">
        <is>
          <t>OFFICIAL_PRIMARY</t>
        </is>
      </c>
      <c r="O1035" s="9" t="inlineStr">
        <is>
          <t>OFFICIAL_AGGREGATE</t>
        </is>
      </c>
      <c r="P1035" s="10" t="n">
        <v>0</v>
      </c>
      <c r="Q1035" s="8" t="n">
        <v>75</v>
      </c>
      <c r="R1035" s="7" t="inlineStr">
        <is>
          <t>https://www.ande.gov.py/documentos_contables/650/compilacion_estadistica_1998-2018.pdf</t>
        </is>
      </c>
      <c r="S1035" s="6" t="inlineStr">
        <is>
          <t>ANDE-98-18</t>
        </is>
      </c>
      <c r="T1035" s="6" t="inlineStr"/>
      <c r="U1035" s="4" t="inlineStr">
        <is>
          <t>2026-09-11 00:05:00</t>
        </is>
      </c>
      <c r="V1035" s="4" t="inlineStr">
        <is>
          <t>Serie revisada; prioridad sobre compilacion 1983-2006 en años solapados.</t>
        </is>
      </c>
    </row>
    <row r="1036">
      <c r="A1036" s="6" t="inlineStr">
        <is>
          <t>R0001035</t>
        </is>
      </c>
      <c r="B1036" s="6" t="inlineStr">
        <is>
          <t>2016-01-01</t>
        </is>
      </c>
      <c r="C1036" s="6" t="inlineStr">
        <is>
          <t>2016-12-31</t>
        </is>
      </c>
      <c r="D1036" s="6" t="inlineStr">
        <is>
          <t>year</t>
        </is>
      </c>
      <c r="E1036" s="6" t="inlineStr">
        <is>
          <t>ANDE_BILLED_GOV_ENERGY</t>
        </is>
      </c>
      <c r="F1036" s="6" t="inlineStr">
        <is>
          <t>PY_SIN</t>
        </is>
      </c>
      <c r="G1036" s="6" t="inlineStr">
        <is>
          <t>PY</t>
        </is>
      </c>
      <c r="H1036" s="6" t="inlineStr">
        <is>
          <t>PY</t>
        </is>
      </c>
      <c r="I1036" s="8" t="n">
        <v>643475</v>
      </c>
      <c r="J1036" s="6" t="inlineStr">
        <is>
          <t>MWh</t>
        </is>
      </c>
      <c r="K1036" s="8" t="n">
        <v>643475</v>
      </c>
      <c r="L1036" s="6" t="inlineStr">
        <is>
          <t>MWh</t>
        </is>
      </c>
      <c r="M1036" s="6" t="inlineStr">
        <is>
          <t>ANDE</t>
        </is>
      </c>
      <c r="N1036" s="6" t="inlineStr">
        <is>
          <t>OFFICIAL_PRIMARY</t>
        </is>
      </c>
      <c r="O1036" s="9" t="inlineStr">
        <is>
          <t>OFFICIAL_AGGREGATE</t>
        </is>
      </c>
      <c r="P1036" s="10" t="n">
        <v>0</v>
      </c>
      <c r="Q1036" s="8" t="n">
        <v>75</v>
      </c>
      <c r="R1036" s="7" t="inlineStr">
        <is>
          <t>https://www.ande.gov.py/documentos_contables/650/compilacion_estadistica_1998-2018.pdf</t>
        </is>
      </c>
      <c r="S1036" s="6" t="inlineStr">
        <is>
          <t>ANDE-98-18</t>
        </is>
      </c>
      <c r="T1036" s="6" t="inlineStr"/>
      <c r="U1036" s="4" t="inlineStr">
        <is>
          <t>2026-09-11 00:05:00</t>
        </is>
      </c>
      <c r="V1036" s="4" t="inlineStr">
        <is>
          <t>Serie revisada; prioridad sobre compilacion 1983-2006 en años solapados.</t>
        </is>
      </c>
    </row>
    <row r="1037">
      <c r="A1037" s="6" t="inlineStr">
        <is>
          <t>R0001036</t>
        </is>
      </c>
      <c r="B1037" s="6" t="inlineStr">
        <is>
          <t>2017-01-01</t>
        </is>
      </c>
      <c r="C1037" s="6" t="inlineStr">
        <is>
          <t>2017-12-31</t>
        </is>
      </c>
      <c r="D1037" s="6" t="inlineStr">
        <is>
          <t>year</t>
        </is>
      </c>
      <c r="E1037" s="6" t="inlineStr">
        <is>
          <t>ANDE_BILLED_GOV_ENERGY</t>
        </is>
      </c>
      <c r="F1037" s="6" t="inlineStr">
        <is>
          <t>PY_SIN</t>
        </is>
      </c>
      <c r="G1037" s="6" t="inlineStr">
        <is>
          <t>PY</t>
        </is>
      </c>
      <c r="H1037" s="6" t="inlineStr">
        <is>
          <t>PY</t>
        </is>
      </c>
      <c r="I1037" s="8" t="n">
        <v>457253</v>
      </c>
      <c r="J1037" s="6" t="inlineStr">
        <is>
          <t>MWh</t>
        </is>
      </c>
      <c r="K1037" s="8" t="n">
        <v>457253</v>
      </c>
      <c r="L1037" s="6" t="inlineStr">
        <is>
          <t>MWh</t>
        </is>
      </c>
      <c r="M1037" s="6" t="inlineStr">
        <is>
          <t>ANDE</t>
        </is>
      </c>
      <c r="N1037" s="6" t="inlineStr">
        <is>
          <t>OFFICIAL_PRIMARY</t>
        </is>
      </c>
      <c r="O1037" s="9" t="inlineStr">
        <is>
          <t>OFFICIAL_AGGREGATE</t>
        </is>
      </c>
      <c r="P1037" s="10" t="n">
        <v>0</v>
      </c>
      <c r="Q1037" s="8" t="n">
        <v>75</v>
      </c>
      <c r="R1037" s="7" t="inlineStr">
        <is>
          <t>https://www.ande.gov.py/documentos_contables/650/compilacion_estadistica_1998-2018.pdf</t>
        </is>
      </c>
      <c r="S1037" s="6" t="inlineStr">
        <is>
          <t>ANDE-98-18</t>
        </is>
      </c>
      <c r="T1037" s="6" t="inlineStr"/>
      <c r="U1037" s="4" t="inlineStr">
        <is>
          <t>2026-09-11 00:05:00</t>
        </is>
      </c>
      <c r="V1037" s="4" t="inlineStr">
        <is>
          <t>Serie revisada; prioridad sobre compilacion 1983-2006 en años solapados.</t>
        </is>
      </c>
    </row>
    <row r="1038">
      <c r="A1038" s="6" t="inlineStr">
        <is>
          <t>R0001037</t>
        </is>
      </c>
      <c r="B1038" s="6" t="inlineStr">
        <is>
          <t>2018-01-01</t>
        </is>
      </c>
      <c r="C1038" s="6" t="inlineStr">
        <is>
          <t>2018-12-31</t>
        </is>
      </c>
      <c r="D1038" s="6" t="inlineStr">
        <is>
          <t>year</t>
        </is>
      </c>
      <c r="E1038" s="6" t="inlineStr">
        <is>
          <t>ANDE_BILLED_GOV_ENERGY</t>
        </is>
      </c>
      <c r="F1038" s="6" t="inlineStr">
        <is>
          <t>PY_SIN</t>
        </is>
      </c>
      <c r="G1038" s="6" t="inlineStr">
        <is>
          <t>PY</t>
        </is>
      </c>
      <c r="H1038" s="6" t="inlineStr">
        <is>
          <t>PY</t>
        </is>
      </c>
      <c r="I1038" s="8" t="n">
        <v>401080</v>
      </c>
      <c r="J1038" s="6" t="inlineStr">
        <is>
          <t>MWh</t>
        </is>
      </c>
      <c r="K1038" s="8" t="n">
        <v>401080</v>
      </c>
      <c r="L1038" s="6" t="inlineStr">
        <is>
          <t>MWh</t>
        </is>
      </c>
      <c r="M1038" s="6" t="inlineStr">
        <is>
          <t>ANDE</t>
        </is>
      </c>
      <c r="N1038" s="6" t="inlineStr">
        <is>
          <t>OFFICIAL_PRIMARY</t>
        </is>
      </c>
      <c r="O1038" s="9" t="inlineStr">
        <is>
          <t>OFFICIAL_AGGREGATE</t>
        </is>
      </c>
      <c r="P1038" s="10" t="n">
        <v>0</v>
      </c>
      <c r="Q1038" s="8" t="n">
        <v>75</v>
      </c>
      <c r="R1038" s="7" t="inlineStr">
        <is>
          <t>https://www.ande.gov.py/documentos_contables/650/compilacion_estadistica_1998-2018.pdf</t>
        </is>
      </c>
      <c r="S1038" s="6" t="inlineStr">
        <is>
          <t>ANDE-98-18</t>
        </is>
      </c>
      <c r="T1038" s="6" t="inlineStr"/>
      <c r="U1038" s="4" t="inlineStr">
        <is>
          <t>2026-09-11 00:05:00</t>
        </is>
      </c>
      <c r="V1038" s="4" t="inlineStr">
        <is>
          <t>Serie revisada; prioridad sobre compilacion 1983-2006 en años solapados.</t>
        </is>
      </c>
    </row>
    <row r="1039">
      <c r="A1039" s="6" t="inlineStr">
        <is>
          <t>R0001038</t>
        </is>
      </c>
      <c r="B1039" s="6" t="inlineStr">
        <is>
          <t>1998-01-01</t>
        </is>
      </c>
      <c r="C1039" s="6" t="inlineStr">
        <is>
          <t>1998-12-31</t>
        </is>
      </c>
      <c r="D1039" s="6" t="inlineStr">
        <is>
          <t>year</t>
        </is>
      </c>
      <c r="E1039" s="6" t="inlineStr">
        <is>
          <t>ANDE_BILLED_PUBLIC_LIGHT_ENERGY</t>
        </is>
      </c>
      <c r="F1039" s="6" t="inlineStr">
        <is>
          <t>PY_SIN</t>
        </is>
      </c>
      <c r="G1039" s="6" t="inlineStr">
        <is>
          <t>PY</t>
        </is>
      </c>
      <c r="H1039" s="6" t="inlineStr">
        <is>
          <t>PY</t>
        </is>
      </c>
      <c r="I1039" s="8" t="n">
        <v>106671</v>
      </c>
      <c r="J1039" s="6" t="inlineStr">
        <is>
          <t>MWh</t>
        </is>
      </c>
      <c r="K1039" s="8" t="n">
        <v>106671</v>
      </c>
      <c r="L1039" s="6" t="inlineStr">
        <is>
          <t>MWh</t>
        </is>
      </c>
      <c r="M1039" s="6" t="inlineStr">
        <is>
          <t>ANDE</t>
        </is>
      </c>
      <c r="N1039" s="6" t="inlineStr">
        <is>
          <t>OFFICIAL_PRIMARY</t>
        </is>
      </c>
      <c r="O1039" s="9" t="inlineStr">
        <is>
          <t>OFFICIAL_AGGREGATE</t>
        </is>
      </c>
      <c r="P1039" s="8" t="n">
        <v>1</v>
      </c>
      <c r="Q1039" s="8" t="n">
        <v>75</v>
      </c>
      <c r="R1039" s="7" t="inlineStr">
        <is>
          <t>https://www.ande.gov.py/documentos_contables/650/compilacion_estadistica_1998-2018.pdf</t>
        </is>
      </c>
      <c r="S1039" s="6" t="inlineStr">
        <is>
          <t>ANDE-98-18</t>
        </is>
      </c>
      <c r="T1039" s="6" t="inlineStr"/>
      <c r="U1039" s="4" t="inlineStr">
        <is>
          <t>2026-09-11 00:05:00</t>
        </is>
      </c>
      <c r="V1039" s="4" t="inlineStr">
        <is>
          <t>Serie revisada; prioridad sobre compilacion 1983-2006 en años solapados.</t>
        </is>
      </c>
    </row>
    <row r="1040">
      <c r="A1040" s="6" t="inlineStr">
        <is>
          <t>R0001039</t>
        </is>
      </c>
      <c r="B1040" s="6" t="inlineStr">
        <is>
          <t>1999-01-01</t>
        </is>
      </c>
      <c r="C1040" s="6" t="inlineStr">
        <is>
          <t>1999-12-31</t>
        </is>
      </c>
      <c r="D1040" s="6" t="inlineStr">
        <is>
          <t>year</t>
        </is>
      </c>
      <c r="E1040" s="6" t="inlineStr">
        <is>
          <t>ANDE_BILLED_PUBLIC_LIGHT_ENERGY</t>
        </is>
      </c>
      <c r="F1040" s="6" t="inlineStr">
        <is>
          <t>PY_SIN</t>
        </is>
      </c>
      <c r="G1040" s="6" t="inlineStr">
        <is>
          <t>PY</t>
        </is>
      </c>
      <c r="H1040" s="6" t="inlineStr">
        <is>
          <t>PY</t>
        </is>
      </c>
      <c r="I1040" s="8" t="n">
        <v>114347</v>
      </c>
      <c r="J1040" s="6" t="inlineStr">
        <is>
          <t>MWh</t>
        </is>
      </c>
      <c r="K1040" s="8" t="n">
        <v>114347</v>
      </c>
      <c r="L1040" s="6" t="inlineStr">
        <is>
          <t>MWh</t>
        </is>
      </c>
      <c r="M1040" s="6" t="inlineStr">
        <is>
          <t>ANDE</t>
        </is>
      </c>
      <c r="N1040" s="6" t="inlineStr">
        <is>
          <t>OFFICIAL_PRIMARY</t>
        </is>
      </c>
      <c r="O1040" s="9" t="inlineStr">
        <is>
          <t>OFFICIAL_AGGREGATE</t>
        </is>
      </c>
      <c r="P1040" s="8" t="n">
        <v>1</v>
      </c>
      <c r="Q1040" s="8" t="n">
        <v>75</v>
      </c>
      <c r="R1040" s="7" t="inlineStr">
        <is>
          <t>https://www.ande.gov.py/documentos_contables/650/compilacion_estadistica_1998-2018.pdf</t>
        </is>
      </c>
      <c r="S1040" s="6" t="inlineStr">
        <is>
          <t>ANDE-98-18</t>
        </is>
      </c>
      <c r="T1040" s="6" t="inlineStr"/>
      <c r="U1040" s="4" t="inlineStr">
        <is>
          <t>2026-09-11 00:05:00</t>
        </is>
      </c>
      <c r="V1040" s="4" t="inlineStr">
        <is>
          <t>Serie revisada; prioridad sobre compilacion 1983-2006 en años solapados.</t>
        </is>
      </c>
    </row>
    <row r="1041">
      <c r="A1041" s="6" t="inlineStr">
        <is>
          <t>R0001040</t>
        </is>
      </c>
      <c r="B1041" s="6" t="inlineStr">
        <is>
          <t>2000-01-01</t>
        </is>
      </c>
      <c r="C1041" s="6" t="inlineStr">
        <is>
          <t>2000-12-31</t>
        </is>
      </c>
      <c r="D1041" s="6" t="inlineStr">
        <is>
          <t>year</t>
        </is>
      </c>
      <c r="E1041" s="6" t="inlineStr">
        <is>
          <t>ANDE_BILLED_PUBLIC_LIGHT_ENERGY</t>
        </is>
      </c>
      <c r="F1041" s="6" t="inlineStr">
        <is>
          <t>PY_SIN</t>
        </is>
      </c>
      <c r="G1041" s="6" t="inlineStr">
        <is>
          <t>PY</t>
        </is>
      </c>
      <c r="H1041" s="6" t="inlineStr">
        <is>
          <t>PY</t>
        </is>
      </c>
      <c r="I1041" s="8" t="n">
        <v>117308</v>
      </c>
      <c r="J1041" s="6" t="inlineStr">
        <is>
          <t>MWh</t>
        </is>
      </c>
      <c r="K1041" s="8" t="n">
        <v>117308</v>
      </c>
      <c r="L1041" s="6" t="inlineStr">
        <is>
          <t>MWh</t>
        </is>
      </c>
      <c r="M1041" s="6" t="inlineStr">
        <is>
          <t>ANDE</t>
        </is>
      </c>
      <c r="N1041" s="6" t="inlineStr">
        <is>
          <t>OFFICIAL_PRIMARY</t>
        </is>
      </c>
      <c r="O1041" s="9" t="inlineStr">
        <is>
          <t>OFFICIAL_AGGREGATE</t>
        </is>
      </c>
      <c r="P1041" s="8" t="n">
        <v>1</v>
      </c>
      <c r="Q1041" s="8" t="n">
        <v>75</v>
      </c>
      <c r="R1041" s="7" t="inlineStr">
        <is>
          <t>https://www.ande.gov.py/documentos_contables/650/compilacion_estadistica_1998-2018.pdf</t>
        </is>
      </c>
      <c r="S1041" s="6" t="inlineStr">
        <is>
          <t>ANDE-98-18</t>
        </is>
      </c>
      <c r="T1041" s="6" t="inlineStr"/>
      <c r="U1041" s="4" t="inlineStr">
        <is>
          <t>2026-09-11 00:05:00</t>
        </is>
      </c>
      <c r="V1041" s="4" t="inlineStr">
        <is>
          <t>Serie revisada; prioridad sobre compilacion 1983-2006 en años solapados.</t>
        </is>
      </c>
    </row>
    <row r="1042">
      <c r="A1042" s="6" t="inlineStr">
        <is>
          <t>R0001041</t>
        </is>
      </c>
      <c r="B1042" s="6" t="inlineStr">
        <is>
          <t>2001-01-01</t>
        </is>
      </c>
      <c r="C1042" s="6" t="inlineStr">
        <is>
          <t>2001-12-31</t>
        </is>
      </c>
      <c r="D1042" s="6" t="inlineStr">
        <is>
          <t>year</t>
        </is>
      </c>
      <c r="E1042" s="6" t="inlineStr">
        <is>
          <t>ANDE_BILLED_PUBLIC_LIGHT_ENERGY</t>
        </is>
      </c>
      <c r="F1042" s="6" t="inlineStr">
        <is>
          <t>PY_SIN</t>
        </is>
      </c>
      <c r="G1042" s="6" t="inlineStr">
        <is>
          <t>PY</t>
        </is>
      </c>
      <c r="H1042" s="6" t="inlineStr">
        <is>
          <t>PY</t>
        </is>
      </c>
      <c r="I1042" s="8" t="n">
        <v>123696</v>
      </c>
      <c r="J1042" s="6" t="inlineStr">
        <is>
          <t>MWh</t>
        </is>
      </c>
      <c r="K1042" s="8" t="n">
        <v>123696</v>
      </c>
      <c r="L1042" s="6" t="inlineStr">
        <is>
          <t>MWh</t>
        </is>
      </c>
      <c r="M1042" s="6" t="inlineStr">
        <is>
          <t>ANDE</t>
        </is>
      </c>
      <c r="N1042" s="6" t="inlineStr">
        <is>
          <t>OFFICIAL_PRIMARY</t>
        </is>
      </c>
      <c r="O1042" s="9" t="inlineStr">
        <is>
          <t>OFFICIAL_AGGREGATE</t>
        </is>
      </c>
      <c r="P1042" s="8" t="n">
        <v>1</v>
      </c>
      <c r="Q1042" s="8" t="n">
        <v>75</v>
      </c>
      <c r="R1042" s="7" t="inlineStr">
        <is>
          <t>https://www.ande.gov.py/documentos_contables/650/compilacion_estadistica_1998-2018.pdf</t>
        </is>
      </c>
      <c r="S1042" s="6" t="inlineStr">
        <is>
          <t>ANDE-98-18</t>
        </is>
      </c>
      <c r="T1042" s="6" t="inlineStr"/>
      <c r="U1042" s="4" t="inlineStr">
        <is>
          <t>2026-09-11 00:05:00</t>
        </is>
      </c>
      <c r="V1042" s="4" t="inlineStr">
        <is>
          <t>Serie revisada; prioridad sobre compilacion 1983-2006 en años solapados.</t>
        </is>
      </c>
    </row>
    <row r="1043">
      <c r="A1043" s="6" t="inlineStr">
        <is>
          <t>R0001042</t>
        </is>
      </c>
      <c r="B1043" s="6" t="inlineStr">
        <is>
          <t>2002-01-01</t>
        </is>
      </c>
      <c r="C1043" s="6" t="inlineStr">
        <is>
          <t>2002-12-31</t>
        </is>
      </c>
      <c r="D1043" s="6" t="inlineStr">
        <is>
          <t>year</t>
        </is>
      </c>
      <c r="E1043" s="6" t="inlineStr">
        <is>
          <t>ANDE_BILLED_PUBLIC_LIGHT_ENERGY</t>
        </is>
      </c>
      <c r="F1043" s="6" t="inlineStr">
        <is>
          <t>PY_SIN</t>
        </is>
      </c>
      <c r="G1043" s="6" t="inlineStr">
        <is>
          <t>PY</t>
        </is>
      </c>
      <c r="H1043" s="6" t="inlineStr">
        <is>
          <t>PY</t>
        </is>
      </c>
      <c r="I1043" s="8" t="n">
        <v>126652</v>
      </c>
      <c r="J1043" s="6" t="inlineStr">
        <is>
          <t>MWh</t>
        </is>
      </c>
      <c r="K1043" s="8" t="n">
        <v>126652</v>
      </c>
      <c r="L1043" s="6" t="inlineStr">
        <is>
          <t>MWh</t>
        </is>
      </c>
      <c r="M1043" s="6" t="inlineStr">
        <is>
          <t>ANDE</t>
        </is>
      </c>
      <c r="N1043" s="6" t="inlineStr">
        <is>
          <t>OFFICIAL_PRIMARY</t>
        </is>
      </c>
      <c r="O1043" s="9" t="inlineStr">
        <is>
          <t>OFFICIAL_AGGREGATE</t>
        </is>
      </c>
      <c r="P1043" s="8" t="n">
        <v>1</v>
      </c>
      <c r="Q1043" s="8" t="n">
        <v>75</v>
      </c>
      <c r="R1043" s="7" t="inlineStr">
        <is>
          <t>https://www.ande.gov.py/documentos_contables/650/compilacion_estadistica_1998-2018.pdf</t>
        </is>
      </c>
      <c r="S1043" s="6" t="inlineStr">
        <is>
          <t>ANDE-98-18</t>
        </is>
      </c>
      <c r="T1043" s="6" t="inlineStr"/>
      <c r="U1043" s="4" t="inlineStr">
        <is>
          <t>2026-09-11 00:05:00</t>
        </is>
      </c>
      <c r="V1043" s="4" t="inlineStr">
        <is>
          <t>Serie revisada; prioridad sobre compilacion 1983-2006 en años solapados.</t>
        </is>
      </c>
    </row>
    <row r="1044">
      <c r="A1044" s="6" t="inlineStr">
        <is>
          <t>R0001043</t>
        </is>
      </c>
      <c r="B1044" s="6" t="inlineStr">
        <is>
          <t>2003-01-01</t>
        </is>
      </c>
      <c r="C1044" s="6" t="inlineStr">
        <is>
          <t>2003-12-31</t>
        </is>
      </c>
      <c r="D1044" s="6" t="inlineStr">
        <is>
          <t>year</t>
        </is>
      </c>
      <c r="E1044" s="6" t="inlineStr">
        <is>
          <t>ANDE_BILLED_PUBLIC_LIGHT_ENERGY</t>
        </is>
      </c>
      <c r="F1044" s="6" t="inlineStr">
        <is>
          <t>PY_SIN</t>
        </is>
      </c>
      <c r="G1044" s="6" t="inlineStr">
        <is>
          <t>PY</t>
        </is>
      </c>
      <c r="H1044" s="6" t="inlineStr">
        <is>
          <t>PY</t>
        </is>
      </c>
      <c r="I1044" s="8" t="n">
        <v>129070</v>
      </c>
      <c r="J1044" s="6" t="inlineStr">
        <is>
          <t>MWh</t>
        </is>
      </c>
      <c r="K1044" s="8" t="n">
        <v>129070</v>
      </c>
      <c r="L1044" s="6" t="inlineStr">
        <is>
          <t>MWh</t>
        </is>
      </c>
      <c r="M1044" s="6" t="inlineStr">
        <is>
          <t>ANDE</t>
        </is>
      </c>
      <c r="N1044" s="6" t="inlineStr">
        <is>
          <t>OFFICIAL_PRIMARY</t>
        </is>
      </c>
      <c r="O1044" s="9" t="inlineStr">
        <is>
          <t>OFFICIAL_AGGREGATE</t>
        </is>
      </c>
      <c r="P1044" s="10" t="n">
        <v>0</v>
      </c>
      <c r="Q1044" s="8" t="n">
        <v>75</v>
      </c>
      <c r="R1044" s="7" t="inlineStr">
        <is>
          <t>https://www.ande.gov.py/documentos_contables/650/compilacion_estadistica_1998-2018.pdf</t>
        </is>
      </c>
      <c r="S1044" s="6" t="inlineStr">
        <is>
          <t>ANDE-98-18</t>
        </is>
      </c>
      <c r="T1044" s="6" t="inlineStr"/>
      <c r="U1044" s="4" t="inlineStr">
        <is>
          <t>2026-09-11 00:05:00</t>
        </is>
      </c>
      <c r="V1044" s="4" t="inlineStr">
        <is>
          <t>Serie revisada; prioridad sobre compilacion 1983-2006 en años solapados.</t>
        </is>
      </c>
    </row>
    <row r="1045">
      <c r="A1045" s="6" t="inlineStr">
        <is>
          <t>R0001044</t>
        </is>
      </c>
      <c r="B1045" s="6" t="inlineStr">
        <is>
          <t>2004-01-01</t>
        </is>
      </c>
      <c r="C1045" s="6" t="inlineStr">
        <is>
          <t>2004-12-31</t>
        </is>
      </c>
      <c r="D1045" s="6" t="inlineStr">
        <is>
          <t>year</t>
        </is>
      </c>
      <c r="E1045" s="6" t="inlineStr">
        <is>
          <t>ANDE_BILLED_PUBLIC_LIGHT_ENERGY</t>
        </is>
      </c>
      <c r="F1045" s="6" t="inlineStr">
        <is>
          <t>PY_SIN</t>
        </is>
      </c>
      <c r="G1045" s="6" t="inlineStr">
        <is>
          <t>PY</t>
        </is>
      </c>
      <c r="H1045" s="6" t="inlineStr">
        <is>
          <t>PY</t>
        </is>
      </c>
      <c r="I1045" s="8" t="n">
        <v>131511</v>
      </c>
      <c r="J1045" s="6" t="inlineStr">
        <is>
          <t>MWh</t>
        </is>
      </c>
      <c r="K1045" s="8" t="n">
        <v>131511</v>
      </c>
      <c r="L1045" s="6" t="inlineStr">
        <is>
          <t>MWh</t>
        </is>
      </c>
      <c r="M1045" s="6" t="inlineStr">
        <is>
          <t>ANDE</t>
        </is>
      </c>
      <c r="N1045" s="6" t="inlineStr">
        <is>
          <t>OFFICIAL_PRIMARY</t>
        </is>
      </c>
      <c r="O1045" s="9" t="inlineStr">
        <is>
          <t>OFFICIAL_AGGREGATE</t>
        </is>
      </c>
      <c r="P1045" s="10" t="n">
        <v>0</v>
      </c>
      <c r="Q1045" s="8" t="n">
        <v>75</v>
      </c>
      <c r="R1045" s="7" t="inlineStr">
        <is>
          <t>https://www.ande.gov.py/documentos_contables/650/compilacion_estadistica_1998-2018.pdf</t>
        </is>
      </c>
      <c r="S1045" s="6" t="inlineStr">
        <is>
          <t>ANDE-98-18</t>
        </is>
      </c>
      <c r="T1045" s="6" t="inlineStr"/>
      <c r="U1045" s="4" t="inlineStr">
        <is>
          <t>2026-09-11 00:05:00</t>
        </is>
      </c>
      <c r="V1045" s="4" t="inlineStr">
        <is>
          <t>Serie revisada; prioridad sobre compilacion 1983-2006 en años solapados.</t>
        </is>
      </c>
    </row>
    <row r="1046">
      <c r="A1046" s="6" t="inlineStr">
        <is>
          <t>R0001045</t>
        </is>
      </c>
      <c r="B1046" s="6" t="inlineStr">
        <is>
          <t>2005-01-01</t>
        </is>
      </c>
      <c r="C1046" s="6" t="inlineStr">
        <is>
          <t>2005-12-31</t>
        </is>
      </c>
      <c r="D1046" s="6" t="inlineStr">
        <is>
          <t>year</t>
        </is>
      </c>
      <c r="E1046" s="6" t="inlineStr">
        <is>
          <t>ANDE_BILLED_PUBLIC_LIGHT_ENERGY</t>
        </is>
      </c>
      <c r="F1046" s="6" t="inlineStr">
        <is>
          <t>PY_SIN</t>
        </is>
      </c>
      <c r="G1046" s="6" t="inlineStr">
        <is>
          <t>PY</t>
        </is>
      </c>
      <c r="H1046" s="6" t="inlineStr">
        <is>
          <t>PY</t>
        </is>
      </c>
      <c r="I1046" s="8" t="n">
        <v>137299</v>
      </c>
      <c r="J1046" s="6" t="inlineStr">
        <is>
          <t>MWh</t>
        </is>
      </c>
      <c r="K1046" s="8" t="n">
        <v>137299</v>
      </c>
      <c r="L1046" s="6" t="inlineStr">
        <is>
          <t>MWh</t>
        </is>
      </c>
      <c r="M1046" s="6" t="inlineStr">
        <is>
          <t>ANDE</t>
        </is>
      </c>
      <c r="N1046" s="6" t="inlineStr">
        <is>
          <t>OFFICIAL_PRIMARY</t>
        </is>
      </c>
      <c r="O1046" s="9" t="inlineStr">
        <is>
          <t>OFFICIAL_AGGREGATE</t>
        </is>
      </c>
      <c r="P1046" s="10" t="n">
        <v>0</v>
      </c>
      <c r="Q1046" s="8" t="n">
        <v>75</v>
      </c>
      <c r="R1046" s="7" t="inlineStr">
        <is>
          <t>https://www.ande.gov.py/documentos_contables/650/compilacion_estadistica_1998-2018.pdf</t>
        </is>
      </c>
      <c r="S1046" s="6" t="inlineStr">
        <is>
          <t>ANDE-98-18</t>
        </is>
      </c>
      <c r="T1046" s="6" t="inlineStr"/>
      <c r="U1046" s="4" t="inlineStr">
        <is>
          <t>2026-09-11 00:05:00</t>
        </is>
      </c>
      <c r="V1046" s="4" t="inlineStr">
        <is>
          <t>Serie revisada; prioridad sobre compilacion 1983-2006 en años solapados.</t>
        </is>
      </c>
    </row>
    <row r="1047">
      <c r="A1047" s="6" t="inlineStr">
        <is>
          <t>R0001046</t>
        </is>
      </c>
      <c r="B1047" s="6" t="inlineStr">
        <is>
          <t>2006-01-01</t>
        </is>
      </c>
      <c r="C1047" s="6" t="inlineStr">
        <is>
          <t>2006-12-31</t>
        </is>
      </c>
      <c r="D1047" s="6" t="inlineStr">
        <is>
          <t>year</t>
        </is>
      </c>
      <c r="E1047" s="6" t="inlineStr">
        <is>
          <t>ANDE_BILLED_PUBLIC_LIGHT_ENERGY</t>
        </is>
      </c>
      <c r="F1047" s="6" t="inlineStr">
        <is>
          <t>PY_SIN</t>
        </is>
      </c>
      <c r="G1047" s="6" t="inlineStr">
        <is>
          <t>PY</t>
        </is>
      </c>
      <c r="H1047" s="6" t="inlineStr">
        <is>
          <t>PY</t>
        </is>
      </c>
      <c r="I1047" s="8" t="n">
        <v>138955</v>
      </c>
      <c r="J1047" s="6" t="inlineStr">
        <is>
          <t>MWh</t>
        </is>
      </c>
      <c r="K1047" s="8" t="n">
        <v>138955</v>
      </c>
      <c r="L1047" s="6" t="inlineStr">
        <is>
          <t>MWh</t>
        </is>
      </c>
      <c r="M1047" s="6" t="inlineStr">
        <is>
          <t>ANDE</t>
        </is>
      </c>
      <c r="N1047" s="6" t="inlineStr">
        <is>
          <t>OFFICIAL_PRIMARY</t>
        </is>
      </c>
      <c r="O1047" s="9" t="inlineStr">
        <is>
          <t>OFFICIAL_AGGREGATE</t>
        </is>
      </c>
      <c r="P1047" s="10" t="n">
        <v>0</v>
      </c>
      <c r="Q1047" s="8" t="n">
        <v>75</v>
      </c>
      <c r="R1047" s="7" t="inlineStr">
        <is>
          <t>https://www.ande.gov.py/documentos_contables/650/compilacion_estadistica_1998-2018.pdf</t>
        </is>
      </c>
      <c r="S1047" s="6" t="inlineStr">
        <is>
          <t>ANDE-98-18</t>
        </is>
      </c>
      <c r="T1047" s="6" t="inlineStr"/>
      <c r="U1047" s="4" t="inlineStr">
        <is>
          <t>2026-09-11 00:05:00</t>
        </is>
      </c>
      <c r="V1047" s="4" t="inlineStr">
        <is>
          <t>Serie revisada; prioridad sobre compilacion 1983-2006 en años solapados.</t>
        </is>
      </c>
    </row>
    <row r="1048">
      <c r="A1048" s="6" t="inlineStr">
        <is>
          <t>R0001047</t>
        </is>
      </c>
      <c r="B1048" s="6" t="inlineStr">
        <is>
          <t>2007-01-01</t>
        </is>
      </c>
      <c r="C1048" s="6" t="inlineStr">
        <is>
          <t>2007-12-31</t>
        </is>
      </c>
      <c r="D1048" s="6" t="inlineStr">
        <is>
          <t>year</t>
        </is>
      </c>
      <c r="E1048" s="6" t="inlineStr">
        <is>
          <t>ANDE_BILLED_PUBLIC_LIGHT_ENERGY</t>
        </is>
      </c>
      <c r="F1048" s="6" t="inlineStr">
        <is>
          <t>PY_SIN</t>
        </is>
      </c>
      <c r="G1048" s="6" t="inlineStr">
        <is>
          <t>PY</t>
        </is>
      </c>
      <c r="H1048" s="6" t="inlineStr">
        <is>
          <t>PY</t>
        </is>
      </c>
      <c r="I1048" s="8" t="n">
        <v>141893</v>
      </c>
      <c r="J1048" s="6" t="inlineStr">
        <is>
          <t>MWh</t>
        </is>
      </c>
      <c r="K1048" s="8" t="n">
        <v>141893</v>
      </c>
      <c r="L1048" s="6" t="inlineStr">
        <is>
          <t>MWh</t>
        </is>
      </c>
      <c r="M1048" s="6" t="inlineStr">
        <is>
          <t>ANDE</t>
        </is>
      </c>
      <c r="N1048" s="6" t="inlineStr">
        <is>
          <t>OFFICIAL_PRIMARY</t>
        </is>
      </c>
      <c r="O1048" s="9" t="inlineStr">
        <is>
          <t>OFFICIAL_AGGREGATE</t>
        </is>
      </c>
      <c r="P1048" s="10" t="n">
        <v>0</v>
      </c>
      <c r="Q1048" s="8" t="n">
        <v>75</v>
      </c>
      <c r="R1048" s="7" t="inlineStr">
        <is>
          <t>https://www.ande.gov.py/documentos_contables/650/compilacion_estadistica_1998-2018.pdf</t>
        </is>
      </c>
      <c r="S1048" s="6" t="inlineStr">
        <is>
          <t>ANDE-98-18</t>
        </is>
      </c>
      <c r="T1048" s="6" t="inlineStr"/>
      <c r="U1048" s="4" t="inlineStr">
        <is>
          <t>2026-09-11 00:05:00</t>
        </is>
      </c>
      <c r="V1048" s="4" t="inlineStr">
        <is>
          <t>Serie revisada; prioridad sobre compilacion 1983-2006 en años solapados.</t>
        </is>
      </c>
    </row>
    <row r="1049">
      <c r="A1049" s="6" t="inlineStr">
        <is>
          <t>R0001048</t>
        </is>
      </c>
      <c r="B1049" s="6" t="inlineStr">
        <is>
          <t>2008-01-01</t>
        </is>
      </c>
      <c r="C1049" s="6" t="inlineStr">
        <is>
          <t>2008-12-31</t>
        </is>
      </c>
      <c r="D1049" s="6" t="inlineStr">
        <is>
          <t>year</t>
        </is>
      </c>
      <c r="E1049" s="6" t="inlineStr">
        <is>
          <t>ANDE_BILLED_PUBLIC_LIGHT_ENERGY</t>
        </is>
      </c>
      <c r="F1049" s="6" t="inlineStr">
        <is>
          <t>PY_SIN</t>
        </is>
      </c>
      <c r="G1049" s="6" t="inlineStr">
        <is>
          <t>PY</t>
        </is>
      </c>
      <c r="H1049" s="6" t="inlineStr">
        <is>
          <t>PY</t>
        </is>
      </c>
      <c r="I1049" s="8" t="n">
        <v>149672</v>
      </c>
      <c r="J1049" s="6" t="inlineStr">
        <is>
          <t>MWh</t>
        </is>
      </c>
      <c r="K1049" s="8" t="n">
        <v>149672</v>
      </c>
      <c r="L1049" s="6" t="inlineStr">
        <is>
          <t>MWh</t>
        </is>
      </c>
      <c r="M1049" s="6" t="inlineStr">
        <is>
          <t>ANDE</t>
        </is>
      </c>
      <c r="N1049" s="6" t="inlineStr">
        <is>
          <t>OFFICIAL_PRIMARY</t>
        </is>
      </c>
      <c r="O1049" s="9" t="inlineStr">
        <is>
          <t>OFFICIAL_AGGREGATE</t>
        </is>
      </c>
      <c r="P1049" s="10" t="n">
        <v>0</v>
      </c>
      <c r="Q1049" s="8" t="n">
        <v>75</v>
      </c>
      <c r="R1049" s="7" t="inlineStr">
        <is>
          <t>https://www.ande.gov.py/documentos_contables/650/compilacion_estadistica_1998-2018.pdf</t>
        </is>
      </c>
      <c r="S1049" s="6" t="inlineStr">
        <is>
          <t>ANDE-98-18</t>
        </is>
      </c>
      <c r="T1049" s="6" t="inlineStr"/>
      <c r="U1049" s="4" t="inlineStr">
        <is>
          <t>2026-09-11 00:05:00</t>
        </is>
      </c>
      <c r="V1049" s="4" t="inlineStr">
        <is>
          <t>Serie revisada; prioridad sobre compilacion 1983-2006 en años solapados.</t>
        </is>
      </c>
    </row>
    <row r="1050">
      <c r="A1050" s="6" t="inlineStr">
        <is>
          <t>R0001049</t>
        </is>
      </c>
      <c r="B1050" s="6" t="inlineStr">
        <is>
          <t>2009-01-01</t>
        </is>
      </c>
      <c r="C1050" s="6" t="inlineStr">
        <is>
          <t>2009-12-31</t>
        </is>
      </c>
      <c r="D1050" s="6" t="inlineStr">
        <is>
          <t>year</t>
        </is>
      </c>
      <c r="E1050" s="6" t="inlineStr">
        <is>
          <t>ANDE_BILLED_PUBLIC_LIGHT_ENERGY</t>
        </is>
      </c>
      <c r="F1050" s="6" t="inlineStr">
        <is>
          <t>PY_SIN</t>
        </is>
      </c>
      <c r="G1050" s="6" t="inlineStr">
        <is>
          <t>PY</t>
        </is>
      </c>
      <c r="H1050" s="6" t="inlineStr">
        <is>
          <t>PY</t>
        </is>
      </c>
      <c r="I1050" s="8" t="n">
        <v>164776</v>
      </c>
      <c r="J1050" s="6" t="inlineStr">
        <is>
          <t>MWh</t>
        </is>
      </c>
      <c r="K1050" s="8" t="n">
        <v>164776</v>
      </c>
      <c r="L1050" s="6" t="inlineStr">
        <is>
          <t>MWh</t>
        </is>
      </c>
      <c r="M1050" s="6" t="inlineStr">
        <is>
          <t>ANDE</t>
        </is>
      </c>
      <c r="N1050" s="6" t="inlineStr">
        <is>
          <t>OFFICIAL_PRIMARY</t>
        </is>
      </c>
      <c r="O1050" s="9" t="inlineStr">
        <is>
          <t>OFFICIAL_AGGREGATE</t>
        </is>
      </c>
      <c r="P1050" s="10" t="n">
        <v>0</v>
      </c>
      <c r="Q1050" s="8" t="n">
        <v>75</v>
      </c>
      <c r="R1050" s="7" t="inlineStr">
        <is>
          <t>https://www.ande.gov.py/documentos_contables/650/compilacion_estadistica_1998-2018.pdf</t>
        </is>
      </c>
      <c r="S1050" s="6" t="inlineStr">
        <is>
          <t>ANDE-98-18</t>
        </is>
      </c>
      <c r="T1050" s="6" t="inlineStr"/>
      <c r="U1050" s="4" t="inlineStr">
        <is>
          <t>2026-09-11 00:05:00</t>
        </is>
      </c>
      <c r="V1050" s="4" t="inlineStr">
        <is>
          <t>Serie revisada; prioridad sobre compilacion 1983-2006 en años solapados.</t>
        </is>
      </c>
    </row>
    <row r="1051">
      <c r="A1051" s="6" t="inlineStr">
        <is>
          <t>R0001050</t>
        </is>
      </c>
      <c r="B1051" s="6" t="inlineStr">
        <is>
          <t>2010-01-01</t>
        </is>
      </c>
      <c r="C1051" s="6" t="inlineStr">
        <is>
          <t>2010-12-31</t>
        </is>
      </c>
      <c r="D1051" s="6" t="inlineStr">
        <is>
          <t>year</t>
        </is>
      </c>
      <c r="E1051" s="6" t="inlineStr">
        <is>
          <t>ANDE_BILLED_PUBLIC_LIGHT_ENERGY</t>
        </is>
      </c>
      <c r="F1051" s="6" t="inlineStr">
        <is>
          <t>PY_SIN</t>
        </is>
      </c>
      <c r="G1051" s="6" t="inlineStr">
        <is>
          <t>PY</t>
        </is>
      </c>
      <c r="H1051" s="6" t="inlineStr">
        <is>
          <t>PY</t>
        </is>
      </c>
      <c r="I1051" s="8" t="n">
        <v>159696</v>
      </c>
      <c r="J1051" s="6" t="inlineStr">
        <is>
          <t>MWh</t>
        </is>
      </c>
      <c r="K1051" s="8" t="n">
        <v>159696</v>
      </c>
      <c r="L1051" s="6" t="inlineStr">
        <is>
          <t>MWh</t>
        </is>
      </c>
      <c r="M1051" s="6" t="inlineStr">
        <is>
          <t>ANDE</t>
        </is>
      </c>
      <c r="N1051" s="6" t="inlineStr">
        <is>
          <t>OFFICIAL_PRIMARY</t>
        </is>
      </c>
      <c r="O1051" s="9" t="inlineStr">
        <is>
          <t>OFFICIAL_AGGREGATE</t>
        </is>
      </c>
      <c r="P1051" s="10" t="n">
        <v>0</v>
      </c>
      <c r="Q1051" s="8" t="n">
        <v>75</v>
      </c>
      <c r="R1051" s="7" t="inlineStr">
        <is>
          <t>https://www.ande.gov.py/documentos_contables/650/compilacion_estadistica_1998-2018.pdf</t>
        </is>
      </c>
      <c r="S1051" s="6" t="inlineStr">
        <is>
          <t>ANDE-98-18</t>
        </is>
      </c>
      <c r="T1051" s="6" t="inlineStr"/>
      <c r="U1051" s="4" t="inlineStr">
        <is>
          <t>2026-09-11 00:05:00</t>
        </is>
      </c>
      <c r="V1051" s="4" t="inlineStr">
        <is>
          <t>Serie revisada; prioridad sobre compilacion 1983-2006 en años solapados.</t>
        </is>
      </c>
    </row>
    <row r="1052">
      <c r="A1052" s="6" t="inlineStr">
        <is>
          <t>R0001051</t>
        </is>
      </c>
      <c r="B1052" s="6" t="inlineStr">
        <is>
          <t>2011-01-01</t>
        </is>
      </c>
      <c r="C1052" s="6" t="inlineStr">
        <is>
          <t>2011-12-31</t>
        </is>
      </c>
      <c r="D1052" s="6" t="inlineStr">
        <is>
          <t>year</t>
        </is>
      </c>
      <c r="E1052" s="6" t="inlineStr">
        <is>
          <t>ANDE_BILLED_PUBLIC_LIGHT_ENERGY</t>
        </is>
      </c>
      <c r="F1052" s="6" t="inlineStr">
        <is>
          <t>PY_SIN</t>
        </is>
      </c>
      <c r="G1052" s="6" t="inlineStr">
        <is>
          <t>PY</t>
        </is>
      </c>
      <c r="H1052" s="6" t="inlineStr">
        <is>
          <t>PY</t>
        </is>
      </c>
      <c r="I1052" s="8" t="n">
        <v>169722</v>
      </c>
      <c r="J1052" s="6" t="inlineStr">
        <is>
          <t>MWh</t>
        </is>
      </c>
      <c r="K1052" s="8" t="n">
        <v>169722</v>
      </c>
      <c r="L1052" s="6" t="inlineStr">
        <is>
          <t>MWh</t>
        </is>
      </c>
      <c r="M1052" s="6" t="inlineStr">
        <is>
          <t>ANDE</t>
        </is>
      </c>
      <c r="N1052" s="6" t="inlineStr">
        <is>
          <t>OFFICIAL_PRIMARY</t>
        </is>
      </c>
      <c r="O1052" s="9" t="inlineStr">
        <is>
          <t>OFFICIAL_AGGREGATE</t>
        </is>
      </c>
      <c r="P1052" s="10" t="n">
        <v>0</v>
      </c>
      <c r="Q1052" s="8" t="n">
        <v>75</v>
      </c>
      <c r="R1052" s="7" t="inlineStr">
        <is>
          <t>https://www.ande.gov.py/documentos_contables/650/compilacion_estadistica_1998-2018.pdf</t>
        </is>
      </c>
      <c r="S1052" s="6" t="inlineStr">
        <is>
          <t>ANDE-98-18</t>
        </is>
      </c>
      <c r="T1052" s="6" t="inlineStr"/>
      <c r="U1052" s="4" t="inlineStr">
        <is>
          <t>2026-09-11 00:05:00</t>
        </is>
      </c>
      <c r="V1052" s="4" t="inlineStr">
        <is>
          <t>Serie revisada; prioridad sobre compilacion 1983-2006 en años solapados.</t>
        </is>
      </c>
    </row>
    <row r="1053">
      <c r="A1053" s="6" t="inlineStr">
        <is>
          <t>R0001052</t>
        </is>
      </c>
      <c r="B1053" s="6" t="inlineStr">
        <is>
          <t>2012-01-01</t>
        </is>
      </c>
      <c r="C1053" s="6" t="inlineStr">
        <is>
          <t>2012-12-31</t>
        </is>
      </c>
      <c r="D1053" s="6" t="inlineStr">
        <is>
          <t>year</t>
        </is>
      </c>
      <c r="E1053" s="6" t="inlineStr">
        <is>
          <t>ANDE_BILLED_PUBLIC_LIGHT_ENERGY</t>
        </is>
      </c>
      <c r="F1053" s="6" t="inlineStr">
        <is>
          <t>PY_SIN</t>
        </is>
      </c>
      <c r="G1053" s="6" t="inlineStr">
        <is>
          <t>PY</t>
        </is>
      </c>
      <c r="H1053" s="6" t="inlineStr">
        <is>
          <t>PY</t>
        </is>
      </c>
      <c r="I1053" s="8" t="n">
        <v>177449</v>
      </c>
      <c r="J1053" s="6" t="inlineStr">
        <is>
          <t>MWh</t>
        </is>
      </c>
      <c r="K1053" s="8" t="n">
        <v>177449</v>
      </c>
      <c r="L1053" s="6" t="inlineStr">
        <is>
          <t>MWh</t>
        </is>
      </c>
      <c r="M1053" s="6" t="inlineStr">
        <is>
          <t>ANDE</t>
        </is>
      </c>
      <c r="N1053" s="6" t="inlineStr">
        <is>
          <t>OFFICIAL_PRIMARY</t>
        </is>
      </c>
      <c r="O1053" s="9" t="inlineStr">
        <is>
          <t>OFFICIAL_AGGREGATE</t>
        </is>
      </c>
      <c r="P1053" s="10" t="n">
        <v>0</v>
      </c>
      <c r="Q1053" s="8" t="n">
        <v>75</v>
      </c>
      <c r="R1053" s="7" t="inlineStr">
        <is>
          <t>https://www.ande.gov.py/documentos_contables/650/compilacion_estadistica_1998-2018.pdf</t>
        </is>
      </c>
      <c r="S1053" s="6" t="inlineStr">
        <is>
          <t>ANDE-98-18</t>
        </is>
      </c>
      <c r="T1053" s="6" t="inlineStr"/>
      <c r="U1053" s="4" t="inlineStr">
        <is>
          <t>2026-09-11 00:05:00</t>
        </is>
      </c>
      <c r="V1053" s="4" t="inlineStr">
        <is>
          <t>Serie revisada; prioridad sobre compilacion 1983-2006 en años solapados.</t>
        </is>
      </c>
    </row>
    <row r="1054">
      <c r="A1054" s="6" t="inlineStr">
        <is>
          <t>R0001053</t>
        </is>
      </c>
      <c r="B1054" s="6" t="inlineStr">
        <is>
          <t>2013-01-01</t>
        </is>
      </c>
      <c r="C1054" s="6" t="inlineStr">
        <is>
          <t>2013-12-31</t>
        </is>
      </c>
      <c r="D1054" s="6" t="inlineStr">
        <is>
          <t>year</t>
        </is>
      </c>
      <c r="E1054" s="6" t="inlineStr">
        <is>
          <t>ANDE_BILLED_PUBLIC_LIGHT_ENERGY</t>
        </is>
      </c>
      <c r="F1054" s="6" t="inlineStr">
        <is>
          <t>PY_SIN</t>
        </is>
      </c>
      <c r="G1054" s="6" t="inlineStr">
        <is>
          <t>PY</t>
        </is>
      </c>
      <c r="H1054" s="6" t="inlineStr">
        <is>
          <t>PY</t>
        </is>
      </c>
      <c r="I1054" s="8" t="n">
        <v>204655</v>
      </c>
      <c r="J1054" s="6" t="inlineStr">
        <is>
          <t>MWh</t>
        </is>
      </c>
      <c r="K1054" s="8" t="n">
        <v>204655</v>
      </c>
      <c r="L1054" s="6" t="inlineStr">
        <is>
          <t>MWh</t>
        </is>
      </c>
      <c r="M1054" s="6" t="inlineStr">
        <is>
          <t>ANDE</t>
        </is>
      </c>
      <c r="N1054" s="6" t="inlineStr">
        <is>
          <t>OFFICIAL_PRIMARY</t>
        </is>
      </c>
      <c r="O1054" s="9" t="inlineStr">
        <is>
          <t>OFFICIAL_AGGREGATE</t>
        </is>
      </c>
      <c r="P1054" s="10" t="n">
        <v>0</v>
      </c>
      <c r="Q1054" s="8" t="n">
        <v>75</v>
      </c>
      <c r="R1054" s="7" t="inlineStr">
        <is>
          <t>https://www.ande.gov.py/documentos_contables/650/compilacion_estadistica_1998-2018.pdf</t>
        </is>
      </c>
      <c r="S1054" s="6" t="inlineStr">
        <is>
          <t>ANDE-98-18</t>
        </is>
      </c>
      <c r="T1054" s="6" t="inlineStr"/>
      <c r="U1054" s="4" t="inlineStr">
        <is>
          <t>2026-09-11 00:05:00</t>
        </is>
      </c>
      <c r="V1054" s="4" t="inlineStr">
        <is>
          <t>Serie revisada; prioridad sobre compilacion 1983-2006 en años solapados.</t>
        </is>
      </c>
    </row>
    <row r="1055">
      <c r="A1055" s="6" t="inlineStr">
        <is>
          <t>R0001054</t>
        </is>
      </c>
      <c r="B1055" s="6" t="inlineStr">
        <is>
          <t>2014-01-01</t>
        </is>
      </c>
      <c r="C1055" s="6" t="inlineStr">
        <is>
          <t>2014-12-31</t>
        </is>
      </c>
      <c r="D1055" s="6" t="inlineStr">
        <is>
          <t>year</t>
        </is>
      </c>
      <c r="E1055" s="6" t="inlineStr">
        <is>
          <t>ANDE_BILLED_PUBLIC_LIGHT_ENERGY</t>
        </is>
      </c>
      <c r="F1055" s="6" t="inlineStr">
        <is>
          <t>PY_SIN</t>
        </is>
      </c>
      <c r="G1055" s="6" t="inlineStr">
        <is>
          <t>PY</t>
        </is>
      </c>
      <c r="H1055" s="6" t="inlineStr">
        <is>
          <t>PY</t>
        </is>
      </c>
      <c r="I1055" s="8" t="n">
        <v>232063</v>
      </c>
      <c r="J1055" s="6" t="inlineStr">
        <is>
          <t>MWh</t>
        </is>
      </c>
      <c r="K1055" s="8" t="n">
        <v>232063</v>
      </c>
      <c r="L1055" s="6" t="inlineStr">
        <is>
          <t>MWh</t>
        </is>
      </c>
      <c r="M1055" s="6" t="inlineStr">
        <is>
          <t>ANDE</t>
        </is>
      </c>
      <c r="N1055" s="6" t="inlineStr">
        <is>
          <t>OFFICIAL_PRIMARY</t>
        </is>
      </c>
      <c r="O1055" s="9" t="inlineStr">
        <is>
          <t>OFFICIAL_AGGREGATE</t>
        </is>
      </c>
      <c r="P1055" s="10" t="n">
        <v>0</v>
      </c>
      <c r="Q1055" s="8" t="n">
        <v>75</v>
      </c>
      <c r="R1055" s="7" t="inlineStr">
        <is>
          <t>https://www.ande.gov.py/documentos_contables/650/compilacion_estadistica_1998-2018.pdf</t>
        </is>
      </c>
      <c r="S1055" s="6" t="inlineStr">
        <is>
          <t>ANDE-98-18</t>
        </is>
      </c>
      <c r="T1055" s="6" t="inlineStr"/>
      <c r="U1055" s="4" t="inlineStr">
        <is>
          <t>2026-09-11 00:05:00</t>
        </is>
      </c>
      <c r="V1055" s="4" t="inlineStr">
        <is>
          <t>Serie revisada; prioridad sobre compilacion 1983-2006 en años solapados.</t>
        </is>
      </c>
    </row>
    <row r="1056">
      <c r="A1056" s="6" t="inlineStr">
        <is>
          <t>R0001055</t>
        </is>
      </c>
      <c r="B1056" s="6" t="inlineStr">
        <is>
          <t>2015-01-01</t>
        </is>
      </c>
      <c r="C1056" s="6" t="inlineStr">
        <is>
          <t>2015-12-31</t>
        </is>
      </c>
      <c r="D1056" s="6" t="inlineStr">
        <is>
          <t>year</t>
        </is>
      </c>
      <c r="E1056" s="6" t="inlineStr">
        <is>
          <t>ANDE_BILLED_PUBLIC_LIGHT_ENERGY</t>
        </is>
      </c>
      <c r="F1056" s="6" t="inlineStr">
        <is>
          <t>PY_SIN</t>
        </is>
      </c>
      <c r="G1056" s="6" t="inlineStr">
        <is>
          <t>PY</t>
        </is>
      </c>
      <c r="H1056" s="6" t="inlineStr">
        <is>
          <t>PY</t>
        </is>
      </c>
      <c r="I1056" s="8" t="n">
        <v>240669</v>
      </c>
      <c r="J1056" s="6" t="inlineStr">
        <is>
          <t>MWh</t>
        </is>
      </c>
      <c r="K1056" s="8" t="n">
        <v>240669</v>
      </c>
      <c r="L1056" s="6" t="inlineStr">
        <is>
          <t>MWh</t>
        </is>
      </c>
      <c r="M1056" s="6" t="inlineStr">
        <is>
          <t>ANDE</t>
        </is>
      </c>
      <c r="N1056" s="6" t="inlineStr">
        <is>
          <t>OFFICIAL_PRIMARY</t>
        </is>
      </c>
      <c r="O1056" s="9" t="inlineStr">
        <is>
          <t>OFFICIAL_AGGREGATE</t>
        </is>
      </c>
      <c r="P1056" s="10" t="n">
        <v>0</v>
      </c>
      <c r="Q1056" s="8" t="n">
        <v>75</v>
      </c>
      <c r="R1056" s="7" t="inlineStr">
        <is>
          <t>https://www.ande.gov.py/documentos_contables/650/compilacion_estadistica_1998-2018.pdf</t>
        </is>
      </c>
      <c r="S1056" s="6" t="inlineStr">
        <is>
          <t>ANDE-98-18</t>
        </is>
      </c>
      <c r="T1056" s="6" t="inlineStr"/>
      <c r="U1056" s="4" t="inlineStr">
        <is>
          <t>2026-09-11 00:05:00</t>
        </is>
      </c>
      <c r="V1056" s="4" t="inlineStr">
        <is>
          <t>Serie revisada; prioridad sobre compilacion 1983-2006 en años solapados.</t>
        </is>
      </c>
    </row>
    <row r="1057">
      <c r="A1057" s="6" t="inlineStr">
        <is>
          <t>R0001056</t>
        </is>
      </c>
      <c r="B1057" s="6" t="inlineStr">
        <is>
          <t>2016-01-01</t>
        </is>
      </c>
      <c r="C1057" s="6" t="inlineStr">
        <is>
          <t>2016-12-31</t>
        </is>
      </c>
      <c r="D1057" s="6" t="inlineStr">
        <is>
          <t>year</t>
        </is>
      </c>
      <c r="E1057" s="6" t="inlineStr">
        <is>
          <t>ANDE_BILLED_PUBLIC_LIGHT_ENERGY</t>
        </is>
      </c>
      <c r="F1057" s="6" t="inlineStr">
        <is>
          <t>PY_SIN</t>
        </is>
      </c>
      <c r="G1057" s="6" t="inlineStr">
        <is>
          <t>PY</t>
        </is>
      </c>
      <c r="H1057" s="6" t="inlineStr">
        <is>
          <t>PY</t>
        </is>
      </c>
      <c r="I1057" s="8" t="n">
        <v>245595</v>
      </c>
      <c r="J1057" s="6" t="inlineStr">
        <is>
          <t>MWh</t>
        </is>
      </c>
      <c r="K1057" s="8" t="n">
        <v>245595</v>
      </c>
      <c r="L1057" s="6" t="inlineStr">
        <is>
          <t>MWh</t>
        </is>
      </c>
      <c r="M1057" s="6" t="inlineStr">
        <is>
          <t>ANDE</t>
        </is>
      </c>
      <c r="N1057" s="6" t="inlineStr">
        <is>
          <t>OFFICIAL_PRIMARY</t>
        </is>
      </c>
      <c r="O1057" s="9" t="inlineStr">
        <is>
          <t>OFFICIAL_AGGREGATE</t>
        </is>
      </c>
      <c r="P1057" s="10" t="n">
        <v>0</v>
      </c>
      <c r="Q1057" s="8" t="n">
        <v>75</v>
      </c>
      <c r="R1057" s="7" t="inlineStr">
        <is>
          <t>https://www.ande.gov.py/documentos_contables/650/compilacion_estadistica_1998-2018.pdf</t>
        </is>
      </c>
      <c r="S1057" s="6" t="inlineStr">
        <is>
          <t>ANDE-98-18</t>
        </is>
      </c>
      <c r="T1057" s="6" t="inlineStr"/>
      <c r="U1057" s="4" t="inlineStr">
        <is>
          <t>2026-09-11 00:05:00</t>
        </is>
      </c>
      <c r="V1057" s="4" t="inlineStr">
        <is>
          <t>Serie revisada; prioridad sobre compilacion 1983-2006 en años solapados.</t>
        </is>
      </c>
    </row>
    <row r="1058">
      <c r="A1058" s="6" t="inlineStr">
        <is>
          <t>R0001057</t>
        </is>
      </c>
      <c r="B1058" s="6" t="inlineStr">
        <is>
          <t>2017-01-01</t>
        </is>
      </c>
      <c r="C1058" s="6" t="inlineStr">
        <is>
          <t>2017-12-31</t>
        </is>
      </c>
      <c r="D1058" s="6" t="inlineStr">
        <is>
          <t>year</t>
        </is>
      </c>
      <c r="E1058" s="6" t="inlineStr">
        <is>
          <t>ANDE_BILLED_PUBLIC_LIGHT_ENERGY</t>
        </is>
      </c>
      <c r="F1058" s="6" t="inlineStr">
        <is>
          <t>PY_SIN</t>
        </is>
      </c>
      <c r="G1058" s="6" t="inlineStr">
        <is>
          <t>PY</t>
        </is>
      </c>
      <c r="H1058" s="6" t="inlineStr">
        <is>
          <t>PY</t>
        </is>
      </c>
      <c r="I1058" s="8" t="n">
        <v>164004</v>
      </c>
      <c r="J1058" s="6" t="inlineStr">
        <is>
          <t>MWh</t>
        </is>
      </c>
      <c r="K1058" s="8" t="n">
        <v>164004</v>
      </c>
      <c r="L1058" s="6" t="inlineStr">
        <is>
          <t>MWh</t>
        </is>
      </c>
      <c r="M1058" s="6" t="inlineStr">
        <is>
          <t>ANDE</t>
        </is>
      </c>
      <c r="N1058" s="6" t="inlineStr">
        <is>
          <t>OFFICIAL_PRIMARY</t>
        </is>
      </c>
      <c r="O1058" s="9" t="inlineStr">
        <is>
          <t>OFFICIAL_AGGREGATE</t>
        </is>
      </c>
      <c r="P1058" s="10" t="n">
        <v>0</v>
      </c>
      <c r="Q1058" s="8" t="n">
        <v>75</v>
      </c>
      <c r="R1058" s="7" t="inlineStr">
        <is>
          <t>https://www.ande.gov.py/documentos_contables/650/compilacion_estadistica_1998-2018.pdf</t>
        </is>
      </c>
      <c r="S1058" s="6" t="inlineStr">
        <is>
          <t>ANDE-98-18</t>
        </is>
      </c>
      <c r="T1058" s="6" t="inlineStr"/>
      <c r="U1058" s="4" t="inlineStr">
        <is>
          <t>2026-09-11 00:05:00</t>
        </is>
      </c>
      <c r="V1058" s="4" t="inlineStr">
        <is>
          <t>Serie revisada; prioridad sobre compilacion 1983-2006 en años solapados.</t>
        </is>
      </c>
    </row>
    <row r="1059">
      <c r="A1059" s="6" t="inlineStr">
        <is>
          <t>R0001058</t>
        </is>
      </c>
      <c r="B1059" s="6" t="inlineStr">
        <is>
          <t>2018-01-01</t>
        </is>
      </c>
      <c r="C1059" s="6" t="inlineStr">
        <is>
          <t>2018-12-31</t>
        </is>
      </c>
      <c r="D1059" s="6" t="inlineStr">
        <is>
          <t>year</t>
        </is>
      </c>
      <c r="E1059" s="6" t="inlineStr">
        <is>
          <t>ANDE_BILLED_PUBLIC_LIGHT_ENERGY</t>
        </is>
      </c>
      <c r="F1059" s="6" t="inlineStr">
        <is>
          <t>PY_SIN</t>
        </is>
      </c>
      <c r="G1059" s="6" t="inlineStr">
        <is>
          <t>PY</t>
        </is>
      </c>
      <c r="H1059" s="6" t="inlineStr">
        <is>
          <t>PY</t>
        </is>
      </c>
      <c r="I1059" s="8" t="n">
        <v>171448</v>
      </c>
      <c r="J1059" s="6" t="inlineStr">
        <is>
          <t>MWh</t>
        </is>
      </c>
      <c r="K1059" s="8" t="n">
        <v>171448</v>
      </c>
      <c r="L1059" s="6" t="inlineStr">
        <is>
          <t>MWh</t>
        </is>
      </c>
      <c r="M1059" s="6" t="inlineStr">
        <is>
          <t>ANDE</t>
        </is>
      </c>
      <c r="N1059" s="6" t="inlineStr">
        <is>
          <t>OFFICIAL_PRIMARY</t>
        </is>
      </c>
      <c r="O1059" s="9" t="inlineStr">
        <is>
          <t>OFFICIAL_AGGREGATE</t>
        </is>
      </c>
      <c r="P1059" s="10" t="n">
        <v>0</v>
      </c>
      <c r="Q1059" s="8" t="n">
        <v>75</v>
      </c>
      <c r="R1059" s="7" t="inlineStr">
        <is>
          <t>https://www.ande.gov.py/documentos_contables/650/compilacion_estadistica_1998-2018.pdf</t>
        </is>
      </c>
      <c r="S1059" s="6" t="inlineStr">
        <is>
          <t>ANDE-98-18</t>
        </is>
      </c>
      <c r="T1059" s="6" t="inlineStr"/>
      <c r="U1059" s="4" t="inlineStr">
        <is>
          <t>2026-09-11 00:05:00</t>
        </is>
      </c>
      <c r="V1059" s="4" t="inlineStr">
        <is>
          <t>Serie revisada; prioridad sobre compilacion 1983-2006 en años solapados.</t>
        </is>
      </c>
    </row>
    <row r="1060">
      <c r="A1060" s="6" t="inlineStr">
        <is>
          <t>R0001059</t>
        </is>
      </c>
      <c r="B1060" s="6" t="inlineStr">
        <is>
          <t>1998-01-01</t>
        </is>
      </c>
      <c r="C1060" s="6" t="inlineStr">
        <is>
          <t>1998-12-31</t>
        </is>
      </c>
      <c r="D1060" s="6" t="inlineStr">
        <is>
          <t>year</t>
        </is>
      </c>
      <c r="E1060" s="6" t="inlineStr">
        <is>
          <t>ANDE_BILLED_NATIONAL_ENERGY</t>
        </is>
      </c>
      <c r="F1060" s="6" t="inlineStr">
        <is>
          <t>PY_SIN</t>
        </is>
      </c>
      <c r="G1060" s="6" t="inlineStr">
        <is>
          <t>PY</t>
        </is>
      </c>
      <c r="H1060" s="6" t="inlineStr">
        <is>
          <t>PY</t>
        </is>
      </c>
      <c r="I1060" s="8" t="n">
        <v>3974118</v>
      </c>
      <c r="J1060" s="6" t="inlineStr">
        <is>
          <t>MWh</t>
        </is>
      </c>
      <c r="K1060" s="8" t="n">
        <v>3974118</v>
      </c>
      <c r="L1060" s="6" t="inlineStr">
        <is>
          <t>MWh</t>
        </is>
      </c>
      <c r="M1060" s="6" t="inlineStr">
        <is>
          <t>ANDE</t>
        </is>
      </c>
      <c r="N1060" s="6" t="inlineStr">
        <is>
          <t>OFFICIAL_PRIMARY</t>
        </is>
      </c>
      <c r="O1060" s="9" t="inlineStr">
        <is>
          <t>OFFICIAL_AGGREGATE</t>
        </is>
      </c>
      <c r="P1060" s="8" t="n">
        <v>1</v>
      </c>
      <c r="Q1060" s="8" t="n">
        <v>75</v>
      </c>
      <c r="R1060" s="7" t="inlineStr">
        <is>
          <t>https://www.ande.gov.py/documentos_contables/650/compilacion_estadistica_1998-2018.pdf</t>
        </is>
      </c>
      <c r="S1060" s="6" t="inlineStr">
        <is>
          <t>ANDE-98-18</t>
        </is>
      </c>
      <c r="T1060" s="6" t="inlineStr"/>
      <c r="U1060" s="4" t="inlineStr">
        <is>
          <t>2026-09-11 00:05:00</t>
        </is>
      </c>
      <c r="V1060" s="4" t="inlineStr">
        <is>
          <t>Serie revisada; prioridad sobre compilacion 1983-2006 en años solapados.</t>
        </is>
      </c>
    </row>
    <row r="1061">
      <c r="A1061" s="6" t="inlineStr">
        <is>
          <t>R0001060</t>
        </is>
      </c>
      <c r="B1061" s="6" t="inlineStr">
        <is>
          <t>1999-01-01</t>
        </is>
      </c>
      <c r="C1061" s="6" t="inlineStr">
        <is>
          <t>1999-12-31</t>
        </is>
      </c>
      <c r="D1061" s="6" t="inlineStr">
        <is>
          <t>year</t>
        </is>
      </c>
      <c r="E1061" s="6" t="inlineStr">
        <is>
          <t>ANDE_BILLED_NATIONAL_ENERGY</t>
        </is>
      </c>
      <c r="F1061" s="6" t="inlineStr">
        <is>
          <t>PY_SIN</t>
        </is>
      </c>
      <c r="G1061" s="6" t="inlineStr">
        <is>
          <t>PY</t>
        </is>
      </c>
      <c r="H1061" s="6" t="inlineStr">
        <is>
          <t>PY</t>
        </is>
      </c>
      <c r="I1061" s="8" t="n">
        <v>4327482</v>
      </c>
      <c r="J1061" s="6" t="inlineStr">
        <is>
          <t>MWh</t>
        </is>
      </c>
      <c r="K1061" s="8" t="n">
        <v>4327482</v>
      </c>
      <c r="L1061" s="6" t="inlineStr">
        <is>
          <t>MWh</t>
        </is>
      </c>
      <c r="M1061" s="6" t="inlineStr">
        <is>
          <t>ANDE</t>
        </is>
      </c>
      <c r="N1061" s="6" t="inlineStr">
        <is>
          <t>OFFICIAL_PRIMARY</t>
        </is>
      </c>
      <c r="O1061" s="9" t="inlineStr">
        <is>
          <t>OFFICIAL_AGGREGATE</t>
        </is>
      </c>
      <c r="P1061" s="8" t="n">
        <v>1</v>
      </c>
      <c r="Q1061" s="8" t="n">
        <v>75</v>
      </c>
      <c r="R1061" s="7" t="inlineStr">
        <is>
          <t>https://www.ande.gov.py/documentos_contables/650/compilacion_estadistica_1998-2018.pdf</t>
        </is>
      </c>
      <c r="S1061" s="6" t="inlineStr">
        <is>
          <t>ANDE-98-18</t>
        </is>
      </c>
      <c r="T1061" s="6" t="inlineStr"/>
      <c r="U1061" s="4" t="inlineStr">
        <is>
          <t>2026-09-11 00:05:00</t>
        </is>
      </c>
      <c r="V1061" s="4" t="inlineStr">
        <is>
          <t>Serie revisada; prioridad sobre compilacion 1983-2006 en años solapados.</t>
        </is>
      </c>
    </row>
    <row r="1062">
      <c r="A1062" s="6" t="inlineStr">
        <is>
          <t>R0001061</t>
        </is>
      </c>
      <c r="B1062" s="6" t="inlineStr">
        <is>
          <t>2000-01-01</t>
        </is>
      </c>
      <c r="C1062" s="6" t="inlineStr">
        <is>
          <t>2000-12-31</t>
        </is>
      </c>
      <c r="D1062" s="6" t="inlineStr">
        <is>
          <t>year</t>
        </is>
      </c>
      <c r="E1062" s="6" t="inlineStr">
        <is>
          <t>ANDE_BILLED_NATIONAL_ENERGY</t>
        </is>
      </c>
      <c r="F1062" s="6" t="inlineStr">
        <is>
          <t>PY_SIN</t>
        </is>
      </c>
      <c r="G1062" s="6" t="inlineStr">
        <is>
          <t>PY</t>
        </is>
      </c>
      <c r="H1062" s="6" t="inlineStr">
        <is>
          <t>PY</t>
        </is>
      </c>
      <c r="I1062" s="8" t="n">
        <v>4459508</v>
      </c>
      <c r="J1062" s="6" t="inlineStr">
        <is>
          <t>MWh</t>
        </is>
      </c>
      <c r="K1062" s="8" t="n">
        <v>4459508</v>
      </c>
      <c r="L1062" s="6" t="inlineStr">
        <is>
          <t>MWh</t>
        </is>
      </c>
      <c r="M1062" s="6" t="inlineStr">
        <is>
          <t>ANDE</t>
        </is>
      </c>
      <c r="N1062" s="6" t="inlineStr">
        <is>
          <t>OFFICIAL_PRIMARY</t>
        </is>
      </c>
      <c r="O1062" s="9" t="inlineStr">
        <is>
          <t>OFFICIAL_AGGREGATE</t>
        </is>
      </c>
      <c r="P1062" s="8" t="n">
        <v>1</v>
      </c>
      <c r="Q1062" s="8" t="n">
        <v>75</v>
      </c>
      <c r="R1062" s="7" t="inlineStr">
        <is>
          <t>https://www.ande.gov.py/documentos_contables/650/compilacion_estadistica_1998-2018.pdf</t>
        </is>
      </c>
      <c r="S1062" s="6" t="inlineStr">
        <is>
          <t>ANDE-98-18</t>
        </is>
      </c>
      <c r="T1062" s="6" t="inlineStr"/>
      <c r="U1062" s="4" t="inlineStr">
        <is>
          <t>2026-09-11 00:05:00</t>
        </is>
      </c>
      <c r="V1062" s="4" t="inlineStr">
        <is>
          <t>Serie revisada; prioridad sobre compilacion 1983-2006 en años solapados.</t>
        </is>
      </c>
    </row>
    <row r="1063">
      <c r="A1063" s="6" t="inlineStr">
        <is>
          <t>R0001062</t>
        </is>
      </c>
      <c r="B1063" s="6" t="inlineStr">
        <is>
          <t>2001-01-01</t>
        </is>
      </c>
      <c r="C1063" s="6" t="inlineStr">
        <is>
          <t>2001-12-31</t>
        </is>
      </c>
      <c r="D1063" s="6" t="inlineStr">
        <is>
          <t>year</t>
        </is>
      </c>
      <c r="E1063" s="6" t="inlineStr">
        <is>
          <t>ANDE_BILLED_NATIONAL_ENERGY</t>
        </is>
      </c>
      <c r="F1063" s="6" t="inlineStr">
        <is>
          <t>PY_SIN</t>
        </is>
      </c>
      <c r="G1063" s="6" t="inlineStr">
        <is>
          <t>PY</t>
        </is>
      </c>
      <c r="H1063" s="6" t="inlineStr">
        <is>
          <t>PY</t>
        </is>
      </c>
      <c r="I1063" s="8" t="n">
        <v>4502398</v>
      </c>
      <c r="J1063" s="6" t="inlineStr">
        <is>
          <t>MWh</t>
        </is>
      </c>
      <c r="K1063" s="8" t="n">
        <v>4502398</v>
      </c>
      <c r="L1063" s="6" t="inlineStr">
        <is>
          <t>MWh</t>
        </is>
      </c>
      <c r="M1063" s="6" t="inlineStr">
        <is>
          <t>ANDE</t>
        </is>
      </c>
      <c r="N1063" s="6" t="inlineStr">
        <is>
          <t>OFFICIAL_PRIMARY</t>
        </is>
      </c>
      <c r="O1063" s="9" t="inlineStr">
        <is>
          <t>OFFICIAL_AGGREGATE</t>
        </is>
      </c>
      <c r="P1063" s="8" t="n">
        <v>1</v>
      </c>
      <c r="Q1063" s="8" t="n">
        <v>75</v>
      </c>
      <c r="R1063" s="7" t="inlineStr">
        <is>
          <t>https://www.ande.gov.py/documentos_contables/650/compilacion_estadistica_1998-2018.pdf</t>
        </is>
      </c>
      <c r="S1063" s="6" t="inlineStr">
        <is>
          <t>ANDE-98-18</t>
        </is>
      </c>
      <c r="T1063" s="6" t="inlineStr"/>
      <c r="U1063" s="4" t="inlineStr">
        <is>
          <t>2026-09-11 00:05:00</t>
        </is>
      </c>
      <c r="V1063" s="4" t="inlineStr">
        <is>
          <t>Serie revisada; prioridad sobre compilacion 1983-2006 en años solapados.</t>
        </is>
      </c>
    </row>
    <row r="1064">
      <c r="A1064" s="6" t="inlineStr">
        <is>
          <t>R0001063</t>
        </is>
      </c>
      <c r="B1064" s="6" t="inlineStr">
        <is>
          <t>2002-01-01</t>
        </is>
      </c>
      <c r="C1064" s="6" t="inlineStr">
        <is>
          <t>2002-12-31</t>
        </is>
      </c>
      <c r="D1064" s="6" t="inlineStr">
        <is>
          <t>year</t>
        </is>
      </c>
      <c r="E1064" s="6" t="inlineStr">
        <is>
          <t>ANDE_BILLED_NATIONAL_ENERGY</t>
        </is>
      </c>
      <c r="F1064" s="6" t="inlineStr">
        <is>
          <t>PY_SIN</t>
        </is>
      </c>
      <c r="G1064" s="6" t="inlineStr">
        <is>
          <t>PY</t>
        </is>
      </c>
      <c r="H1064" s="6" t="inlineStr">
        <is>
          <t>PY</t>
        </is>
      </c>
      <c r="I1064" s="8" t="n">
        <v>4407141</v>
      </c>
      <c r="J1064" s="6" t="inlineStr">
        <is>
          <t>MWh</t>
        </is>
      </c>
      <c r="K1064" s="8" t="n">
        <v>4407141</v>
      </c>
      <c r="L1064" s="6" t="inlineStr">
        <is>
          <t>MWh</t>
        </is>
      </c>
      <c r="M1064" s="6" t="inlineStr">
        <is>
          <t>ANDE</t>
        </is>
      </c>
      <c r="N1064" s="6" t="inlineStr">
        <is>
          <t>OFFICIAL_PRIMARY</t>
        </is>
      </c>
      <c r="O1064" s="9" t="inlineStr">
        <is>
          <t>OFFICIAL_AGGREGATE</t>
        </is>
      </c>
      <c r="P1064" s="8" t="n">
        <v>1</v>
      </c>
      <c r="Q1064" s="8" t="n">
        <v>75</v>
      </c>
      <c r="R1064" s="7" t="inlineStr">
        <is>
          <t>https://www.ande.gov.py/documentos_contables/650/compilacion_estadistica_1998-2018.pdf</t>
        </is>
      </c>
      <c r="S1064" s="6" t="inlineStr">
        <is>
          <t>ANDE-98-18</t>
        </is>
      </c>
      <c r="T1064" s="6" t="inlineStr"/>
      <c r="U1064" s="4" t="inlineStr">
        <is>
          <t>2026-09-11 00:05:00</t>
        </is>
      </c>
      <c r="V1064" s="4" t="inlineStr">
        <is>
          <t>Serie revisada; prioridad sobre compilacion 1983-2006 en años solapados.</t>
        </is>
      </c>
    </row>
    <row r="1065">
      <c r="A1065" s="6" t="inlineStr">
        <is>
          <t>R0001064</t>
        </is>
      </c>
      <c r="B1065" s="6" t="inlineStr">
        <is>
          <t>2003-01-01</t>
        </is>
      </c>
      <c r="C1065" s="6" t="inlineStr">
        <is>
          <t>2003-12-31</t>
        </is>
      </c>
      <c r="D1065" s="6" t="inlineStr">
        <is>
          <t>year</t>
        </is>
      </c>
      <c r="E1065" s="6" t="inlineStr">
        <is>
          <t>ANDE_BILLED_NATIONAL_ENERGY</t>
        </is>
      </c>
      <c r="F1065" s="6" t="inlineStr">
        <is>
          <t>PY_SIN</t>
        </is>
      </c>
      <c r="G1065" s="6" t="inlineStr">
        <is>
          <t>PY</t>
        </is>
      </c>
      <c r="H1065" s="6" t="inlineStr">
        <is>
          <t>PY</t>
        </is>
      </c>
      <c r="I1065" s="8" t="n">
        <v>4314678</v>
      </c>
      <c r="J1065" s="6" t="inlineStr">
        <is>
          <t>MWh</t>
        </is>
      </c>
      <c r="K1065" s="8" t="n">
        <v>4314678</v>
      </c>
      <c r="L1065" s="6" t="inlineStr">
        <is>
          <t>MWh</t>
        </is>
      </c>
      <c r="M1065" s="6" t="inlineStr">
        <is>
          <t>ANDE</t>
        </is>
      </c>
      <c r="N1065" s="6" t="inlineStr">
        <is>
          <t>OFFICIAL_PRIMARY</t>
        </is>
      </c>
      <c r="O1065" s="9" t="inlineStr">
        <is>
          <t>OFFICIAL_AGGREGATE</t>
        </is>
      </c>
      <c r="P1065" s="10" t="n">
        <v>0</v>
      </c>
      <c r="Q1065" s="8" t="n">
        <v>75</v>
      </c>
      <c r="R1065" s="7" t="inlineStr">
        <is>
          <t>https://www.ande.gov.py/documentos_contables/650/compilacion_estadistica_1998-2018.pdf</t>
        </is>
      </c>
      <c r="S1065" s="6" t="inlineStr">
        <is>
          <t>ANDE-98-18</t>
        </is>
      </c>
      <c r="T1065" s="6" t="inlineStr"/>
      <c r="U1065" s="4" t="inlineStr">
        <is>
          <t>2026-09-11 00:05:00</t>
        </is>
      </c>
      <c r="V1065" s="4" t="inlineStr">
        <is>
          <t>Serie revisada; prioridad sobre compilacion 1983-2006 en años solapados.</t>
        </is>
      </c>
    </row>
    <row r="1066">
      <c r="A1066" s="6" t="inlineStr">
        <is>
          <t>R0001065</t>
        </is>
      </c>
      <c r="B1066" s="6" t="inlineStr">
        <is>
          <t>2004-01-01</t>
        </is>
      </c>
      <c r="C1066" s="6" t="inlineStr">
        <is>
          <t>2004-12-31</t>
        </is>
      </c>
      <c r="D1066" s="6" t="inlineStr">
        <is>
          <t>year</t>
        </is>
      </c>
      <c r="E1066" s="6" t="inlineStr">
        <is>
          <t>ANDE_BILLED_NATIONAL_ENERGY</t>
        </is>
      </c>
      <c r="F1066" s="6" t="inlineStr">
        <is>
          <t>PY_SIN</t>
        </is>
      </c>
      <c r="G1066" s="6" t="inlineStr">
        <is>
          <t>PY</t>
        </is>
      </c>
      <c r="H1066" s="6" t="inlineStr">
        <is>
          <t>PY</t>
        </is>
      </c>
      <c r="I1066" s="8" t="n">
        <v>4434303</v>
      </c>
      <c r="J1066" s="6" t="inlineStr">
        <is>
          <t>MWh</t>
        </is>
      </c>
      <c r="K1066" s="8" t="n">
        <v>4434303</v>
      </c>
      <c r="L1066" s="6" t="inlineStr">
        <is>
          <t>MWh</t>
        </is>
      </c>
      <c r="M1066" s="6" t="inlineStr">
        <is>
          <t>ANDE</t>
        </is>
      </c>
      <c r="N1066" s="6" t="inlineStr">
        <is>
          <t>OFFICIAL_PRIMARY</t>
        </is>
      </c>
      <c r="O1066" s="9" t="inlineStr">
        <is>
          <t>OFFICIAL_AGGREGATE</t>
        </is>
      </c>
      <c r="P1066" s="10" t="n">
        <v>0</v>
      </c>
      <c r="Q1066" s="8" t="n">
        <v>75</v>
      </c>
      <c r="R1066" s="7" t="inlineStr">
        <is>
          <t>https://www.ande.gov.py/documentos_contables/650/compilacion_estadistica_1998-2018.pdf</t>
        </is>
      </c>
      <c r="S1066" s="6" t="inlineStr">
        <is>
          <t>ANDE-98-18</t>
        </is>
      </c>
      <c r="T1066" s="6" t="inlineStr"/>
      <c r="U1066" s="4" t="inlineStr">
        <is>
          <t>2026-09-11 00:05:00</t>
        </is>
      </c>
      <c r="V1066" s="4" t="inlineStr">
        <is>
          <t>Serie revisada; prioridad sobre compilacion 1983-2006 en años solapados.</t>
        </is>
      </c>
    </row>
    <row r="1067">
      <c r="A1067" s="6" t="inlineStr">
        <is>
          <t>R0001066</t>
        </is>
      </c>
      <c r="B1067" s="6" t="inlineStr">
        <is>
          <t>2005-01-01</t>
        </is>
      </c>
      <c r="C1067" s="6" t="inlineStr">
        <is>
          <t>2005-12-31</t>
        </is>
      </c>
      <c r="D1067" s="6" t="inlineStr">
        <is>
          <t>year</t>
        </is>
      </c>
      <c r="E1067" s="6" t="inlineStr">
        <is>
          <t>ANDE_BILLED_NATIONAL_ENERGY</t>
        </is>
      </c>
      <c r="F1067" s="6" t="inlineStr">
        <is>
          <t>PY_SIN</t>
        </is>
      </c>
      <c r="G1067" s="6" t="inlineStr">
        <is>
          <t>PY</t>
        </is>
      </c>
      <c r="H1067" s="6" t="inlineStr">
        <is>
          <t>PY</t>
        </is>
      </c>
      <c r="I1067" s="8" t="n">
        <v>4739885</v>
      </c>
      <c r="J1067" s="6" t="inlineStr">
        <is>
          <t>MWh</t>
        </is>
      </c>
      <c r="K1067" s="8" t="n">
        <v>4739885</v>
      </c>
      <c r="L1067" s="6" t="inlineStr">
        <is>
          <t>MWh</t>
        </is>
      </c>
      <c r="M1067" s="6" t="inlineStr">
        <is>
          <t>ANDE</t>
        </is>
      </c>
      <c r="N1067" s="6" t="inlineStr">
        <is>
          <t>OFFICIAL_PRIMARY</t>
        </is>
      </c>
      <c r="O1067" s="9" t="inlineStr">
        <is>
          <t>OFFICIAL_AGGREGATE</t>
        </is>
      </c>
      <c r="P1067" s="10" t="n">
        <v>0</v>
      </c>
      <c r="Q1067" s="8" t="n">
        <v>75</v>
      </c>
      <c r="R1067" s="7" t="inlineStr">
        <is>
          <t>https://www.ande.gov.py/documentos_contables/650/compilacion_estadistica_1998-2018.pdf</t>
        </is>
      </c>
      <c r="S1067" s="6" t="inlineStr">
        <is>
          <t>ANDE-98-18</t>
        </is>
      </c>
      <c r="T1067" s="6" t="inlineStr"/>
      <c r="U1067" s="4" t="inlineStr">
        <is>
          <t>2026-09-11 00:05:00</t>
        </is>
      </c>
      <c r="V1067" s="4" t="inlineStr">
        <is>
          <t>Serie revisada; prioridad sobre compilacion 1983-2006 en años solapados.</t>
        </is>
      </c>
    </row>
    <row r="1068">
      <c r="A1068" s="6" t="inlineStr">
        <is>
          <t>R0001067</t>
        </is>
      </c>
      <c r="B1068" s="6" t="inlineStr">
        <is>
          <t>2006-01-01</t>
        </is>
      </c>
      <c r="C1068" s="6" t="inlineStr">
        <is>
          <t>2006-12-31</t>
        </is>
      </c>
      <c r="D1068" s="6" t="inlineStr">
        <is>
          <t>year</t>
        </is>
      </c>
      <c r="E1068" s="6" t="inlineStr">
        <is>
          <t>ANDE_BILLED_NATIONAL_ENERGY</t>
        </is>
      </c>
      <c r="F1068" s="6" t="inlineStr">
        <is>
          <t>PY_SIN</t>
        </is>
      </c>
      <c r="G1068" s="6" t="inlineStr">
        <is>
          <t>PY</t>
        </is>
      </c>
      <c r="H1068" s="6" t="inlineStr">
        <is>
          <t>PY</t>
        </is>
      </c>
      <c r="I1068" s="8" t="n">
        <v>5123685</v>
      </c>
      <c r="J1068" s="6" t="inlineStr">
        <is>
          <t>MWh</t>
        </is>
      </c>
      <c r="K1068" s="8" t="n">
        <v>5123685</v>
      </c>
      <c r="L1068" s="6" t="inlineStr">
        <is>
          <t>MWh</t>
        </is>
      </c>
      <c r="M1068" s="6" t="inlineStr">
        <is>
          <t>ANDE</t>
        </is>
      </c>
      <c r="N1068" s="6" t="inlineStr">
        <is>
          <t>OFFICIAL_PRIMARY</t>
        </is>
      </c>
      <c r="O1068" s="9" t="inlineStr">
        <is>
          <t>OFFICIAL_AGGREGATE</t>
        </is>
      </c>
      <c r="P1068" s="10" t="n">
        <v>0</v>
      </c>
      <c r="Q1068" s="8" t="n">
        <v>75</v>
      </c>
      <c r="R1068" s="7" t="inlineStr">
        <is>
          <t>https://www.ande.gov.py/documentos_contables/650/compilacion_estadistica_1998-2018.pdf</t>
        </is>
      </c>
      <c r="S1068" s="6" t="inlineStr">
        <is>
          <t>ANDE-98-18</t>
        </is>
      </c>
      <c r="T1068" s="6" t="inlineStr"/>
      <c r="U1068" s="4" t="inlineStr">
        <is>
          <t>2026-09-11 00:05:00</t>
        </is>
      </c>
      <c r="V1068" s="4" t="inlineStr">
        <is>
          <t>Serie revisada; prioridad sobre compilacion 1983-2006 en años solapados.</t>
        </is>
      </c>
    </row>
    <row r="1069">
      <c r="A1069" s="6" t="inlineStr">
        <is>
          <t>R0001068</t>
        </is>
      </c>
      <c r="B1069" s="6" t="inlineStr">
        <is>
          <t>2007-01-01</t>
        </is>
      </c>
      <c r="C1069" s="6" t="inlineStr">
        <is>
          <t>2007-12-31</t>
        </is>
      </c>
      <c r="D1069" s="6" t="inlineStr">
        <is>
          <t>year</t>
        </is>
      </c>
      <c r="E1069" s="6" t="inlineStr">
        <is>
          <t>ANDE_BILLED_NATIONAL_ENERGY</t>
        </is>
      </c>
      <c r="F1069" s="6" t="inlineStr">
        <is>
          <t>PY_SIN</t>
        </is>
      </c>
      <c r="G1069" s="6" t="inlineStr">
        <is>
          <t>PY</t>
        </is>
      </c>
      <c r="H1069" s="6" t="inlineStr">
        <is>
          <t>PY</t>
        </is>
      </c>
      <c r="I1069" s="8" t="n">
        <v>5580443</v>
      </c>
      <c r="J1069" s="6" t="inlineStr">
        <is>
          <t>MWh</t>
        </is>
      </c>
      <c r="K1069" s="8" t="n">
        <v>5580443</v>
      </c>
      <c r="L1069" s="6" t="inlineStr">
        <is>
          <t>MWh</t>
        </is>
      </c>
      <c r="M1069" s="6" t="inlineStr">
        <is>
          <t>ANDE</t>
        </is>
      </c>
      <c r="N1069" s="6" t="inlineStr">
        <is>
          <t>OFFICIAL_PRIMARY</t>
        </is>
      </c>
      <c r="O1069" s="9" t="inlineStr">
        <is>
          <t>OFFICIAL_AGGREGATE</t>
        </is>
      </c>
      <c r="P1069" s="10" t="n">
        <v>0</v>
      </c>
      <c r="Q1069" s="8" t="n">
        <v>75</v>
      </c>
      <c r="R1069" s="7" t="inlineStr">
        <is>
          <t>https://www.ande.gov.py/documentos_contables/650/compilacion_estadistica_1998-2018.pdf</t>
        </is>
      </c>
      <c r="S1069" s="6" t="inlineStr">
        <is>
          <t>ANDE-98-18</t>
        </is>
      </c>
      <c r="T1069" s="6" t="inlineStr"/>
      <c r="U1069" s="4" t="inlineStr">
        <is>
          <t>2026-09-11 00:05:00</t>
        </is>
      </c>
      <c r="V1069" s="4" t="inlineStr">
        <is>
          <t>Serie revisada; prioridad sobre compilacion 1983-2006 en años solapados.</t>
        </is>
      </c>
    </row>
    <row r="1070">
      <c r="A1070" s="6" t="inlineStr">
        <is>
          <t>R0001069</t>
        </is>
      </c>
      <c r="B1070" s="6" t="inlineStr">
        <is>
          <t>2008-01-01</t>
        </is>
      </c>
      <c r="C1070" s="6" t="inlineStr">
        <is>
          <t>2008-12-31</t>
        </is>
      </c>
      <c r="D1070" s="6" t="inlineStr">
        <is>
          <t>year</t>
        </is>
      </c>
      <c r="E1070" s="6" t="inlineStr">
        <is>
          <t>ANDE_BILLED_NATIONAL_ENERGY</t>
        </is>
      </c>
      <c r="F1070" s="6" t="inlineStr">
        <is>
          <t>PY_SIN</t>
        </is>
      </c>
      <c r="G1070" s="6" t="inlineStr">
        <is>
          <t>PY</t>
        </is>
      </c>
      <c r="H1070" s="6" t="inlineStr">
        <is>
          <t>PY</t>
        </is>
      </c>
      <c r="I1070" s="8" t="n">
        <v>5974989</v>
      </c>
      <c r="J1070" s="6" t="inlineStr">
        <is>
          <t>MWh</t>
        </is>
      </c>
      <c r="K1070" s="8" t="n">
        <v>5974989</v>
      </c>
      <c r="L1070" s="6" t="inlineStr">
        <is>
          <t>MWh</t>
        </is>
      </c>
      <c r="M1070" s="6" t="inlineStr">
        <is>
          <t>ANDE</t>
        </is>
      </c>
      <c r="N1070" s="6" t="inlineStr">
        <is>
          <t>OFFICIAL_PRIMARY</t>
        </is>
      </c>
      <c r="O1070" s="9" t="inlineStr">
        <is>
          <t>OFFICIAL_AGGREGATE</t>
        </is>
      </c>
      <c r="P1070" s="10" t="n">
        <v>0</v>
      </c>
      <c r="Q1070" s="8" t="n">
        <v>75</v>
      </c>
      <c r="R1070" s="7" t="inlineStr">
        <is>
          <t>https://www.ande.gov.py/documentos_contables/650/compilacion_estadistica_1998-2018.pdf</t>
        </is>
      </c>
      <c r="S1070" s="6" t="inlineStr">
        <is>
          <t>ANDE-98-18</t>
        </is>
      </c>
      <c r="T1070" s="6" t="inlineStr"/>
      <c r="U1070" s="4" t="inlineStr">
        <is>
          <t>2026-09-11 00:05:00</t>
        </is>
      </c>
      <c r="V1070" s="4" t="inlineStr">
        <is>
          <t>Serie revisada; prioridad sobre compilacion 1983-2006 en años solapados.</t>
        </is>
      </c>
    </row>
    <row r="1071">
      <c r="A1071" s="6" t="inlineStr">
        <is>
          <t>R0001070</t>
        </is>
      </c>
      <c r="B1071" s="6" t="inlineStr">
        <is>
          <t>2009-01-01</t>
        </is>
      </c>
      <c r="C1071" s="6" t="inlineStr">
        <is>
          <t>2009-12-31</t>
        </is>
      </c>
      <c r="D1071" s="6" t="inlineStr">
        <is>
          <t>year</t>
        </is>
      </c>
      <c r="E1071" s="6" t="inlineStr">
        <is>
          <t>ANDE_BILLED_NATIONAL_ENERGY</t>
        </is>
      </c>
      <c r="F1071" s="6" t="inlineStr">
        <is>
          <t>PY_SIN</t>
        </is>
      </c>
      <c r="G1071" s="6" t="inlineStr">
        <is>
          <t>PY</t>
        </is>
      </c>
      <c r="H1071" s="6" t="inlineStr">
        <is>
          <t>PY</t>
        </is>
      </c>
      <c r="I1071" s="8" t="n">
        <v>6451131</v>
      </c>
      <c r="J1071" s="6" t="inlineStr">
        <is>
          <t>MWh</t>
        </is>
      </c>
      <c r="K1071" s="8" t="n">
        <v>6451131</v>
      </c>
      <c r="L1071" s="6" t="inlineStr">
        <is>
          <t>MWh</t>
        </is>
      </c>
      <c r="M1071" s="6" t="inlineStr">
        <is>
          <t>ANDE</t>
        </is>
      </c>
      <c r="N1071" s="6" t="inlineStr">
        <is>
          <t>OFFICIAL_PRIMARY</t>
        </is>
      </c>
      <c r="O1071" s="9" t="inlineStr">
        <is>
          <t>OFFICIAL_AGGREGATE</t>
        </is>
      </c>
      <c r="P1071" s="10" t="n">
        <v>0</v>
      </c>
      <c r="Q1071" s="8" t="n">
        <v>75</v>
      </c>
      <c r="R1071" s="7" t="inlineStr">
        <is>
          <t>https://www.ande.gov.py/documentos_contables/650/compilacion_estadistica_1998-2018.pdf</t>
        </is>
      </c>
      <c r="S1071" s="6" t="inlineStr">
        <is>
          <t>ANDE-98-18</t>
        </is>
      </c>
      <c r="T1071" s="6" t="inlineStr"/>
      <c r="U1071" s="4" t="inlineStr">
        <is>
          <t>2026-09-11 00:05:00</t>
        </is>
      </c>
      <c r="V1071" s="4" t="inlineStr">
        <is>
          <t>Serie revisada; prioridad sobre compilacion 1983-2006 en años solapados.</t>
        </is>
      </c>
    </row>
    <row r="1072">
      <c r="A1072" s="6" t="inlineStr">
        <is>
          <t>R0001071</t>
        </is>
      </c>
      <c r="B1072" s="6" t="inlineStr">
        <is>
          <t>2010-01-01</t>
        </is>
      </c>
      <c r="C1072" s="6" t="inlineStr">
        <is>
          <t>2010-12-31</t>
        </is>
      </c>
      <c r="D1072" s="6" t="inlineStr">
        <is>
          <t>year</t>
        </is>
      </c>
      <c r="E1072" s="6" t="inlineStr">
        <is>
          <t>ANDE_BILLED_NATIONAL_ENERGY</t>
        </is>
      </c>
      <c r="F1072" s="6" t="inlineStr">
        <is>
          <t>PY_SIN</t>
        </is>
      </c>
      <c r="G1072" s="6" t="inlineStr">
        <is>
          <t>PY</t>
        </is>
      </c>
      <c r="H1072" s="6" t="inlineStr">
        <is>
          <t>PY</t>
        </is>
      </c>
      <c r="I1072" s="8" t="n">
        <v>6864594</v>
      </c>
      <c r="J1072" s="6" t="inlineStr">
        <is>
          <t>MWh</t>
        </is>
      </c>
      <c r="K1072" s="8" t="n">
        <v>6864594</v>
      </c>
      <c r="L1072" s="6" t="inlineStr">
        <is>
          <t>MWh</t>
        </is>
      </c>
      <c r="M1072" s="6" t="inlineStr">
        <is>
          <t>ANDE</t>
        </is>
      </c>
      <c r="N1072" s="6" t="inlineStr">
        <is>
          <t>OFFICIAL_PRIMARY</t>
        </is>
      </c>
      <c r="O1072" s="9" t="inlineStr">
        <is>
          <t>OFFICIAL_AGGREGATE</t>
        </is>
      </c>
      <c r="P1072" s="10" t="n">
        <v>0</v>
      </c>
      <c r="Q1072" s="8" t="n">
        <v>75</v>
      </c>
      <c r="R1072" s="7" t="inlineStr">
        <is>
          <t>https://www.ande.gov.py/documentos_contables/650/compilacion_estadistica_1998-2018.pdf</t>
        </is>
      </c>
      <c r="S1072" s="6" t="inlineStr">
        <is>
          <t>ANDE-98-18</t>
        </is>
      </c>
      <c r="T1072" s="6" t="inlineStr"/>
      <c r="U1072" s="4" t="inlineStr">
        <is>
          <t>2026-09-11 00:05:00</t>
        </is>
      </c>
      <c r="V1072" s="4" t="inlineStr">
        <is>
          <t>Serie revisada; prioridad sobre compilacion 1983-2006 en años solapados.</t>
        </is>
      </c>
    </row>
    <row r="1073">
      <c r="A1073" s="6" t="inlineStr">
        <is>
          <t>R0001072</t>
        </is>
      </c>
      <c r="B1073" s="6" t="inlineStr">
        <is>
          <t>2011-01-01</t>
        </is>
      </c>
      <c r="C1073" s="6" t="inlineStr">
        <is>
          <t>2011-12-31</t>
        </is>
      </c>
      <c r="D1073" s="6" t="inlineStr">
        <is>
          <t>year</t>
        </is>
      </c>
      <c r="E1073" s="6" t="inlineStr">
        <is>
          <t>ANDE_BILLED_NATIONAL_ENERGY</t>
        </is>
      </c>
      <c r="F1073" s="6" t="inlineStr">
        <is>
          <t>PY_SIN</t>
        </is>
      </c>
      <c r="G1073" s="6" t="inlineStr">
        <is>
          <t>PY</t>
        </is>
      </c>
      <c r="H1073" s="6" t="inlineStr">
        <is>
          <t>PY</t>
        </is>
      </c>
      <c r="I1073" s="8" t="n">
        <v>7570520</v>
      </c>
      <c r="J1073" s="6" t="inlineStr">
        <is>
          <t>MWh</t>
        </is>
      </c>
      <c r="K1073" s="8" t="n">
        <v>7570520</v>
      </c>
      <c r="L1073" s="6" t="inlineStr">
        <is>
          <t>MWh</t>
        </is>
      </c>
      <c r="M1073" s="6" t="inlineStr">
        <is>
          <t>ANDE</t>
        </is>
      </c>
      <c r="N1073" s="6" t="inlineStr">
        <is>
          <t>OFFICIAL_PRIMARY</t>
        </is>
      </c>
      <c r="O1073" s="9" t="inlineStr">
        <is>
          <t>OFFICIAL_AGGREGATE</t>
        </is>
      </c>
      <c r="P1073" s="10" t="n">
        <v>0</v>
      </c>
      <c r="Q1073" s="8" t="n">
        <v>75</v>
      </c>
      <c r="R1073" s="7" t="inlineStr">
        <is>
          <t>https://www.ande.gov.py/documentos_contables/650/compilacion_estadistica_1998-2018.pdf</t>
        </is>
      </c>
      <c r="S1073" s="6" t="inlineStr">
        <is>
          <t>ANDE-98-18</t>
        </is>
      </c>
      <c r="T1073" s="6" t="inlineStr"/>
      <c r="U1073" s="4" t="inlineStr">
        <is>
          <t>2026-09-11 00:05:00</t>
        </is>
      </c>
      <c r="V1073" s="4" t="inlineStr">
        <is>
          <t>Serie revisada; prioridad sobre compilacion 1983-2006 en años solapados.</t>
        </is>
      </c>
    </row>
    <row r="1074">
      <c r="A1074" s="6" t="inlineStr">
        <is>
          <t>R0001073</t>
        </is>
      </c>
      <c r="B1074" s="6" t="inlineStr">
        <is>
          <t>2012-01-01</t>
        </is>
      </c>
      <c r="C1074" s="6" t="inlineStr">
        <is>
          <t>2012-12-31</t>
        </is>
      </c>
      <c r="D1074" s="6" t="inlineStr">
        <is>
          <t>year</t>
        </is>
      </c>
      <c r="E1074" s="6" t="inlineStr">
        <is>
          <t>ANDE_BILLED_NATIONAL_ENERGY</t>
        </is>
      </c>
      <c r="F1074" s="6" t="inlineStr">
        <is>
          <t>PY_SIN</t>
        </is>
      </c>
      <c r="G1074" s="6" t="inlineStr">
        <is>
          <t>PY</t>
        </is>
      </c>
      <c r="H1074" s="6" t="inlineStr">
        <is>
          <t>PY</t>
        </is>
      </c>
      <c r="I1074" s="8" t="n">
        <v>8222238</v>
      </c>
      <c r="J1074" s="6" t="inlineStr">
        <is>
          <t>MWh</t>
        </is>
      </c>
      <c r="K1074" s="8" t="n">
        <v>8222238</v>
      </c>
      <c r="L1074" s="6" t="inlineStr">
        <is>
          <t>MWh</t>
        </is>
      </c>
      <c r="M1074" s="6" t="inlineStr">
        <is>
          <t>ANDE</t>
        </is>
      </c>
      <c r="N1074" s="6" t="inlineStr">
        <is>
          <t>OFFICIAL_PRIMARY</t>
        </is>
      </c>
      <c r="O1074" s="9" t="inlineStr">
        <is>
          <t>OFFICIAL_AGGREGATE</t>
        </is>
      </c>
      <c r="P1074" s="10" t="n">
        <v>0</v>
      </c>
      <c r="Q1074" s="8" t="n">
        <v>75</v>
      </c>
      <c r="R1074" s="7" t="inlineStr">
        <is>
          <t>https://www.ande.gov.py/documentos_contables/650/compilacion_estadistica_1998-2018.pdf</t>
        </is>
      </c>
      <c r="S1074" s="6" t="inlineStr">
        <is>
          <t>ANDE-98-18</t>
        </is>
      </c>
      <c r="T1074" s="6" t="inlineStr"/>
      <c r="U1074" s="4" t="inlineStr">
        <is>
          <t>2026-09-11 00:05:00</t>
        </is>
      </c>
      <c r="V1074" s="4" t="inlineStr">
        <is>
          <t>Serie revisada; prioridad sobre compilacion 1983-2006 en años solapados.</t>
        </is>
      </c>
    </row>
    <row r="1075">
      <c r="A1075" s="6" t="inlineStr">
        <is>
          <t>R0001074</t>
        </is>
      </c>
      <c r="B1075" s="6" t="inlineStr">
        <is>
          <t>2013-01-01</t>
        </is>
      </c>
      <c r="C1075" s="6" t="inlineStr">
        <is>
          <t>2013-12-31</t>
        </is>
      </c>
      <c r="D1075" s="6" t="inlineStr">
        <is>
          <t>year</t>
        </is>
      </c>
      <c r="E1075" s="6" t="inlineStr">
        <is>
          <t>ANDE_BILLED_NATIONAL_ENERGY</t>
        </is>
      </c>
      <c r="F1075" s="6" t="inlineStr">
        <is>
          <t>PY_SIN</t>
        </is>
      </c>
      <c r="G1075" s="6" t="inlineStr">
        <is>
          <t>PY</t>
        </is>
      </c>
      <c r="H1075" s="6" t="inlineStr">
        <is>
          <t>PY</t>
        </is>
      </c>
      <c r="I1075" s="8" t="n">
        <v>9018546</v>
      </c>
      <c r="J1075" s="6" t="inlineStr">
        <is>
          <t>MWh</t>
        </is>
      </c>
      <c r="K1075" s="8" t="n">
        <v>9018546</v>
      </c>
      <c r="L1075" s="6" t="inlineStr">
        <is>
          <t>MWh</t>
        </is>
      </c>
      <c r="M1075" s="6" t="inlineStr">
        <is>
          <t>ANDE</t>
        </is>
      </c>
      <c r="N1075" s="6" t="inlineStr">
        <is>
          <t>OFFICIAL_PRIMARY</t>
        </is>
      </c>
      <c r="O1075" s="9" t="inlineStr">
        <is>
          <t>OFFICIAL_AGGREGATE</t>
        </is>
      </c>
      <c r="P1075" s="10" t="n">
        <v>0</v>
      </c>
      <c r="Q1075" s="8" t="n">
        <v>75</v>
      </c>
      <c r="R1075" s="7" t="inlineStr">
        <is>
          <t>https://www.ande.gov.py/documentos_contables/650/compilacion_estadistica_1998-2018.pdf</t>
        </is>
      </c>
      <c r="S1075" s="6" t="inlineStr">
        <is>
          <t>ANDE-98-18</t>
        </is>
      </c>
      <c r="T1075" s="6" t="inlineStr"/>
      <c r="U1075" s="4" t="inlineStr">
        <is>
          <t>2026-09-11 00:05:00</t>
        </is>
      </c>
      <c r="V1075" s="4" t="inlineStr">
        <is>
          <t>Serie revisada; prioridad sobre compilacion 1983-2006 en años solapados.</t>
        </is>
      </c>
    </row>
    <row r="1076">
      <c r="A1076" s="6" t="inlineStr">
        <is>
          <t>R0001075</t>
        </is>
      </c>
      <c r="B1076" s="6" t="inlineStr">
        <is>
          <t>2014-01-01</t>
        </is>
      </c>
      <c r="C1076" s="6" t="inlineStr">
        <is>
          <t>2014-12-31</t>
        </is>
      </c>
      <c r="D1076" s="6" t="inlineStr">
        <is>
          <t>year</t>
        </is>
      </c>
      <c r="E1076" s="6" t="inlineStr">
        <is>
          <t>ANDE_BILLED_NATIONAL_ENERGY</t>
        </is>
      </c>
      <c r="F1076" s="6" t="inlineStr">
        <is>
          <t>PY_SIN</t>
        </is>
      </c>
      <c r="G1076" s="6" t="inlineStr">
        <is>
          <t>PY</t>
        </is>
      </c>
      <c r="H1076" s="6" t="inlineStr">
        <is>
          <t>PY</t>
        </is>
      </c>
      <c r="I1076" s="8" t="n">
        <v>9794563</v>
      </c>
      <c r="J1076" s="6" t="inlineStr">
        <is>
          <t>MWh</t>
        </is>
      </c>
      <c r="K1076" s="8" t="n">
        <v>9794563</v>
      </c>
      <c r="L1076" s="6" t="inlineStr">
        <is>
          <t>MWh</t>
        </is>
      </c>
      <c r="M1076" s="6" t="inlineStr">
        <is>
          <t>ANDE</t>
        </is>
      </c>
      <c r="N1076" s="6" t="inlineStr">
        <is>
          <t>OFFICIAL_PRIMARY</t>
        </is>
      </c>
      <c r="O1076" s="9" t="inlineStr">
        <is>
          <t>OFFICIAL_AGGREGATE</t>
        </is>
      </c>
      <c r="P1076" s="10" t="n">
        <v>0</v>
      </c>
      <c r="Q1076" s="8" t="n">
        <v>75</v>
      </c>
      <c r="R1076" s="7" t="inlineStr">
        <is>
          <t>https://www.ande.gov.py/documentos_contables/650/compilacion_estadistica_1998-2018.pdf</t>
        </is>
      </c>
      <c r="S1076" s="6" t="inlineStr">
        <is>
          <t>ANDE-98-18</t>
        </is>
      </c>
      <c r="T1076" s="6" t="inlineStr"/>
      <c r="U1076" s="4" t="inlineStr">
        <is>
          <t>2026-09-11 00:05:00</t>
        </is>
      </c>
      <c r="V1076" s="4" t="inlineStr">
        <is>
          <t>Serie revisada; prioridad sobre compilacion 1983-2006 en años solapados.</t>
        </is>
      </c>
    </row>
    <row r="1077">
      <c r="A1077" s="6" t="inlineStr">
        <is>
          <t>R0001076</t>
        </is>
      </c>
      <c r="B1077" s="6" t="inlineStr">
        <is>
          <t>2015-01-01</t>
        </is>
      </c>
      <c r="C1077" s="6" t="inlineStr">
        <is>
          <t>2015-12-31</t>
        </is>
      </c>
      <c r="D1077" s="6" t="inlineStr">
        <is>
          <t>year</t>
        </is>
      </c>
      <c r="E1077" s="6" t="inlineStr">
        <is>
          <t>ANDE_BILLED_NATIONAL_ENERGY</t>
        </is>
      </c>
      <c r="F1077" s="6" t="inlineStr">
        <is>
          <t>PY_SIN</t>
        </is>
      </c>
      <c r="G1077" s="6" t="inlineStr">
        <is>
          <t>PY</t>
        </is>
      </c>
      <c r="H1077" s="6" t="inlineStr">
        <is>
          <t>PY</t>
        </is>
      </c>
      <c r="I1077" s="8" t="n">
        <v>10336604</v>
      </c>
      <c r="J1077" s="6" t="inlineStr">
        <is>
          <t>MWh</t>
        </is>
      </c>
      <c r="K1077" s="8" t="n">
        <v>10336604</v>
      </c>
      <c r="L1077" s="6" t="inlineStr">
        <is>
          <t>MWh</t>
        </is>
      </c>
      <c r="M1077" s="6" t="inlineStr">
        <is>
          <t>ANDE</t>
        </is>
      </c>
      <c r="N1077" s="6" t="inlineStr">
        <is>
          <t>OFFICIAL_PRIMARY</t>
        </is>
      </c>
      <c r="O1077" s="9" t="inlineStr">
        <is>
          <t>OFFICIAL_AGGREGATE</t>
        </is>
      </c>
      <c r="P1077" s="10" t="n">
        <v>0</v>
      </c>
      <c r="Q1077" s="8" t="n">
        <v>75</v>
      </c>
      <c r="R1077" s="7" t="inlineStr">
        <is>
          <t>https://www.ande.gov.py/documentos_contables/650/compilacion_estadistica_1998-2018.pdf</t>
        </is>
      </c>
      <c r="S1077" s="6" t="inlineStr">
        <is>
          <t>ANDE-98-18</t>
        </is>
      </c>
      <c r="T1077" s="6" t="inlineStr"/>
      <c r="U1077" s="4" t="inlineStr">
        <is>
          <t>2026-09-11 00:05:00</t>
        </is>
      </c>
      <c r="V1077" s="4" t="inlineStr">
        <is>
          <t>Serie revisada; prioridad sobre compilacion 1983-2006 en años solapados.</t>
        </is>
      </c>
    </row>
    <row r="1078">
      <c r="A1078" s="6" t="inlineStr">
        <is>
          <t>R0001077</t>
        </is>
      </c>
      <c r="B1078" s="6" t="inlineStr">
        <is>
          <t>2016-01-01</t>
        </is>
      </c>
      <c r="C1078" s="6" t="inlineStr">
        <is>
          <t>2016-12-31</t>
        </is>
      </c>
      <c r="D1078" s="6" t="inlineStr">
        <is>
          <t>year</t>
        </is>
      </c>
      <c r="E1078" s="6" t="inlineStr">
        <is>
          <t>ANDE_BILLED_NATIONAL_ENERGY</t>
        </is>
      </c>
      <c r="F1078" s="6" t="inlineStr">
        <is>
          <t>PY_SIN</t>
        </is>
      </c>
      <c r="G1078" s="6" t="inlineStr">
        <is>
          <t>PY</t>
        </is>
      </c>
      <c r="H1078" s="6" t="inlineStr">
        <is>
          <t>PY</t>
        </is>
      </c>
      <c r="I1078" s="8" t="n">
        <v>10767398</v>
      </c>
      <c r="J1078" s="6" t="inlineStr">
        <is>
          <t>MWh</t>
        </is>
      </c>
      <c r="K1078" s="8" t="n">
        <v>10767398</v>
      </c>
      <c r="L1078" s="6" t="inlineStr">
        <is>
          <t>MWh</t>
        </is>
      </c>
      <c r="M1078" s="6" t="inlineStr">
        <is>
          <t>ANDE</t>
        </is>
      </c>
      <c r="N1078" s="6" t="inlineStr">
        <is>
          <t>OFFICIAL_PRIMARY</t>
        </is>
      </c>
      <c r="O1078" s="9" t="inlineStr">
        <is>
          <t>OFFICIAL_AGGREGATE</t>
        </is>
      </c>
      <c r="P1078" s="10" t="n">
        <v>0</v>
      </c>
      <c r="Q1078" s="8" t="n">
        <v>75</v>
      </c>
      <c r="R1078" s="7" t="inlineStr">
        <is>
          <t>https://www.ande.gov.py/documentos_contables/650/compilacion_estadistica_1998-2018.pdf</t>
        </is>
      </c>
      <c r="S1078" s="6" t="inlineStr">
        <is>
          <t>ANDE-98-18</t>
        </is>
      </c>
      <c r="T1078" s="6" t="inlineStr"/>
      <c r="U1078" s="4" t="inlineStr">
        <is>
          <t>2026-09-11 00:05:00</t>
        </is>
      </c>
      <c r="V1078" s="4" t="inlineStr">
        <is>
          <t>Serie revisada; prioridad sobre compilacion 1983-2006 en años solapados.</t>
        </is>
      </c>
    </row>
    <row r="1079">
      <c r="A1079" s="6" t="inlineStr">
        <is>
          <t>R0001078</t>
        </is>
      </c>
      <c r="B1079" s="6" t="inlineStr">
        <is>
          <t>2017-01-01</t>
        </is>
      </c>
      <c r="C1079" s="6" t="inlineStr">
        <is>
          <t>2017-12-31</t>
        </is>
      </c>
      <c r="D1079" s="6" t="inlineStr">
        <is>
          <t>year</t>
        </is>
      </c>
      <c r="E1079" s="6" t="inlineStr">
        <is>
          <t>ANDE_BILLED_NATIONAL_ENERGY</t>
        </is>
      </c>
      <c r="F1079" s="6" t="inlineStr">
        <is>
          <t>PY_SIN</t>
        </is>
      </c>
      <c r="G1079" s="6" t="inlineStr">
        <is>
          <t>PY</t>
        </is>
      </c>
      <c r="H1079" s="6" t="inlineStr">
        <is>
          <t>PY</t>
        </is>
      </c>
      <c r="I1079" s="8" t="n">
        <v>11237933</v>
      </c>
      <c r="J1079" s="6" t="inlineStr">
        <is>
          <t>MWh</t>
        </is>
      </c>
      <c r="K1079" s="8" t="n">
        <v>11237933</v>
      </c>
      <c r="L1079" s="6" t="inlineStr">
        <is>
          <t>MWh</t>
        </is>
      </c>
      <c r="M1079" s="6" t="inlineStr">
        <is>
          <t>ANDE</t>
        </is>
      </c>
      <c r="N1079" s="6" t="inlineStr">
        <is>
          <t>OFFICIAL_PRIMARY</t>
        </is>
      </c>
      <c r="O1079" s="9" t="inlineStr">
        <is>
          <t>OFFICIAL_AGGREGATE</t>
        </is>
      </c>
      <c r="P1079" s="10" t="n">
        <v>0</v>
      </c>
      <c r="Q1079" s="8" t="n">
        <v>75</v>
      </c>
      <c r="R1079" s="7" t="inlineStr">
        <is>
          <t>https://www.ande.gov.py/documentos_contables/650/compilacion_estadistica_1998-2018.pdf</t>
        </is>
      </c>
      <c r="S1079" s="6" t="inlineStr">
        <is>
          <t>ANDE-98-18</t>
        </is>
      </c>
      <c r="T1079" s="6" t="inlineStr"/>
      <c r="U1079" s="4" t="inlineStr">
        <is>
          <t>2026-09-11 00:05:00</t>
        </is>
      </c>
      <c r="V1079" s="4" t="inlineStr">
        <is>
          <t>Serie revisada; prioridad sobre compilacion 1983-2006 en años solapados.</t>
        </is>
      </c>
    </row>
    <row r="1080">
      <c r="A1080" s="6" t="inlineStr">
        <is>
          <t>R0001079</t>
        </is>
      </c>
      <c r="B1080" s="6" t="inlineStr">
        <is>
          <t>2018-01-01</t>
        </is>
      </c>
      <c r="C1080" s="6" t="inlineStr">
        <is>
          <t>2018-12-31</t>
        </is>
      </c>
      <c r="D1080" s="6" t="inlineStr">
        <is>
          <t>year</t>
        </is>
      </c>
      <c r="E1080" s="6" t="inlineStr">
        <is>
          <t>ANDE_BILLED_NATIONAL_ENERGY</t>
        </is>
      </c>
      <c r="F1080" s="6" t="inlineStr">
        <is>
          <t>PY_SIN</t>
        </is>
      </c>
      <c r="G1080" s="6" t="inlineStr">
        <is>
          <t>PY</t>
        </is>
      </c>
      <c r="H1080" s="6" t="inlineStr">
        <is>
          <t>PY</t>
        </is>
      </c>
      <c r="I1080" s="8" t="n">
        <v>12172700</v>
      </c>
      <c r="J1080" s="6" t="inlineStr">
        <is>
          <t>MWh</t>
        </is>
      </c>
      <c r="K1080" s="8" t="n">
        <v>12172700</v>
      </c>
      <c r="L1080" s="6" t="inlineStr">
        <is>
          <t>MWh</t>
        </is>
      </c>
      <c r="M1080" s="6" t="inlineStr">
        <is>
          <t>ANDE</t>
        </is>
      </c>
      <c r="N1080" s="6" t="inlineStr">
        <is>
          <t>OFFICIAL_PRIMARY</t>
        </is>
      </c>
      <c r="O1080" s="9" t="inlineStr">
        <is>
          <t>OFFICIAL_AGGREGATE</t>
        </is>
      </c>
      <c r="P1080" s="10" t="n">
        <v>0</v>
      </c>
      <c r="Q1080" s="8" t="n">
        <v>75</v>
      </c>
      <c r="R1080" s="7" t="inlineStr">
        <is>
          <t>https://www.ande.gov.py/documentos_contables/650/compilacion_estadistica_1998-2018.pdf</t>
        </is>
      </c>
      <c r="S1080" s="6" t="inlineStr">
        <is>
          <t>ANDE-98-18</t>
        </is>
      </c>
      <c r="T1080" s="6" t="inlineStr"/>
      <c r="U1080" s="4" t="inlineStr">
        <is>
          <t>2026-09-11 00:05:00</t>
        </is>
      </c>
      <c r="V1080" s="4" t="inlineStr">
        <is>
          <t>Serie revisada; prioridad sobre compilacion 1983-2006 en años solapados.</t>
        </is>
      </c>
    </row>
    <row r="1081">
      <c r="A1081" s="6" t="inlineStr">
        <is>
          <t>R0001080</t>
        </is>
      </c>
      <c r="B1081" s="6" t="inlineStr">
        <is>
          <t>1998-01-01</t>
        </is>
      </c>
      <c r="C1081" s="6" t="inlineStr">
        <is>
          <t>1998-12-31</t>
        </is>
      </c>
      <c r="D1081" s="6" t="inlineStr">
        <is>
          <t>year</t>
        </is>
      </c>
      <c r="E1081" s="6" t="inlineStr">
        <is>
          <t>ANDE_EXPORT_BILLED_ENERGY</t>
        </is>
      </c>
      <c r="F1081" s="6" t="inlineStr">
        <is>
          <t>PY_SIN</t>
        </is>
      </c>
      <c r="G1081" s="6" t="inlineStr">
        <is>
          <t>PY</t>
        </is>
      </c>
      <c r="H1081" s="6" t="inlineStr">
        <is>
          <t>EXTERNAL</t>
        </is>
      </c>
      <c r="I1081" s="8" t="n">
        <v>102818</v>
      </c>
      <c r="J1081" s="6" t="inlineStr">
        <is>
          <t>MWh</t>
        </is>
      </c>
      <c r="K1081" s="8" t="n">
        <v>102818</v>
      </c>
      <c r="L1081" s="6" t="inlineStr">
        <is>
          <t>MWh</t>
        </is>
      </c>
      <c r="M1081" s="6" t="inlineStr">
        <is>
          <t>ANDE</t>
        </is>
      </c>
      <c r="N1081" s="6" t="inlineStr">
        <is>
          <t>OFFICIAL_PRIMARY</t>
        </is>
      </c>
      <c r="O1081" s="9" t="inlineStr">
        <is>
          <t>OFFICIAL_AGGREGATE</t>
        </is>
      </c>
      <c r="P1081" s="8" t="n">
        <v>1</v>
      </c>
      <c r="Q1081" s="8" t="n">
        <v>75</v>
      </c>
      <c r="R1081" s="7" t="inlineStr">
        <is>
          <t>https://www.ande.gov.py/documentos_contables/650/compilacion_estadistica_1998-2018.pdf</t>
        </is>
      </c>
      <c r="S1081" s="6" t="inlineStr">
        <is>
          <t>ANDE-98-18</t>
        </is>
      </c>
      <c r="T1081" s="6" t="inlineStr"/>
      <c r="U1081" s="4" t="inlineStr">
        <is>
          <t>2026-09-11 00:05:00</t>
        </is>
      </c>
      <c r="V1081" s="4" t="inlineStr">
        <is>
          <t>Serie revisada; prioridad sobre compilacion 1983-2006 en años solapados.</t>
        </is>
      </c>
    </row>
    <row r="1082">
      <c r="A1082" s="6" t="inlineStr">
        <is>
          <t>R0001081</t>
        </is>
      </c>
      <c r="B1082" s="6" t="inlineStr">
        <is>
          <t>1999-01-01</t>
        </is>
      </c>
      <c r="C1082" s="6" t="inlineStr">
        <is>
          <t>1999-12-31</t>
        </is>
      </c>
      <c r="D1082" s="6" t="inlineStr">
        <is>
          <t>year</t>
        </is>
      </c>
      <c r="E1082" s="6" t="inlineStr">
        <is>
          <t>ANDE_EXPORT_BILLED_ENERGY</t>
        </is>
      </c>
      <c r="F1082" s="6" t="inlineStr">
        <is>
          <t>PY_SIN</t>
        </is>
      </c>
      <c r="G1082" s="6" t="inlineStr">
        <is>
          <t>PY</t>
        </is>
      </c>
      <c r="H1082" s="6" t="inlineStr">
        <is>
          <t>EXTERNAL</t>
        </is>
      </c>
      <c r="I1082" s="8" t="n">
        <v>484893</v>
      </c>
      <c r="J1082" s="6" t="inlineStr">
        <is>
          <t>MWh</t>
        </is>
      </c>
      <c r="K1082" s="8" t="n">
        <v>484893</v>
      </c>
      <c r="L1082" s="6" t="inlineStr">
        <is>
          <t>MWh</t>
        </is>
      </c>
      <c r="M1082" s="6" t="inlineStr">
        <is>
          <t>ANDE</t>
        </is>
      </c>
      <c r="N1082" s="6" t="inlineStr">
        <is>
          <t>OFFICIAL_PRIMARY</t>
        </is>
      </c>
      <c r="O1082" s="9" t="inlineStr">
        <is>
          <t>OFFICIAL_AGGREGATE</t>
        </is>
      </c>
      <c r="P1082" s="8" t="n">
        <v>1</v>
      </c>
      <c r="Q1082" s="8" t="n">
        <v>75</v>
      </c>
      <c r="R1082" s="7" t="inlineStr">
        <is>
          <t>https://www.ande.gov.py/documentos_contables/650/compilacion_estadistica_1998-2018.pdf</t>
        </is>
      </c>
      <c r="S1082" s="6" t="inlineStr">
        <is>
          <t>ANDE-98-18</t>
        </is>
      </c>
      <c r="T1082" s="6" t="inlineStr"/>
      <c r="U1082" s="4" t="inlineStr">
        <is>
          <t>2026-09-11 00:05:00</t>
        </is>
      </c>
      <c r="V1082" s="4" t="inlineStr">
        <is>
          <t>Serie revisada; prioridad sobre compilacion 1983-2006 en años solapados.</t>
        </is>
      </c>
    </row>
    <row r="1083">
      <c r="A1083" s="6" t="inlineStr">
        <is>
          <t>R0001082</t>
        </is>
      </c>
      <c r="B1083" s="6" t="inlineStr">
        <is>
          <t>2000-01-01</t>
        </is>
      </c>
      <c r="C1083" s="6" t="inlineStr">
        <is>
          <t>2000-12-31</t>
        </is>
      </c>
      <c r="D1083" s="6" t="inlineStr">
        <is>
          <t>year</t>
        </is>
      </c>
      <c r="E1083" s="6" t="inlineStr">
        <is>
          <t>ANDE_EXPORT_BILLED_ENERGY</t>
        </is>
      </c>
      <c r="F1083" s="6" t="inlineStr">
        <is>
          <t>PY_SIN</t>
        </is>
      </c>
      <c r="G1083" s="6" t="inlineStr">
        <is>
          <t>PY</t>
        </is>
      </c>
      <c r="H1083" s="6" t="inlineStr">
        <is>
          <t>EXTERNAL</t>
        </is>
      </c>
      <c r="I1083" s="8" t="n">
        <v>608465</v>
      </c>
      <c r="J1083" s="6" t="inlineStr">
        <is>
          <t>MWh</t>
        </is>
      </c>
      <c r="K1083" s="8" t="n">
        <v>608465</v>
      </c>
      <c r="L1083" s="6" t="inlineStr">
        <is>
          <t>MWh</t>
        </is>
      </c>
      <c r="M1083" s="6" t="inlineStr">
        <is>
          <t>ANDE</t>
        </is>
      </c>
      <c r="N1083" s="6" t="inlineStr">
        <is>
          <t>OFFICIAL_PRIMARY</t>
        </is>
      </c>
      <c r="O1083" s="9" t="inlineStr">
        <is>
          <t>OFFICIAL_AGGREGATE</t>
        </is>
      </c>
      <c r="P1083" s="8" t="n">
        <v>1</v>
      </c>
      <c r="Q1083" s="8" t="n">
        <v>75</v>
      </c>
      <c r="R1083" s="7" t="inlineStr">
        <is>
          <t>https://www.ande.gov.py/documentos_contables/650/compilacion_estadistica_1998-2018.pdf</t>
        </is>
      </c>
      <c r="S1083" s="6" t="inlineStr">
        <is>
          <t>ANDE-98-18</t>
        </is>
      </c>
      <c r="T1083" s="6" t="inlineStr"/>
      <c r="U1083" s="4" t="inlineStr">
        <is>
          <t>2026-09-11 00:05:00</t>
        </is>
      </c>
      <c r="V1083" s="4" t="inlineStr">
        <is>
          <t>Serie revisada; prioridad sobre compilacion 1983-2006 en años solapados.</t>
        </is>
      </c>
    </row>
    <row r="1084">
      <c r="A1084" s="6" t="inlineStr">
        <is>
          <t>R0001083</t>
        </is>
      </c>
      <c r="B1084" s="6" t="inlineStr">
        <is>
          <t>2001-01-01</t>
        </is>
      </c>
      <c r="C1084" s="6" t="inlineStr">
        <is>
          <t>2001-12-31</t>
        </is>
      </c>
      <c r="D1084" s="6" t="inlineStr">
        <is>
          <t>year</t>
        </is>
      </c>
      <c r="E1084" s="6" t="inlineStr">
        <is>
          <t>ANDE_EXPORT_BILLED_ENERGY</t>
        </is>
      </c>
      <c r="F1084" s="6" t="inlineStr">
        <is>
          <t>PY_SIN</t>
        </is>
      </c>
      <c r="G1084" s="6" t="inlineStr">
        <is>
          <t>PY</t>
        </is>
      </c>
      <c r="H1084" s="6" t="inlineStr">
        <is>
          <t>EXTERNAL</t>
        </is>
      </c>
      <c r="I1084" s="8" t="n">
        <v>636287</v>
      </c>
      <c r="J1084" s="6" t="inlineStr">
        <is>
          <t>MWh</t>
        </is>
      </c>
      <c r="K1084" s="8" t="n">
        <v>636287</v>
      </c>
      <c r="L1084" s="6" t="inlineStr">
        <is>
          <t>MWh</t>
        </is>
      </c>
      <c r="M1084" s="6" t="inlineStr">
        <is>
          <t>ANDE</t>
        </is>
      </c>
      <c r="N1084" s="6" t="inlineStr">
        <is>
          <t>OFFICIAL_PRIMARY</t>
        </is>
      </c>
      <c r="O1084" s="9" t="inlineStr">
        <is>
          <t>OFFICIAL_AGGREGATE</t>
        </is>
      </c>
      <c r="P1084" s="8" t="n">
        <v>1</v>
      </c>
      <c r="Q1084" s="8" t="n">
        <v>75</v>
      </c>
      <c r="R1084" s="7" t="inlineStr">
        <is>
          <t>https://www.ande.gov.py/documentos_contables/650/compilacion_estadistica_1998-2018.pdf</t>
        </is>
      </c>
      <c r="S1084" s="6" t="inlineStr">
        <is>
          <t>ANDE-98-18</t>
        </is>
      </c>
      <c r="T1084" s="6" t="inlineStr"/>
      <c r="U1084" s="4" t="inlineStr">
        <is>
          <t>2026-09-11 00:05:00</t>
        </is>
      </c>
      <c r="V1084" s="4" t="inlineStr">
        <is>
          <t>Serie revisada; prioridad sobre compilacion 1983-2006 en años solapados.</t>
        </is>
      </c>
    </row>
    <row r="1085">
      <c r="A1085" s="6" t="inlineStr">
        <is>
          <t>R0001084</t>
        </is>
      </c>
      <c r="B1085" s="6" t="inlineStr">
        <is>
          <t>2002-01-01</t>
        </is>
      </c>
      <c r="C1085" s="6" t="inlineStr">
        <is>
          <t>2002-12-31</t>
        </is>
      </c>
      <c r="D1085" s="6" t="inlineStr">
        <is>
          <t>year</t>
        </is>
      </c>
      <c r="E1085" s="6" t="inlineStr">
        <is>
          <t>ANDE_EXPORT_BILLED_ENERGY</t>
        </is>
      </c>
      <c r="F1085" s="6" t="inlineStr">
        <is>
          <t>PY_SIN</t>
        </is>
      </c>
      <c r="G1085" s="6" t="inlineStr">
        <is>
          <t>PY</t>
        </is>
      </c>
      <c r="H1085" s="6" t="inlineStr">
        <is>
          <t>EXTERNAL</t>
        </is>
      </c>
      <c r="I1085" s="8" t="n">
        <v>667162</v>
      </c>
      <c r="J1085" s="6" t="inlineStr">
        <is>
          <t>MWh</t>
        </is>
      </c>
      <c r="K1085" s="8" t="n">
        <v>667162</v>
      </c>
      <c r="L1085" s="6" t="inlineStr">
        <is>
          <t>MWh</t>
        </is>
      </c>
      <c r="M1085" s="6" t="inlineStr">
        <is>
          <t>ANDE</t>
        </is>
      </c>
      <c r="N1085" s="6" t="inlineStr">
        <is>
          <t>OFFICIAL_PRIMARY</t>
        </is>
      </c>
      <c r="O1085" s="9" t="inlineStr">
        <is>
          <t>OFFICIAL_AGGREGATE</t>
        </is>
      </c>
      <c r="P1085" s="8" t="n">
        <v>1</v>
      </c>
      <c r="Q1085" s="8" t="n">
        <v>75</v>
      </c>
      <c r="R1085" s="7" t="inlineStr">
        <is>
          <t>https://www.ande.gov.py/documentos_contables/650/compilacion_estadistica_1998-2018.pdf</t>
        </is>
      </c>
      <c r="S1085" s="6" t="inlineStr">
        <is>
          <t>ANDE-98-18</t>
        </is>
      </c>
      <c r="T1085" s="6" t="inlineStr"/>
      <c r="U1085" s="4" t="inlineStr">
        <is>
          <t>2026-09-11 00:05:00</t>
        </is>
      </c>
      <c r="V1085" s="4" t="inlineStr">
        <is>
          <t>Serie revisada; prioridad sobre compilacion 1983-2006 en años solapados.</t>
        </is>
      </c>
    </row>
    <row r="1086">
      <c r="A1086" s="6" t="inlineStr">
        <is>
          <t>R0001085</t>
        </is>
      </c>
      <c r="B1086" s="6" t="inlineStr">
        <is>
          <t>2003-01-01</t>
        </is>
      </c>
      <c r="C1086" s="6" t="inlineStr">
        <is>
          <t>2003-12-31</t>
        </is>
      </c>
      <c r="D1086" s="6" t="inlineStr">
        <is>
          <t>year</t>
        </is>
      </c>
      <c r="E1086" s="6" t="inlineStr">
        <is>
          <t>ANDE_EXPORT_BILLED_ENERGY</t>
        </is>
      </c>
      <c r="F1086" s="6" t="inlineStr">
        <is>
          <t>PY_SIN</t>
        </is>
      </c>
      <c r="G1086" s="6" t="inlineStr">
        <is>
          <t>PY</t>
        </is>
      </c>
      <c r="H1086" s="6" t="inlineStr">
        <is>
          <t>EXTERNAL</t>
        </is>
      </c>
      <c r="I1086" s="8" t="n">
        <v>617476</v>
      </c>
      <c r="J1086" s="6" t="inlineStr">
        <is>
          <t>MWh</t>
        </is>
      </c>
      <c r="K1086" s="8" t="n">
        <v>617476</v>
      </c>
      <c r="L1086" s="6" t="inlineStr">
        <is>
          <t>MWh</t>
        </is>
      </c>
      <c r="M1086" s="6" t="inlineStr">
        <is>
          <t>ANDE</t>
        </is>
      </c>
      <c r="N1086" s="6" t="inlineStr">
        <is>
          <t>OFFICIAL_PRIMARY</t>
        </is>
      </c>
      <c r="O1086" s="9" t="inlineStr">
        <is>
          <t>OFFICIAL_AGGREGATE</t>
        </is>
      </c>
      <c r="P1086" s="10" t="n">
        <v>0</v>
      </c>
      <c r="Q1086" s="8" t="n">
        <v>75</v>
      </c>
      <c r="R1086" s="7" t="inlineStr">
        <is>
          <t>https://www.ande.gov.py/documentos_contables/650/compilacion_estadistica_1998-2018.pdf</t>
        </is>
      </c>
      <c r="S1086" s="6" t="inlineStr">
        <is>
          <t>ANDE-98-18</t>
        </is>
      </c>
      <c r="T1086" s="6" t="inlineStr"/>
      <c r="U1086" s="4" t="inlineStr">
        <is>
          <t>2026-09-11 00:05:00</t>
        </is>
      </c>
      <c r="V1086" s="4" t="inlineStr">
        <is>
          <t>Serie revisada; prioridad sobre compilacion 1983-2006 en años solapados.</t>
        </is>
      </c>
    </row>
    <row r="1087">
      <c r="A1087" s="6" t="inlineStr">
        <is>
          <t>R0001086</t>
        </is>
      </c>
      <c r="B1087" s="6" t="inlineStr">
        <is>
          <t>2004-01-01</t>
        </is>
      </c>
      <c r="C1087" s="6" t="inlineStr">
        <is>
          <t>2004-12-31</t>
        </is>
      </c>
      <c r="D1087" s="6" t="inlineStr">
        <is>
          <t>year</t>
        </is>
      </c>
      <c r="E1087" s="6" t="inlineStr">
        <is>
          <t>ANDE_EXPORT_BILLED_ENERGY</t>
        </is>
      </c>
      <c r="F1087" s="6" t="inlineStr">
        <is>
          <t>PY_SIN</t>
        </is>
      </c>
      <c r="G1087" s="6" t="inlineStr">
        <is>
          <t>PY</t>
        </is>
      </c>
      <c r="H1087" s="6" t="inlineStr">
        <is>
          <t>EXTERNAL</t>
        </is>
      </c>
      <c r="I1087" s="8" t="n">
        <v>732380</v>
      </c>
      <c r="J1087" s="6" t="inlineStr">
        <is>
          <t>MWh</t>
        </is>
      </c>
      <c r="K1087" s="8" t="n">
        <v>732380</v>
      </c>
      <c r="L1087" s="6" t="inlineStr">
        <is>
          <t>MWh</t>
        </is>
      </c>
      <c r="M1087" s="6" t="inlineStr">
        <is>
          <t>ANDE</t>
        </is>
      </c>
      <c r="N1087" s="6" t="inlineStr">
        <is>
          <t>OFFICIAL_PRIMARY</t>
        </is>
      </c>
      <c r="O1087" s="9" t="inlineStr">
        <is>
          <t>OFFICIAL_AGGREGATE</t>
        </is>
      </c>
      <c r="P1087" s="10" t="n">
        <v>0</v>
      </c>
      <c r="Q1087" s="8" t="n">
        <v>75</v>
      </c>
      <c r="R1087" s="7" t="inlineStr">
        <is>
          <t>https://www.ande.gov.py/documentos_contables/650/compilacion_estadistica_1998-2018.pdf</t>
        </is>
      </c>
      <c r="S1087" s="6" t="inlineStr">
        <is>
          <t>ANDE-98-18</t>
        </is>
      </c>
      <c r="T1087" s="6" t="inlineStr"/>
      <c r="U1087" s="4" t="inlineStr">
        <is>
          <t>2026-09-11 00:05:00</t>
        </is>
      </c>
      <c r="V1087" s="4" t="inlineStr">
        <is>
          <t>Serie revisada; prioridad sobre compilacion 1983-2006 en años solapados.</t>
        </is>
      </c>
    </row>
    <row r="1088">
      <c r="A1088" s="6" t="inlineStr">
        <is>
          <t>R0001087</t>
        </is>
      </c>
      <c r="B1088" s="6" t="inlineStr">
        <is>
          <t>2005-01-01</t>
        </is>
      </c>
      <c r="C1088" s="6" t="inlineStr">
        <is>
          <t>2005-12-31</t>
        </is>
      </c>
      <c r="D1088" s="6" t="inlineStr">
        <is>
          <t>year</t>
        </is>
      </c>
      <c r="E1088" s="6" t="inlineStr">
        <is>
          <t>ANDE_EXPORT_BILLED_ENERGY</t>
        </is>
      </c>
      <c r="F1088" s="6" t="inlineStr">
        <is>
          <t>PY_SIN</t>
        </is>
      </c>
      <c r="G1088" s="6" t="inlineStr">
        <is>
          <t>PY</t>
        </is>
      </c>
      <c r="H1088" s="6" t="inlineStr">
        <is>
          <t>EXTERNAL</t>
        </is>
      </c>
      <c r="I1088" s="8" t="n">
        <v>417117</v>
      </c>
      <c r="J1088" s="6" t="inlineStr">
        <is>
          <t>MWh</t>
        </is>
      </c>
      <c r="K1088" s="8" t="n">
        <v>417117</v>
      </c>
      <c r="L1088" s="6" t="inlineStr">
        <is>
          <t>MWh</t>
        </is>
      </c>
      <c r="M1088" s="6" t="inlineStr">
        <is>
          <t>ANDE</t>
        </is>
      </c>
      <c r="N1088" s="6" t="inlineStr">
        <is>
          <t>OFFICIAL_PRIMARY</t>
        </is>
      </c>
      <c r="O1088" s="9" t="inlineStr">
        <is>
          <t>OFFICIAL_AGGREGATE</t>
        </is>
      </c>
      <c r="P1088" s="10" t="n">
        <v>0</v>
      </c>
      <c r="Q1088" s="8" t="n">
        <v>75</v>
      </c>
      <c r="R1088" s="7" t="inlineStr">
        <is>
          <t>https://www.ande.gov.py/documentos_contables/650/compilacion_estadistica_1998-2018.pdf</t>
        </is>
      </c>
      <c r="S1088" s="6" t="inlineStr">
        <is>
          <t>ANDE-98-18</t>
        </is>
      </c>
      <c r="T1088" s="6" t="inlineStr"/>
      <c r="U1088" s="4" t="inlineStr">
        <is>
          <t>2026-09-11 00:05:00</t>
        </is>
      </c>
      <c r="V1088" s="4" t="inlineStr">
        <is>
          <t>Serie revisada; prioridad sobre compilacion 1983-2006 en años solapados.</t>
        </is>
      </c>
    </row>
    <row r="1089">
      <c r="A1089" s="6" t="inlineStr">
        <is>
          <t>R0001088</t>
        </is>
      </c>
      <c r="B1089" s="6" t="inlineStr">
        <is>
          <t>2006-01-01</t>
        </is>
      </c>
      <c r="C1089" s="6" t="inlineStr">
        <is>
          <t>2006-12-31</t>
        </is>
      </c>
      <c r="D1089" s="6" t="inlineStr">
        <is>
          <t>year</t>
        </is>
      </c>
      <c r="E1089" s="6" t="inlineStr">
        <is>
          <t>ANDE_EXPORT_BILLED_ENERGY</t>
        </is>
      </c>
      <c r="F1089" s="6" t="inlineStr">
        <is>
          <t>PY_SIN</t>
        </is>
      </c>
      <c r="G1089" s="6" t="inlineStr">
        <is>
          <t>PY</t>
        </is>
      </c>
      <c r="H1089" s="6" t="inlineStr">
        <is>
          <t>EXTERNAL</t>
        </is>
      </c>
      <c r="I1089" s="8" t="n">
        <v>725646</v>
      </c>
      <c r="J1089" s="6" t="inlineStr">
        <is>
          <t>MWh</t>
        </is>
      </c>
      <c r="K1089" s="8" t="n">
        <v>725646</v>
      </c>
      <c r="L1089" s="6" t="inlineStr">
        <is>
          <t>MWh</t>
        </is>
      </c>
      <c r="M1089" s="6" t="inlineStr">
        <is>
          <t>ANDE</t>
        </is>
      </c>
      <c r="N1089" s="6" t="inlineStr">
        <is>
          <t>OFFICIAL_PRIMARY</t>
        </is>
      </c>
      <c r="O1089" s="9" t="inlineStr">
        <is>
          <t>OFFICIAL_AGGREGATE</t>
        </is>
      </c>
      <c r="P1089" s="10" t="n">
        <v>0</v>
      </c>
      <c r="Q1089" s="8" t="n">
        <v>75</v>
      </c>
      <c r="R1089" s="7" t="inlineStr">
        <is>
          <t>https://www.ande.gov.py/documentos_contables/650/compilacion_estadistica_1998-2018.pdf</t>
        </is>
      </c>
      <c r="S1089" s="6" t="inlineStr">
        <is>
          <t>ANDE-98-18</t>
        </is>
      </c>
      <c r="T1089" s="6" t="inlineStr"/>
      <c r="U1089" s="4" t="inlineStr">
        <is>
          <t>2026-09-11 00:05:00</t>
        </is>
      </c>
      <c r="V1089" s="4" t="inlineStr">
        <is>
          <t>Serie revisada; prioridad sobre compilacion 1983-2006 en años solapados.</t>
        </is>
      </c>
    </row>
    <row r="1090">
      <c r="A1090" s="6" t="inlineStr">
        <is>
          <t>R0001089</t>
        </is>
      </c>
      <c r="B1090" s="6" t="inlineStr">
        <is>
          <t>2007-01-01</t>
        </is>
      </c>
      <c r="C1090" s="6" t="inlineStr">
        <is>
          <t>2007-12-31</t>
        </is>
      </c>
      <c r="D1090" s="6" t="inlineStr">
        <is>
          <t>year</t>
        </is>
      </c>
      <c r="E1090" s="6" t="inlineStr">
        <is>
          <t>ANDE_EXPORT_BILLED_ENERGY</t>
        </is>
      </c>
      <c r="F1090" s="6" t="inlineStr">
        <is>
          <t>PY_SIN</t>
        </is>
      </c>
      <c r="G1090" s="6" t="inlineStr">
        <is>
          <t>PY</t>
        </is>
      </c>
      <c r="H1090" s="6" t="inlineStr">
        <is>
          <t>EXTERNAL</t>
        </is>
      </c>
      <c r="I1090" s="8" t="n">
        <v>516677</v>
      </c>
      <c r="J1090" s="6" t="inlineStr">
        <is>
          <t>MWh</t>
        </is>
      </c>
      <c r="K1090" s="8" t="n">
        <v>516677</v>
      </c>
      <c r="L1090" s="6" t="inlineStr">
        <is>
          <t>MWh</t>
        </is>
      </c>
      <c r="M1090" s="6" t="inlineStr">
        <is>
          <t>ANDE</t>
        </is>
      </c>
      <c r="N1090" s="6" t="inlineStr">
        <is>
          <t>OFFICIAL_PRIMARY</t>
        </is>
      </c>
      <c r="O1090" s="9" t="inlineStr">
        <is>
          <t>OFFICIAL_AGGREGATE</t>
        </is>
      </c>
      <c r="P1090" s="10" t="n">
        <v>0</v>
      </c>
      <c r="Q1090" s="8" t="n">
        <v>75</v>
      </c>
      <c r="R1090" s="7" t="inlineStr">
        <is>
          <t>https://www.ande.gov.py/documentos_contables/650/compilacion_estadistica_1998-2018.pdf</t>
        </is>
      </c>
      <c r="S1090" s="6" t="inlineStr">
        <is>
          <t>ANDE-98-18</t>
        </is>
      </c>
      <c r="T1090" s="6" t="inlineStr"/>
      <c r="U1090" s="4" t="inlineStr">
        <is>
          <t>2026-09-11 00:05:00</t>
        </is>
      </c>
      <c r="V1090" s="4" t="inlineStr">
        <is>
          <t>Serie revisada; prioridad sobre compilacion 1983-2006 en años solapados.</t>
        </is>
      </c>
    </row>
    <row r="1091">
      <c r="A1091" s="6" t="inlineStr">
        <is>
          <t>R0001090</t>
        </is>
      </c>
      <c r="B1091" s="6" t="inlineStr">
        <is>
          <t>2008-01-01</t>
        </is>
      </c>
      <c r="C1091" s="6" t="inlineStr">
        <is>
          <t>2008-12-31</t>
        </is>
      </c>
      <c r="D1091" s="6" t="inlineStr">
        <is>
          <t>year</t>
        </is>
      </c>
      <c r="E1091" s="6" t="inlineStr">
        <is>
          <t>ANDE_EXPORT_BILLED_ENERGY</t>
        </is>
      </c>
      <c r="F1091" s="6" t="inlineStr">
        <is>
          <t>PY_SIN</t>
        </is>
      </c>
      <c r="G1091" s="6" t="inlineStr">
        <is>
          <t>PY</t>
        </is>
      </c>
      <c r="H1091" s="6" t="inlineStr">
        <is>
          <t>EXTERNAL</t>
        </is>
      </c>
      <c r="I1091" s="8" t="n">
        <v>187682</v>
      </c>
      <c r="J1091" s="6" t="inlineStr">
        <is>
          <t>MWh</t>
        </is>
      </c>
      <c r="K1091" s="8" t="n">
        <v>187682</v>
      </c>
      <c r="L1091" s="6" t="inlineStr">
        <is>
          <t>MWh</t>
        </is>
      </c>
      <c r="M1091" s="6" t="inlineStr">
        <is>
          <t>ANDE</t>
        </is>
      </c>
      <c r="N1091" s="6" t="inlineStr">
        <is>
          <t>OFFICIAL_PRIMARY</t>
        </is>
      </c>
      <c r="O1091" s="9" t="inlineStr">
        <is>
          <t>OFFICIAL_AGGREGATE</t>
        </is>
      </c>
      <c r="P1091" s="10" t="n">
        <v>0</v>
      </c>
      <c r="Q1091" s="8" t="n">
        <v>75</v>
      </c>
      <c r="R1091" s="7" t="inlineStr">
        <is>
          <t>https://www.ande.gov.py/documentos_contables/650/compilacion_estadistica_1998-2018.pdf</t>
        </is>
      </c>
      <c r="S1091" s="6" t="inlineStr">
        <is>
          <t>ANDE-98-18</t>
        </is>
      </c>
      <c r="T1091" s="6" t="inlineStr"/>
      <c r="U1091" s="4" t="inlineStr">
        <is>
          <t>2026-09-11 00:05:00</t>
        </is>
      </c>
      <c r="V1091" s="4" t="inlineStr">
        <is>
          <t>Serie revisada; prioridad sobre compilacion 1983-2006 en años solapados.</t>
        </is>
      </c>
    </row>
    <row r="1092">
      <c r="A1092" s="6" t="inlineStr">
        <is>
          <t>R0001091</t>
        </is>
      </c>
      <c r="B1092" s="6" t="inlineStr">
        <is>
          <t>2009-01-01</t>
        </is>
      </c>
      <c r="C1092" s="6" t="inlineStr">
        <is>
          <t>2009-12-31</t>
        </is>
      </c>
      <c r="D1092" s="6" t="inlineStr">
        <is>
          <t>year</t>
        </is>
      </c>
      <c r="E1092" s="6" t="inlineStr">
        <is>
          <t>ANDE_EXPORT_BILLED_ENERGY</t>
        </is>
      </c>
      <c r="F1092" s="6" t="inlineStr">
        <is>
          <t>PY_SIN</t>
        </is>
      </c>
      <c r="G1092" s="6" t="inlineStr">
        <is>
          <t>PY</t>
        </is>
      </c>
      <c r="H1092" s="6" t="inlineStr">
        <is>
          <t>EXTERNAL</t>
        </is>
      </c>
      <c r="I1092" s="8" t="n">
        <v>448213</v>
      </c>
      <c r="J1092" s="6" t="inlineStr">
        <is>
          <t>MWh</t>
        </is>
      </c>
      <c r="K1092" s="8" t="n">
        <v>448213</v>
      </c>
      <c r="L1092" s="6" t="inlineStr">
        <is>
          <t>MWh</t>
        </is>
      </c>
      <c r="M1092" s="6" t="inlineStr">
        <is>
          <t>ANDE</t>
        </is>
      </c>
      <c r="N1092" s="6" t="inlineStr">
        <is>
          <t>OFFICIAL_PRIMARY</t>
        </is>
      </c>
      <c r="O1092" s="9" t="inlineStr">
        <is>
          <t>OFFICIAL_AGGREGATE</t>
        </is>
      </c>
      <c r="P1092" s="10" t="n">
        <v>0</v>
      </c>
      <c r="Q1092" s="8" t="n">
        <v>75</v>
      </c>
      <c r="R1092" s="7" t="inlineStr">
        <is>
          <t>https://www.ande.gov.py/documentos_contables/650/compilacion_estadistica_1998-2018.pdf</t>
        </is>
      </c>
      <c r="S1092" s="6" t="inlineStr">
        <is>
          <t>ANDE-98-18</t>
        </is>
      </c>
      <c r="T1092" s="6" t="inlineStr"/>
      <c r="U1092" s="4" t="inlineStr">
        <is>
          <t>2026-09-11 00:05:00</t>
        </is>
      </c>
      <c r="V1092" s="4" t="inlineStr">
        <is>
          <t>Serie revisada; prioridad sobre compilacion 1983-2006 en años solapados.</t>
        </is>
      </c>
    </row>
    <row r="1093">
      <c r="A1093" s="6" t="inlineStr">
        <is>
          <t>R0001092</t>
        </is>
      </c>
      <c r="B1093" s="6" t="inlineStr">
        <is>
          <t>2010-01-01</t>
        </is>
      </c>
      <c r="C1093" s="6" t="inlineStr">
        <is>
          <t>2010-12-31</t>
        </is>
      </c>
      <c r="D1093" s="6" t="inlineStr">
        <is>
          <t>year</t>
        </is>
      </c>
      <c r="E1093" s="6" t="inlineStr">
        <is>
          <t>ANDE_EXPORT_BILLED_ENERGY</t>
        </is>
      </c>
      <c r="F1093" s="6" t="inlineStr">
        <is>
          <t>PY_SIN</t>
        </is>
      </c>
      <c r="G1093" s="6" t="inlineStr">
        <is>
          <t>PY</t>
        </is>
      </c>
      <c r="H1093" s="6" t="inlineStr">
        <is>
          <t>EXTERNAL</t>
        </is>
      </c>
      <c r="I1093" s="8" t="n">
        <v>355233</v>
      </c>
      <c r="J1093" s="6" t="inlineStr">
        <is>
          <t>MWh</t>
        </is>
      </c>
      <c r="K1093" s="8" t="n">
        <v>355233</v>
      </c>
      <c r="L1093" s="6" t="inlineStr">
        <is>
          <t>MWh</t>
        </is>
      </c>
      <c r="M1093" s="6" t="inlineStr">
        <is>
          <t>ANDE</t>
        </is>
      </c>
      <c r="N1093" s="6" t="inlineStr">
        <is>
          <t>OFFICIAL_PRIMARY</t>
        </is>
      </c>
      <c r="O1093" s="9" t="inlineStr">
        <is>
          <t>OFFICIAL_AGGREGATE</t>
        </is>
      </c>
      <c r="P1093" s="10" t="n">
        <v>0</v>
      </c>
      <c r="Q1093" s="8" t="n">
        <v>75</v>
      </c>
      <c r="R1093" s="7" t="inlineStr">
        <is>
          <t>https://www.ande.gov.py/documentos_contables/650/compilacion_estadistica_1998-2018.pdf</t>
        </is>
      </c>
      <c r="S1093" s="6" t="inlineStr">
        <is>
          <t>ANDE-98-18</t>
        </is>
      </c>
      <c r="T1093" s="6" t="inlineStr"/>
      <c r="U1093" s="4" t="inlineStr">
        <is>
          <t>2026-09-11 00:05:00</t>
        </is>
      </c>
      <c r="V1093" s="4" t="inlineStr">
        <is>
          <t>Serie revisada; prioridad sobre compilacion 1983-2006 en años solapados.</t>
        </is>
      </c>
    </row>
    <row r="1094">
      <c r="A1094" s="6" t="inlineStr">
        <is>
          <t>R0001093</t>
        </is>
      </c>
      <c r="B1094" s="6" t="inlineStr">
        <is>
          <t>2011-01-01</t>
        </is>
      </c>
      <c r="C1094" s="6" t="inlineStr">
        <is>
          <t>2011-12-31</t>
        </is>
      </c>
      <c r="D1094" s="6" t="inlineStr">
        <is>
          <t>year</t>
        </is>
      </c>
      <c r="E1094" s="6" t="inlineStr">
        <is>
          <t>ANDE_EXPORT_BILLED_ENERGY</t>
        </is>
      </c>
      <c r="F1094" s="6" t="inlineStr">
        <is>
          <t>PY_SIN</t>
        </is>
      </c>
      <c r="G1094" s="6" t="inlineStr">
        <is>
          <t>PY</t>
        </is>
      </c>
      <c r="H1094" s="6" t="inlineStr">
        <is>
          <t>EXTERNAL</t>
        </is>
      </c>
      <c r="I1094" s="8" t="n">
        <v>135862</v>
      </c>
      <c r="J1094" s="6" t="inlineStr">
        <is>
          <t>MWh</t>
        </is>
      </c>
      <c r="K1094" s="8" t="n">
        <v>135862</v>
      </c>
      <c r="L1094" s="6" t="inlineStr">
        <is>
          <t>MWh</t>
        </is>
      </c>
      <c r="M1094" s="6" t="inlineStr">
        <is>
          <t>ANDE</t>
        </is>
      </c>
      <c r="N1094" s="6" t="inlineStr">
        <is>
          <t>OFFICIAL_PRIMARY</t>
        </is>
      </c>
      <c r="O1094" s="9" t="inlineStr">
        <is>
          <t>OFFICIAL_AGGREGATE</t>
        </is>
      </c>
      <c r="P1094" s="10" t="n">
        <v>0</v>
      </c>
      <c r="Q1094" s="8" t="n">
        <v>75</v>
      </c>
      <c r="R1094" s="7" t="inlineStr">
        <is>
          <t>https://www.ande.gov.py/documentos_contables/650/compilacion_estadistica_1998-2018.pdf</t>
        </is>
      </c>
      <c r="S1094" s="6" t="inlineStr">
        <is>
          <t>ANDE-98-18</t>
        </is>
      </c>
      <c r="T1094" s="6" t="inlineStr"/>
      <c r="U1094" s="4" t="inlineStr">
        <is>
          <t>2026-09-11 00:05:00</t>
        </is>
      </c>
      <c r="V1094" s="4" t="inlineStr">
        <is>
          <t>Serie revisada; prioridad sobre compilacion 1983-2006 en años solapados.</t>
        </is>
      </c>
    </row>
    <row r="1095">
      <c r="A1095" s="6" t="inlineStr">
        <is>
          <t>R0001094</t>
        </is>
      </c>
      <c r="B1095" s="6" t="inlineStr">
        <is>
          <t>2012-01-01</t>
        </is>
      </c>
      <c r="C1095" s="6" t="inlineStr">
        <is>
          <t>2012-12-31</t>
        </is>
      </c>
      <c r="D1095" s="6" t="inlineStr">
        <is>
          <t>year</t>
        </is>
      </c>
      <c r="E1095" s="6" t="inlineStr">
        <is>
          <t>ANDE_EXPORT_BILLED_ENERGY</t>
        </is>
      </c>
      <c r="F1095" s="6" t="inlineStr">
        <is>
          <t>PY_SIN</t>
        </is>
      </c>
      <c r="G1095" s="6" t="inlineStr">
        <is>
          <t>PY</t>
        </is>
      </c>
      <c r="H1095" s="6" t="inlineStr">
        <is>
          <t>EXTERNAL</t>
        </is>
      </c>
      <c r="I1095" s="8" t="n">
        <v>151068</v>
      </c>
      <c r="J1095" s="6" t="inlineStr">
        <is>
          <t>MWh</t>
        </is>
      </c>
      <c r="K1095" s="8" t="n">
        <v>151068</v>
      </c>
      <c r="L1095" s="6" t="inlineStr">
        <is>
          <t>MWh</t>
        </is>
      </c>
      <c r="M1095" s="6" t="inlineStr">
        <is>
          <t>ANDE</t>
        </is>
      </c>
      <c r="N1095" s="6" t="inlineStr">
        <is>
          <t>OFFICIAL_PRIMARY</t>
        </is>
      </c>
      <c r="O1095" s="9" t="inlineStr">
        <is>
          <t>OFFICIAL_AGGREGATE</t>
        </is>
      </c>
      <c r="P1095" s="10" t="n">
        <v>0</v>
      </c>
      <c r="Q1095" s="8" t="n">
        <v>75</v>
      </c>
      <c r="R1095" s="7" t="inlineStr">
        <is>
          <t>https://www.ande.gov.py/documentos_contables/650/compilacion_estadistica_1998-2018.pdf</t>
        </is>
      </c>
      <c r="S1095" s="6" t="inlineStr">
        <is>
          <t>ANDE-98-18</t>
        </is>
      </c>
      <c r="T1095" s="6" t="inlineStr"/>
      <c r="U1095" s="4" t="inlineStr">
        <is>
          <t>2026-09-11 00:05:00</t>
        </is>
      </c>
      <c r="V1095" s="4" t="inlineStr">
        <is>
          <t>Serie revisada; prioridad sobre compilacion 1983-2006 en años solapados.</t>
        </is>
      </c>
    </row>
    <row r="1096">
      <c r="A1096" s="6" t="inlineStr">
        <is>
          <t>R0001095</t>
        </is>
      </c>
      <c r="B1096" s="6" t="inlineStr">
        <is>
          <t>2013-01-01</t>
        </is>
      </c>
      <c r="C1096" s="6" t="inlineStr">
        <is>
          <t>2013-12-31</t>
        </is>
      </c>
      <c r="D1096" s="6" t="inlineStr">
        <is>
          <t>year</t>
        </is>
      </c>
      <c r="E1096" s="6" t="inlineStr">
        <is>
          <t>ANDE_EXPORT_BILLED_ENERGY</t>
        </is>
      </c>
      <c r="F1096" s="6" t="inlineStr">
        <is>
          <t>PY_SIN</t>
        </is>
      </c>
      <c r="G1096" s="6" t="inlineStr">
        <is>
          <t>PY</t>
        </is>
      </c>
      <c r="H1096" s="6" t="inlineStr">
        <is>
          <t>EXTERNAL</t>
        </is>
      </c>
      <c r="I1096" s="8" t="n">
        <v>135348</v>
      </c>
      <c r="J1096" s="6" t="inlineStr">
        <is>
          <t>MWh</t>
        </is>
      </c>
      <c r="K1096" s="8" t="n">
        <v>135348</v>
      </c>
      <c r="L1096" s="6" t="inlineStr">
        <is>
          <t>MWh</t>
        </is>
      </c>
      <c r="M1096" s="6" t="inlineStr">
        <is>
          <t>ANDE</t>
        </is>
      </c>
      <c r="N1096" s="6" t="inlineStr">
        <is>
          <t>OFFICIAL_PRIMARY</t>
        </is>
      </c>
      <c r="O1096" s="9" t="inlineStr">
        <is>
          <t>OFFICIAL_AGGREGATE</t>
        </is>
      </c>
      <c r="P1096" s="10" t="n">
        <v>0</v>
      </c>
      <c r="Q1096" s="8" t="n">
        <v>75</v>
      </c>
      <c r="R1096" s="7" t="inlineStr">
        <is>
          <t>https://www.ande.gov.py/documentos_contables/650/compilacion_estadistica_1998-2018.pdf</t>
        </is>
      </c>
      <c r="S1096" s="6" t="inlineStr">
        <is>
          <t>ANDE-98-18</t>
        </is>
      </c>
      <c r="T1096" s="6" t="inlineStr"/>
      <c r="U1096" s="4" t="inlineStr">
        <is>
          <t>2026-09-11 00:05:00</t>
        </is>
      </c>
      <c r="V1096" s="4" t="inlineStr">
        <is>
          <t>Serie revisada; prioridad sobre compilacion 1983-2006 en años solapados.</t>
        </is>
      </c>
    </row>
    <row r="1097">
      <c r="A1097" s="6" t="inlineStr">
        <is>
          <t>R0001096</t>
        </is>
      </c>
      <c r="B1097" s="6" t="inlineStr">
        <is>
          <t>2014-01-01</t>
        </is>
      </c>
      <c r="C1097" s="6" t="inlineStr">
        <is>
          <t>2014-12-31</t>
        </is>
      </c>
      <c r="D1097" s="6" t="inlineStr">
        <is>
          <t>year</t>
        </is>
      </c>
      <c r="E1097" s="6" t="inlineStr">
        <is>
          <t>ANDE_EXPORT_BILLED_ENERGY</t>
        </is>
      </c>
      <c r="F1097" s="6" t="inlineStr">
        <is>
          <t>PY_SIN</t>
        </is>
      </c>
      <c r="G1097" s="6" t="inlineStr">
        <is>
          <t>PY</t>
        </is>
      </c>
      <c r="H1097" s="6" t="inlineStr">
        <is>
          <t>EXTERNAL</t>
        </is>
      </c>
      <c r="I1097" s="8" t="n">
        <v>116132</v>
      </c>
      <c r="J1097" s="6" t="inlineStr">
        <is>
          <t>MWh</t>
        </is>
      </c>
      <c r="K1097" s="8" t="n">
        <v>116132</v>
      </c>
      <c r="L1097" s="6" t="inlineStr">
        <is>
          <t>MWh</t>
        </is>
      </c>
      <c r="M1097" s="6" t="inlineStr">
        <is>
          <t>ANDE</t>
        </is>
      </c>
      <c r="N1097" s="6" t="inlineStr">
        <is>
          <t>OFFICIAL_PRIMARY</t>
        </is>
      </c>
      <c r="O1097" s="9" t="inlineStr">
        <is>
          <t>OFFICIAL_AGGREGATE</t>
        </is>
      </c>
      <c r="P1097" s="10" t="n">
        <v>0</v>
      </c>
      <c r="Q1097" s="8" t="n">
        <v>75</v>
      </c>
      <c r="R1097" s="7" t="inlineStr">
        <is>
          <t>https://www.ande.gov.py/documentos_contables/650/compilacion_estadistica_1998-2018.pdf</t>
        </is>
      </c>
      <c r="S1097" s="6" t="inlineStr">
        <is>
          <t>ANDE-98-18</t>
        </is>
      </c>
      <c r="T1097" s="6" t="inlineStr"/>
      <c r="U1097" s="4" t="inlineStr">
        <is>
          <t>2026-09-11 00:05:00</t>
        </is>
      </c>
      <c r="V1097" s="4" t="inlineStr">
        <is>
          <t>Serie revisada; prioridad sobre compilacion 1983-2006 en años solapados.</t>
        </is>
      </c>
    </row>
    <row r="1098">
      <c r="A1098" s="6" t="inlineStr">
        <is>
          <t>R0001097</t>
        </is>
      </c>
      <c r="B1098" s="6" t="inlineStr">
        <is>
          <t>2015-01-01</t>
        </is>
      </c>
      <c r="C1098" s="6" t="inlineStr">
        <is>
          <t>2015-12-31</t>
        </is>
      </c>
      <c r="D1098" s="6" t="inlineStr">
        <is>
          <t>year</t>
        </is>
      </c>
      <c r="E1098" s="6" t="inlineStr">
        <is>
          <t>ANDE_EXPORT_BILLED_ENERGY</t>
        </is>
      </c>
      <c r="F1098" s="6" t="inlineStr">
        <is>
          <t>PY_SIN</t>
        </is>
      </c>
      <c r="G1098" s="6" t="inlineStr">
        <is>
          <t>PY</t>
        </is>
      </c>
      <c r="H1098" s="6" t="inlineStr">
        <is>
          <t>EXTERNAL</t>
        </is>
      </c>
      <c r="I1098" s="8" t="n">
        <v>113307</v>
      </c>
      <c r="J1098" s="6" t="inlineStr">
        <is>
          <t>MWh</t>
        </is>
      </c>
      <c r="K1098" s="8" t="n">
        <v>113307</v>
      </c>
      <c r="L1098" s="6" t="inlineStr">
        <is>
          <t>MWh</t>
        </is>
      </c>
      <c r="M1098" s="6" t="inlineStr">
        <is>
          <t>ANDE</t>
        </is>
      </c>
      <c r="N1098" s="6" t="inlineStr">
        <is>
          <t>OFFICIAL_PRIMARY</t>
        </is>
      </c>
      <c r="O1098" s="9" t="inlineStr">
        <is>
          <t>OFFICIAL_AGGREGATE</t>
        </is>
      </c>
      <c r="P1098" s="10" t="n">
        <v>0</v>
      </c>
      <c r="Q1098" s="8" t="n">
        <v>75</v>
      </c>
      <c r="R1098" s="7" t="inlineStr">
        <is>
          <t>https://www.ande.gov.py/documentos_contables/650/compilacion_estadistica_1998-2018.pdf</t>
        </is>
      </c>
      <c r="S1098" s="6" t="inlineStr">
        <is>
          <t>ANDE-98-18</t>
        </is>
      </c>
      <c r="T1098" s="6" t="inlineStr"/>
      <c r="U1098" s="4" t="inlineStr">
        <is>
          <t>2026-09-11 00:05:00</t>
        </is>
      </c>
      <c r="V1098" s="4" t="inlineStr">
        <is>
          <t>Serie revisada; prioridad sobre compilacion 1983-2006 en años solapados.</t>
        </is>
      </c>
    </row>
    <row r="1099">
      <c r="A1099" s="6" t="inlineStr">
        <is>
          <t>R0001098</t>
        </is>
      </c>
      <c r="B1099" s="6" t="inlineStr">
        <is>
          <t>2016-01-01</t>
        </is>
      </c>
      <c r="C1099" s="6" t="inlineStr">
        <is>
          <t>2016-12-31</t>
        </is>
      </c>
      <c r="D1099" s="6" t="inlineStr">
        <is>
          <t>year</t>
        </is>
      </c>
      <c r="E1099" s="6" t="inlineStr">
        <is>
          <t>ANDE_EXPORT_BILLED_ENERGY</t>
        </is>
      </c>
      <c r="F1099" s="6" t="inlineStr">
        <is>
          <t>PY_SIN</t>
        </is>
      </c>
      <c r="G1099" s="6" t="inlineStr">
        <is>
          <t>PY</t>
        </is>
      </c>
      <c r="H1099" s="6" t="inlineStr">
        <is>
          <t>EXTERNAL</t>
        </is>
      </c>
      <c r="I1099" s="8" t="n">
        <v>120179</v>
      </c>
      <c r="J1099" s="6" t="inlineStr">
        <is>
          <t>MWh</t>
        </is>
      </c>
      <c r="K1099" s="8" t="n">
        <v>120179</v>
      </c>
      <c r="L1099" s="6" t="inlineStr">
        <is>
          <t>MWh</t>
        </is>
      </c>
      <c r="M1099" s="6" t="inlineStr">
        <is>
          <t>ANDE</t>
        </is>
      </c>
      <c r="N1099" s="6" t="inlineStr">
        <is>
          <t>OFFICIAL_PRIMARY</t>
        </is>
      </c>
      <c r="O1099" s="9" t="inlineStr">
        <is>
          <t>OFFICIAL_AGGREGATE</t>
        </is>
      </c>
      <c r="P1099" s="10" t="n">
        <v>0</v>
      </c>
      <c r="Q1099" s="8" t="n">
        <v>75</v>
      </c>
      <c r="R1099" s="7" t="inlineStr">
        <is>
          <t>https://www.ande.gov.py/documentos_contables/650/compilacion_estadistica_1998-2018.pdf</t>
        </is>
      </c>
      <c r="S1099" s="6" t="inlineStr">
        <is>
          <t>ANDE-98-18</t>
        </is>
      </c>
      <c r="T1099" s="6" t="inlineStr"/>
      <c r="U1099" s="4" t="inlineStr">
        <is>
          <t>2026-09-11 00:05:00</t>
        </is>
      </c>
      <c r="V1099" s="4" t="inlineStr">
        <is>
          <t>Serie revisada; prioridad sobre compilacion 1983-2006 en años solapados.</t>
        </is>
      </c>
    </row>
    <row r="1100">
      <c r="A1100" s="6" t="inlineStr">
        <is>
          <t>R0001099</t>
        </is>
      </c>
      <c r="B1100" s="6" t="inlineStr">
        <is>
          <t>2017-01-01</t>
        </is>
      </c>
      <c r="C1100" s="6" t="inlineStr">
        <is>
          <t>2017-12-31</t>
        </is>
      </c>
      <c r="D1100" s="6" t="inlineStr">
        <is>
          <t>year</t>
        </is>
      </c>
      <c r="E1100" s="6" t="inlineStr">
        <is>
          <t>ANDE_EXPORT_BILLED_ENERGY</t>
        </is>
      </c>
      <c r="F1100" s="6" t="inlineStr">
        <is>
          <t>PY_SIN</t>
        </is>
      </c>
      <c r="G1100" s="6" t="inlineStr">
        <is>
          <t>PY</t>
        </is>
      </c>
      <c r="H1100" s="6" t="inlineStr">
        <is>
          <t>EXTERNAL</t>
        </is>
      </c>
      <c r="I1100" s="8" t="n">
        <v>70493</v>
      </c>
      <c r="J1100" s="6" t="inlineStr">
        <is>
          <t>MWh</t>
        </is>
      </c>
      <c r="K1100" s="8" t="n">
        <v>70493</v>
      </c>
      <c r="L1100" s="6" t="inlineStr">
        <is>
          <t>MWh</t>
        </is>
      </c>
      <c r="M1100" s="6" t="inlineStr">
        <is>
          <t>ANDE</t>
        </is>
      </c>
      <c r="N1100" s="6" t="inlineStr">
        <is>
          <t>OFFICIAL_PRIMARY</t>
        </is>
      </c>
      <c r="O1100" s="9" t="inlineStr">
        <is>
          <t>OFFICIAL_AGGREGATE</t>
        </is>
      </c>
      <c r="P1100" s="10" t="n">
        <v>0</v>
      </c>
      <c r="Q1100" s="8" t="n">
        <v>75</v>
      </c>
      <c r="R1100" s="7" t="inlineStr">
        <is>
          <t>https://www.ande.gov.py/documentos_contables/650/compilacion_estadistica_1998-2018.pdf</t>
        </is>
      </c>
      <c r="S1100" s="6" t="inlineStr">
        <is>
          <t>ANDE-98-18</t>
        </is>
      </c>
      <c r="T1100" s="6" t="inlineStr"/>
      <c r="U1100" s="4" t="inlineStr">
        <is>
          <t>2026-09-11 00:05:00</t>
        </is>
      </c>
      <c r="V1100" s="4" t="inlineStr">
        <is>
          <t>Serie revisada; prioridad sobre compilacion 1983-2006 en años solapados.</t>
        </is>
      </c>
    </row>
    <row r="1101">
      <c r="A1101" s="6" t="inlineStr">
        <is>
          <t>R0001100</t>
        </is>
      </c>
      <c r="B1101" s="6" t="inlineStr">
        <is>
          <t>2018-01-01</t>
        </is>
      </c>
      <c r="C1101" s="6" t="inlineStr">
        <is>
          <t>2018-12-31</t>
        </is>
      </c>
      <c r="D1101" s="6" t="inlineStr">
        <is>
          <t>year</t>
        </is>
      </c>
      <c r="E1101" s="6" t="inlineStr">
        <is>
          <t>ANDE_EXPORT_BILLED_ENERGY</t>
        </is>
      </c>
      <c r="F1101" s="6" t="inlineStr">
        <is>
          <t>PY_SIN</t>
        </is>
      </c>
      <c r="G1101" s="6" t="inlineStr">
        <is>
          <t>PY</t>
        </is>
      </c>
      <c r="H1101" s="6" t="inlineStr">
        <is>
          <t>EXTERNAL</t>
        </is>
      </c>
      <c r="I1101" s="8" t="n">
        <v>26162</v>
      </c>
      <c r="J1101" s="6" t="inlineStr">
        <is>
          <t>MWh</t>
        </is>
      </c>
      <c r="K1101" s="8" t="n">
        <v>26162</v>
      </c>
      <c r="L1101" s="6" t="inlineStr">
        <is>
          <t>MWh</t>
        </is>
      </c>
      <c r="M1101" s="6" t="inlineStr">
        <is>
          <t>ANDE</t>
        </is>
      </c>
      <c r="N1101" s="6" t="inlineStr">
        <is>
          <t>OFFICIAL_PRIMARY</t>
        </is>
      </c>
      <c r="O1101" s="9" t="inlineStr">
        <is>
          <t>OFFICIAL_AGGREGATE</t>
        </is>
      </c>
      <c r="P1101" s="10" t="n">
        <v>0</v>
      </c>
      <c r="Q1101" s="8" t="n">
        <v>75</v>
      </c>
      <c r="R1101" s="7" t="inlineStr">
        <is>
          <t>https://www.ande.gov.py/documentos_contables/650/compilacion_estadistica_1998-2018.pdf</t>
        </is>
      </c>
      <c r="S1101" s="6" t="inlineStr">
        <is>
          <t>ANDE-98-18</t>
        </is>
      </c>
      <c r="T1101" s="6" t="inlineStr"/>
      <c r="U1101" s="4" t="inlineStr">
        <is>
          <t>2026-09-11 00:05:00</t>
        </is>
      </c>
      <c r="V1101" s="4" t="inlineStr">
        <is>
          <t>Serie revisada; prioridad sobre compilacion 1983-2006 en años solapados.</t>
        </is>
      </c>
    </row>
    <row r="1102">
      <c r="A1102" s="6" t="inlineStr">
        <is>
          <t>R0001101</t>
        </is>
      </c>
      <c r="B1102" s="6" t="inlineStr">
        <is>
          <t>2003-01-01</t>
        </is>
      </c>
      <c r="C1102" s="6" t="inlineStr">
        <is>
          <t>2003-12-31</t>
        </is>
      </c>
      <c r="D1102" s="6" t="inlineStr">
        <is>
          <t>year</t>
        </is>
      </c>
      <c r="E1102" s="6" t="inlineStr">
        <is>
          <t>ANDE_BILLED_RESIDENTIAL_ENERGY</t>
        </is>
      </c>
      <c r="F1102" s="6" t="inlineStr">
        <is>
          <t>PY_SIN</t>
        </is>
      </c>
      <c r="G1102" s="6" t="inlineStr">
        <is>
          <t>PY</t>
        </is>
      </c>
      <c r="H1102" s="6" t="inlineStr">
        <is>
          <t>PY</t>
        </is>
      </c>
      <c r="I1102" s="8" t="n">
        <v>1787699</v>
      </c>
      <c r="J1102" s="6" t="inlineStr">
        <is>
          <t>MWh</t>
        </is>
      </c>
      <c r="K1102" s="8" t="n">
        <v>1787699</v>
      </c>
      <c r="L1102" s="6" t="inlineStr">
        <is>
          <t>MWh</t>
        </is>
      </c>
      <c r="M1102" s="6" t="inlineStr">
        <is>
          <t>ANDE</t>
        </is>
      </c>
      <c r="N1102" s="6" t="inlineStr">
        <is>
          <t>OFFICIAL_PRIMARY</t>
        </is>
      </c>
      <c r="O1102" s="9" t="inlineStr">
        <is>
          <t>OFFICIAL_AGGREGATE</t>
        </is>
      </c>
      <c r="P1102" s="8" t="n">
        <v>1</v>
      </c>
      <c r="Q1102" s="8" t="n">
        <v>95</v>
      </c>
      <c r="R1102" s="7" t="inlineStr">
        <is>
          <t>https://www.ande.gov.py/finanzas/2.%20COMPILACION%20ESTADISTICA%202003-2023/ANDE%20-%20Compilacion%20Estadistica%202003-2023.pdf</t>
        </is>
      </c>
      <c r="S1102" s="6" t="inlineStr">
        <is>
          <t>ANDE-03-23</t>
        </is>
      </c>
      <c r="T1102" s="6" t="inlineStr"/>
      <c r="U1102" s="4" t="inlineStr">
        <is>
          <t>2026-09-11 00:05:00</t>
        </is>
      </c>
      <c r="V1102" s="4" t="inlineStr">
        <is>
          <t>Compilacion 2003-2023; prioridad canonica. Rupturas metodologicas de categorias en 2016/2017 documentadas por ANDE.</t>
        </is>
      </c>
    </row>
    <row r="1103">
      <c r="A1103" s="6" t="inlineStr">
        <is>
          <t>R0001102</t>
        </is>
      </c>
      <c r="B1103" s="6" t="inlineStr">
        <is>
          <t>2004-01-01</t>
        </is>
      </c>
      <c r="C1103" s="6" t="inlineStr">
        <is>
          <t>2004-12-31</t>
        </is>
      </c>
      <c r="D1103" s="6" t="inlineStr">
        <is>
          <t>year</t>
        </is>
      </c>
      <c r="E1103" s="6" t="inlineStr">
        <is>
          <t>ANDE_BILLED_RESIDENTIAL_ENERGY</t>
        </is>
      </c>
      <c r="F1103" s="6" t="inlineStr">
        <is>
          <t>PY_SIN</t>
        </is>
      </c>
      <c r="G1103" s="6" t="inlineStr">
        <is>
          <t>PY</t>
        </is>
      </c>
      <c r="H1103" s="6" t="inlineStr">
        <is>
          <t>PY</t>
        </is>
      </c>
      <c r="I1103" s="8" t="n">
        <v>1836695</v>
      </c>
      <c r="J1103" s="6" t="inlineStr">
        <is>
          <t>MWh</t>
        </is>
      </c>
      <c r="K1103" s="8" t="n">
        <v>1836695</v>
      </c>
      <c r="L1103" s="6" t="inlineStr">
        <is>
          <t>MWh</t>
        </is>
      </c>
      <c r="M1103" s="6" t="inlineStr">
        <is>
          <t>ANDE</t>
        </is>
      </c>
      <c r="N1103" s="6" t="inlineStr">
        <is>
          <t>OFFICIAL_PRIMARY</t>
        </is>
      </c>
      <c r="O1103" s="9" t="inlineStr">
        <is>
          <t>OFFICIAL_AGGREGATE</t>
        </is>
      </c>
      <c r="P1103" s="8" t="n">
        <v>1</v>
      </c>
      <c r="Q1103" s="8" t="n">
        <v>95</v>
      </c>
      <c r="R1103" s="7" t="inlineStr">
        <is>
          <t>https://www.ande.gov.py/finanzas/2.%20COMPILACION%20ESTADISTICA%202003-2023/ANDE%20-%20Compilacion%20Estadistica%202003-2023.pdf</t>
        </is>
      </c>
      <c r="S1103" s="6" t="inlineStr">
        <is>
          <t>ANDE-03-23</t>
        </is>
      </c>
      <c r="T1103" s="6" t="inlineStr"/>
      <c r="U1103" s="4" t="inlineStr">
        <is>
          <t>2026-09-11 00:05:00</t>
        </is>
      </c>
      <c r="V1103" s="4" t="inlineStr">
        <is>
          <t>Compilacion 2003-2023; prioridad canonica. Rupturas metodologicas de categorias en 2016/2017 documentadas por ANDE.</t>
        </is>
      </c>
    </row>
    <row r="1104">
      <c r="A1104" s="6" t="inlineStr">
        <is>
          <t>R0001103</t>
        </is>
      </c>
      <c r="B1104" s="6" t="inlineStr">
        <is>
          <t>2005-01-01</t>
        </is>
      </c>
      <c r="C1104" s="6" t="inlineStr">
        <is>
          <t>2005-12-31</t>
        </is>
      </c>
      <c r="D1104" s="6" t="inlineStr">
        <is>
          <t>year</t>
        </is>
      </c>
      <c r="E1104" s="6" t="inlineStr">
        <is>
          <t>ANDE_BILLED_RESIDENTIAL_ENERGY</t>
        </is>
      </c>
      <c r="F1104" s="6" t="inlineStr">
        <is>
          <t>PY_SIN</t>
        </is>
      </c>
      <c r="G1104" s="6" t="inlineStr">
        <is>
          <t>PY</t>
        </is>
      </c>
      <c r="H1104" s="6" t="inlineStr">
        <is>
          <t>PY</t>
        </is>
      </c>
      <c r="I1104" s="8" t="n">
        <v>1937656</v>
      </c>
      <c r="J1104" s="6" t="inlineStr">
        <is>
          <t>MWh</t>
        </is>
      </c>
      <c r="K1104" s="8" t="n">
        <v>1937656</v>
      </c>
      <c r="L1104" s="6" t="inlineStr">
        <is>
          <t>MWh</t>
        </is>
      </c>
      <c r="M1104" s="6" t="inlineStr">
        <is>
          <t>ANDE</t>
        </is>
      </c>
      <c r="N1104" s="6" t="inlineStr">
        <is>
          <t>OFFICIAL_PRIMARY</t>
        </is>
      </c>
      <c r="O1104" s="9" t="inlineStr">
        <is>
          <t>OFFICIAL_AGGREGATE</t>
        </is>
      </c>
      <c r="P1104" s="8" t="n">
        <v>1</v>
      </c>
      <c r="Q1104" s="8" t="n">
        <v>95</v>
      </c>
      <c r="R1104" s="7" t="inlineStr">
        <is>
          <t>https://www.ande.gov.py/finanzas/2.%20COMPILACION%20ESTADISTICA%202003-2023/ANDE%20-%20Compilacion%20Estadistica%202003-2023.pdf</t>
        </is>
      </c>
      <c r="S1104" s="6" t="inlineStr">
        <is>
          <t>ANDE-03-23</t>
        </is>
      </c>
      <c r="T1104" s="6" t="inlineStr"/>
      <c r="U1104" s="4" t="inlineStr">
        <is>
          <t>2026-09-11 00:05:00</t>
        </is>
      </c>
      <c r="V1104" s="4" t="inlineStr">
        <is>
          <t>Compilacion 2003-2023; prioridad canonica. Rupturas metodologicas de categorias en 2016/2017 documentadas por ANDE.</t>
        </is>
      </c>
    </row>
    <row r="1105">
      <c r="A1105" s="6" t="inlineStr">
        <is>
          <t>R0001104</t>
        </is>
      </c>
      <c r="B1105" s="6" t="inlineStr">
        <is>
          <t>2006-01-01</t>
        </is>
      </c>
      <c r="C1105" s="6" t="inlineStr">
        <is>
          <t>2006-12-31</t>
        </is>
      </c>
      <c r="D1105" s="6" t="inlineStr">
        <is>
          <t>year</t>
        </is>
      </c>
      <c r="E1105" s="6" t="inlineStr">
        <is>
          <t>ANDE_BILLED_RESIDENTIAL_ENERGY</t>
        </is>
      </c>
      <c r="F1105" s="6" t="inlineStr">
        <is>
          <t>PY_SIN</t>
        </is>
      </c>
      <c r="G1105" s="6" t="inlineStr">
        <is>
          <t>PY</t>
        </is>
      </c>
      <c r="H1105" s="6" t="inlineStr">
        <is>
          <t>PY</t>
        </is>
      </c>
      <c r="I1105" s="8" t="n">
        <v>2096986</v>
      </c>
      <c r="J1105" s="6" t="inlineStr">
        <is>
          <t>MWh</t>
        </is>
      </c>
      <c r="K1105" s="8" t="n">
        <v>2096986</v>
      </c>
      <c r="L1105" s="6" t="inlineStr">
        <is>
          <t>MWh</t>
        </is>
      </c>
      <c r="M1105" s="6" t="inlineStr">
        <is>
          <t>ANDE</t>
        </is>
      </c>
      <c r="N1105" s="6" t="inlineStr">
        <is>
          <t>OFFICIAL_PRIMARY</t>
        </is>
      </c>
      <c r="O1105" s="9" t="inlineStr">
        <is>
          <t>OFFICIAL_AGGREGATE</t>
        </is>
      </c>
      <c r="P1105" s="8" t="n">
        <v>1</v>
      </c>
      <c r="Q1105" s="8" t="n">
        <v>95</v>
      </c>
      <c r="R1105" s="7" t="inlineStr">
        <is>
          <t>https://www.ande.gov.py/finanzas/2.%20COMPILACION%20ESTADISTICA%202003-2023/ANDE%20-%20Compilacion%20Estadistica%202003-2023.pdf</t>
        </is>
      </c>
      <c r="S1105" s="6" t="inlineStr">
        <is>
          <t>ANDE-03-23</t>
        </is>
      </c>
      <c r="T1105" s="6" t="inlineStr"/>
      <c r="U1105" s="4" t="inlineStr">
        <is>
          <t>2026-09-11 00:05:00</t>
        </is>
      </c>
      <c r="V1105" s="4" t="inlineStr">
        <is>
          <t>Compilacion 2003-2023; prioridad canonica. Rupturas metodologicas de categorias en 2016/2017 documentadas por ANDE.</t>
        </is>
      </c>
    </row>
    <row r="1106">
      <c r="A1106" s="6" t="inlineStr">
        <is>
          <t>R0001105</t>
        </is>
      </c>
      <c r="B1106" s="6" t="inlineStr">
        <is>
          <t>2007-01-01</t>
        </is>
      </c>
      <c r="C1106" s="6" t="inlineStr">
        <is>
          <t>2007-12-31</t>
        </is>
      </c>
      <c r="D1106" s="6" t="inlineStr">
        <is>
          <t>year</t>
        </is>
      </c>
      <c r="E1106" s="6" t="inlineStr">
        <is>
          <t>ANDE_BILLED_RESIDENTIAL_ENERGY</t>
        </is>
      </c>
      <c r="F1106" s="6" t="inlineStr">
        <is>
          <t>PY_SIN</t>
        </is>
      </c>
      <c r="G1106" s="6" t="inlineStr">
        <is>
          <t>PY</t>
        </is>
      </c>
      <c r="H1106" s="6" t="inlineStr">
        <is>
          <t>PY</t>
        </is>
      </c>
      <c r="I1106" s="8" t="n">
        <v>2300746</v>
      </c>
      <c r="J1106" s="6" t="inlineStr">
        <is>
          <t>MWh</t>
        </is>
      </c>
      <c r="K1106" s="8" t="n">
        <v>2300746</v>
      </c>
      <c r="L1106" s="6" t="inlineStr">
        <is>
          <t>MWh</t>
        </is>
      </c>
      <c r="M1106" s="6" t="inlineStr">
        <is>
          <t>ANDE</t>
        </is>
      </c>
      <c r="N1106" s="6" t="inlineStr">
        <is>
          <t>OFFICIAL_PRIMARY</t>
        </is>
      </c>
      <c r="O1106" s="9" t="inlineStr">
        <is>
          <t>OFFICIAL_AGGREGATE</t>
        </is>
      </c>
      <c r="P1106" s="8" t="n">
        <v>1</v>
      </c>
      <c r="Q1106" s="8" t="n">
        <v>95</v>
      </c>
      <c r="R1106" s="7" t="inlineStr">
        <is>
          <t>https://www.ande.gov.py/finanzas/2.%20COMPILACION%20ESTADISTICA%202003-2023/ANDE%20-%20Compilacion%20Estadistica%202003-2023.pdf</t>
        </is>
      </c>
      <c r="S1106" s="6" t="inlineStr">
        <is>
          <t>ANDE-03-23</t>
        </is>
      </c>
      <c r="T1106" s="6" t="inlineStr"/>
      <c r="U1106" s="4" t="inlineStr">
        <is>
          <t>2026-09-11 00:05:00</t>
        </is>
      </c>
      <c r="V1106" s="4" t="inlineStr">
        <is>
          <t>Compilacion 2003-2023; prioridad canonica. Rupturas metodologicas de categorias en 2016/2017 documentadas por ANDE.</t>
        </is>
      </c>
    </row>
    <row r="1107">
      <c r="A1107" s="6" t="inlineStr">
        <is>
          <t>R0001106</t>
        </is>
      </c>
      <c r="B1107" s="6" t="inlineStr">
        <is>
          <t>2008-01-01</t>
        </is>
      </c>
      <c r="C1107" s="6" t="inlineStr">
        <is>
          <t>2008-12-31</t>
        </is>
      </c>
      <c r="D1107" s="6" t="inlineStr">
        <is>
          <t>year</t>
        </is>
      </c>
      <c r="E1107" s="6" t="inlineStr">
        <is>
          <t>ANDE_BILLED_RESIDENTIAL_ENERGY</t>
        </is>
      </c>
      <c r="F1107" s="6" t="inlineStr">
        <is>
          <t>PY_SIN</t>
        </is>
      </c>
      <c r="G1107" s="6" t="inlineStr">
        <is>
          <t>PY</t>
        </is>
      </c>
      <c r="H1107" s="6" t="inlineStr">
        <is>
          <t>PY</t>
        </is>
      </c>
      <c r="I1107" s="8" t="n">
        <v>2472885</v>
      </c>
      <c r="J1107" s="6" t="inlineStr">
        <is>
          <t>MWh</t>
        </is>
      </c>
      <c r="K1107" s="8" t="n">
        <v>2472885</v>
      </c>
      <c r="L1107" s="6" t="inlineStr">
        <is>
          <t>MWh</t>
        </is>
      </c>
      <c r="M1107" s="6" t="inlineStr">
        <is>
          <t>ANDE</t>
        </is>
      </c>
      <c r="N1107" s="6" t="inlineStr">
        <is>
          <t>OFFICIAL_PRIMARY</t>
        </is>
      </c>
      <c r="O1107" s="9" t="inlineStr">
        <is>
          <t>OFFICIAL_AGGREGATE</t>
        </is>
      </c>
      <c r="P1107" s="8" t="n">
        <v>1</v>
      </c>
      <c r="Q1107" s="8" t="n">
        <v>95</v>
      </c>
      <c r="R1107" s="7" t="inlineStr">
        <is>
          <t>https://www.ande.gov.py/finanzas/2.%20COMPILACION%20ESTADISTICA%202003-2023/ANDE%20-%20Compilacion%20Estadistica%202003-2023.pdf</t>
        </is>
      </c>
      <c r="S1107" s="6" t="inlineStr">
        <is>
          <t>ANDE-03-23</t>
        </is>
      </c>
      <c r="T1107" s="6" t="inlineStr"/>
      <c r="U1107" s="4" t="inlineStr">
        <is>
          <t>2026-09-11 00:05:00</t>
        </is>
      </c>
      <c r="V1107" s="4" t="inlineStr">
        <is>
          <t>Compilacion 2003-2023; prioridad canonica. Rupturas metodologicas de categorias en 2016/2017 documentadas por ANDE.</t>
        </is>
      </c>
    </row>
    <row r="1108">
      <c r="A1108" s="6" t="inlineStr">
        <is>
          <t>R0001107</t>
        </is>
      </c>
      <c r="B1108" s="6" t="inlineStr">
        <is>
          <t>2009-01-01</t>
        </is>
      </c>
      <c r="C1108" s="6" t="inlineStr">
        <is>
          <t>2009-12-31</t>
        </is>
      </c>
      <c r="D1108" s="6" t="inlineStr">
        <is>
          <t>year</t>
        </is>
      </c>
      <c r="E1108" s="6" t="inlineStr">
        <is>
          <t>ANDE_BILLED_RESIDENTIAL_ENERGY</t>
        </is>
      </c>
      <c r="F1108" s="6" t="inlineStr">
        <is>
          <t>PY_SIN</t>
        </is>
      </c>
      <c r="G1108" s="6" t="inlineStr">
        <is>
          <t>PY</t>
        </is>
      </c>
      <c r="H1108" s="6" t="inlineStr">
        <is>
          <t>PY</t>
        </is>
      </c>
      <c r="I1108" s="8" t="n">
        <v>2691463</v>
      </c>
      <c r="J1108" s="6" t="inlineStr">
        <is>
          <t>MWh</t>
        </is>
      </c>
      <c r="K1108" s="8" t="n">
        <v>2691463</v>
      </c>
      <c r="L1108" s="6" t="inlineStr">
        <is>
          <t>MWh</t>
        </is>
      </c>
      <c r="M1108" s="6" t="inlineStr">
        <is>
          <t>ANDE</t>
        </is>
      </c>
      <c r="N1108" s="6" t="inlineStr">
        <is>
          <t>OFFICIAL_PRIMARY</t>
        </is>
      </c>
      <c r="O1108" s="9" t="inlineStr">
        <is>
          <t>OFFICIAL_AGGREGATE</t>
        </is>
      </c>
      <c r="P1108" s="8" t="n">
        <v>1</v>
      </c>
      <c r="Q1108" s="8" t="n">
        <v>95</v>
      </c>
      <c r="R1108" s="7" t="inlineStr">
        <is>
          <t>https://www.ande.gov.py/finanzas/2.%20COMPILACION%20ESTADISTICA%202003-2023/ANDE%20-%20Compilacion%20Estadistica%202003-2023.pdf</t>
        </is>
      </c>
      <c r="S1108" s="6" t="inlineStr">
        <is>
          <t>ANDE-03-23</t>
        </is>
      </c>
      <c r="T1108" s="6" t="inlineStr"/>
      <c r="U1108" s="4" t="inlineStr">
        <is>
          <t>2026-09-11 00:05:00</t>
        </is>
      </c>
      <c r="V1108" s="4" t="inlineStr">
        <is>
          <t>Compilacion 2003-2023; prioridad canonica. Rupturas metodologicas de categorias en 2016/2017 documentadas por ANDE.</t>
        </is>
      </c>
    </row>
    <row r="1109">
      <c r="A1109" s="6" t="inlineStr">
        <is>
          <t>R0001108</t>
        </is>
      </c>
      <c r="B1109" s="6" t="inlineStr">
        <is>
          <t>2010-01-01</t>
        </is>
      </c>
      <c r="C1109" s="6" t="inlineStr">
        <is>
          <t>2010-12-31</t>
        </is>
      </c>
      <c r="D1109" s="6" t="inlineStr">
        <is>
          <t>year</t>
        </is>
      </c>
      <c r="E1109" s="6" t="inlineStr">
        <is>
          <t>ANDE_BILLED_RESIDENTIAL_ENERGY</t>
        </is>
      </c>
      <c r="F1109" s="6" t="inlineStr">
        <is>
          <t>PY_SIN</t>
        </is>
      </c>
      <c r="G1109" s="6" t="inlineStr">
        <is>
          <t>PY</t>
        </is>
      </c>
      <c r="H1109" s="6" t="inlineStr">
        <is>
          <t>PY</t>
        </is>
      </c>
      <c r="I1109" s="8" t="n">
        <v>2848571</v>
      </c>
      <c r="J1109" s="6" t="inlineStr">
        <is>
          <t>MWh</t>
        </is>
      </c>
      <c r="K1109" s="8" t="n">
        <v>2848571</v>
      </c>
      <c r="L1109" s="6" t="inlineStr">
        <is>
          <t>MWh</t>
        </is>
      </c>
      <c r="M1109" s="6" t="inlineStr">
        <is>
          <t>ANDE</t>
        </is>
      </c>
      <c r="N1109" s="6" t="inlineStr">
        <is>
          <t>OFFICIAL_PRIMARY</t>
        </is>
      </c>
      <c r="O1109" s="9" t="inlineStr">
        <is>
          <t>OFFICIAL_AGGREGATE</t>
        </is>
      </c>
      <c r="P1109" s="8" t="n">
        <v>1</v>
      </c>
      <c r="Q1109" s="8" t="n">
        <v>95</v>
      </c>
      <c r="R1109" s="7" t="inlineStr">
        <is>
          <t>https://www.ande.gov.py/finanzas/2.%20COMPILACION%20ESTADISTICA%202003-2023/ANDE%20-%20Compilacion%20Estadistica%202003-2023.pdf</t>
        </is>
      </c>
      <c r="S1109" s="6" t="inlineStr">
        <is>
          <t>ANDE-03-23</t>
        </is>
      </c>
      <c r="T1109" s="6" t="inlineStr"/>
      <c r="U1109" s="4" t="inlineStr">
        <is>
          <t>2026-09-11 00:05:00</t>
        </is>
      </c>
      <c r="V1109" s="4" t="inlineStr">
        <is>
          <t>Compilacion 2003-2023; prioridad canonica. Rupturas metodologicas de categorias en 2016/2017 documentadas por ANDE.</t>
        </is>
      </c>
    </row>
    <row r="1110">
      <c r="A1110" s="6" t="inlineStr">
        <is>
          <t>R0001109</t>
        </is>
      </c>
      <c r="B1110" s="6" t="inlineStr">
        <is>
          <t>2011-01-01</t>
        </is>
      </c>
      <c r="C1110" s="6" t="inlineStr">
        <is>
          <t>2011-12-31</t>
        </is>
      </c>
      <c r="D1110" s="6" t="inlineStr">
        <is>
          <t>year</t>
        </is>
      </c>
      <c r="E1110" s="6" t="inlineStr">
        <is>
          <t>ANDE_BILLED_RESIDENTIAL_ENERGY</t>
        </is>
      </c>
      <c r="F1110" s="6" t="inlineStr">
        <is>
          <t>PY_SIN</t>
        </is>
      </c>
      <c r="G1110" s="6" t="inlineStr">
        <is>
          <t>PY</t>
        </is>
      </c>
      <c r="H1110" s="6" t="inlineStr">
        <is>
          <t>PY</t>
        </is>
      </c>
      <c r="I1110" s="8" t="n">
        <v>3204965</v>
      </c>
      <c r="J1110" s="6" t="inlineStr">
        <is>
          <t>MWh</t>
        </is>
      </c>
      <c r="K1110" s="8" t="n">
        <v>3204965</v>
      </c>
      <c r="L1110" s="6" t="inlineStr">
        <is>
          <t>MWh</t>
        </is>
      </c>
      <c r="M1110" s="6" t="inlineStr">
        <is>
          <t>ANDE</t>
        </is>
      </c>
      <c r="N1110" s="6" t="inlineStr">
        <is>
          <t>OFFICIAL_PRIMARY</t>
        </is>
      </c>
      <c r="O1110" s="9" t="inlineStr">
        <is>
          <t>OFFICIAL_AGGREGATE</t>
        </is>
      </c>
      <c r="P1110" s="8" t="n">
        <v>1</v>
      </c>
      <c r="Q1110" s="8" t="n">
        <v>95</v>
      </c>
      <c r="R1110" s="7" t="inlineStr">
        <is>
          <t>https://www.ande.gov.py/finanzas/2.%20COMPILACION%20ESTADISTICA%202003-2023/ANDE%20-%20Compilacion%20Estadistica%202003-2023.pdf</t>
        </is>
      </c>
      <c r="S1110" s="6" t="inlineStr">
        <is>
          <t>ANDE-03-23</t>
        </is>
      </c>
      <c r="T1110" s="6" t="inlineStr"/>
      <c r="U1110" s="4" t="inlineStr">
        <is>
          <t>2026-09-11 00:05:00</t>
        </is>
      </c>
      <c r="V1110" s="4" t="inlineStr">
        <is>
          <t>Compilacion 2003-2023; prioridad canonica. Rupturas metodologicas de categorias en 2016/2017 documentadas por ANDE.</t>
        </is>
      </c>
    </row>
    <row r="1111">
      <c r="A1111" s="6" t="inlineStr">
        <is>
          <t>R0001110</t>
        </is>
      </c>
      <c r="B1111" s="6" t="inlineStr">
        <is>
          <t>2012-01-01</t>
        </is>
      </c>
      <c r="C1111" s="6" t="inlineStr">
        <is>
          <t>2012-12-31</t>
        </is>
      </c>
      <c r="D1111" s="6" t="inlineStr">
        <is>
          <t>year</t>
        </is>
      </c>
      <c r="E1111" s="6" t="inlineStr">
        <is>
          <t>ANDE_BILLED_RESIDENTIAL_ENERGY</t>
        </is>
      </c>
      <c r="F1111" s="6" t="inlineStr">
        <is>
          <t>PY_SIN</t>
        </is>
      </c>
      <c r="G1111" s="6" t="inlineStr">
        <is>
          <t>PY</t>
        </is>
      </c>
      <c r="H1111" s="6" t="inlineStr">
        <is>
          <t>PY</t>
        </is>
      </c>
      <c r="I1111" s="8" t="n">
        <v>3561075</v>
      </c>
      <c r="J1111" s="6" t="inlineStr">
        <is>
          <t>MWh</t>
        </is>
      </c>
      <c r="K1111" s="8" t="n">
        <v>3561075</v>
      </c>
      <c r="L1111" s="6" t="inlineStr">
        <is>
          <t>MWh</t>
        </is>
      </c>
      <c r="M1111" s="6" t="inlineStr">
        <is>
          <t>ANDE</t>
        </is>
      </c>
      <c r="N1111" s="6" t="inlineStr">
        <is>
          <t>OFFICIAL_PRIMARY</t>
        </is>
      </c>
      <c r="O1111" s="9" t="inlineStr">
        <is>
          <t>OFFICIAL_AGGREGATE</t>
        </is>
      </c>
      <c r="P1111" s="8" t="n">
        <v>1</v>
      </c>
      <c r="Q1111" s="8" t="n">
        <v>95</v>
      </c>
      <c r="R1111" s="7" t="inlineStr">
        <is>
          <t>https://www.ande.gov.py/finanzas/2.%20COMPILACION%20ESTADISTICA%202003-2023/ANDE%20-%20Compilacion%20Estadistica%202003-2023.pdf</t>
        </is>
      </c>
      <c r="S1111" s="6" t="inlineStr">
        <is>
          <t>ANDE-03-23</t>
        </is>
      </c>
      <c r="T1111" s="6" t="inlineStr"/>
      <c r="U1111" s="4" t="inlineStr">
        <is>
          <t>2026-09-11 00:05:00</t>
        </is>
      </c>
      <c r="V1111" s="4" t="inlineStr">
        <is>
          <t>Compilacion 2003-2023; prioridad canonica. Rupturas metodologicas de categorias en 2016/2017 documentadas por ANDE.</t>
        </is>
      </c>
    </row>
    <row r="1112">
      <c r="A1112" s="6" t="inlineStr">
        <is>
          <t>R0001111</t>
        </is>
      </c>
      <c r="B1112" s="6" t="inlineStr">
        <is>
          <t>2013-01-01</t>
        </is>
      </c>
      <c r="C1112" s="6" t="inlineStr">
        <is>
          <t>2013-12-31</t>
        </is>
      </c>
      <c r="D1112" s="6" t="inlineStr">
        <is>
          <t>year</t>
        </is>
      </c>
      <c r="E1112" s="6" t="inlineStr">
        <is>
          <t>ANDE_BILLED_RESIDENTIAL_ENERGY</t>
        </is>
      </c>
      <c r="F1112" s="6" t="inlineStr">
        <is>
          <t>PY_SIN</t>
        </is>
      </c>
      <c r="G1112" s="6" t="inlineStr">
        <is>
          <t>PY</t>
        </is>
      </c>
      <c r="H1112" s="6" t="inlineStr">
        <is>
          <t>PY</t>
        </is>
      </c>
      <c r="I1112" s="8" t="n">
        <v>3918516</v>
      </c>
      <c r="J1112" s="6" t="inlineStr">
        <is>
          <t>MWh</t>
        </is>
      </c>
      <c r="K1112" s="8" t="n">
        <v>3918516</v>
      </c>
      <c r="L1112" s="6" t="inlineStr">
        <is>
          <t>MWh</t>
        </is>
      </c>
      <c r="M1112" s="6" t="inlineStr">
        <is>
          <t>ANDE</t>
        </is>
      </c>
      <c r="N1112" s="6" t="inlineStr">
        <is>
          <t>OFFICIAL_PRIMARY</t>
        </is>
      </c>
      <c r="O1112" s="9" t="inlineStr">
        <is>
          <t>OFFICIAL_AGGREGATE</t>
        </is>
      </c>
      <c r="P1112" s="8" t="n">
        <v>1</v>
      </c>
      <c r="Q1112" s="8" t="n">
        <v>95</v>
      </c>
      <c r="R1112" s="7" t="inlineStr">
        <is>
          <t>https://www.ande.gov.py/finanzas/2.%20COMPILACION%20ESTADISTICA%202003-2023/ANDE%20-%20Compilacion%20Estadistica%202003-2023.pdf</t>
        </is>
      </c>
      <c r="S1112" s="6" t="inlineStr">
        <is>
          <t>ANDE-03-23</t>
        </is>
      </c>
      <c r="T1112" s="6" t="inlineStr"/>
      <c r="U1112" s="4" t="inlineStr">
        <is>
          <t>2026-09-11 00:05:00</t>
        </is>
      </c>
      <c r="V1112" s="4" t="inlineStr">
        <is>
          <t>Compilacion 2003-2023; prioridad canonica. Rupturas metodologicas de categorias en 2016/2017 documentadas por ANDE.</t>
        </is>
      </c>
    </row>
    <row r="1113">
      <c r="A1113" s="6" t="inlineStr">
        <is>
          <t>R0001112</t>
        </is>
      </c>
      <c r="B1113" s="6" t="inlineStr">
        <is>
          <t>2014-01-01</t>
        </is>
      </c>
      <c r="C1113" s="6" t="inlineStr">
        <is>
          <t>2014-12-31</t>
        </is>
      </c>
      <c r="D1113" s="6" t="inlineStr">
        <is>
          <t>year</t>
        </is>
      </c>
      <c r="E1113" s="6" t="inlineStr">
        <is>
          <t>ANDE_BILLED_RESIDENTIAL_ENERGY</t>
        </is>
      </c>
      <c r="F1113" s="6" t="inlineStr">
        <is>
          <t>PY_SIN</t>
        </is>
      </c>
      <c r="G1113" s="6" t="inlineStr">
        <is>
          <t>PY</t>
        </is>
      </c>
      <c r="H1113" s="6" t="inlineStr">
        <is>
          <t>PY</t>
        </is>
      </c>
      <c r="I1113" s="8" t="n">
        <v>4323380</v>
      </c>
      <c r="J1113" s="6" t="inlineStr">
        <is>
          <t>MWh</t>
        </is>
      </c>
      <c r="K1113" s="8" t="n">
        <v>4323380</v>
      </c>
      <c r="L1113" s="6" t="inlineStr">
        <is>
          <t>MWh</t>
        </is>
      </c>
      <c r="M1113" s="6" t="inlineStr">
        <is>
          <t>ANDE</t>
        </is>
      </c>
      <c r="N1113" s="6" t="inlineStr">
        <is>
          <t>OFFICIAL_PRIMARY</t>
        </is>
      </c>
      <c r="O1113" s="9" t="inlineStr">
        <is>
          <t>OFFICIAL_AGGREGATE</t>
        </is>
      </c>
      <c r="P1113" s="8" t="n">
        <v>1</v>
      </c>
      <c r="Q1113" s="8" t="n">
        <v>95</v>
      </c>
      <c r="R1113" s="7" t="inlineStr">
        <is>
          <t>https://www.ande.gov.py/finanzas/2.%20COMPILACION%20ESTADISTICA%202003-2023/ANDE%20-%20Compilacion%20Estadistica%202003-2023.pdf</t>
        </is>
      </c>
      <c r="S1113" s="6" t="inlineStr">
        <is>
          <t>ANDE-03-23</t>
        </is>
      </c>
      <c r="T1113" s="6" t="inlineStr"/>
      <c r="U1113" s="4" t="inlineStr">
        <is>
          <t>2026-09-11 00:05:00</t>
        </is>
      </c>
      <c r="V1113" s="4" t="inlineStr">
        <is>
          <t>Compilacion 2003-2023; prioridad canonica. Rupturas metodologicas de categorias en 2016/2017 documentadas por ANDE.</t>
        </is>
      </c>
    </row>
    <row r="1114">
      <c r="A1114" s="6" t="inlineStr">
        <is>
          <t>R0001113</t>
        </is>
      </c>
      <c r="B1114" s="6" t="inlineStr">
        <is>
          <t>2015-01-01</t>
        </is>
      </c>
      <c r="C1114" s="6" t="inlineStr">
        <is>
          <t>2015-12-31</t>
        </is>
      </c>
      <c r="D1114" s="6" t="inlineStr">
        <is>
          <t>year</t>
        </is>
      </c>
      <c r="E1114" s="6" t="inlineStr">
        <is>
          <t>ANDE_BILLED_RESIDENTIAL_ENERGY</t>
        </is>
      </c>
      <c r="F1114" s="6" t="inlineStr">
        <is>
          <t>PY_SIN</t>
        </is>
      </c>
      <c r="G1114" s="6" t="inlineStr">
        <is>
          <t>PY</t>
        </is>
      </c>
      <c r="H1114" s="6" t="inlineStr">
        <is>
          <t>PY</t>
        </is>
      </c>
      <c r="I1114" s="8" t="n">
        <v>4542495</v>
      </c>
      <c r="J1114" s="6" t="inlineStr">
        <is>
          <t>MWh</t>
        </is>
      </c>
      <c r="K1114" s="8" t="n">
        <v>4542495</v>
      </c>
      <c r="L1114" s="6" t="inlineStr">
        <is>
          <t>MWh</t>
        </is>
      </c>
      <c r="M1114" s="6" t="inlineStr">
        <is>
          <t>ANDE</t>
        </is>
      </c>
      <c r="N1114" s="6" t="inlineStr">
        <is>
          <t>OFFICIAL_PRIMARY</t>
        </is>
      </c>
      <c r="O1114" s="9" t="inlineStr">
        <is>
          <t>OFFICIAL_AGGREGATE</t>
        </is>
      </c>
      <c r="P1114" s="8" t="n">
        <v>1</v>
      </c>
      <c r="Q1114" s="8" t="n">
        <v>95</v>
      </c>
      <c r="R1114" s="7" t="inlineStr">
        <is>
          <t>https://www.ande.gov.py/finanzas/2.%20COMPILACION%20ESTADISTICA%202003-2023/ANDE%20-%20Compilacion%20Estadistica%202003-2023.pdf</t>
        </is>
      </c>
      <c r="S1114" s="6" t="inlineStr">
        <is>
          <t>ANDE-03-23</t>
        </is>
      </c>
      <c r="T1114" s="6" t="inlineStr"/>
      <c r="U1114" s="4" t="inlineStr">
        <is>
          <t>2026-09-11 00:05:00</t>
        </is>
      </c>
      <c r="V1114" s="4" t="inlineStr">
        <is>
          <t>Compilacion 2003-2023; prioridad canonica. Rupturas metodologicas de categorias en 2016/2017 documentadas por ANDE.</t>
        </is>
      </c>
    </row>
    <row r="1115">
      <c r="A1115" s="6" t="inlineStr">
        <is>
          <t>R0001114</t>
        </is>
      </c>
      <c r="B1115" s="6" t="inlineStr">
        <is>
          <t>2016-01-01</t>
        </is>
      </c>
      <c r="C1115" s="6" t="inlineStr">
        <is>
          <t>2016-12-31</t>
        </is>
      </c>
      <c r="D1115" s="6" t="inlineStr">
        <is>
          <t>year</t>
        </is>
      </c>
      <c r="E1115" s="6" t="inlineStr">
        <is>
          <t>ANDE_BILLED_RESIDENTIAL_ENERGY</t>
        </is>
      </c>
      <c r="F1115" s="6" t="inlineStr">
        <is>
          <t>PY_SIN</t>
        </is>
      </c>
      <c r="G1115" s="6" t="inlineStr">
        <is>
          <t>PY</t>
        </is>
      </c>
      <c r="H1115" s="6" t="inlineStr">
        <is>
          <t>PY</t>
        </is>
      </c>
      <c r="I1115" s="8" t="n">
        <v>4793863</v>
      </c>
      <c r="J1115" s="6" t="inlineStr">
        <is>
          <t>MWh</t>
        </is>
      </c>
      <c r="K1115" s="8" t="n">
        <v>4793863</v>
      </c>
      <c r="L1115" s="6" t="inlineStr">
        <is>
          <t>MWh</t>
        </is>
      </c>
      <c r="M1115" s="6" t="inlineStr">
        <is>
          <t>ANDE</t>
        </is>
      </c>
      <c r="N1115" s="6" t="inlineStr">
        <is>
          <t>OFFICIAL_PRIMARY</t>
        </is>
      </c>
      <c r="O1115" s="9" t="inlineStr">
        <is>
          <t>OFFICIAL_AGGREGATE</t>
        </is>
      </c>
      <c r="P1115" s="8" t="n">
        <v>1</v>
      </c>
      <c r="Q1115" s="8" t="n">
        <v>95</v>
      </c>
      <c r="R1115" s="7" t="inlineStr">
        <is>
          <t>https://www.ande.gov.py/finanzas/2.%20COMPILACION%20ESTADISTICA%202003-2023/ANDE%20-%20Compilacion%20Estadistica%202003-2023.pdf</t>
        </is>
      </c>
      <c r="S1115" s="6" t="inlineStr">
        <is>
          <t>ANDE-03-23</t>
        </is>
      </c>
      <c r="T1115" s="6" t="inlineStr"/>
      <c r="U1115" s="4" t="inlineStr">
        <is>
          <t>2026-09-11 00:05:00</t>
        </is>
      </c>
      <c r="V1115" s="4" t="inlineStr">
        <is>
          <t>Compilacion 2003-2023; prioridad canonica. Rupturas metodologicas de categorias en 2016/2017 documentadas por ANDE.</t>
        </is>
      </c>
    </row>
    <row r="1116">
      <c r="A1116" s="6" t="inlineStr">
        <is>
          <t>R0001115</t>
        </is>
      </c>
      <c r="B1116" s="6" t="inlineStr">
        <is>
          <t>2017-01-01</t>
        </is>
      </c>
      <c r="C1116" s="6" t="inlineStr">
        <is>
          <t>2017-12-31</t>
        </is>
      </c>
      <c r="D1116" s="6" t="inlineStr">
        <is>
          <t>year</t>
        </is>
      </c>
      <c r="E1116" s="6" t="inlineStr">
        <is>
          <t>ANDE_BILLED_RESIDENTIAL_ENERGY</t>
        </is>
      </c>
      <c r="F1116" s="6" t="inlineStr">
        <is>
          <t>PY_SIN</t>
        </is>
      </c>
      <c r="G1116" s="6" t="inlineStr">
        <is>
          <t>PY</t>
        </is>
      </c>
      <c r="H1116" s="6" t="inlineStr">
        <is>
          <t>PY</t>
        </is>
      </c>
      <c r="I1116" s="8" t="n">
        <v>4920271</v>
      </c>
      <c r="J1116" s="6" t="inlineStr">
        <is>
          <t>MWh</t>
        </is>
      </c>
      <c r="K1116" s="8" t="n">
        <v>4920271</v>
      </c>
      <c r="L1116" s="6" t="inlineStr">
        <is>
          <t>MWh</t>
        </is>
      </c>
      <c r="M1116" s="6" t="inlineStr">
        <is>
          <t>ANDE</t>
        </is>
      </c>
      <c r="N1116" s="6" t="inlineStr">
        <is>
          <t>OFFICIAL_PRIMARY</t>
        </is>
      </c>
      <c r="O1116" s="9" t="inlineStr">
        <is>
          <t>OFFICIAL_AGGREGATE</t>
        </is>
      </c>
      <c r="P1116" s="8" t="n">
        <v>1</v>
      </c>
      <c r="Q1116" s="8" t="n">
        <v>95</v>
      </c>
      <c r="R1116" s="7" t="inlineStr">
        <is>
          <t>https://www.ande.gov.py/finanzas/2.%20COMPILACION%20ESTADISTICA%202003-2023/ANDE%20-%20Compilacion%20Estadistica%202003-2023.pdf</t>
        </is>
      </c>
      <c r="S1116" s="6" t="inlineStr">
        <is>
          <t>ANDE-03-23</t>
        </is>
      </c>
      <c r="T1116" s="6" t="inlineStr"/>
      <c r="U1116" s="4" t="inlineStr">
        <is>
          <t>2026-09-11 00:05:00</t>
        </is>
      </c>
      <c r="V1116" s="4" t="inlineStr">
        <is>
          <t>Compilacion 2003-2023; prioridad canonica. Rupturas metodologicas de categorias en 2016/2017 documentadas por ANDE.</t>
        </is>
      </c>
    </row>
    <row r="1117">
      <c r="A1117" s="6" t="inlineStr">
        <is>
          <t>R0001116</t>
        </is>
      </c>
      <c r="B1117" s="6" t="inlineStr">
        <is>
          <t>2018-01-01</t>
        </is>
      </c>
      <c r="C1117" s="6" t="inlineStr">
        <is>
          <t>2018-12-31</t>
        </is>
      </c>
      <c r="D1117" s="6" t="inlineStr">
        <is>
          <t>year</t>
        </is>
      </c>
      <c r="E1117" s="6" t="inlineStr">
        <is>
          <t>ANDE_BILLED_RESIDENTIAL_ENERGY</t>
        </is>
      </c>
      <c r="F1117" s="6" t="inlineStr">
        <is>
          <t>PY_SIN</t>
        </is>
      </c>
      <c r="G1117" s="6" t="inlineStr">
        <is>
          <t>PY</t>
        </is>
      </c>
      <c r="H1117" s="6" t="inlineStr">
        <is>
          <t>PY</t>
        </is>
      </c>
      <c r="I1117" s="8" t="n">
        <v>5376642</v>
      </c>
      <c r="J1117" s="6" t="inlineStr">
        <is>
          <t>MWh</t>
        </is>
      </c>
      <c r="K1117" s="8" t="n">
        <v>5376642</v>
      </c>
      <c r="L1117" s="6" t="inlineStr">
        <is>
          <t>MWh</t>
        </is>
      </c>
      <c r="M1117" s="6" t="inlineStr">
        <is>
          <t>ANDE</t>
        </is>
      </c>
      <c r="N1117" s="6" t="inlineStr">
        <is>
          <t>OFFICIAL_PRIMARY</t>
        </is>
      </c>
      <c r="O1117" s="9" t="inlineStr">
        <is>
          <t>OFFICIAL_AGGREGATE</t>
        </is>
      </c>
      <c r="P1117" s="8" t="n">
        <v>1</v>
      </c>
      <c r="Q1117" s="8" t="n">
        <v>95</v>
      </c>
      <c r="R1117" s="7" t="inlineStr">
        <is>
          <t>https://www.ande.gov.py/finanzas/2.%20COMPILACION%20ESTADISTICA%202003-2023/ANDE%20-%20Compilacion%20Estadistica%202003-2023.pdf</t>
        </is>
      </c>
      <c r="S1117" s="6" t="inlineStr">
        <is>
          <t>ANDE-03-23</t>
        </is>
      </c>
      <c r="T1117" s="6" t="inlineStr"/>
      <c r="U1117" s="4" t="inlineStr">
        <is>
          <t>2026-09-11 00:05:00</t>
        </is>
      </c>
      <c r="V1117" s="4" t="inlineStr">
        <is>
          <t>Compilacion 2003-2023; prioridad canonica. Rupturas metodologicas de categorias en 2016/2017 documentadas por ANDE.</t>
        </is>
      </c>
    </row>
    <row r="1118">
      <c r="A1118" s="6" t="inlineStr">
        <is>
          <t>R0001117</t>
        </is>
      </c>
      <c r="B1118" s="6" t="inlineStr">
        <is>
          <t>2019-01-01</t>
        </is>
      </c>
      <c r="C1118" s="6" t="inlineStr">
        <is>
          <t>2019-12-31</t>
        </is>
      </c>
      <c r="D1118" s="6" t="inlineStr">
        <is>
          <t>year</t>
        </is>
      </c>
      <c r="E1118" s="6" t="inlineStr">
        <is>
          <t>ANDE_BILLED_RESIDENTIAL_ENERGY</t>
        </is>
      </c>
      <c r="F1118" s="6" t="inlineStr">
        <is>
          <t>PY_SIN</t>
        </is>
      </c>
      <c r="G1118" s="6" t="inlineStr">
        <is>
          <t>PY</t>
        </is>
      </c>
      <c r="H1118" s="6" t="inlineStr">
        <is>
          <t>PY</t>
        </is>
      </c>
      <c r="I1118" s="8" t="n">
        <v>5533958</v>
      </c>
      <c r="J1118" s="6" t="inlineStr">
        <is>
          <t>MWh</t>
        </is>
      </c>
      <c r="K1118" s="8" t="n">
        <v>5533958</v>
      </c>
      <c r="L1118" s="6" t="inlineStr">
        <is>
          <t>MWh</t>
        </is>
      </c>
      <c r="M1118" s="6" t="inlineStr">
        <is>
          <t>ANDE</t>
        </is>
      </c>
      <c r="N1118" s="6" t="inlineStr">
        <is>
          <t>OFFICIAL_PRIMARY</t>
        </is>
      </c>
      <c r="O1118" s="9" t="inlineStr">
        <is>
          <t>OFFICIAL_AGGREGATE</t>
        </is>
      </c>
      <c r="P1118" s="8" t="n">
        <v>1</v>
      </c>
      <c r="Q1118" s="8" t="n">
        <v>95</v>
      </c>
      <c r="R1118" s="7" t="inlineStr">
        <is>
          <t>https://www.ande.gov.py/finanzas/2.%20COMPILACION%20ESTADISTICA%202003-2023/ANDE%20-%20Compilacion%20Estadistica%202003-2023.pdf</t>
        </is>
      </c>
      <c r="S1118" s="6" t="inlineStr">
        <is>
          <t>ANDE-03-23</t>
        </is>
      </c>
      <c r="T1118" s="6" t="inlineStr"/>
      <c r="U1118" s="4" t="inlineStr">
        <is>
          <t>2026-09-11 00:05:00</t>
        </is>
      </c>
      <c r="V1118" s="4" t="inlineStr">
        <is>
          <t>Compilacion 2003-2023; prioridad canonica. Rupturas metodologicas de categorias en 2016/2017 documentadas por ANDE.</t>
        </is>
      </c>
    </row>
    <row r="1119">
      <c r="A1119" s="6" t="inlineStr">
        <is>
          <t>R0001118</t>
        </is>
      </c>
      <c r="B1119" s="6" t="inlineStr">
        <is>
          <t>2020-01-01</t>
        </is>
      </c>
      <c r="C1119" s="6" t="inlineStr">
        <is>
          <t>2020-12-31</t>
        </is>
      </c>
      <c r="D1119" s="6" t="inlineStr">
        <is>
          <t>year</t>
        </is>
      </c>
      <c r="E1119" s="6" t="inlineStr">
        <is>
          <t>ANDE_BILLED_RESIDENTIAL_ENERGY</t>
        </is>
      </c>
      <c r="F1119" s="6" t="inlineStr">
        <is>
          <t>PY_SIN</t>
        </is>
      </c>
      <c r="G1119" s="6" t="inlineStr">
        <is>
          <t>PY</t>
        </is>
      </c>
      <c r="H1119" s="6" t="inlineStr">
        <is>
          <t>PY</t>
        </is>
      </c>
      <c r="I1119" s="8" t="n">
        <v>6403281</v>
      </c>
      <c r="J1119" s="6" t="inlineStr">
        <is>
          <t>MWh</t>
        </is>
      </c>
      <c r="K1119" s="8" t="n">
        <v>6403281</v>
      </c>
      <c r="L1119" s="6" t="inlineStr">
        <is>
          <t>MWh</t>
        </is>
      </c>
      <c r="M1119" s="6" t="inlineStr">
        <is>
          <t>ANDE</t>
        </is>
      </c>
      <c r="N1119" s="6" t="inlineStr">
        <is>
          <t>OFFICIAL_PRIMARY</t>
        </is>
      </c>
      <c r="O1119" s="9" t="inlineStr">
        <is>
          <t>OFFICIAL_AGGREGATE</t>
        </is>
      </c>
      <c r="P1119" s="8" t="n">
        <v>1</v>
      </c>
      <c r="Q1119" s="8" t="n">
        <v>95</v>
      </c>
      <c r="R1119" s="7" t="inlineStr">
        <is>
          <t>https://www.ande.gov.py/finanzas/2.%20COMPILACION%20ESTADISTICA%202003-2023/ANDE%20-%20Compilacion%20Estadistica%202003-2023.pdf</t>
        </is>
      </c>
      <c r="S1119" s="6" t="inlineStr">
        <is>
          <t>ANDE-03-23</t>
        </is>
      </c>
      <c r="T1119" s="6" t="inlineStr"/>
      <c r="U1119" s="4" t="inlineStr">
        <is>
          <t>2026-09-11 00:05:00</t>
        </is>
      </c>
      <c r="V1119" s="4" t="inlineStr">
        <is>
          <t>Compilacion 2003-2023; prioridad canonica. Rupturas metodologicas de categorias en 2016/2017 documentadas por ANDE.</t>
        </is>
      </c>
    </row>
    <row r="1120">
      <c r="A1120" s="6" t="inlineStr">
        <is>
          <t>R0001119</t>
        </is>
      </c>
      <c r="B1120" s="6" t="inlineStr">
        <is>
          <t>2021-01-01</t>
        </is>
      </c>
      <c r="C1120" s="6" t="inlineStr">
        <is>
          <t>2021-12-31</t>
        </is>
      </c>
      <c r="D1120" s="6" t="inlineStr">
        <is>
          <t>year</t>
        </is>
      </c>
      <c r="E1120" s="6" t="inlineStr">
        <is>
          <t>ANDE_BILLED_RESIDENTIAL_ENERGY</t>
        </is>
      </c>
      <c r="F1120" s="6" t="inlineStr">
        <is>
          <t>PY_SIN</t>
        </is>
      </c>
      <c r="G1120" s="6" t="inlineStr">
        <is>
          <t>PY</t>
        </is>
      </c>
      <c r="H1120" s="6" t="inlineStr">
        <is>
          <t>PY</t>
        </is>
      </c>
      <c r="I1120" s="8" t="n">
        <v>6175025</v>
      </c>
      <c r="J1120" s="6" t="inlineStr">
        <is>
          <t>MWh</t>
        </is>
      </c>
      <c r="K1120" s="8" t="n">
        <v>6175025</v>
      </c>
      <c r="L1120" s="6" t="inlineStr">
        <is>
          <t>MWh</t>
        </is>
      </c>
      <c r="M1120" s="6" t="inlineStr">
        <is>
          <t>ANDE</t>
        </is>
      </c>
      <c r="N1120" s="6" t="inlineStr">
        <is>
          <t>OFFICIAL_PRIMARY</t>
        </is>
      </c>
      <c r="O1120" s="9" t="inlineStr">
        <is>
          <t>OFFICIAL_AGGREGATE</t>
        </is>
      </c>
      <c r="P1120" s="8" t="n">
        <v>1</v>
      </c>
      <c r="Q1120" s="8" t="n">
        <v>95</v>
      </c>
      <c r="R1120" s="7" t="inlineStr">
        <is>
          <t>https://www.ande.gov.py/finanzas/2.%20COMPILACION%20ESTADISTICA%202003-2023/ANDE%20-%20Compilacion%20Estadistica%202003-2023.pdf</t>
        </is>
      </c>
      <c r="S1120" s="6" t="inlineStr">
        <is>
          <t>ANDE-03-23</t>
        </is>
      </c>
      <c r="T1120" s="6" t="inlineStr"/>
      <c r="U1120" s="4" t="inlineStr">
        <is>
          <t>2026-09-11 00:05:00</t>
        </is>
      </c>
      <c r="V1120" s="4" t="inlineStr">
        <is>
          <t>Compilacion 2003-2023; prioridad canonica. Rupturas metodologicas de categorias en 2016/2017 documentadas por ANDE.</t>
        </is>
      </c>
    </row>
    <row r="1121">
      <c r="A1121" s="6" t="inlineStr">
        <is>
          <t>R0001120</t>
        </is>
      </c>
      <c r="B1121" s="6" t="inlineStr">
        <is>
          <t>2022-01-01</t>
        </is>
      </c>
      <c r="C1121" s="6" t="inlineStr">
        <is>
          <t>2022-12-31</t>
        </is>
      </c>
      <c r="D1121" s="6" t="inlineStr">
        <is>
          <t>year</t>
        </is>
      </c>
      <c r="E1121" s="6" t="inlineStr">
        <is>
          <t>ANDE_BILLED_RESIDENTIAL_ENERGY</t>
        </is>
      </c>
      <c r="F1121" s="6" t="inlineStr">
        <is>
          <t>PY_SIN</t>
        </is>
      </c>
      <c r="G1121" s="6" t="inlineStr">
        <is>
          <t>PY</t>
        </is>
      </c>
      <c r="H1121" s="6" t="inlineStr">
        <is>
          <t>PY</t>
        </is>
      </c>
      <c r="I1121" s="8" t="n">
        <v>6312715</v>
      </c>
      <c r="J1121" s="6" t="inlineStr">
        <is>
          <t>MWh</t>
        </is>
      </c>
      <c r="K1121" s="8" t="n">
        <v>6312715</v>
      </c>
      <c r="L1121" s="6" t="inlineStr">
        <is>
          <t>MWh</t>
        </is>
      </c>
      <c r="M1121" s="6" t="inlineStr">
        <is>
          <t>ANDE</t>
        </is>
      </c>
      <c r="N1121" s="6" t="inlineStr">
        <is>
          <t>OFFICIAL_PRIMARY</t>
        </is>
      </c>
      <c r="O1121" s="9" t="inlineStr">
        <is>
          <t>OFFICIAL_AGGREGATE</t>
        </is>
      </c>
      <c r="P1121" s="8" t="n">
        <v>1</v>
      </c>
      <c r="Q1121" s="8" t="n">
        <v>95</v>
      </c>
      <c r="R1121" s="7" t="inlineStr">
        <is>
          <t>https://www.ande.gov.py/finanzas/2.%20COMPILACION%20ESTADISTICA%202003-2023/ANDE%20-%20Compilacion%20Estadistica%202003-2023.pdf</t>
        </is>
      </c>
      <c r="S1121" s="6" t="inlineStr">
        <is>
          <t>ANDE-03-23</t>
        </is>
      </c>
      <c r="T1121" s="6" t="inlineStr"/>
      <c r="U1121" s="4" t="inlineStr">
        <is>
          <t>2026-09-11 00:05:00</t>
        </is>
      </c>
      <c r="V1121" s="4" t="inlineStr">
        <is>
          <t>Compilacion 2003-2023; prioridad canonica. Rupturas metodologicas de categorias en 2016/2017 documentadas por ANDE.</t>
        </is>
      </c>
    </row>
    <row r="1122">
      <c r="A1122" s="6" t="inlineStr">
        <is>
          <t>R0001121</t>
        </is>
      </c>
      <c r="B1122" s="6" t="inlineStr">
        <is>
          <t>2023-01-01</t>
        </is>
      </c>
      <c r="C1122" s="6" t="inlineStr">
        <is>
          <t>2023-12-31</t>
        </is>
      </c>
      <c r="D1122" s="6" t="inlineStr">
        <is>
          <t>year</t>
        </is>
      </c>
      <c r="E1122" s="6" t="inlineStr">
        <is>
          <t>ANDE_BILLED_RESIDENTIAL_ENERGY</t>
        </is>
      </c>
      <c r="F1122" s="6" t="inlineStr">
        <is>
          <t>PY_SIN</t>
        </is>
      </c>
      <c r="G1122" s="6" t="inlineStr">
        <is>
          <t>PY</t>
        </is>
      </c>
      <c r="H1122" s="6" t="inlineStr">
        <is>
          <t>PY</t>
        </is>
      </c>
      <c r="I1122" s="8" t="n">
        <v>6686271</v>
      </c>
      <c r="J1122" s="6" t="inlineStr">
        <is>
          <t>MWh</t>
        </is>
      </c>
      <c r="K1122" s="8" t="n">
        <v>6686271</v>
      </c>
      <c r="L1122" s="6" t="inlineStr">
        <is>
          <t>MWh</t>
        </is>
      </c>
      <c r="M1122" s="6" t="inlineStr">
        <is>
          <t>ANDE</t>
        </is>
      </c>
      <c r="N1122" s="6" t="inlineStr">
        <is>
          <t>OFFICIAL_PRIMARY</t>
        </is>
      </c>
      <c r="O1122" s="9" t="inlineStr">
        <is>
          <t>OFFICIAL_AGGREGATE</t>
        </is>
      </c>
      <c r="P1122" s="8" t="n">
        <v>1</v>
      </c>
      <c r="Q1122" s="8" t="n">
        <v>95</v>
      </c>
      <c r="R1122" s="7" t="inlineStr">
        <is>
          <t>https://www.ande.gov.py/finanzas/2.%20COMPILACION%20ESTADISTICA%202003-2023/ANDE%20-%20Compilacion%20Estadistica%202003-2023.pdf</t>
        </is>
      </c>
      <c r="S1122" s="6" t="inlineStr">
        <is>
          <t>ANDE-03-23</t>
        </is>
      </c>
      <c r="T1122" s="6" t="inlineStr"/>
      <c r="U1122" s="4" t="inlineStr">
        <is>
          <t>2026-09-11 00:05:00</t>
        </is>
      </c>
      <c r="V1122" s="4" t="inlineStr">
        <is>
          <t>Compilacion 2003-2023; prioridad canonica. Rupturas metodologicas de categorias en 2016/2017 documentadas por ANDE.</t>
        </is>
      </c>
    </row>
    <row r="1123">
      <c r="A1123" s="6" t="inlineStr">
        <is>
          <t>R0001122</t>
        </is>
      </c>
      <c r="B1123" s="6" t="inlineStr">
        <is>
          <t>2003-01-01</t>
        </is>
      </c>
      <c r="C1123" s="6" t="inlineStr">
        <is>
          <t>2003-12-31</t>
        </is>
      </c>
      <c r="D1123" s="6" t="inlineStr">
        <is>
          <t>year</t>
        </is>
      </c>
      <c r="E1123" s="6" t="inlineStr">
        <is>
          <t>ANDE_BILLED_INDUSTRIAL_ENERGY</t>
        </is>
      </c>
      <c r="F1123" s="6" t="inlineStr">
        <is>
          <t>PY_SIN</t>
        </is>
      </c>
      <c r="G1123" s="6" t="inlineStr">
        <is>
          <t>PY</t>
        </is>
      </c>
      <c r="H1123" s="6" t="inlineStr">
        <is>
          <t>PY</t>
        </is>
      </c>
      <c r="I1123" s="8" t="n">
        <v>1054432</v>
      </c>
      <c r="J1123" s="6" t="inlineStr">
        <is>
          <t>MWh</t>
        </is>
      </c>
      <c r="K1123" s="8" t="n">
        <v>1054432</v>
      </c>
      <c r="L1123" s="6" t="inlineStr">
        <is>
          <t>MWh</t>
        </is>
      </c>
      <c r="M1123" s="6" t="inlineStr">
        <is>
          <t>ANDE</t>
        </is>
      </c>
      <c r="N1123" s="6" t="inlineStr">
        <is>
          <t>OFFICIAL_PRIMARY</t>
        </is>
      </c>
      <c r="O1123" s="9" t="inlineStr">
        <is>
          <t>OFFICIAL_AGGREGATE</t>
        </is>
      </c>
      <c r="P1123" s="8" t="n">
        <v>1</v>
      </c>
      <c r="Q1123" s="8" t="n">
        <v>95</v>
      </c>
      <c r="R1123" s="7" t="inlineStr">
        <is>
          <t>https://www.ande.gov.py/finanzas/2.%20COMPILACION%20ESTADISTICA%202003-2023/ANDE%20-%20Compilacion%20Estadistica%202003-2023.pdf</t>
        </is>
      </c>
      <c r="S1123" s="6" t="inlineStr">
        <is>
          <t>ANDE-03-23</t>
        </is>
      </c>
      <c r="T1123" s="6" t="inlineStr"/>
      <c r="U1123" s="4" t="inlineStr">
        <is>
          <t>2026-09-11 00:05:00</t>
        </is>
      </c>
      <c r="V1123" s="4" t="inlineStr">
        <is>
          <t>Compilacion 2003-2023; prioridad canonica. Rupturas metodologicas de categorias en 2016/2017 documentadas por ANDE.</t>
        </is>
      </c>
    </row>
    <row r="1124">
      <c r="A1124" s="6" t="inlineStr">
        <is>
          <t>R0001123</t>
        </is>
      </c>
      <c r="B1124" s="6" t="inlineStr">
        <is>
          <t>2004-01-01</t>
        </is>
      </c>
      <c r="C1124" s="6" t="inlineStr">
        <is>
          <t>2004-12-31</t>
        </is>
      </c>
      <c r="D1124" s="6" t="inlineStr">
        <is>
          <t>year</t>
        </is>
      </c>
      <c r="E1124" s="6" t="inlineStr">
        <is>
          <t>ANDE_BILLED_INDUSTRIAL_ENERGY</t>
        </is>
      </c>
      <c r="F1124" s="6" t="inlineStr">
        <is>
          <t>PY_SIN</t>
        </is>
      </c>
      <c r="G1124" s="6" t="inlineStr">
        <is>
          <t>PY</t>
        </is>
      </c>
      <c r="H1124" s="6" t="inlineStr">
        <is>
          <t>PY</t>
        </is>
      </c>
      <c r="I1124" s="8" t="n">
        <v>1153733</v>
      </c>
      <c r="J1124" s="6" t="inlineStr">
        <is>
          <t>MWh</t>
        </is>
      </c>
      <c r="K1124" s="8" t="n">
        <v>1153733</v>
      </c>
      <c r="L1124" s="6" t="inlineStr">
        <is>
          <t>MWh</t>
        </is>
      </c>
      <c r="M1124" s="6" t="inlineStr">
        <is>
          <t>ANDE</t>
        </is>
      </c>
      <c r="N1124" s="6" t="inlineStr">
        <is>
          <t>OFFICIAL_PRIMARY</t>
        </is>
      </c>
      <c r="O1124" s="9" t="inlineStr">
        <is>
          <t>OFFICIAL_AGGREGATE</t>
        </is>
      </c>
      <c r="P1124" s="8" t="n">
        <v>1</v>
      </c>
      <c r="Q1124" s="8" t="n">
        <v>95</v>
      </c>
      <c r="R1124" s="7" t="inlineStr">
        <is>
          <t>https://www.ande.gov.py/finanzas/2.%20COMPILACION%20ESTADISTICA%202003-2023/ANDE%20-%20Compilacion%20Estadistica%202003-2023.pdf</t>
        </is>
      </c>
      <c r="S1124" s="6" t="inlineStr">
        <is>
          <t>ANDE-03-23</t>
        </is>
      </c>
      <c r="T1124" s="6" t="inlineStr"/>
      <c r="U1124" s="4" t="inlineStr">
        <is>
          <t>2026-09-11 00:05:00</t>
        </is>
      </c>
      <c r="V1124" s="4" t="inlineStr">
        <is>
          <t>Compilacion 2003-2023; prioridad canonica. Rupturas metodologicas de categorias en 2016/2017 documentadas por ANDE.</t>
        </is>
      </c>
    </row>
    <row r="1125">
      <c r="A1125" s="6" t="inlineStr">
        <is>
          <t>R0001124</t>
        </is>
      </c>
      <c r="B1125" s="6" t="inlineStr">
        <is>
          <t>2005-01-01</t>
        </is>
      </c>
      <c r="C1125" s="6" t="inlineStr">
        <is>
          <t>2005-12-31</t>
        </is>
      </c>
      <c r="D1125" s="6" t="inlineStr">
        <is>
          <t>year</t>
        </is>
      </c>
      <c r="E1125" s="6" t="inlineStr">
        <is>
          <t>ANDE_BILLED_INDUSTRIAL_ENERGY</t>
        </is>
      </c>
      <c r="F1125" s="6" t="inlineStr">
        <is>
          <t>PY_SIN</t>
        </is>
      </c>
      <c r="G1125" s="6" t="inlineStr">
        <is>
          <t>PY</t>
        </is>
      </c>
      <c r="H1125" s="6" t="inlineStr">
        <is>
          <t>PY</t>
        </is>
      </c>
      <c r="I1125" s="8" t="n">
        <v>1249665</v>
      </c>
      <c r="J1125" s="6" t="inlineStr">
        <is>
          <t>MWh</t>
        </is>
      </c>
      <c r="K1125" s="8" t="n">
        <v>1249665</v>
      </c>
      <c r="L1125" s="6" t="inlineStr">
        <is>
          <t>MWh</t>
        </is>
      </c>
      <c r="M1125" s="6" t="inlineStr">
        <is>
          <t>ANDE</t>
        </is>
      </c>
      <c r="N1125" s="6" t="inlineStr">
        <is>
          <t>OFFICIAL_PRIMARY</t>
        </is>
      </c>
      <c r="O1125" s="9" t="inlineStr">
        <is>
          <t>OFFICIAL_AGGREGATE</t>
        </is>
      </c>
      <c r="P1125" s="8" t="n">
        <v>1</v>
      </c>
      <c r="Q1125" s="8" t="n">
        <v>95</v>
      </c>
      <c r="R1125" s="7" t="inlineStr">
        <is>
          <t>https://www.ande.gov.py/finanzas/2.%20COMPILACION%20ESTADISTICA%202003-2023/ANDE%20-%20Compilacion%20Estadistica%202003-2023.pdf</t>
        </is>
      </c>
      <c r="S1125" s="6" t="inlineStr">
        <is>
          <t>ANDE-03-23</t>
        </is>
      </c>
      <c r="T1125" s="6" t="inlineStr"/>
      <c r="U1125" s="4" t="inlineStr">
        <is>
          <t>2026-09-11 00:05:00</t>
        </is>
      </c>
      <c r="V1125" s="4" t="inlineStr">
        <is>
          <t>Compilacion 2003-2023; prioridad canonica. Rupturas metodologicas de categorias en 2016/2017 documentadas por ANDE.</t>
        </is>
      </c>
    </row>
    <row r="1126">
      <c r="A1126" s="6" t="inlineStr">
        <is>
          <t>R0001125</t>
        </is>
      </c>
      <c r="B1126" s="6" t="inlineStr">
        <is>
          <t>2006-01-01</t>
        </is>
      </c>
      <c r="C1126" s="6" t="inlineStr">
        <is>
          <t>2006-12-31</t>
        </is>
      </c>
      <c r="D1126" s="6" t="inlineStr">
        <is>
          <t>year</t>
        </is>
      </c>
      <c r="E1126" s="6" t="inlineStr">
        <is>
          <t>ANDE_BILLED_INDUSTRIAL_ENERGY</t>
        </is>
      </c>
      <c r="F1126" s="6" t="inlineStr">
        <is>
          <t>PY_SIN</t>
        </is>
      </c>
      <c r="G1126" s="6" t="inlineStr">
        <is>
          <t>PY</t>
        </is>
      </c>
      <c r="H1126" s="6" t="inlineStr">
        <is>
          <t>PY</t>
        </is>
      </c>
      <c r="I1126" s="8" t="n">
        <v>1371385</v>
      </c>
      <c r="J1126" s="6" t="inlineStr">
        <is>
          <t>MWh</t>
        </is>
      </c>
      <c r="K1126" s="8" t="n">
        <v>1371385</v>
      </c>
      <c r="L1126" s="6" t="inlineStr">
        <is>
          <t>MWh</t>
        </is>
      </c>
      <c r="M1126" s="6" t="inlineStr">
        <is>
          <t>ANDE</t>
        </is>
      </c>
      <c r="N1126" s="6" t="inlineStr">
        <is>
          <t>OFFICIAL_PRIMARY</t>
        </is>
      </c>
      <c r="O1126" s="9" t="inlineStr">
        <is>
          <t>OFFICIAL_AGGREGATE</t>
        </is>
      </c>
      <c r="P1126" s="8" t="n">
        <v>1</v>
      </c>
      <c r="Q1126" s="8" t="n">
        <v>95</v>
      </c>
      <c r="R1126" s="7" t="inlineStr">
        <is>
          <t>https://www.ande.gov.py/finanzas/2.%20COMPILACION%20ESTADISTICA%202003-2023/ANDE%20-%20Compilacion%20Estadistica%202003-2023.pdf</t>
        </is>
      </c>
      <c r="S1126" s="6" t="inlineStr">
        <is>
          <t>ANDE-03-23</t>
        </is>
      </c>
      <c r="T1126" s="6" t="inlineStr"/>
      <c r="U1126" s="4" t="inlineStr">
        <is>
          <t>2026-09-11 00:05:00</t>
        </is>
      </c>
      <c r="V1126" s="4" t="inlineStr">
        <is>
          <t>Compilacion 2003-2023; prioridad canonica. Rupturas metodologicas de categorias en 2016/2017 documentadas por ANDE.</t>
        </is>
      </c>
    </row>
    <row r="1127">
      <c r="A1127" s="6" t="inlineStr">
        <is>
          <t>R0001126</t>
        </is>
      </c>
      <c r="B1127" s="6" t="inlineStr">
        <is>
          <t>2007-01-01</t>
        </is>
      </c>
      <c r="C1127" s="6" t="inlineStr">
        <is>
          <t>2007-12-31</t>
        </is>
      </c>
      <c r="D1127" s="6" t="inlineStr">
        <is>
          <t>year</t>
        </is>
      </c>
      <c r="E1127" s="6" t="inlineStr">
        <is>
          <t>ANDE_BILLED_INDUSTRIAL_ENERGY</t>
        </is>
      </c>
      <c r="F1127" s="6" t="inlineStr">
        <is>
          <t>PY_SIN</t>
        </is>
      </c>
      <c r="G1127" s="6" t="inlineStr">
        <is>
          <t>PY</t>
        </is>
      </c>
      <c r="H1127" s="6" t="inlineStr">
        <is>
          <t>PY</t>
        </is>
      </c>
      <c r="I1127" s="8" t="n">
        <v>1463326</v>
      </c>
      <c r="J1127" s="6" t="inlineStr">
        <is>
          <t>MWh</t>
        </is>
      </c>
      <c r="K1127" s="8" t="n">
        <v>1463326</v>
      </c>
      <c r="L1127" s="6" t="inlineStr">
        <is>
          <t>MWh</t>
        </is>
      </c>
      <c r="M1127" s="6" t="inlineStr">
        <is>
          <t>ANDE</t>
        </is>
      </c>
      <c r="N1127" s="6" t="inlineStr">
        <is>
          <t>OFFICIAL_PRIMARY</t>
        </is>
      </c>
      <c r="O1127" s="9" t="inlineStr">
        <is>
          <t>OFFICIAL_AGGREGATE</t>
        </is>
      </c>
      <c r="P1127" s="8" t="n">
        <v>1</v>
      </c>
      <c r="Q1127" s="8" t="n">
        <v>95</v>
      </c>
      <c r="R1127" s="7" t="inlineStr">
        <is>
          <t>https://www.ande.gov.py/finanzas/2.%20COMPILACION%20ESTADISTICA%202003-2023/ANDE%20-%20Compilacion%20Estadistica%202003-2023.pdf</t>
        </is>
      </c>
      <c r="S1127" s="6" t="inlineStr">
        <is>
          <t>ANDE-03-23</t>
        </is>
      </c>
      <c r="T1127" s="6" t="inlineStr"/>
      <c r="U1127" s="4" t="inlineStr">
        <is>
          <t>2026-09-11 00:05:00</t>
        </is>
      </c>
      <c r="V1127" s="4" t="inlineStr">
        <is>
          <t>Compilacion 2003-2023; prioridad canonica. Rupturas metodologicas de categorias en 2016/2017 documentadas por ANDE.</t>
        </is>
      </c>
    </row>
    <row r="1128">
      <c r="A1128" s="6" t="inlineStr">
        <is>
          <t>R0001127</t>
        </is>
      </c>
      <c r="B1128" s="6" t="inlineStr">
        <is>
          <t>2008-01-01</t>
        </is>
      </c>
      <c r="C1128" s="6" t="inlineStr">
        <is>
          <t>2008-12-31</t>
        </is>
      </c>
      <c r="D1128" s="6" t="inlineStr">
        <is>
          <t>year</t>
        </is>
      </c>
      <c r="E1128" s="6" t="inlineStr">
        <is>
          <t>ANDE_BILLED_INDUSTRIAL_ENERGY</t>
        </is>
      </c>
      <c r="F1128" s="6" t="inlineStr">
        <is>
          <t>PY_SIN</t>
        </is>
      </c>
      <c r="G1128" s="6" t="inlineStr">
        <is>
          <t>PY</t>
        </is>
      </c>
      <c r="H1128" s="6" t="inlineStr">
        <is>
          <t>PY</t>
        </is>
      </c>
      <c r="I1128" s="8" t="n">
        <v>1536273</v>
      </c>
      <c r="J1128" s="6" t="inlineStr">
        <is>
          <t>MWh</t>
        </is>
      </c>
      <c r="K1128" s="8" t="n">
        <v>1536273</v>
      </c>
      <c r="L1128" s="6" t="inlineStr">
        <is>
          <t>MWh</t>
        </is>
      </c>
      <c r="M1128" s="6" t="inlineStr">
        <is>
          <t>ANDE</t>
        </is>
      </c>
      <c r="N1128" s="6" t="inlineStr">
        <is>
          <t>OFFICIAL_PRIMARY</t>
        </is>
      </c>
      <c r="O1128" s="9" t="inlineStr">
        <is>
          <t>OFFICIAL_AGGREGATE</t>
        </is>
      </c>
      <c r="P1128" s="8" t="n">
        <v>1</v>
      </c>
      <c r="Q1128" s="8" t="n">
        <v>95</v>
      </c>
      <c r="R1128" s="7" t="inlineStr">
        <is>
          <t>https://www.ande.gov.py/finanzas/2.%20COMPILACION%20ESTADISTICA%202003-2023/ANDE%20-%20Compilacion%20Estadistica%202003-2023.pdf</t>
        </is>
      </c>
      <c r="S1128" s="6" t="inlineStr">
        <is>
          <t>ANDE-03-23</t>
        </is>
      </c>
      <c r="T1128" s="6" t="inlineStr"/>
      <c r="U1128" s="4" t="inlineStr">
        <is>
          <t>2026-09-11 00:05:00</t>
        </is>
      </c>
      <c r="V1128" s="4" t="inlineStr">
        <is>
          <t>Compilacion 2003-2023; prioridad canonica. Rupturas metodologicas de categorias en 2016/2017 documentadas por ANDE.</t>
        </is>
      </c>
    </row>
    <row r="1129">
      <c r="A1129" s="6" t="inlineStr">
        <is>
          <t>R0001128</t>
        </is>
      </c>
      <c r="B1129" s="6" t="inlineStr">
        <is>
          <t>2009-01-01</t>
        </is>
      </c>
      <c r="C1129" s="6" t="inlineStr">
        <is>
          <t>2009-12-31</t>
        </is>
      </c>
      <c r="D1129" s="6" t="inlineStr">
        <is>
          <t>year</t>
        </is>
      </c>
      <c r="E1129" s="6" t="inlineStr">
        <is>
          <t>ANDE_BILLED_INDUSTRIAL_ENERGY</t>
        </is>
      </c>
      <c r="F1129" s="6" t="inlineStr">
        <is>
          <t>PY_SIN</t>
        </is>
      </c>
      <c r="G1129" s="6" t="inlineStr">
        <is>
          <t>PY</t>
        </is>
      </c>
      <c r="H1129" s="6" t="inlineStr">
        <is>
          <t>PY</t>
        </is>
      </c>
      <c r="I1129" s="8" t="n">
        <v>1517290</v>
      </c>
      <c r="J1129" s="6" t="inlineStr">
        <is>
          <t>MWh</t>
        </is>
      </c>
      <c r="K1129" s="8" t="n">
        <v>1517290</v>
      </c>
      <c r="L1129" s="6" t="inlineStr">
        <is>
          <t>MWh</t>
        </is>
      </c>
      <c r="M1129" s="6" t="inlineStr">
        <is>
          <t>ANDE</t>
        </is>
      </c>
      <c r="N1129" s="6" t="inlineStr">
        <is>
          <t>OFFICIAL_PRIMARY</t>
        </is>
      </c>
      <c r="O1129" s="9" t="inlineStr">
        <is>
          <t>OFFICIAL_AGGREGATE</t>
        </is>
      </c>
      <c r="P1129" s="8" t="n">
        <v>1</v>
      </c>
      <c r="Q1129" s="8" t="n">
        <v>95</v>
      </c>
      <c r="R1129" s="7" t="inlineStr">
        <is>
          <t>https://www.ande.gov.py/finanzas/2.%20COMPILACION%20ESTADISTICA%202003-2023/ANDE%20-%20Compilacion%20Estadistica%202003-2023.pdf</t>
        </is>
      </c>
      <c r="S1129" s="6" t="inlineStr">
        <is>
          <t>ANDE-03-23</t>
        </is>
      </c>
      <c r="T1129" s="6" t="inlineStr"/>
      <c r="U1129" s="4" t="inlineStr">
        <is>
          <t>2026-09-11 00:05:00</t>
        </is>
      </c>
      <c r="V1129" s="4" t="inlineStr">
        <is>
          <t>Compilacion 2003-2023; prioridad canonica. Rupturas metodologicas de categorias en 2016/2017 documentadas por ANDE.</t>
        </is>
      </c>
    </row>
    <row r="1130">
      <c r="A1130" s="6" t="inlineStr">
        <is>
          <t>R0001129</t>
        </is>
      </c>
      <c r="B1130" s="6" t="inlineStr">
        <is>
          <t>2010-01-01</t>
        </is>
      </c>
      <c r="C1130" s="6" t="inlineStr">
        <is>
          <t>2010-12-31</t>
        </is>
      </c>
      <c r="D1130" s="6" t="inlineStr">
        <is>
          <t>year</t>
        </is>
      </c>
      <c r="E1130" s="6" t="inlineStr">
        <is>
          <t>ANDE_BILLED_INDUSTRIAL_ENERGY</t>
        </is>
      </c>
      <c r="F1130" s="6" t="inlineStr">
        <is>
          <t>PY_SIN</t>
        </is>
      </c>
      <c r="G1130" s="6" t="inlineStr">
        <is>
          <t>PY</t>
        </is>
      </c>
      <c r="H1130" s="6" t="inlineStr">
        <is>
          <t>PY</t>
        </is>
      </c>
      <c r="I1130" s="8" t="n">
        <v>1623020</v>
      </c>
      <c r="J1130" s="6" t="inlineStr">
        <is>
          <t>MWh</t>
        </is>
      </c>
      <c r="K1130" s="8" t="n">
        <v>1623020</v>
      </c>
      <c r="L1130" s="6" t="inlineStr">
        <is>
          <t>MWh</t>
        </is>
      </c>
      <c r="M1130" s="6" t="inlineStr">
        <is>
          <t>ANDE</t>
        </is>
      </c>
      <c r="N1130" s="6" t="inlineStr">
        <is>
          <t>OFFICIAL_PRIMARY</t>
        </is>
      </c>
      <c r="O1130" s="9" t="inlineStr">
        <is>
          <t>OFFICIAL_AGGREGATE</t>
        </is>
      </c>
      <c r="P1130" s="8" t="n">
        <v>1</v>
      </c>
      <c r="Q1130" s="8" t="n">
        <v>95</v>
      </c>
      <c r="R1130" s="7" t="inlineStr">
        <is>
          <t>https://www.ande.gov.py/finanzas/2.%20COMPILACION%20ESTADISTICA%202003-2023/ANDE%20-%20Compilacion%20Estadistica%202003-2023.pdf</t>
        </is>
      </c>
      <c r="S1130" s="6" t="inlineStr">
        <is>
          <t>ANDE-03-23</t>
        </is>
      </c>
      <c r="T1130" s="6" t="inlineStr"/>
      <c r="U1130" s="4" t="inlineStr">
        <is>
          <t>2026-09-11 00:05:00</t>
        </is>
      </c>
      <c r="V1130" s="4" t="inlineStr">
        <is>
          <t>Compilacion 2003-2023; prioridad canonica. Rupturas metodologicas de categorias en 2016/2017 documentadas por ANDE.</t>
        </is>
      </c>
    </row>
    <row r="1131">
      <c r="A1131" s="6" t="inlineStr">
        <is>
          <t>R0001130</t>
        </is>
      </c>
      <c r="B1131" s="6" t="inlineStr">
        <is>
          <t>2011-01-01</t>
        </is>
      </c>
      <c r="C1131" s="6" t="inlineStr">
        <is>
          <t>2011-12-31</t>
        </is>
      </c>
      <c r="D1131" s="6" t="inlineStr">
        <is>
          <t>year</t>
        </is>
      </c>
      <c r="E1131" s="6" t="inlineStr">
        <is>
          <t>ANDE_BILLED_INDUSTRIAL_ENERGY</t>
        </is>
      </c>
      <c r="F1131" s="6" t="inlineStr">
        <is>
          <t>PY_SIN</t>
        </is>
      </c>
      <c r="G1131" s="6" t="inlineStr">
        <is>
          <t>PY</t>
        </is>
      </c>
      <c r="H1131" s="6" t="inlineStr">
        <is>
          <t>PY</t>
        </is>
      </c>
      <c r="I1131" s="8" t="n">
        <v>1709464</v>
      </c>
      <c r="J1131" s="6" t="inlineStr">
        <is>
          <t>MWh</t>
        </is>
      </c>
      <c r="K1131" s="8" t="n">
        <v>1709464</v>
      </c>
      <c r="L1131" s="6" t="inlineStr">
        <is>
          <t>MWh</t>
        </is>
      </c>
      <c r="M1131" s="6" t="inlineStr">
        <is>
          <t>ANDE</t>
        </is>
      </c>
      <c r="N1131" s="6" t="inlineStr">
        <is>
          <t>OFFICIAL_PRIMARY</t>
        </is>
      </c>
      <c r="O1131" s="9" t="inlineStr">
        <is>
          <t>OFFICIAL_AGGREGATE</t>
        </is>
      </c>
      <c r="P1131" s="8" t="n">
        <v>1</v>
      </c>
      <c r="Q1131" s="8" t="n">
        <v>95</v>
      </c>
      <c r="R1131" s="7" t="inlineStr">
        <is>
          <t>https://www.ande.gov.py/finanzas/2.%20COMPILACION%20ESTADISTICA%202003-2023/ANDE%20-%20Compilacion%20Estadistica%202003-2023.pdf</t>
        </is>
      </c>
      <c r="S1131" s="6" t="inlineStr">
        <is>
          <t>ANDE-03-23</t>
        </is>
      </c>
      <c r="T1131" s="6" t="inlineStr"/>
      <c r="U1131" s="4" t="inlineStr">
        <is>
          <t>2026-09-11 00:05:00</t>
        </is>
      </c>
      <c r="V1131" s="4" t="inlineStr">
        <is>
          <t>Compilacion 2003-2023; prioridad canonica. Rupturas metodologicas de categorias en 2016/2017 documentadas por ANDE.</t>
        </is>
      </c>
    </row>
    <row r="1132">
      <c r="A1132" s="6" t="inlineStr">
        <is>
          <t>R0001131</t>
        </is>
      </c>
      <c r="B1132" s="6" t="inlineStr">
        <is>
          <t>2012-01-01</t>
        </is>
      </c>
      <c r="C1132" s="6" t="inlineStr">
        <is>
          <t>2012-12-31</t>
        </is>
      </c>
      <c r="D1132" s="6" t="inlineStr">
        <is>
          <t>year</t>
        </is>
      </c>
      <c r="E1132" s="6" t="inlineStr">
        <is>
          <t>ANDE_BILLED_INDUSTRIAL_ENERGY</t>
        </is>
      </c>
      <c r="F1132" s="6" t="inlineStr">
        <is>
          <t>PY_SIN</t>
        </is>
      </c>
      <c r="G1132" s="6" t="inlineStr">
        <is>
          <t>PY</t>
        </is>
      </c>
      <c r="H1132" s="6" t="inlineStr">
        <is>
          <t>PY</t>
        </is>
      </c>
      <c r="I1132" s="8" t="n">
        <v>1805789</v>
      </c>
      <c r="J1132" s="6" t="inlineStr">
        <is>
          <t>MWh</t>
        </is>
      </c>
      <c r="K1132" s="8" t="n">
        <v>1805789</v>
      </c>
      <c r="L1132" s="6" t="inlineStr">
        <is>
          <t>MWh</t>
        </is>
      </c>
      <c r="M1132" s="6" t="inlineStr">
        <is>
          <t>ANDE</t>
        </is>
      </c>
      <c r="N1132" s="6" t="inlineStr">
        <is>
          <t>OFFICIAL_PRIMARY</t>
        </is>
      </c>
      <c r="O1132" s="9" t="inlineStr">
        <is>
          <t>OFFICIAL_AGGREGATE</t>
        </is>
      </c>
      <c r="P1132" s="8" t="n">
        <v>1</v>
      </c>
      <c r="Q1132" s="8" t="n">
        <v>95</v>
      </c>
      <c r="R1132" s="7" t="inlineStr">
        <is>
          <t>https://www.ande.gov.py/finanzas/2.%20COMPILACION%20ESTADISTICA%202003-2023/ANDE%20-%20Compilacion%20Estadistica%202003-2023.pdf</t>
        </is>
      </c>
      <c r="S1132" s="6" t="inlineStr">
        <is>
          <t>ANDE-03-23</t>
        </is>
      </c>
      <c r="T1132" s="6" t="inlineStr"/>
      <c r="U1132" s="4" t="inlineStr">
        <is>
          <t>2026-09-11 00:05:00</t>
        </is>
      </c>
      <c r="V1132" s="4" t="inlineStr">
        <is>
          <t>Compilacion 2003-2023; prioridad canonica. Rupturas metodologicas de categorias en 2016/2017 documentadas por ANDE.</t>
        </is>
      </c>
    </row>
    <row r="1133">
      <c r="A1133" s="6" t="inlineStr">
        <is>
          <t>R0001132</t>
        </is>
      </c>
      <c r="B1133" s="6" t="inlineStr">
        <is>
          <t>2013-01-01</t>
        </is>
      </c>
      <c r="C1133" s="6" t="inlineStr">
        <is>
          <t>2013-12-31</t>
        </is>
      </c>
      <c r="D1133" s="6" t="inlineStr">
        <is>
          <t>year</t>
        </is>
      </c>
      <c r="E1133" s="6" t="inlineStr">
        <is>
          <t>ANDE_BILLED_INDUSTRIAL_ENERGY</t>
        </is>
      </c>
      <c r="F1133" s="6" t="inlineStr">
        <is>
          <t>PY_SIN</t>
        </is>
      </c>
      <c r="G1133" s="6" t="inlineStr">
        <is>
          <t>PY</t>
        </is>
      </c>
      <c r="H1133" s="6" t="inlineStr">
        <is>
          <t>PY</t>
        </is>
      </c>
      <c r="I1133" s="8" t="n">
        <v>1931209</v>
      </c>
      <c r="J1133" s="6" t="inlineStr">
        <is>
          <t>MWh</t>
        </is>
      </c>
      <c r="K1133" s="8" t="n">
        <v>1931209</v>
      </c>
      <c r="L1133" s="6" t="inlineStr">
        <is>
          <t>MWh</t>
        </is>
      </c>
      <c r="M1133" s="6" t="inlineStr">
        <is>
          <t>ANDE</t>
        </is>
      </c>
      <c r="N1133" s="6" t="inlineStr">
        <is>
          <t>OFFICIAL_PRIMARY</t>
        </is>
      </c>
      <c r="O1133" s="9" t="inlineStr">
        <is>
          <t>OFFICIAL_AGGREGATE</t>
        </is>
      </c>
      <c r="P1133" s="8" t="n">
        <v>1</v>
      </c>
      <c r="Q1133" s="8" t="n">
        <v>95</v>
      </c>
      <c r="R1133" s="7" t="inlineStr">
        <is>
          <t>https://www.ande.gov.py/finanzas/2.%20COMPILACION%20ESTADISTICA%202003-2023/ANDE%20-%20Compilacion%20Estadistica%202003-2023.pdf</t>
        </is>
      </c>
      <c r="S1133" s="6" t="inlineStr">
        <is>
          <t>ANDE-03-23</t>
        </is>
      </c>
      <c r="T1133" s="6" t="inlineStr"/>
      <c r="U1133" s="4" t="inlineStr">
        <is>
          <t>2026-09-11 00:05:00</t>
        </is>
      </c>
      <c r="V1133" s="4" t="inlineStr">
        <is>
          <t>Compilacion 2003-2023; prioridad canonica. Rupturas metodologicas de categorias en 2016/2017 documentadas por ANDE.</t>
        </is>
      </c>
    </row>
    <row r="1134">
      <c r="A1134" s="6" t="inlineStr">
        <is>
          <t>R0001133</t>
        </is>
      </c>
      <c r="B1134" s="6" t="inlineStr">
        <is>
          <t>2014-01-01</t>
        </is>
      </c>
      <c r="C1134" s="6" t="inlineStr">
        <is>
          <t>2014-12-31</t>
        </is>
      </c>
      <c r="D1134" s="6" t="inlineStr">
        <is>
          <t>year</t>
        </is>
      </c>
      <c r="E1134" s="6" t="inlineStr">
        <is>
          <t>ANDE_BILLED_INDUSTRIAL_ENERGY</t>
        </is>
      </c>
      <c r="F1134" s="6" t="inlineStr">
        <is>
          <t>PY_SIN</t>
        </is>
      </c>
      <c r="G1134" s="6" t="inlineStr">
        <is>
          <t>PY</t>
        </is>
      </c>
      <c r="H1134" s="6" t="inlineStr">
        <is>
          <t>PY</t>
        </is>
      </c>
      <c r="I1134" s="8" t="n">
        <v>2019926</v>
      </c>
      <c r="J1134" s="6" t="inlineStr">
        <is>
          <t>MWh</t>
        </is>
      </c>
      <c r="K1134" s="8" t="n">
        <v>2019926</v>
      </c>
      <c r="L1134" s="6" t="inlineStr">
        <is>
          <t>MWh</t>
        </is>
      </c>
      <c r="M1134" s="6" t="inlineStr">
        <is>
          <t>ANDE</t>
        </is>
      </c>
      <c r="N1134" s="6" t="inlineStr">
        <is>
          <t>OFFICIAL_PRIMARY</t>
        </is>
      </c>
      <c r="O1134" s="9" t="inlineStr">
        <is>
          <t>OFFICIAL_AGGREGATE</t>
        </is>
      </c>
      <c r="P1134" s="8" t="n">
        <v>1</v>
      </c>
      <c r="Q1134" s="8" t="n">
        <v>95</v>
      </c>
      <c r="R1134" s="7" t="inlineStr">
        <is>
          <t>https://www.ande.gov.py/finanzas/2.%20COMPILACION%20ESTADISTICA%202003-2023/ANDE%20-%20Compilacion%20Estadistica%202003-2023.pdf</t>
        </is>
      </c>
      <c r="S1134" s="6" t="inlineStr">
        <is>
          <t>ANDE-03-23</t>
        </is>
      </c>
      <c r="T1134" s="6" t="inlineStr"/>
      <c r="U1134" s="4" t="inlineStr">
        <is>
          <t>2026-09-11 00:05:00</t>
        </is>
      </c>
      <c r="V1134" s="4" t="inlineStr">
        <is>
          <t>Compilacion 2003-2023; prioridad canonica. Rupturas metodologicas de categorias en 2016/2017 documentadas por ANDE.</t>
        </is>
      </c>
    </row>
    <row r="1135">
      <c r="A1135" s="6" t="inlineStr">
        <is>
          <t>R0001134</t>
        </is>
      </c>
      <c r="B1135" s="6" t="inlineStr">
        <is>
          <t>2015-01-01</t>
        </is>
      </c>
      <c r="C1135" s="6" t="inlineStr">
        <is>
          <t>2015-12-31</t>
        </is>
      </c>
      <c r="D1135" s="6" t="inlineStr">
        <is>
          <t>year</t>
        </is>
      </c>
      <c r="E1135" s="6" t="inlineStr">
        <is>
          <t>ANDE_BILLED_INDUSTRIAL_ENERGY</t>
        </is>
      </c>
      <c r="F1135" s="6" t="inlineStr">
        <is>
          <t>PY_SIN</t>
        </is>
      </c>
      <c r="G1135" s="6" t="inlineStr">
        <is>
          <t>PY</t>
        </is>
      </c>
      <c r="H1135" s="6" t="inlineStr">
        <is>
          <t>PY</t>
        </is>
      </c>
      <c r="I1135" s="8" t="n">
        <v>2116997</v>
      </c>
      <c r="J1135" s="6" t="inlineStr">
        <is>
          <t>MWh</t>
        </is>
      </c>
      <c r="K1135" s="8" t="n">
        <v>2116997</v>
      </c>
      <c r="L1135" s="6" t="inlineStr">
        <is>
          <t>MWh</t>
        </is>
      </c>
      <c r="M1135" s="6" t="inlineStr">
        <is>
          <t>ANDE</t>
        </is>
      </c>
      <c r="N1135" s="6" t="inlineStr">
        <is>
          <t>OFFICIAL_PRIMARY</t>
        </is>
      </c>
      <c r="O1135" s="9" t="inlineStr">
        <is>
          <t>OFFICIAL_AGGREGATE</t>
        </is>
      </c>
      <c r="P1135" s="8" t="n">
        <v>1</v>
      </c>
      <c r="Q1135" s="8" t="n">
        <v>95</v>
      </c>
      <c r="R1135" s="7" t="inlineStr">
        <is>
          <t>https://www.ande.gov.py/finanzas/2.%20COMPILACION%20ESTADISTICA%202003-2023/ANDE%20-%20Compilacion%20Estadistica%202003-2023.pdf</t>
        </is>
      </c>
      <c r="S1135" s="6" t="inlineStr">
        <is>
          <t>ANDE-03-23</t>
        </is>
      </c>
      <c r="T1135" s="6" t="inlineStr"/>
      <c r="U1135" s="4" t="inlineStr">
        <is>
          <t>2026-09-11 00:05:00</t>
        </is>
      </c>
      <c r="V1135" s="4" t="inlineStr">
        <is>
          <t>Compilacion 2003-2023; prioridad canonica. Rupturas metodologicas de categorias en 2016/2017 documentadas por ANDE.</t>
        </is>
      </c>
    </row>
    <row r="1136">
      <c r="A1136" s="6" t="inlineStr">
        <is>
          <t>R0001135</t>
        </is>
      </c>
      <c r="B1136" s="6" t="inlineStr">
        <is>
          <t>2016-01-01</t>
        </is>
      </c>
      <c r="C1136" s="6" t="inlineStr">
        <is>
          <t>2016-12-31</t>
        </is>
      </c>
      <c r="D1136" s="6" t="inlineStr">
        <is>
          <t>year</t>
        </is>
      </c>
      <c r="E1136" s="6" t="inlineStr">
        <is>
          <t>ANDE_BILLED_INDUSTRIAL_ENERGY</t>
        </is>
      </c>
      <c r="F1136" s="6" t="inlineStr">
        <is>
          <t>PY_SIN</t>
        </is>
      </c>
      <c r="G1136" s="6" t="inlineStr">
        <is>
          <t>PY</t>
        </is>
      </c>
      <c r="H1136" s="6" t="inlineStr">
        <is>
          <t>PY</t>
        </is>
      </c>
      <c r="I1136" s="8" t="n">
        <v>1818777</v>
      </c>
      <c r="J1136" s="6" t="inlineStr">
        <is>
          <t>MWh</t>
        </is>
      </c>
      <c r="K1136" s="8" t="n">
        <v>1818777</v>
      </c>
      <c r="L1136" s="6" t="inlineStr">
        <is>
          <t>MWh</t>
        </is>
      </c>
      <c r="M1136" s="6" t="inlineStr">
        <is>
          <t>ANDE</t>
        </is>
      </c>
      <c r="N1136" s="6" t="inlineStr">
        <is>
          <t>OFFICIAL_PRIMARY</t>
        </is>
      </c>
      <c r="O1136" s="9" t="inlineStr">
        <is>
          <t>OFFICIAL_AGGREGATE</t>
        </is>
      </c>
      <c r="P1136" s="8" t="n">
        <v>1</v>
      </c>
      <c r="Q1136" s="8" t="n">
        <v>95</v>
      </c>
      <c r="R1136" s="7" t="inlineStr">
        <is>
          <t>https://www.ande.gov.py/finanzas/2.%20COMPILACION%20ESTADISTICA%202003-2023/ANDE%20-%20Compilacion%20Estadistica%202003-2023.pdf</t>
        </is>
      </c>
      <c r="S1136" s="6" t="inlineStr">
        <is>
          <t>ANDE-03-23</t>
        </is>
      </c>
      <c r="T1136" s="6" t="inlineStr"/>
      <c r="U1136" s="4" t="inlineStr">
        <is>
          <t>2026-09-11 00:05:00</t>
        </is>
      </c>
      <c r="V1136" s="4" t="inlineStr">
        <is>
          <t>Compilacion 2003-2023; prioridad canonica. Rupturas metodologicas de categorias en 2016/2017 documentadas por ANDE.</t>
        </is>
      </c>
    </row>
    <row r="1137">
      <c r="A1137" s="6" t="inlineStr">
        <is>
          <t>R0001136</t>
        </is>
      </c>
      <c r="B1137" s="6" t="inlineStr">
        <is>
          <t>2017-01-01</t>
        </is>
      </c>
      <c r="C1137" s="6" t="inlineStr">
        <is>
          <t>2017-12-31</t>
        </is>
      </c>
      <c r="D1137" s="6" t="inlineStr">
        <is>
          <t>year</t>
        </is>
      </c>
      <c r="E1137" s="6" t="inlineStr">
        <is>
          <t>ANDE_BILLED_INDUSTRIAL_ENERGY</t>
        </is>
      </c>
      <c r="F1137" s="6" t="inlineStr">
        <is>
          <t>PY_SIN</t>
        </is>
      </c>
      <c r="G1137" s="6" t="inlineStr">
        <is>
          <t>PY</t>
        </is>
      </c>
      <c r="H1137" s="6" t="inlineStr">
        <is>
          <t>PY</t>
        </is>
      </c>
      <c r="I1137" s="8" t="n">
        <v>1758443</v>
      </c>
      <c r="J1137" s="6" t="inlineStr">
        <is>
          <t>MWh</t>
        </is>
      </c>
      <c r="K1137" s="8" t="n">
        <v>1758443</v>
      </c>
      <c r="L1137" s="6" t="inlineStr">
        <is>
          <t>MWh</t>
        </is>
      </c>
      <c r="M1137" s="6" t="inlineStr">
        <is>
          <t>ANDE</t>
        </is>
      </c>
      <c r="N1137" s="6" t="inlineStr">
        <is>
          <t>OFFICIAL_PRIMARY</t>
        </is>
      </c>
      <c r="O1137" s="9" t="inlineStr">
        <is>
          <t>OFFICIAL_AGGREGATE</t>
        </is>
      </c>
      <c r="P1137" s="8" t="n">
        <v>1</v>
      </c>
      <c r="Q1137" s="8" t="n">
        <v>95</v>
      </c>
      <c r="R1137" s="7" t="inlineStr">
        <is>
          <t>https://www.ande.gov.py/finanzas/2.%20COMPILACION%20ESTADISTICA%202003-2023/ANDE%20-%20Compilacion%20Estadistica%202003-2023.pdf</t>
        </is>
      </c>
      <c r="S1137" s="6" t="inlineStr">
        <is>
          <t>ANDE-03-23</t>
        </is>
      </c>
      <c r="T1137" s="6" t="inlineStr"/>
      <c r="U1137" s="4" t="inlineStr">
        <is>
          <t>2026-09-11 00:05:00</t>
        </is>
      </c>
      <c r="V1137" s="4" t="inlineStr">
        <is>
          <t>Compilacion 2003-2023; prioridad canonica. Rupturas metodologicas de categorias en 2016/2017 documentadas por ANDE.</t>
        </is>
      </c>
    </row>
    <row r="1138">
      <c r="A1138" s="6" t="inlineStr">
        <is>
          <t>R0001137</t>
        </is>
      </c>
      <c r="B1138" s="6" t="inlineStr">
        <is>
          <t>2018-01-01</t>
        </is>
      </c>
      <c r="C1138" s="6" t="inlineStr">
        <is>
          <t>2018-12-31</t>
        </is>
      </c>
      <c r="D1138" s="6" t="inlineStr">
        <is>
          <t>year</t>
        </is>
      </c>
      <c r="E1138" s="6" t="inlineStr">
        <is>
          <t>ANDE_BILLED_INDUSTRIAL_ENERGY</t>
        </is>
      </c>
      <c r="F1138" s="6" t="inlineStr">
        <is>
          <t>PY_SIN</t>
        </is>
      </c>
      <c r="G1138" s="6" t="inlineStr">
        <is>
          <t>PY</t>
        </is>
      </c>
      <c r="H1138" s="6" t="inlineStr">
        <is>
          <t>PY</t>
        </is>
      </c>
      <c r="I1138" s="8" t="n">
        <v>1703564</v>
      </c>
      <c r="J1138" s="6" t="inlineStr">
        <is>
          <t>MWh</t>
        </is>
      </c>
      <c r="K1138" s="8" t="n">
        <v>1703564</v>
      </c>
      <c r="L1138" s="6" t="inlineStr">
        <is>
          <t>MWh</t>
        </is>
      </c>
      <c r="M1138" s="6" t="inlineStr">
        <is>
          <t>ANDE</t>
        </is>
      </c>
      <c r="N1138" s="6" t="inlineStr">
        <is>
          <t>OFFICIAL_PRIMARY</t>
        </is>
      </c>
      <c r="O1138" s="9" t="inlineStr">
        <is>
          <t>OFFICIAL_AGGREGATE</t>
        </is>
      </c>
      <c r="P1138" s="8" t="n">
        <v>1</v>
      </c>
      <c r="Q1138" s="8" t="n">
        <v>95</v>
      </c>
      <c r="R1138" s="7" t="inlineStr">
        <is>
          <t>https://www.ande.gov.py/finanzas/2.%20COMPILACION%20ESTADISTICA%202003-2023/ANDE%20-%20Compilacion%20Estadistica%202003-2023.pdf</t>
        </is>
      </c>
      <c r="S1138" s="6" t="inlineStr">
        <is>
          <t>ANDE-03-23</t>
        </is>
      </c>
      <c r="T1138" s="6" t="inlineStr"/>
      <c r="U1138" s="4" t="inlineStr">
        <is>
          <t>2026-09-11 00:05:00</t>
        </is>
      </c>
      <c r="V1138" s="4" t="inlineStr">
        <is>
          <t>Compilacion 2003-2023; prioridad canonica. Rupturas metodologicas de categorias en 2016/2017 documentadas por ANDE.</t>
        </is>
      </c>
    </row>
    <row r="1139">
      <c r="A1139" s="6" t="inlineStr">
        <is>
          <t>R0001138</t>
        </is>
      </c>
      <c r="B1139" s="6" t="inlineStr">
        <is>
          <t>2019-01-01</t>
        </is>
      </c>
      <c r="C1139" s="6" t="inlineStr">
        <is>
          <t>2019-12-31</t>
        </is>
      </c>
      <c r="D1139" s="6" t="inlineStr">
        <is>
          <t>year</t>
        </is>
      </c>
      <c r="E1139" s="6" t="inlineStr">
        <is>
          <t>ANDE_BILLED_INDUSTRIAL_ENERGY</t>
        </is>
      </c>
      <c r="F1139" s="6" t="inlineStr">
        <is>
          <t>PY_SIN</t>
        </is>
      </c>
      <c r="G1139" s="6" t="inlineStr">
        <is>
          <t>PY</t>
        </is>
      </c>
      <c r="H1139" s="6" t="inlineStr">
        <is>
          <t>PY</t>
        </is>
      </c>
      <c r="I1139" s="8" t="n">
        <v>1438423</v>
      </c>
      <c r="J1139" s="6" t="inlineStr">
        <is>
          <t>MWh</t>
        </is>
      </c>
      <c r="K1139" s="8" t="n">
        <v>1438423</v>
      </c>
      <c r="L1139" s="6" t="inlineStr">
        <is>
          <t>MWh</t>
        </is>
      </c>
      <c r="M1139" s="6" t="inlineStr">
        <is>
          <t>ANDE</t>
        </is>
      </c>
      <c r="N1139" s="6" t="inlineStr">
        <is>
          <t>OFFICIAL_PRIMARY</t>
        </is>
      </c>
      <c r="O1139" s="9" t="inlineStr">
        <is>
          <t>OFFICIAL_AGGREGATE</t>
        </is>
      </c>
      <c r="P1139" s="8" t="n">
        <v>1</v>
      </c>
      <c r="Q1139" s="8" t="n">
        <v>95</v>
      </c>
      <c r="R1139" s="7" t="inlineStr">
        <is>
          <t>https://www.ande.gov.py/finanzas/2.%20COMPILACION%20ESTADISTICA%202003-2023/ANDE%20-%20Compilacion%20Estadistica%202003-2023.pdf</t>
        </is>
      </c>
      <c r="S1139" s="6" t="inlineStr">
        <is>
          <t>ANDE-03-23</t>
        </is>
      </c>
      <c r="T1139" s="6" t="inlineStr"/>
      <c r="U1139" s="4" t="inlineStr">
        <is>
          <t>2026-09-11 00:05:00</t>
        </is>
      </c>
      <c r="V1139" s="4" t="inlineStr">
        <is>
          <t>Compilacion 2003-2023; prioridad canonica. Rupturas metodologicas de categorias en 2016/2017 documentadas por ANDE.</t>
        </is>
      </c>
    </row>
    <row r="1140">
      <c r="A1140" s="6" t="inlineStr">
        <is>
          <t>R0001139</t>
        </is>
      </c>
      <c r="B1140" s="6" t="inlineStr">
        <is>
          <t>2020-01-01</t>
        </is>
      </c>
      <c r="C1140" s="6" t="inlineStr">
        <is>
          <t>2020-12-31</t>
        </is>
      </c>
      <c r="D1140" s="6" t="inlineStr">
        <is>
          <t>year</t>
        </is>
      </c>
      <c r="E1140" s="6" t="inlineStr">
        <is>
          <t>ANDE_BILLED_INDUSTRIAL_ENERGY</t>
        </is>
      </c>
      <c r="F1140" s="6" t="inlineStr">
        <is>
          <t>PY_SIN</t>
        </is>
      </c>
      <c r="G1140" s="6" t="inlineStr">
        <is>
          <t>PY</t>
        </is>
      </c>
      <c r="H1140" s="6" t="inlineStr">
        <is>
          <t>PY</t>
        </is>
      </c>
      <c r="I1140" s="8" t="n">
        <v>1411273</v>
      </c>
      <c r="J1140" s="6" t="inlineStr">
        <is>
          <t>MWh</t>
        </is>
      </c>
      <c r="K1140" s="8" t="n">
        <v>1411273</v>
      </c>
      <c r="L1140" s="6" t="inlineStr">
        <is>
          <t>MWh</t>
        </is>
      </c>
      <c r="M1140" s="6" t="inlineStr">
        <is>
          <t>ANDE</t>
        </is>
      </c>
      <c r="N1140" s="6" t="inlineStr">
        <is>
          <t>OFFICIAL_PRIMARY</t>
        </is>
      </c>
      <c r="O1140" s="9" t="inlineStr">
        <is>
          <t>OFFICIAL_AGGREGATE</t>
        </is>
      </c>
      <c r="P1140" s="8" t="n">
        <v>1</v>
      </c>
      <c r="Q1140" s="8" t="n">
        <v>95</v>
      </c>
      <c r="R1140" s="7" t="inlineStr">
        <is>
          <t>https://www.ande.gov.py/finanzas/2.%20COMPILACION%20ESTADISTICA%202003-2023/ANDE%20-%20Compilacion%20Estadistica%202003-2023.pdf</t>
        </is>
      </c>
      <c r="S1140" s="6" t="inlineStr">
        <is>
          <t>ANDE-03-23</t>
        </is>
      </c>
      <c r="T1140" s="6" t="inlineStr"/>
      <c r="U1140" s="4" t="inlineStr">
        <is>
          <t>2026-09-11 00:05:00</t>
        </is>
      </c>
      <c r="V1140" s="4" t="inlineStr">
        <is>
          <t>Compilacion 2003-2023; prioridad canonica. Rupturas metodologicas de categorias en 2016/2017 documentadas por ANDE.</t>
        </is>
      </c>
    </row>
    <row r="1141">
      <c r="A1141" s="6" t="inlineStr">
        <is>
          <t>R0001140</t>
        </is>
      </c>
      <c r="B1141" s="6" t="inlineStr">
        <is>
          <t>2021-01-01</t>
        </is>
      </c>
      <c r="C1141" s="6" t="inlineStr">
        <is>
          <t>2021-12-31</t>
        </is>
      </c>
      <c r="D1141" s="6" t="inlineStr">
        <is>
          <t>year</t>
        </is>
      </c>
      <c r="E1141" s="6" t="inlineStr">
        <is>
          <t>ANDE_BILLED_INDUSTRIAL_ENERGY</t>
        </is>
      </c>
      <c r="F1141" s="6" t="inlineStr">
        <is>
          <t>PY_SIN</t>
        </is>
      </c>
      <c r="G1141" s="6" t="inlineStr">
        <is>
          <t>PY</t>
        </is>
      </c>
      <c r="H1141" s="6" t="inlineStr">
        <is>
          <t>PY</t>
        </is>
      </c>
      <c r="I1141" s="8" t="n">
        <v>1374210</v>
      </c>
      <c r="J1141" s="6" t="inlineStr">
        <is>
          <t>MWh</t>
        </is>
      </c>
      <c r="K1141" s="8" t="n">
        <v>1374210</v>
      </c>
      <c r="L1141" s="6" t="inlineStr">
        <is>
          <t>MWh</t>
        </is>
      </c>
      <c r="M1141" s="6" t="inlineStr">
        <is>
          <t>ANDE</t>
        </is>
      </c>
      <c r="N1141" s="6" t="inlineStr">
        <is>
          <t>OFFICIAL_PRIMARY</t>
        </is>
      </c>
      <c r="O1141" s="9" t="inlineStr">
        <is>
          <t>OFFICIAL_AGGREGATE</t>
        </is>
      </c>
      <c r="P1141" s="8" t="n">
        <v>1</v>
      </c>
      <c r="Q1141" s="8" t="n">
        <v>95</v>
      </c>
      <c r="R1141" s="7" t="inlineStr">
        <is>
          <t>https://www.ande.gov.py/finanzas/2.%20COMPILACION%20ESTADISTICA%202003-2023/ANDE%20-%20Compilacion%20Estadistica%202003-2023.pdf</t>
        </is>
      </c>
      <c r="S1141" s="6" t="inlineStr">
        <is>
          <t>ANDE-03-23</t>
        </is>
      </c>
      <c r="T1141" s="6" t="inlineStr"/>
      <c r="U1141" s="4" t="inlineStr">
        <is>
          <t>2026-09-11 00:05:00</t>
        </is>
      </c>
      <c r="V1141" s="4" t="inlineStr">
        <is>
          <t>Compilacion 2003-2023; prioridad canonica. Rupturas metodologicas de categorias en 2016/2017 documentadas por ANDE.</t>
        </is>
      </c>
    </row>
    <row r="1142">
      <c r="A1142" s="6" t="inlineStr">
        <is>
          <t>R0001141</t>
        </is>
      </c>
      <c r="B1142" s="6" t="inlineStr">
        <is>
          <t>2022-01-01</t>
        </is>
      </c>
      <c r="C1142" s="6" t="inlineStr">
        <is>
          <t>2022-12-31</t>
        </is>
      </c>
      <c r="D1142" s="6" t="inlineStr">
        <is>
          <t>year</t>
        </is>
      </c>
      <c r="E1142" s="6" t="inlineStr">
        <is>
          <t>ANDE_BILLED_INDUSTRIAL_ENERGY</t>
        </is>
      </c>
      <c r="F1142" s="6" t="inlineStr">
        <is>
          <t>PY_SIN</t>
        </is>
      </c>
      <c r="G1142" s="6" t="inlineStr">
        <is>
          <t>PY</t>
        </is>
      </c>
      <c r="H1142" s="6" t="inlineStr">
        <is>
          <t>PY</t>
        </is>
      </c>
      <c r="I1142" s="8" t="n">
        <v>1481432</v>
      </c>
      <c r="J1142" s="6" t="inlineStr">
        <is>
          <t>MWh</t>
        </is>
      </c>
      <c r="K1142" s="8" t="n">
        <v>1481432</v>
      </c>
      <c r="L1142" s="6" t="inlineStr">
        <is>
          <t>MWh</t>
        </is>
      </c>
      <c r="M1142" s="6" t="inlineStr">
        <is>
          <t>ANDE</t>
        </is>
      </c>
      <c r="N1142" s="6" t="inlineStr">
        <is>
          <t>OFFICIAL_PRIMARY</t>
        </is>
      </c>
      <c r="O1142" s="9" t="inlineStr">
        <is>
          <t>OFFICIAL_AGGREGATE</t>
        </is>
      </c>
      <c r="P1142" s="8" t="n">
        <v>1</v>
      </c>
      <c r="Q1142" s="8" t="n">
        <v>95</v>
      </c>
      <c r="R1142" s="7" t="inlineStr">
        <is>
          <t>https://www.ande.gov.py/finanzas/2.%20COMPILACION%20ESTADISTICA%202003-2023/ANDE%20-%20Compilacion%20Estadistica%202003-2023.pdf</t>
        </is>
      </c>
      <c r="S1142" s="6" t="inlineStr">
        <is>
          <t>ANDE-03-23</t>
        </is>
      </c>
      <c r="T1142" s="6" t="inlineStr"/>
      <c r="U1142" s="4" t="inlineStr">
        <is>
          <t>2026-09-11 00:05:00</t>
        </is>
      </c>
      <c r="V1142" s="4" t="inlineStr">
        <is>
          <t>Compilacion 2003-2023; prioridad canonica. Rupturas metodologicas de categorias en 2016/2017 documentadas por ANDE.</t>
        </is>
      </c>
    </row>
    <row r="1143">
      <c r="A1143" s="6" t="inlineStr">
        <is>
          <t>R0001142</t>
        </is>
      </c>
      <c r="B1143" s="6" t="inlineStr">
        <is>
          <t>2023-01-01</t>
        </is>
      </c>
      <c r="C1143" s="6" t="inlineStr">
        <is>
          <t>2023-12-31</t>
        </is>
      </c>
      <c r="D1143" s="6" t="inlineStr">
        <is>
          <t>year</t>
        </is>
      </c>
      <c r="E1143" s="6" t="inlineStr">
        <is>
          <t>ANDE_BILLED_INDUSTRIAL_ENERGY</t>
        </is>
      </c>
      <c r="F1143" s="6" t="inlineStr">
        <is>
          <t>PY_SIN</t>
        </is>
      </c>
      <c r="G1143" s="6" t="inlineStr">
        <is>
          <t>PY</t>
        </is>
      </c>
      <c r="H1143" s="6" t="inlineStr">
        <is>
          <t>PY</t>
        </is>
      </c>
      <c r="I1143" s="8" t="n">
        <v>1982579</v>
      </c>
      <c r="J1143" s="6" t="inlineStr">
        <is>
          <t>MWh</t>
        </is>
      </c>
      <c r="K1143" s="8" t="n">
        <v>1982579</v>
      </c>
      <c r="L1143" s="6" t="inlineStr">
        <is>
          <t>MWh</t>
        </is>
      </c>
      <c r="M1143" s="6" t="inlineStr">
        <is>
          <t>ANDE</t>
        </is>
      </c>
      <c r="N1143" s="6" t="inlineStr">
        <is>
          <t>OFFICIAL_PRIMARY</t>
        </is>
      </c>
      <c r="O1143" s="9" t="inlineStr">
        <is>
          <t>OFFICIAL_AGGREGATE</t>
        </is>
      </c>
      <c r="P1143" s="8" t="n">
        <v>1</v>
      </c>
      <c r="Q1143" s="8" t="n">
        <v>95</v>
      </c>
      <c r="R1143" s="7" t="inlineStr">
        <is>
          <t>https://www.ande.gov.py/finanzas/2.%20COMPILACION%20ESTADISTICA%202003-2023/ANDE%20-%20Compilacion%20Estadistica%202003-2023.pdf</t>
        </is>
      </c>
      <c r="S1143" s="6" t="inlineStr">
        <is>
          <t>ANDE-03-23</t>
        </is>
      </c>
      <c r="T1143" s="6" t="inlineStr"/>
      <c r="U1143" s="4" t="inlineStr">
        <is>
          <t>2026-09-11 00:05:00</t>
        </is>
      </c>
      <c r="V1143" s="4" t="inlineStr">
        <is>
          <t>Compilacion 2003-2023; prioridad canonica. Rupturas metodologicas de categorias en 2016/2017 documentadas por ANDE.</t>
        </is>
      </c>
    </row>
    <row r="1144">
      <c r="A1144" s="6" t="inlineStr">
        <is>
          <t>R0001143</t>
        </is>
      </c>
      <c r="B1144" s="6" t="inlineStr">
        <is>
          <t>2003-01-01</t>
        </is>
      </c>
      <c r="C1144" s="6" t="inlineStr">
        <is>
          <t>2003-12-31</t>
        </is>
      </c>
      <c r="D1144" s="6" t="inlineStr">
        <is>
          <t>year</t>
        </is>
      </c>
      <c r="E1144" s="6" t="inlineStr">
        <is>
          <t>ANDE_BILLED_OTHER_ENERGY</t>
        </is>
      </c>
      <c r="F1144" s="6" t="inlineStr">
        <is>
          <t>PY_SIN</t>
        </is>
      </c>
      <c r="G1144" s="6" t="inlineStr">
        <is>
          <t>PY</t>
        </is>
      </c>
      <c r="H1144" s="6" t="inlineStr">
        <is>
          <t>PY</t>
        </is>
      </c>
      <c r="I1144" s="8" t="n">
        <v>1195049</v>
      </c>
      <c r="J1144" s="6" t="inlineStr">
        <is>
          <t>MWh</t>
        </is>
      </c>
      <c r="K1144" s="8" t="n">
        <v>1195049</v>
      </c>
      <c r="L1144" s="6" t="inlineStr">
        <is>
          <t>MWh</t>
        </is>
      </c>
      <c r="M1144" s="6" t="inlineStr">
        <is>
          <t>ANDE</t>
        </is>
      </c>
      <c r="N1144" s="6" t="inlineStr">
        <is>
          <t>OFFICIAL_PRIMARY</t>
        </is>
      </c>
      <c r="O1144" s="9" t="inlineStr">
        <is>
          <t>OFFICIAL_AGGREGATE</t>
        </is>
      </c>
      <c r="P1144" s="8" t="n">
        <v>1</v>
      </c>
      <c r="Q1144" s="8" t="n">
        <v>95</v>
      </c>
      <c r="R1144" s="7" t="inlineStr">
        <is>
          <t>https://www.ande.gov.py/finanzas/2.%20COMPILACION%20ESTADISTICA%202003-2023/ANDE%20-%20Compilacion%20Estadistica%202003-2023.pdf</t>
        </is>
      </c>
      <c r="S1144" s="6" t="inlineStr">
        <is>
          <t>ANDE-03-23</t>
        </is>
      </c>
      <c r="T1144" s="6" t="inlineStr"/>
      <c r="U1144" s="4" t="inlineStr">
        <is>
          <t>2026-09-11 00:05:00</t>
        </is>
      </c>
      <c r="V1144" s="4" t="inlineStr">
        <is>
          <t>Compilacion 2003-2023; prioridad canonica. Rupturas metodologicas de categorias en 2016/2017 documentadas por ANDE.</t>
        </is>
      </c>
    </row>
    <row r="1145">
      <c r="A1145" s="6" t="inlineStr">
        <is>
          <t>R0001144</t>
        </is>
      </c>
      <c r="B1145" s="6" t="inlineStr">
        <is>
          <t>2004-01-01</t>
        </is>
      </c>
      <c r="C1145" s="6" t="inlineStr">
        <is>
          <t>2004-12-31</t>
        </is>
      </c>
      <c r="D1145" s="6" t="inlineStr">
        <is>
          <t>year</t>
        </is>
      </c>
      <c r="E1145" s="6" t="inlineStr">
        <is>
          <t>ANDE_BILLED_OTHER_ENERGY</t>
        </is>
      </c>
      <c r="F1145" s="6" t="inlineStr">
        <is>
          <t>PY_SIN</t>
        </is>
      </c>
      <c r="G1145" s="6" t="inlineStr">
        <is>
          <t>PY</t>
        </is>
      </c>
      <c r="H1145" s="6" t="inlineStr">
        <is>
          <t>PY</t>
        </is>
      </c>
      <c r="I1145" s="8" t="n">
        <v>1152810</v>
      </c>
      <c r="J1145" s="6" t="inlineStr">
        <is>
          <t>MWh</t>
        </is>
      </c>
      <c r="K1145" s="8" t="n">
        <v>1152810</v>
      </c>
      <c r="L1145" s="6" t="inlineStr">
        <is>
          <t>MWh</t>
        </is>
      </c>
      <c r="M1145" s="6" t="inlineStr">
        <is>
          <t>ANDE</t>
        </is>
      </c>
      <c r="N1145" s="6" t="inlineStr">
        <is>
          <t>OFFICIAL_PRIMARY</t>
        </is>
      </c>
      <c r="O1145" s="9" t="inlineStr">
        <is>
          <t>OFFICIAL_AGGREGATE</t>
        </is>
      </c>
      <c r="P1145" s="8" t="n">
        <v>1</v>
      </c>
      <c r="Q1145" s="8" t="n">
        <v>95</v>
      </c>
      <c r="R1145" s="7" t="inlineStr">
        <is>
          <t>https://www.ande.gov.py/finanzas/2.%20COMPILACION%20ESTADISTICA%202003-2023/ANDE%20-%20Compilacion%20Estadistica%202003-2023.pdf</t>
        </is>
      </c>
      <c r="S1145" s="6" t="inlineStr">
        <is>
          <t>ANDE-03-23</t>
        </is>
      </c>
      <c r="T1145" s="6" t="inlineStr"/>
      <c r="U1145" s="4" t="inlineStr">
        <is>
          <t>2026-09-11 00:05:00</t>
        </is>
      </c>
      <c r="V1145" s="4" t="inlineStr">
        <is>
          <t>Compilacion 2003-2023; prioridad canonica. Rupturas metodologicas de categorias en 2016/2017 documentadas por ANDE.</t>
        </is>
      </c>
    </row>
    <row r="1146">
      <c r="A1146" s="6" t="inlineStr">
        <is>
          <t>R0001145</t>
        </is>
      </c>
      <c r="B1146" s="6" t="inlineStr">
        <is>
          <t>2005-01-01</t>
        </is>
      </c>
      <c r="C1146" s="6" t="inlineStr">
        <is>
          <t>2005-12-31</t>
        </is>
      </c>
      <c r="D1146" s="6" t="inlineStr">
        <is>
          <t>year</t>
        </is>
      </c>
      <c r="E1146" s="6" t="inlineStr">
        <is>
          <t>ANDE_BILLED_OTHER_ENERGY</t>
        </is>
      </c>
      <c r="F1146" s="6" t="inlineStr">
        <is>
          <t>PY_SIN</t>
        </is>
      </c>
      <c r="G1146" s="6" t="inlineStr">
        <is>
          <t>PY</t>
        </is>
      </c>
      <c r="H1146" s="6" t="inlineStr">
        <is>
          <t>PY</t>
        </is>
      </c>
      <c r="I1146" s="8" t="n">
        <v>1237218</v>
      </c>
      <c r="J1146" s="6" t="inlineStr">
        <is>
          <t>MWh</t>
        </is>
      </c>
      <c r="K1146" s="8" t="n">
        <v>1237218</v>
      </c>
      <c r="L1146" s="6" t="inlineStr">
        <is>
          <t>MWh</t>
        </is>
      </c>
      <c r="M1146" s="6" t="inlineStr">
        <is>
          <t>ANDE</t>
        </is>
      </c>
      <c r="N1146" s="6" t="inlineStr">
        <is>
          <t>OFFICIAL_PRIMARY</t>
        </is>
      </c>
      <c r="O1146" s="9" t="inlineStr">
        <is>
          <t>OFFICIAL_AGGREGATE</t>
        </is>
      </c>
      <c r="P1146" s="8" t="n">
        <v>1</v>
      </c>
      <c r="Q1146" s="8" t="n">
        <v>95</v>
      </c>
      <c r="R1146" s="7" t="inlineStr">
        <is>
          <t>https://www.ande.gov.py/finanzas/2.%20COMPILACION%20ESTADISTICA%202003-2023/ANDE%20-%20Compilacion%20Estadistica%202003-2023.pdf</t>
        </is>
      </c>
      <c r="S1146" s="6" t="inlineStr">
        <is>
          <t>ANDE-03-23</t>
        </is>
      </c>
      <c r="T1146" s="6" t="inlineStr"/>
      <c r="U1146" s="4" t="inlineStr">
        <is>
          <t>2026-09-11 00:05:00</t>
        </is>
      </c>
      <c r="V1146" s="4" t="inlineStr">
        <is>
          <t>Compilacion 2003-2023; prioridad canonica. Rupturas metodologicas de categorias en 2016/2017 documentadas por ANDE.</t>
        </is>
      </c>
    </row>
    <row r="1147">
      <c r="A1147" s="6" t="inlineStr">
        <is>
          <t>R0001146</t>
        </is>
      </c>
      <c r="B1147" s="6" t="inlineStr">
        <is>
          <t>2006-01-01</t>
        </is>
      </c>
      <c r="C1147" s="6" t="inlineStr">
        <is>
          <t>2006-12-31</t>
        </is>
      </c>
      <c r="D1147" s="6" t="inlineStr">
        <is>
          <t>year</t>
        </is>
      </c>
      <c r="E1147" s="6" t="inlineStr">
        <is>
          <t>ANDE_BILLED_OTHER_ENERGY</t>
        </is>
      </c>
      <c r="F1147" s="6" t="inlineStr">
        <is>
          <t>PY_SIN</t>
        </is>
      </c>
      <c r="G1147" s="6" t="inlineStr">
        <is>
          <t>PY</t>
        </is>
      </c>
      <c r="H1147" s="6" t="inlineStr">
        <is>
          <t>PY</t>
        </is>
      </c>
      <c r="I1147" s="8" t="n">
        <v>1330010</v>
      </c>
      <c r="J1147" s="6" t="inlineStr">
        <is>
          <t>MWh</t>
        </is>
      </c>
      <c r="K1147" s="8" t="n">
        <v>1330010</v>
      </c>
      <c r="L1147" s="6" t="inlineStr">
        <is>
          <t>MWh</t>
        </is>
      </c>
      <c r="M1147" s="6" t="inlineStr">
        <is>
          <t>ANDE</t>
        </is>
      </c>
      <c r="N1147" s="6" t="inlineStr">
        <is>
          <t>OFFICIAL_PRIMARY</t>
        </is>
      </c>
      <c r="O1147" s="9" t="inlineStr">
        <is>
          <t>OFFICIAL_AGGREGATE</t>
        </is>
      </c>
      <c r="P1147" s="8" t="n">
        <v>1</v>
      </c>
      <c r="Q1147" s="8" t="n">
        <v>95</v>
      </c>
      <c r="R1147" s="7" t="inlineStr">
        <is>
          <t>https://www.ande.gov.py/finanzas/2.%20COMPILACION%20ESTADISTICA%202003-2023/ANDE%20-%20Compilacion%20Estadistica%202003-2023.pdf</t>
        </is>
      </c>
      <c r="S1147" s="6" t="inlineStr">
        <is>
          <t>ANDE-03-23</t>
        </is>
      </c>
      <c r="T1147" s="6" t="inlineStr"/>
      <c r="U1147" s="4" t="inlineStr">
        <is>
          <t>2026-09-11 00:05:00</t>
        </is>
      </c>
      <c r="V1147" s="4" t="inlineStr">
        <is>
          <t>Compilacion 2003-2023; prioridad canonica. Rupturas metodologicas de categorias en 2016/2017 documentadas por ANDE.</t>
        </is>
      </c>
    </row>
    <row r="1148">
      <c r="A1148" s="6" t="inlineStr">
        <is>
          <t>R0001147</t>
        </is>
      </c>
      <c r="B1148" s="6" t="inlineStr">
        <is>
          <t>2007-01-01</t>
        </is>
      </c>
      <c r="C1148" s="6" t="inlineStr">
        <is>
          <t>2007-12-31</t>
        </is>
      </c>
      <c r="D1148" s="6" t="inlineStr">
        <is>
          <t>year</t>
        </is>
      </c>
      <c r="E1148" s="6" t="inlineStr">
        <is>
          <t>ANDE_BILLED_OTHER_ENERGY</t>
        </is>
      </c>
      <c r="F1148" s="6" t="inlineStr">
        <is>
          <t>PY_SIN</t>
        </is>
      </c>
      <c r="G1148" s="6" t="inlineStr">
        <is>
          <t>PY</t>
        </is>
      </c>
      <c r="H1148" s="6" t="inlineStr">
        <is>
          <t>PY</t>
        </is>
      </c>
      <c r="I1148" s="8" t="n">
        <v>1480231</v>
      </c>
      <c r="J1148" s="6" t="inlineStr">
        <is>
          <t>MWh</t>
        </is>
      </c>
      <c r="K1148" s="8" t="n">
        <v>1480231</v>
      </c>
      <c r="L1148" s="6" t="inlineStr">
        <is>
          <t>MWh</t>
        </is>
      </c>
      <c r="M1148" s="6" t="inlineStr">
        <is>
          <t>ANDE</t>
        </is>
      </c>
      <c r="N1148" s="6" t="inlineStr">
        <is>
          <t>OFFICIAL_PRIMARY</t>
        </is>
      </c>
      <c r="O1148" s="9" t="inlineStr">
        <is>
          <t>OFFICIAL_AGGREGATE</t>
        </is>
      </c>
      <c r="P1148" s="8" t="n">
        <v>1</v>
      </c>
      <c r="Q1148" s="8" t="n">
        <v>95</v>
      </c>
      <c r="R1148" s="7" t="inlineStr">
        <is>
          <t>https://www.ande.gov.py/finanzas/2.%20COMPILACION%20ESTADISTICA%202003-2023/ANDE%20-%20Compilacion%20Estadistica%202003-2023.pdf</t>
        </is>
      </c>
      <c r="S1148" s="6" t="inlineStr">
        <is>
          <t>ANDE-03-23</t>
        </is>
      </c>
      <c r="T1148" s="6" t="inlineStr"/>
      <c r="U1148" s="4" t="inlineStr">
        <is>
          <t>2026-09-11 00:05:00</t>
        </is>
      </c>
      <c r="V1148" s="4" t="inlineStr">
        <is>
          <t>Compilacion 2003-2023; prioridad canonica. Rupturas metodologicas de categorias en 2016/2017 documentadas por ANDE.</t>
        </is>
      </c>
    </row>
    <row r="1149">
      <c r="A1149" s="6" t="inlineStr">
        <is>
          <t>R0001148</t>
        </is>
      </c>
      <c r="B1149" s="6" t="inlineStr">
        <is>
          <t>2008-01-01</t>
        </is>
      </c>
      <c r="C1149" s="6" t="inlineStr">
        <is>
          <t>2008-12-31</t>
        </is>
      </c>
      <c r="D1149" s="6" t="inlineStr">
        <is>
          <t>year</t>
        </is>
      </c>
      <c r="E1149" s="6" t="inlineStr">
        <is>
          <t>ANDE_BILLED_OTHER_ENERGY</t>
        </is>
      </c>
      <c r="F1149" s="6" t="inlineStr">
        <is>
          <t>PY_SIN</t>
        </is>
      </c>
      <c r="G1149" s="6" t="inlineStr">
        <is>
          <t>PY</t>
        </is>
      </c>
      <c r="H1149" s="6" t="inlineStr">
        <is>
          <t>PY</t>
        </is>
      </c>
      <c r="I1149" s="8" t="n">
        <v>1618748</v>
      </c>
      <c r="J1149" s="6" t="inlineStr">
        <is>
          <t>MWh</t>
        </is>
      </c>
      <c r="K1149" s="8" t="n">
        <v>1618748</v>
      </c>
      <c r="L1149" s="6" t="inlineStr">
        <is>
          <t>MWh</t>
        </is>
      </c>
      <c r="M1149" s="6" t="inlineStr">
        <is>
          <t>ANDE</t>
        </is>
      </c>
      <c r="N1149" s="6" t="inlineStr">
        <is>
          <t>OFFICIAL_PRIMARY</t>
        </is>
      </c>
      <c r="O1149" s="9" t="inlineStr">
        <is>
          <t>OFFICIAL_AGGREGATE</t>
        </is>
      </c>
      <c r="P1149" s="8" t="n">
        <v>1</v>
      </c>
      <c r="Q1149" s="8" t="n">
        <v>95</v>
      </c>
      <c r="R1149" s="7" t="inlineStr">
        <is>
          <t>https://www.ande.gov.py/finanzas/2.%20COMPILACION%20ESTADISTICA%202003-2023/ANDE%20-%20Compilacion%20Estadistica%202003-2023.pdf</t>
        </is>
      </c>
      <c r="S1149" s="6" t="inlineStr">
        <is>
          <t>ANDE-03-23</t>
        </is>
      </c>
      <c r="T1149" s="6" t="inlineStr"/>
      <c r="U1149" s="4" t="inlineStr">
        <is>
          <t>2026-09-11 00:05:00</t>
        </is>
      </c>
      <c r="V1149" s="4" t="inlineStr">
        <is>
          <t>Compilacion 2003-2023; prioridad canonica. Rupturas metodologicas de categorias en 2016/2017 documentadas por ANDE.</t>
        </is>
      </c>
    </row>
    <row r="1150">
      <c r="A1150" s="6" t="inlineStr">
        <is>
          <t>R0001149</t>
        </is>
      </c>
      <c r="B1150" s="6" t="inlineStr">
        <is>
          <t>2009-01-01</t>
        </is>
      </c>
      <c r="C1150" s="6" t="inlineStr">
        <is>
          <t>2009-12-31</t>
        </is>
      </c>
      <c r="D1150" s="6" t="inlineStr">
        <is>
          <t>year</t>
        </is>
      </c>
      <c r="E1150" s="6" t="inlineStr">
        <is>
          <t>ANDE_BILLED_OTHER_ENERGY</t>
        </is>
      </c>
      <c r="F1150" s="6" t="inlineStr">
        <is>
          <t>PY_SIN</t>
        </is>
      </c>
      <c r="G1150" s="6" t="inlineStr">
        <is>
          <t>PY</t>
        </is>
      </c>
      <c r="H1150" s="6" t="inlineStr">
        <is>
          <t>PY</t>
        </is>
      </c>
      <c r="I1150" s="8" t="n">
        <v>1708145</v>
      </c>
      <c r="J1150" s="6" t="inlineStr">
        <is>
          <t>MWh</t>
        </is>
      </c>
      <c r="K1150" s="8" t="n">
        <v>1708145</v>
      </c>
      <c r="L1150" s="6" t="inlineStr">
        <is>
          <t>MWh</t>
        </is>
      </c>
      <c r="M1150" s="6" t="inlineStr">
        <is>
          <t>ANDE</t>
        </is>
      </c>
      <c r="N1150" s="6" t="inlineStr">
        <is>
          <t>OFFICIAL_PRIMARY</t>
        </is>
      </c>
      <c r="O1150" s="9" t="inlineStr">
        <is>
          <t>OFFICIAL_AGGREGATE</t>
        </is>
      </c>
      <c r="P1150" s="8" t="n">
        <v>1</v>
      </c>
      <c r="Q1150" s="8" t="n">
        <v>95</v>
      </c>
      <c r="R1150" s="7" t="inlineStr">
        <is>
          <t>https://www.ande.gov.py/finanzas/2.%20COMPILACION%20ESTADISTICA%202003-2023/ANDE%20-%20Compilacion%20Estadistica%202003-2023.pdf</t>
        </is>
      </c>
      <c r="S1150" s="6" t="inlineStr">
        <is>
          <t>ANDE-03-23</t>
        </is>
      </c>
      <c r="T1150" s="6" t="inlineStr"/>
      <c r="U1150" s="4" t="inlineStr">
        <is>
          <t>2026-09-11 00:05:00</t>
        </is>
      </c>
      <c r="V1150" s="4" t="inlineStr">
        <is>
          <t>Compilacion 2003-2023; prioridad canonica. Rupturas metodologicas de categorias en 2016/2017 documentadas por ANDE.</t>
        </is>
      </c>
    </row>
    <row r="1151">
      <c r="A1151" s="6" t="inlineStr">
        <is>
          <t>R0001150</t>
        </is>
      </c>
      <c r="B1151" s="6" t="inlineStr">
        <is>
          <t>2010-01-01</t>
        </is>
      </c>
      <c r="C1151" s="6" t="inlineStr">
        <is>
          <t>2010-12-31</t>
        </is>
      </c>
      <c r="D1151" s="6" t="inlineStr">
        <is>
          <t>year</t>
        </is>
      </c>
      <c r="E1151" s="6" t="inlineStr">
        <is>
          <t>ANDE_BILLED_OTHER_ENERGY</t>
        </is>
      </c>
      <c r="F1151" s="6" t="inlineStr">
        <is>
          <t>PY_SIN</t>
        </is>
      </c>
      <c r="G1151" s="6" t="inlineStr">
        <is>
          <t>PY</t>
        </is>
      </c>
      <c r="H1151" s="6" t="inlineStr">
        <is>
          <t>PY</t>
        </is>
      </c>
      <c r="I1151" s="8" t="n">
        <v>1762985</v>
      </c>
      <c r="J1151" s="6" t="inlineStr">
        <is>
          <t>MWh</t>
        </is>
      </c>
      <c r="K1151" s="8" t="n">
        <v>1762985</v>
      </c>
      <c r="L1151" s="6" t="inlineStr">
        <is>
          <t>MWh</t>
        </is>
      </c>
      <c r="M1151" s="6" t="inlineStr">
        <is>
          <t>ANDE</t>
        </is>
      </c>
      <c r="N1151" s="6" t="inlineStr">
        <is>
          <t>OFFICIAL_PRIMARY</t>
        </is>
      </c>
      <c r="O1151" s="9" t="inlineStr">
        <is>
          <t>OFFICIAL_AGGREGATE</t>
        </is>
      </c>
      <c r="P1151" s="8" t="n">
        <v>1</v>
      </c>
      <c r="Q1151" s="8" t="n">
        <v>95</v>
      </c>
      <c r="R1151" s="7" t="inlineStr">
        <is>
          <t>https://www.ande.gov.py/finanzas/2.%20COMPILACION%20ESTADISTICA%202003-2023/ANDE%20-%20Compilacion%20Estadistica%202003-2023.pdf</t>
        </is>
      </c>
      <c r="S1151" s="6" t="inlineStr">
        <is>
          <t>ANDE-03-23</t>
        </is>
      </c>
      <c r="T1151" s="6" t="inlineStr"/>
      <c r="U1151" s="4" t="inlineStr">
        <is>
          <t>2026-09-11 00:05:00</t>
        </is>
      </c>
      <c r="V1151" s="4" t="inlineStr">
        <is>
          <t>Compilacion 2003-2023; prioridad canonica. Rupturas metodologicas de categorias en 2016/2017 documentadas por ANDE.</t>
        </is>
      </c>
    </row>
    <row r="1152">
      <c r="A1152" s="6" t="inlineStr">
        <is>
          <t>R0001151</t>
        </is>
      </c>
      <c r="B1152" s="6" t="inlineStr">
        <is>
          <t>2011-01-01</t>
        </is>
      </c>
      <c r="C1152" s="6" t="inlineStr">
        <is>
          <t>2011-12-31</t>
        </is>
      </c>
      <c r="D1152" s="6" t="inlineStr">
        <is>
          <t>year</t>
        </is>
      </c>
      <c r="E1152" s="6" t="inlineStr">
        <is>
          <t>ANDE_BILLED_OTHER_ENERGY</t>
        </is>
      </c>
      <c r="F1152" s="6" t="inlineStr">
        <is>
          <t>PY_SIN</t>
        </is>
      </c>
      <c r="G1152" s="6" t="inlineStr">
        <is>
          <t>PY</t>
        </is>
      </c>
      <c r="H1152" s="6" t="inlineStr">
        <is>
          <t>PY</t>
        </is>
      </c>
      <c r="I1152" s="8" t="n">
        <v>1997079</v>
      </c>
      <c r="J1152" s="6" t="inlineStr">
        <is>
          <t>MWh</t>
        </is>
      </c>
      <c r="K1152" s="8" t="n">
        <v>1997079</v>
      </c>
      <c r="L1152" s="6" t="inlineStr">
        <is>
          <t>MWh</t>
        </is>
      </c>
      <c r="M1152" s="6" t="inlineStr">
        <is>
          <t>ANDE</t>
        </is>
      </c>
      <c r="N1152" s="6" t="inlineStr">
        <is>
          <t>OFFICIAL_PRIMARY</t>
        </is>
      </c>
      <c r="O1152" s="9" t="inlineStr">
        <is>
          <t>OFFICIAL_AGGREGATE</t>
        </is>
      </c>
      <c r="P1152" s="8" t="n">
        <v>1</v>
      </c>
      <c r="Q1152" s="8" t="n">
        <v>95</v>
      </c>
      <c r="R1152" s="7" t="inlineStr">
        <is>
          <t>https://www.ande.gov.py/finanzas/2.%20COMPILACION%20ESTADISTICA%202003-2023/ANDE%20-%20Compilacion%20Estadistica%202003-2023.pdf</t>
        </is>
      </c>
      <c r="S1152" s="6" t="inlineStr">
        <is>
          <t>ANDE-03-23</t>
        </is>
      </c>
      <c r="T1152" s="6" t="inlineStr"/>
      <c r="U1152" s="4" t="inlineStr">
        <is>
          <t>2026-09-11 00:05:00</t>
        </is>
      </c>
      <c r="V1152" s="4" t="inlineStr">
        <is>
          <t>Compilacion 2003-2023; prioridad canonica. Rupturas metodologicas de categorias en 2016/2017 documentadas por ANDE.</t>
        </is>
      </c>
    </row>
    <row r="1153">
      <c r="A1153" s="6" t="inlineStr">
        <is>
          <t>R0001152</t>
        </is>
      </c>
      <c r="B1153" s="6" t="inlineStr">
        <is>
          <t>2012-01-01</t>
        </is>
      </c>
      <c r="C1153" s="6" t="inlineStr">
        <is>
          <t>2012-12-31</t>
        </is>
      </c>
      <c r="D1153" s="6" t="inlineStr">
        <is>
          <t>year</t>
        </is>
      </c>
      <c r="E1153" s="6" t="inlineStr">
        <is>
          <t>ANDE_BILLED_OTHER_ENERGY</t>
        </is>
      </c>
      <c r="F1153" s="6" t="inlineStr">
        <is>
          <t>PY_SIN</t>
        </is>
      </c>
      <c r="G1153" s="6" t="inlineStr">
        <is>
          <t>PY</t>
        </is>
      </c>
      <c r="H1153" s="6" t="inlineStr">
        <is>
          <t>PY</t>
        </is>
      </c>
      <c r="I1153" s="8" t="n">
        <v>2145471</v>
      </c>
      <c r="J1153" s="6" t="inlineStr">
        <is>
          <t>MWh</t>
        </is>
      </c>
      <c r="K1153" s="8" t="n">
        <v>2145471</v>
      </c>
      <c r="L1153" s="6" t="inlineStr">
        <is>
          <t>MWh</t>
        </is>
      </c>
      <c r="M1153" s="6" t="inlineStr">
        <is>
          <t>ANDE</t>
        </is>
      </c>
      <c r="N1153" s="6" t="inlineStr">
        <is>
          <t>OFFICIAL_PRIMARY</t>
        </is>
      </c>
      <c r="O1153" s="9" t="inlineStr">
        <is>
          <t>OFFICIAL_AGGREGATE</t>
        </is>
      </c>
      <c r="P1153" s="8" t="n">
        <v>1</v>
      </c>
      <c r="Q1153" s="8" t="n">
        <v>95</v>
      </c>
      <c r="R1153" s="7" t="inlineStr">
        <is>
          <t>https://www.ande.gov.py/finanzas/2.%20COMPILACION%20ESTADISTICA%202003-2023/ANDE%20-%20Compilacion%20Estadistica%202003-2023.pdf</t>
        </is>
      </c>
      <c r="S1153" s="6" t="inlineStr">
        <is>
          <t>ANDE-03-23</t>
        </is>
      </c>
      <c r="T1153" s="6" t="inlineStr"/>
      <c r="U1153" s="4" t="inlineStr">
        <is>
          <t>2026-09-11 00:05:00</t>
        </is>
      </c>
      <c r="V1153" s="4" t="inlineStr">
        <is>
          <t>Compilacion 2003-2023; prioridad canonica. Rupturas metodologicas de categorias en 2016/2017 documentadas por ANDE.</t>
        </is>
      </c>
    </row>
    <row r="1154">
      <c r="A1154" s="6" t="inlineStr">
        <is>
          <t>R0001153</t>
        </is>
      </c>
      <c r="B1154" s="6" t="inlineStr">
        <is>
          <t>2013-01-01</t>
        </is>
      </c>
      <c r="C1154" s="6" t="inlineStr">
        <is>
          <t>2013-12-31</t>
        </is>
      </c>
      <c r="D1154" s="6" t="inlineStr">
        <is>
          <t>year</t>
        </is>
      </c>
      <c r="E1154" s="6" t="inlineStr">
        <is>
          <t>ANDE_BILLED_OTHER_ENERGY</t>
        </is>
      </c>
      <c r="F1154" s="6" t="inlineStr">
        <is>
          <t>PY_SIN</t>
        </is>
      </c>
      <c r="G1154" s="6" t="inlineStr">
        <is>
          <t>PY</t>
        </is>
      </c>
      <c r="H1154" s="6" t="inlineStr">
        <is>
          <t>PY</t>
        </is>
      </c>
      <c r="I1154" s="8" t="n">
        <v>2376227</v>
      </c>
      <c r="J1154" s="6" t="inlineStr">
        <is>
          <t>MWh</t>
        </is>
      </c>
      <c r="K1154" s="8" t="n">
        <v>2376227</v>
      </c>
      <c r="L1154" s="6" t="inlineStr">
        <is>
          <t>MWh</t>
        </is>
      </c>
      <c r="M1154" s="6" t="inlineStr">
        <is>
          <t>ANDE</t>
        </is>
      </c>
      <c r="N1154" s="6" t="inlineStr">
        <is>
          <t>OFFICIAL_PRIMARY</t>
        </is>
      </c>
      <c r="O1154" s="9" t="inlineStr">
        <is>
          <t>OFFICIAL_AGGREGATE</t>
        </is>
      </c>
      <c r="P1154" s="8" t="n">
        <v>1</v>
      </c>
      <c r="Q1154" s="8" t="n">
        <v>95</v>
      </c>
      <c r="R1154" s="7" t="inlineStr">
        <is>
          <t>https://www.ande.gov.py/finanzas/2.%20COMPILACION%20ESTADISTICA%202003-2023/ANDE%20-%20Compilacion%20Estadistica%202003-2023.pdf</t>
        </is>
      </c>
      <c r="S1154" s="6" t="inlineStr">
        <is>
          <t>ANDE-03-23</t>
        </is>
      </c>
      <c r="T1154" s="6" t="inlineStr"/>
      <c r="U1154" s="4" t="inlineStr">
        <is>
          <t>2026-09-11 00:05:00</t>
        </is>
      </c>
      <c r="V1154" s="4" t="inlineStr">
        <is>
          <t>Compilacion 2003-2023; prioridad canonica. Rupturas metodologicas de categorias en 2016/2017 documentadas por ANDE.</t>
        </is>
      </c>
    </row>
    <row r="1155">
      <c r="A1155" s="6" t="inlineStr">
        <is>
          <t>R0001154</t>
        </is>
      </c>
      <c r="B1155" s="6" t="inlineStr">
        <is>
          <t>2014-01-01</t>
        </is>
      </c>
      <c r="C1155" s="6" t="inlineStr">
        <is>
          <t>2014-12-31</t>
        </is>
      </c>
      <c r="D1155" s="6" t="inlineStr">
        <is>
          <t>year</t>
        </is>
      </c>
      <c r="E1155" s="6" t="inlineStr">
        <is>
          <t>ANDE_BILLED_OTHER_ENERGY</t>
        </is>
      </c>
      <c r="F1155" s="6" t="inlineStr">
        <is>
          <t>PY_SIN</t>
        </is>
      </c>
      <c r="G1155" s="6" t="inlineStr">
        <is>
          <t>PY</t>
        </is>
      </c>
      <c r="H1155" s="6" t="inlineStr">
        <is>
          <t>PY</t>
        </is>
      </c>
      <c r="I1155" s="8" t="n">
        <v>2617070</v>
      </c>
      <c r="J1155" s="6" t="inlineStr">
        <is>
          <t>MWh</t>
        </is>
      </c>
      <c r="K1155" s="8" t="n">
        <v>2617070</v>
      </c>
      <c r="L1155" s="6" t="inlineStr">
        <is>
          <t>MWh</t>
        </is>
      </c>
      <c r="M1155" s="6" t="inlineStr">
        <is>
          <t>ANDE</t>
        </is>
      </c>
      <c r="N1155" s="6" t="inlineStr">
        <is>
          <t>OFFICIAL_PRIMARY</t>
        </is>
      </c>
      <c r="O1155" s="9" t="inlineStr">
        <is>
          <t>OFFICIAL_AGGREGATE</t>
        </is>
      </c>
      <c r="P1155" s="8" t="n">
        <v>1</v>
      </c>
      <c r="Q1155" s="8" t="n">
        <v>95</v>
      </c>
      <c r="R1155" s="7" t="inlineStr">
        <is>
          <t>https://www.ande.gov.py/finanzas/2.%20COMPILACION%20ESTADISTICA%202003-2023/ANDE%20-%20Compilacion%20Estadistica%202003-2023.pdf</t>
        </is>
      </c>
      <c r="S1155" s="6" t="inlineStr">
        <is>
          <t>ANDE-03-23</t>
        </is>
      </c>
      <c r="T1155" s="6" t="inlineStr"/>
      <c r="U1155" s="4" t="inlineStr">
        <is>
          <t>2026-09-11 00:05:00</t>
        </is>
      </c>
      <c r="V1155" s="4" t="inlineStr">
        <is>
          <t>Compilacion 2003-2023; prioridad canonica. Rupturas metodologicas de categorias en 2016/2017 documentadas por ANDE.</t>
        </is>
      </c>
    </row>
    <row r="1156">
      <c r="A1156" s="6" t="inlineStr">
        <is>
          <t>R0001155</t>
        </is>
      </c>
      <c r="B1156" s="6" t="inlineStr">
        <is>
          <t>2015-01-01</t>
        </is>
      </c>
      <c r="C1156" s="6" t="inlineStr">
        <is>
          <t>2015-12-31</t>
        </is>
      </c>
      <c r="D1156" s="6" t="inlineStr">
        <is>
          <t>year</t>
        </is>
      </c>
      <c r="E1156" s="6" t="inlineStr">
        <is>
          <t>ANDE_BILLED_OTHER_ENERGY</t>
        </is>
      </c>
      <c r="F1156" s="6" t="inlineStr">
        <is>
          <t>PY_SIN</t>
        </is>
      </c>
      <c r="G1156" s="6" t="inlineStr">
        <is>
          <t>PY</t>
        </is>
      </c>
      <c r="H1156" s="6" t="inlineStr">
        <is>
          <t>PY</t>
        </is>
      </c>
      <c r="I1156" s="8" t="n">
        <v>2803706</v>
      </c>
      <c r="J1156" s="6" t="inlineStr">
        <is>
          <t>MWh</t>
        </is>
      </c>
      <c r="K1156" s="8" t="n">
        <v>2803706</v>
      </c>
      <c r="L1156" s="6" t="inlineStr">
        <is>
          <t>MWh</t>
        </is>
      </c>
      <c r="M1156" s="6" t="inlineStr">
        <is>
          <t>ANDE</t>
        </is>
      </c>
      <c r="N1156" s="6" t="inlineStr">
        <is>
          <t>OFFICIAL_PRIMARY</t>
        </is>
      </c>
      <c r="O1156" s="9" t="inlineStr">
        <is>
          <t>OFFICIAL_AGGREGATE</t>
        </is>
      </c>
      <c r="P1156" s="8" t="n">
        <v>1</v>
      </c>
      <c r="Q1156" s="8" t="n">
        <v>95</v>
      </c>
      <c r="R1156" s="7" t="inlineStr">
        <is>
          <t>https://www.ande.gov.py/finanzas/2.%20COMPILACION%20ESTADISTICA%202003-2023/ANDE%20-%20Compilacion%20Estadistica%202003-2023.pdf</t>
        </is>
      </c>
      <c r="S1156" s="6" t="inlineStr">
        <is>
          <t>ANDE-03-23</t>
        </is>
      </c>
      <c r="T1156" s="6" t="inlineStr"/>
      <c r="U1156" s="4" t="inlineStr">
        <is>
          <t>2026-09-11 00:05:00</t>
        </is>
      </c>
      <c r="V1156" s="4" t="inlineStr">
        <is>
          <t>Compilacion 2003-2023; prioridad canonica. Rupturas metodologicas de categorias en 2016/2017 documentadas por ANDE.</t>
        </is>
      </c>
    </row>
    <row r="1157">
      <c r="A1157" s="6" t="inlineStr">
        <is>
          <t>R0001156</t>
        </is>
      </c>
      <c r="B1157" s="6" t="inlineStr">
        <is>
          <t>2016-01-01</t>
        </is>
      </c>
      <c r="C1157" s="6" t="inlineStr">
        <is>
          <t>2016-12-31</t>
        </is>
      </c>
      <c r="D1157" s="6" t="inlineStr">
        <is>
          <t>year</t>
        </is>
      </c>
      <c r="E1157" s="6" t="inlineStr">
        <is>
          <t>ANDE_BILLED_OTHER_ENERGY</t>
        </is>
      </c>
      <c r="F1157" s="6" t="inlineStr">
        <is>
          <t>PY_SIN</t>
        </is>
      </c>
      <c r="G1157" s="6" t="inlineStr">
        <is>
          <t>PY</t>
        </is>
      </c>
      <c r="H1157" s="6" t="inlineStr">
        <is>
          <t>PY</t>
        </is>
      </c>
      <c r="I1157" s="8" t="n">
        <v>3265688</v>
      </c>
      <c r="J1157" s="6" t="inlineStr">
        <is>
          <t>MWh</t>
        </is>
      </c>
      <c r="K1157" s="8" t="n">
        <v>3265688</v>
      </c>
      <c r="L1157" s="6" t="inlineStr">
        <is>
          <t>MWh</t>
        </is>
      </c>
      <c r="M1157" s="6" t="inlineStr">
        <is>
          <t>ANDE</t>
        </is>
      </c>
      <c r="N1157" s="6" t="inlineStr">
        <is>
          <t>OFFICIAL_PRIMARY</t>
        </is>
      </c>
      <c r="O1157" s="9" t="inlineStr">
        <is>
          <t>OFFICIAL_AGGREGATE</t>
        </is>
      </c>
      <c r="P1157" s="8" t="n">
        <v>1</v>
      </c>
      <c r="Q1157" s="8" t="n">
        <v>95</v>
      </c>
      <c r="R1157" s="7" t="inlineStr">
        <is>
          <t>https://www.ande.gov.py/finanzas/2.%20COMPILACION%20ESTADISTICA%202003-2023/ANDE%20-%20Compilacion%20Estadistica%202003-2023.pdf</t>
        </is>
      </c>
      <c r="S1157" s="6" t="inlineStr">
        <is>
          <t>ANDE-03-23</t>
        </is>
      </c>
      <c r="T1157" s="6" t="inlineStr"/>
      <c r="U1157" s="4" t="inlineStr">
        <is>
          <t>2026-09-11 00:05:00</t>
        </is>
      </c>
      <c r="V1157" s="4" t="inlineStr">
        <is>
          <t>Compilacion 2003-2023; prioridad canonica. Rupturas metodologicas de categorias en 2016/2017 documentadas por ANDE.</t>
        </is>
      </c>
    </row>
    <row r="1158">
      <c r="A1158" s="6" t="inlineStr">
        <is>
          <t>R0001157</t>
        </is>
      </c>
      <c r="B1158" s="6" t="inlineStr">
        <is>
          <t>2017-01-01</t>
        </is>
      </c>
      <c r="C1158" s="6" t="inlineStr">
        <is>
          <t>2017-12-31</t>
        </is>
      </c>
      <c r="D1158" s="6" t="inlineStr">
        <is>
          <t>year</t>
        </is>
      </c>
      <c r="E1158" s="6" t="inlineStr">
        <is>
          <t>ANDE_BILLED_OTHER_ENERGY</t>
        </is>
      </c>
      <c r="F1158" s="6" t="inlineStr">
        <is>
          <t>PY_SIN</t>
        </is>
      </c>
      <c r="G1158" s="6" t="inlineStr">
        <is>
          <t>PY</t>
        </is>
      </c>
      <c r="H1158" s="6" t="inlineStr">
        <is>
          <t>PY</t>
        </is>
      </c>
      <c r="I1158" s="8" t="n">
        <v>3937962</v>
      </c>
      <c r="J1158" s="6" t="inlineStr">
        <is>
          <t>MWh</t>
        </is>
      </c>
      <c r="K1158" s="8" t="n">
        <v>3937962</v>
      </c>
      <c r="L1158" s="6" t="inlineStr">
        <is>
          <t>MWh</t>
        </is>
      </c>
      <c r="M1158" s="6" t="inlineStr">
        <is>
          <t>ANDE</t>
        </is>
      </c>
      <c r="N1158" s="6" t="inlineStr">
        <is>
          <t>OFFICIAL_PRIMARY</t>
        </is>
      </c>
      <c r="O1158" s="9" t="inlineStr">
        <is>
          <t>OFFICIAL_AGGREGATE</t>
        </is>
      </c>
      <c r="P1158" s="8" t="n">
        <v>1</v>
      </c>
      <c r="Q1158" s="8" t="n">
        <v>95</v>
      </c>
      <c r="R1158" s="7" t="inlineStr">
        <is>
          <t>https://www.ande.gov.py/finanzas/2.%20COMPILACION%20ESTADISTICA%202003-2023/ANDE%20-%20Compilacion%20Estadistica%202003-2023.pdf</t>
        </is>
      </c>
      <c r="S1158" s="6" t="inlineStr">
        <is>
          <t>ANDE-03-23</t>
        </is>
      </c>
      <c r="T1158" s="6" t="inlineStr"/>
      <c r="U1158" s="4" t="inlineStr">
        <is>
          <t>2026-09-11 00:05:00</t>
        </is>
      </c>
      <c r="V1158" s="4" t="inlineStr">
        <is>
          <t>Compilacion 2003-2023; prioridad canonica. Rupturas metodologicas de categorias en 2016/2017 documentadas por ANDE.</t>
        </is>
      </c>
    </row>
    <row r="1159">
      <c r="A1159" s="6" t="inlineStr">
        <is>
          <t>R0001158</t>
        </is>
      </c>
      <c r="B1159" s="6" t="inlineStr">
        <is>
          <t>2018-01-01</t>
        </is>
      </c>
      <c r="C1159" s="6" t="inlineStr">
        <is>
          <t>2018-12-31</t>
        </is>
      </c>
      <c r="D1159" s="6" t="inlineStr">
        <is>
          <t>year</t>
        </is>
      </c>
      <c r="E1159" s="6" t="inlineStr">
        <is>
          <t>ANDE_BILLED_OTHER_ENERGY</t>
        </is>
      </c>
      <c r="F1159" s="6" t="inlineStr">
        <is>
          <t>PY_SIN</t>
        </is>
      </c>
      <c r="G1159" s="6" t="inlineStr">
        <is>
          <t>PY</t>
        </is>
      </c>
      <c r="H1159" s="6" t="inlineStr">
        <is>
          <t>PY</t>
        </is>
      </c>
      <c r="I1159" s="8" t="n">
        <v>4519966</v>
      </c>
      <c r="J1159" s="6" t="inlineStr">
        <is>
          <t>MWh</t>
        </is>
      </c>
      <c r="K1159" s="8" t="n">
        <v>4519966</v>
      </c>
      <c r="L1159" s="6" t="inlineStr">
        <is>
          <t>MWh</t>
        </is>
      </c>
      <c r="M1159" s="6" t="inlineStr">
        <is>
          <t>ANDE</t>
        </is>
      </c>
      <c r="N1159" s="6" t="inlineStr">
        <is>
          <t>OFFICIAL_PRIMARY</t>
        </is>
      </c>
      <c r="O1159" s="9" t="inlineStr">
        <is>
          <t>OFFICIAL_AGGREGATE</t>
        </is>
      </c>
      <c r="P1159" s="8" t="n">
        <v>1</v>
      </c>
      <c r="Q1159" s="8" t="n">
        <v>95</v>
      </c>
      <c r="R1159" s="7" t="inlineStr">
        <is>
          <t>https://www.ande.gov.py/finanzas/2.%20COMPILACION%20ESTADISTICA%202003-2023/ANDE%20-%20Compilacion%20Estadistica%202003-2023.pdf</t>
        </is>
      </c>
      <c r="S1159" s="6" t="inlineStr">
        <is>
          <t>ANDE-03-23</t>
        </is>
      </c>
      <c r="T1159" s="6" t="inlineStr"/>
      <c r="U1159" s="4" t="inlineStr">
        <is>
          <t>2026-09-11 00:05:00</t>
        </is>
      </c>
      <c r="V1159" s="4" t="inlineStr">
        <is>
          <t>Compilacion 2003-2023; prioridad canonica. Rupturas metodologicas de categorias en 2016/2017 documentadas por ANDE.</t>
        </is>
      </c>
    </row>
    <row r="1160">
      <c r="A1160" s="6" t="inlineStr">
        <is>
          <t>R0001159</t>
        </is>
      </c>
      <c r="B1160" s="6" t="inlineStr">
        <is>
          <t>2019-01-01</t>
        </is>
      </c>
      <c r="C1160" s="6" t="inlineStr">
        <is>
          <t>2019-12-31</t>
        </is>
      </c>
      <c r="D1160" s="6" t="inlineStr">
        <is>
          <t>year</t>
        </is>
      </c>
      <c r="E1160" s="6" t="inlineStr">
        <is>
          <t>ANDE_BILLED_OTHER_ENERGY</t>
        </is>
      </c>
      <c r="F1160" s="6" t="inlineStr">
        <is>
          <t>PY_SIN</t>
        </is>
      </c>
      <c r="G1160" s="6" t="inlineStr">
        <is>
          <t>PY</t>
        </is>
      </c>
      <c r="H1160" s="6" t="inlineStr">
        <is>
          <t>PY</t>
        </is>
      </c>
      <c r="I1160" s="8" t="n">
        <v>5007948</v>
      </c>
      <c r="J1160" s="6" t="inlineStr">
        <is>
          <t>MWh</t>
        </is>
      </c>
      <c r="K1160" s="8" t="n">
        <v>5007948</v>
      </c>
      <c r="L1160" s="6" t="inlineStr">
        <is>
          <t>MWh</t>
        </is>
      </c>
      <c r="M1160" s="6" t="inlineStr">
        <is>
          <t>ANDE</t>
        </is>
      </c>
      <c r="N1160" s="6" t="inlineStr">
        <is>
          <t>OFFICIAL_PRIMARY</t>
        </is>
      </c>
      <c r="O1160" s="9" t="inlineStr">
        <is>
          <t>OFFICIAL_AGGREGATE</t>
        </is>
      </c>
      <c r="P1160" s="8" t="n">
        <v>1</v>
      </c>
      <c r="Q1160" s="8" t="n">
        <v>95</v>
      </c>
      <c r="R1160" s="7" t="inlineStr">
        <is>
          <t>https://www.ande.gov.py/finanzas/2.%20COMPILACION%20ESTADISTICA%202003-2023/ANDE%20-%20Compilacion%20Estadistica%202003-2023.pdf</t>
        </is>
      </c>
      <c r="S1160" s="6" t="inlineStr">
        <is>
          <t>ANDE-03-23</t>
        </is>
      </c>
      <c r="T1160" s="6" t="inlineStr"/>
      <c r="U1160" s="4" t="inlineStr">
        <is>
          <t>2026-09-11 00:05:00</t>
        </is>
      </c>
      <c r="V1160" s="4" t="inlineStr">
        <is>
          <t>Compilacion 2003-2023; prioridad canonica. Rupturas metodologicas de categorias en 2016/2017 documentadas por ANDE.</t>
        </is>
      </c>
    </row>
    <row r="1161">
      <c r="A1161" s="6" t="inlineStr">
        <is>
          <t>R0001160</t>
        </is>
      </c>
      <c r="B1161" s="6" t="inlineStr">
        <is>
          <t>2020-01-01</t>
        </is>
      </c>
      <c r="C1161" s="6" t="inlineStr">
        <is>
          <t>2020-12-31</t>
        </is>
      </c>
      <c r="D1161" s="6" t="inlineStr">
        <is>
          <t>year</t>
        </is>
      </c>
      <c r="E1161" s="6" t="inlineStr">
        <is>
          <t>ANDE_BILLED_OTHER_ENERGY</t>
        </is>
      </c>
      <c r="F1161" s="6" t="inlineStr">
        <is>
          <t>PY_SIN</t>
        </is>
      </c>
      <c r="G1161" s="6" t="inlineStr">
        <is>
          <t>PY</t>
        </is>
      </c>
      <c r="H1161" s="6" t="inlineStr">
        <is>
          <t>PY</t>
        </is>
      </c>
      <c r="I1161" s="8" t="n">
        <v>5033185</v>
      </c>
      <c r="J1161" s="6" t="inlineStr">
        <is>
          <t>MWh</t>
        </is>
      </c>
      <c r="K1161" s="8" t="n">
        <v>5033185</v>
      </c>
      <c r="L1161" s="6" t="inlineStr">
        <is>
          <t>MWh</t>
        </is>
      </c>
      <c r="M1161" s="6" t="inlineStr">
        <is>
          <t>ANDE</t>
        </is>
      </c>
      <c r="N1161" s="6" t="inlineStr">
        <is>
          <t>OFFICIAL_PRIMARY</t>
        </is>
      </c>
      <c r="O1161" s="9" t="inlineStr">
        <is>
          <t>OFFICIAL_AGGREGATE</t>
        </is>
      </c>
      <c r="P1161" s="8" t="n">
        <v>1</v>
      </c>
      <c r="Q1161" s="8" t="n">
        <v>95</v>
      </c>
      <c r="R1161" s="7" t="inlineStr">
        <is>
          <t>https://www.ande.gov.py/finanzas/2.%20COMPILACION%20ESTADISTICA%202003-2023/ANDE%20-%20Compilacion%20Estadistica%202003-2023.pdf</t>
        </is>
      </c>
      <c r="S1161" s="6" t="inlineStr">
        <is>
          <t>ANDE-03-23</t>
        </is>
      </c>
      <c r="T1161" s="6" t="inlineStr"/>
      <c r="U1161" s="4" t="inlineStr">
        <is>
          <t>2026-09-11 00:05:00</t>
        </is>
      </c>
      <c r="V1161" s="4" t="inlineStr">
        <is>
          <t>Compilacion 2003-2023; prioridad canonica. Rupturas metodologicas de categorias en 2016/2017 documentadas por ANDE.</t>
        </is>
      </c>
    </row>
    <row r="1162">
      <c r="A1162" s="6" t="inlineStr">
        <is>
          <t>R0001161</t>
        </is>
      </c>
      <c r="B1162" s="6" t="inlineStr">
        <is>
          <t>2021-01-01</t>
        </is>
      </c>
      <c r="C1162" s="6" t="inlineStr">
        <is>
          <t>2021-12-31</t>
        </is>
      </c>
      <c r="D1162" s="6" t="inlineStr">
        <is>
          <t>year</t>
        </is>
      </c>
      <c r="E1162" s="6" t="inlineStr">
        <is>
          <t>ANDE_BILLED_OTHER_ENERGY</t>
        </is>
      </c>
      <c r="F1162" s="6" t="inlineStr">
        <is>
          <t>PY_SIN</t>
        </is>
      </c>
      <c r="G1162" s="6" t="inlineStr">
        <is>
          <t>PY</t>
        </is>
      </c>
      <c r="H1162" s="6" t="inlineStr">
        <is>
          <t>PY</t>
        </is>
      </c>
      <c r="I1162" s="8" t="n">
        <v>5275987</v>
      </c>
      <c r="J1162" s="6" t="inlineStr">
        <is>
          <t>MWh</t>
        </is>
      </c>
      <c r="K1162" s="8" t="n">
        <v>5275987</v>
      </c>
      <c r="L1162" s="6" t="inlineStr">
        <is>
          <t>MWh</t>
        </is>
      </c>
      <c r="M1162" s="6" t="inlineStr">
        <is>
          <t>ANDE</t>
        </is>
      </c>
      <c r="N1162" s="6" t="inlineStr">
        <is>
          <t>OFFICIAL_PRIMARY</t>
        </is>
      </c>
      <c r="O1162" s="9" t="inlineStr">
        <is>
          <t>OFFICIAL_AGGREGATE</t>
        </is>
      </c>
      <c r="P1162" s="8" t="n">
        <v>1</v>
      </c>
      <c r="Q1162" s="8" t="n">
        <v>95</v>
      </c>
      <c r="R1162" s="7" t="inlineStr">
        <is>
          <t>https://www.ande.gov.py/finanzas/2.%20COMPILACION%20ESTADISTICA%202003-2023/ANDE%20-%20Compilacion%20Estadistica%202003-2023.pdf</t>
        </is>
      </c>
      <c r="S1162" s="6" t="inlineStr">
        <is>
          <t>ANDE-03-23</t>
        </is>
      </c>
      <c r="T1162" s="6" t="inlineStr"/>
      <c r="U1162" s="4" t="inlineStr">
        <is>
          <t>2026-09-11 00:05:00</t>
        </is>
      </c>
      <c r="V1162" s="4" t="inlineStr">
        <is>
          <t>Compilacion 2003-2023; prioridad canonica. Rupturas metodologicas de categorias en 2016/2017 documentadas por ANDE.</t>
        </is>
      </c>
    </row>
    <row r="1163">
      <c r="A1163" s="6" t="inlineStr">
        <is>
          <t>R0001162</t>
        </is>
      </c>
      <c r="B1163" s="6" t="inlineStr">
        <is>
          <t>2022-01-01</t>
        </is>
      </c>
      <c r="C1163" s="6" t="inlineStr">
        <is>
          <t>2022-12-31</t>
        </is>
      </c>
      <c r="D1163" s="6" t="inlineStr">
        <is>
          <t>year</t>
        </is>
      </c>
      <c r="E1163" s="6" t="inlineStr">
        <is>
          <t>ANDE_BILLED_OTHER_ENERGY</t>
        </is>
      </c>
      <c r="F1163" s="6" t="inlineStr">
        <is>
          <t>PY_SIN</t>
        </is>
      </c>
      <c r="G1163" s="6" t="inlineStr">
        <is>
          <t>PY</t>
        </is>
      </c>
      <c r="H1163" s="6" t="inlineStr">
        <is>
          <t>PY</t>
        </is>
      </c>
      <c r="I1163" s="8" t="n">
        <v>5732071</v>
      </c>
      <c r="J1163" s="6" t="inlineStr">
        <is>
          <t>MWh</t>
        </is>
      </c>
      <c r="K1163" s="8" t="n">
        <v>5732071</v>
      </c>
      <c r="L1163" s="6" t="inlineStr">
        <is>
          <t>MWh</t>
        </is>
      </c>
      <c r="M1163" s="6" t="inlineStr">
        <is>
          <t>ANDE</t>
        </is>
      </c>
      <c r="N1163" s="6" t="inlineStr">
        <is>
          <t>OFFICIAL_PRIMARY</t>
        </is>
      </c>
      <c r="O1163" s="9" t="inlineStr">
        <is>
          <t>OFFICIAL_AGGREGATE</t>
        </is>
      </c>
      <c r="P1163" s="8" t="n">
        <v>1</v>
      </c>
      <c r="Q1163" s="8" t="n">
        <v>95</v>
      </c>
      <c r="R1163" s="7" t="inlineStr">
        <is>
          <t>https://www.ande.gov.py/finanzas/2.%20COMPILACION%20ESTADISTICA%202003-2023/ANDE%20-%20Compilacion%20Estadistica%202003-2023.pdf</t>
        </is>
      </c>
      <c r="S1163" s="6" t="inlineStr">
        <is>
          <t>ANDE-03-23</t>
        </is>
      </c>
      <c r="T1163" s="6" t="inlineStr"/>
      <c r="U1163" s="4" t="inlineStr">
        <is>
          <t>2026-09-11 00:05:00</t>
        </is>
      </c>
      <c r="V1163" s="4" t="inlineStr">
        <is>
          <t>Compilacion 2003-2023; prioridad canonica. Rupturas metodologicas de categorias en 2016/2017 documentadas por ANDE.</t>
        </is>
      </c>
    </row>
    <row r="1164">
      <c r="A1164" s="6" t="inlineStr">
        <is>
          <t>R0001163</t>
        </is>
      </c>
      <c r="B1164" s="6" t="inlineStr">
        <is>
          <t>2023-01-01</t>
        </is>
      </c>
      <c r="C1164" s="6" t="inlineStr">
        <is>
          <t>2023-12-31</t>
        </is>
      </c>
      <c r="D1164" s="6" t="inlineStr">
        <is>
          <t>year</t>
        </is>
      </c>
      <c r="E1164" s="6" t="inlineStr">
        <is>
          <t>ANDE_BILLED_OTHER_ENERGY</t>
        </is>
      </c>
      <c r="F1164" s="6" t="inlineStr">
        <is>
          <t>PY_SIN</t>
        </is>
      </c>
      <c r="G1164" s="6" t="inlineStr">
        <is>
          <t>PY</t>
        </is>
      </c>
      <c r="H1164" s="6" t="inlineStr">
        <is>
          <t>PY</t>
        </is>
      </c>
      <c r="I1164" s="8" t="n">
        <v>6140833</v>
      </c>
      <c r="J1164" s="6" t="inlineStr">
        <is>
          <t>MWh</t>
        </is>
      </c>
      <c r="K1164" s="8" t="n">
        <v>6140833</v>
      </c>
      <c r="L1164" s="6" t="inlineStr">
        <is>
          <t>MWh</t>
        </is>
      </c>
      <c r="M1164" s="6" t="inlineStr">
        <is>
          <t>ANDE</t>
        </is>
      </c>
      <c r="N1164" s="6" t="inlineStr">
        <is>
          <t>OFFICIAL_PRIMARY</t>
        </is>
      </c>
      <c r="O1164" s="9" t="inlineStr">
        <is>
          <t>OFFICIAL_AGGREGATE</t>
        </is>
      </c>
      <c r="P1164" s="8" t="n">
        <v>1</v>
      </c>
      <c r="Q1164" s="8" t="n">
        <v>95</v>
      </c>
      <c r="R1164" s="7" t="inlineStr">
        <is>
          <t>https://www.ande.gov.py/finanzas/2.%20COMPILACION%20ESTADISTICA%202003-2023/ANDE%20-%20Compilacion%20Estadistica%202003-2023.pdf</t>
        </is>
      </c>
      <c r="S1164" s="6" t="inlineStr">
        <is>
          <t>ANDE-03-23</t>
        </is>
      </c>
      <c r="T1164" s="6" t="inlineStr"/>
      <c r="U1164" s="4" t="inlineStr">
        <is>
          <t>2026-09-11 00:05:00</t>
        </is>
      </c>
      <c r="V1164" s="4" t="inlineStr">
        <is>
          <t>Compilacion 2003-2023; prioridad canonica. Rupturas metodologicas de categorias en 2016/2017 documentadas por ANDE.</t>
        </is>
      </c>
    </row>
    <row r="1165">
      <c r="A1165" s="6" t="inlineStr">
        <is>
          <t>R0001164</t>
        </is>
      </c>
      <c r="B1165" s="6" t="inlineStr">
        <is>
          <t>2003-01-01</t>
        </is>
      </c>
      <c r="C1165" s="6" t="inlineStr">
        <is>
          <t>2003-12-31</t>
        </is>
      </c>
      <c r="D1165" s="6" t="inlineStr">
        <is>
          <t>year</t>
        </is>
      </c>
      <c r="E1165" s="6" t="inlineStr">
        <is>
          <t>ANDE_BILLED_GOV_ENERGY</t>
        </is>
      </c>
      <c r="F1165" s="6" t="inlineStr">
        <is>
          <t>PY_SIN</t>
        </is>
      </c>
      <c r="G1165" s="6" t="inlineStr">
        <is>
          <t>PY</t>
        </is>
      </c>
      <c r="H1165" s="6" t="inlineStr">
        <is>
          <t>PY</t>
        </is>
      </c>
      <c r="I1165" s="8" t="n">
        <v>148429</v>
      </c>
      <c r="J1165" s="6" t="inlineStr">
        <is>
          <t>MWh</t>
        </is>
      </c>
      <c r="K1165" s="8" t="n">
        <v>148429</v>
      </c>
      <c r="L1165" s="6" t="inlineStr">
        <is>
          <t>MWh</t>
        </is>
      </c>
      <c r="M1165" s="6" t="inlineStr">
        <is>
          <t>ANDE</t>
        </is>
      </c>
      <c r="N1165" s="6" t="inlineStr">
        <is>
          <t>OFFICIAL_PRIMARY</t>
        </is>
      </c>
      <c r="O1165" s="9" t="inlineStr">
        <is>
          <t>OFFICIAL_AGGREGATE</t>
        </is>
      </c>
      <c r="P1165" s="8" t="n">
        <v>1</v>
      </c>
      <c r="Q1165" s="8" t="n">
        <v>95</v>
      </c>
      <c r="R1165" s="7" t="inlineStr">
        <is>
          <t>https://www.ande.gov.py/finanzas/2.%20COMPILACION%20ESTADISTICA%202003-2023/ANDE%20-%20Compilacion%20Estadistica%202003-2023.pdf</t>
        </is>
      </c>
      <c r="S1165" s="6" t="inlineStr">
        <is>
          <t>ANDE-03-23</t>
        </is>
      </c>
      <c r="T1165" s="6" t="inlineStr"/>
      <c r="U1165" s="4" t="inlineStr">
        <is>
          <t>2026-09-11 00:05:00</t>
        </is>
      </c>
      <c r="V1165" s="4" t="inlineStr">
        <is>
          <t>Compilacion 2003-2023; prioridad canonica. Rupturas metodologicas de categorias en 2016/2017 documentadas por ANDE.</t>
        </is>
      </c>
    </row>
    <row r="1166">
      <c r="A1166" s="6" t="inlineStr">
        <is>
          <t>R0001165</t>
        </is>
      </c>
      <c r="B1166" s="6" t="inlineStr">
        <is>
          <t>2004-01-01</t>
        </is>
      </c>
      <c r="C1166" s="6" t="inlineStr">
        <is>
          <t>2004-12-31</t>
        </is>
      </c>
      <c r="D1166" s="6" t="inlineStr">
        <is>
          <t>year</t>
        </is>
      </c>
      <c r="E1166" s="6" t="inlineStr">
        <is>
          <t>ANDE_BILLED_GOV_ENERGY</t>
        </is>
      </c>
      <c r="F1166" s="6" t="inlineStr">
        <is>
          <t>PY_SIN</t>
        </is>
      </c>
      <c r="G1166" s="6" t="inlineStr">
        <is>
          <t>PY</t>
        </is>
      </c>
      <c r="H1166" s="6" t="inlineStr">
        <is>
          <t>PY</t>
        </is>
      </c>
      <c r="I1166" s="8" t="n">
        <v>159552</v>
      </c>
      <c r="J1166" s="6" t="inlineStr">
        <is>
          <t>MWh</t>
        </is>
      </c>
      <c r="K1166" s="8" t="n">
        <v>159552</v>
      </c>
      <c r="L1166" s="6" t="inlineStr">
        <is>
          <t>MWh</t>
        </is>
      </c>
      <c r="M1166" s="6" t="inlineStr">
        <is>
          <t>ANDE</t>
        </is>
      </c>
      <c r="N1166" s="6" t="inlineStr">
        <is>
          <t>OFFICIAL_PRIMARY</t>
        </is>
      </c>
      <c r="O1166" s="9" t="inlineStr">
        <is>
          <t>OFFICIAL_AGGREGATE</t>
        </is>
      </c>
      <c r="P1166" s="8" t="n">
        <v>1</v>
      </c>
      <c r="Q1166" s="8" t="n">
        <v>95</v>
      </c>
      <c r="R1166" s="7" t="inlineStr">
        <is>
          <t>https://www.ande.gov.py/finanzas/2.%20COMPILACION%20ESTADISTICA%202003-2023/ANDE%20-%20Compilacion%20Estadistica%202003-2023.pdf</t>
        </is>
      </c>
      <c r="S1166" s="6" t="inlineStr">
        <is>
          <t>ANDE-03-23</t>
        </is>
      </c>
      <c r="T1166" s="6" t="inlineStr"/>
      <c r="U1166" s="4" t="inlineStr">
        <is>
          <t>2026-09-11 00:05:00</t>
        </is>
      </c>
      <c r="V1166" s="4" t="inlineStr">
        <is>
          <t>Compilacion 2003-2023; prioridad canonica. Rupturas metodologicas de categorias en 2016/2017 documentadas por ANDE.</t>
        </is>
      </c>
    </row>
    <row r="1167">
      <c r="A1167" s="6" t="inlineStr">
        <is>
          <t>R0001166</t>
        </is>
      </c>
      <c r="B1167" s="6" t="inlineStr">
        <is>
          <t>2005-01-01</t>
        </is>
      </c>
      <c r="C1167" s="6" t="inlineStr">
        <is>
          <t>2005-12-31</t>
        </is>
      </c>
      <c r="D1167" s="6" t="inlineStr">
        <is>
          <t>year</t>
        </is>
      </c>
      <c r="E1167" s="6" t="inlineStr">
        <is>
          <t>ANDE_BILLED_GOV_ENERGY</t>
        </is>
      </c>
      <c r="F1167" s="6" t="inlineStr">
        <is>
          <t>PY_SIN</t>
        </is>
      </c>
      <c r="G1167" s="6" t="inlineStr">
        <is>
          <t>PY</t>
        </is>
      </c>
      <c r="H1167" s="6" t="inlineStr">
        <is>
          <t>PY</t>
        </is>
      </c>
      <c r="I1167" s="8" t="n">
        <v>178047</v>
      </c>
      <c r="J1167" s="6" t="inlineStr">
        <is>
          <t>MWh</t>
        </is>
      </c>
      <c r="K1167" s="8" t="n">
        <v>178047</v>
      </c>
      <c r="L1167" s="6" t="inlineStr">
        <is>
          <t>MWh</t>
        </is>
      </c>
      <c r="M1167" s="6" t="inlineStr">
        <is>
          <t>ANDE</t>
        </is>
      </c>
      <c r="N1167" s="6" t="inlineStr">
        <is>
          <t>OFFICIAL_PRIMARY</t>
        </is>
      </c>
      <c r="O1167" s="9" t="inlineStr">
        <is>
          <t>OFFICIAL_AGGREGATE</t>
        </is>
      </c>
      <c r="P1167" s="8" t="n">
        <v>1</v>
      </c>
      <c r="Q1167" s="8" t="n">
        <v>95</v>
      </c>
      <c r="R1167" s="7" t="inlineStr">
        <is>
          <t>https://www.ande.gov.py/finanzas/2.%20COMPILACION%20ESTADISTICA%202003-2023/ANDE%20-%20Compilacion%20Estadistica%202003-2023.pdf</t>
        </is>
      </c>
      <c r="S1167" s="6" t="inlineStr">
        <is>
          <t>ANDE-03-23</t>
        </is>
      </c>
      <c r="T1167" s="6" t="inlineStr"/>
      <c r="U1167" s="4" t="inlineStr">
        <is>
          <t>2026-09-11 00:05:00</t>
        </is>
      </c>
      <c r="V1167" s="4" t="inlineStr">
        <is>
          <t>Compilacion 2003-2023; prioridad canonica. Rupturas metodologicas de categorias en 2016/2017 documentadas por ANDE.</t>
        </is>
      </c>
    </row>
    <row r="1168">
      <c r="A1168" s="6" t="inlineStr">
        <is>
          <t>R0001167</t>
        </is>
      </c>
      <c r="B1168" s="6" t="inlineStr">
        <is>
          <t>2006-01-01</t>
        </is>
      </c>
      <c r="C1168" s="6" t="inlineStr">
        <is>
          <t>2006-12-31</t>
        </is>
      </c>
      <c r="D1168" s="6" t="inlineStr">
        <is>
          <t>year</t>
        </is>
      </c>
      <c r="E1168" s="6" t="inlineStr">
        <is>
          <t>ANDE_BILLED_GOV_ENERGY</t>
        </is>
      </c>
      <c r="F1168" s="6" t="inlineStr">
        <is>
          <t>PY_SIN</t>
        </is>
      </c>
      <c r="G1168" s="6" t="inlineStr">
        <is>
          <t>PY</t>
        </is>
      </c>
      <c r="H1168" s="6" t="inlineStr">
        <is>
          <t>PY</t>
        </is>
      </c>
      <c r="I1168" s="8" t="n">
        <v>186349</v>
      </c>
      <c r="J1168" s="6" t="inlineStr">
        <is>
          <t>MWh</t>
        </is>
      </c>
      <c r="K1168" s="8" t="n">
        <v>186349</v>
      </c>
      <c r="L1168" s="6" t="inlineStr">
        <is>
          <t>MWh</t>
        </is>
      </c>
      <c r="M1168" s="6" t="inlineStr">
        <is>
          <t>ANDE</t>
        </is>
      </c>
      <c r="N1168" s="6" t="inlineStr">
        <is>
          <t>OFFICIAL_PRIMARY</t>
        </is>
      </c>
      <c r="O1168" s="9" t="inlineStr">
        <is>
          <t>OFFICIAL_AGGREGATE</t>
        </is>
      </c>
      <c r="P1168" s="8" t="n">
        <v>1</v>
      </c>
      <c r="Q1168" s="8" t="n">
        <v>95</v>
      </c>
      <c r="R1168" s="7" t="inlineStr">
        <is>
          <t>https://www.ande.gov.py/finanzas/2.%20COMPILACION%20ESTADISTICA%202003-2023/ANDE%20-%20Compilacion%20Estadistica%202003-2023.pdf</t>
        </is>
      </c>
      <c r="S1168" s="6" t="inlineStr">
        <is>
          <t>ANDE-03-23</t>
        </is>
      </c>
      <c r="T1168" s="6" t="inlineStr"/>
      <c r="U1168" s="4" t="inlineStr">
        <is>
          <t>2026-09-11 00:05:00</t>
        </is>
      </c>
      <c r="V1168" s="4" t="inlineStr">
        <is>
          <t>Compilacion 2003-2023; prioridad canonica. Rupturas metodologicas de categorias en 2016/2017 documentadas por ANDE.</t>
        </is>
      </c>
    </row>
    <row r="1169">
      <c r="A1169" s="6" t="inlineStr">
        <is>
          <t>R0001168</t>
        </is>
      </c>
      <c r="B1169" s="6" t="inlineStr">
        <is>
          <t>2007-01-01</t>
        </is>
      </c>
      <c r="C1169" s="6" t="inlineStr">
        <is>
          <t>2007-12-31</t>
        </is>
      </c>
      <c r="D1169" s="6" t="inlineStr">
        <is>
          <t>year</t>
        </is>
      </c>
      <c r="E1169" s="6" t="inlineStr">
        <is>
          <t>ANDE_BILLED_GOV_ENERGY</t>
        </is>
      </c>
      <c r="F1169" s="6" t="inlineStr">
        <is>
          <t>PY_SIN</t>
        </is>
      </c>
      <c r="G1169" s="6" t="inlineStr">
        <is>
          <t>PY</t>
        </is>
      </c>
      <c r="H1169" s="6" t="inlineStr">
        <is>
          <t>PY</t>
        </is>
      </c>
      <c r="I1169" s="8" t="n">
        <v>194247</v>
      </c>
      <c r="J1169" s="6" t="inlineStr">
        <is>
          <t>MWh</t>
        </is>
      </c>
      <c r="K1169" s="8" t="n">
        <v>194247</v>
      </c>
      <c r="L1169" s="6" t="inlineStr">
        <is>
          <t>MWh</t>
        </is>
      </c>
      <c r="M1169" s="6" t="inlineStr">
        <is>
          <t>ANDE</t>
        </is>
      </c>
      <c r="N1169" s="6" t="inlineStr">
        <is>
          <t>OFFICIAL_PRIMARY</t>
        </is>
      </c>
      <c r="O1169" s="9" t="inlineStr">
        <is>
          <t>OFFICIAL_AGGREGATE</t>
        </is>
      </c>
      <c r="P1169" s="8" t="n">
        <v>1</v>
      </c>
      <c r="Q1169" s="8" t="n">
        <v>95</v>
      </c>
      <c r="R1169" s="7" t="inlineStr">
        <is>
          <t>https://www.ande.gov.py/finanzas/2.%20COMPILACION%20ESTADISTICA%202003-2023/ANDE%20-%20Compilacion%20Estadistica%202003-2023.pdf</t>
        </is>
      </c>
      <c r="S1169" s="6" t="inlineStr">
        <is>
          <t>ANDE-03-23</t>
        </is>
      </c>
      <c r="T1169" s="6" t="inlineStr"/>
      <c r="U1169" s="4" t="inlineStr">
        <is>
          <t>2026-09-11 00:05:00</t>
        </is>
      </c>
      <c r="V1169" s="4" t="inlineStr">
        <is>
          <t>Compilacion 2003-2023; prioridad canonica. Rupturas metodologicas de categorias en 2016/2017 documentadas por ANDE.</t>
        </is>
      </c>
    </row>
    <row r="1170">
      <c r="A1170" s="6" t="inlineStr">
        <is>
          <t>R0001169</t>
        </is>
      </c>
      <c r="B1170" s="6" t="inlineStr">
        <is>
          <t>2008-01-01</t>
        </is>
      </c>
      <c r="C1170" s="6" t="inlineStr">
        <is>
          <t>2008-12-31</t>
        </is>
      </c>
      <c r="D1170" s="6" t="inlineStr">
        <is>
          <t>year</t>
        </is>
      </c>
      <c r="E1170" s="6" t="inlineStr">
        <is>
          <t>ANDE_BILLED_GOV_ENERGY</t>
        </is>
      </c>
      <c r="F1170" s="6" t="inlineStr">
        <is>
          <t>PY_SIN</t>
        </is>
      </c>
      <c r="G1170" s="6" t="inlineStr">
        <is>
          <t>PY</t>
        </is>
      </c>
      <c r="H1170" s="6" t="inlineStr">
        <is>
          <t>PY</t>
        </is>
      </c>
      <c r="I1170" s="8" t="n">
        <v>197412</v>
      </c>
      <c r="J1170" s="6" t="inlineStr">
        <is>
          <t>MWh</t>
        </is>
      </c>
      <c r="K1170" s="8" t="n">
        <v>197412</v>
      </c>
      <c r="L1170" s="6" t="inlineStr">
        <is>
          <t>MWh</t>
        </is>
      </c>
      <c r="M1170" s="6" t="inlineStr">
        <is>
          <t>ANDE</t>
        </is>
      </c>
      <c r="N1170" s="6" t="inlineStr">
        <is>
          <t>OFFICIAL_PRIMARY</t>
        </is>
      </c>
      <c r="O1170" s="9" t="inlineStr">
        <is>
          <t>OFFICIAL_AGGREGATE</t>
        </is>
      </c>
      <c r="P1170" s="8" t="n">
        <v>1</v>
      </c>
      <c r="Q1170" s="8" t="n">
        <v>95</v>
      </c>
      <c r="R1170" s="7" t="inlineStr">
        <is>
          <t>https://www.ande.gov.py/finanzas/2.%20COMPILACION%20ESTADISTICA%202003-2023/ANDE%20-%20Compilacion%20Estadistica%202003-2023.pdf</t>
        </is>
      </c>
      <c r="S1170" s="6" t="inlineStr">
        <is>
          <t>ANDE-03-23</t>
        </is>
      </c>
      <c r="T1170" s="6" t="inlineStr"/>
      <c r="U1170" s="4" t="inlineStr">
        <is>
          <t>2026-09-11 00:05:00</t>
        </is>
      </c>
      <c r="V1170" s="4" t="inlineStr">
        <is>
          <t>Compilacion 2003-2023; prioridad canonica. Rupturas metodologicas de categorias en 2016/2017 documentadas por ANDE.</t>
        </is>
      </c>
    </row>
    <row r="1171">
      <c r="A1171" s="6" t="inlineStr">
        <is>
          <t>R0001170</t>
        </is>
      </c>
      <c r="B1171" s="6" t="inlineStr">
        <is>
          <t>2009-01-01</t>
        </is>
      </c>
      <c r="C1171" s="6" t="inlineStr">
        <is>
          <t>2009-12-31</t>
        </is>
      </c>
      <c r="D1171" s="6" t="inlineStr">
        <is>
          <t>year</t>
        </is>
      </c>
      <c r="E1171" s="6" t="inlineStr">
        <is>
          <t>ANDE_BILLED_GOV_ENERGY</t>
        </is>
      </c>
      <c r="F1171" s="6" t="inlineStr">
        <is>
          <t>PY_SIN</t>
        </is>
      </c>
      <c r="G1171" s="6" t="inlineStr">
        <is>
          <t>PY</t>
        </is>
      </c>
      <c r="H1171" s="6" t="inlineStr">
        <is>
          <t>PY</t>
        </is>
      </c>
      <c r="I1171" s="8" t="n">
        <v>369457</v>
      </c>
      <c r="J1171" s="6" t="inlineStr">
        <is>
          <t>MWh</t>
        </is>
      </c>
      <c r="K1171" s="8" t="n">
        <v>369457</v>
      </c>
      <c r="L1171" s="6" t="inlineStr">
        <is>
          <t>MWh</t>
        </is>
      </c>
      <c r="M1171" s="6" t="inlineStr">
        <is>
          <t>ANDE</t>
        </is>
      </c>
      <c r="N1171" s="6" t="inlineStr">
        <is>
          <t>OFFICIAL_PRIMARY</t>
        </is>
      </c>
      <c r="O1171" s="9" t="inlineStr">
        <is>
          <t>OFFICIAL_AGGREGATE</t>
        </is>
      </c>
      <c r="P1171" s="8" t="n">
        <v>1</v>
      </c>
      <c r="Q1171" s="8" t="n">
        <v>95</v>
      </c>
      <c r="R1171" s="7" t="inlineStr">
        <is>
          <t>https://www.ande.gov.py/finanzas/2.%20COMPILACION%20ESTADISTICA%202003-2023/ANDE%20-%20Compilacion%20Estadistica%202003-2023.pdf</t>
        </is>
      </c>
      <c r="S1171" s="6" t="inlineStr">
        <is>
          <t>ANDE-03-23</t>
        </is>
      </c>
      <c r="T1171" s="6" t="inlineStr"/>
      <c r="U1171" s="4" t="inlineStr">
        <is>
          <t>2026-09-11 00:05:00</t>
        </is>
      </c>
      <c r="V1171" s="4" t="inlineStr">
        <is>
          <t>Compilacion 2003-2023; prioridad canonica. Rupturas metodologicas de categorias en 2016/2017 documentadas por ANDE.</t>
        </is>
      </c>
    </row>
    <row r="1172">
      <c r="A1172" s="6" t="inlineStr">
        <is>
          <t>R0001171</t>
        </is>
      </c>
      <c r="B1172" s="6" t="inlineStr">
        <is>
          <t>2010-01-01</t>
        </is>
      </c>
      <c r="C1172" s="6" t="inlineStr">
        <is>
          <t>2010-12-31</t>
        </is>
      </c>
      <c r="D1172" s="6" t="inlineStr">
        <is>
          <t>year</t>
        </is>
      </c>
      <c r="E1172" s="6" t="inlineStr">
        <is>
          <t>ANDE_BILLED_GOV_ENERGY</t>
        </is>
      </c>
      <c r="F1172" s="6" t="inlineStr">
        <is>
          <t>PY_SIN</t>
        </is>
      </c>
      <c r="G1172" s="6" t="inlineStr">
        <is>
          <t>PY</t>
        </is>
      </c>
      <c r="H1172" s="6" t="inlineStr">
        <is>
          <t>PY</t>
        </is>
      </c>
      <c r="I1172" s="8" t="n">
        <v>470323</v>
      </c>
      <c r="J1172" s="6" t="inlineStr">
        <is>
          <t>MWh</t>
        </is>
      </c>
      <c r="K1172" s="8" t="n">
        <v>470323</v>
      </c>
      <c r="L1172" s="6" t="inlineStr">
        <is>
          <t>MWh</t>
        </is>
      </c>
      <c r="M1172" s="6" t="inlineStr">
        <is>
          <t>ANDE</t>
        </is>
      </c>
      <c r="N1172" s="6" t="inlineStr">
        <is>
          <t>OFFICIAL_PRIMARY</t>
        </is>
      </c>
      <c r="O1172" s="9" t="inlineStr">
        <is>
          <t>OFFICIAL_AGGREGATE</t>
        </is>
      </c>
      <c r="P1172" s="8" t="n">
        <v>1</v>
      </c>
      <c r="Q1172" s="8" t="n">
        <v>95</v>
      </c>
      <c r="R1172" s="7" t="inlineStr">
        <is>
          <t>https://www.ande.gov.py/finanzas/2.%20COMPILACION%20ESTADISTICA%202003-2023/ANDE%20-%20Compilacion%20Estadistica%202003-2023.pdf</t>
        </is>
      </c>
      <c r="S1172" s="6" t="inlineStr">
        <is>
          <t>ANDE-03-23</t>
        </is>
      </c>
      <c r="T1172" s="6" t="inlineStr"/>
      <c r="U1172" s="4" t="inlineStr">
        <is>
          <t>2026-09-11 00:05:00</t>
        </is>
      </c>
      <c r="V1172" s="4" t="inlineStr">
        <is>
          <t>Compilacion 2003-2023; prioridad canonica. Rupturas metodologicas de categorias en 2016/2017 documentadas por ANDE.</t>
        </is>
      </c>
    </row>
    <row r="1173">
      <c r="A1173" s="6" t="inlineStr">
        <is>
          <t>R0001172</t>
        </is>
      </c>
      <c r="B1173" s="6" t="inlineStr">
        <is>
          <t>2011-01-01</t>
        </is>
      </c>
      <c r="C1173" s="6" t="inlineStr">
        <is>
          <t>2011-12-31</t>
        </is>
      </c>
      <c r="D1173" s="6" t="inlineStr">
        <is>
          <t>year</t>
        </is>
      </c>
      <c r="E1173" s="6" t="inlineStr">
        <is>
          <t>ANDE_BILLED_GOV_ENERGY</t>
        </is>
      </c>
      <c r="F1173" s="6" t="inlineStr">
        <is>
          <t>PY_SIN</t>
        </is>
      </c>
      <c r="G1173" s="6" t="inlineStr">
        <is>
          <t>PY</t>
        </is>
      </c>
      <c r="H1173" s="6" t="inlineStr">
        <is>
          <t>PY</t>
        </is>
      </c>
      <c r="I1173" s="8" t="n">
        <v>489290</v>
      </c>
      <c r="J1173" s="6" t="inlineStr">
        <is>
          <t>MWh</t>
        </is>
      </c>
      <c r="K1173" s="8" t="n">
        <v>489290</v>
      </c>
      <c r="L1173" s="6" t="inlineStr">
        <is>
          <t>MWh</t>
        </is>
      </c>
      <c r="M1173" s="6" t="inlineStr">
        <is>
          <t>ANDE</t>
        </is>
      </c>
      <c r="N1173" s="6" t="inlineStr">
        <is>
          <t>OFFICIAL_PRIMARY</t>
        </is>
      </c>
      <c r="O1173" s="9" t="inlineStr">
        <is>
          <t>OFFICIAL_AGGREGATE</t>
        </is>
      </c>
      <c r="P1173" s="8" t="n">
        <v>1</v>
      </c>
      <c r="Q1173" s="8" t="n">
        <v>95</v>
      </c>
      <c r="R1173" s="7" t="inlineStr">
        <is>
          <t>https://www.ande.gov.py/finanzas/2.%20COMPILACION%20ESTADISTICA%202003-2023/ANDE%20-%20Compilacion%20Estadistica%202003-2023.pdf</t>
        </is>
      </c>
      <c r="S1173" s="6" t="inlineStr">
        <is>
          <t>ANDE-03-23</t>
        </is>
      </c>
      <c r="T1173" s="6" t="inlineStr"/>
      <c r="U1173" s="4" t="inlineStr">
        <is>
          <t>2026-09-11 00:05:00</t>
        </is>
      </c>
      <c r="V1173" s="4" t="inlineStr">
        <is>
          <t>Compilacion 2003-2023; prioridad canonica. Rupturas metodologicas de categorias en 2016/2017 documentadas por ANDE.</t>
        </is>
      </c>
    </row>
    <row r="1174">
      <c r="A1174" s="6" t="inlineStr">
        <is>
          <t>R0001173</t>
        </is>
      </c>
      <c r="B1174" s="6" t="inlineStr">
        <is>
          <t>2012-01-01</t>
        </is>
      </c>
      <c r="C1174" s="6" t="inlineStr">
        <is>
          <t>2012-12-31</t>
        </is>
      </c>
      <c r="D1174" s="6" t="inlineStr">
        <is>
          <t>year</t>
        </is>
      </c>
      <c r="E1174" s="6" t="inlineStr">
        <is>
          <t>ANDE_BILLED_GOV_ENERGY</t>
        </is>
      </c>
      <c r="F1174" s="6" t="inlineStr">
        <is>
          <t>PY_SIN</t>
        </is>
      </c>
      <c r="G1174" s="6" t="inlineStr">
        <is>
          <t>PY</t>
        </is>
      </c>
      <c r="H1174" s="6" t="inlineStr">
        <is>
          <t>PY</t>
        </is>
      </c>
      <c r="I1174" s="8" t="n">
        <v>532452</v>
      </c>
      <c r="J1174" s="6" t="inlineStr">
        <is>
          <t>MWh</t>
        </is>
      </c>
      <c r="K1174" s="8" t="n">
        <v>532452</v>
      </c>
      <c r="L1174" s="6" t="inlineStr">
        <is>
          <t>MWh</t>
        </is>
      </c>
      <c r="M1174" s="6" t="inlineStr">
        <is>
          <t>ANDE</t>
        </is>
      </c>
      <c r="N1174" s="6" t="inlineStr">
        <is>
          <t>OFFICIAL_PRIMARY</t>
        </is>
      </c>
      <c r="O1174" s="9" t="inlineStr">
        <is>
          <t>OFFICIAL_AGGREGATE</t>
        </is>
      </c>
      <c r="P1174" s="8" t="n">
        <v>1</v>
      </c>
      <c r="Q1174" s="8" t="n">
        <v>95</v>
      </c>
      <c r="R1174" s="7" t="inlineStr">
        <is>
          <t>https://www.ande.gov.py/finanzas/2.%20COMPILACION%20ESTADISTICA%202003-2023/ANDE%20-%20Compilacion%20Estadistica%202003-2023.pdf</t>
        </is>
      </c>
      <c r="S1174" s="6" t="inlineStr">
        <is>
          <t>ANDE-03-23</t>
        </is>
      </c>
      <c r="T1174" s="6" t="inlineStr"/>
      <c r="U1174" s="4" t="inlineStr">
        <is>
          <t>2026-09-11 00:05:00</t>
        </is>
      </c>
      <c r="V1174" s="4" t="inlineStr">
        <is>
          <t>Compilacion 2003-2023; prioridad canonica. Rupturas metodologicas de categorias en 2016/2017 documentadas por ANDE.</t>
        </is>
      </c>
    </row>
    <row r="1175">
      <c r="A1175" s="6" t="inlineStr">
        <is>
          <t>R0001174</t>
        </is>
      </c>
      <c r="B1175" s="6" t="inlineStr">
        <is>
          <t>2013-01-01</t>
        </is>
      </c>
      <c r="C1175" s="6" t="inlineStr">
        <is>
          <t>2013-12-31</t>
        </is>
      </c>
      <c r="D1175" s="6" t="inlineStr">
        <is>
          <t>year</t>
        </is>
      </c>
      <c r="E1175" s="6" t="inlineStr">
        <is>
          <t>ANDE_BILLED_GOV_ENERGY</t>
        </is>
      </c>
      <c r="F1175" s="6" t="inlineStr">
        <is>
          <t>PY_SIN</t>
        </is>
      </c>
      <c r="G1175" s="6" t="inlineStr">
        <is>
          <t>PY</t>
        </is>
      </c>
      <c r="H1175" s="6" t="inlineStr">
        <is>
          <t>PY</t>
        </is>
      </c>
      <c r="I1175" s="8" t="n">
        <v>587940</v>
      </c>
      <c r="J1175" s="6" t="inlineStr">
        <is>
          <t>MWh</t>
        </is>
      </c>
      <c r="K1175" s="8" t="n">
        <v>587940</v>
      </c>
      <c r="L1175" s="6" t="inlineStr">
        <is>
          <t>MWh</t>
        </is>
      </c>
      <c r="M1175" s="6" t="inlineStr">
        <is>
          <t>ANDE</t>
        </is>
      </c>
      <c r="N1175" s="6" t="inlineStr">
        <is>
          <t>OFFICIAL_PRIMARY</t>
        </is>
      </c>
      <c r="O1175" s="9" t="inlineStr">
        <is>
          <t>OFFICIAL_AGGREGATE</t>
        </is>
      </c>
      <c r="P1175" s="8" t="n">
        <v>1</v>
      </c>
      <c r="Q1175" s="8" t="n">
        <v>95</v>
      </c>
      <c r="R1175" s="7" t="inlineStr">
        <is>
          <t>https://www.ande.gov.py/finanzas/2.%20COMPILACION%20ESTADISTICA%202003-2023/ANDE%20-%20Compilacion%20Estadistica%202003-2023.pdf</t>
        </is>
      </c>
      <c r="S1175" s="6" t="inlineStr">
        <is>
          <t>ANDE-03-23</t>
        </is>
      </c>
      <c r="T1175" s="6" t="inlineStr"/>
      <c r="U1175" s="4" t="inlineStr">
        <is>
          <t>2026-09-11 00:05:00</t>
        </is>
      </c>
      <c r="V1175" s="4" t="inlineStr">
        <is>
          <t>Compilacion 2003-2023; prioridad canonica. Rupturas metodologicas de categorias en 2016/2017 documentadas por ANDE.</t>
        </is>
      </c>
    </row>
    <row r="1176">
      <c r="A1176" s="6" t="inlineStr">
        <is>
          <t>R0001175</t>
        </is>
      </c>
      <c r="B1176" s="6" t="inlineStr">
        <is>
          <t>2014-01-01</t>
        </is>
      </c>
      <c r="C1176" s="6" t="inlineStr">
        <is>
          <t>2014-12-31</t>
        </is>
      </c>
      <c r="D1176" s="6" t="inlineStr">
        <is>
          <t>year</t>
        </is>
      </c>
      <c r="E1176" s="6" t="inlineStr">
        <is>
          <t>ANDE_BILLED_GOV_ENERGY</t>
        </is>
      </c>
      <c r="F1176" s="6" t="inlineStr">
        <is>
          <t>PY_SIN</t>
        </is>
      </c>
      <c r="G1176" s="6" t="inlineStr">
        <is>
          <t>PY</t>
        </is>
      </c>
      <c r="H1176" s="6" t="inlineStr">
        <is>
          <t>PY</t>
        </is>
      </c>
      <c r="I1176" s="8" t="n">
        <v>602124</v>
      </c>
      <c r="J1176" s="6" t="inlineStr">
        <is>
          <t>MWh</t>
        </is>
      </c>
      <c r="K1176" s="8" t="n">
        <v>602124</v>
      </c>
      <c r="L1176" s="6" t="inlineStr">
        <is>
          <t>MWh</t>
        </is>
      </c>
      <c r="M1176" s="6" t="inlineStr">
        <is>
          <t>ANDE</t>
        </is>
      </c>
      <c r="N1176" s="6" t="inlineStr">
        <is>
          <t>OFFICIAL_PRIMARY</t>
        </is>
      </c>
      <c r="O1176" s="9" t="inlineStr">
        <is>
          <t>OFFICIAL_AGGREGATE</t>
        </is>
      </c>
      <c r="P1176" s="8" t="n">
        <v>1</v>
      </c>
      <c r="Q1176" s="8" t="n">
        <v>95</v>
      </c>
      <c r="R1176" s="7" t="inlineStr">
        <is>
          <t>https://www.ande.gov.py/finanzas/2.%20COMPILACION%20ESTADISTICA%202003-2023/ANDE%20-%20Compilacion%20Estadistica%202003-2023.pdf</t>
        </is>
      </c>
      <c r="S1176" s="6" t="inlineStr">
        <is>
          <t>ANDE-03-23</t>
        </is>
      </c>
      <c r="T1176" s="6" t="inlineStr"/>
      <c r="U1176" s="4" t="inlineStr">
        <is>
          <t>2026-09-11 00:05:00</t>
        </is>
      </c>
      <c r="V1176" s="4" t="inlineStr">
        <is>
          <t>Compilacion 2003-2023; prioridad canonica. Rupturas metodologicas de categorias en 2016/2017 documentadas por ANDE.</t>
        </is>
      </c>
    </row>
    <row r="1177">
      <c r="A1177" s="6" t="inlineStr">
        <is>
          <t>R0001176</t>
        </is>
      </c>
      <c r="B1177" s="6" t="inlineStr">
        <is>
          <t>2015-01-01</t>
        </is>
      </c>
      <c r="C1177" s="6" t="inlineStr">
        <is>
          <t>2015-12-31</t>
        </is>
      </c>
      <c r="D1177" s="6" t="inlineStr">
        <is>
          <t>year</t>
        </is>
      </c>
      <c r="E1177" s="6" t="inlineStr">
        <is>
          <t>ANDE_BILLED_GOV_ENERGY</t>
        </is>
      </c>
      <c r="F1177" s="6" t="inlineStr">
        <is>
          <t>PY_SIN</t>
        </is>
      </c>
      <c r="G1177" s="6" t="inlineStr">
        <is>
          <t>PY</t>
        </is>
      </c>
      <c r="H1177" s="6" t="inlineStr">
        <is>
          <t>PY</t>
        </is>
      </c>
      <c r="I1177" s="8" t="n">
        <v>632737</v>
      </c>
      <c r="J1177" s="6" t="inlineStr">
        <is>
          <t>MWh</t>
        </is>
      </c>
      <c r="K1177" s="8" t="n">
        <v>632737</v>
      </c>
      <c r="L1177" s="6" t="inlineStr">
        <is>
          <t>MWh</t>
        </is>
      </c>
      <c r="M1177" s="6" t="inlineStr">
        <is>
          <t>ANDE</t>
        </is>
      </c>
      <c r="N1177" s="6" t="inlineStr">
        <is>
          <t>OFFICIAL_PRIMARY</t>
        </is>
      </c>
      <c r="O1177" s="9" t="inlineStr">
        <is>
          <t>OFFICIAL_AGGREGATE</t>
        </is>
      </c>
      <c r="P1177" s="8" t="n">
        <v>1</v>
      </c>
      <c r="Q1177" s="8" t="n">
        <v>95</v>
      </c>
      <c r="R1177" s="7" t="inlineStr">
        <is>
          <t>https://www.ande.gov.py/finanzas/2.%20COMPILACION%20ESTADISTICA%202003-2023/ANDE%20-%20Compilacion%20Estadistica%202003-2023.pdf</t>
        </is>
      </c>
      <c r="S1177" s="6" t="inlineStr">
        <is>
          <t>ANDE-03-23</t>
        </is>
      </c>
      <c r="T1177" s="6" t="inlineStr"/>
      <c r="U1177" s="4" t="inlineStr">
        <is>
          <t>2026-09-11 00:05:00</t>
        </is>
      </c>
      <c r="V1177" s="4" t="inlineStr">
        <is>
          <t>Compilacion 2003-2023; prioridad canonica. Rupturas metodologicas de categorias en 2016/2017 documentadas por ANDE.</t>
        </is>
      </c>
    </row>
    <row r="1178">
      <c r="A1178" s="6" t="inlineStr">
        <is>
          <t>R0001177</t>
        </is>
      </c>
      <c r="B1178" s="6" t="inlineStr">
        <is>
          <t>2016-01-01</t>
        </is>
      </c>
      <c r="C1178" s="6" t="inlineStr">
        <is>
          <t>2016-12-31</t>
        </is>
      </c>
      <c r="D1178" s="6" t="inlineStr">
        <is>
          <t>year</t>
        </is>
      </c>
      <c r="E1178" s="6" t="inlineStr">
        <is>
          <t>ANDE_BILLED_GOV_ENERGY</t>
        </is>
      </c>
      <c r="F1178" s="6" t="inlineStr">
        <is>
          <t>PY_SIN</t>
        </is>
      </c>
      <c r="G1178" s="6" t="inlineStr">
        <is>
          <t>PY</t>
        </is>
      </c>
      <c r="H1178" s="6" t="inlineStr">
        <is>
          <t>PY</t>
        </is>
      </c>
      <c r="I1178" s="8" t="n">
        <v>643475</v>
      </c>
      <c r="J1178" s="6" t="inlineStr">
        <is>
          <t>MWh</t>
        </is>
      </c>
      <c r="K1178" s="8" t="n">
        <v>643475</v>
      </c>
      <c r="L1178" s="6" t="inlineStr">
        <is>
          <t>MWh</t>
        </is>
      </c>
      <c r="M1178" s="6" t="inlineStr">
        <is>
          <t>ANDE</t>
        </is>
      </c>
      <c r="N1178" s="6" t="inlineStr">
        <is>
          <t>OFFICIAL_PRIMARY</t>
        </is>
      </c>
      <c r="O1178" s="9" t="inlineStr">
        <is>
          <t>OFFICIAL_AGGREGATE</t>
        </is>
      </c>
      <c r="P1178" s="8" t="n">
        <v>1</v>
      </c>
      <c r="Q1178" s="8" t="n">
        <v>95</v>
      </c>
      <c r="R1178" s="7" t="inlineStr">
        <is>
          <t>https://www.ande.gov.py/finanzas/2.%20COMPILACION%20ESTADISTICA%202003-2023/ANDE%20-%20Compilacion%20Estadistica%202003-2023.pdf</t>
        </is>
      </c>
      <c r="S1178" s="6" t="inlineStr">
        <is>
          <t>ANDE-03-23</t>
        </is>
      </c>
      <c r="T1178" s="6" t="inlineStr"/>
      <c r="U1178" s="4" t="inlineStr">
        <is>
          <t>2026-09-11 00:05:00</t>
        </is>
      </c>
      <c r="V1178" s="4" t="inlineStr">
        <is>
          <t>Compilacion 2003-2023; prioridad canonica. Rupturas metodologicas de categorias en 2016/2017 documentadas por ANDE.</t>
        </is>
      </c>
    </row>
    <row r="1179">
      <c r="A1179" s="6" t="inlineStr">
        <is>
          <t>R0001178</t>
        </is>
      </c>
      <c r="B1179" s="6" t="inlineStr">
        <is>
          <t>2017-01-01</t>
        </is>
      </c>
      <c r="C1179" s="6" t="inlineStr">
        <is>
          <t>2017-12-31</t>
        </is>
      </c>
      <c r="D1179" s="6" t="inlineStr">
        <is>
          <t>year</t>
        </is>
      </c>
      <c r="E1179" s="6" t="inlineStr">
        <is>
          <t>ANDE_BILLED_GOV_ENERGY</t>
        </is>
      </c>
      <c r="F1179" s="6" t="inlineStr">
        <is>
          <t>PY_SIN</t>
        </is>
      </c>
      <c r="G1179" s="6" t="inlineStr">
        <is>
          <t>PY</t>
        </is>
      </c>
      <c r="H1179" s="6" t="inlineStr">
        <is>
          <t>PY</t>
        </is>
      </c>
      <c r="I1179" s="8" t="n">
        <v>457253</v>
      </c>
      <c r="J1179" s="6" t="inlineStr">
        <is>
          <t>MWh</t>
        </is>
      </c>
      <c r="K1179" s="8" t="n">
        <v>457253</v>
      </c>
      <c r="L1179" s="6" t="inlineStr">
        <is>
          <t>MWh</t>
        </is>
      </c>
      <c r="M1179" s="6" t="inlineStr">
        <is>
          <t>ANDE</t>
        </is>
      </c>
      <c r="N1179" s="6" t="inlineStr">
        <is>
          <t>OFFICIAL_PRIMARY</t>
        </is>
      </c>
      <c r="O1179" s="9" t="inlineStr">
        <is>
          <t>OFFICIAL_AGGREGATE</t>
        </is>
      </c>
      <c r="P1179" s="8" t="n">
        <v>1</v>
      </c>
      <c r="Q1179" s="8" t="n">
        <v>95</v>
      </c>
      <c r="R1179" s="7" t="inlineStr">
        <is>
          <t>https://www.ande.gov.py/finanzas/2.%20COMPILACION%20ESTADISTICA%202003-2023/ANDE%20-%20Compilacion%20Estadistica%202003-2023.pdf</t>
        </is>
      </c>
      <c r="S1179" s="6" t="inlineStr">
        <is>
          <t>ANDE-03-23</t>
        </is>
      </c>
      <c r="T1179" s="6" t="inlineStr"/>
      <c r="U1179" s="4" t="inlineStr">
        <is>
          <t>2026-09-11 00:05:00</t>
        </is>
      </c>
      <c r="V1179" s="4" t="inlineStr">
        <is>
          <t>Compilacion 2003-2023; prioridad canonica. Rupturas metodologicas de categorias en 2016/2017 documentadas por ANDE.</t>
        </is>
      </c>
    </row>
    <row r="1180">
      <c r="A1180" s="6" t="inlineStr">
        <is>
          <t>R0001179</t>
        </is>
      </c>
      <c r="B1180" s="6" t="inlineStr">
        <is>
          <t>2018-01-01</t>
        </is>
      </c>
      <c r="C1180" s="6" t="inlineStr">
        <is>
          <t>2018-12-31</t>
        </is>
      </c>
      <c r="D1180" s="6" t="inlineStr">
        <is>
          <t>year</t>
        </is>
      </c>
      <c r="E1180" s="6" t="inlineStr">
        <is>
          <t>ANDE_BILLED_GOV_ENERGY</t>
        </is>
      </c>
      <c r="F1180" s="6" t="inlineStr">
        <is>
          <t>PY_SIN</t>
        </is>
      </c>
      <c r="G1180" s="6" t="inlineStr">
        <is>
          <t>PY</t>
        </is>
      </c>
      <c r="H1180" s="6" t="inlineStr">
        <is>
          <t>PY</t>
        </is>
      </c>
      <c r="I1180" s="8" t="n">
        <v>401080</v>
      </c>
      <c r="J1180" s="6" t="inlineStr">
        <is>
          <t>MWh</t>
        </is>
      </c>
      <c r="K1180" s="8" t="n">
        <v>401080</v>
      </c>
      <c r="L1180" s="6" t="inlineStr">
        <is>
          <t>MWh</t>
        </is>
      </c>
      <c r="M1180" s="6" t="inlineStr">
        <is>
          <t>ANDE</t>
        </is>
      </c>
      <c r="N1180" s="6" t="inlineStr">
        <is>
          <t>OFFICIAL_PRIMARY</t>
        </is>
      </c>
      <c r="O1180" s="9" t="inlineStr">
        <is>
          <t>OFFICIAL_AGGREGATE</t>
        </is>
      </c>
      <c r="P1180" s="8" t="n">
        <v>1</v>
      </c>
      <c r="Q1180" s="8" t="n">
        <v>95</v>
      </c>
      <c r="R1180" s="7" t="inlineStr">
        <is>
          <t>https://www.ande.gov.py/finanzas/2.%20COMPILACION%20ESTADISTICA%202003-2023/ANDE%20-%20Compilacion%20Estadistica%202003-2023.pdf</t>
        </is>
      </c>
      <c r="S1180" s="6" t="inlineStr">
        <is>
          <t>ANDE-03-23</t>
        </is>
      </c>
      <c r="T1180" s="6" t="inlineStr"/>
      <c r="U1180" s="4" t="inlineStr">
        <is>
          <t>2026-09-11 00:05:00</t>
        </is>
      </c>
      <c r="V1180" s="4" t="inlineStr">
        <is>
          <t>Compilacion 2003-2023; prioridad canonica. Rupturas metodologicas de categorias en 2016/2017 documentadas por ANDE.</t>
        </is>
      </c>
    </row>
    <row r="1181">
      <c r="A1181" s="6" t="inlineStr">
        <is>
          <t>R0001180</t>
        </is>
      </c>
      <c r="B1181" s="6" t="inlineStr">
        <is>
          <t>2019-01-01</t>
        </is>
      </c>
      <c r="C1181" s="6" t="inlineStr">
        <is>
          <t>2019-12-31</t>
        </is>
      </c>
      <c r="D1181" s="6" t="inlineStr">
        <is>
          <t>year</t>
        </is>
      </c>
      <c r="E1181" s="6" t="inlineStr">
        <is>
          <t>ANDE_BILLED_GOV_ENERGY</t>
        </is>
      </c>
      <c r="F1181" s="6" t="inlineStr">
        <is>
          <t>PY_SIN</t>
        </is>
      </c>
      <c r="G1181" s="6" t="inlineStr">
        <is>
          <t>PY</t>
        </is>
      </c>
      <c r="H1181" s="6" t="inlineStr">
        <is>
          <t>PY</t>
        </is>
      </c>
      <c r="I1181" s="8" t="n">
        <v>352048</v>
      </c>
      <c r="J1181" s="6" t="inlineStr">
        <is>
          <t>MWh</t>
        </is>
      </c>
      <c r="K1181" s="8" t="n">
        <v>352048</v>
      </c>
      <c r="L1181" s="6" t="inlineStr">
        <is>
          <t>MWh</t>
        </is>
      </c>
      <c r="M1181" s="6" t="inlineStr">
        <is>
          <t>ANDE</t>
        </is>
      </c>
      <c r="N1181" s="6" t="inlineStr">
        <is>
          <t>OFFICIAL_PRIMARY</t>
        </is>
      </c>
      <c r="O1181" s="9" t="inlineStr">
        <is>
          <t>OFFICIAL_AGGREGATE</t>
        </is>
      </c>
      <c r="P1181" s="8" t="n">
        <v>1</v>
      </c>
      <c r="Q1181" s="8" t="n">
        <v>95</v>
      </c>
      <c r="R1181" s="7" t="inlineStr">
        <is>
          <t>https://www.ande.gov.py/finanzas/2.%20COMPILACION%20ESTADISTICA%202003-2023/ANDE%20-%20Compilacion%20Estadistica%202003-2023.pdf</t>
        </is>
      </c>
      <c r="S1181" s="6" t="inlineStr">
        <is>
          <t>ANDE-03-23</t>
        </is>
      </c>
      <c r="T1181" s="6" t="inlineStr"/>
      <c r="U1181" s="4" t="inlineStr">
        <is>
          <t>2026-09-11 00:05:00</t>
        </is>
      </c>
      <c r="V1181" s="4" t="inlineStr">
        <is>
          <t>Compilacion 2003-2023; prioridad canonica. Rupturas metodologicas de categorias en 2016/2017 documentadas por ANDE.</t>
        </is>
      </c>
    </row>
    <row r="1182">
      <c r="A1182" s="6" t="inlineStr">
        <is>
          <t>R0001181</t>
        </is>
      </c>
      <c r="B1182" s="6" t="inlineStr">
        <is>
          <t>2020-01-01</t>
        </is>
      </c>
      <c r="C1182" s="6" t="inlineStr">
        <is>
          <t>2020-12-31</t>
        </is>
      </c>
      <c r="D1182" s="6" t="inlineStr">
        <is>
          <t>year</t>
        </is>
      </c>
      <c r="E1182" s="6" t="inlineStr">
        <is>
          <t>ANDE_BILLED_GOV_ENERGY</t>
        </is>
      </c>
      <c r="F1182" s="6" t="inlineStr">
        <is>
          <t>PY_SIN</t>
        </is>
      </c>
      <c r="G1182" s="6" t="inlineStr">
        <is>
          <t>PY</t>
        </is>
      </c>
      <c r="H1182" s="6" t="inlineStr">
        <is>
          <t>PY</t>
        </is>
      </c>
      <c r="I1182" s="8" t="n">
        <v>354507</v>
      </c>
      <c r="J1182" s="6" t="inlineStr">
        <is>
          <t>MWh</t>
        </is>
      </c>
      <c r="K1182" s="8" t="n">
        <v>354507</v>
      </c>
      <c r="L1182" s="6" t="inlineStr">
        <is>
          <t>MWh</t>
        </is>
      </c>
      <c r="M1182" s="6" t="inlineStr">
        <is>
          <t>ANDE</t>
        </is>
      </c>
      <c r="N1182" s="6" t="inlineStr">
        <is>
          <t>OFFICIAL_PRIMARY</t>
        </is>
      </c>
      <c r="O1182" s="9" t="inlineStr">
        <is>
          <t>OFFICIAL_AGGREGATE</t>
        </is>
      </c>
      <c r="P1182" s="8" t="n">
        <v>1</v>
      </c>
      <c r="Q1182" s="8" t="n">
        <v>95</v>
      </c>
      <c r="R1182" s="7" t="inlineStr">
        <is>
          <t>https://www.ande.gov.py/finanzas/2.%20COMPILACION%20ESTADISTICA%202003-2023/ANDE%20-%20Compilacion%20Estadistica%202003-2023.pdf</t>
        </is>
      </c>
      <c r="S1182" s="6" t="inlineStr">
        <is>
          <t>ANDE-03-23</t>
        </is>
      </c>
      <c r="T1182" s="6" t="inlineStr"/>
      <c r="U1182" s="4" t="inlineStr">
        <is>
          <t>2026-09-11 00:05:00</t>
        </is>
      </c>
      <c r="V1182" s="4" t="inlineStr">
        <is>
          <t>Compilacion 2003-2023; prioridad canonica. Rupturas metodologicas de categorias en 2016/2017 documentadas por ANDE.</t>
        </is>
      </c>
    </row>
    <row r="1183">
      <c r="A1183" s="6" t="inlineStr">
        <is>
          <t>R0001182</t>
        </is>
      </c>
      <c r="B1183" s="6" t="inlineStr">
        <is>
          <t>2021-01-01</t>
        </is>
      </c>
      <c r="C1183" s="6" t="inlineStr">
        <is>
          <t>2021-12-31</t>
        </is>
      </c>
      <c r="D1183" s="6" t="inlineStr">
        <is>
          <t>year</t>
        </is>
      </c>
      <c r="E1183" s="6" t="inlineStr">
        <is>
          <t>ANDE_BILLED_GOV_ENERGY</t>
        </is>
      </c>
      <c r="F1183" s="6" t="inlineStr">
        <is>
          <t>PY_SIN</t>
        </is>
      </c>
      <c r="G1183" s="6" t="inlineStr">
        <is>
          <t>PY</t>
        </is>
      </c>
      <c r="H1183" s="6" t="inlineStr">
        <is>
          <t>PY</t>
        </is>
      </c>
      <c r="I1183" s="8" t="n">
        <v>356487</v>
      </c>
      <c r="J1183" s="6" t="inlineStr">
        <is>
          <t>MWh</t>
        </is>
      </c>
      <c r="K1183" s="8" t="n">
        <v>356487</v>
      </c>
      <c r="L1183" s="6" t="inlineStr">
        <is>
          <t>MWh</t>
        </is>
      </c>
      <c r="M1183" s="6" t="inlineStr">
        <is>
          <t>ANDE</t>
        </is>
      </c>
      <c r="N1183" s="6" t="inlineStr">
        <is>
          <t>OFFICIAL_PRIMARY</t>
        </is>
      </c>
      <c r="O1183" s="9" t="inlineStr">
        <is>
          <t>OFFICIAL_AGGREGATE</t>
        </is>
      </c>
      <c r="P1183" s="8" t="n">
        <v>1</v>
      </c>
      <c r="Q1183" s="8" t="n">
        <v>95</v>
      </c>
      <c r="R1183" s="7" t="inlineStr">
        <is>
          <t>https://www.ande.gov.py/finanzas/2.%20COMPILACION%20ESTADISTICA%202003-2023/ANDE%20-%20Compilacion%20Estadistica%202003-2023.pdf</t>
        </is>
      </c>
      <c r="S1183" s="6" t="inlineStr">
        <is>
          <t>ANDE-03-23</t>
        </is>
      </c>
      <c r="T1183" s="6" t="inlineStr"/>
      <c r="U1183" s="4" t="inlineStr">
        <is>
          <t>2026-09-11 00:05:00</t>
        </is>
      </c>
      <c r="V1183" s="4" t="inlineStr">
        <is>
          <t>Compilacion 2003-2023; prioridad canonica. Rupturas metodologicas de categorias en 2016/2017 documentadas por ANDE.</t>
        </is>
      </c>
    </row>
    <row r="1184">
      <c r="A1184" s="6" t="inlineStr">
        <is>
          <t>R0001183</t>
        </is>
      </c>
      <c r="B1184" s="6" t="inlineStr">
        <is>
          <t>2022-01-01</t>
        </is>
      </c>
      <c r="C1184" s="6" t="inlineStr">
        <is>
          <t>2022-12-31</t>
        </is>
      </c>
      <c r="D1184" s="6" t="inlineStr">
        <is>
          <t>year</t>
        </is>
      </c>
      <c r="E1184" s="6" t="inlineStr">
        <is>
          <t>ANDE_BILLED_GOV_ENERGY</t>
        </is>
      </c>
      <c r="F1184" s="6" t="inlineStr">
        <is>
          <t>PY_SIN</t>
        </is>
      </c>
      <c r="G1184" s="6" t="inlineStr">
        <is>
          <t>PY</t>
        </is>
      </c>
      <c r="H1184" s="6" t="inlineStr">
        <is>
          <t>PY</t>
        </is>
      </c>
      <c r="I1184" s="8" t="n">
        <v>378323</v>
      </c>
      <c r="J1184" s="6" t="inlineStr">
        <is>
          <t>MWh</t>
        </is>
      </c>
      <c r="K1184" s="8" t="n">
        <v>378323</v>
      </c>
      <c r="L1184" s="6" t="inlineStr">
        <is>
          <t>MWh</t>
        </is>
      </c>
      <c r="M1184" s="6" t="inlineStr">
        <is>
          <t>ANDE</t>
        </is>
      </c>
      <c r="N1184" s="6" t="inlineStr">
        <is>
          <t>OFFICIAL_PRIMARY</t>
        </is>
      </c>
      <c r="O1184" s="9" t="inlineStr">
        <is>
          <t>OFFICIAL_AGGREGATE</t>
        </is>
      </c>
      <c r="P1184" s="8" t="n">
        <v>1</v>
      </c>
      <c r="Q1184" s="8" t="n">
        <v>95</v>
      </c>
      <c r="R1184" s="7" t="inlineStr">
        <is>
          <t>https://www.ande.gov.py/finanzas/2.%20COMPILACION%20ESTADISTICA%202003-2023/ANDE%20-%20Compilacion%20Estadistica%202003-2023.pdf</t>
        </is>
      </c>
      <c r="S1184" s="6" t="inlineStr">
        <is>
          <t>ANDE-03-23</t>
        </is>
      </c>
      <c r="T1184" s="6" t="inlineStr"/>
      <c r="U1184" s="4" t="inlineStr">
        <is>
          <t>2026-09-11 00:05:00</t>
        </is>
      </c>
      <c r="V1184" s="4" t="inlineStr">
        <is>
          <t>Compilacion 2003-2023; prioridad canonica. Rupturas metodologicas de categorias en 2016/2017 documentadas por ANDE.</t>
        </is>
      </c>
    </row>
    <row r="1185">
      <c r="A1185" s="6" t="inlineStr">
        <is>
          <t>R0001184</t>
        </is>
      </c>
      <c r="B1185" s="6" t="inlineStr">
        <is>
          <t>2023-01-01</t>
        </is>
      </c>
      <c r="C1185" s="6" t="inlineStr">
        <is>
          <t>2023-12-31</t>
        </is>
      </c>
      <c r="D1185" s="6" t="inlineStr">
        <is>
          <t>year</t>
        </is>
      </c>
      <c r="E1185" s="6" t="inlineStr">
        <is>
          <t>ANDE_BILLED_GOV_ENERGY</t>
        </is>
      </c>
      <c r="F1185" s="6" t="inlineStr">
        <is>
          <t>PY_SIN</t>
        </is>
      </c>
      <c r="G1185" s="6" t="inlineStr">
        <is>
          <t>PY</t>
        </is>
      </c>
      <c r="H1185" s="6" t="inlineStr">
        <is>
          <t>PY</t>
        </is>
      </c>
      <c r="I1185" s="8" t="n">
        <v>423405</v>
      </c>
      <c r="J1185" s="6" t="inlineStr">
        <is>
          <t>MWh</t>
        </is>
      </c>
      <c r="K1185" s="8" t="n">
        <v>423405</v>
      </c>
      <c r="L1185" s="6" t="inlineStr">
        <is>
          <t>MWh</t>
        </is>
      </c>
      <c r="M1185" s="6" t="inlineStr">
        <is>
          <t>ANDE</t>
        </is>
      </c>
      <c r="N1185" s="6" t="inlineStr">
        <is>
          <t>OFFICIAL_PRIMARY</t>
        </is>
      </c>
      <c r="O1185" s="9" t="inlineStr">
        <is>
          <t>OFFICIAL_AGGREGATE</t>
        </is>
      </c>
      <c r="P1185" s="8" t="n">
        <v>1</v>
      </c>
      <c r="Q1185" s="8" t="n">
        <v>95</v>
      </c>
      <c r="R1185" s="7" t="inlineStr">
        <is>
          <t>https://www.ande.gov.py/finanzas/2.%20COMPILACION%20ESTADISTICA%202003-2023/ANDE%20-%20Compilacion%20Estadistica%202003-2023.pdf</t>
        </is>
      </c>
      <c r="S1185" s="6" t="inlineStr">
        <is>
          <t>ANDE-03-23</t>
        </is>
      </c>
      <c r="T1185" s="6" t="inlineStr"/>
      <c r="U1185" s="4" t="inlineStr">
        <is>
          <t>2026-09-11 00:05:00</t>
        </is>
      </c>
      <c r="V1185" s="4" t="inlineStr">
        <is>
          <t>Compilacion 2003-2023; prioridad canonica. Rupturas metodologicas de categorias en 2016/2017 documentadas por ANDE.</t>
        </is>
      </c>
    </row>
    <row r="1186">
      <c r="A1186" s="6" t="inlineStr">
        <is>
          <t>R0001185</t>
        </is>
      </c>
      <c r="B1186" s="6" t="inlineStr">
        <is>
          <t>2003-01-01</t>
        </is>
      </c>
      <c r="C1186" s="6" t="inlineStr">
        <is>
          <t>2003-12-31</t>
        </is>
      </c>
      <c r="D1186" s="6" t="inlineStr">
        <is>
          <t>year</t>
        </is>
      </c>
      <c r="E1186" s="6" t="inlineStr">
        <is>
          <t>ANDE_BILLED_PUBLIC_LIGHT_ENERGY</t>
        </is>
      </c>
      <c r="F1186" s="6" t="inlineStr">
        <is>
          <t>PY_SIN</t>
        </is>
      </c>
      <c r="G1186" s="6" t="inlineStr">
        <is>
          <t>PY</t>
        </is>
      </c>
      <c r="H1186" s="6" t="inlineStr">
        <is>
          <t>PY</t>
        </is>
      </c>
      <c r="I1186" s="8" t="n">
        <v>129070</v>
      </c>
      <c r="J1186" s="6" t="inlineStr">
        <is>
          <t>MWh</t>
        </is>
      </c>
      <c r="K1186" s="8" t="n">
        <v>129070</v>
      </c>
      <c r="L1186" s="6" t="inlineStr">
        <is>
          <t>MWh</t>
        </is>
      </c>
      <c r="M1186" s="6" t="inlineStr">
        <is>
          <t>ANDE</t>
        </is>
      </c>
      <c r="N1186" s="6" t="inlineStr">
        <is>
          <t>OFFICIAL_PRIMARY</t>
        </is>
      </c>
      <c r="O1186" s="9" t="inlineStr">
        <is>
          <t>OFFICIAL_AGGREGATE</t>
        </is>
      </c>
      <c r="P1186" s="8" t="n">
        <v>1</v>
      </c>
      <c r="Q1186" s="8" t="n">
        <v>95</v>
      </c>
      <c r="R1186" s="7" t="inlineStr">
        <is>
          <t>https://www.ande.gov.py/finanzas/2.%20COMPILACION%20ESTADISTICA%202003-2023/ANDE%20-%20Compilacion%20Estadistica%202003-2023.pdf</t>
        </is>
      </c>
      <c r="S1186" s="6" t="inlineStr">
        <is>
          <t>ANDE-03-23</t>
        </is>
      </c>
      <c r="T1186" s="6" t="inlineStr"/>
      <c r="U1186" s="4" t="inlineStr">
        <is>
          <t>2026-09-11 00:05:00</t>
        </is>
      </c>
      <c r="V1186" s="4" t="inlineStr">
        <is>
          <t>Compilacion 2003-2023; prioridad canonica. Rupturas metodologicas de categorias en 2016/2017 documentadas por ANDE.</t>
        </is>
      </c>
    </row>
    <row r="1187">
      <c r="A1187" s="6" t="inlineStr">
        <is>
          <t>R0001186</t>
        </is>
      </c>
      <c r="B1187" s="6" t="inlineStr">
        <is>
          <t>2004-01-01</t>
        </is>
      </c>
      <c r="C1187" s="6" t="inlineStr">
        <is>
          <t>2004-12-31</t>
        </is>
      </c>
      <c r="D1187" s="6" t="inlineStr">
        <is>
          <t>year</t>
        </is>
      </c>
      <c r="E1187" s="6" t="inlineStr">
        <is>
          <t>ANDE_BILLED_PUBLIC_LIGHT_ENERGY</t>
        </is>
      </c>
      <c r="F1187" s="6" t="inlineStr">
        <is>
          <t>PY_SIN</t>
        </is>
      </c>
      <c r="G1187" s="6" t="inlineStr">
        <is>
          <t>PY</t>
        </is>
      </c>
      <c r="H1187" s="6" t="inlineStr">
        <is>
          <t>PY</t>
        </is>
      </c>
      <c r="I1187" s="8" t="n">
        <v>131511</v>
      </c>
      <c r="J1187" s="6" t="inlineStr">
        <is>
          <t>MWh</t>
        </is>
      </c>
      <c r="K1187" s="8" t="n">
        <v>131511</v>
      </c>
      <c r="L1187" s="6" t="inlineStr">
        <is>
          <t>MWh</t>
        </is>
      </c>
      <c r="M1187" s="6" t="inlineStr">
        <is>
          <t>ANDE</t>
        </is>
      </c>
      <c r="N1187" s="6" t="inlineStr">
        <is>
          <t>OFFICIAL_PRIMARY</t>
        </is>
      </c>
      <c r="O1187" s="9" t="inlineStr">
        <is>
          <t>OFFICIAL_AGGREGATE</t>
        </is>
      </c>
      <c r="P1187" s="8" t="n">
        <v>1</v>
      </c>
      <c r="Q1187" s="8" t="n">
        <v>95</v>
      </c>
      <c r="R1187" s="7" t="inlineStr">
        <is>
          <t>https://www.ande.gov.py/finanzas/2.%20COMPILACION%20ESTADISTICA%202003-2023/ANDE%20-%20Compilacion%20Estadistica%202003-2023.pdf</t>
        </is>
      </c>
      <c r="S1187" s="6" t="inlineStr">
        <is>
          <t>ANDE-03-23</t>
        </is>
      </c>
      <c r="T1187" s="6" t="inlineStr"/>
      <c r="U1187" s="4" t="inlineStr">
        <is>
          <t>2026-09-11 00:05:00</t>
        </is>
      </c>
      <c r="V1187" s="4" t="inlineStr">
        <is>
          <t>Compilacion 2003-2023; prioridad canonica. Rupturas metodologicas de categorias en 2016/2017 documentadas por ANDE.</t>
        </is>
      </c>
    </row>
    <row r="1188">
      <c r="A1188" s="6" t="inlineStr">
        <is>
          <t>R0001187</t>
        </is>
      </c>
      <c r="B1188" s="6" t="inlineStr">
        <is>
          <t>2005-01-01</t>
        </is>
      </c>
      <c r="C1188" s="6" t="inlineStr">
        <is>
          <t>2005-12-31</t>
        </is>
      </c>
      <c r="D1188" s="6" t="inlineStr">
        <is>
          <t>year</t>
        </is>
      </c>
      <c r="E1188" s="6" t="inlineStr">
        <is>
          <t>ANDE_BILLED_PUBLIC_LIGHT_ENERGY</t>
        </is>
      </c>
      <c r="F1188" s="6" t="inlineStr">
        <is>
          <t>PY_SIN</t>
        </is>
      </c>
      <c r="G1188" s="6" t="inlineStr">
        <is>
          <t>PY</t>
        </is>
      </c>
      <c r="H1188" s="6" t="inlineStr">
        <is>
          <t>PY</t>
        </is>
      </c>
      <c r="I1188" s="8" t="n">
        <v>137299</v>
      </c>
      <c r="J1188" s="6" t="inlineStr">
        <is>
          <t>MWh</t>
        </is>
      </c>
      <c r="K1188" s="8" t="n">
        <v>137299</v>
      </c>
      <c r="L1188" s="6" t="inlineStr">
        <is>
          <t>MWh</t>
        </is>
      </c>
      <c r="M1188" s="6" t="inlineStr">
        <is>
          <t>ANDE</t>
        </is>
      </c>
      <c r="N1188" s="6" t="inlineStr">
        <is>
          <t>OFFICIAL_PRIMARY</t>
        </is>
      </c>
      <c r="O1188" s="9" t="inlineStr">
        <is>
          <t>OFFICIAL_AGGREGATE</t>
        </is>
      </c>
      <c r="P1188" s="8" t="n">
        <v>1</v>
      </c>
      <c r="Q1188" s="8" t="n">
        <v>95</v>
      </c>
      <c r="R1188" s="7" t="inlineStr">
        <is>
          <t>https://www.ande.gov.py/finanzas/2.%20COMPILACION%20ESTADISTICA%202003-2023/ANDE%20-%20Compilacion%20Estadistica%202003-2023.pdf</t>
        </is>
      </c>
      <c r="S1188" s="6" t="inlineStr">
        <is>
          <t>ANDE-03-23</t>
        </is>
      </c>
      <c r="T1188" s="6" t="inlineStr"/>
      <c r="U1188" s="4" t="inlineStr">
        <is>
          <t>2026-09-11 00:05:00</t>
        </is>
      </c>
      <c r="V1188" s="4" t="inlineStr">
        <is>
          <t>Compilacion 2003-2023; prioridad canonica. Rupturas metodologicas de categorias en 2016/2017 documentadas por ANDE.</t>
        </is>
      </c>
    </row>
    <row r="1189">
      <c r="A1189" s="6" t="inlineStr">
        <is>
          <t>R0001188</t>
        </is>
      </c>
      <c r="B1189" s="6" t="inlineStr">
        <is>
          <t>2006-01-01</t>
        </is>
      </c>
      <c r="C1189" s="6" t="inlineStr">
        <is>
          <t>2006-12-31</t>
        </is>
      </c>
      <c r="D1189" s="6" t="inlineStr">
        <is>
          <t>year</t>
        </is>
      </c>
      <c r="E1189" s="6" t="inlineStr">
        <is>
          <t>ANDE_BILLED_PUBLIC_LIGHT_ENERGY</t>
        </is>
      </c>
      <c r="F1189" s="6" t="inlineStr">
        <is>
          <t>PY_SIN</t>
        </is>
      </c>
      <c r="G1189" s="6" t="inlineStr">
        <is>
          <t>PY</t>
        </is>
      </c>
      <c r="H1189" s="6" t="inlineStr">
        <is>
          <t>PY</t>
        </is>
      </c>
      <c r="I1189" s="8" t="n">
        <v>138955</v>
      </c>
      <c r="J1189" s="6" t="inlineStr">
        <is>
          <t>MWh</t>
        </is>
      </c>
      <c r="K1189" s="8" t="n">
        <v>138955</v>
      </c>
      <c r="L1189" s="6" t="inlineStr">
        <is>
          <t>MWh</t>
        </is>
      </c>
      <c r="M1189" s="6" t="inlineStr">
        <is>
          <t>ANDE</t>
        </is>
      </c>
      <c r="N1189" s="6" t="inlineStr">
        <is>
          <t>OFFICIAL_PRIMARY</t>
        </is>
      </c>
      <c r="O1189" s="9" t="inlineStr">
        <is>
          <t>OFFICIAL_AGGREGATE</t>
        </is>
      </c>
      <c r="P1189" s="8" t="n">
        <v>1</v>
      </c>
      <c r="Q1189" s="8" t="n">
        <v>95</v>
      </c>
      <c r="R1189" s="7" t="inlineStr">
        <is>
          <t>https://www.ande.gov.py/finanzas/2.%20COMPILACION%20ESTADISTICA%202003-2023/ANDE%20-%20Compilacion%20Estadistica%202003-2023.pdf</t>
        </is>
      </c>
      <c r="S1189" s="6" t="inlineStr">
        <is>
          <t>ANDE-03-23</t>
        </is>
      </c>
      <c r="T1189" s="6" t="inlineStr"/>
      <c r="U1189" s="4" t="inlineStr">
        <is>
          <t>2026-09-11 00:05:00</t>
        </is>
      </c>
      <c r="V1189" s="4" t="inlineStr">
        <is>
          <t>Compilacion 2003-2023; prioridad canonica. Rupturas metodologicas de categorias en 2016/2017 documentadas por ANDE.</t>
        </is>
      </c>
    </row>
    <row r="1190">
      <c r="A1190" s="6" t="inlineStr">
        <is>
          <t>R0001189</t>
        </is>
      </c>
      <c r="B1190" s="6" t="inlineStr">
        <is>
          <t>2007-01-01</t>
        </is>
      </c>
      <c r="C1190" s="6" t="inlineStr">
        <is>
          <t>2007-12-31</t>
        </is>
      </c>
      <c r="D1190" s="6" t="inlineStr">
        <is>
          <t>year</t>
        </is>
      </c>
      <c r="E1190" s="6" t="inlineStr">
        <is>
          <t>ANDE_BILLED_PUBLIC_LIGHT_ENERGY</t>
        </is>
      </c>
      <c r="F1190" s="6" t="inlineStr">
        <is>
          <t>PY_SIN</t>
        </is>
      </c>
      <c r="G1190" s="6" t="inlineStr">
        <is>
          <t>PY</t>
        </is>
      </c>
      <c r="H1190" s="6" t="inlineStr">
        <is>
          <t>PY</t>
        </is>
      </c>
      <c r="I1190" s="8" t="n">
        <v>141893</v>
      </c>
      <c r="J1190" s="6" t="inlineStr">
        <is>
          <t>MWh</t>
        </is>
      </c>
      <c r="K1190" s="8" t="n">
        <v>141893</v>
      </c>
      <c r="L1190" s="6" t="inlineStr">
        <is>
          <t>MWh</t>
        </is>
      </c>
      <c r="M1190" s="6" t="inlineStr">
        <is>
          <t>ANDE</t>
        </is>
      </c>
      <c r="N1190" s="6" t="inlineStr">
        <is>
          <t>OFFICIAL_PRIMARY</t>
        </is>
      </c>
      <c r="O1190" s="9" t="inlineStr">
        <is>
          <t>OFFICIAL_AGGREGATE</t>
        </is>
      </c>
      <c r="P1190" s="8" t="n">
        <v>1</v>
      </c>
      <c r="Q1190" s="8" t="n">
        <v>95</v>
      </c>
      <c r="R1190" s="7" t="inlineStr">
        <is>
          <t>https://www.ande.gov.py/finanzas/2.%20COMPILACION%20ESTADISTICA%202003-2023/ANDE%20-%20Compilacion%20Estadistica%202003-2023.pdf</t>
        </is>
      </c>
      <c r="S1190" s="6" t="inlineStr">
        <is>
          <t>ANDE-03-23</t>
        </is>
      </c>
      <c r="T1190" s="6" t="inlineStr"/>
      <c r="U1190" s="4" t="inlineStr">
        <is>
          <t>2026-09-11 00:05:00</t>
        </is>
      </c>
      <c r="V1190" s="4" t="inlineStr">
        <is>
          <t>Compilacion 2003-2023; prioridad canonica. Rupturas metodologicas de categorias en 2016/2017 documentadas por ANDE.</t>
        </is>
      </c>
    </row>
    <row r="1191">
      <c r="A1191" s="6" t="inlineStr">
        <is>
          <t>R0001190</t>
        </is>
      </c>
      <c r="B1191" s="6" t="inlineStr">
        <is>
          <t>2008-01-01</t>
        </is>
      </c>
      <c r="C1191" s="6" t="inlineStr">
        <is>
          <t>2008-12-31</t>
        </is>
      </c>
      <c r="D1191" s="6" t="inlineStr">
        <is>
          <t>year</t>
        </is>
      </c>
      <c r="E1191" s="6" t="inlineStr">
        <is>
          <t>ANDE_BILLED_PUBLIC_LIGHT_ENERGY</t>
        </is>
      </c>
      <c r="F1191" s="6" t="inlineStr">
        <is>
          <t>PY_SIN</t>
        </is>
      </c>
      <c r="G1191" s="6" t="inlineStr">
        <is>
          <t>PY</t>
        </is>
      </c>
      <c r="H1191" s="6" t="inlineStr">
        <is>
          <t>PY</t>
        </is>
      </c>
      <c r="I1191" s="8" t="n">
        <v>149672</v>
      </c>
      <c r="J1191" s="6" t="inlineStr">
        <is>
          <t>MWh</t>
        </is>
      </c>
      <c r="K1191" s="8" t="n">
        <v>149672</v>
      </c>
      <c r="L1191" s="6" t="inlineStr">
        <is>
          <t>MWh</t>
        </is>
      </c>
      <c r="M1191" s="6" t="inlineStr">
        <is>
          <t>ANDE</t>
        </is>
      </c>
      <c r="N1191" s="6" t="inlineStr">
        <is>
          <t>OFFICIAL_PRIMARY</t>
        </is>
      </c>
      <c r="O1191" s="9" t="inlineStr">
        <is>
          <t>OFFICIAL_AGGREGATE</t>
        </is>
      </c>
      <c r="P1191" s="8" t="n">
        <v>1</v>
      </c>
      <c r="Q1191" s="8" t="n">
        <v>95</v>
      </c>
      <c r="R1191" s="7" t="inlineStr">
        <is>
          <t>https://www.ande.gov.py/finanzas/2.%20COMPILACION%20ESTADISTICA%202003-2023/ANDE%20-%20Compilacion%20Estadistica%202003-2023.pdf</t>
        </is>
      </c>
      <c r="S1191" s="6" t="inlineStr">
        <is>
          <t>ANDE-03-23</t>
        </is>
      </c>
      <c r="T1191" s="6" t="inlineStr"/>
      <c r="U1191" s="4" t="inlineStr">
        <is>
          <t>2026-09-11 00:05:00</t>
        </is>
      </c>
      <c r="V1191" s="4" t="inlineStr">
        <is>
          <t>Compilacion 2003-2023; prioridad canonica. Rupturas metodologicas de categorias en 2016/2017 documentadas por ANDE.</t>
        </is>
      </c>
    </row>
    <row r="1192">
      <c r="A1192" s="6" t="inlineStr">
        <is>
          <t>R0001191</t>
        </is>
      </c>
      <c r="B1192" s="6" t="inlineStr">
        <is>
          <t>2009-01-01</t>
        </is>
      </c>
      <c r="C1192" s="6" t="inlineStr">
        <is>
          <t>2009-12-31</t>
        </is>
      </c>
      <c r="D1192" s="6" t="inlineStr">
        <is>
          <t>year</t>
        </is>
      </c>
      <c r="E1192" s="6" t="inlineStr">
        <is>
          <t>ANDE_BILLED_PUBLIC_LIGHT_ENERGY</t>
        </is>
      </c>
      <c r="F1192" s="6" t="inlineStr">
        <is>
          <t>PY_SIN</t>
        </is>
      </c>
      <c r="G1192" s="6" t="inlineStr">
        <is>
          <t>PY</t>
        </is>
      </c>
      <c r="H1192" s="6" t="inlineStr">
        <is>
          <t>PY</t>
        </is>
      </c>
      <c r="I1192" s="8" t="n">
        <v>164776</v>
      </c>
      <c r="J1192" s="6" t="inlineStr">
        <is>
          <t>MWh</t>
        </is>
      </c>
      <c r="K1192" s="8" t="n">
        <v>164776</v>
      </c>
      <c r="L1192" s="6" t="inlineStr">
        <is>
          <t>MWh</t>
        </is>
      </c>
      <c r="M1192" s="6" t="inlineStr">
        <is>
          <t>ANDE</t>
        </is>
      </c>
      <c r="N1192" s="6" t="inlineStr">
        <is>
          <t>OFFICIAL_PRIMARY</t>
        </is>
      </c>
      <c r="O1192" s="9" t="inlineStr">
        <is>
          <t>OFFICIAL_AGGREGATE</t>
        </is>
      </c>
      <c r="P1192" s="8" t="n">
        <v>1</v>
      </c>
      <c r="Q1192" s="8" t="n">
        <v>95</v>
      </c>
      <c r="R1192" s="7" t="inlineStr">
        <is>
          <t>https://www.ande.gov.py/finanzas/2.%20COMPILACION%20ESTADISTICA%202003-2023/ANDE%20-%20Compilacion%20Estadistica%202003-2023.pdf</t>
        </is>
      </c>
      <c r="S1192" s="6" t="inlineStr">
        <is>
          <t>ANDE-03-23</t>
        </is>
      </c>
      <c r="T1192" s="6" t="inlineStr"/>
      <c r="U1192" s="4" t="inlineStr">
        <is>
          <t>2026-09-11 00:05:00</t>
        </is>
      </c>
      <c r="V1192" s="4" t="inlineStr">
        <is>
          <t>Compilacion 2003-2023; prioridad canonica. Rupturas metodologicas de categorias en 2016/2017 documentadas por ANDE.</t>
        </is>
      </c>
    </row>
    <row r="1193">
      <c r="A1193" s="6" t="inlineStr">
        <is>
          <t>R0001192</t>
        </is>
      </c>
      <c r="B1193" s="6" t="inlineStr">
        <is>
          <t>2010-01-01</t>
        </is>
      </c>
      <c r="C1193" s="6" t="inlineStr">
        <is>
          <t>2010-12-31</t>
        </is>
      </c>
      <c r="D1193" s="6" t="inlineStr">
        <is>
          <t>year</t>
        </is>
      </c>
      <c r="E1193" s="6" t="inlineStr">
        <is>
          <t>ANDE_BILLED_PUBLIC_LIGHT_ENERGY</t>
        </is>
      </c>
      <c r="F1193" s="6" t="inlineStr">
        <is>
          <t>PY_SIN</t>
        </is>
      </c>
      <c r="G1193" s="6" t="inlineStr">
        <is>
          <t>PY</t>
        </is>
      </c>
      <c r="H1193" s="6" t="inlineStr">
        <is>
          <t>PY</t>
        </is>
      </c>
      <c r="I1193" s="8" t="n">
        <v>159696</v>
      </c>
      <c r="J1193" s="6" t="inlineStr">
        <is>
          <t>MWh</t>
        </is>
      </c>
      <c r="K1193" s="8" t="n">
        <v>159696</v>
      </c>
      <c r="L1193" s="6" t="inlineStr">
        <is>
          <t>MWh</t>
        </is>
      </c>
      <c r="M1193" s="6" t="inlineStr">
        <is>
          <t>ANDE</t>
        </is>
      </c>
      <c r="N1193" s="6" t="inlineStr">
        <is>
          <t>OFFICIAL_PRIMARY</t>
        </is>
      </c>
      <c r="O1193" s="9" t="inlineStr">
        <is>
          <t>OFFICIAL_AGGREGATE</t>
        </is>
      </c>
      <c r="P1193" s="8" t="n">
        <v>1</v>
      </c>
      <c r="Q1193" s="8" t="n">
        <v>95</v>
      </c>
      <c r="R1193" s="7" t="inlineStr">
        <is>
          <t>https://www.ande.gov.py/finanzas/2.%20COMPILACION%20ESTADISTICA%202003-2023/ANDE%20-%20Compilacion%20Estadistica%202003-2023.pdf</t>
        </is>
      </c>
      <c r="S1193" s="6" t="inlineStr">
        <is>
          <t>ANDE-03-23</t>
        </is>
      </c>
      <c r="T1193" s="6" t="inlineStr"/>
      <c r="U1193" s="4" t="inlineStr">
        <is>
          <t>2026-09-11 00:05:00</t>
        </is>
      </c>
      <c r="V1193" s="4" t="inlineStr">
        <is>
          <t>Compilacion 2003-2023; prioridad canonica. Rupturas metodologicas de categorias en 2016/2017 documentadas por ANDE.</t>
        </is>
      </c>
    </row>
    <row r="1194">
      <c r="A1194" s="6" t="inlineStr">
        <is>
          <t>R0001193</t>
        </is>
      </c>
      <c r="B1194" s="6" t="inlineStr">
        <is>
          <t>2011-01-01</t>
        </is>
      </c>
      <c r="C1194" s="6" t="inlineStr">
        <is>
          <t>2011-12-31</t>
        </is>
      </c>
      <c r="D1194" s="6" t="inlineStr">
        <is>
          <t>year</t>
        </is>
      </c>
      <c r="E1194" s="6" t="inlineStr">
        <is>
          <t>ANDE_BILLED_PUBLIC_LIGHT_ENERGY</t>
        </is>
      </c>
      <c r="F1194" s="6" t="inlineStr">
        <is>
          <t>PY_SIN</t>
        </is>
      </c>
      <c r="G1194" s="6" t="inlineStr">
        <is>
          <t>PY</t>
        </is>
      </c>
      <c r="H1194" s="6" t="inlineStr">
        <is>
          <t>PY</t>
        </is>
      </c>
      <c r="I1194" s="8" t="n">
        <v>169722</v>
      </c>
      <c r="J1194" s="6" t="inlineStr">
        <is>
          <t>MWh</t>
        </is>
      </c>
      <c r="K1194" s="8" t="n">
        <v>169722</v>
      </c>
      <c r="L1194" s="6" t="inlineStr">
        <is>
          <t>MWh</t>
        </is>
      </c>
      <c r="M1194" s="6" t="inlineStr">
        <is>
          <t>ANDE</t>
        </is>
      </c>
      <c r="N1194" s="6" t="inlineStr">
        <is>
          <t>OFFICIAL_PRIMARY</t>
        </is>
      </c>
      <c r="O1194" s="9" t="inlineStr">
        <is>
          <t>OFFICIAL_AGGREGATE</t>
        </is>
      </c>
      <c r="P1194" s="8" t="n">
        <v>1</v>
      </c>
      <c r="Q1194" s="8" t="n">
        <v>95</v>
      </c>
      <c r="R1194" s="7" t="inlineStr">
        <is>
          <t>https://www.ande.gov.py/finanzas/2.%20COMPILACION%20ESTADISTICA%202003-2023/ANDE%20-%20Compilacion%20Estadistica%202003-2023.pdf</t>
        </is>
      </c>
      <c r="S1194" s="6" t="inlineStr">
        <is>
          <t>ANDE-03-23</t>
        </is>
      </c>
      <c r="T1194" s="6" t="inlineStr"/>
      <c r="U1194" s="4" t="inlineStr">
        <is>
          <t>2026-09-11 00:05:00</t>
        </is>
      </c>
      <c r="V1194" s="4" t="inlineStr">
        <is>
          <t>Compilacion 2003-2023; prioridad canonica. Rupturas metodologicas de categorias en 2016/2017 documentadas por ANDE.</t>
        </is>
      </c>
    </row>
    <row r="1195">
      <c r="A1195" s="6" t="inlineStr">
        <is>
          <t>R0001194</t>
        </is>
      </c>
      <c r="B1195" s="6" t="inlineStr">
        <is>
          <t>2012-01-01</t>
        </is>
      </c>
      <c r="C1195" s="6" t="inlineStr">
        <is>
          <t>2012-12-31</t>
        </is>
      </c>
      <c r="D1195" s="6" t="inlineStr">
        <is>
          <t>year</t>
        </is>
      </c>
      <c r="E1195" s="6" t="inlineStr">
        <is>
          <t>ANDE_BILLED_PUBLIC_LIGHT_ENERGY</t>
        </is>
      </c>
      <c r="F1195" s="6" t="inlineStr">
        <is>
          <t>PY_SIN</t>
        </is>
      </c>
      <c r="G1195" s="6" t="inlineStr">
        <is>
          <t>PY</t>
        </is>
      </c>
      <c r="H1195" s="6" t="inlineStr">
        <is>
          <t>PY</t>
        </is>
      </c>
      <c r="I1195" s="8" t="n">
        <v>177449</v>
      </c>
      <c r="J1195" s="6" t="inlineStr">
        <is>
          <t>MWh</t>
        </is>
      </c>
      <c r="K1195" s="8" t="n">
        <v>177449</v>
      </c>
      <c r="L1195" s="6" t="inlineStr">
        <is>
          <t>MWh</t>
        </is>
      </c>
      <c r="M1195" s="6" t="inlineStr">
        <is>
          <t>ANDE</t>
        </is>
      </c>
      <c r="N1195" s="6" t="inlineStr">
        <is>
          <t>OFFICIAL_PRIMARY</t>
        </is>
      </c>
      <c r="O1195" s="9" t="inlineStr">
        <is>
          <t>OFFICIAL_AGGREGATE</t>
        </is>
      </c>
      <c r="P1195" s="8" t="n">
        <v>1</v>
      </c>
      <c r="Q1195" s="8" t="n">
        <v>95</v>
      </c>
      <c r="R1195" s="7" t="inlineStr">
        <is>
          <t>https://www.ande.gov.py/finanzas/2.%20COMPILACION%20ESTADISTICA%202003-2023/ANDE%20-%20Compilacion%20Estadistica%202003-2023.pdf</t>
        </is>
      </c>
      <c r="S1195" s="6" t="inlineStr">
        <is>
          <t>ANDE-03-23</t>
        </is>
      </c>
      <c r="T1195" s="6" t="inlineStr"/>
      <c r="U1195" s="4" t="inlineStr">
        <is>
          <t>2026-09-11 00:05:00</t>
        </is>
      </c>
      <c r="V1195" s="4" t="inlineStr">
        <is>
          <t>Compilacion 2003-2023; prioridad canonica. Rupturas metodologicas de categorias en 2016/2017 documentadas por ANDE.</t>
        </is>
      </c>
    </row>
    <row r="1196">
      <c r="A1196" s="6" t="inlineStr">
        <is>
          <t>R0001195</t>
        </is>
      </c>
      <c r="B1196" s="6" t="inlineStr">
        <is>
          <t>2013-01-01</t>
        </is>
      </c>
      <c r="C1196" s="6" t="inlineStr">
        <is>
          <t>2013-12-31</t>
        </is>
      </c>
      <c r="D1196" s="6" t="inlineStr">
        <is>
          <t>year</t>
        </is>
      </c>
      <c r="E1196" s="6" t="inlineStr">
        <is>
          <t>ANDE_BILLED_PUBLIC_LIGHT_ENERGY</t>
        </is>
      </c>
      <c r="F1196" s="6" t="inlineStr">
        <is>
          <t>PY_SIN</t>
        </is>
      </c>
      <c r="G1196" s="6" t="inlineStr">
        <is>
          <t>PY</t>
        </is>
      </c>
      <c r="H1196" s="6" t="inlineStr">
        <is>
          <t>PY</t>
        </is>
      </c>
      <c r="I1196" s="8" t="n">
        <v>204655</v>
      </c>
      <c r="J1196" s="6" t="inlineStr">
        <is>
          <t>MWh</t>
        </is>
      </c>
      <c r="K1196" s="8" t="n">
        <v>204655</v>
      </c>
      <c r="L1196" s="6" t="inlineStr">
        <is>
          <t>MWh</t>
        </is>
      </c>
      <c r="M1196" s="6" t="inlineStr">
        <is>
          <t>ANDE</t>
        </is>
      </c>
      <c r="N1196" s="6" t="inlineStr">
        <is>
          <t>OFFICIAL_PRIMARY</t>
        </is>
      </c>
      <c r="O1196" s="9" t="inlineStr">
        <is>
          <t>OFFICIAL_AGGREGATE</t>
        </is>
      </c>
      <c r="P1196" s="8" t="n">
        <v>1</v>
      </c>
      <c r="Q1196" s="8" t="n">
        <v>95</v>
      </c>
      <c r="R1196" s="7" t="inlineStr">
        <is>
          <t>https://www.ande.gov.py/finanzas/2.%20COMPILACION%20ESTADISTICA%202003-2023/ANDE%20-%20Compilacion%20Estadistica%202003-2023.pdf</t>
        </is>
      </c>
      <c r="S1196" s="6" t="inlineStr">
        <is>
          <t>ANDE-03-23</t>
        </is>
      </c>
      <c r="T1196" s="6" t="inlineStr"/>
      <c r="U1196" s="4" t="inlineStr">
        <is>
          <t>2026-09-11 00:05:00</t>
        </is>
      </c>
      <c r="V1196" s="4" t="inlineStr">
        <is>
          <t>Compilacion 2003-2023; prioridad canonica. Rupturas metodologicas de categorias en 2016/2017 documentadas por ANDE.</t>
        </is>
      </c>
    </row>
    <row r="1197">
      <c r="A1197" s="6" t="inlineStr">
        <is>
          <t>R0001196</t>
        </is>
      </c>
      <c r="B1197" s="6" t="inlineStr">
        <is>
          <t>2014-01-01</t>
        </is>
      </c>
      <c r="C1197" s="6" t="inlineStr">
        <is>
          <t>2014-12-31</t>
        </is>
      </c>
      <c r="D1197" s="6" t="inlineStr">
        <is>
          <t>year</t>
        </is>
      </c>
      <c r="E1197" s="6" t="inlineStr">
        <is>
          <t>ANDE_BILLED_PUBLIC_LIGHT_ENERGY</t>
        </is>
      </c>
      <c r="F1197" s="6" t="inlineStr">
        <is>
          <t>PY_SIN</t>
        </is>
      </c>
      <c r="G1197" s="6" t="inlineStr">
        <is>
          <t>PY</t>
        </is>
      </c>
      <c r="H1197" s="6" t="inlineStr">
        <is>
          <t>PY</t>
        </is>
      </c>
      <c r="I1197" s="8" t="n">
        <v>232063</v>
      </c>
      <c r="J1197" s="6" t="inlineStr">
        <is>
          <t>MWh</t>
        </is>
      </c>
      <c r="K1197" s="8" t="n">
        <v>232063</v>
      </c>
      <c r="L1197" s="6" t="inlineStr">
        <is>
          <t>MWh</t>
        </is>
      </c>
      <c r="M1197" s="6" t="inlineStr">
        <is>
          <t>ANDE</t>
        </is>
      </c>
      <c r="N1197" s="6" t="inlineStr">
        <is>
          <t>OFFICIAL_PRIMARY</t>
        </is>
      </c>
      <c r="O1197" s="9" t="inlineStr">
        <is>
          <t>OFFICIAL_AGGREGATE</t>
        </is>
      </c>
      <c r="P1197" s="8" t="n">
        <v>1</v>
      </c>
      <c r="Q1197" s="8" t="n">
        <v>95</v>
      </c>
      <c r="R1197" s="7" t="inlineStr">
        <is>
          <t>https://www.ande.gov.py/finanzas/2.%20COMPILACION%20ESTADISTICA%202003-2023/ANDE%20-%20Compilacion%20Estadistica%202003-2023.pdf</t>
        </is>
      </c>
      <c r="S1197" s="6" t="inlineStr">
        <is>
          <t>ANDE-03-23</t>
        </is>
      </c>
      <c r="T1197" s="6" t="inlineStr"/>
      <c r="U1197" s="4" t="inlineStr">
        <is>
          <t>2026-09-11 00:05:00</t>
        </is>
      </c>
      <c r="V1197" s="4" t="inlineStr">
        <is>
          <t>Compilacion 2003-2023; prioridad canonica. Rupturas metodologicas de categorias en 2016/2017 documentadas por ANDE.</t>
        </is>
      </c>
    </row>
    <row r="1198">
      <c r="A1198" s="6" t="inlineStr">
        <is>
          <t>R0001197</t>
        </is>
      </c>
      <c r="B1198" s="6" t="inlineStr">
        <is>
          <t>2015-01-01</t>
        </is>
      </c>
      <c r="C1198" s="6" t="inlineStr">
        <is>
          <t>2015-12-31</t>
        </is>
      </c>
      <c r="D1198" s="6" t="inlineStr">
        <is>
          <t>year</t>
        </is>
      </c>
      <c r="E1198" s="6" t="inlineStr">
        <is>
          <t>ANDE_BILLED_PUBLIC_LIGHT_ENERGY</t>
        </is>
      </c>
      <c r="F1198" s="6" t="inlineStr">
        <is>
          <t>PY_SIN</t>
        </is>
      </c>
      <c r="G1198" s="6" t="inlineStr">
        <is>
          <t>PY</t>
        </is>
      </c>
      <c r="H1198" s="6" t="inlineStr">
        <is>
          <t>PY</t>
        </is>
      </c>
      <c r="I1198" s="8" t="n">
        <v>240669</v>
      </c>
      <c r="J1198" s="6" t="inlineStr">
        <is>
          <t>MWh</t>
        </is>
      </c>
      <c r="K1198" s="8" t="n">
        <v>240669</v>
      </c>
      <c r="L1198" s="6" t="inlineStr">
        <is>
          <t>MWh</t>
        </is>
      </c>
      <c r="M1198" s="6" t="inlineStr">
        <is>
          <t>ANDE</t>
        </is>
      </c>
      <c r="N1198" s="6" t="inlineStr">
        <is>
          <t>OFFICIAL_PRIMARY</t>
        </is>
      </c>
      <c r="O1198" s="9" t="inlineStr">
        <is>
          <t>OFFICIAL_AGGREGATE</t>
        </is>
      </c>
      <c r="P1198" s="8" t="n">
        <v>1</v>
      </c>
      <c r="Q1198" s="8" t="n">
        <v>95</v>
      </c>
      <c r="R1198" s="7" t="inlineStr">
        <is>
          <t>https://www.ande.gov.py/finanzas/2.%20COMPILACION%20ESTADISTICA%202003-2023/ANDE%20-%20Compilacion%20Estadistica%202003-2023.pdf</t>
        </is>
      </c>
      <c r="S1198" s="6" t="inlineStr">
        <is>
          <t>ANDE-03-23</t>
        </is>
      </c>
      <c r="T1198" s="6" t="inlineStr"/>
      <c r="U1198" s="4" t="inlineStr">
        <is>
          <t>2026-09-11 00:05:00</t>
        </is>
      </c>
      <c r="V1198" s="4" t="inlineStr">
        <is>
          <t>Compilacion 2003-2023; prioridad canonica. Rupturas metodologicas de categorias en 2016/2017 documentadas por ANDE.</t>
        </is>
      </c>
    </row>
    <row r="1199">
      <c r="A1199" s="6" t="inlineStr">
        <is>
          <t>R0001198</t>
        </is>
      </c>
      <c r="B1199" s="6" t="inlineStr">
        <is>
          <t>2016-01-01</t>
        </is>
      </c>
      <c r="C1199" s="6" t="inlineStr">
        <is>
          <t>2016-12-31</t>
        </is>
      </c>
      <c r="D1199" s="6" t="inlineStr">
        <is>
          <t>year</t>
        </is>
      </c>
      <c r="E1199" s="6" t="inlineStr">
        <is>
          <t>ANDE_BILLED_PUBLIC_LIGHT_ENERGY</t>
        </is>
      </c>
      <c r="F1199" s="6" t="inlineStr">
        <is>
          <t>PY_SIN</t>
        </is>
      </c>
      <c r="G1199" s="6" t="inlineStr">
        <is>
          <t>PY</t>
        </is>
      </c>
      <c r="H1199" s="6" t="inlineStr">
        <is>
          <t>PY</t>
        </is>
      </c>
      <c r="I1199" s="8" t="n">
        <v>245595</v>
      </c>
      <c r="J1199" s="6" t="inlineStr">
        <is>
          <t>MWh</t>
        </is>
      </c>
      <c r="K1199" s="8" t="n">
        <v>245595</v>
      </c>
      <c r="L1199" s="6" t="inlineStr">
        <is>
          <t>MWh</t>
        </is>
      </c>
      <c r="M1199" s="6" t="inlineStr">
        <is>
          <t>ANDE</t>
        </is>
      </c>
      <c r="N1199" s="6" t="inlineStr">
        <is>
          <t>OFFICIAL_PRIMARY</t>
        </is>
      </c>
      <c r="O1199" s="9" t="inlineStr">
        <is>
          <t>OFFICIAL_AGGREGATE</t>
        </is>
      </c>
      <c r="P1199" s="8" t="n">
        <v>1</v>
      </c>
      <c r="Q1199" s="8" t="n">
        <v>95</v>
      </c>
      <c r="R1199" s="7" t="inlineStr">
        <is>
          <t>https://www.ande.gov.py/finanzas/2.%20COMPILACION%20ESTADISTICA%202003-2023/ANDE%20-%20Compilacion%20Estadistica%202003-2023.pdf</t>
        </is>
      </c>
      <c r="S1199" s="6" t="inlineStr">
        <is>
          <t>ANDE-03-23</t>
        </is>
      </c>
      <c r="T1199" s="6" t="inlineStr"/>
      <c r="U1199" s="4" t="inlineStr">
        <is>
          <t>2026-09-11 00:05:00</t>
        </is>
      </c>
      <c r="V1199" s="4" t="inlineStr">
        <is>
          <t>Compilacion 2003-2023; prioridad canonica. Rupturas metodologicas de categorias en 2016/2017 documentadas por ANDE.</t>
        </is>
      </c>
    </row>
    <row r="1200">
      <c r="A1200" s="6" t="inlineStr">
        <is>
          <t>R0001199</t>
        </is>
      </c>
      <c r="B1200" s="6" t="inlineStr">
        <is>
          <t>2017-01-01</t>
        </is>
      </c>
      <c r="C1200" s="6" t="inlineStr">
        <is>
          <t>2017-12-31</t>
        </is>
      </c>
      <c r="D1200" s="6" t="inlineStr">
        <is>
          <t>year</t>
        </is>
      </c>
      <c r="E1200" s="6" t="inlineStr">
        <is>
          <t>ANDE_BILLED_PUBLIC_LIGHT_ENERGY</t>
        </is>
      </c>
      <c r="F1200" s="6" t="inlineStr">
        <is>
          <t>PY_SIN</t>
        </is>
      </c>
      <c r="G1200" s="6" t="inlineStr">
        <is>
          <t>PY</t>
        </is>
      </c>
      <c r="H1200" s="6" t="inlineStr">
        <is>
          <t>PY</t>
        </is>
      </c>
      <c r="I1200" s="8" t="n">
        <v>164004</v>
      </c>
      <c r="J1200" s="6" t="inlineStr">
        <is>
          <t>MWh</t>
        </is>
      </c>
      <c r="K1200" s="8" t="n">
        <v>164004</v>
      </c>
      <c r="L1200" s="6" t="inlineStr">
        <is>
          <t>MWh</t>
        </is>
      </c>
      <c r="M1200" s="6" t="inlineStr">
        <is>
          <t>ANDE</t>
        </is>
      </c>
      <c r="N1200" s="6" t="inlineStr">
        <is>
          <t>OFFICIAL_PRIMARY</t>
        </is>
      </c>
      <c r="O1200" s="9" t="inlineStr">
        <is>
          <t>OFFICIAL_AGGREGATE</t>
        </is>
      </c>
      <c r="P1200" s="8" t="n">
        <v>1</v>
      </c>
      <c r="Q1200" s="8" t="n">
        <v>95</v>
      </c>
      <c r="R1200" s="7" t="inlineStr">
        <is>
          <t>https://www.ande.gov.py/finanzas/2.%20COMPILACION%20ESTADISTICA%202003-2023/ANDE%20-%20Compilacion%20Estadistica%202003-2023.pdf</t>
        </is>
      </c>
      <c r="S1200" s="6" t="inlineStr">
        <is>
          <t>ANDE-03-23</t>
        </is>
      </c>
      <c r="T1200" s="6" t="inlineStr"/>
      <c r="U1200" s="4" t="inlineStr">
        <is>
          <t>2026-09-11 00:05:00</t>
        </is>
      </c>
      <c r="V1200" s="4" t="inlineStr">
        <is>
          <t>Compilacion 2003-2023; prioridad canonica. Rupturas metodologicas de categorias en 2016/2017 documentadas por ANDE.</t>
        </is>
      </c>
    </row>
    <row r="1201">
      <c r="A1201" s="6" t="inlineStr">
        <is>
          <t>R0001200</t>
        </is>
      </c>
      <c r="B1201" s="6" t="inlineStr">
        <is>
          <t>2018-01-01</t>
        </is>
      </c>
      <c r="C1201" s="6" t="inlineStr">
        <is>
          <t>2018-12-31</t>
        </is>
      </c>
      <c r="D1201" s="6" t="inlineStr">
        <is>
          <t>year</t>
        </is>
      </c>
      <c r="E1201" s="6" t="inlineStr">
        <is>
          <t>ANDE_BILLED_PUBLIC_LIGHT_ENERGY</t>
        </is>
      </c>
      <c r="F1201" s="6" t="inlineStr">
        <is>
          <t>PY_SIN</t>
        </is>
      </c>
      <c r="G1201" s="6" t="inlineStr">
        <is>
          <t>PY</t>
        </is>
      </c>
      <c r="H1201" s="6" t="inlineStr">
        <is>
          <t>PY</t>
        </is>
      </c>
      <c r="I1201" s="8" t="n">
        <v>171448</v>
      </c>
      <c r="J1201" s="6" t="inlineStr">
        <is>
          <t>MWh</t>
        </is>
      </c>
      <c r="K1201" s="8" t="n">
        <v>171448</v>
      </c>
      <c r="L1201" s="6" t="inlineStr">
        <is>
          <t>MWh</t>
        </is>
      </c>
      <c r="M1201" s="6" t="inlineStr">
        <is>
          <t>ANDE</t>
        </is>
      </c>
      <c r="N1201" s="6" t="inlineStr">
        <is>
          <t>OFFICIAL_PRIMARY</t>
        </is>
      </c>
      <c r="O1201" s="9" t="inlineStr">
        <is>
          <t>OFFICIAL_AGGREGATE</t>
        </is>
      </c>
      <c r="P1201" s="8" t="n">
        <v>1</v>
      </c>
      <c r="Q1201" s="8" t="n">
        <v>95</v>
      </c>
      <c r="R1201" s="7" t="inlineStr">
        <is>
          <t>https://www.ande.gov.py/finanzas/2.%20COMPILACION%20ESTADISTICA%202003-2023/ANDE%20-%20Compilacion%20Estadistica%202003-2023.pdf</t>
        </is>
      </c>
      <c r="S1201" s="6" t="inlineStr">
        <is>
          <t>ANDE-03-23</t>
        </is>
      </c>
      <c r="T1201" s="6" t="inlineStr"/>
      <c r="U1201" s="4" t="inlineStr">
        <is>
          <t>2026-09-11 00:05:00</t>
        </is>
      </c>
      <c r="V1201" s="4" t="inlineStr">
        <is>
          <t>Compilacion 2003-2023; prioridad canonica. Rupturas metodologicas de categorias en 2016/2017 documentadas por ANDE.</t>
        </is>
      </c>
    </row>
    <row r="1202">
      <c r="A1202" s="6" t="inlineStr">
        <is>
          <t>R0001201</t>
        </is>
      </c>
      <c r="B1202" s="6" t="inlineStr">
        <is>
          <t>2019-01-01</t>
        </is>
      </c>
      <c r="C1202" s="6" t="inlineStr">
        <is>
          <t>2019-12-31</t>
        </is>
      </c>
      <c r="D1202" s="6" t="inlineStr">
        <is>
          <t>year</t>
        </is>
      </c>
      <c r="E1202" s="6" t="inlineStr">
        <is>
          <t>ANDE_BILLED_PUBLIC_LIGHT_ENERGY</t>
        </is>
      </c>
      <c r="F1202" s="6" t="inlineStr">
        <is>
          <t>PY_SIN</t>
        </is>
      </c>
      <c r="G1202" s="6" t="inlineStr">
        <is>
          <t>PY</t>
        </is>
      </c>
      <c r="H1202" s="6" t="inlineStr">
        <is>
          <t>PY</t>
        </is>
      </c>
      <c r="I1202" s="8" t="n">
        <v>187814</v>
      </c>
      <c r="J1202" s="6" t="inlineStr">
        <is>
          <t>MWh</t>
        </is>
      </c>
      <c r="K1202" s="8" t="n">
        <v>187814</v>
      </c>
      <c r="L1202" s="6" t="inlineStr">
        <is>
          <t>MWh</t>
        </is>
      </c>
      <c r="M1202" s="6" t="inlineStr">
        <is>
          <t>ANDE</t>
        </is>
      </c>
      <c r="N1202" s="6" t="inlineStr">
        <is>
          <t>OFFICIAL_PRIMARY</t>
        </is>
      </c>
      <c r="O1202" s="9" t="inlineStr">
        <is>
          <t>OFFICIAL_AGGREGATE</t>
        </is>
      </c>
      <c r="P1202" s="8" t="n">
        <v>1</v>
      </c>
      <c r="Q1202" s="8" t="n">
        <v>95</v>
      </c>
      <c r="R1202" s="7" t="inlineStr">
        <is>
          <t>https://www.ande.gov.py/finanzas/2.%20COMPILACION%20ESTADISTICA%202003-2023/ANDE%20-%20Compilacion%20Estadistica%202003-2023.pdf</t>
        </is>
      </c>
      <c r="S1202" s="6" t="inlineStr">
        <is>
          <t>ANDE-03-23</t>
        </is>
      </c>
      <c r="T1202" s="6" t="inlineStr"/>
      <c r="U1202" s="4" t="inlineStr">
        <is>
          <t>2026-09-11 00:05:00</t>
        </is>
      </c>
      <c r="V1202" s="4" t="inlineStr">
        <is>
          <t>Compilacion 2003-2023; prioridad canonica. Rupturas metodologicas de categorias en 2016/2017 documentadas por ANDE.</t>
        </is>
      </c>
    </row>
    <row r="1203">
      <c r="A1203" s="6" t="inlineStr">
        <is>
          <t>R0001202</t>
        </is>
      </c>
      <c r="B1203" s="6" t="inlineStr">
        <is>
          <t>2020-01-01</t>
        </is>
      </c>
      <c r="C1203" s="6" t="inlineStr">
        <is>
          <t>2020-12-31</t>
        </is>
      </c>
      <c r="D1203" s="6" t="inlineStr">
        <is>
          <t>year</t>
        </is>
      </c>
      <c r="E1203" s="6" t="inlineStr">
        <is>
          <t>ANDE_BILLED_PUBLIC_LIGHT_ENERGY</t>
        </is>
      </c>
      <c r="F1203" s="6" t="inlineStr">
        <is>
          <t>PY_SIN</t>
        </is>
      </c>
      <c r="G1203" s="6" t="inlineStr">
        <is>
          <t>PY</t>
        </is>
      </c>
      <c r="H1203" s="6" t="inlineStr">
        <is>
          <t>PY</t>
        </is>
      </c>
      <c r="I1203" s="8" t="n">
        <v>209077</v>
      </c>
      <c r="J1203" s="6" t="inlineStr">
        <is>
          <t>MWh</t>
        </is>
      </c>
      <c r="K1203" s="8" t="n">
        <v>209077</v>
      </c>
      <c r="L1203" s="6" t="inlineStr">
        <is>
          <t>MWh</t>
        </is>
      </c>
      <c r="M1203" s="6" t="inlineStr">
        <is>
          <t>ANDE</t>
        </is>
      </c>
      <c r="N1203" s="6" t="inlineStr">
        <is>
          <t>OFFICIAL_PRIMARY</t>
        </is>
      </c>
      <c r="O1203" s="9" t="inlineStr">
        <is>
          <t>OFFICIAL_AGGREGATE</t>
        </is>
      </c>
      <c r="P1203" s="8" t="n">
        <v>1</v>
      </c>
      <c r="Q1203" s="8" t="n">
        <v>95</v>
      </c>
      <c r="R1203" s="7" t="inlineStr">
        <is>
          <t>https://www.ande.gov.py/finanzas/2.%20COMPILACION%20ESTADISTICA%202003-2023/ANDE%20-%20Compilacion%20Estadistica%202003-2023.pdf</t>
        </is>
      </c>
      <c r="S1203" s="6" t="inlineStr">
        <is>
          <t>ANDE-03-23</t>
        </is>
      </c>
      <c r="T1203" s="6" t="inlineStr"/>
      <c r="U1203" s="4" t="inlineStr">
        <is>
          <t>2026-09-11 00:05:00</t>
        </is>
      </c>
      <c r="V1203" s="4" t="inlineStr">
        <is>
          <t>Compilacion 2003-2023; prioridad canonica. Rupturas metodologicas de categorias en 2016/2017 documentadas por ANDE.</t>
        </is>
      </c>
    </row>
    <row r="1204">
      <c r="A1204" s="6" t="inlineStr">
        <is>
          <t>R0001203</t>
        </is>
      </c>
      <c r="B1204" s="6" t="inlineStr">
        <is>
          <t>2021-01-01</t>
        </is>
      </c>
      <c r="C1204" s="6" t="inlineStr">
        <is>
          <t>2021-12-31</t>
        </is>
      </c>
      <c r="D1204" s="6" t="inlineStr">
        <is>
          <t>year</t>
        </is>
      </c>
      <c r="E1204" s="6" t="inlineStr">
        <is>
          <t>ANDE_BILLED_PUBLIC_LIGHT_ENERGY</t>
        </is>
      </c>
      <c r="F1204" s="6" t="inlineStr">
        <is>
          <t>PY_SIN</t>
        </is>
      </c>
      <c r="G1204" s="6" t="inlineStr">
        <is>
          <t>PY</t>
        </is>
      </c>
      <c r="H1204" s="6" t="inlineStr">
        <is>
          <t>PY</t>
        </is>
      </c>
      <c r="I1204" s="8" t="n">
        <v>216481</v>
      </c>
      <c r="J1204" s="6" t="inlineStr">
        <is>
          <t>MWh</t>
        </is>
      </c>
      <c r="K1204" s="8" t="n">
        <v>216481</v>
      </c>
      <c r="L1204" s="6" t="inlineStr">
        <is>
          <t>MWh</t>
        </is>
      </c>
      <c r="M1204" s="6" t="inlineStr">
        <is>
          <t>ANDE</t>
        </is>
      </c>
      <c r="N1204" s="6" t="inlineStr">
        <is>
          <t>OFFICIAL_PRIMARY</t>
        </is>
      </c>
      <c r="O1204" s="9" t="inlineStr">
        <is>
          <t>OFFICIAL_AGGREGATE</t>
        </is>
      </c>
      <c r="P1204" s="8" t="n">
        <v>1</v>
      </c>
      <c r="Q1204" s="8" t="n">
        <v>95</v>
      </c>
      <c r="R1204" s="7" t="inlineStr">
        <is>
          <t>https://www.ande.gov.py/finanzas/2.%20COMPILACION%20ESTADISTICA%202003-2023/ANDE%20-%20Compilacion%20Estadistica%202003-2023.pdf</t>
        </is>
      </c>
      <c r="S1204" s="6" t="inlineStr">
        <is>
          <t>ANDE-03-23</t>
        </is>
      </c>
      <c r="T1204" s="6" t="inlineStr"/>
      <c r="U1204" s="4" t="inlineStr">
        <is>
          <t>2026-09-11 00:05:00</t>
        </is>
      </c>
      <c r="V1204" s="4" t="inlineStr">
        <is>
          <t>Compilacion 2003-2023; prioridad canonica. Rupturas metodologicas de categorias en 2016/2017 documentadas por ANDE.</t>
        </is>
      </c>
    </row>
    <row r="1205">
      <c r="A1205" s="6" t="inlineStr">
        <is>
          <t>R0001204</t>
        </is>
      </c>
      <c r="B1205" s="6" t="inlineStr">
        <is>
          <t>2022-01-01</t>
        </is>
      </c>
      <c r="C1205" s="6" t="inlineStr">
        <is>
          <t>2022-12-31</t>
        </is>
      </c>
      <c r="D1205" s="6" t="inlineStr">
        <is>
          <t>year</t>
        </is>
      </c>
      <c r="E1205" s="6" t="inlineStr">
        <is>
          <t>ANDE_BILLED_PUBLIC_LIGHT_ENERGY</t>
        </is>
      </c>
      <c r="F1205" s="6" t="inlineStr">
        <is>
          <t>PY_SIN</t>
        </is>
      </c>
      <c r="G1205" s="6" t="inlineStr">
        <is>
          <t>PY</t>
        </is>
      </c>
      <c r="H1205" s="6" t="inlineStr">
        <is>
          <t>PY</t>
        </is>
      </c>
      <c r="I1205" s="8" t="n">
        <v>227714</v>
      </c>
      <c r="J1205" s="6" t="inlineStr">
        <is>
          <t>MWh</t>
        </is>
      </c>
      <c r="K1205" s="8" t="n">
        <v>227714</v>
      </c>
      <c r="L1205" s="6" t="inlineStr">
        <is>
          <t>MWh</t>
        </is>
      </c>
      <c r="M1205" s="6" t="inlineStr">
        <is>
          <t>ANDE</t>
        </is>
      </c>
      <c r="N1205" s="6" t="inlineStr">
        <is>
          <t>OFFICIAL_PRIMARY</t>
        </is>
      </c>
      <c r="O1205" s="9" t="inlineStr">
        <is>
          <t>OFFICIAL_AGGREGATE</t>
        </is>
      </c>
      <c r="P1205" s="8" t="n">
        <v>1</v>
      </c>
      <c r="Q1205" s="8" t="n">
        <v>95</v>
      </c>
      <c r="R1205" s="7" t="inlineStr">
        <is>
          <t>https://www.ande.gov.py/finanzas/2.%20COMPILACION%20ESTADISTICA%202003-2023/ANDE%20-%20Compilacion%20Estadistica%202003-2023.pdf</t>
        </is>
      </c>
      <c r="S1205" s="6" t="inlineStr">
        <is>
          <t>ANDE-03-23</t>
        </is>
      </c>
      <c r="T1205" s="6" t="inlineStr"/>
      <c r="U1205" s="4" t="inlineStr">
        <is>
          <t>2026-09-11 00:05:00</t>
        </is>
      </c>
      <c r="V1205" s="4" t="inlineStr">
        <is>
          <t>Compilacion 2003-2023; prioridad canonica. Rupturas metodologicas de categorias en 2016/2017 documentadas por ANDE.</t>
        </is>
      </c>
    </row>
    <row r="1206">
      <c r="A1206" s="6" t="inlineStr">
        <is>
          <t>R0001205</t>
        </is>
      </c>
      <c r="B1206" s="6" t="inlineStr">
        <is>
          <t>2023-01-01</t>
        </is>
      </c>
      <c r="C1206" s="6" t="inlineStr">
        <is>
          <t>2023-12-31</t>
        </is>
      </c>
      <c r="D1206" s="6" t="inlineStr">
        <is>
          <t>year</t>
        </is>
      </c>
      <c r="E1206" s="6" t="inlineStr">
        <is>
          <t>ANDE_BILLED_PUBLIC_LIGHT_ENERGY</t>
        </is>
      </c>
      <c r="F1206" s="6" t="inlineStr">
        <is>
          <t>PY_SIN</t>
        </is>
      </c>
      <c r="G1206" s="6" t="inlineStr">
        <is>
          <t>PY</t>
        </is>
      </c>
      <c r="H1206" s="6" t="inlineStr">
        <is>
          <t>PY</t>
        </is>
      </c>
      <c r="I1206" s="8" t="n">
        <v>227764</v>
      </c>
      <c r="J1206" s="6" t="inlineStr">
        <is>
          <t>MWh</t>
        </is>
      </c>
      <c r="K1206" s="8" t="n">
        <v>227764</v>
      </c>
      <c r="L1206" s="6" t="inlineStr">
        <is>
          <t>MWh</t>
        </is>
      </c>
      <c r="M1206" s="6" t="inlineStr">
        <is>
          <t>ANDE</t>
        </is>
      </c>
      <c r="N1206" s="6" t="inlineStr">
        <is>
          <t>OFFICIAL_PRIMARY</t>
        </is>
      </c>
      <c r="O1206" s="9" t="inlineStr">
        <is>
          <t>OFFICIAL_AGGREGATE</t>
        </is>
      </c>
      <c r="P1206" s="8" t="n">
        <v>1</v>
      </c>
      <c r="Q1206" s="8" t="n">
        <v>95</v>
      </c>
      <c r="R1206" s="7" t="inlineStr">
        <is>
          <t>https://www.ande.gov.py/finanzas/2.%20COMPILACION%20ESTADISTICA%202003-2023/ANDE%20-%20Compilacion%20Estadistica%202003-2023.pdf</t>
        </is>
      </c>
      <c r="S1206" s="6" t="inlineStr">
        <is>
          <t>ANDE-03-23</t>
        </is>
      </c>
      <c r="T1206" s="6" t="inlineStr"/>
      <c r="U1206" s="4" t="inlineStr">
        <is>
          <t>2026-09-11 00:05:00</t>
        </is>
      </c>
      <c r="V1206" s="4" t="inlineStr">
        <is>
          <t>Compilacion 2003-2023; prioridad canonica. Rupturas metodologicas de categorias en 2016/2017 documentadas por ANDE.</t>
        </is>
      </c>
    </row>
    <row r="1207">
      <c r="A1207" s="6" t="inlineStr">
        <is>
          <t>R0001206</t>
        </is>
      </c>
      <c r="B1207" s="6" t="inlineStr">
        <is>
          <t>2003-01-01</t>
        </is>
      </c>
      <c r="C1207" s="6" t="inlineStr">
        <is>
          <t>2003-12-31</t>
        </is>
      </c>
      <c r="D1207" s="6" t="inlineStr">
        <is>
          <t>year</t>
        </is>
      </c>
      <c r="E1207" s="6" t="inlineStr">
        <is>
          <t>ANDE_BILLED_NATIONAL_ENERGY</t>
        </is>
      </c>
      <c r="F1207" s="6" t="inlineStr">
        <is>
          <t>PY_SIN</t>
        </is>
      </c>
      <c r="G1207" s="6" t="inlineStr">
        <is>
          <t>PY</t>
        </is>
      </c>
      <c r="H1207" s="6" t="inlineStr">
        <is>
          <t>PY</t>
        </is>
      </c>
      <c r="I1207" s="8" t="n">
        <v>4314678</v>
      </c>
      <c r="J1207" s="6" t="inlineStr">
        <is>
          <t>MWh</t>
        </is>
      </c>
      <c r="K1207" s="8" t="n">
        <v>4314678</v>
      </c>
      <c r="L1207" s="6" t="inlineStr">
        <is>
          <t>MWh</t>
        </is>
      </c>
      <c r="M1207" s="6" t="inlineStr">
        <is>
          <t>ANDE</t>
        </is>
      </c>
      <c r="N1207" s="6" t="inlineStr">
        <is>
          <t>OFFICIAL_PRIMARY</t>
        </is>
      </c>
      <c r="O1207" s="9" t="inlineStr">
        <is>
          <t>OFFICIAL_AGGREGATE</t>
        </is>
      </c>
      <c r="P1207" s="8" t="n">
        <v>1</v>
      </c>
      <c r="Q1207" s="8" t="n">
        <v>95</v>
      </c>
      <c r="R1207" s="7" t="inlineStr">
        <is>
          <t>https://www.ande.gov.py/finanzas/2.%20COMPILACION%20ESTADISTICA%202003-2023/ANDE%20-%20Compilacion%20Estadistica%202003-2023.pdf</t>
        </is>
      </c>
      <c r="S1207" s="6" t="inlineStr">
        <is>
          <t>ANDE-03-23</t>
        </is>
      </c>
      <c r="T1207" s="6" t="inlineStr"/>
      <c r="U1207" s="4" t="inlineStr">
        <is>
          <t>2026-09-11 00:05:00</t>
        </is>
      </c>
      <c r="V1207" s="4" t="inlineStr">
        <is>
          <t>Compilacion 2003-2023; prioridad canonica. Rupturas metodologicas de categorias en 2016/2017 documentadas por ANDE.</t>
        </is>
      </c>
    </row>
    <row r="1208">
      <c r="A1208" s="6" t="inlineStr">
        <is>
          <t>R0001207</t>
        </is>
      </c>
      <c r="B1208" s="6" t="inlineStr">
        <is>
          <t>2004-01-01</t>
        </is>
      </c>
      <c r="C1208" s="6" t="inlineStr">
        <is>
          <t>2004-12-31</t>
        </is>
      </c>
      <c r="D1208" s="6" t="inlineStr">
        <is>
          <t>year</t>
        </is>
      </c>
      <c r="E1208" s="6" t="inlineStr">
        <is>
          <t>ANDE_BILLED_NATIONAL_ENERGY</t>
        </is>
      </c>
      <c r="F1208" s="6" t="inlineStr">
        <is>
          <t>PY_SIN</t>
        </is>
      </c>
      <c r="G1208" s="6" t="inlineStr">
        <is>
          <t>PY</t>
        </is>
      </c>
      <c r="H1208" s="6" t="inlineStr">
        <is>
          <t>PY</t>
        </is>
      </c>
      <c r="I1208" s="8" t="n">
        <v>4434303</v>
      </c>
      <c r="J1208" s="6" t="inlineStr">
        <is>
          <t>MWh</t>
        </is>
      </c>
      <c r="K1208" s="8" t="n">
        <v>4434303</v>
      </c>
      <c r="L1208" s="6" t="inlineStr">
        <is>
          <t>MWh</t>
        </is>
      </c>
      <c r="M1208" s="6" t="inlineStr">
        <is>
          <t>ANDE</t>
        </is>
      </c>
      <c r="N1208" s="6" t="inlineStr">
        <is>
          <t>OFFICIAL_PRIMARY</t>
        </is>
      </c>
      <c r="O1208" s="9" t="inlineStr">
        <is>
          <t>OFFICIAL_AGGREGATE</t>
        </is>
      </c>
      <c r="P1208" s="8" t="n">
        <v>1</v>
      </c>
      <c r="Q1208" s="8" t="n">
        <v>95</v>
      </c>
      <c r="R1208" s="7" t="inlineStr">
        <is>
          <t>https://www.ande.gov.py/finanzas/2.%20COMPILACION%20ESTADISTICA%202003-2023/ANDE%20-%20Compilacion%20Estadistica%202003-2023.pdf</t>
        </is>
      </c>
      <c r="S1208" s="6" t="inlineStr">
        <is>
          <t>ANDE-03-23</t>
        </is>
      </c>
      <c r="T1208" s="6" t="inlineStr"/>
      <c r="U1208" s="4" t="inlineStr">
        <is>
          <t>2026-09-11 00:05:00</t>
        </is>
      </c>
      <c r="V1208" s="4" t="inlineStr">
        <is>
          <t>Compilacion 2003-2023; prioridad canonica. Rupturas metodologicas de categorias en 2016/2017 documentadas por ANDE.</t>
        </is>
      </c>
    </row>
    <row r="1209">
      <c r="A1209" s="6" t="inlineStr">
        <is>
          <t>R0001208</t>
        </is>
      </c>
      <c r="B1209" s="6" t="inlineStr">
        <is>
          <t>2005-01-01</t>
        </is>
      </c>
      <c r="C1209" s="6" t="inlineStr">
        <is>
          <t>2005-12-31</t>
        </is>
      </c>
      <c r="D1209" s="6" t="inlineStr">
        <is>
          <t>year</t>
        </is>
      </c>
      <c r="E1209" s="6" t="inlineStr">
        <is>
          <t>ANDE_BILLED_NATIONAL_ENERGY</t>
        </is>
      </c>
      <c r="F1209" s="6" t="inlineStr">
        <is>
          <t>PY_SIN</t>
        </is>
      </c>
      <c r="G1209" s="6" t="inlineStr">
        <is>
          <t>PY</t>
        </is>
      </c>
      <c r="H1209" s="6" t="inlineStr">
        <is>
          <t>PY</t>
        </is>
      </c>
      <c r="I1209" s="8" t="n">
        <v>4739885</v>
      </c>
      <c r="J1209" s="6" t="inlineStr">
        <is>
          <t>MWh</t>
        </is>
      </c>
      <c r="K1209" s="8" t="n">
        <v>4739885</v>
      </c>
      <c r="L1209" s="6" t="inlineStr">
        <is>
          <t>MWh</t>
        </is>
      </c>
      <c r="M1209" s="6" t="inlineStr">
        <is>
          <t>ANDE</t>
        </is>
      </c>
      <c r="N1209" s="6" t="inlineStr">
        <is>
          <t>OFFICIAL_PRIMARY</t>
        </is>
      </c>
      <c r="O1209" s="9" t="inlineStr">
        <is>
          <t>OFFICIAL_AGGREGATE</t>
        </is>
      </c>
      <c r="P1209" s="8" t="n">
        <v>1</v>
      </c>
      <c r="Q1209" s="8" t="n">
        <v>95</v>
      </c>
      <c r="R1209" s="7" t="inlineStr">
        <is>
          <t>https://www.ande.gov.py/finanzas/2.%20COMPILACION%20ESTADISTICA%202003-2023/ANDE%20-%20Compilacion%20Estadistica%202003-2023.pdf</t>
        </is>
      </c>
      <c r="S1209" s="6" t="inlineStr">
        <is>
          <t>ANDE-03-23</t>
        </is>
      </c>
      <c r="T1209" s="6" t="inlineStr"/>
      <c r="U1209" s="4" t="inlineStr">
        <is>
          <t>2026-09-11 00:05:00</t>
        </is>
      </c>
      <c r="V1209" s="4" t="inlineStr">
        <is>
          <t>Compilacion 2003-2023; prioridad canonica. Rupturas metodologicas de categorias en 2016/2017 documentadas por ANDE.</t>
        </is>
      </c>
    </row>
    <row r="1210">
      <c r="A1210" s="6" t="inlineStr">
        <is>
          <t>R0001209</t>
        </is>
      </c>
      <c r="B1210" s="6" t="inlineStr">
        <is>
          <t>2006-01-01</t>
        </is>
      </c>
      <c r="C1210" s="6" t="inlineStr">
        <is>
          <t>2006-12-31</t>
        </is>
      </c>
      <c r="D1210" s="6" t="inlineStr">
        <is>
          <t>year</t>
        </is>
      </c>
      <c r="E1210" s="6" t="inlineStr">
        <is>
          <t>ANDE_BILLED_NATIONAL_ENERGY</t>
        </is>
      </c>
      <c r="F1210" s="6" t="inlineStr">
        <is>
          <t>PY_SIN</t>
        </is>
      </c>
      <c r="G1210" s="6" t="inlineStr">
        <is>
          <t>PY</t>
        </is>
      </c>
      <c r="H1210" s="6" t="inlineStr">
        <is>
          <t>PY</t>
        </is>
      </c>
      <c r="I1210" s="8" t="n">
        <v>5123685</v>
      </c>
      <c r="J1210" s="6" t="inlineStr">
        <is>
          <t>MWh</t>
        </is>
      </c>
      <c r="K1210" s="8" t="n">
        <v>5123685</v>
      </c>
      <c r="L1210" s="6" t="inlineStr">
        <is>
          <t>MWh</t>
        </is>
      </c>
      <c r="M1210" s="6" t="inlineStr">
        <is>
          <t>ANDE</t>
        </is>
      </c>
      <c r="N1210" s="6" t="inlineStr">
        <is>
          <t>OFFICIAL_PRIMARY</t>
        </is>
      </c>
      <c r="O1210" s="9" t="inlineStr">
        <is>
          <t>OFFICIAL_AGGREGATE</t>
        </is>
      </c>
      <c r="P1210" s="8" t="n">
        <v>1</v>
      </c>
      <c r="Q1210" s="8" t="n">
        <v>95</v>
      </c>
      <c r="R1210" s="7" t="inlineStr">
        <is>
          <t>https://www.ande.gov.py/finanzas/2.%20COMPILACION%20ESTADISTICA%202003-2023/ANDE%20-%20Compilacion%20Estadistica%202003-2023.pdf</t>
        </is>
      </c>
      <c r="S1210" s="6" t="inlineStr">
        <is>
          <t>ANDE-03-23</t>
        </is>
      </c>
      <c r="T1210" s="6" t="inlineStr"/>
      <c r="U1210" s="4" t="inlineStr">
        <is>
          <t>2026-09-11 00:05:00</t>
        </is>
      </c>
      <c r="V1210" s="4" t="inlineStr">
        <is>
          <t>Compilacion 2003-2023; prioridad canonica. Rupturas metodologicas de categorias en 2016/2017 documentadas por ANDE.</t>
        </is>
      </c>
    </row>
    <row r="1211">
      <c r="A1211" s="6" t="inlineStr">
        <is>
          <t>R0001210</t>
        </is>
      </c>
      <c r="B1211" s="6" t="inlineStr">
        <is>
          <t>2007-01-01</t>
        </is>
      </c>
      <c r="C1211" s="6" t="inlineStr">
        <is>
          <t>2007-12-31</t>
        </is>
      </c>
      <c r="D1211" s="6" t="inlineStr">
        <is>
          <t>year</t>
        </is>
      </c>
      <c r="E1211" s="6" t="inlineStr">
        <is>
          <t>ANDE_BILLED_NATIONAL_ENERGY</t>
        </is>
      </c>
      <c r="F1211" s="6" t="inlineStr">
        <is>
          <t>PY_SIN</t>
        </is>
      </c>
      <c r="G1211" s="6" t="inlineStr">
        <is>
          <t>PY</t>
        </is>
      </c>
      <c r="H1211" s="6" t="inlineStr">
        <is>
          <t>PY</t>
        </is>
      </c>
      <c r="I1211" s="8" t="n">
        <v>5580443</v>
      </c>
      <c r="J1211" s="6" t="inlineStr">
        <is>
          <t>MWh</t>
        </is>
      </c>
      <c r="K1211" s="8" t="n">
        <v>5580443</v>
      </c>
      <c r="L1211" s="6" t="inlineStr">
        <is>
          <t>MWh</t>
        </is>
      </c>
      <c r="M1211" s="6" t="inlineStr">
        <is>
          <t>ANDE</t>
        </is>
      </c>
      <c r="N1211" s="6" t="inlineStr">
        <is>
          <t>OFFICIAL_PRIMARY</t>
        </is>
      </c>
      <c r="O1211" s="9" t="inlineStr">
        <is>
          <t>OFFICIAL_AGGREGATE</t>
        </is>
      </c>
      <c r="P1211" s="8" t="n">
        <v>1</v>
      </c>
      <c r="Q1211" s="8" t="n">
        <v>95</v>
      </c>
      <c r="R1211" s="7" t="inlineStr">
        <is>
          <t>https://www.ande.gov.py/finanzas/2.%20COMPILACION%20ESTADISTICA%202003-2023/ANDE%20-%20Compilacion%20Estadistica%202003-2023.pdf</t>
        </is>
      </c>
      <c r="S1211" s="6" t="inlineStr">
        <is>
          <t>ANDE-03-23</t>
        </is>
      </c>
      <c r="T1211" s="6" t="inlineStr"/>
      <c r="U1211" s="4" t="inlineStr">
        <is>
          <t>2026-09-11 00:05:00</t>
        </is>
      </c>
      <c r="V1211" s="4" t="inlineStr">
        <is>
          <t>Compilacion 2003-2023; prioridad canonica. Rupturas metodologicas de categorias en 2016/2017 documentadas por ANDE.</t>
        </is>
      </c>
    </row>
    <row r="1212">
      <c r="A1212" s="6" t="inlineStr">
        <is>
          <t>R0001211</t>
        </is>
      </c>
      <c r="B1212" s="6" t="inlineStr">
        <is>
          <t>2008-01-01</t>
        </is>
      </c>
      <c r="C1212" s="6" t="inlineStr">
        <is>
          <t>2008-12-31</t>
        </is>
      </c>
      <c r="D1212" s="6" t="inlineStr">
        <is>
          <t>year</t>
        </is>
      </c>
      <c r="E1212" s="6" t="inlineStr">
        <is>
          <t>ANDE_BILLED_NATIONAL_ENERGY</t>
        </is>
      </c>
      <c r="F1212" s="6" t="inlineStr">
        <is>
          <t>PY_SIN</t>
        </is>
      </c>
      <c r="G1212" s="6" t="inlineStr">
        <is>
          <t>PY</t>
        </is>
      </c>
      <c r="H1212" s="6" t="inlineStr">
        <is>
          <t>PY</t>
        </is>
      </c>
      <c r="I1212" s="8" t="n">
        <v>5974989</v>
      </c>
      <c r="J1212" s="6" t="inlineStr">
        <is>
          <t>MWh</t>
        </is>
      </c>
      <c r="K1212" s="8" t="n">
        <v>5974989</v>
      </c>
      <c r="L1212" s="6" t="inlineStr">
        <is>
          <t>MWh</t>
        </is>
      </c>
      <c r="M1212" s="6" t="inlineStr">
        <is>
          <t>ANDE</t>
        </is>
      </c>
      <c r="N1212" s="6" t="inlineStr">
        <is>
          <t>OFFICIAL_PRIMARY</t>
        </is>
      </c>
      <c r="O1212" s="9" t="inlineStr">
        <is>
          <t>OFFICIAL_AGGREGATE</t>
        </is>
      </c>
      <c r="P1212" s="8" t="n">
        <v>1</v>
      </c>
      <c r="Q1212" s="8" t="n">
        <v>95</v>
      </c>
      <c r="R1212" s="7" t="inlineStr">
        <is>
          <t>https://www.ande.gov.py/finanzas/2.%20COMPILACION%20ESTADISTICA%202003-2023/ANDE%20-%20Compilacion%20Estadistica%202003-2023.pdf</t>
        </is>
      </c>
      <c r="S1212" s="6" t="inlineStr">
        <is>
          <t>ANDE-03-23</t>
        </is>
      </c>
      <c r="T1212" s="6" t="inlineStr"/>
      <c r="U1212" s="4" t="inlineStr">
        <is>
          <t>2026-09-11 00:05:00</t>
        </is>
      </c>
      <c r="V1212" s="4" t="inlineStr">
        <is>
          <t>Compilacion 2003-2023; prioridad canonica. Rupturas metodologicas de categorias en 2016/2017 documentadas por ANDE.</t>
        </is>
      </c>
    </row>
    <row r="1213">
      <c r="A1213" s="6" t="inlineStr">
        <is>
          <t>R0001212</t>
        </is>
      </c>
      <c r="B1213" s="6" t="inlineStr">
        <is>
          <t>2009-01-01</t>
        </is>
      </c>
      <c r="C1213" s="6" t="inlineStr">
        <is>
          <t>2009-12-31</t>
        </is>
      </c>
      <c r="D1213" s="6" t="inlineStr">
        <is>
          <t>year</t>
        </is>
      </c>
      <c r="E1213" s="6" t="inlineStr">
        <is>
          <t>ANDE_BILLED_NATIONAL_ENERGY</t>
        </is>
      </c>
      <c r="F1213" s="6" t="inlineStr">
        <is>
          <t>PY_SIN</t>
        </is>
      </c>
      <c r="G1213" s="6" t="inlineStr">
        <is>
          <t>PY</t>
        </is>
      </c>
      <c r="H1213" s="6" t="inlineStr">
        <is>
          <t>PY</t>
        </is>
      </c>
      <c r="I1213" s="8" t="n">
        <v>6451131</v>
      </c>
      <c r="J1213" s="6" t="inlineStr">
        <is>
          <t>MWh</t>
        </is>
      </c>
      <c r="K1213" s="8" t="n">
        <v>6451131</v>
      </c>
      <c r="L1213" s="6" t="inlineStr">
        <is>
          <t>MWh</t>
        </is>
      </c>
      <c r="M1213" s="6" t="inlineStr">
        <is>
          <t>ANDE</t>
        </is>
      </c>
      <c r="N1213" s="6" t="inlineStr">
        <is>
          <t>OFFICIAL_PRIMARY</t>
        </is>
      </c>
      <c r="O1213" s="9" t="inlineStr">
        <is>
          <t>OFFICIAL_AGGREGATE</t>
        </is>
      </c>
      <c r="P1213" s="8" t="n">
        <v>1</v>
      </c>
      <c r="Q1213" s="8" t="n">
        <v>95</v>
      </c>
      <c r="R1213" s="7" t="inlineStr">
        <is>
          <t>https://www.ande.gov.py/finanzas/2.%20COMPILACION%20ESTADISTICA%202003-2023/ANDE%20-%20Compilacion%20Estadistica%202003-2023.pdf</t>
        </is>
      </c>
      <c r="S1213" s="6" t="inlineStr">
        <is>
          <t>ANDE-03-23</t>
        </is>
      </c>
      <c r="T1213" s="6" t="inlineStr"/>
      <c r="U1213" s="4" t="inlineStr">
        <is>
          <t>2026-09-11 00:05:00</t>
        </is>
      </c>
      <c r="V1213" s="4" t="inlineStr">
        <is>
          <t>Compilacion 2003-2023; prioridad canonica. Rupturas metodologicas de categorias en 2016/2017 documentadas por ANDE.</t>
        </is>
      </c>
    </row>
    <row r="1214">
      <c r="A1214" s="6" t="inlineStr">
        <is>
          <t>R0001213</t>
        </is>
      </c>
      <c r="B1214" s="6" t="inlineStr">
        <is>
          <t>2010-01-01</t>
        </is>
      </c>
      <c r="C1214" s="6" t="inlineStr">
        <is>
          <t>2010-12-31</t>
        </is>
      </c>
      <c r="D1214" s="6" t="inlineStr">
        <is>
          <t>year</t>
        </is>
      </c>
      <c r="E1214" s="6" t="inlineStr">
        <is>
          <t>ANDE_BILLED_NATIONAL_ENERGY</t>
        </is>
      </c>
      <c r="F1214" s="6" t="inlineStr">
        <is>
          <t>PY_SIN</t>
        </is>
      </c>
      <c r="G1214" s="6" t="inlineStr">
        <is>
          <t>PY</t>
        </is>
      </c>
      <c r="H1214" s="6" t="inlineStr">
        <is>
          <t>PY</t>
        </is>
      </c>
      <c r="I1214" s="8" t="n">
        <v>6864594</v>
      </c>
      <c r="J1214" s="6" t="inlineStr">
        <is>
          <t>MWh</t>
        </is>
      </c>
      <c r="K1214" s="8" t="n">
        <v>6864594</v>
      </c>
      <c r="L1214" s="6" t="inlineStr">
        <is>
          <t>MWh</t>
        </is>
      </c>
      <c r="M1214" s="6" t="inlineStr">
        <is>
          <t>ANDE</t>
        </is>
      </c>
      <c r="N1214" s="6" t="inlineStr">
        <is>
          <t>OFFICIAL_PRIMARY</t>
        </is>
      </c>
      <c r="O1214" s="9" t="inlineStr">
        <is>
          <t>OFFICIAL_AGGREGATE</t>
        </is>
      </c>
      <c r="P1214" s="8" t="n">
        <v>1</v>
      </c>
      <c r="Q1214" s="8" t="n">
        <v>95</v>
      </c>
      <c r="R1214" s="7" t="inlineStr">
        <is>
          <t>https://www.ande.gov.py/finanzas/2.%20COMPILACION%20ESTADISTICA%202003-2023/ANDE%20-%20Compilacion%20Estadistica%202003-2023.pdf</t>
        </is>
      </c>
      <c r="S1214" s="6" t="inlineStr">
        <is>
          <t>ANDE-03-23</t>
        </is>
      </c>
      <c r="T1214" s="6" t="inlineStr"/>
      <c r="U1214" s="4" t="inlineStr">
        <is>
          <t>2026-09-11 00:05:00</t>
        </is>
      </c>
      <c r="V1214" s="4" t="inlineStr">
        <is>
          <t>Compilacion 2003-2023; prioridad canonica. Rupturas metodologicas de categorias en 2016/2017 documentadas por ANDE.</t>
        </is>
      </c>
    </row>
    <row r="1215">
      <c r="A1215" s="6" t="inlineStr">
        <is>
          <t>R0001214</t>
        </is>
      </c>
      <c r="B1215" s="6" t="inlineStr">
        <is>
          <t>2011-01-01</t>
        </is>
      </c>
      <c r="C1215" s="6" t="inlineStr">
        <is>
          <t>2011-12-31</t>
        </is>
      </c>
      <c r="D1215" s="6" t="inlineStr">
        <is>
          <t>year</t>
        </is>
      </c>
      <c r="E1215" s="6" t="inlineStr">
        <is>
          <t>ANDE_BILLED_NATIONAL_ENERGY</t>
        </is>
      </c>
      <c r="F1215" s="6" t="inlineStr">
        <is>
          <t>PY_SIN</t>
        </is>
      </c>
      <c r="G1215" s="6" t="inlineStr">
        <is>
          <t>PY</t>
        </is>
      </c>
      <c r="H1215" s="6" t="inlineStr">
        <is>
          <t>PY</t>
        </is>
      </c>
      <c r="I1215" s="8" t="n">
        <v>7570520</v>
      </c>
      <c r="J1215" s="6" t="inlineStr">
        <is>
          <t>MWh</t>
        </is>
      </c>
      <c r="K1215" s="8" t="n">
        <v>7570520</v>
      </c>
      <c r="L1215" s="6" t="inlineStr">
        <is>
          <t>MWh</t>
        </is>
      </c>
      <c r="M1215" s="6" t="inlineStr">
        <is>
          <t>ANDE</t>
        </is>
      </c>
      <c r="N1215" s="6" t="inlineStr">
        <is>
          <t>OFFICIAL_PRIMARY</t>
        </is>
      </c>
      <c r="O1215" s="9" t="inlineStr">
        <is>
          <t>OFFICIAL_AGGREGATE</t>
        </is>
      </c>
      <c r="P1215" s="8" t="n">
        <v>1</v>
      </c>
      <c r="Q1215" s="8" t="n">
        <v>95</v>
      </c>
      <c r="R1215" s="7" t="inlineStr">
        <is>
          <t>https://www.ande.gov.py/finanzas/2.%20COMPILACION%20ESTADISTICA%202003-2023/ANDE%20-%20Compilacion%20Estadistica%202003-2023.pdf</t>
        </is>
      </c>
      <c r="S1215" s="6" t="inlineStr">
        <is>
          <t>ANDE-03-23</t>
        </is>
      </c>
      <c r="T1215" s="6" t="inlineStr"/>
      <c r="U1215" s="4" t="inlineStr">
        <is>
          <t>2026-09-11 00:05:00</t>
        </is>
      </c>
      <c r="V1215" s="4" t="inlineStr">
        <is>
          <t>Compilacion 2003-2023; prioridad canonica. Rupturas metodologicas de categorias en 2016/2017 documentadas por ANDE.</t>
        </is>
      </c>
    </row>
    <row r="1216">
      <c r="A1216" s="6" t="inlineStr">
        <is>
          <t>R0001215</t>
        </is>
      </c>
      <c r="B1216" s="6" t="inlineStr">
        <is>
          <t>2012-01-01</t>
        </is>
      </c>
      <c r="C1216" s="6" t="inlineStr">
        <is>
          <t>2012-12-31</t>
        </is>
      </c>
      <c r="D1216" s="6" t="inlineStr">
        <is>
          <t>year</t>
        </is>
      </c>
      <c r="E1216" s="6" t="inlineStr">
        <is>
          <t>ANDE_BILLED_NATIONAL_ENERGY</t>
        </is>
      </c>
      <c r="F1216" s="6" t="inlineStr">
        <is>
          <t>PY_SIN</t>
        </is>
      </c>
      <c r="G1216" s="6" t="inlineStr">
        <is>
          <t>PY</t>
        </is>
      </c>
      <c r="H1216" s="6" t="inlineStr">
        <is>
          <t>PY</t>
        </is>
      </c>
      <c r="I1216" s="8" t="n">
        <v>8222238</v>
      </c>
      <c r="J1216" s="6" t="inlineStr">
        <is>
          <t>MWh</t>
        </is>
      </c>
      <c r="K1216" s="8" t="n">
        <v>8222238</v>
      </c>
      <c r="L1216" s="6" t="inlineStr">
        <is>
          <t>MWh</t>
        </is>
      </c>
      <c r="M1216" s="6" t="inlineStr">
        <is>
          <t>ANDE</t>
        </is>
      </c>
      <c r="N1216" s="6" t="inlineStr">
        <is>
          <t>OFFICIAL_PRIMARY</t>
        </is>
      </c>
      <c r="O1216" s="9" t="inlineStr">
        <is>
          <t>OFFICIAL_AGGREGATE</t>
        </is>
      </c>
      <c r="P1216" s="8" t="n">
        <v>1</v>
      </c>
      <c r="Q1216" s="8" t="n">
        <v>95</v>
      </c>
      <c r="R1216" s="7" t="inlineStr">
        <is>
          <t>https://www.ande.gov.py/finanzas/2.%20COMPILACION%20ESTADISTICA%202003-2023/ANDE%20-%20Compilacion%20Estadistica%202003-2023.pdf</t>
        </is>
      </c>
      <c r="S1216" s="6" t="inlineStr">
        <is>
          <t>ANDE-03-23</t>
        </is>
      </c>
      <c r="T1216" s="6" t="inlineStr"/>
      <c r="U1216" s="4" t="inlineStr">
        <is>
          <t>2026-09-11 00:05:00</t>
        </is>
      </c>
      <c r="V1216" s="4" t="inlineStr">
        <is>
          <t>Compilacion 2003-2023; prioridad canonica. Rupturas metodologicas de categorias en 2016/2017 documentadas por ANDE.</t>
        </is>
      </c>
    </row>
    <row r="1217">
      <c r="A1217" s="6" t="inlineStr">
        <is>
          <t>R0001216</t>
        </is>
      </c>
      <c r="B1217" s="6" t="inlineStr">
        <is>
          <t>2013-01-01</t>
        </is>
      </c>
      <c r="C1217" s="6" t="inlineStr">
        <is>
          <t>2013-12-31</t>
        </is>
      </c>
      <c r="D1217" s="6" t="inlineStr">
        <is>
          <t>year</t>
        </is>
      </c>
      <c r="E1217" s="6" t="inlineStr">
        <is>
          <t>ANDE_BILLED_NATIONAL_ENERGY</t>
        </is>
      </c>
      <c r="F1217" s="6" t="inlineStr">
        <is>
          <t>PY_SIN</t>
        </is>
      </c>
      <c r="G1217" s="6" t="inlineStr">
        <is>
          <t>PY</t>
        </is>
      </c>
      <c r="H1217" s="6" t="inlineStr">
        <is>
          <t>PY</t>
        </is>
      </c>
      <c r="I1217" s="8" t="n">
        <v>9018546</v>
      </c>
      <c r="J1217" s="6" t="inlineStr">
        <is>
          <t>MWh</t>
        </is>
      </c>
      <c r="K1217" s="8" t="n">
        <v>9018546</v>
      </c>
      <c r="L1217" s="6" t="inlineStr">
        <is>
          <t>MWh</t>
        </is>
      </c>
      <c r="M1217" s="6" t="inlineStr">
        <is>
          <t>ANDE</t>
        </is>
      </c>
      <c r="N1217" s="6" t="inlineStr">
        <is>
          <t>OFFICIAL_PRIMARY</t>
        </is>
      </c>
      <c r="O1217" s="9" t="inlineStr">
        <is>
          <t>OFFICIAL_AGGREGATE</t>
        </is>
      </c>
      <c r="P1217" s="8" t="n">
        <v>1</v>
      </c>
      <c r="Q1217" s="8" t="n">
        <v>95</v>
      </c>
      <c r="R1217" s="7" t="inlineStr">
        <is>
          <t>https://www.ande.gov.py/finanzas/2.%20COMPILACION%20ESTADISTICA%202003-2023/ANDE%20-%20Compilacion%20Estadistica%202003-2023.pdf</t>
        </is>
      </c>
      <c r="S1217" s="6" t="inlineStr">
        <is>
          <t>ANDE-03-23</t>
        </is>
      </c>
      <c r="T1217" s="6" t="inlineStr"/>
      <c r="U1217" s="4" t="inlineStr">
        <is>
          <t>2026-09-11 00:05:00</t>
        </is>
      </c>
      <c r="V1217" s="4" t="inlineStr">
        <is>
          <t>Compilacion 2003-2023; prioridad canonica. Rupturas metodologicas de categorias en 2016/2017 documentadas por ANDE.</t>
        </is>
      </c>
    </row>
    <row r="1218">
      <c r="A1218" s="6" t="inlineStr">
        <is>
          <t>R0001217</t>
        </is>
      </c>
      <c r="B1218" s="6" t="inlineStr">
        <is>
          <t>2014-01-01</t>
        </is>
      </c>
      <c r="C1218" s="6" t="inlineStr">
        <is>
          <t>2014-12-31</t>
        </is>
      </c>
      <c r="D1218" s="6" t="inlineStr">
        <is>
          <t>year</t>
        </is>
      </c>
      <c r="E1218" s="6" t="inlineStr">
        <is>
          <t>ANDE_BILLED_NATIONAL_ENERGY</t>
        </is>
      </c>
      <c r="F1218" s="6" t="inlineStr">
        <is>
          <t>PY_SIN</t>
        </is>
      </c>
      <c r="G1218" s="6" t="inlineStr">
        <is>
          <t>PY</t>
        </is>
      </c>
      <c r="H1218" s="6" t="inlineStr">
        <is>
          <t>PY</t>
        </is>
      </c>
      <c r="I1218" s="8" t="n">
        <v>9794563</v>
      </c>
      <c r="J1218" s="6" t="inlineStr">
        <is>
          <t>MWh</t>
        </is>
      </c>
      <c r="K1218" s="8" t="n">
        <v>9794563</v>
      </c>
      <c r="L1218" s="6" t="inlineStr">
        <is>
          <t>MWh</t>
        </is>
      </c>
      <c r="M1218" s="6" t="inlineStr">
        <is>
          <t>ANDE</t>
        </is>
      </c>
      <c r="N1218" s="6" t="inlineStr">
        <is>
          <t>OFFICIAL_PRIMARY</t>
        </is>
      </c>
      <c r="O1218" s="9" t="inlineStr">
        <is>
          <t>OFFICIAL_AGGREGATE</t>
        </is>
      </c>
      <c r="P1218" s="8" t="n">
        <v>1</v>
      </c>
      <c r="Q1218" s="8" t="n">
        <v>95</v>
      </c>
      <c r="R1218" s="7" t="inlineStr">
        <is>
          <t>https://www.ande.gov.py/finanzas/2.%20COMPILACION%20ESTADISTICA%202003-2023/ANDE%20-%20Compilacion%20Estadistica%202003-2023.pdf</t>
        </is>
      </c>
      <c r="S1218" s="6" t="inlineStr">
        <is>
          <t>ANDE-03-23</t>
        </is>
      </c>
      <c r="T1218" s="6" t="inlineStr"/>
      <c r="U1218" s="4" t="inlineStr">
        <is>
          <t>2026-09-11 00:05:00</t>
        </is>
      </c>
      <c r="V1218" s="4" t="inlineStr">
        <is>
          <t>Compilacion 2003-2023; prioridad canonica. Rupturas metodologicas de categorias en 2016/2017 documentadas por ANDE.</t>
        </is>
      </c>
    </row>
    <row r="1219">
      <c r="A1219" s="6" t="inlineStr">
        <is>
          <t>R0001218</t>
        </is>
      </c>
      <c r="B1219" s="6" t="inlineStr">
        <is>
          <t>2015-01-01</t>
        </is>
      </c>
      <c r="C1219" s="6" t="inlineStr">
        <is>
          <t>2015-12-31</t>
        </is>
      </c>
      <c r="D1219" s="6" t="inlineStr">
        <is>
          <t>year</t>
        </is>
      </c>
      <c r="E1219" s="6" t="inlineStr">
        <is>
          <t>ANDE_BILLED_NATIONAL_ENERGY</t>
        </is>
      </c>
      <c r="F1219" s="6" t="inlineStr">
        <is>
          <t>PY_SIN</t>
        </is>
      </c>
      <c r="G1219" s="6" t="inlineStr">
        <is>
          <t>PY</t>
        </is>
      </c>
      <c r="H1219" s="6" t="inlineStr">
        <is>
          <t>PY</t>
        </is>
      </c>
      <c r="I1219" s="8" t="n">
        <v>10336604</v>
      </c>
      <c r="J1219" s="6" t="inlineStr">
        <is>
          <t>MWh</t>
        </is>
      </c>
      <c r="K1219" s="8" t="n">
        <v>10336604</v>
      </c>
      <c r="L1219" s="6" t="inlineStr">
        <is>
          <t>MWh</t>
        </is>
      </c>
      <c r="M1219" s="6" t="inlineStr">
        <is>
          <t>ANDE</t>
        </is>
      </c>
      <c r="N1219" s="6" t="inlineStr">
        <is>
          <t>OFFICIAL_PRIMARY</t>
        </is>
      </c>
      <c r="O1219" s="9" t="inlineStr">
        <is>
          <t>OFFICIAL_AGGREGATE</t>
        </is>
      </c>
      <c r="P1219" s="8" t="n">
        <v>1</v>
      </c>
      <c r="Q1219" s="8" t="n">
        <v>95</v>
      </c>
      <c r="R1219" s="7" t="inlineStr">
        <is>
          <t>https://www.ande.gov.py/finanzas/2.%20COMPILACION%20ESTADISTICA%202003-2023/ANDE%20-%20Compilacion%20Estadistica%202003-2023.pdf</t>
        </is>
      </c>
      <c r="S1219" s="6" t="inlineStr">
        <is>
          <t>ANDE-03-23</t>
        </is>
      </c>
      <c r="T1219" s="6" t="inlineStr"/>
      <c r="U1219" s="4" t="inlineStr">
        <is>
          <t>2026-09-11 00:05:00</t>
        </is>
      </c>
      <c r="V1219" s="4" t="inlineStr">
        <is>
          <t>Compilacion 2003-2023; prioridad canonica. Rupturas metodologicas de categorias en 2016/2017 documentadas por ANDE.</t>
        </is>
      </c>
    </row>
    <row r="1220">
      <c r="A1220" s="6" t="inlineStr">
        <is>
          <t>R0001219</t>
        </is>
      </c>
      <c r="B1220" s="6" t="inlineStr">
        <is>
          <t>2016-01-01</t>
        </is>
      </c>
      <c r="C1220" s="6" t="inlineStr">
        <is>
          <t>2016-12-31</t>
        </is>
      </c>
      <c r="D1220" s="6" t="inlineStr">
        <is>
          <t>year</t>
        </is>
      </c>
      <c r="E1220" s="6" t="inlineStr">
        <is>
          <t>ANDE_BILLED_NATIONAL_ENERGY</t>
        </is>
      </c>
      <c r="F1220" s="6" t="inlineStr">
        <is>
          <t>PY_SIN</t>
        </is>
      </c>
      <c r="G1220" s="6" t="inlineStr">
        <is>
          <t>PY</t>
        </is>
      </c>
      <c r="H1220" s="6" t="inlineStr">
        <is>
          <t>PY</t>
        </is>
      </c>
      <c r="I1220" s="8" t="n">
        <v>10767398</v>
      </c>
      <c r="J1220" s="6" t="inlineStr">
        <is>
          <t>MWh</t>
        </is>
      </c>
      <c r="K1220" s="8" t="n">
        <v>10767398</v>
      </c>
      <c r="L1220" s="6" t="inlineStr">
        <is>
          <t>MWh</t>
        </is>
      </c>
      <c r="M1220" s="6" t="inlineStr">
        <is>
          <t>ANDE</t>
        </is>
      </c>
      <c r="N1220" s="6" t="inlineStr">
        <is>
          <t>OFFICIAL_PRIMARY</t>
        </is>
      </c>
      <c r="O1220" s="9" t="inlineStr">
        <is>
          <t>OFFICIAL_AGGREGATE</t>
        </is>
      </c>
      <c r="P1220" s="8" t="n">
        <v>1</v>
      </c>
      <c r="Q1220" s="8" t="n">
        <v>95</v>
      </c>
      <c r="R1220" s="7" t="inlineStr">
        <is>
          <t>https://www.ande.gov.py/finanzas/2.%20COMPILACION%20ESTADISTICA%202003-2023/ANDE%20-%20Compilacion%20Estadistica%202003-2023.pdf</t>
        </is>
      </c>
      <c r="S1220" s="6" t="inlineStr">
        <is>
          <t>ANDE-03-23</t>
        </is>
      </c>
      <c r="T1220" s="6" t="inlineStr"/>
      <c r="U1220" s="4" t="inlineStr">
        <is>
          <t>2026-09-11 00:05:00</t>
        </is>
      </c>
      <c r="V1220" s="4" t="inlineStr">
        <is>
          <t>Compilacion 2003-2023; prioridad canonica. Rupturas metodologicas de categorias en 2016/2017 documentadas por ANDE.</t>
        </is>
      </c>
    </row>
    <row r="1221">
      <c r="A1221" s="6" t="inlineStr">
        <is>
          <t>R0001220</t>
        </is>
      </c>
      <c r="B1221" s="6" t="inlineStr">
        <is>
          <t>2017-01-01</t>
        </is>
      </c>
      <c r="C1221" s="6" t="inlineStr">
        <is>
          <t>2017-12-31</t>
        </is>
      </c>
      <c r="D1221" s="6" t="inlineStr">
        <is>
          <t>year</t>
        </is>
      </c>
      <c r="E1221" s="6" t="inlineStr">
        <is>
          <t>ANDE_BILLED_NATIONAL_ENERGY</t>
        </is>
      </c>
      <c r="F1221" s="6" t="inlineStr">
        <is>
          <t>PY_SIN</t>
        </is>
      </c>
      <c r="G1221" s="6" t="inlineStr">
        <is>
          <t>PY</t>
        </is>
      </c>
      <c r="H1221" s="6" t="inlineStr">
        <is>
          <t>PY</t>
        </is>
      </c>
      <c r="I1221" s="8" t="n">
        <v>11237933</v>
      </c>
      <c r="J1221" s="6" t="inlineStr">
        <is>
          <t>MWh</t>
        </is>
      </c>
      <c r="K1221" s="8" t="n">
        <v>11237933</v>
      </c>
      <c r="L1221" s="6" t="inlineStr">
        <is>
          <t>MWh</t>
        </is>
      </c>
      <c r="M1221" s="6" t="inlineStr">
        <is>
          <t>ANDE</t>
        </is>
      </c>
      <c r="N1221" s="6" t="inlineStr">
        <is>
          <t>OFFICIAL_PRIMARY</t>
        </is>
      </c>
      <c r="O1221" s="9" t="inlineStr">
        <is>
          <t>OFFICIAL_AGGREGATE</t>
        </is>
      </c>
      <c r="P1221" s="8" t="n">
        <v>1</v>
      </c>
      <c r="Q1221" s="8" t="n">
        <v>95</v>
      </c>
      <c r="R1221" s="7" t="inlineStr">
        <is>
          <t>https://www.ande.gov.py/finanzas/2.%20COMPILACION%20ESTADISTICA%202003-2023/ANDE%20-%20Compilacion%20Estadistica%202003-2023.pdf</t>
        </is>
      </c>
      <c r="S1221" s="6" t="inlineStr">
        <is>
          <t>ANDE-03-23</t>
        </is>
      </c>
      <c r="T1221" s="6" t="inlineStr"/>
      <c r="U1221" s="4" t="inlineStr">
        <is>
          <t>2026-09-11 00:05:00</t>
        </is>
      </c>
      <c r="V1221" s="4" t="inlineStr">
        <is>
          <t>Compilacion 2003-2023; prioridad canonica. Rupturas metodologicas de categorias en 2016/2017 documentadas por ANDE.</t>
        </is>
      </c>
    </row>
    <row r="1222">
      <c r="A1222" s="6" t="inlineStr">
        <is>
          <t>R0001221</t>
        </is>
      </c>
      <c r="B1222" s="6" t="inlineStr">
        <is>
          <t>2018-01-01</t>
        </is>
      </c>
      <c r="C1222" s="6" t="inlineStr">
        <is>
          <t>2018-12-31</t>
        </is>
      </c>
      <c r="D1222" s="6" t="inlineStr">
        <is>
          <t>year</t>
        </is>
      </c>
      <c r="E1222" s="6" t="inlineStr">
        <is>
          <t>ANDE_BILLED_NATIONAL_ENERGY</t>
        </is>
      </c>
      <c r="F1222" s="6" t="inlineStr">
        <is>
          <t>PY_SIN</t>
        </is>
      </c>
      <c r="G1222" s="6" t="inlineStr">
        <is>
          <t>PY</t>
        </is>
      </c>
      <c r="H1222" s="6" t="inlineStr">
        <is>
          <t>PY</t>
        </is>
      </c>
      <c r="I1222" s="8" t="n">
        <v>12172700</v>
      </c>
      <c r="J1222" s="6" t="inlineStr">
        <is>
          <t>MWh</t>
        </is>
      </c>
      <c r="K1222" s="8" t="n">
        <v>12172700</v>
      </c>
      <c r="L1222" s="6" t="inlineStr">
        <is>
          <t>MWh</t>
        </is>
      </c>
      <c r="M1222" s="6" t="inlineStr">
        <is>
          <t>ANDE</t>
        </is>
      </c>
      <c r="N1222" s="6" t="inlineStr">
        <is>
          <t>OFFICIAL_PRIMARY</t>
        </is>
      </c>
      <c r="O1222" s="9" t="inlineStr">
        <is>
          <t>OFFICIAL_AGGREGATE</t>
        </is>
      </c>
      <c r="P1222" s="8" t="n">
        <v>1</v>
      </c>
      <c r="Q1222" s="8" t="n">
        <v>95</v>
      </c>
      <c r="R1222" s="7" t="inlineStr">
        <is>
          <t>https://www.ande.gov.py/finanzas/2.%20COMPILACION%20ESTADISTICA%202003-2023/ANDE%20-%20Compilacion%20Estadistica%202003-2023.pdf</t>
        </is>
      </c>
      <c r="S1222" s="6" t="inlineStr">
        <is>
          <t>ANDE-03-23</t>
        </is>
      </c>
      <c r="T1222" s="6" t="inlineStr"/>
      <c r="U1222" s="4" t="inlineStr">
        <is>
          <t>2026-09-11 00:05:00</t>
        </is>
      </c>
      <c r="V1222" s="4" t="inlineStr">
        <is>
          <t>Compilacion 2003-2023; prioridad canonica. Rupturas metodologicas de categorias en 2016/2017 documentadas por ANDE.</t>
        </is>
      </c>
    </row>
    <row r="1223">
      <c r="A1223" s="6" t="inlineStr">
        <is>
          <t>R0001222</t>
        </is>
      </c>
      <c r="B1223" s="6" t="inlineStr">
        <is>
          <t>2019-01-01</t>
        </is>
      </c>
      <c r="C1223" s="6" t="inlineStr">
        <is>
          <t>2019-12-31</t>
        </is>
      </c>
      <c r="D1223" s="6" t="inlineStr">
        <is>
          <t>year</t>
        </is>
      </c>
      <c r="E1223" s="6" t="inlineStr">
        <is>
          <t>ANDE_BILLED_NATIONAL_ENERGY</t>
        </is>
      </c>
      <c r="F1223" s="6" t="inlineStr">
        <is>
          <t>PY_SIN</t>
        </is>
      </c>
      <c r="G1223" s="6" t="inlineStr">
        <is>
          <t>PY</t>
        </is>
      </c>
      <c r="H1223" s="6" t="inlineStr">
        <is>
          <t>PY</t>
        </is>
      </c>
      <c r="I1223" s="8" t="n">
        <v>12520192</v>
      </c>
      <c r="J1223" s="6" t="inlineStr">
        <is>
          <t>MWh</t>
        </is>
      </c>
      <c r="K1223" s="8" t="n">
        <v>12520192</v>
      </c>
      <c r="L1223" s="6" t="inlineStr">
        <is>
          <t>MWh</t>
        </is>
      </c>
      <c r="M1223" s="6" t="inlineStr">
        <is>
          <t>ANDE</t>
        </is>
      </c>
      <c r="N1223" s="6" t="inlineStr">
        <is>
          <t>OFFICIAL_PRIMARY</t>
        </is>
      </c>
      <c r="O1223" s="9" t="inlineStr">
        <is>
          <t>OFFICIAL_AGGREGATE</t>
        </is>
      </c>
      <c r="P1223" s="8" t="n">
        <v>1</v>
      </c>
      <c r="Q1223" s="8" t="n">
        <v>95</v>
      </c>
      <c r="R1223" s="7" t="inlineStr">
        <is>
          <t>https://www.ande.gov.py/finanzas/2.%20COMPILACION%20ESTADISTICA%202003-2023/ANDE%20-%20Compilacion%20Estadistica%202003-2023.pdf</t>
        </is>
      </c>
      <c r="S1223" s="6" t="inlineStr">
        <is>
          <t>ANDE-03-23</t>
        </is>
      </c>
      <c r="T1223" s="6" t="inlineStr"/>
      <c r="U1223" s="4" t="inlineStr">
        <is>
          <t>2026-09-11 00:05:00</t>
        </is>
      </c>
      <c r="V1223" s="4" t="inlineStr">
        <is>
          <t>Compilacion 2003-2023; prioridad canonica. Rupturas metodologicas de categorias en 2016/2017 documentadas por ANDE.</t>
        </is>
      </c>
    </row>
    <row r="1224">
      <c r="A1224" s="6" t="inlineStr">
        <is>
          <t>R0001223</t>
        </is>
      </c>
      <c r="B1224" s="6" t="inlineStr">
        <is>
          <t>2020-01-01</t>
        </is>
      </c>
      <c r="C1224" s="6" t="inlineStr">
        <is>
          <t>2020-12-31</t>
        </is>
      </c>
      <c r="D1224" s="6" t="inlineStr">
        <is>
          <t>year</t>
        </is>
      </c>
      <c r="E1224" s="6" t="inlineStr">
        <is>
          <t>ANDE_BILLED_NATIONAL_ENERGY</t>
        </is>
      </c>
      <c r="F1224" s="6" t="inlineStr">
        <is>
          <t>PY_SIN</t>
        </is>
      </c>
      <c r="G1224" s="6" t="inlineStr">
        <is>
          <t>PY</t>
        </is>
      </c>
      <c r="H1224" s="6" t="inlineStr">
        <is>
          <t>PY</t>
        </is>
      </c>
      <c r="I1224" s="8" t="n">
        <v>13411323</v>
      </c>
      <c r="J1224" s="6" t="inlineStr">
        <is>
          <t>MWh</t>
        </is>
      </c>
      <c r="K1224" s="8" t="n">
        <v>13411323</v>
      </c>
      <c r="L1224" s="6" t="inlineStr">
        <is>
          <t>MWh</t>
        </is>
      </c>
      <c r="M1224" s="6" t="inlineStr">
        <is>
          <t>ANDE</t>
        </is>
      </c>
      <c r="N1224" s="6" t="inlineStr">
        <is>
          <t>OFFICIAL_PRIMARY</t>
        </is>
      </c>
      <c r="O1224" s="9" t="inlineStr">
        <is>
          <t>OFFICIAL_AGGREGATE</t>
        </is>
      </c>
      <c r="P1224" s="8" t="n">
        <v>1</v>
      </c>
      <c r="Q1224" s="8" t="n">
        <v>95</v>
      </c>
      <c r="R1224" s="7" t="inlineStr">
        <is>
          <t>https://www.ande.gov.py/finanzas/2.%20COMPILACION%20ESTADISTICA%202003-2023/ANDE%20-%20Compilacion%20Estadistica%202003-2023.pdf</t>
        </is>
      </c>
      <c r="S1224" s="6" t="inlineStr">
        <is>
          <t>ANDE-03-23</t>
        </is>
      </c>
      <c r="T1224" s="6" t="inlineStr"/>
      <c r="U1224" s="4" t="inlineStr">
        <is>
          <t>2026-09-11 00:05:00</t>
        </is>
      </c>
      <c r="V1224" s="4" t="inlineStr">
        <is>
          <t>Compilacion 2003-2023; prioridad canonica. Rupturas metodologicas de categorias en 2016/2017 documentadas por ANDE.</t>
        </is>
      </c>
    </row>
    <row r="1225">
      <c r="A1225" s="6" t="inlineStr">
        <is>
          <t>R0001224</t>
        </is>
      </c>
      <c r="B1225" s="6" t="inlineStr">
        <is>
          <t>2021-01-01</t>
        </is>
      </c>
      <c r="C1225" s="6" t="inlineStr">
        <is>
          <t>2021-12-31</t>
        </is>
      </c>
      <c r="D1225" s="6" t="inlineStr">
        <is>
          <t>year</t>
        </is>
      </c>
      <c r="E1225" s="6" t="inlineStr">
        <is>
          <t>ANDE_BILLED_NATIONAL_ENERGY</t>
        </is>
      </c>
      <c r="F1225" s="6" t="inlineStr">
        <is>
          <t>PY_SIN</t>
        </is>
      </c>
      <c r="G1225" s="6" t="inlineStr">
        <is>
          <t>PY</t>
        </is>
      </c>
      <c r="H1225" s="6" t="inlineStr">
        <is>
          <t>PY</t>
        </is>
      </c>
      <c r="I1225" s="8" t="n">
        <v>13398189</v>
      </c>
      <c r="J1225" s="6" t="inlineStr">
        <is>
          <t>MWh</t>
        </is>
      </c>
      <c r="K1225" s="8" t="n">
        <v>13398189</v>
      </c>
      <c r="L1225" s="6" t="inlineStr">
        <is>
          <t>MWh</t>
        </is>
      </c>
      <c r="M1225" s="6" t="inlineStr">
        <is>
          <t>ANDE</t>
        </is>
      </c>
      <c r="N1225" s="6" t="inlineStr">
        <is>
          <t>OFFICIAL_PRIMARY</t>
        </is>
      </c>
      <c r="O1225" s="9" t="inlineStr">
        <is>
          <t>OFFICIAL_AGGREGATE</t>
        </is>
      </c>
      <c r="P1225" s="8" t="n">
        <v>1</v>
      </c>
      <c r="Q1225" s="8" t="n">
        <v>95</v>
      </c>
      <c r="R1225" s="7" t="inlineStr">
        <is>
          <t>https://www.ande.gov.py/finanzas/2.%20COMPILACION%20ESTADISTICA%202003-2023/ANDE%20-%20Compilacion%20Estadistica%202003-2023.pdf</t>
        </is>
      </c>
      <c r="S1225" s="6" t="inlineStr">
        <is>
          <t>ANDE-03-23</t>
        </is>
      </c>
      <c r="T1225" s="6" t="inlineStr"/>
      <c r="U1225" s="4" t="inlineStr">
        <is>
          <t>2026-09-11 00:05:00</t>
        </is>
      </c>
      <c r="V1225" s="4" t="inlineStr">
        <is>
          <t>Compilacion 2003-2023; prioridad canonica. Rupturas metodologicas de categorias en 2016/2017 documentadas por ANDE.</t>
        </is>
      </c>
    </row>
    <row r="1226">
      <c r="A1226" s="6" t="inlineStr">
        <is>
          <t>R0001225</t>
        </is>
      </c>
      <c r="B1226" s="6" t="inlineStr">
        <is>
          <t>2022-01-01</t>
        </is>
      </c>
      <c r="C1226" s="6" t="inlineStr">
        <is>
          <t>2022-12-31</t>
        </is>
      </c>
      <c r="D1226" s="6" t="inlineStr">
        <is>
          <t>year</t>
        </is>
      </c>
      <c r="E1226" s="6" t="inlineStr">
        <is>
          <t>ANDE_BILLED_NATIONAL_ENERGY</t>
        </is>
      </c>
      <c r="F1226" s="6" t="inlineStr">
        <is>
          <t>PY_SIN</t>
        </is>
      </c>
      <c r="G1226" s="6" t="inlineStr">
        <is>
          <t>PY</t>
        </is>
      </c>
      <c r="H1226" s="6" t="inlineStr">
        <is>
          <t>PY</t>
        </is>
      </c>
      <c r="I1226" s="8" t="n">
        <v>14132255</v>
      </c>
      <c r="J1226" s="6" t="inlineStr">
        <is>
          <t>MWh</t>
        </is>
      </c>
      <c r="K1226" s="8" t="n">
        <v>14132255</v>
      </c>
      <c r="L1226" s="6" t="inlineStr">
        <is>
          <t>MWh</t>
        </is>
      </c>
      <c r="M1226" s="6" t="inlineStr">
        <is>
          <t>ANDE</t>
        </is>
      </c>
      <c r="N1226" s="6" t="inlineStr">
        <is>
          <t>OFFICIAL_PRIMARY</t>
        </is>
      </c>
      <c r="O1226" s="9" t="inlineStr">
        <is>
          <t>OFFICIAL_AGGREGATE</t>
        </is>
      </c>
      <c r="P1226" s="8" t="n">
        <v>1</v>
      </c>
      <c r="Q1226" s="8" t="n">
        <v>95</v>
      </c>
      <c r="R1226" s="7" t="inlineStr">
        <is>
          <t>https://www.ande.gov.py/finanzas/2.%20COMPILACION%20ESTADISTICA%202003-2023/ANDE%20-%20Compilacion%20Estadistica%202003-2023.pdf</t>
        </is>
      </c>
      <c r="S1226" s="6" t="inlineStr">
        <is>
          <t>ANDE-03-23</t>
        </is>
      </c>
      <c r="T1226" s="6" t="inlineStr"/>
      <c r="U1226" s="4" t="inlineStr">
        <is>
          <t>2026-09-11 00:05:00</t>
        </is>
      </c>
      <c r="V1226" s="4" t="inlineStr">
        <is>
          <t>Compilacion 2003-2023; prioridad canonica. Rupturas metodologicas de categorias en 2016/2017 documentadas por ANDE.</t>
        </is>
      </c>
    </row>
    <row r="1227">
      <c r="A1227" s="6" t="inlineStr">
        <is>
          <t>R0001226</t>
        </is>
      </c>
      <c r="B1227" s="6" t="inlineStr">
        <is>
          <t>2023-01-01</t>
        </is>
      </c>
      <c r="C1227" s="6" t="inlineStr">
        <is>
          <t>2023-12-31</t>
        </is>
      </c>
      <c r="D1227" s="6" t="inlineStr">
        <is>
          <t>year</t>
        </is>
      </c>
      <c r="E1227" s="6" t="inlineStr">
        <is>
          <t>ANDE_BILLED_NATIONAL_ENERGY</t>
        </is>
      </c>
      <c r="F1227" s="6" t="inlineStr">
        <is>
          <t>PY_SIN</t>
        </is>
      </c>
      <c r="G1227" s="6" t="inlineStr">
        <is>
          <t>PY</t>
        </is>
      </c>
      <c r="H1227" s="6" t="inlineStr">
        <is>
          <t>PY</t>
        </is>
      </c>
      <c r="I1227" s="8" t="n">
        <v>15460851</v>
      </c>
      <c r="J1227" s="6" t="inlineStr">
        <is>
          <t>MWh</t>
        </is>
      </c>
      <c r="K1227" s="8" t="n">
        <v>15460851</v>
      </c>
      <c r="L1227" s="6" t="inlineStr">
        <is>
          <t>MWh</t>
        </is>
      </c>
      <c r="M1227" s="6" t="inlineStr">
        <is>
          <t>ANDE</t>
        </is>
      </c>
      <c r="N1227" s="6" t="inlineStr">
        <is>
          <t>OFFICIAL_PRIMARY</t>
        </is>
      </c>
      <c r="O1227" s="9" t="inlineStr">
        <is>
          <t>OFFICIAL_AGGREGATE</t>
        </is>
      </c>
      <c r="P1227" s="8" t="n">
        <v>1</v>
      </c>
      <c r="Q1227" s="8" t="n">
        <v>95</v>
      </c>
      <c r="R1227" s="7" t="inlineStr">
        <is>
          <t>https://www.ande.gov.py/finanzas/2.%20COMPILACION%20ESTADISTICA%202003-2023/ANDE%20-%20Compilacion%20Estadistica%202003-2023.pdf</t>
        </is>
      </c>
      <c r="S1227" s="6" t="inlineStr">
        <is>
          <t>ANDE-03-23</t>
        </is>
      </c>
      <c r="T1227" s="6" t="inlineStr"/>
      <c r="U1227" s="4" t="inlineStr">
        <is>
          <t>2026-09-11 00:05:00</t>
        </is>
      </c>
      <c r="V1227" s="4" t="inlineStr">
        <is>
          <t>Compilacion 2003-2023; prioridad canonica. Rupturas metodologicas de categorias en 2016/2017 documentadas por ANDE.</t>
        </is>
      </c>
    </row>
    <row r="1228">
      <c r="A1228" s="6" t="inlineStr">
        <is>
          <t>R0001227</t>
        </is>
      </c>
      <c r="B1228" s="6" t="inlineStr">
        <is>
          <t>2003-01-01</t>
        </is>
      </c>
      <c r="C1228" s="6" t="inlineStr">
        <is>
          <t>2003-12-31</t>
        </is>
      </c>
      <c r="D1228" s="6" t="inlineStr">
        <is>
          <t>year</t>
        </is>
      </c>
      <c r="E1228" s="6" t="inlineStr">
        <is>
          <t>ANDE_EXPORT_BILLED_ENERGY</t>
        </is>
      </c>
      <c r="F1228" s="6" t="inlineStr">
        <is>
          <t>PY_SIN</t>
        </is>
      </c>
      <c r="G1228" s="6" t="inlineStr">
        <is>
          <t>PY</t>
        </is>
      </c>
      <c r="H1228" s="6" t="inlineStr">
        <is>
          <t>EXTERNAL</t>
        </is>
      </c>
      <c r="I1228" s="8" t="n">
        <v>617476</v>
      </c>
      <c r="J1228" s="6" t="inlineStr">
        <is>
          <t>MWh</t>
        </is>
      </c>
      <c r="K1228" s="8" t="n">
        <v>617476</v>
      </c>
      <c r="L1228" s="6" t="inlineStr">
        <is>
          <t>MWh</t>
        </is>
      </c>
      <c r="M1228" s="6" t="inlineStr">
        <is>
          <t>ANDE</t>
        </is>
      </c>
      <c r="N1228" s="6" t="inlineStr">
        <is>
          <t>OFFICIAL_PRIMARY</t>
        </is>
      </c>
      <c r="O1228" s="9" t="inlineStr">
        <is>
          <t>OFFICIAL_AGGREGATE</t>
        </is>
      </c>
      <c r="P1228" s="8" t="n">
        <v>1</v>
      </c>
      <c r="Q1228" s="8" t="n">
        <v>95</v>
      </c>
      <c r="R1228" s="7" t="inlineStr">
        <is>
          <t>https://www.ande.gov.py/finanzas/2.%20COMPILACION%20ESTADISTICA%202003-2023/ANDE%20-%20Compilacion%20Estadistica%202003-2023.pdf</t>
        </is>
      </c>
      <c r="S1228" s="6" t="inlineStr">
        <is>
          <t>ANDE-03-23</t>
        </is>
      </c>
      <c r="T1228" s="6" t="inlineStr"/>
      <c r="U1228" s="4" t="inlineStr">
        <is>
          <t>2026-09-11 00:05:00</t>
        </is>
      </c>
      <c r="V1228" s="4" t="inlineStr">
        <is>
          <t>Compilacion 2003-2023; prioridad canonica. Rupturas metodologicas de categorias en 2016/2017 documentadas por ANDE.</t>
        </is>
      </c>
    </row>
    <row r="1229">
      <c r="A1229" s="6" t="inlineStr">
        <is>
          <t>R0001228</t>
        </is>
      </c>
      <c r="B1229" s="6" t="inlineStr">
        <is>
          <t>2004-01-01</t>
        </is>
      </c>
      <c r="C1229" s="6" t="inlineStr">
        <is>
          <t>2004-12-31</t>
        </is>
      </c>
      <c r="D1229" s="6" t="inlineStr">
        <is>
          <t>year</t>
        </is>
      </c>
      <c r="E1229" s="6" t="inlineStr">
        <is>
          <t>ANDE_EXPORT_BILLED_ENERGY</t>
        </is>
      </c>
      <c r="F1229" s="6" t="inlineStr">
        <is>
          <t>PY_SIN</t>
        </is>
      </c>
      <c r="G1229" s="6" t="inlineStr">
        <is>
          <t>PY</t>
        </is>
      </c>
      <c r="H1229" s="6" t="inlineStr">
        <is>
          <t>EXTERNAL</t>
        </is>
      </c>
      <c r="I1229" s="8" t="n">
        <v>732380</v>
      </c>
      <c r="J1229" s="6" t="inlineStr">
        <is>
          <t>MWh</t>
        </is>
      </c>
      <c r="K1229" s="8" t="n">
        <v>732380</v>
      </c>
      <c r="L1229" s="6" t="inlineStr">
        <is>
          <t>MWh</t>
        </is>
      </c>
      <c r="M1229" s="6" t="inlineStr">
        <is>
          <t>ANDE</t>
        </is>
      </c>
      <c r="N1229" s="6" t="inlineStr">
        <is>
          <t>OFFICIAL_PRIMARY</t>
        </is>
      </c>
      <c r="O1229" s="9" t="inlineStr">
        <is>
          <t>OFFICIAL_AGGREGATE</t>
        </is>
      </c>
      <c r="P1229" s="8" t="n">
        <v>1</v>
      </c>
      <c r="Q1229" s="8" t="n">
        <v>95</v>
      </c>
      <c r="R1229" s="7" t="inlineStr">
        <is>
          <t>https://www.ande.gov.py/finanzas/2.%20COMPILACION%20ESTADISTICA%202003-2023/ANDE%20-%20Compilacion%20Estadistica%202003-2023.pdf</t>
        </is>
      </c>
      <c r="S1229" s="6" t="inlineStr">
        <is>
          <t>ANDE-03-23</t>
        </is>
      </c>
      <c r="T1229" s="6" t="inlineStr"/>
      <c r="U1229" s="4" t="inlineStr">
        <is>
          <t>2026-09-11 00:05:00</t>
        </is>
      </c>
      <c r="V1229" s="4" t="inlineStr">
        <is>
          <t>Compilacion 2003-2023; prioridad canonica. Rupturas metodologicas de categorias en 2016/2017 documentadas por ANDE.</t>
        </is>
      </c>
    </row>
    <row r="1230">
      <c r="A1230" s="6" t="inlineStr">
        <is>
          <t>R0001229</t>
        </is>
      </c>
      <c r="B1230" s="6" t="inlineStr">
        <is>
          <t>2005-01-01</t>
        </is>
      </c>
      <c r="C1230" s="6" t="inlineStr">
        <is>
          <t>2005-12-31</t>
        </is>
      </c>
      <c r="D1230" s="6" t="inlineStr">
        <is>
          <t>year</t>
        </is>
      </c>
      <c r="E1230" s="6" t="inlineStr">
        <is>
          <t>ANDE_EXPORT_BILLED_ENERGY</t>
        </is>
      </c>
      <c r="F1230" s="6" t="inlineStr">
        <is>
          <t>PY_SIN</t>
        </is>
      </c>
      <c r="G1230" s="6" t="inlineStr">
        <is>
          <t>PY</t>
        </is>
      </c>
      <c r="H1230" s="6" t="inlineStr">
        <is>
          <t>EXTERNAL</t>
        </is>
      </c>
      <c r="I1230" s="8" t="n">
        <v>417117</v>
      </c>
      <c r="J1230" s="6" t="inlineStr">
        <is>
          <t>MWh</t>
        </is>
      </c>
      <c r="K1230" s="8" t="n">
        <v>417117</v>
      </c>
      <c r="L1230" s="6" t="inlineStr">
        <is>
          <t>MWh</t>
        </is>
      </c>
      <c r="M1230" s="6" t="inlineStr">
        <is>
          <t>ANDE</t>
        </is>
      </c>
      <c r="N1230" s="6" t="inlineStr">
        <is>
          <t>OFFICIAL_PRIMARY</t>
        </is>
      </c>
      <c r="O1230" s="9" t="inlineStr">
        <is>
          <t>OFFICIAL_AGGREGATE</t>
        </is>
      </c>
      <c r="P1230" s="8" t="n">
        <v>1</v>
      </c>
      <c r="Q1230" s="8" t="n">
        <v>95</v>
      </c>
      <c r="R1230" s="7" t="inlineStr">
        <is>
          <t>https://www.ande.gov.py/finanzas/2.%20COMPILACION%20ESTADISTICA%202003-2023/ANDE%20-%20Compilacion%20Estadistica%202003-2023.pdf</t>
        </is>
      </c>
      <c r="S1230" s="6" t="inlineStr">
        <is>
          <t>ANDE-03-23</t>
        </is>
      </c>
      <c r="T1230" s="6" t="inlineStr"/>
      <c r="U1230" s="4" t="inlineStr">
        <is>
          <t>2026-09-11 00:05:00</t>
        </is>
      </c>
      <c r="V1230" s="4" t="inlineStr">
        <is>
          <t>Compilacion 2003-2023; prioridad canonica. Rupturas metodologicas de categorias en 2016/2017 documentadas por ANDE.</t>
        </is>
      </c>
    </row>
    <row r="1231">
      <c r="A1231" s="6" t="inlineStr">
        <is>
          <t>R0001230</t>
        </is>
      </c>
      <c r="B1231" s="6" t="inlineStr">
        <is>
          <t>2006-01-01</t>
        </is>
      </c>
      <c r="C1231" s="6" t="inlineStr">
        <is>
          <t>2006-12-31</t>
        </is>
      </c>
      <c r="D1231" s="6" t="inlineStr">
        <is>
          <t>year</t>
        </is>
      </c>
      <c r="E1231" s="6" t="inlineStr">
        <is>
          <t>ANDE_EXPORT_BILLED_ENERGY</t>
        </is>
      </c>
      <c r="F1231" s="6" t="inlineStr">
        <is>
          <t>PY_SIN</t>
        </is>
      </c>
      <c r="G1231" s="6" t="inlineStr">
        <is>
          <t>PY</t>
        </is>
      </c>
      <c r="H1231" s="6" t="inlineStr">
        <is>
          <t>EXTERNAL</t>
        </is>
      </c>
      <c r="I1231" s="8" t="n">
        <v>725646</v>
      </c>
      <c r="J1231" s="6" t="inlineStr">
        <is>
          <t>MWh</t>
        </is>
      </c>
      <c r="K1231" s="8" t="n">
        <v>725646</v>
      </c>
      <c r="L1231" s="6" t="inlineStr">
        <is>
          <t>MWh</t>
        </is>
      </c>
      <c r="M1231" s="6" t="inlineStr">
        <is>
          <t>ANDE</t>
        </is>
      </c>
      <c r="N1231" s="6" t="inlineStr">
        <is>
          <t>OFFICIAL_PRIMARY</t>
        </is>
      </c>
      <c r="O1231" s="9" t="inlineStr">
        <is>
          <t>OFFICIAL_AGGREGATE</t>
        </is>
      </c>
      <c r="P1231" s="8" t="n">
        <v>1</v>
      </c>
      <c r="Q1231" s="8" t="n">
        <v>95</v>
      </c>
      <c r="R1231" s="7" t="inlineStr">
        <is>
          <t>https://www.ande.gov.py/finanzas/2.%20COMPILACION%20ESTADISTICA%202003-2023/ANDE%20-%20Compilacion%20Estadistica%202003-2023.pdf</t>
        </is>
      </c>
      <c r="S1231" s="6" t="inlineStr">
        <is>
          <t>ANDE-03-23</t>
        </is>
      </c>
      <c r="T1231" s="6" t="inlineStr"/>
      <c r="U1231" s="4" t="inlineStr">
        <is>
          <t>2026-09-11 00:05:00</t>
        </is>
      </c>
      <c r="V1231" s="4" t="inlineStr">
        <is>
          <t>Compilacion 2003-2023; prioridad canonica. Rupturas metodologicas de categorias en 2016/2017 documentadas por ANDE.</t>
        </is>
      </c>
    </row>
    <row r="1232">
      <c r="A1232" s="6" t="inlineStr">
        <is>
          <t>R0001231</t>
        </is>
      </c>
      <c r="B1232" s="6" t="inlineStr">
        <is>
          <t>2007-01-01</t>
        </is>
      </c>
      <c r="C1232" s="6" t="inlineStr">
        <is>
          <t>2007-12-31</t>
        </is>
      </c>
      <c r="D1232" s="6" t="inlineStr">
        <is>
          <t>year</t>
        </is>
      </c>
      <c r="E1232" s="6" t="inlineStr">
        <is>
          <t>ANDE_EXPORT_BILLED_ENERGY</t>
        </is>
      </c>
      <c r="F1232" s="6" t="inlineStr">
        <is>
          <t>PY_SIN</t>
        </is>
      </c>
      <c r="G1232" s="6" t="inlineStr">
        <is>
          <t>PY</t>
        </is>
      </c>
      <c r="H1232" s="6" t="inlineStr">
        <is>
          <t>EXTERNAL</t>
        </is>
      </c>
      <c r="I1232" s="8" t="n">
        <v>516677</v>
      </c>
      <c r="J1232" s="6" t="inlineStr">
        <is>
          <t>MWh</t>
        </is>
      </c>
      <c r="K1232" s="8" t="n">
        <v>516677</v>
      </c>
      <c r="L1232" s="6" t="inlineStr">
        <is>
          <t>MWh</t>
        </is>
      </c>
      <c r="M1232" s="6" t="inlineStr">
        <is>
          <t>ANDE</t>
        </is>
      </c>
      <c r="N1232" s="6" t="inlineStr">
        <is>
          <t>OFFICIAL_PRIMARY</t>
        </is>
      </c>
      <c r="O1232" s="9" t="inlineStr">
        <is>
          <t>OFFICIAL_AGGREGATE</t>
        </is>
      </c>
      <c r="P1232" s="8" t="n">
        <v>1</v>
      </c>
      <c r="Q1232" s="8" t="n">
        <v>95</v>
      </c>
      <c r="R1232" s="7" t="inlineStr">
        <is>
          <t>https://www.ande.gov.py/finanzas/2.%20COMPILACION%20ESTADISTICA%202003-2023/ANDE%20-%20Compilacion%20Estadistica%202003-2023.pdf</t>
        </is>
      </c>
      <c r="S1232" s="6" t="inlineStr">
        <is>
          <t>ANDE-03-23</t>
        </is>
      </c>
      <c r="T1232" s="6" t="inlineStr"/>
      <c r="U1232" s="4" t="inlineStr">
        <is>
          <t>2026-09-11 00:05:00</t>
        </is>
      </c>
      <c r="V1232" s="4" t="inlineStr">
        <is>
          <t>Compilacion 2003-2023; prioridad canonica. Rupturas metodologicas de categorias en 2016/2017 documentadas por ANDE.</t>
        </is>
      </c>
    </row>
    <row r="1233">
      <c r="A1233" s="6" t="inlineStr">
        <is>
          <t>R0001232</t>
        </is>
      </c>
      <c r="B1233" s="6" t="inlineStr">
        <is>
          <t>2008-01-01</t>
        </is>
      </c>
      <c r="C1233" s="6" t="inlineStr">
        <is>
          <t>2008-12-31</t>
        </is>
      </c>
      <c r="D1233" s="6" t="inlineStr">
        <is>
          <t>year</t>
        </is>
      </c>
      <c r="E1233" s="6" t="inlineStr">
        <is>
          <t>ANDE_EXPORT_BILLED_ENERGY</t>
        </is>
      </c>
      <c r="F1233" s="6" t="inlineStr">
        <is>
          <t>PY_SIN</t>
        </is>
      </c>
      <c r="G1233" s="6" t="inlineStr">
        <is>
          <t>PY</t>
        </is>
      </c>
      <c r="H1233" s="6" t="inlineStr">
        <is>
          <t>EXTERNAL</t>
        </is>
      </c>
      <c r="I1233" s="8" t="n">
        <v>187682</v>
      </c>
      <c r="J1233" s="6" t="inlineStr">
        <is>
          <t>MWh</t>
        </is>
      </c>
      <c r="K1233" s="8" t="n">
        <v>187682</v>
      </c>
      <c r="L1233" s="6" t="inlineStr">
        <is>
          <t>MWh</t>
        </is>
      </c>
      <c r="M1233" s="6" t="inlineStr">
        <is>
          <t>ANDE</t>
        </is>
      </c>
      <c r="N1233" s="6" t="inlineStr">
        <is>
          <t>OFFICIAL_PRIMARY</t>
        </is>
      </c>
      <c r="O1233" s="9" t="inlineStr">
        <is>
          <t>OFFICIAL_AGGREGATE</t>
        </is>
      </c>
      <c r="P1233" s="8" t="n">
        <v>1</v>
      </c>
      <c r="Q1233" s="8" t="n">
        <v>95</v>
      </c>
      <c r="R1233" s="7" t="inlineStr">
        <is>
          <t>https://www.ande.gov.py/finanzas/2.%20COMPILACION%20ESTADISTICA%202003-2023/ANDE%20-%20Compilacion%20Estadistica%202003-2023.pdf</t>
        </is>
      </c>
      <c r="S1233" s="6" t="inlineStr">
        <is>
          <t>ANDE-03-23</t>
        </is>
      </c>
      <c r="T1233" s="6" t="inlineStr"/>
      <c r="U1233" s="4" t="inlineStr">
        <is>
          <t>2026-09-11 00:05:00</t>
        </is>
      </c>
      <c r="V1233" s="4" t="inlineStr">
        <is>
          <t>Compilacion 2003-2023; prioridad canonica. Rupturas metodologicas de categorias en 2016/2017 documentadas por ANDE.</t>
        </is>
      </c>
    </row>
    <row r="1234">
      <c r="A1234" s="6" t="inlineStr">
        <is>
          <t>R0001233</t>
        </is>
      </c>
      <c r="B1234" s="6" t="inlineStr">
        <is>
          <t>2009-01-01</t>
        </is>
      </c>
      <c r="C1234" s="6" t="inlineStr">
        <is>
          <t>2009-12-31</t>
        </is>
      </c>
      <c r="D1234" s="6" t="inlineStr">
        <is>
          <t>year</t>
        </is>
      </c>
      <c r="E1234" s="6" t="inlineStr">
        <is>
          <t>ANDE_EXPORT_BILLED_ENERGY</t>
        </is>
      </c>
      <c r="F1234" s="6" t="inlineStr">
        <is>
          <t>PY_SIN</t>
        </is>
      </c>
      <c r="G1234" s="6" t="inlineStr">
        <is>
          <t>PY</t>
        </is>
      </c>
      <c r="H1234" s="6" t="inlineStr">
        <is>
          <t>EXTERNAL</t>
        </is>
      </c>
      <c r="I1234" s="8" t="n">
        <v>448213</v>
      </c>
      <c r="J1234" s="6" t="inlineStr">
        <is>
          <t>MWh</t>
        </is>
      </c>
      <c r="K1234" s="8" t="n">
        <v>448213</v>
      </c>
      <c r="L1234" s="6" t="inlineStr">
        <is>
          <t>MWh</t>
        </is>
      </c>
      <c r="M1234" s="6" t="inlineStr">
        <is>
          <t>ANDE</t>
        </is>
      </c>
      <c r="N1234" s="6" t="inlineStr">
        <is>
          <t>OFFICIAL_PRIMARY</t>
        </is>
      </c>
      <c r="O1234" s="9" t="inlineStr">
        <is>
          <t>OFFICIAL_AGGREGATE</t>
        </is>
      </c>
      <c r="P1234" s="8" t="n">
        <v>1</v>
      </c>
      <c r="Q1234" s="8" t="n">
        <v>95</v>
      </c>
      <c r="R1234" s="7" t="inlineStr">
        <is>
          <t>https://www.ande.gov.py/finanzas/2.%20COMPILACION%20ESTADISTICA%202003-2023/ANDE%20-%20Compilacion%20Estadistica%202003-2023.pdf</t>
        </is>
      </c>
      <c r="S1234" s="6" t="inlineStr">
        <is>
          <t>ANDE-03-23</t>
        </is>
      </c>
      <c r="T1234" s="6" t="inlineStr"/>
      <c r="U1234" s="4" t="inlineStr">
        <is>
          <t>2026-09-11 00:05:00</t>
        </is>
      </c>
      <c r="V1234" s="4" t="inlineStr">
        <is>
          <t>Compilacion 2003-2023; prioridad canonica. Rupturas metodologicas de categorias en 2016/2017 documentadas por ANDE.</t>
        </is>
      </c>
    </row>
    <row r="1235">
      <c r="A1235" s="6" t="inlineStr">
        <is>
          <t>R0001234</t>
        </is>
      </c>
      <c r="B1235" s="6" t="inlineStr">
        <is>
          <t>2010-01-01</t>
        </is>
      </c>
      <c r="C1235" s="6" t="inlineStr">
        <is>
          <t>2010-12-31</t>
        </is>
      </c>
      <c r="D1235" s="6" t="inlineStr">
        <is>
          <t>year</t>
        </is>
      </c>
      <c r="E1235" s="6" t="inlineStr">
        <is>
          <t>ANDE_EXPORT_BILLED_ENERGY</t>
        </is>
      </c>
      <c r="F1235" s="6" t="inlineStr">
        <is>
          <t>PY_SIN</t>
        </is>
      </c>
      <c r="G1235" s="6" t="inlineStr">
        <is>
          <t>PY</t>
        </is>
      </c>
      <c r="H1235" s="6" t="inlineStr">
        <is>
          <t>EXTERNAL</t>
        </is>
      </c>
      <c r="I1235" s="8" t="n">
        <v>355233</v>
      </c>
      <c r="J1235" s="6" t="inlineStr">
        <is>
          <t>MWh</t>
        </is>
      </c>
      <c r="K1235" s="8" t="n">
        <v>355233</v>
      </c>
      <c r="L1235" s="6" t="inlineStr">
        <is>
          <t>MWh</t>
        </is>
      </c>
      <c r="M1235" s="6" t="inlineStr">
        <is>
          <t>ANDE</t>
        </is>
      </c>
      <c r="N1235" s="6" t="inlineStr">
        <is>
          <t>OFFICIAL_PRIMARY</t>
        </is>
      </c>
      <c r="O1235" s="9" t="inlineStr">
        <is>
          <t>OFFICIAL_AGGREGATE</t>
        </is>
      </c>
      <c r="P1235" s="8" t="n">
        <v>1</v>
      </c>
      <c r="Q1235" s="8" t="n">
        <v>95</v>
      </c>
      <c r="R1235" s="7" t="inlineStr">
        <is>
          <t>https://www.ande.gov.py/finanzas/2.%20COMPILACION%20ESTADISTICA%202003-2023/ANDE%20-%20Compilacion%20Estadistica%202003-2023.pdf</t>
        </is>
      </c>
      <c r="S1235" s="6" t="inlineStr">
        <is>
          <t>ANDE-03-23</t>
        </is>
      </c>
      <c r="T1235" s="6" t="inlineStr"/>
      <c r="U1235" s="4" t="inlineStr">
        <is>
          <t>2026-09-11 00:05:00</t>
        </is>
      </c>
      <c r="V1235" s="4" t="inlineStr">
        <is>
          <t>Compilacion 2003-2023; prioridad canonica. Rupturas metodologicas de categorias en 2016/2017 documentadas por ANDE.</t>
        </is>
      </c>
    </row>
    <row r="1236">
      <c r="A1236" s="6" t="inlineStr">
        <is>
          <t>R0001235</t>
        </is>
      </c>
      <c r="B1236" s="6" t="inlineStr">
        <is>
          <t>2011-01-01</t>
        </is>
      </c>
      <c r="C1236" s="6" t="inlineStr">
        <is>
          <t>2011-12-31</t>
        </is>
      </c>
      <c r="D1236" s="6" t="inlineStr">
        <is>
          <t>year</t>
        </is>
      </c>
      <c r="E1236" s="6" t="inlineStr">
        <is>
          <t>ANDE_EXPORT_BILLED_ENERGY</t>
        </is>
      </c>
      <c r="F1236" s="6" t="inlineStr">
        <is>
          <t>PY_SIN</t>
        </is>
      </c>
      <c r="G1236" s="6" t="inlineStr">
        <is>
          <t>PY</t>
        </is>
      </c>
      <c r="H1236" s="6" t="inlineStr">
        <is>
          <t>EXTERNAL</t>
        </is>
      </c>
      <c r="I1236" s="8" t="n">
        <v>135862</v>
      </c>
      <c r="J1236" s="6" t="inlineStr">
        <is>
          <t>MWh</t>
        </is>
      </c>
      <c r="K1236" s="8" t="n">
        <v>135862</v>
      </c>
      <c r="L1236" s="6" t="inlineStr">
        <is>
          <t>MWh</t>
        </is>
      </c>
      <c r="M1236" s="6" t="inlineStr">
        <is>
          <t>ANDE</t>
        </is>
      </c>
      <c r="N1236" s="6" t="inlineStr">
        <is>
          <t>OFFICIAL_PRIMARY</t>
        </is>
      </c>
      <c r="O1236" s="9" t="inlineStr">
        <is>
          <t>OFFICIAL_AGGREGATE</t>
        </is>
      </c>
      <c r="P1236" s="8" t="n">
        <v>1</v>
      </c>
      <c r="Q1236" s="8" t="n">
        <v>95</v>
      </c>
      <c r="R1236" s="7" t="inlineStr">
        <is>
          <t>https://www.ande.gov.py/finanzas/2.%20COMPILACION%20ESTADISTICA%202003-2023/ANDE%20-%20Compilacion%20Estadistica%202003-2023.pdf</t>
        </is>
      </c>
      <c r="S1236" s="6" t="inlineStr">
        <is>
          <t>ANDE-03-23</t>
        </is>
      </c>
      <c r="T1236" s="6" t="inlineStr"/>
      <c r="U1236" s="4" t="inlineStr">
        <is>
          <t>2026-09-11 00:05:00</t>
        </is>
      </c>
      <c r="V1236" s="4" t="inlineStr">
        <is>
          <t>Compilacion 2003-2023; prioridad canonica. Rupturas metodologicas de categorias en 2016/2017 documentadas por ANDE.</t>
        </is>
      </c>
    </row>
    <row r="1237">
      <c r="A1237" s="6" t="inlineStr">
        <is>
          <t>R0001236</t>
        </is>
      </c>
      <c r="B1237" s="6" t="inlineStr">
        <is>
          <t>2012-01-01</t>
        </is>
      </c>
      <c r="C1237" s="6" t="inlineStr">
        <is>
          <t>2012-12-31</t>
        </is>
      </c>
      <c r="D1237" s="6" t="inlineStr">
        <is>
          <t>year</t>
        </is>
      </c>
      <c r="E1237" s="6" t="inlineStr">
        <is>
          <t>ANDE_EXPORT_BILLED_ENERGY</t>
        </is>
      </c>
      <c r="F1237" s="6" t="inlineStr">
        <is>
          <t>PY_SIN</t>
        </is>
      </c>
      <c r="G1237" s="6" t="inlineStr">
        <is>
          <t>PY</t>
        </is>
      </c>
      <c r="H1237" s="6" t="inlineStr">
        <is>
          <t>EXTERNAL</t>
        </is>
      </c>
      <c r="I1237" s="8" t="n">
        <v>151068</v>
      </c>
      <c r="J1237" s="6" t="inlineStr">
        <is>
          <t>MWh</t>
        </is>
      </c>
      <c r="K1237" s="8" t="n">
        <v>151068</v>
      </c>
      <c r="L1237" s="6" t="inlineStr">
        <is>
          <t>MWh</t>
        </is>
      </c>
      <c r="M1237" s="6" t="inlineStr">
        <is>
          <t>ANDE</t>
        </is>
      </c>
      <c r="N1237" s="6" t="inlineStr">
        <is>
          <t>OFFICIAL_PRIMARY</t>
        </is>
      </c>
      <c r="O1237" s="9" t="inlineStr">
        <is>
          <t>OFFICIAL_AGGREGATE</t>
        </is>
      </c>
      <c r="P1237" s="8" t="n">
        <v>1</v>
      </c>
      <c r="Q1237" s="8" t="n">
        <v>95</v>
      </c>
      <c r="R1237" s="7" t="inlineStr">
        <is>
          <t>https://www.ande.gov.py/finanzas/2.%20COMPILACION%20ESTADISTICA%202003-2023/ANDE%20-%20Compilacion%20Estadistica%202003-2023.pdf</t>
        </is>
      </c>
      <c r="S1237" s="6" t="inlineStr">
        <is>
          <t>ANDE-03-23</t>
        </is>
      </c>
      <c r="T1237" s="6" t="inlineStr"/>
      <c r="U1237" s="4" t="inlineStr">
        <is>
          <t>2026-09-11 00:05:00</t>
        </is>
      </c>
      <c r="V1237" s="4" t="inlineStr">
        <is>
          <t>Compilacion 2003-2023; prioridad canonica. Rupturas metodologicas de categorias en 2016/2017 documentadas por ANDE.</t>
        </is>
      </c>
    </row>
    <row r="1238">
      <c r="A1238" s="6" t="inlineStr">
        <is>
          <t>R0001237</t>
        </is>
      </c>
      <c r="B1238" s="6" t="inlineStr">
        <is>
          <t>2013-01-01</t>
        </is>
      </c>
      <c r="C1238" s="6" t="inlineStr">
        <is>
          <t>2013-12-31</t>
        </is>
      </c>
      <c r="D1238" s="6" t="inlineStr">
        <is>
          <t>year</t>
        </is>
      </c>
      <c r="E1238" s="6" t="inlineStr">
        <is>
          <t>ANDE_EXPORT_BILLED_ENERGY</t>
        </is>
      </c>
      <c r="F1238" s="6" t="inlineStr">
        <is>
          <t>PY_SIN</t>
        </is>
      </c>
      <c r="G1238" s="6" t="inlineStr">
        <is>
          <t>PY</t>
        </is>
      </c>
      <c r="H1238" s="6" t="inlineStr">
        <is>
          <t>EXTERNAL</t>
        </is>
      </c>
      <c r="I1238" s="8" t="n">
        <v>135348</v>
      </c>
      <c r="J1238" s="6" t="inlineStr">
        <is>
          <t>MWh</t>
        </is>
      </c>
      <c r="K1238" s="8" t="n">
        <v>135348</v>
      </c>
      <c r="L1238" s="6" t="inlineStr">
        <is>
          <t>MWh</t>
        </is>
      </c>
      <c r="M1238" s="6" t="inlineStr">
        <is>
          <t>ANDE</t>
        </is>
      </c>
      <c r="N1238" s="6" t="inlineStr">
        <is>
          <t>OFFICIAL_PRIMARY</t>
        </is>
      </c>
      <c r="O1238" s="9" t="inlineStr">
        <is>
          <t>OFFICIAL_AGGREGATE</t>
        </is>
      </c>
      <c r="P1238" s="8" t="n">
        <v>1</v>
      </c>
      <c r="Q1238" s="8" t="n">
        <v>95</v>
      </c>
      <c r="R1238" s="7" t="inlineStr">
        <is>
          <t>https://www.ande.gov.py/finanzas/2.%20COMPILACION%20ESTADISTICA%202003-2023/ANDE%20-%20Compilacion%20Estadistica%202003-2023.pdf</t>
        </is>
      </c>
      <c r="S1238" s="6" t="inlineStr">
        <is>
          <t>ANDE-03-23</t>
        </is>
      </c>
      <c r="T1238" s="6" t="inlineStr"/>
      <c r="U1238" s="4" t="inlineStr">
        <is>
          <t>2026-09-11 00:05:00</t>
        </is>
      </c>
      <c r="V1238" s="4" t="inlineStr">
        <is>
          <t>Compilacion 2003-2023; prioridad canonica. Rupturas metodologicas de categorias en 2016/2017 documentadas por ANDE.</t>
        </is>
      </c>
    </row>
    <row r="1239">
      <c r="A1239" s="6" t="inlineStr">
        <is>
          <t>R0001238</t>
        </is>
      </c>
      <c r="B1239" s="6" t="inlineStr">
        <is>
          <t>2014-01-01</t>
        </is>
      </c>
      <c r="C1239" s="6" t="inlineStr">
        <is>
          <t>2014-12-31</t>
        </is>
      </c>
      <c r="D1239" s="6" t="inlineStr">
        <is>
          <t>year</t>
        </is>
      </c>
      <c r="E1239" s="6" t="inlineStr">
        <is>
          <t>ANDE_EXPORT_BILLED_ENERGY</t>
        </is>
      </c>
      <c r="F1239" s="6" t="inlineStr">
        <is>
          <t>PY_SIN</t>
        </is>
      </c>
      <c r="G1239" s="6" t="inlineStr">
        <is>
          <t>PY</t>
        </is>
      </c>
      <c r="H1239" s="6" t="inlineStr">
        <is>
          <t>EXTERNAL</t>
        </is>
      </c>
      <c r="I1239" s="8" t="n">
        <v>116132</v>
      </c>
      <c r="J1239" s="6" t="inlineStr">
        <is>
          <t>MWh</t>
        </is>
      </c>
      <c r="K1239" s="8" t="n">
        <v>116132</v>
      </c>
      <c r="L1239" s="6" t="inlineStr">
        <is>
          <t>MWh</t>
        </is>
      </c>
      <c r="M1239" s="6" t="inlineStr">
        <is>
          <t>ANDE</t>
        </is>
      </c>
      <c r="N1239" s="6" t="inlineStr">
        <is>
          <t>OFFICIAL_PRIMARY</t>
        </is>
      </c>
      <c r="O1239" s="9" t="inlineStr">
        <is>
          <t>OFFICIAL_AGGREGATE</t>
        </is>
      </c>
      <c r="P1239" s="8" t="n">
        <v>1</v>
      </c>
      <c r="Q1239" s="8" t="n">
        <v>95</v>
      </c>
      <c r="R1239" s="7" t="inlineStr">
        <is>
          <t>https://www.ande.gov.py/finanzas/2.%20COMPILACION%20ESTADISTICA%202003-2023/ANDE%20-%20Compilacion%20Estadistica%202003-2023.pdf</t>
        </is>
      </c>
      <c r="S1239" s="6" t="inlineStr">
        <is>
          <t>ANDE-03-23</t>
        </is>
      </c>
      <c r="T1239" s="6" t="inlineStr"/>
      <c r="U1239" s="4" t="inlineStr">
        <is>
          <t>2026-09-11 00:05:00</t>
        </is>
      </c>
      <c r="V1239" s="4" t="inlineStr">
        <is>
          <t>Compilacion 2003-2023; prioridad canonica. Rupturas metodologicas de categorias en 2016/2017 documentadas por ANDE.</t>
        </is>
      </c>
    </row>
    <row r="1240">
      <c r="A1240" s="6" t="inlineStr">
        <is>
          <t>R0001239</t>
        </is>
      </c>
      <c r="B1240" s="6" t="inlineStr">
        <is>
          <t>2015-01-01</t>
        </is>
      </c>
      <c r="C1240" s="6" t="inlineStr">
        <is>
          <t>2015-12-31</t>
        </is>
      </c>
      <c r="D1240" s="6" t="inlineStr">
        <is>
          <t>year</t>
        </is>
      </c>
      <c r="E1240" s="6" t="inlineStr">
        <is>
          <t>ANDE_EXPORT_BILLED_ENERGY</t>
        </is>
      </c>
      <c r="F1240" s="6" t="inlineStr">
        <is>
          <t>PY_SIN</t>
        </is>
      </c>
      <c r="G1240" s="6" t="inlineStr">
        <is>
          <t>PY</t>
        </is>
      </c>
      <c r="H1240" s="6" t="inlineStr">
        <is>
          <t>EXTERNAL</t>
        </is>
      </c>
      <c r="I1240" s="8" t="n">
        <v>113307</v>
      </c>
      <c r="J1240" s="6" t="inlineStr">
        <is>
          <t>MWh</t>
        </is>
      </c>
      <c r="K1240" s="8" t="n">
        <v>113307</v>
      </c>
      <c r="L1240" s="6" t="inlineStr">
        <is>
          <t>MWh</t>
        </is>
      </c>
      <c r="M1240" s="6" t="inlineStr">
        <is>
          <t>ANDE</t>
        </is>
      </c>
      <c r="N1240" s="6" t="inlineStr">
        <is>
          <t>OFFICIAL_PRIMARY</t>
        </is>
      </c>
      <c r="O1240" s="9" t="inlineStr">
        <is>
          <t>OFFICIAL_AGGREGATE</t>
        </is>
      </c>
      <c r="P1240" s="8" t="n">
        <v>1</v>
      </c>
      <c r="Q1240" s="8" t="n">
        <v>95</v>
      </c>
      <c r="R1240" s="7" t="inlineStr">
        <is>
          <t>https://www.ande.gov.py/finanzas/2.%20COMPILACION%20ESTADISTICA%202003-2023/ANDE%20-%20Compilacion%20Estadistica%202003-2023.pdf</t>
        </is>
      </c>
      <c r="S1240" s="6" t="inlineStr">
        <is>
          <t>ANDE-03-23</t>
        </is>
      </c>
      <c r="T1240" s="6" t="inlineStr"/>
      <c r="U1240" s="4" t="inlineStr">
        <is>
          <t>2026-09-11 00:05:00</t>
        </is>
      </c>
      <c r="V1240" s="4" t="inlineStr">
        <is>
          <t>Compilacion 2003-2023; prioridad canonica. Rupturas metodologicas de categorias en 2016/2017 documentadas por ANDE.</t>
        </is>
      </c>
    </row>
    <row r="1241">
      <c r="A1241" s="6" t="inlineStr">
        <is>
          <t>R0001240</t>
        </is>
      </c>
      <c r="B1241" s="6" t="inlineStr">
        <is>
          <t>2016-01-01</t>
        </is>
      </c>
      <c r="C1241" s="6" t="inlineStr">
        <is>
          <t>2016-12-31</t>
        </is>
      </c>
      <c r="D1241" s="6" t="inlineStr">
        <is>
          <t>year</t>
        </is>
      </c>
      <c r="E1241" s="6" t="inlineStr">
        <is>
          <t>ANDE_EXPORT_BILLED_ENERGY</t>
        </is>
      </c>
      <c r="F1241" s="6" t="inlineStr">
        <is>
          <t>PY_SIN</t>
        </is>
      </c>
      <c r="G1241" s="6" t="inlineStr">
        <is>
          <t>PY</t>
        </is>
      </c>
      <c r="H1241" s="6" t="inlineStr">
        <is>
          <t>EXTERNAL</t>
        </is>
      </c>
      <c r="I1241" s="8" t="n">
        <v>120179</v>
      </c>
      <c r="J1241" s="6" t="inlineStr">
        <is>
          <t>MWh</t>
        </is>
      </c>
      <c r="K1241" s="8" t="n">
        <v>120179</v>
      </c>
      <c r="L1241" s="6" t="inlineStr">
        <is>
          <t>MWh</t>
        </is>
      </c>
      <c r="M1241" s="6" t="inlineStr">
        <is>
          <t>ANDE</t>
        </is>
      </c>
      <c r="N1241" s="6" t="inlineStr">
        <is>
          <t>OFFICIAL_PRIMARY</t>
        </is>
      </c>
      <c r="O1241" s="9" t="inlineStr">
        <is>
          <t>OFFICIAL_AGGREGATE</t>
        </is>
      </c>
      <c r="P1241" s="8" t="n">
        <v>1</v>
      </c>
      <c r="Q1241" s="8" t="n">
        <v>95</v>
      </c>
      <c r="R1241" s="7" t="inlineStr">
        <is>
          <t>https://www.ande.gov.py/finanzas/2.%20COMPILACION%20ESTADISTICA%202003-2023/ANDE%20-%20Compilacion%20Estadistica%202003-2023.pdf</t>
        </is>
      </c>
      <c r="S1241" s="6" t="inlineStr">
        <is>
          <t>ANDE-03-23</t>
        </is>
      </c>
      <c r="T1241" s="6" t="inlineStr"/>
      <c r="U1241" s="4" t="inlineStr">
        <is>
          <t>2026-09-11 00:05:00</t>
        </is>
      </c>
      <c r="V1241" s="4" t="inlineStr">
        <is>
          <t>Compilacion 2003-2023; prioridad canonica. Rupturas metodologicas de categorias en 2016/2017 documentadas por ANDE.</t>
        </is>
      </c>
    </row>
    <row r="1242">
      <c r="A1242" s="6" t="inlineStr">
        <is>
          <t>R0001241</t>
        </is>
      </c>
      <c r="B1242" s="6" t="inlineStr">
        <is>
          <t>2017-01-01</t>
        </is>
      </c>
      <c r="C1242" s="6" t="inlineStr">
        <is>
          <t>2017-12-31</t>
        </is>
      </c>
      <c r="D1242" s="6" t="inlineStr">
        <is>
          <t>year</t>
        </is>
      </c>
      <c r="E1242" s="6" t="inlineStr">
        <is>
          <t>ANDE_EXPORT_BILLED_ENERGY</t>
        </is>
      </c>
      <c r="F1242" s="6" t="inlineStr">
        <is>
          <t>PY_SIN</t>
        </is>
      </c>
      <c r="G1242" s="6" t="inlineStr">
        <is>
          <t>PY</t>
        </is>
      </c>
      <c r="H1242" s="6" t="inlineStr">
        <is>
          <t>EXTERNAL</t>
        </is>
      </c>
      <c r="I1242" s="8" t="n">
        <v>70493</v>
      </c>
      <c r="J1242" s="6" t="inlineStr">
        <is>
          <t>MWh</t>
        </is>
      </c>
      <c r="K1242" s="8" t="n">
        <v>70493</v>
      </c>
      <c r="L1242" s="6" t="inlineStr">
        <is>
          <t>MWh</t>
        </is>
      </c>
      <c r="M1242" s="6" t="inlineStr">
        <is>
          <t>ANDE</t>
        </is>
      </c>
      <c r="N1242" s="6" t="inlineStr">
        <is>
          <t>OFFICIAL_PRIMARY</t>
        </is>
      </c>
      <c r="O1242" s="9" t="inlineStr">
        <is>
          <t>OFFICIAL_AGGREGATE</t>
        </is>
      </c>
      <c r="P1242" s="8" t="n">
        <v>1</v>
      </c>
      <c r="Q1242" s="8" t="n">
        <v>95</v>
      </c>
      <c r="R1242" s="7" t="inlineStr">
        <is>
          <t>https://www.ande.gov.py/finanzas/2.%20COMPILACION%20ESTADISTICA%202003-2023/ANDE%20-%20Compilacion%20Estadistica%202003-2023.pdf</t>
        </is>
      </c>
      <c r="S1242" s="6" t="inlineStr">
        <is>
          <t>ANDE-03-23</t>
        </is>
      </c>
      <c r="T1242" s="6" t="inlineStr"/>
      <c r="U1242" s="4" t="inlineStr">
        <is>
          <t>2026-09-11 00:05:00</t>
        </is>
      </c>
      <c r="V1242" s="4" t="inlineStr">
        <is>
          <t>Compilacion 2003-2023; prioridad canonica. Rupturas metodologicas de categorias en 2016/2017 documentadas por ANDE.</t>
        </is>
      </c>
    </row>
    <row r="1243">
      <c r="A1243" s="6" t="inlineStr">
        <is>
          <t>R0001242</t>
        </is>
      </c>
      <c r="B1243" s="6" t="inlineStr">
        <is>
          <t>2018-01-01</t>
        </is>
      </c>
      <c r="C1243" s="6" t="inlineStr">
        <is>
          <t>2018-12-31</t>
        </is>
      </c>
      <c r="D1243" s="6" t="inlineStr">
        <is>
          <t>year</t>
        </is>
      </c>
      <c r="E1243" s="6" t="inlineStr">
        <is>
          <t>ANDE_EXPORT_BILLED_ENERGY</t>
        </is>
      </c>
      <c r="F1243" s="6" t="inlineStr">
        <is>
          <t>PY_SIN</t>
        </is>
      </c>
      <c r="G1243" s="6" t="inlineStr">
        <is>
          <t>PY</t>
        </is>
      </c>
      <c r="H1243" s="6" t="inlineStr">
        <is>
          <t>EXTERNAL</t>
        </is>
      </c>
      <c r="I1243" s="8" t="n">
        <v>26162</v>
      </c>
      <c r="J1243" s="6" t="inlineStr">
        <is>
          <t>MWh</t>
        </is>
      </c>
      <c r="K1243" s="8" t="n">
        <v>26162</v>
      </c>
      <c r="L1243" s="6" t="inlineStr">
        <is>
          <t>MWh</t>
        </is>
      </c>
      <c r="M1243" s="6" t="inlineStr">
        <is>
          <t>ANDE</t>
        </is>
      </c>
      <c r="N1243" s="6" t="inlineStr">
        <is>
          <t>OFFICIAL_PRIMARY</t>
        </is>
      </c>
      <c r="O1243" s="9" t="inlineStr">
        <is>
          <t>OFFICIAL_AGGREGATE</t>
        </is>
      </c>
      <c r="P1243" s="8" t="n">
        <v>1</v>
      </c>
      <c r="Q1243" s="8" t="n">
        <v>95</v>
      </c>
      <c r="R1243" s="7" t="inlineStr">
        <is>
          <t>https://www.ande.gov.py/finanzas/2.%20COMPILACION%20ESTADISTICA%202003-2023/ANDE%20-%20Compilacion%20Estadistica%202003-2023.pdf</t>
        </is>
      </c>
      <c r="S1243" s="6" t="inlineStr">
        <is>
          <t>ANDE-03-23</t>
        </is>
      </c>
      <c r="T1243" s="6" t="inlineStr"/>
      <c r="U1243" s="4" t="inlineStr">
        <is>
          <t>2026-09-11 00:05:00</t>
        </is>
      </c>
      <c r="V1243" s="4" t="inlineStr">
        <is>
          <t>Compilacion 2003-2023; prioridad canonica. Rupturas metodologicas de categorias en 2016/2017 documentadas por ANDE.</t>
        </is>
      </c>
    </row>
    <row r="1244">
      <c r="A1244" s="6" t="inlineStr">
        <is>
          <t>R0001243</t>
        </is>
      </c>
      <c r="B1244" s="6" t="inlineStr">
        <is>
          <t>2019-01-01</t>
        </is>
      </c>
      <c r="C1244" s="6" t="inlineStr">
        <is>
          <t>2019-12-31</t>
        </is>
      </c>
      <c r="D1244" s="6" t="inlineStr">
        <is>
          <t>year</t>
        </is>
      </c>
      <c r="E1244" s="6" t="inlineStr">
        <is>
          <t>ANDE_EXPORT_BILLED_ENERGY</t>
        </is>
      </c>
      <c r="F1244" s="6" t="inlineStr">
        <is>
          <t>PY_SIN</t>
        </is>
      </c>
      <c r="G1244" s="6" t="inlineStr">
        <is>
          <t>PY</t>
        </is>
      </c>
      <c r="H1244" s="6" t="inlineStr">
        <is>
          <t>EXTERNAL</t>
        </is>
      </c>
      <c r="I1244" s="8" t="n">
        <v>127001</v>
      </c>
      <c r="J1244" s="6" t="inlineStr">
        <is>
          <t>MWh</t>
        </is>
      </c>
      <c r="K1244" s="8" t="n">
        <v>127001</v>
      </c>
      <c r="L1244" s="6" t="inlineStr">
        <is>
          <t>MWh</t>
        </is>
      </c>
      <c r="M1244" s="6" t="inlineStr">
        <is>
          <t>ANDE</t>
        </is>
      </c>
      <c r="N1244" s="6" t="inlineStr">
        <is>
          <t>OFFICIAL_PRIMARY</t>
        </is>
      </c>
      <c r="O1244" s="9" t="inlineStr">
        <is>
          <t>OFFICIAL_AGGREGATE</t>
        </is>
      </c>
      <c r="P1244" s="8" t="n">
        <v>1</v>
      </c>
      <c r="Q1244" s="8" t="n">
        <v>95</v>
      </c>
      <c r="R1244" s="7" t="inlineStr">
        <is>
          <t>https://www.ande.gov.py/finanzas/2.%20COMPILACION%20ESTADISTICA%202003-2023/ANDE%20-%20Compilacion%20Estadistica%202003-2023.pdf</t>
        </is>
      </c>
      <c r="S1244" s="6" t="inlineStr">
        <is>
          <t>ANDE-03-23</t>
        </is>
      </c>
      <c r="T1244" s="6" t="inlineStr"/>
      <c r="U1244" s="4" t="inlineStr">
        <is>
          <t>2026-09-11 00:05:00</t>
        </is>
      </c>
      <c r="V1244" s="4" t="inlineStr">
        <is>
          <t>Compilacion 2003-2023; prioridad canonica. Rupturas metodologicas de categorias en 2016/2017 documentadas por ANDE.</t>
        </is>
      </c>
    </row>
    <row r="1245">
      <c r="A1245" s="6" t="inlineStr">
        <is>
          <t>R0001244</t>
        </is>
      </c>
      <c r="B1245" s="6" t="inlineStr">
        <is>
          <t>2020-01-01</t>
        </is>
      </c>
      <c r="C1245" s="6" t="inlineStr">
        <is>
          <t>2020-12-31</t>
        </is>
      </c>
      <c r="D1245" s="6" t="inlineStr">
        <is>
          <t>year</t>
        </is>
      </c>
      <c r="E1245" s="6" t="inlineStr">
        <is>
          <t>ANDE_EXPORT_BILLED_ENERGY</t>
        </is>
      </c>
      <c r="F1245" s="6" t="inlineStr">
        <is>
          <t>PY_SIN</t>
        </is>
      </c>
      <c r="G1245" s="6" t="inlineStr">
        <is>
          <t>PY</t>
        </is>
      </c>
      <c r="H1245" s="6" t="inlineStr">
        <is>
          <t>EXTERNAL</t>
        </is>
      </c>
      <c r="I1245" s="8" t="n">
        <v>145467</v>
      </c>
      <c r="J1245" s="6" t="inlineStr">
        <is>
          <t>MWh</t>
        </is>
      </c>
      <c r="K1245" s="8" t="n">
        <v>145467</v>
      </c>
      <c r="L1245" s="6" t="inlineStr">
        <is>
          <t>MWh</t>
        </is>
      </c>
      <c r="M1245" s="6" t="inlineStr">
        <is>
          <t>ANDE</t>
        </is>
      </c>
      <c r="N1245" s="6" t="inlineStr">
        <is>
          <t>OFFICIAL_PRIMARY</t>
        </is>
      </c>
      <c r="O1245" s="9" t="inlineStr">
        <is>
          <t>OFFICIAL_AGGREGATE</t>
        </is>
      </c>
      <c r="P1245" s="8" t="n">
        <v>1</v>
      </c>
      <c r="Q1245" s="8" t="n">
        <v>95</v>
      </c>
      <c r="R1245" s="7" t="inlineStr">
        <is>
          <t>https://www.ande.gov.py/finanzas/2.%20COMPILACION%20ESTADISTICA%202003-2023/ANDE%20-%20Compilacion%20Estadistica%202003-2023.pdf</t>
        </is>
      </c>
      <c r="S1245" s="6" t="inlineStr">
        <is>
          <t>ANDE-03-23</t>
        </is>
      </c>
      <c r="T1245" s="6" t="inlineStr"/>
      <c r="U1245" s="4" t="inlineStr">
        <is>
          <t>2026-09-11 00:05:00</t>
        </is>
      </c>
      <c r="V1245" s="4" t="inlineStr">
        <is>
          <t>Compilacion 2003-2023; prioridad canonica. Rupturas metodologicas de categorias en 2016/2017 documentadas por ANDE.</t>
        </is>
      </c>
    </row>
    <row r="1246">
      <c r="A1246" s="6" t="inlineStr">
        <is>
          <t>R0001245</t>
        </is>
      </c>
      <c r="B1246" s="6" t="inlineStr">
        <is>
          <t>2021-01-01</t>
        </is>
      </c>
      <c r="C1246" s="6" t="inlineStr">
        <is>
          <t>2021-12-31</t>
        </is>
      </c>
      <c r="D1246" s="6" t="inlineStr">
        <is>
          <t>year</t>
        </is>
      </c>
      <c r="E1246" s="6" t="inlineStr">
        <is>
          <t>ANDE_EXPORT_BILLED_ENERGY</t>
        </is>
      </c>
      <c r="F1246" s="6" t="inlineStr">
        <is>
          <t>PY_SIN</t>
        </is>
      </c>
      <c r="G1246" s="6" t="inlineStr">
        <is>
          <t>PY</t>
        </is>
      </c>
      <c r="H1246" s="6" t="inlineStr">
        <is>
          <t>EXTERNAL</t>
        </is>
      </c>
      <c r="I1246" s="8" t="n">
        <v>147793</v>
      </c>
      <c r="J1246" s="6" t="inlineStr">
        <is>
          <t>MWh</t>
        </is>
      </c>
      <c r="K1246" s="8" t="n">
        <v>147793</v>
      </c>
      <c r="L1246" s="6" t="inlineStr">
        <is>
          <t>MWh</t>
        </is>
      </c>
      <c r="M1246" s="6" t="inlineStr">
        <is>
          <t>ANDE</t>
        </is>
      </c>
      <c r="N1246" s="6" t="inlineStr">
        <is>
          <t>OFFICIAL_PRIMARY</t>
        </is>
      </c>
      <c r="O1246" s="9" t="inlineStr">
        <is>
          <t>OFFICIAL_AGGREGATE</t>
        </is>
      </c>
      <c r="P1246" s="8" t="n">
        <v>1</v>
      </c>
      <c r="Q1246" s="8" t="n">
        <v>95</v>
      </c>
      <c r="R1246" s="7" t="inlineStr">
        <is>
          <t>https://www.ande.gov.py/finanzas/2.%20COMPILACION%20ESTADISTICA%202003-2023/ANDE%20-%20Compilacion%20Estadistica%202003-2023.pdf</t>
        </is>
      </c>
      <c r="S1246" s="6" t="inlineStr">
        <is>
          <t>ANDE-03-23</t>
        </is>
      </c>
      <c r="T1246" s="6" t="inlineStr"/>
      <c r="U1246" s="4" t="inlineStr">
        <is>
          <t>2026-09-11 00:05:00</t>
        </is>
      </c>
      <c r="V1246" s="4" t="inlineStr">
        <is>
          <t>Compilacion 2003-2023; prioridad canonica. Rupturas metodologicas de categorias en 2016/2017 documentadas por ANDE.</t>
        </is>
      </c>
    </row>
    <row r="1247">
      <c r="A1247" s="6" t="inlineStr">
        <is>
          <t>R0001246</t>
        </is>
      </c>
      <c r="B1247" s="6" t="inlineStr">
        <is>
          <t>2022-01-01</t>
        </is>
      </c>
      <c r="C1247" s="6" t="inlineStr">
        <is>
          <t>2022-12-31</t>
        </is>
      </c>
      <c r="D1247" s="6" t="inlineStr">
        <is>
          <t>year</t>
        </is>
      </c>
      <c r="E1247" s="6" t="inlineStr">
        <is>
          <t>ANDE_EXPORT_BILLED_ENERGY</t>
        </is>
      </c>
      <c r="F1247" s="6" t="inlineStr">
        <is>
          <t>PY_SIN</t>
        </is>
      </c>
      <c r="G1247" s="6" t="inlineStr">
        <is>
          <t>PY</t>
        </is>
      </c>
      <c r="H1247" s="6" t="inlineStr">
        <is>
          <t>EXTERNAL</t>
        </is>
      </c>
      <c r="I1247" s="8" t="n">
        <v>106604</v>
      </c>
      <c r="J1247" s="6" t="inlineStr">
        <is>
          <t>MWh</t>
        </is>
      </c>
      <c r="K1247" s="8" t="n">
        <v>106604</v>
      </c>
      <c r="L1247" s="6" t="inlineStr">
        <is>
          <t>MWh</t>
        </is>
      </c>
      <c r="M1247" s="6" t="inlineStr">
        <is>
          <t>ANDE</t>
        </is>
      </c>
      <c r="N1247" s="6" t="inlineStr">
        <is>
          <t>OFFICIAL_PRIMARY</t>
        </is>
      </c>
      <c r="O1247" s="9" t="inlineStr">
        <is>
          <t>OFFICIAL_AGGREGATE</t>
        </is>
      </c>
      <c r="P1247" s="8" t="n">
        <v>1</v>
      </c>
      <c r="Q1247" s="8" t="n">
        <v>95</v>
      </c>
      <c r="R1247" s="7" t="inlineStr">
        <is>
          <t>https://www.ande.gov.py/finanzas/2.%20COMPILACION%20ESTADISTICA%202003-2023/ANDE%20-%20Compilacion%20Estadistica%202003-2023.pdf</t>
        </is>
      </c>
      <c r="S1247" s="6" t="inlineStr">
        <is>
          <t>ANDE-03-23</t>
        </is>
      </c>
      <c r="T1247" s="6" t="inlineStr"/>
      <c r="U1247" s="4" t="inlineStr">
        <is>
          <t>2026-09-11 00:05:00</t>
        </is>
      </c>
      <c r="V1247" s="4" t="inlineStr">
        <is>
          <t>Compilacion 2003-2023; prioridad canonica. Rupturas metodologicas de categorias en 2016/2017 documentadas por ANDE.</t>
        </is>
      </c>
    </row>
    <row r="1248">
      <c r="A1248" s="6" t="inlineStr">
        <is>
          <t>R0001247</t>
        </is>
      </c>
      <c r="B1248" s="6" t="inlineStr">
        <is>
          <t>2023-01-01</t>
        </is>
      </c>
      <c r="C1248" s="6" t="inlineStr">
        <is>
          <t>2023-12-31</t>
        </is>
      </c>
      <c r="D1248" s="6" t="inlineStr">
        <is>
          <t>year</t>
        </is>
      </c>
      <c r="E1248" s="6" t="inlineStr">
        <is>
          <t>ANDE_EXPORT_BILLED_ENERGY</t>
        </is>
      </c>
      <c r="F1248" s="6" t="inlineStr">
        <is>
          <t>PY_SIN</t>
        </is>
      </c>
      <c r="G1248" s="6" t="inlineStr">
        <is>
          <t>PY</t>
        </is>
      </c>
      <c r="H1248" s="6" t="inlineStr">
        <is>
          <t>EXTERNAL</t>
        </is>
      </c>
      <c r="I1248" s="8" t="n">
        <v>112898</v>
      </c>
      <c r="J1248" s="6" t="inlineStr">
        <is>
          <t>MWh</t>
        </is>
      </c>
      <c r="K1248" s="8" t="n">
        <v>112898</v>
      </c>
      <c r="L1248" s="6" t="inlineStr">
        <is>
          <t>MWh</t>
        </is>
      </c>
      <c r="M1248" s="6" t="inlineStr">
        <is>
          <t>ANDE</t>
        </is>
      </c>
      <c r="N1248" s="6" t="inlineStr">
        <is>
          <t>OFFICIAL_PRIMARY</t>
        </is>
      </c>
      <c r="O1248" s="9" t="inlineStr">
        <is>
          <t>OFFICIAL_AGGREGATE</t>
        </is>
      </c>
      <c r="P1248" s="8" t="n">
        <v>1</v>
      </c>
      <c r="Q1248" s="8" t="n">
        <v>95</v>
      </c>
      <c r="R1248" s="7" t="inlineStr">
        <is>
          <t>https://www.ande.gov.py/finanzas/2.%20COMPILACION%20ESTADISTICA%202003-2023/ANDE%20-%20Compilacion%20Estadistica%202003-2023.pdf</t>
        </is>
      </c>
      <c r="S1248" s="6" t="inlineStr">
        <is>
          <t>ANDE-03-23</t>
        </is>
      </c>
      <c r="T1248" s="6" t="inlineStr"/>
      <c r="U1248" s="4" t="inlineStr">
        <is>
          <t>2026-09-11 00:05:00</t>
        </is>
      </c>
      <c r="V1248" s="4" t="inlineStr">
        <is>
          <t>Compilacion 2003-2023; prioridad canonica. Rupturas metodologicas de categorias en 2016/2017 documentadas por ANDE.</t>
        </is>
      </c>
    </row>
    <row r="1249">
      <c r="A1249" s="6" t="inlineStr">
        <is>
          <t>R0001248</t>
        </is>
      </c>
      <c r="B1249" s="6" t="inlineStr">
        <is>
          <t>2003-01-01</t>
        </is>
      </c>
      <c r="C1249" s="6" t="inlineStr">
        <is>
          <t>2003-12-31</t>
        </is>
      </c>
      <c r="D1249" s="6" t="inlineStr">
        <is>
          <t>year</t>
        </is>
      </c>
      <c r="E1249" s="6" t="inlineStr">
        <is>
          <t>PY_GROSS_OWN_GENERATION</t>
        </is>
      </c>
      <c r="F1249" s="6" t="inlineStr">
        <is>
          <t>PY_SIN</t>
        </is>
      </c>
      <c r="G1249" s="6" t="inlineStr">
        <is>
          <t>PY</t>
        </is>
      </c>
      <c r="H1249" s="6" t="inlineStr">
        <is>
          <t>PY</t>
        </is>
      </c>
      <c r="I1249" s="8" t="n">
        <v>1017918</v>
      </c>
      <c r="J1249" s="6" t="inlineStr">
        <is>
          <t>MWh</t>
        </is>
      </c>
      <c r="K1249" s="8" t="n">
        <v>1017918</v>
      </c>
      <c r="L1249" s="6" t="inlineStr">
        <is>
          <t>MWh</t>
        </is>
      </c>
      <c r="M1249" s="6" t="inlineStr">
        <is>
          <t>ANDE</t>
        </is>
      </c>
      <c r="N1249" s="6" t="inlineStr">
        <is>
          <t>OFFICIAL_PRIMARY</t>
        </is>
      </c>
      <c r="O1249" s="9" t="inlineStr">
        <is>
          <t>OFFICIAL_AGGREGATE</t>
        </is>
      </c>
      <c r="P1249" s="8" t="n">
        <v>1</v>
      </c>
      <c r="Q1249" s="8" t="n">
        <v>85</v>
      </c>
      <c r="R1249" s="7" t="inlineStr">
        <is>
          <t>https://www.ande.gov.py/finanzas/2.%20COMPILACION%20ESTADISTICA%202003-2023/ANDE%20-%20Compilacion%20Estadistica%202003-2023.pdf</t>
        </is>
      </c>
      <c r="S1249" s="6" t="inlineStr">
        <is>
          <t>ANDE-03-23</t>
        </is>
      </c>
      <c r="T1249" s="6" t="inlineStr"/>
      <c r="U1249" s="4" t="inlineStr">
        <is>
          <t>2026-09-11 00:05:00</t>
        </is>
      </c>
      <c r="V1249" s="4" t="inlineStr">
        <is>
          <t>Balance electrico ANDE.</t>
        </is>
      </c>
    </row>
    <row r="1250">
      <c r="A1250" s="6" t="inlineStr">
        <is>
          <t>R0001249</t>
        </is>
      </c>
      <c r="B1250" s="6" t="inlineStr">
        <is>
          <t>2004-01-01</t>
        </is>
      </c>
      <c r="C1250" s="6" t="inlineStr">
        <is>
          <t>2004-12-31</t>
        </is>
      </c>
      <c r="D1250" s="6" t="inlineStr">
        <is>
          <t>year</t>
        </is>
      </c>
      <c r="E1250" s="6" t="inlineStr">
        <is>
          <t>PY_GROSS_OWN_GENERATION</t>
        </is>
      </c>
      <c r="F1250" s="6" t="inlineStr">
        <is>
          <t>PY_SIN</t>
        </is>
      </c>
      <c r="G1250" s="6" t="inlineStr">
        <is>
          <t>PY</t>
        </is>
      </c>
      <c r="H1250" s="6" t="inlineStr">
        <is>
          <t>PY</t>
        </is>
      </c>
      <c r="I1250" s="8" t="n">
        <v>932161</v>
      </c>
      <c r="J1250" s="6" t="inlineStr">
        <is>
          <t>MWh</t>
        </is>
      </c>
      <c r="K1250" s="8" t="n">
        <v>932161</v>
      </c>
      <c r="L1250" s="6" t="inlineStr">
        <is>
          <t>MWh</t>
        </is>
      </c>
      <c r="M1250" s="6" t="inlineStr">
        <is>
          <t>ANDE</t>
        </is>
      </c>
      <c r="N1250" s="6" t="inlineStr">
        <is>
          <t>OFFICIAL_PRIMARY</t>
        </is>
      </c>
      <c r="O1250" s="9" t="inlineStr">
        <is>
          <t>OFFICIAL_AGGREGATE</t>
        </is>
      </c>
      <c r="P1250" s="8" t="n">
        <v>1</v>
      </c>
      <c r="Q1250" s="8" t="n">
        <v>85</v>
      </c>
      <c r="R1250" s="7" t="inlineStr">
        <is>
          <t>https://www.ande.gov.py/finanzas/2.%20COMPILACION%20ESTADISTICA%202003-2023/ANDE%20-%20Compilacion%20Estadistica%202003-2023.pdf</t>
        </is>
      </c>
      <c r="S1250" s="6" t="inlineStr">
        <is>
          <t>ANDE-03-23</t>
        </is>
      </c>
      <c r="T1250" s="6" t="inlineStr"/>
      <c r="U1250" s="4" t="inlineStr">
        <is>
          <t>2026-09-11 00:05:00</t>
        </is>
      </c>
      <c r="V1250" s="4" t="inlineStr">
        <is>
          <t>Balance electrico ANDE.</t>
        </is>
      </c>
    </row>
    <row r="1251">
      <c r="A1251" s="6" t="inlineStr">
        <is>
          <t>R0001250</t>
        </is>
      </c>
      <c r="B1251" s="6" t="inlineStr">
        <is>
          <t>2005-01-01</t>
        </is>
      </c>
      <c r="C1251" s="6" t="inlineStr">
        <is>
          <t>2005-12-31</t>
        </is>
      </c>
      <c r="D1251" s="6" t="inlineStr">
        <is>
          <t>year</t>
        </is>
      </c>
      <c r="E1251" s="6" t="inlineStr">
        <is>
          <t>PY_GROSS_OWN_GENERATION</t>
        </is>
      </c>
      <c r="F1251" s="6" t="inlineStr">
        <is>
          <t>PY_SIN</t>
        </is>
      </c>
      <c r="G1251" s="6" t="inlineStr">
        <is>
          <t>PY</t>
        </is>
      </c>
      <c r="H1251" s="6" t="inlineStr">
        <is>
          <t>PY</t>
        </is>
      </c>
      <c r="I1251" s="8" t="n">
        <v>766032</v>
      </c>
      <c r="J1251" s="6" t="inlineStr">
        <is>
          <t>MWh</t>
        </is>
      </c>
      <c r="K1251" s="8" t="n">
        <v>766032</v>
      </c>
      <c r="L1251" s="6" t="inlineStr">
        <is>
          <t>MWh</t>
        </is>
      </c>
      <c r="M1251" s="6" t="inlineStr">
        <is>
          <t>ANDE</t>
        </is>
      </c>
      <c r="N1251" s="6" t="inlineStr">
        <is>
          <t>OFFICIAL_PRIMARY</t>
        </is>
      </c>
      <c r="O1251" s="9" t="inlineStr">
        <is>
          <t>OFFICIAL_AGGREGATE</t>
        </is>
      </c>
      <c r="P1251" s="8" t="n">
        <v>1</v>
      </c>
      <c r="Q1251" s="8" t="n">
        <v>85</v>
      </c>
      <c r="R1251" s="7" t="inlineStr">
        <is>
          <t>https://www.ande.gov.py/finanzas/2.%20COMPILACION%20ESTADISTICA%202003-2023/ANDE%20-%20Compilacion%20Estadistica%202003-2023.pdf</t>
        </is>
      </c>
      <c r="S1251" s="6" t="inlineStr">
        <is>
          <t>ANDE-03-23</t>
        </is>
      </c>
      <c r="T1251" s="6" t="inlineStr"/>
      <c r="U1251" s="4" t="inlineStr">
        <is>
          <t>2026-09-11 00:05:00</t>
        </is>
      </c>
      <c r="V1251" s="4" t="inlineStr">
        <is>
          <t>Balance electrico ANDE.</t>
        </is>
      </c>
    </row>
    <row r="1252">
      <c r="A1252" s="6" t="inlineStr">
        <is>
          <t>R0001251</t>
        </is>
      </c>
      <c r="B1252" s="6" t="inlineStr">
        <is>
          <t>2006-01-01</t>
        </is>
      </c>
      <c r="C1252" s="6" t="inlineStr">
        <is>
          <t>2006-12-31</t>
        </is>
      </c>
      <c r="D1252" s="6" t="inlineStr">
        <is>
          <t>year</t>
        </is>
      </c>
      <c r="E1252" s="6" t="inlineStr">
        <is>
          <t>PY_GROSS_OWN_GENERATION</t>
        </is>
      </c>
      <c r="F1252" s="6" t="inlineStr">
        <is>
          <t>PY_SIN</t>
        </is>
      </c>
      <c r="G1252" s="6" t="inlineStr">
        <is>
          <t>PY</t>
        </is>
      </c>
      <c r="H1252" s="6" t="inlineStr">
        <is>
          <t>PY</t>
        </is>
      </c>
      <c r="I1252" s="8" t="n">
        <v>801972</v>
      </c>
      <c r="J1252" s="6" t="inlineStr">
        <is>
          <t>MWh</t>
        </is>
      </c>
      <c r="K1252" s="8" t="n">
        <v>801972</v>
      </c>
      <c r="L1252" s="6" t="inlineStr">
        <is>
          <t>MWh</t>
        </is>
      </c>
      <c r="M1252" s="6" t="inlineStr">
        <is>
          <t>ANDE</t>
        </is>
      </c>
      <c r="N1252" s="6" t="inlineStr">
        <is>
          <t>OFFICIAL_PRIMARY</t>
        </is>
      </c>
      <c r="O1252" s="9" t="inlineStr">
        <is>
          <t>OFFICIAL_AGGREGATE</t>
        </is>
      </c>
      <c r="P1252" s="8" t="n">
        <v>1</v>
      </c>
      <c r="Q1252" s="8" t="n">
        <v>85</v>
      </c>
      <c r="R1252" s="7" t="inlineStr">
        <is>
          <t>https://www.ande.gov.py/finanzas/2.%20COMPILACION%20ESTADISTICA%202003-2023/ANDE%20-%20Compilacion%20Estadistica%202003-2023.pdf</t>
        </is>
      </c>
      <c r="S1252" s="6" t="inlineStr">
        <is>
          <t>ANDE-03-23</t>
        </is>
      </c>
      <c r="T1252" s="6" t="inlineStr"/>
      <c r="U1252" s="4" t="inlineStr">
        <is>
          <t>2026-09-11 00:05:00</t>
        </is>
      </c>
      <c r="V1252" s="4" t="inlineStr">
        <is>
          <t>Balance electrico ANDE.</t>
        </is>
      </c>
    </row>
    <row r="1253">
      <c r="A1253" s="6" t="inlineStr">
        <is>
          <t>R0001252</t>
        </is>
      </c>
      <c r="B1253" s="6" t="inlineStr">
        <is>
          <t>2007-01-01</t>
        </is>
      </c>
      <c r="C1253" s="6" t="inlineStr">
        <is>
          <t>2007-12-31</t>
        </is>
      </c>
      <c r="D1253" s="6" t="inlineStr">
        <is>
          <t>year</t>
        </is>
      </c>
      <c r="E1253" s="6" t="inlineStr">
        <is>
          <t>PY_GROSS_OWN_GENERATION</t>
        </is>
      </c>
      <c r="F1253" s="6" t="inlineStr">
        <is>
          <t>PY_SIN</t>
        </is>
      </c>
      <c r="G1253" s="6" t="inlineStr">
        <is>
          <t>PY</t>
        </is>
      </c>
      <c r="H1253" s="6" t="inlineStr">
        <is>
          <t>PY</t>
        </is>
      </c>
      <c r="I1253" s="8" t="n">
        <v>960945</v>
      </c>
      <c r="J1253" s="6" t="inlineStr">
        <is>
          <t>MWh</t>
        </is>
      </c>
      <c r="K1253" s="8" t="n">
        <v>960945</v>
      </c>
      <c r="L1253" s="6" t="inlineStr">
        <is>
          <t>MWh</t>
        </is>
      </c>
      <c r="M1253" s="6" t="inlineStr">
        <is>
          <t>ANDE</t>
        </is>
      </c>
      <c r="N1253" s="6" t="inlineStr">
        <is>
          <t>OFFICIAL_PRIMARY</t>
        </is>
      </c>
      <c r="O1253" s="9" t="inlineStr">
        <is>
          <t>OFFICIAL_AGGREGATE</t>
        </is>
      </c>
      <c r="P1253" s="8" t="n">
        <v>1</v>
      </c>
      <c r="Q1253" s="8" t="n">
        <v>85</v>
      </c>
      <c r="R1253" s="7" t="inlineStr">
        <is>
          <t>https://www.ande.gov.py/finanzas/2.%20COMPILACION%20ESTADISTICA%202003-2023/ANDE%20-%20Compilacion%20Estadistica%202003-2023.pdf</t>
        </is>
      </c>
      <c r="S1253" s="6" t="inlineStr">
        <is>
          <t>ANDE-03-23</t>
        </is>
      </c>
      <c r="T1253" s="6" t="inlineStr"/>
      <c r="U1253" s="4" t="inlineStr">
        <is>
          <t>2026-09-11 00:05:00</t>
        </is>
      </c>
      <c r="V1253" s="4" t="inlineStr">
        <is>
          <t>Balance electrico ANDE.</t>
        </is>
      </c>
    </row>
    <row r="1254">
      <c r="A1254" s="6" t="inlineStr">
        <is>
          <t>R0001253</t>
        </is>
      </c>
      <c r="B1254" s="6" t="inlineStr">
        <is>
          <t>2008-01-01</t>
        </is>
      </c>
      <c r="C1254" s="6" t="inlineStr">
        <is>
          <t>2008-12-31</t>
        </is>
      </c>
      <c r="D1254" s="6" t="inlineStr">
        <is>
          <t>year</t>
        </is>
      </c>
      <c r="E1254" s="6" t="inlineStr">
        <is>
          <t>PY_GROSS_OWN_GENERATION</t>
        </is>
      </c>
      <c r="F1254" s="6" t="inlineStr">
        <is>
          <t>PY_SIN</t>
        </is>
      </c>
      <c r="G1254" s="6" t="inlineStr">
        <is>
          <t>PY</t>
        </is>
      </c>
      <c r="H1254" s="6" t="inlineStr">
        <is>
          <t>PY</t>
        </is>
      </c>
      <c r="I1254" s="8" t="n">
        <v>460500</v>
      </c>
      <c r="J1254" s="6" t="inlineStr">
        <is>
          <t>MWh</t>
        </is>
      </c>
      <c r="K1254" s="8" t="n">
        <v>460500</v>
      </c>
      <c r="L1254" s="6" t="inlineStr">
        <is>
          <t>MWh</t>
        </is>
      </c>
      <c r="M1254" s="6" t="inlineStr">
        <is>
          <t>ANDE</t>
        </is>
      </c>
      <c r="N1254" s="6" t="inlineStr">
        <is>
          <t>OFFICIAL_PRIMARY</t>
        </is>
      </c>
      <c r="O1254" s="9" t="inlineStr">
        <is>
          <t>OFFICIAL_AGGREGATE</t>
        </is>
      </c>
      <c r="P1254" s="8" t="n">
        <v>1</v>
      </c>
      <c r="Q1254" s="8" t="n">
        <v>85</v>
      </c>
      <c r="R1254" s="7" t="inlineStr">
        <is>
          <t>https://www.ande.gov.py/finanzas/2.%20COMPILACION%20ESTADISTICA%202003-2023/ANDE%20-%20Compilacion%20Estadistica%202003-2023.pdf</t>
        </is>
      </c>
      <c r="S1254" s="6" t="inlineStr">
        <is>
          <t>ANDE-03-23</t>
        </is>
      </c>
      <c r="T1254" s="6" t="inlineStr"/>
      <c r="U1254" s="4" t="inlineStr">
        <is>
          <t>2026-09-11 00:05:00</t>
        </is>
      </c>
      <c r="V1254" s="4" t="inlineStr">
        <is>
          <t>Balance electrico ANDE.</t>
        </is>
      </c>
    </row>
    <row r="1255">
      <c r="A1255" s="6" t="inlineStr">
        <is>
          <t>R0001254</t>
        </is>
      </c>
      <c r="B1255" s="6" t="inlineStr">
        <is>
          <t>2009-01-01</t>
        </is>
      </c>
      <c r="C1255" s="6" t="inlineStr">
        <is>
          <t>2009-12-31</t>
        </is>
      </c>
      <c r="D1255" s="6" t="inlineStr">
        <is>
          <t>year</t>
        </is>
      </c>
      <c r="E1255" s="6" t="inlineStr">
        <is>
          <t>PY_GROSS_OWN_GENERATION</t>
        </is>
      </c>
      <c r="F1255" s="6" t="inlineStr">
        <is>
          <t>PY_SIN</t>
        </is>
      </c>
      <c r="G1255" s="6" t="inlineStr">
        <is>
          <t>PY</t>
        </is>
      </c>
      <c r="H1255" s="6" t="inlineStr">
        <is>
          <t>PY</t>
        </is>
      </c>
      <c r="I1255" s="8" t="n">
        <v>744548</v>
      </c>
      <c r="J1255" s="6" t="inlineStr">
        <is>
          <t>MWh</t>
        </is>
      </c>
      <c r="K1255" s="8" t="n">
        <v>744548</v>
      </c>
      <c r="L1255" s="6" t="inlineStr">
        <is>
          <t>MWh</t>
        </is>
      </c>
      <c r="M1255" s="6" t="inlineStr">
        <is>
          <t>ANDE</t>
        </is>
      </c>
      <c r="N1255" s="6" t="inlineStr">
        <is>
          <t>OFFICIAL_PRIMARY</t>
        </is>
      </c>
      <c r="O1255" s="9" t="inlineStr">
        <is>
          <t>OFFICIAL_AGGREGATE</t>
        </is>
      </c>
      <c r="P1255" s="8" t="n">
        <v>1</v>
      </c>
      <c r="Q1255" s="8" t="n">
        <v>85</v>
      </c>
      <c r="R1255" s="7" t="inlineStr">
        <is>
          <t>https://www.ande.gov.py/finanzas/2.%20COMPILACION%20ESTADISTICA%202003-2023/ANDE%20-%20Compilacion%20Estadistica%202003-2023.pdf</t>
        </is>
      </c>
      <c r="S1255" s="6" t="inlineStr">
        <is>
          <t>ANDE-03-23</t>
        </is>
      </c>
      <c r="T1255" s="6" t="inlineStr"/>
      <c r="U1255" s="4" t="inlineStr">
        <is>
          <t>2026-09-11 00:05:00</t>
        </is>
      </c>
      <c r="V1255" s="4" t="inlineStr">
        <is>
          <t>Balance electrico ANDE.</t>
        </is>
      </c>
    </row>
    <row r="1256">
      <c r="A1256" s="6" t="inlineStr">
        <is>
          <t>R0001255</t>
        </is>
      </c>
      <c r="B1256" s="6" t="inlineStr">
        <is>
          <t>2010-01-01</t>
        </is>
      </c>
      <c r="C1256" s="6" t="inlineStr">
        <is>
          <t>2010-12-31</t>
        </is>
      </c>
      <c r="D1256" s="6" t="inlineStr">
        <is>
          <t>year</t>
        </is>
      </c>
      <c r="E1256" s="6" t="inlineStr">
        <is>
          <t>PY_GROSS_OWN_GENERATION</t>
        </is>
      </c>
      <c r="F1256" s="6" t="inlineStr">
        <is>
          <t>PY_SIN</t>
        </is>
      </c>
      <c r="G1256" s="6" t="inlineStr">
        <is>
          <t>PY</t>
        </is>
      </c>
      <c r="H1256" s="6" t="inlineStr">
        <is>
          <t>PY</t>
        </is>
      </c>
      <c r="I1256" s="8" t="n">
        <v>1142350</v>
      </c>
      <c r="J1256" s="6" t="inlineStr">
        <is>
          <t>MWh</t>
        </is>
      </c>
      <c r="K1256" s="8" t="n">
        <v>1142350</v>
      </c>
      <c r="L1256" s="6" t="inlineStr">
        <is>
          <t>MWh</t>
        </is>
      </c>
      <c r="M1256" s="6" t="inlineStr">
        <is>
          <t>ANDE</t>
        </is>
      </c>
      <c r="N1256" s="6" t="inlineStr">
        <is>
          <t>OFFICIAL_PRIMARY</t>
        </is>
      </c>
      <c r="O1256" s="9" t="inlineStr">
        <is>
          <t>OFFICIAL_AGGREGATE</t>
        </is>
      </c>
      <c r="P1256" s="8" t="n">
        <v>1</v>
      </c>
      <c r="Q1256" s="8" t="n">
        <v>85</v>
      </c>
      <c r="R1256" s="7" t="inlineStr">
        <is>
          <t>https://www.ande.gov.py/finanzas/2.%20COMPILACION%20ESTADISTICA%202003-2023/ANDE%20-%20Compilacion%20Estadistica%202003-2023.pdf</t>
        </is>
      </c>
      <c r="S1256" s="6" t="inlineStr">
        <is>
          <t>ANDE-03-23</t>
        </is>
      </c>
      <c r="T1256" s="6" t="inlineStr"/>
      <c r="U1256" s="4" t="inlineStr">
        <is>
          <t>2026-09-11 00:05:00</t>
        </is>
      </c>
      <c r="V1256" s="4" t="inlineStr">
        <is>
          <t>Balance electrico ANDE.</t>
        </is>
      </c>
    </row>
    <row r="1257">
      <c r="A1257" s="6" t="inlineStr">
        <is>
          <t>R0001256</t>
        </is>
      </c>
      <c r="B1257" s="6" t="inlineStr">
        <is>
          <t>2011-01-01</t>
        </is>
      </c>
      <c r="C1257" s="6" t="inlineStr">
        <is>
          <t>2011-12-31</t>
        </is>
      </c>
      <c r="D1257" s="6" t="inlineStr">
        <is>
          <t>year</t>
        </is>
      </c>
      <c r="E1257" s="6" t="inlineStr">
        <is>
          <t>PY_GROSS_OWN_GENERATION</t>
        </is>
      </c>
      <c r="F1257" s="6" t="inlineStr">
        <is>
          <t>PY_SIN</t>
        </is>
      </c>
      <c r="G1257" s="6" t="inlineStr">
        <is>
          <t>PY</t>
        </is>
      </c>
      <c r="H1257" s="6" t="inlineStr">
        <is>
          <t>PY</t>
        </is>
      </c>
      <c r="I1257" s="8" t="n">
        <v>950816</v>
      </c>
      <c r="J1257" s="6" t="inlineStr">
        <is>
          <t>MWh</t>
        </is>
      </c>
      <c r="K1257" s="8" t="n">
        <v>950816</v>
      </c>
      <c r="L1257" s="6" t="inlineStr">
        <is>
          <t>MWh</t>
        </is>
      </c>
      <c r="M1257" s="6" t="inlineStr">
        <is>
          <t>ANDE</t>
        </is>
      </c>
      <c r="N1257" s="6" t="inlineStr">
        <is>
          <t>OFFICIAL_PRIMARY</t>
        </is>
      </c>
      <c r="O1257" s="9" t="inlineStr">
        <is>
          <t>OFFICIAL_AGGREGATE</t>
        </is>
      </c>
      <c r="P1257" s="8" t="n">
        <v>1</v>
      </c>
      <c r="Q1257" s="8" t="n">
        <v>85</v>
      </c>
      <c r="R1257" s="7" t="inlineStr">
        <is>
          <t>https://www.ande.gov.py/finanzas/2.%20COMPILACION%20ESTADISTICA%202003-2023/ANDE%20-%20Compilacion%20Estadistica%202003-2023.pdf</t>
        </is>
      </c>
      <c r="S1257" s="6" t="inlineStr">
        <is>
          <t>ANDE-03-23</t>
        </is>
      </c>
      <c r="T1257" s="6" t="inlineStr"/>
      <c r="U1257" s="4" t="inlineStr">
        <is>
          <t>2026-09-11 00:05:00</t>
        </is>
      </c>
      <c r="V1257" s="4" t="inlineStr">
        <is>
          <t>Balance electrico ANDE.</t>
        </is>
      </c>
    </row>
    <row r="1258">
      <c r="A1258" s="6" t="inlineStr">
        <is>
          <t>R0001257</t>
        </is>
      </c>
      <c r="B1258" s="6" t="inlineStr">
        <is>
          <t>2012-01-01</t>
        </is>
      </c>
      <c r="C1258" s="6" t="inlineStr">
        <is>
          <t>2012-12-31</t>
        </is>
      </c>
      <c r="D1258" s="6" t="inlineStr">
        <is>
          <t>year</t>
        </is>
      </c>
      <c r="E1258" s="6" t="inlineStr">
        <is>
          <t>PY_GROSS_OWN_GENERATION</t>
        </is>
      </c>
      <c r="F1258" s="6" t="inlineStr">
        <is>
          <t>PY_SIN</t>
        </is>
      </c>
      <c r="G1258" s="6" t="inlineStr">
        <is>
          <t>PY</t>
        </is>
      </c>
      <c r="H1258" s="6" t="inlineStr">
        <is>
          <t>PY</t>
        </is>
      </c>
      <c r="I1258" s="8" t="n">
        <v>932316</v>
      </c>
      <c r="J1258" s="6" t="inlineStr">
        <is>
          <t>MWh</t>
        </is>
      </c>
      <c r="K1258" s="8" t="n">
        <v>932316</v>
      </c>
      <c r="L1258" s="6" t="inlineStr">
        <is>
          <t>MWh</t>
        </is>
      </c>
      <c r="M1258" s="6" t="inlineStr">
        <is>
          <t>ANDE</t>
        </is>
      </c>
      <c r="N1258" s="6" t="inlineStr">
        <is>
          <t>OFFICIAL_PRIMARY</t>
        </is>
      </c>
      <c r="O1258" s="9" t="inlineStr">
        <is>
          <t>OFFICIAL_AGGREGATE</t>
        </is>
      </c>
      <c r="P1258" s="8" t="n">
        <v>1</v>
      </c>
      <c r="Q1258" s="8" t="n">
        <v>85</v>
      </c>
      <c r="R1258" s="7" t="inlineStr">
        <is>
          <t>https://www.ande.gov.py/finanzas/2.%20COMPILACION%20ESTADISTICA%202003-2023/ANDE%20-%20Compilacion%20Estadistica%202003-2023.pdf</t>
        </is>
      </c>
      <c r="S1258" s="6" t="inlineStr">
        <is>
          <t>ANDE-03-23</t>
        </is>
      </c>
      <c r="T1258" s="6" t="inlineStr"/>
      <c r="U1258" s="4" t="inlineStr">
        <is>
          <t>2026-09-11 00:05:00</t>
        </is>
      </c>
      <c r="V1258" s="4" t="inlineStr">
        <is>
          <t>Balance electrico ANDE.</t>
        </is>
      </c>
    </row>
    <row r="1259">
      <c r="A1259" s="6" t="inlineStr">
        <is>
          <t>R0001258</t>
        </is>
      </c>
      <c r="B1259" s="6" t="inlineStr">
        <is>
          <t>2013-01-01</t>
        </is>
      </c>
      <c r="C1259" s="6" t="inlineStr">
        <is>
          <t>2013-12-31</t>
        </is>
      </c>
      <c r="D1259" s="6" t="inlineStr">
        <is>
          <t>year</t>
        </is>
      </c>
      <c r="E1259" s="6" t="inlineStr">
        <is>
          <t>PY_GROSS_OWN_GENERATION</t>
        </is>
      </c>
      <c r="F1259" s="6" t="inlineStr">
        <is>
          <t>PY_SIN</t>
        </is>
      </c>
      <c r="G1259" s="6" t="inlineStr">
        <is>
          <t>PY</t>
        </is>
      </c>
      <c r="H1259" s="6" t="inlineStr">
        <is>
          <t>PY</t>
        </is>
      </c>
      <c r="I1259" s="8" t="n">
        <v>897287</v>
      </c>
      <c r="J1259" s="6" t="inlineStr">
        <is>
          <t>MWh</t>
        </is>
      </c>
      <c r="K1259" s="8" t="n">
        <v>897287</v>
      </c>
      <c r="L1259" s="6" t="inlineStr">
        <is>
          <t>MWh</t>
        </is>
      </c>
      <c r="M1259" s="6" t="inlineStr">
        <is>
          <t>ANDE</t>
        </is>
      </c>
      <c r="N1259" s="6" t="inlineStr">
        <is>
          <t>OFFICIAL_PRIMARY</t>
        </is>
      </c>
      <c r="O1259" s="9" t="inlineStr">
        <is>
          <t>OFFICIAL_AGGREGATE</t>
        </is>
      </c>
      <c r="P1259" s="8" t="n">
        <v>1</v>
      </c>
      <c r="Q1259" s="8" t="n">
        <v>85</v>
      </c>
      <c r="R1259" s="7" t="inlineStr">
        <is>
          <t>https://www.ande.gov.py/finanzas/2.%20COMPILACION%20ESTADISTICA%202003-2023/ANDE%20-%20Compilacion%20Estadistica%202003-2023.pdf</t>
        </is>
      </c>
      <c r="S1259" s="6" t="inlineStr">
        <is>
          <t>ANDE-03-23</t>
        </is>
      </c>
      <c r="T1259" s="6" t="inlineStr"/>
      <c r="U1259" s="4" t="inlineStr">
        <is>
          <t>2026-09-11 00:05:00</t>
        </is>
      </c>
      <c r="V1259" s="4" t="inlineStr">
        <is>
          <t>Balance electrico ANDE.</t>
        </is>
      </c>
    </row>
    <row r="1260">
      <c r="A1260" s="6" t="inlineStr">
        <is>
          <t>R0001259</t>
        </is>
      </c>
      <c r="B1260" s="6" t="inlineStr">
        <is>
          <t>2014-01-01</t>
        </is>
      </c>
      <c r="C1260" s="6" t="inlineStr">
        <is>
          <t>2014-12-31</t>
        </is>
      </c>
      <c r="D1260" s="6" t="inlineStr">
        <is>
          <t>year</t>
        </is>
      </c>
      <c r="E1260" s="6" t="inlineStr">
        <is>
          <t>PY_GROSS_OWN_GENERATION</t>
        </is>
      </c>
      <c r="F1260" s="6" t="inlineStr">
        <is>
          <t>PY_SIN</t>
        </is>
      </c>
      <c r="G1260" s="6" t="inlineStr">
        <is>
          <t>PY</t>
        </is>
      </c>
      <c r="H1260" s="6" t="inlineStr">
        <is>
          <t>PY</t>
        </is>
      </c>
      <c r="I1260" s="8" t="n">
        <v>1114662</v>
      </c>
      <c r="J1260" s="6" t="inlineStr">
        <is>
          <t>MWh</t>
        </is>
      </c>
      <c r="K1260" s="8" t="n">
        <v>1114662</v>
      </c>
      <c r="L1260" s="6" t="inlineStr">
        <is>
          <t>MWh</t>
        </is>
      </c>
      <c r="M1260" s="6" t="inlineStr">
        <is>
          <t>ANDE</t>
        </is>
      </c>
      <c r="N1260" s="6" t="inlineStr">
        <is>
          <t>OFFICIAL_PRIMARY</t>
        </is>
      </c>
      <c r="O1260" s="9" t="inlineStr">
        <is>
          <t>OFFICIAL_AGGREGATE</t>
        </is>
      </c>
      <c r="P1260" s="8" t="n">
        <v>1</v>
      </c>
      <c r="Q1260" s="8" t="n">
        <v>85</v>
      </c>
      <c r="R1260" s="7" t="inlineStr">
        <is>
          <t>https://www.ande.gov.py/finanzas/2.%20COMPILACION%20ESTADISTICA%202003-2023/ANDE%20-%20Compilacion%20Estadistica%202003-2023.pdf</t>
        </is>
      </c>
      <c r="S1260" s="6" t="inlineStr">
        <is>
          <t>ANDE-03-23</t>
        </is>
      </c>
      <c r="T1260" s="6" t="inlineStr"/>
      <c r="U1260" s="4" t="inlineStr">
        <is>
          <t>2026-09-11 00:05:00</t>
        </is>
      </c>
      <c r="V1260" s="4" t="inlineStr">
        <is>
          <t>Balance electrico ANDE.</t>
        </is>
      </c>
    </row>
    <row r="1261">
      <c r="A1261" s="6" t="inlineStr">
        <is>
          <t>R0001260</t>
        </is>
      </c>
      <c r="B1261" s="6" t="inlineStr">
        <is>
          <t>2015-01-01</t>
        </is>
      </c>
      <c r="C1261" s="6" t="inlineStr">
        <is>
          <t>2015-12-31</t>
        </is>
      </c>
      <c r="D1261" s="6" t="inlineStr">
        <is>
          <t>year</t>
        </is>
      </c>
      <c r="E1261" s="6" t="inlineStr">
        <is>
          <t>PY_GROSS_OWN_GENERATION</t>
        </is>
      </c>
      <c r="F1261" s="6" t="inlineStr">
        <is>
          <t>PY_SIN</t>
        </is>
      </c>
      <c r="G1261" s="6" t="inlineStr">
        <is>
          <t>PY</t>
        </is>
      </c>
      <c r="H1261" s="6" t="inlineStr">
        <is>
          <t>PY</t>
        </is>
      </c>
      <c r="I1261" s="8" t="n">
        <v>1061609</v>
      </c>
      <c r="J1261" s="6" t="inlineStr">
        <is>
          <t>MWh</t>
        </is>
      </c>
      <c r="K1261" s="8" t="n">
        <v>1061609</v>
      </c>
      <c r="L1261" s="6" t="inlineStr">
        <is>
          <t>MWh</t>
        </is>
      </c>
      <c r="M1261" s="6" t="inlineStr">
        <is>
          <t>ANDE</t>
        </is>
      </c>
      <c r="N1261" s="6" t="inlineStr">
        <is>
          <t>OFFICIAL_PRIMARY</t>
        </is>
      </c>
      <c r="O1261" s="9" t="inlineStr">
        <is>
          <t>OFFICIAL_AGGREGATE</t>
        </is>
      </c>
      <c r="P1261" s="8" t="n">
        <v>1</v>
      </c>
      <c r="Q1261" s="8" t="n">
        <v>85</v>
      </c>
      <c r="R1261" s="7" t="inlineStr">
        <is>
          <t>https://www.ande.gov.py/finanzas/2.%20COMPILACION%20ESTADISTICA%202003-2023/ANDE%20-%20Compilacion%20Estadistica%202003-2023.pdf</t>
        </is>
      </c>
      <c r="S1261" s="6" t="inlineStr">
        <is>
          <t>ANDE-03-23</t>
        </is>
      </c>
      <c r="T1261" s="6" t="inlineStr"/>
      <c r="U1261" s="4" t="inlineStr">
        <is>
          <t>2026-09-11 00:05:00</t>
        </is>
      </c>
      <c r="V1261" s="4" t="inlineStr">
        <is>
          <t>Balance electrico ANDE.</t>
        </is>
      </c>
    </row>
    <row r="1262">
      <c r="A1262" s="6" t="inlineStr">
        <is>
          <t>R0001261</t>
        </is>
      </c>
      <c r="B1262" s="6" t="inlineStr">
        <is>
          <t>2016-01-01</t>
        </is>
      </c>
      <c r="C1262" s="6" t="inlineStr">
        <is>
          <t>2016-12-31</t>
        </is>
      </c>
      <c r="D1262" s="6" t="inlineStr">
        <is>
          <t>year</t>
        </is>
      </c>
      <c r="E1262" s="6" t="inlineStr">
        <is>
          <t>PY_GROSS_OWN_GENERATION</t>
        </is>
      </c>
      <c r="F1262" s="6" t="inlineStr">
        <is>
          <t>PY_SIN</t>
        </is>
      </c>
      <c r="G1262" s="6" t="inlineStr">
        <is>
          <t>PY</t>
        </is>
      </c>
      <c r="H1262" s="6" t="inlineStr">
        <is>
          <t>PY</t>
        </is>
      </c>
      <c r="I1262" s="8" t="n">
        <v>1291399</v>
      </c>
      <c r="J1262" s="6" t="inlineStr">
        <is>
          <t>MWh</t>
        </is>
      </c>
      <c r="K1262" s="8" t="n">
        <v>1291399</v>
      </c>
      <c r="L1262" s="6" t="inlineStr">
        <is>
          <t>MWh</t>
        </is>
      </c>
      <c r="M1262" s="6" t="inlineStr">
        <is>
          <t>ANDE</t>
        </is>
      </c>
      <c r="N1262" s="6" t="inlineStr">
        <is>
          <t>OFFICIAL_PRIMARY</t>
        </is>
      </c>
      <c r="O1262" s="9" t="inlineStr">
        <is>
          <t>OFFICIAL_AGGREGATE</t>
        </is>
      </c>
      <c r="P1262" s="8" t="n">
        <v>1</v>
      </c>
      <c r="Q1262" s="8" t="n">
        <v>85</v>
      </c>
      <c r="R1262" s="7" t="inlineStr">
        <is>
          <t>https://www.ande.gov.py/finanzas/2.%20COMPILACION%20ESTADISTICA%202003-2023/ANDE%20-%20Compilacion%20Estadistica%202003-2023.pdf</t>
        </is>
      </c>
      <c r="S1262" s="6" t="inlineStr">
        <is>
          <t>ANDE-03-23</t>
        </is>
      </c>
      <c r="T1262" s="6" t="inlineStr"/>
      <c r="U1262" s="4" t="inlineStr">
        <is>
          <t>2026-09-11 00:05:00</t>
        </is>
      </c>
      <c r="V1262" s="4" t="inlineStr">
        <is>
          <t>Balance electrico ANDE.</t>
        </is>
      </c>
    </row>
    <row r="1263">
      <c r="A1263" s="6" t="inlineStr">
        <is>
          <t>R0001262</t>
        </is>
      </c>
      <c r="B1263" s="6" t="inlineStr">
        <is>
          <t>2017-01-01</t>
        </is>
      </c>
      <c r="C1263" s="6" t="inlineStr">
        <is>
          <t>2017-12-31</t>
        </is>
      </c>
      <c r="D1263" s="6" t="inlineStr">
        <is>
          <t>year</t>
        </is>
      </c>
      <c r="E1263" s="6" t="inlineStr">
        <is>
          <t>PY_GROSS_OWN_GENERATION</t>
        </is>
      </c>
      <c r="F1263" s="6" t="inlineStr">
        <is>
          <t>PY_SIN</t>
        </is>
      </c>
      <c r="G1263" s="6" t="inlineStr">
        <is>
          <t>PY</t>
        </is>
      </c>
      <c r="H1263" s="6" t="inlineStr">
        <is>
          <t>PY</t>
        </is>
      </c>
      <c r="I1263" s="8" t="n">
        <v>959040</v>
      </c>
      <c r="J1263" s="6" t="inlineStr">
        <is>
          <t>MWh</t>
        </is>
      </c>
      <c r="K1263" s="8" t="n">
        <v>959040</v>
      </c>
      <c r="L1263" s="6" t="inlineStr">
        <is>
          <t>MWh</t>
        </is>
      </c>
      <c r="M1263" s="6" t="inlineStr">
        <is>
          <t>ANDE</t>
        </is>
      </c>
      <c r="N1263" s="6" t="inlineStr">
        <is>
          <t>OFFICIAL_PRIMARY</t>
        </is>
      </c>
      <c r="O1263" s="9" t="inlineStr">
        <is>
          <t>OFFICIAL_AGGREGATE</t>
        </is>
      </c>
      <c r="P1263" s="8" t="n">
        <v>1</v>
      </c>
      <c r="Q1263" s="8" t="n">
        <v>85</v>
      </c>
      <c r="R1263" s="7" t="inlineStr">
        <is>
          <t>https://www.ande.gov.py/finanzas/2.%20COMPILACION%20ESTADISTICA%202003-2023/ANDE%20-%20Compilacion%20Estadistica%202003-2023.pdf</t>
        </is>
      </c>
      <c r="S1263" s="6" t="inlineStr">
        <is>
          <t>ANDE-03-23</t>
        </is>
      </c>
      <c r="T1263" s="6" t="inlineStr"/>
      <c r="U1263" s="4" t="inlineStr">
        <is>
          <t>2026-09-11 00:05:00</t>
        </is>
      </c>
      <c r="V1263" s="4" t="inlineStr">
        <is>
          <t>Balance electrico ANDE.</t>
        </is>
      </c>
    </row>
    <row r="1264">
      <c r="A1264" s="6" t="inlineStr">
        <is>
          <t>R0001263</t>
        </is>
      </c>
      <c r="B1264" s="6" t="inlineStr">
        <is>
          <t>2018-01-01</t>
        </is>
      </c>
      <c r="C1264" s="6" t="inlineStr">
        <is>
          <t>2018-12-31</t>
        </is>
      </c>
      <c r="D1264" s="6" t="inlineStr">
        <is>
          <t>year</t>
        </is>
      </c>
      <c r="E1264" s="6" t="inlineStr">
        <is>
          <t>PY_GROSS_OWN_GENERATION</t>
        </is>
      </c>
      <c r="F1264" s="6" t="inlineStr">
        <is>
          <t>PY_SIN</t>
        </is>
      </c>
      <c r="G1264" s="6" t="inlineStr">
        <is>
          <t>PY</t>
        </is>
      </c>
      <c r="H1264" s="6" t="inlineStr">
        <is>
          <t>PY</t>
        </is>
      </c>
      <c r="I1264" s="8" t="n">
        <v>1085244</v>
      </c>
      <c r="J1264" s="6" t="inlineStr">
        <is>
          <t>MWh</t>
        </is>
      </c>
      <c r="K1264" s="8" t="n">
        <v>1085244</v>
      </c>
      <c r="L1264" s="6" t="inlineStr">
        <is>
          <t>MWh</t>
        </is>
      </c>
      <c r="M1264" s="6" t="inlineStr">
        <is>
          <t>ANDE</t>
        </is>
      </c>
      <c r="N1264" s="6" t="inlineStr">
        <is>
          <t>OFFICIAL_PRIMARY</t>
        </is>
      </c>
      <c r="O1264" s="9" t="inlineStr">
        <is>
          <t>OFFICIAL_AGGREGATE</t>
        </is>
      </c>
      <c r="P1264" s="8" t="n">
        <v>1</v>
      </c>
      <c r="Q1264" s="8" t="n">
        <v>85</v>
      </c>
      <c r="R1264" s="7" t="inlineStr">
        <is>
          <t>https://www.ande.gov.py/finanzas/2.%20COMPILACION%20ESTADISTICA%202003-2023/ANDE%20-%20Compilacion%20Estadistica%202003-2023.pdf</t>
        </is>
      </c>
      <c r="S1264" s="6" t="inlineStr">
        <is>
          <t>ANDE-03-23</t>
        </is>
      </c>
      <c r="T1264" s="6" t="inlineStr"/>
      <c r="U1264" s="4" t="inlineStr">
        <is>
          <t>2026-09-11 00:05:00</t>
        </is>
      </c>
      <c r="V1264" s="4" t="inlineStr">
        <is>
          <t>Balance electrico ANDE.</t>
        </is>
      </c>
    </row>
    <row r="1265">
      <c r="A1265" s="6" t="inlineStr">
        <is>
          <t>R0001264</t>
        </is>
      </c>
      <c r="B1265" s="6" t="inlineStr">
        <is>
          <t>2019-01-01</t>
        </is>
      </c>
      <c r="C1265" s="6" t="inlineStr">
        <is>
          <t>2019-12-31</t>
        </is>
      </c>
      <c r="D1265" s="6" t="inlineStr">
        <is>
          <t>year</t>
        </is>
      </c>
      <c r="E1265" s="6" t="inlineStr">
        <is>
          <t>PY_GROSS_OWN_GENERATION</t>
        </is>
      </c>
      <c r="F1265" s="6" t="inlineStr">
        <is>
          <t>PY_SIN</t>
        </is>
      </c>
      <c r="G1265" s="6" t="inlineStr">
        <is>
          <t>PY</t>
        </is>
      </c>
      <c r="H1265" s="6" t="inlineStr">
        <is>
          <t>PY</t>
        </is>
      </c>
      <c r="I1265" s="8" t="n">
        <v>981763</v>
      </c>
      <c r="J1265" s="6" t="inlineStr">
        <is>
          <t>MWh</t>
        </is>
      </c>
      <c r="K1265" s="8" t="n">
        <v>981763</v>
      </c>
      <c r="L1265" s="6" t="inlineStr">
        <is>
          <t>MWh</t>
        </is>
      </c>
      <c r="M1265" s="6" t="inlineStr">
        <is>
          <t>ANDE</t>
        </is>
      </c>
      <c r="N1265" s="6" t="inlineStr">
        <is>
          <t>OFFICIAL_PRIMARY</t>
        </is>
      </c>
      <c r="O1265" s="9" t="inlineStr">
        <is>
          <t>OFFICIAL_AGGREGATE</t>
        </is>
      </c>
      <c r="P1265" s="8" t="n">
        <v>1</v>
      </c>
      <c r="Q1265" s="8" t="n">
        <v>85</v>
      </c>
      <c r="R1265" s="7" t="inlineStr">
        <is>
          <t>https://www.ande.gov.py/finanzas/2.%20COMPILACION%20ESTADISTICA%202003-2023/ANDE%20-%20Compilacion%20Estadistica%202003-2023.pdf</t>
        </is>
      </c>
      <c r="S1265" s="6" t="inlineStr">
        <is>
          <t>ANDE-03-23</t>
        </is>
      </c>
      <c r="T1265" s="6" t="inlineStr"/>
      <c r="U1265" s="4" t="inlineStr">
        <is>
          <t>2026-09-11 00:05:00</t>
        </is>
      </c>
      <c r="V1265" s="4" t="inlineStr">
        <is>
          <t>Balance electrico ANDE.</t>
        </is>
      </c>
    </row>
    <row r="1266">
      <c r="A1266" s="6" t="inlineStr">
        <is>
          <t>R0001265</t>
        </is>
      </c>
      <c r="B1266" s="6" t="inlineStr">
        <is>
          <t>2020-01-01</t>
        </is>
      </c>
      <c r="C1266" s="6" t="inlineStr">
        <is>
          <t>2020-12-31</t>
        </is>
      </c>
      <c r="D1266" s="6" t="inlineStr">
        <is>
          <t>year</t>
        </is>
      </c>
      <c r="E1266" s="6" t="inlineStr">
        <is>
          <t>PY_GROSS_OWN_GENERATION</t>
        </is>
      </c>
      <c r="F1266" s="6" t="inlineStr">
        <is>
          <t>PY_SIN</t>
        </is>
      </c>
      <c r="G1266" s="6" t="inlineStr">
        <is>
          <t>PY</t>
        </is>
      </c>
      <c r="H1266" s="6" t="inlineStr">
        <is>
          <t>PY</t>
        </is>
      </c>
      <c r="I1266" s="8" t="n">
        <v>580951</v>
      </c>
      <c r="J1266" s="6" t="inlineStr">
        <is>
          <t>MWh</t>
        </is>
      </c>
      <c r="K1266" s="8" t="n">
        <v>580951</v>
      </c>
      <c r="L1266" s="6" t="inlineStr">
        <is>
          <t>MWh</t>
        </is>
      </c>
      <c r="M1266" s="6" t="inlineStr">
        <is>
          <t>ANDE</t>
        </is>
      </c>
      <c r="N1266" s="6" t="inlineStr">
        <is>
          <t>OFFICIAL_PRIMARY</t>
        </is>
      </c>
      <c r="O1266" s="9" t="inlineStr">
        <is>
          <t>OFFICIAL_AGGREGATE</t>
        </is>
      </c>
      <c r="P1266" s="8" t="n">
        <v>1</v>
      </c>
      <c r="Q1266" s="8" t="n">
        <v>85</v>
      </c>
      <c r="R1266" s="7" t="inlineStr">
        <is>
          <t>https://www.ande.gov.py/finanzas/2.%20COMPILACION%20ESTADISTICA%202003-2023/ANDE%20-%20Compilacion%20Estadistica%202003-2023.pdf</t>
        </is>
      </c>
      <c r="S1266" s="6" t="inlineStr">
        <is>
          <t>ANDE-03-23</t>
        </is>
      </c>
      <c r="T1266" s="6" t="inlineStr"/>
      <c r="U1266" s="4" t="inlineStr">
        <is>
          <t>2026-09-11 00:05:00</t>
        </is>
      </c>
      <c r="V1266" s="4" t="inlineStr">
        <is>
          <t>Balance electrico ANDE.</t>
        </is>
      </c>
    </row>
    <row r="1267">
      <c r="A1267" s="6" t="inlineStr">
        <is>
          <t>R0001266</t>
        </is>
      </c>
      <c r="B1267" s="6" t="inlineStr">
        <is>
          <t>2021-01-01</t>
        </is>
      </c>
      <c r="C1267" s="6" t="inlineStr">
        <is>
          <t>2021-12-31</t>
        </is>
      </c>
      <c r="D1267" s="6" t="inlineStr">
        <is>
          <t>year</t>
        </is>
      </c>
      <c r="E1267" s="6" t="inlineStr">
        <is>
          <t>PY_GROSS_OWN_GENERATION</t>
        </is>
      </c>
      <c r="F1267" s="6" t="inlineStr">
        <is>
          <t>PY_SIN</t>
        </is>
      </c>
      <c r="G1267" s="6" t="inlineStr">
        <is>
          <t>PY</t>
        </is>
      </c>
      <c r="H1267" s="6" t="inlineStr">
        <is>
          <t>PY</t>
        </is>
      </c>
      <c r="I1267" s="8" t="n">
        <v>624330</v>
      </c>
      <c r="J1267" s="6" t="inlineStr">
        <is>
          <t>MWh</t>
        </is>
      </c>
      <c r="K1267" s="8" t="n">
        <v>624330</v>
      </c>
      <c r="L1267" s="6" t="inlineStr">
        <is>
          <t>MWh</t>
        </is>
      </c>
      <c r="M1267" s="6" t="inlineStr">
        <is>
          <t>ANDE</t>
        </is>
      </c>
      <c r="N1267" s="6" t="inlineStr">
        <is>
          <t>OFFICIAL_PRIMARY</t>
        </is>
      </c>
      <c r="O1267" s="9" t="inlineStr">
        <is>
          <t>OFFICIAL_AGGREGATE</t>
        </is>
      </c>
      <c r="P1267" s="8" t="n">
        <v>1</v>
      </c>
      <c r="Q1267" s="8" t="n">
        <v>85</v>
      </c>
      <c r="R1267" s="7" t="inlineStr">
        <is>
          <t>https://www.ande.gov.py/finanzas/2.%20COMPILACION%20ESTADISTICA%202003-2023/ANDE%20-%20Compilacion%20Estadistica%202003-2023.pdf</t>
        </is>
      </c>
      <c r="S1267" s="6" t="inlineStr">
        <is>
          <t>ANDE-03-23</t>
        </is>
      </c>
      <c r="T1267" s="6" t="inlineStr"/>
      <c r="U1267" s="4" t="inlineStr">
        <is>
          <t>2026-09-11 00:05:00</t>
        </is>
      </c>
      <c r="V1267" s="4" t="inlineStr">
        <is>
          <t>Balance electrico ANDE.</t>
        </is>
      </c>
    </row>
    <row r="1268">
      <c r="A1268" s="6" t="inlineStr">
        <is>
          <t>R0001267</t>
        </is>
      </c>
      <c r="B1268" s="6" t="inlineStr">
        <is>
          <t>2022-01-01</t>
        </is>
      </c>
      <c r="C1268" s="6" t="inlineStr">
        <is>
          <t>2022-12-31</t>
        </is>
      </c>
      <c r="D1268" s="6" t="inlineStr">
        <is>
          <t>year</t>
        </is>
      </c>
      <c r="E1268" s="6" t="inlineStr">
        <is>
          <t>PY_GROSS_OWN_GENERATION</t>
        </is>
      </c>
      <c r="F1268" s="6" t="inlineStr">
        <is>
          <t>PY_SIN</t>
        </is>
      </c>
      <c r="G1268" s="6" t="inlineStr">
        <is>
          <t>PY</t>
        </is>
      </c>
      <c r="H1268" s="6" t="inlineStr">
        <is>
          <t>PY</t>
        </is>
      </c>
      <c r="I1268" s="8" t="n">
        <v>782671</v>
      </c>
      <c r="J1268" s="6" t="inlineStr">
        <is>
          <t>MWh</t>
        </is>
      </c>
      <c r="K1268" s="8" t="n">
        <v>782671</v>
      </c>
      <c r="L1268" s="6" t="inlineStr">
        <is>
          <t>MWh</t>
        </is>
      </c>
      <c r="M1268" s="6" t="inlineStr">
        <is>
          <t>ANDE</t>
        </is>
      </c>
      <c r="N1268" s="6" t="inlineStr">
        <is>
          <t>OFFICIAL_PRIMARY</t>
        </is>
      </c>
      <c r="O1268" s="9" t="inlineStr">
        <is>
          <t>OFFICIAL_AGGREGATE</t>
        </is>
      </c>
      <c r="P1268" s="8" t="n">
        <v>1</v>
      </c>
      <c r="Q1268" s="8" t="n">
        <v>85</v>
      </c>
      <c r="R1268" s="7" t="inlineStr">
        <is>
          <t>https://www.ande.gov.py/finanzas/2.%20COMPILACION%20ESTADISTICA%202003-2023/ANDE%20-%20Compilacion%20Estadistica%202003-2023.pdf</t>
        </is>
      </c>
      <c r="S1268" s="6" t="inlineStr">
        <is>
          <t>ANDE-03-23</t>
        </is>
      </c>
      <c r="T1268" s="6" t="inlineStr"/>
      <c r="U1268" s="4" t="inlineStr">
        <is>
          <t>2026-09-11 00:05:00</t>
        </is>
      </c>
      <c r="V1268" s="4" t="inlineStr">
        <is>
          <t>Balance electrico ANDE.</t>
        </is>
      </c>
    </row>
    <row r="1269">
      <c r="A1269" s="6" t="inlineStr">
        <is>
          <t>R0001268</t>
        </is>
      </c>
      <c r="B1269" s="6" t="inlineStr">
        <is>
          <t>2023-01-01</t>
        </is>
      </c>
      <c r="C1269" s="6" t="inlineStr">
        <is>
          <t>2023-12-31</t>
        </is>
      </c>
      <c r="D1269" s="6" t="inlineStr">
        <is>
          <t>year</t>
        </is>
      </c>
      <c r="E1269" s="6" t="inlineStr">
        <is>
          <t>PY_GROSS_OWN_GENERATION</t>
        </is>
      </c>
      <c r="F1269" s="6" t="inlineStr">
        <is>
          <t>PY_SIN</t>
        </is>
      </c>
      <c r="G1269" s="6" t="inlineStr">
        <is>
          <t>PY</t>
        </is>
      </c>
      <c r="H1269" s="6" t="inlineStr">
        <is>
          <t>PY</t>
        </is>
      </c>
      <c r="I1269" s="8" t="n">
        <v>796393</v>
      </c>
      <c r="J1269" s="6" t="inlineStr">
        <is>
          <t>MWh</t>
        </is>
      </c>
      <c r="K1269" s="8" t="n">
        <v>796393</v>
      </c>
      <c r="L1269" s="6" t="inlineStr">
        <is>
          <t>MWh</t>
        </is>
      </c>
      <c r="M1269" s="6" t="inlineStr">
        <is>
          <t>ANDE</t>
        </is>
      </c>
      <c r="N1269" s="6" t="inlineStr">
        <is>
          <t>OFFICIAL_PRIMARY</t>
        </is>
      </c>
      <c r="O1269" s="9" t="inlineStr">
        <is>
          <t>OFFICIAL_AGGREGATE</t>
        </is>
      </c>
      <c r="P1269" s="8" t="n">
        <v>1</v>
      </c>
      <c r="Q1269" s="8" t="n">
        <v>85</v>
      </c>
      <c r="R1269" s="7" t="inlineStr">
        <is>
          <t>https://www.ande.gov.py/finanzas/2.%20COMPILACION%20ESTADISTICA%202003-2023/ANDE%20-%20Compilacion%20Estadistica%202003-2023.pdf</t>
        </is>
      </c>
      <c r="S1269" s="6" t="inlineStr">
        <is>
          <t>ANDE-03-23</t>
        </is>
      </c>
      <c r="T1269" s="6" t="inlineStr"/>
      <c r="U1269" s="4" t="inlineStr">
        <is>
          <t>2026-09-11 00:05:00</t>
        </is>
      </c>
      <c r="V1269" s="4" t="inlineStr">
        <is>
          <t>Balance electrico ANDE.</t>
        </is>
      </c>
    </row>
    <row r="1270">
      <c r="A1270" s="6" t="inlineStr">
        <is>
          <t>R0001269</t>
        </is>
      </c>
      <c r="B1270" s="6" t="inlineStr">
        <is>
          <t>2003-01-01</t>
        </is>
      </c>
      <c r="C1270" s="6" t="inlineStr">
        <is>
          <t>2003-12-31</t>
        </is>
      </c>
      <c r="D1270" s="6" t="inlineStr">
        <is>
          <t>year</t>
        </is>
      </c>
      <c r="E1270" s="6" t="inlineStr">
        <is>
          <t>PY_PURCHASED_ENERGY</t>
        </is>
      </c>
      <c r="F1270" s="6" t="inlineStr">
        <is>
          <t>PY_SIN</t>
        </is>
      </c>
      <c r="G1270" s="6" t="inlineStr">
        <is>
          <t>BINATIONALS</t>
        </is>
      </c>
      <c r="H1270" s="6" t="inlineStr">
        <is>
          <t>PY</t>
        </is>
      </c>
      <c r="I1270" s="8" t="n">
        <v>5802607</v>
      </c>
      <c r="J1270" s="6" t="inlineStr">
        <is>
          <t>MWh</t>
        </is>
      </c>
      <c r="K1270" s="8" t="n">
        <v>5802607</v>
      </c>
      <c r="L1270" s="6" t="inlineStr">
        <is>
          <t>MWh</t>
        </is>
      </c>
      <c r="M1270" s="6" t="inlineStr">
        <is>
          <t>ANDE</t>
        </is>
      </c>
      <c r="N1270" s="6" t="inlineStr">
        <is>
          <t>OFFICIAL_PRIMARY</t>
        </is>
      </c>
      <c r="O1270" s="9" t="inlineStr">
        <is>
          <t>OFFICIAL_AGGREGATE</t>
        </is>
      </c>
      <c r="P1270" s="8" t="n">
        <v>1</v>
      </c>
      <c r="Q1270" s="8" t="n">
        <v>85</v>
      </c>
      <c r="R1270" s="7" t="inlineStr">
        <is>
          <t>https://www.ande.gov.py/finanzas/2.%20COMPILACION%20ESTADISTICA%202003-2023/ANDE%20-%20Compilacion%20Estadistica%202003-2023.pdf</t>
        </is>
      </c>
      <c r="S1270" s="6" t="inlineStr">
        <is>
          <t>ANDE-03-23</t>
        </is>
      </c>
      <c r="T1270" s="6" t="inlineStr"/>
      <c r="U1270" s="4" t="inlineStr">
        <is>
          <t>2026-09-11 00:05:00</t>
        </is>
      </c>
      <c r="V1270" s="4" t="inlineStr">
        <is>
          <t>Balance electrico ANDE.</t>
        </is>
      </c>
    </row>
    <row r="1271">
      <c r="A1271" s="6" t="inlineStr">
        <is>
          <t>R0001270</t>
        </is>
      </c>
      <c r="B1271" s="6" t="inlineStr">
        <is>
          <t>2004-01-01</t>
        </is>
      </c>
      <c r="C1271" s="6" t="inlineStr">
        <is>
          <t>2004-12-31</t>
        </is>
      </c>
      <c r="D1271" s="6" t="inlineStr">
        <is>
          <t>year</t>
        </is>
      </c>
      <c r="E1271" s="6" t="inlineStr">
        <is>
          <t>PY_PURCHASED_ENERGY</t>
        </is>
      </c>
      <c r="F1271" s="6" t="inlineStr">
        <is>
          <t>PY_SIN</t>
        </is>
      </c>
      <c r="G1271" s="6" t="inlineStr">
        <is>
          <t>BINATIONALS</t>
        </is>
      </c>
      <c r="H1271" s="6" t="inlineStr">
        <is>
          <t>PY</t>
        </is>
      </c>
      <c r="I1271" s="8" t="n">
        <v>6441216</v>
      </c>
      <c r="J1271" s="6" t="inlineStr">
        <is>
          <t>MWh</t>
        </is>
      </c>
      <c r="K1271" s="8" t="n">
        <v>6441216</v>
      </c>
      <c r="L1271" s="6" t="inlineStr">
        <is>
          <t>MWh</t>
        </is>
      </c>
      <c r="M1271" s="6" t="inlineStr">
        <is>
          <t>ANDE</t>
        </is>
      </c>
      <c r="N1271" s="6" t="inlineStr">
        <is>
          <t>OFFICIAL_PRIMARY</t>
        </is>
      </c>
      <c r="O1271" s="9" t="inlineStr">
        <is>
          <t>OFFICIAL_AGGREGATE</t>
        </is>
      </c>
      <c r="P1271" s="8" t="n">
        <v>1</v>
      </c>
      <c r="Q1271" s="8" t="n">
        <v>85</v>
      </c>
      <c r="R1271" s="7" t="inlineStr">
        <is>
          <t>https://www.ande.gov.py/finanzas/2.%20COMPILACION%20ESTADISTICA%202003-2023/ANDE%20-%20Compilacion%20Estadistica%202003-2023.pdf</t>
        </is>
      </c>
      <c r="S1271" s="6" t="inlineStr">
        <is>
          <t>ANDE-03-23</t>
        </is>
      </c>
      <c r="T1271" s="6" t="inlineStr"/>
      <c r="U1271" s="4" t="inlineStr">
        <is>
          <t>2026-09-11 00:05:00</t>
        </is>
      </c>
      <c r="V1271" s="4" t="inlineStr">
        <is>
          <t>Balance electrico ANDE.</t>
        </is>
      </c>
    </row>
    <row r="1272">
      <c r="A1272" s="6" t="inlineStr">
        <is>
          <t>R0001271</t>
        </is>
      </c>
      <c r="B1272" s="6" t="inlineStr">
        <is>
          <t>2005-01-01</t>
        </is>
      </c>
      <c r="C1272" s="6" t="inlineStr">
        <is>
          <t>2005-12-31</t>
        </is>
      </c>
      <c r="D1272" s="6" t="inlineStr">
        <is>
          <t>year</t>
        </is>
      </c>
      <c r="E1272" s="6" t="inlineStr">
        <is>
          <t>PY_PURCHASED_ENERGY</t>
        </is>
      </c>
      <c r="F1272" s="6" t="inlineStr">
        <is>
          <t>PY_SIN</t>
        </is>
      </c>
      <c r="G1272" s="6" t="inlineStr">
        <is>
          <t>BINATIONALS</t>
        </is>
      </c>
      <c r="H1272" s="6" t="inlineStr">
        <is>
          <t>PY</t>
        </is>
      </c>
      <c r="I1272" s="8" t="n">
        <v>6762120</v>
      </c>
      <c r="J1272" s="6" t="inlineStr">
        <is>
          <t>MWh</t>
        </is>
      </c>
      <c r="K1272" s="8" t="n">
        <v>6762120</v>
      </c>
      <c r="L1272" s="6" t="inlineStr">
        <is>
          <t>MWh</t>
        </is>
      </c>
      <c r="M1272" s="6" t="inlineStr">
        <is>
          <t>ANDE</t>
        </is>
      </c>
      <c r="N1272" s="6" t="inlineStr">
        <is>
          <t>OFFICIAL_PRIMARY</t>
        </is>
      </c>
      <c r="O1272" s="9" t="inlineStr">
        <is>
          <t>OFFICIAL_AGGREGATE</t>
        </is>
      </c>
      <c r="P1272" s="8" t="n">
        <v>1</v>
      </c>
      <c r="Q1272" s="8" t="n">
        <v>85</v>
      </c>
      <c r="R1272" s="7" t="inlineStr">
        <is>
          <t>https://www.ande.gov.py/finanzas/2.%20COMPILACION%20ESTADISTICA%202003-2023/ANDE%20-%20Compilacion%20Estadistica%202003-2023.pdf</t>
        </is>
      </c>
      <c r="S1272" s="6" t="inlineStr">
        <is>
          <t>ANDE-03-23</t>
        </is>
      </c>
      <c r="T1272" s="6" t="inlineStr"/>
      <c r="U1272" s="4" t="inlineStr">
        <is>
          <t>2026-09-11 00:05:00</t>
        </is>
      </c>
      <c r="V1272" s="4" t="inlineStr">
        <is>
          <t>Balance electrico ANDE.</t>
        </is>
      </c>
    </row>
    <row r="1273">
      <c r="A1273" s="6" t="inlineStr">
        <is>
          <t>R0001272</t>
        </is>
      </c>
      <c r="B1273" s="6" t="inlineStr">
        <is>
          <t>2006-01-01</t>
        </is>
      </c>
      <c r="C1273" s="6" t="inlineStr">
        <is>
          <t>2006-12-31</t>
        </is>
      </c>
      <c r="D1273" s="6" t="inlineStr">
        <is>
          <t>year</t>
        </is>
      </c>
      <c r="E1273" s="6" t="inlineStr">
        <is>
          <t>PY_PURCHASED_ENERGY</t>
        </is>
      </c>
      <c r="F1273" s="6" t="inlineStr">
        <is>
          <t>PY_SIN</t>
        </is>
      </c>
      <c r="G1273" s="6" t="inlineStr">
        <is>
          <t>BINATIONALS</t>
        </is>
      </c>
      <c r="H1273" s="6" t="inlineStr">
        <is>
          <t>PY</t>
        </is>
      </c>
      <c r="I1273" s="8" t="n">
        <v>7691500</v>
      </c>
      <c r="J1273" s="6" t="inlineStr">
        <is>
          <t>MWh</t>
        </is>
      </c>
      <c r="K1273" s="8" t="n">
        <v>7691500</v>
      </c>
      <c r="L1273" s="6" t="inlineStr">
        <is>
          <t>MWh</t>
        </is>
      </c>
      <c r="M1273" s="6" t="inlineStr">
        <is>
          <t>ANDE</t>
        </is>
      </c>
      <c r="N1273" s="6" t="inlineStr">
        <is>
          <t>OFFICIAL_PRIMARY</t>
        </is>
      </c>
      <c r="O1273" s="9" t="inlineStr">
        <is>
          <t>OFFICIAL_AGGREGATE</t>
        </is>
      </c>
      <c r="P1273" s="8" t="n">
        <v>1</v>
      </c>
      <c r="Q1273" s="8" t="n">
        <v>85</v>
      </c>
      <c r="R1273" s="7" t="inlineStr">
        <is>
          <t>https://www.ande.gov.py/finanzas/2.%20COMPILACION%20ESTADISTICA%202003-2023/ANDE%20-%20Compilacion%20Estadistica%202003-2023.pdf</t>
        </is>
      </c>
      <c r="S1273" s="6" t="inlineStr">
        <is>
          <t>ANDE-03-23</t>
        </is>
      </c>
      <c r="T1273" s="6" t="inlineStr"/>
      <c r="U1273" s="4" t="inlineStr">
        <is>
          <t>2026-09-11 00:05:00</t>
        </is>
      </c>
      <c r="V1273" s="4" t="inlineStr">
        <is>
          <t>Balance electrico ANDE.</t>
        </is>
      </c>
    </row>
    <row r="1274">
      <c r="A1274" s="6" t="inlineStr">
        <is>
          <t>R0001273</t>
        </is>
      </c>
      <c r="B1274" s="6" t="inlineStr">
        <is>
          <t>2007-01-01</t>
        </is>
      </c>
      <c r="C1274" s="6" t="inlineStr">
        <is>
          <t>2007-12-31</t>
        </is>
      </c>
      <c r="D1274" s="6" t="inlineStr">
        <is>
          <t>year</t>
        </is>
      </c>
      <c r="E1274" s="6" t="inlineStr">
        <is>
          <t>PY_PURCHASED_ENERGY</t>
        </is>
      </c>
      <c r="F1274" s="6" t="inlineStr">
        <is>
          <t>PY_SIN</t>
        </is>
      </c>
      <c r="G1274" s="6" t="inlineStr">
        <is>
          <t>BINATIONALS</t>
        </is>
      </c>
      <c r="H1274" s="6" t="inlineStr">
        <is>
          <t>PY</t>
        </is>
      </c>
      <c r="I1274" s="8" t="n">
        <v>7901354</v>
      </c>
      <c r="J1274" s="6" t="inlineStr">
        <is>
          <t>MWh</t>
        </is>
      </c>
      <c r="K1274" s="8" t="n">
        <v>7901354</v>
      </c>
      <c r="L1274" s="6" t="inlineStr">
        <is>
          <t>MWh</t>
        </is>
      </c>
      <c r="M1274" s="6" t="inlineStr">
        <is>
          <t>ANDE</t>
        </is>
      </c>
      <c r="N1274" s="6" t="inlineStr">
        <is>
          <t>OFFICIAL_PRIMARY</t>
        </is>
      </c>
      <c r="O1274" s="9" t="inlineStr">
        <is>
          <t>OFFICIAL_AGGREGATE</t>
        </is>
      </c>
      <c r="P1274" s="8" t="n">
        <v>1</v>
      </c>
      <c r="Q1274" s="8" t="n">
        <v>85</v>
      </c>
      <c r="R1274" s="7" t="inlineStr">
        <is>
          <t>https://www.ande.gov.py/finanzas/2.%20COMPILACION%20ESTADISTICA%202003-2023/ANDE%20-%20Compilacion%20Estadistica%202003-2023.pdf</t>
        </is>
      </c>
      <c r="S1274" s="6" t="inlineStr">
        <is>
          <t>ANDE-03-23</t>
        </is>
      </c>
      <c r="T1274" s="6" t="inlineStr"/>
      <c r="U1274" s="4" t="inlineStr">
        <is>
          <t>2026-09-11 00:05:00</t>
        </is>
      </c>
      <c r="V1274" s="4" t="inlineStr">
        <is>
          <t>Balance electrico ANDE.</t>
        </is>
      </c>
    </row>
    <row r="1275">
      <c r="A1275" s="6" t="inlineStr">
        <is>
          <t>R0001274</t>
        </is>
      </c>
      <c r="B1275" s="6" t="inlineStr">
        <is>
          <t>2008-01-01</t>
        </is>
      </c>
      <c r="C1275" s="6" t="inlineStr">
        <is>
          <t>2008-12-31</t>
        </is>
      </c>
      <c r="D1275" s="6" t="inlineStr">
        <is>
          <t>year</t>
        </is>
      </c>
      <c r="E1275" s="6" t="inlineStr">
        <is>
          <t>PY_PURCHASED_ENERGY</t>
        </is>
      </c>
      <c r="F1275" s="6" t="inlineStr">
        <is>
          <t>PY_SIN</t>
        </is>
      </c>
      <c r="G1275" s="6" t="inlineStr">
        <is>
          <t>BINATIONALS</t>
        </is>
      </c>
      <c r="H1275" s="6" t="inlineStr">
        <is>
          <t>PY</t>
        </is>
      </c>
      <c r="I1275" s="8" t="n">
        <v>8627954</v>
      </c>
      <c r="J1275" s="6" t="inlineStr">
        <is>
          <t>MWh</t>
        </is>
      </c>
      <c r="K1275" s="8" t="n">
        <v>8627954</v>
      </c>
      <c r="L1275" s="6" t="inlineStr">
        <is>
          <t>MWh</t>
        </is>
      </c>
      <c r="M1275" s="6" t="inlineStr">
        <is>
          <t>ANDE</t>
        </is>
      </c>
      <c r="N1275" s="6" t="inlineStr">
        <is>
          <t>OFFICIAL_PRIMARY</t>
        </is>
      </c>
      <c r="O1275" s="9" t="inlineStr">
        <is>
          <t>OFFICIAL_AGGREGATE</t>
        </is>
      </c>
      <c r="P1275" s="8" t="n">
        <v>1</v>
      </c>
      <c r="Q1275" s="8" t="n">
        <v>85</v>
      </c>
      <c r="R1275" s="7" t="inlineStr">
        <is>
          <t>https://www.ande.gov.py/finanzas/2.%20COMPILACION%20ESTADISTICA%202003-2023/ANDE%20-%20Compilacion%20Estadistica%202003-2023.pdf</t>
        </is>
      </c>
      <c r="S1275" s="6" t="inlineStr">
        <is>
          <t>ANDE-03-23</t>
        </is>
      </c>
      <c r="T1275" s="6" t="inlineStr"/>
      <c r="U1275" s="4" t="inlineStr">
        <is>
          <t>2026-09-11 00:05:00</t>
        </is>
      </c>
      <c r="V1275" s="4" t="inlineStr">
        <is>
          <t>Balance electrico ANDE.</t>
        </is>
      </c>
    </row>
    <row r="1276">
      <c r="A1276" s="6" t="inlineStr">
        <is>
          <t>R0001275</t>
        </is>
      </c>
      <c r="B1276" s="6" t="inlineStr">
        <is>
          <t>2009-01-01</t>
        </is>
      </c>
      <c r="C1276" s="6" t="inlineStr">
        <is>
          <t>2009-12-31</t>
        </is>
      </c>
      <c r="D1276" s="6" t="inlineStr">
        <is>
          <t>year</t>
        </is>
      </c>
      <c r="E1276" s="6" t="inlineStr">
        <is>
          <t>PY_PURCHASED_ENERGY</t>
        </is>
      </c>
      <c r="F1276" s="6" t="inlineStr">
        <is>
          <t>PY_SIN</t>
        </is>
      </c>
      <c r="G1276" s="6" t="inlineStr">
        <is>
          <t>BINATIONALS</t>
        </is>
      </c>
      <c r="H1276" s="6" t="inlineStr">
        <is>
          <t>PY</t>
        </is>
      </c>
      <c r="I1276" s="8" t="n">
        <v>9298357</v>
      </c>
      <c r="J1276" s="6" t="inlineStr">
        <is>
          <t>MWh</t>
        </is>
      </c>
      <c r="K1276" s="8" t="n">
        <v>9298357</v>
      </c>
      <c r="L1276" s="6" t="inlineStr">
        <is>
          <t>MWh</t>
        </is>
      </c>
      <c r="M1276" s="6" t="inlineStr">
        <is>
          <t>ANDE</t>
        </is>
      </c>
      <c r="N1276" s="6" t="inlineStr">
        <is>
          <t>OFFICIAL_PRIMARY</t>
        </is>
      </c>
      <c r="O1276" s="9" t="inlineStr">
        <is>
          <t>OFFICIAL_AGGREGATE</t>
        </is>
      </c>
      <c r="P1276" s="8" t="n">
        <v>1</v>
      </c>
      <c r="Q1276" s="8" t="n">
        <v>85</v>
      </c>
      <c r="R1276" s="7" t="inlineStr">
        <is>
          <t>https://www.ande.gov.py/finanzas/2.%20COMPILACION%20ESTADISTICA%202003-2023/ANDE%20-%20Compilacion%20Estadistica%202003-2023.pdf</t>
        </is>
      </c>
      <c r="S1276" s="6" t="inlineStr">
        <is>
          <t>ANDE-03-23</t>
        </is>
      </c>
      <c r="T1276" s="6" t="inlineStr"/>
      <c r="U1276" s="4" t="inlineStr">
        <is>
          <t>2026-09-11 00:05:00</t>
        </is>
      </c>
      <c r="V1276" s="4" t="inlineStr">
        <is>
          <t>Balance electrico ANDE.</t>
        </is>
      </c>
    </row>
    <row r="1277">
      <c r="A1277" s="6" t="inlineStr">
        <is>
          <t>R0001276</t>
        </is>
      </c>
      <c r="B1277" s="6" t="inlineStr">
        <is>
          <t>2010-01-01</t>
        </is>
      </c>
      <c r="C1277" s="6" t="inlineStr">
        <is>
          <t>2010-12-31</t>
        </is>
      </c>
      <c r="D1277" s="6" t="inlineStr">
        <is>
          <t>year</t>
        </is>
      </c>
      <c r="E1277" s="6" t="inlineStr">
        <is>
          <t>PY_PURCHASED_ENERGY</t>
        </is>
      </c>
      <c r="F1277" s="6" t="inlineStr">
        <is>
          <t>PY_SIN</t>
        </is>
      </c>
      <c r="G1277" s="6" t="inlineStr">
        <is>
          <t>BINATIONALS</t>
        </is>
      </c>
      <c r="H1277" s="6" t="inlineStr">
        <is>
          <t>PY</t>
        </is>
      </c>
      <c r="I1277" s="8" t="n">
        <v>9457234</v>
      </c>
      <c r="J1277" s="6" t="inlineStr">
        <is>
          <t>MWh</t>
        </is>
      </c>
      <c r="K1277" s="8" t="n">
        <v>9457234</v>
      </c>
      <c r="L1277" s="6" t="inlineStr">
        <is>
          <t>MWh</t>
        </is>
      </c>
      <c r="M1277" s="6" t="inlineStr">
        <is>
          <t>ANDE</t>
        </is>
      </c>
      <c r="N1277" s="6" t="inlineStr">
        <is>
          <t>OFFICIAL_PRIMARY</t>
        </is>
      </c>
      <c r="O1277" s="9" t="inlineStr">
        <is>
          <t>OFFICIAL_AGGREGATE</t>
        </is>
      </c>
      <c r="P1277" s="8" t="n">
        <v>1</v>
      </c>
      <c r="Q1277" s="8" t="n">
        <v>85</v>
      </c>
      <c r="R1277" s="7" t="inlineStr">
        <is>
          <t>https://www.ande.gov.py/finanzas/2.%20COMPILACION%20ESTADISTICA%202003-2023/ANDE%20-%20Compilacion%20Estadistica%202003-2023.pdf</t>
        </is>
      </c>
      <c r="S1277" s="6" t="inlineStr">
        <is>
          <t>ANDE-03-23</t>
        </is>
      </c>
      <c r="T1277" s="6" t="inlineStr"/>
      <c r="U1277" s="4" t="inlineStr">
        <is>
          <t>2026-09-11 00:05:00</t>
        </is>
      </c>
      <c r="V1277" s="4" t="inlineStr">
        <is>
          <t>Balance electrico ANDE.</t>
        </is>
      </c>
    </row>
    <row r="1278">
      <c r="A1278" s="6" t="inlineStr">
        <is>
          <t>R0001277</t>
        </is>
      </c>
      <c r="B1278" s="6" t="inlineStr">
        <is>
          <t>2011-01-01</t>
        </is>
      </c>
      <c r="C1278" s="6" t="inlineStr">
        <is>
          <t>2011-12-31</t>
        </is>
      </c>
      <c r="D1278" s="6" t="inlineStr">
        <is>
          <t>year</t>
        </is>
      </c>
      <c r="E1278" s="6" t="inlineStr">
        <is>
          <t>PY_PURCHASED_ENERGY</t>
        </is>
      </c>
      <c r="F1278" s="6" t="inlineStr">
        <is>
          <t>PY_SIN</t>
        </is>
      </c>
      <c r="G1278" s="6" t="inlineStr">
        <is>
          <t>BINATIONALS</t>
        </is>
      </c>
      <c r="H1278" s="6" t="inlineStr">
        <is>
          <t>PY</t>
        </is>
      </c>
      <c r="I1278" s="8" t="n">
        <v>10210635</v>
      </c>
      <c r="J1278" s="6" t="inlineStr">
        <is>
          <t>MWh</t>
        </is>
      </c>
      <c r="K1278" s="8" t="n">
        <v>10210635</v>
      </c>
      <c r="L1278" s="6" t="inlineStr">
        <is>
          <t>MWh</t>
        </is>
      </c>
      <c r="M1278" s="6" t="inlineStr">
        <is>
          <t>ANDE</t>
        </is>
      </c>
      <c r="N1278" s="6" t="inlineStr">
        <is>
          <t>OFFICIAL_PRIMARY</t>
        </is>
      </c>
      <c r="O1278" s="9" t="inlineStr">
        <is>
          <t>OFFICIAL_AGGREGATE</t>
        </is>
      </c>
      <c r="P1278" s="8" t="n">
        <v>1</v>
      </c>
      <c r="Q1278" s="8" t="n">
        <v>85</v>
      </c>
      <c r="R1278" s="7" t="inlineStr">
        <is>
          <t>https://www.ande.gov.py/finanzas/2.%20COMPILACION%20ESTADISTICA%202003-2023/ANDE%20-%20Compilacion%20Estadistica%202003-2023.pdf</t>
        </is>
      </c>
      <c r="S1278" s="6" t="inlineStr">
        <is>
          <t>ANDE-03-23</t>
        </is>
      </c>
      <c r="T1278" s="6" t="inlineStr"/>
      <c r="U1278" s="4" t="inlineStr">
        <is>
          <t>2026-09-11 00:05:00</t>
        </is>
      </c>
      <c r="V1278" s="4" t="inlineStr">
        <is>
          <t>Balance electrico ANDE.</t>
        </is>
      </c>
    </row>
    <row r="1279">
      <c r="A1279" s="6" t="inlineStr">
        <is>
          <t>R0001278</t>
        </is>
      </c>
      <c r="B1279" s="6" t="inlineStr">
        <is>
          <t>2012-01-01</t>
        </is>
      </c>
      <c r="C1279" s="6" t="inlineStr">
        <is>
          <t>2012-12-31</t>
        </is>
      </c>
      <c r="D1279" s="6" t="inlineStr">
        <is>
          <t>year</t>
        </is>
      </c>
      <c r="E1279" s="6" t="inlineStr">
        <is>
          <t>PY_PURCHASED_ENERGY</t>
        </is>
      </c>
      <c r="F1279" s="6" t="inlineStr">
        <is>
          <t>PY_SIN</t>
        </is>
      </c>
      <c r="G1279" s="6" t="inlineStr">
        <is>
          <t>BINATIONALS</t>
        </is>
      </c>
      <c r="H1279" s="6" t="inlineStr">
        <is>
          <t>PY</t>
        </is>
      </c>
      <c r="I1279" s="8" t="n">
        <v>11301433</v>
      </c>
      <c r="J1279" s="6" t="inlineStr">
        <is>
          <t>MWh</t>
        </is>
      </c>
      <c r="K1279" s="8" t="n">
        <v>11301433</v>
      </c>
      <c r="L1279" s="6" t="inlineStr">
        <is>
          <t>MWh</t>
        </is>
      </c>
      <c r="M1279" s="6" t="inlineStr">
        <is>
          <t>ANDE</t>
        </is>
      </c>
      <c r="N1279" s="6" t="inlineStr">
        <is>
          <t>OFFICIAL_PRIMARY</t>
        </is>
      </c>
      <c r="O1279" s="9" t="inlineStr">
        <is>
          <t>OFFICIAL_AGGREGATE</t>
        </is>
      </c>
      <c r="P1279" s="8" t="n">
        <v>1</v>
      </c>
      <c r="Q1279" s="8" t="n">
        <v>85</v>
      </c>
      <c r="R1279" s="7" t="inlineStr">
        <is>
          <t>https://www.ande.gov.py/finanzas/2.%20COMPILACION%20ESTADISTICA%202003-2023/ANDE%20-%20Compilacion%20Estadistica%202003-2023.pdf</t>
        </is>
      </c>
      <c r="S1279" s="6" t="inlineStr">
        <is>
          <t>ANDE-03-23</t>
        </is>
      </c>
      <c r="T1279" s="6" t="inlineStr"/>
      <c r="U1279" s="4" t="inlineStr">
        <is>
          <t>2026-09-11 00:05:00</t>
        </is>
      </c>
      <c r="V1279" s="4" t="inlineStr">
        <is>
          <t>Balance electrico ANDE.</t>
        </is>
      </c>
    </row>
    <row r="1280">
      <c r="A1280" s="6" t="inlineStr">
        <is>
          <t>R0001279</t>
        </is>
      </c>
      <c r="B1280" s="6" t="inlineStr">
        <is>
          <t>2013-01-01</t>
        </is>
      </c>
      <c r="C1280" s="6" t="inlineStr">
        <is>
          <t>2013-12-31</t>
        </is>
      </c>
      <c r="D1280" s="6" t="inlineStr">
        <is>
          <t>year</t>
        </is>
      </c>
      <c r="E1280" s="6" t="inlineStr">
        <is>
          <t>PY_PURCHASED_ENERGY</t>
        </is>
      </c>
      <c r="F1280" s="6" t="inlineStr">
        <is>
          <t>PY_SIN</t>
        </is>
      </c>
      <c r="G1280" s="6" t="inlineStr">
        <is>
          <t>BINATIONALS</t>
        </is>
      </c>
      <c r="H1280" s="6" t="inlineStr">
        <is>
          <t>PY</t>
        </is>
      </c>
      <c r="I1280" s="8" t="n">
        <v>11767413</v>
      </c>
      <c r="J1280" s="6" t="inlineStr">
        <is>
          <t>MWh</t>
        </is>
      </c>
      <c r="K1280" s="8" t="n">
        <v>11767413</v>
      </c>
      <c r="L1280" s="6" t="inlineStr">
        <is>
          <t>MWh</t>
        </is>
      </c>
      <c r="M1280" s="6" t="inlineStr">
        <is>
          <t>ANDE</t>
        </is>
      </c>
      <c r="N1280" s="6" t="inlineStr">
        <is>
          <t>OFFICIAL_PRIMARY</t>
        </is>
      </c>
      <c r="O1280" s="9" t="inlineStr">
        <is>
          <t>OFFICIAL_AGGREGATE</t>
        </is>
      </c>
      <c r="P1280" s="8" t="n">
        <v>1</v>
      </c>
      <c r="Q1280" s="8" t="n">
        <v>85</v>
      </c>
      <c r="R1280" s="7" t="inlineStr">
        <is>
          <t>https://www.ande.gov.py/finanzas/2.%20COMPILACION%20ESTADISTICA%202003-2023/ANDE%20-%20Compilacion%20Estadistica%202003-2023.pdf</t>
        </is>
      </c>
      <c r="S1280" s="6" t="inlineStr">
        <is>
          <t>ANDE-03-23</t>
        </is>
      </c>
      <c r="T1280" s="6" t="inlineStr"/>
      <c r="U1280" s="4" t="inlineStr">
        <is>
          <t>2026-09-11 00:05:00</t>
        </is>
      </c>
      <c r="V1280" s="4" t="inlineStr">
        <is>
          <t>Balance electrico ANDE.</t>
        </is>
      </c>
    </row>
    <row r="1281">
      <c r="A1281" s="6" t="inlineStr">
        <is>
          <t>R0001280</t>
        </is>
      </c>
      <c r="B1281" s="6" t="inlineStr">
        <is>
          <t>2014-01-01</t>
        </is>
      </c>
      <c r="C1281" s="6" t="inlineStr">
        <is>
          <t>2014-12-31</t>
        </is>
      </c>
      <c r="D1281" s="6" t="inlineStr">
        <is>
          <t>year</t>
        </is>
      </c>
      <c r="E1281" s="6" t="inlineStr">
        <is>
          <t>PY_PURCHASED_ENERGY</t>
        </is>
      </c>
      <c r="F1281" s="6" t="inlineStr">
        <is>
          <t>PY_SIN</t>
        </is>
      </c>
      <c r="G1281" s="6" t="inlineStr">
        <is>
          <t>BINATIONALS</t>
        </is>
      </c>
      <c r="H1281" s="6" t="inlineStr">
        <is>
          <t>PY</t>
        </is>
      </c>
      <c r="I1281" s="8" t="n">
        <v>12456559</v>
      </c>
      <c r="J1281" s="6" t="inlineStr">
        <is>
          <t>MWh</t>
        </is>
      </c>
      <c r="K1281" s="8" t="n">
        <v>12456559</v>
      </c>
      <c r="L1281" s="6" t="inlineStr">
        <is>
          <t>MWh</t>
        </is>
      </c>
      <c r="M1281" s="6" t="inlineStr">
        <is>
          <t>ANDE</t>
        </is>
      </c>
      <c r="N1281" s="6" t="inlineStr">
        <is>
          <t>OFFICIAL_PRIMARY</t>
        </is>
      </c>
      <c r="O1281" s="9" t="inlineStr">
        <is>
          <t>OFFICIAL_AGGREGATE</t>
        </is>
      </c>
      <c r="P1281" s="8" t="n">
        <v>1</v>
      </c>
      <c r="Q1281" s="8" t="n">
        <v>85</v>
      </c>
      <c r="R1281" s="7" t="inlineStr">
        <is>
          <t>https://www.ande.gov.py/finanzas/2.%20COMPILACION%20ESTADISTICA%202003-2023/ANDE%20-%20Compilacion%20Estadistica%202003-2023.pdf</t>
        </is>
      </c>
      <c r="S1281" s="6" t="inlineStr">
        <is>
          <t>ANDE-03-23</t>
        </is>
      </c>
      <c r="T1281" s="6" t="inlineStr"/>
      <c r="U1281" s="4" t="inlineStr">
        <is>
          <t>2026-09-11 00:05:00</t>
        </is>
      </c>
      <c r="V1281" s="4" t="inlineStr">
        <is>
          <t>Balance electrico ANDE.</t>
        </is>
      </c>
    </row>
    <row r="1282">
      <c r="A1282" s="6" t="inlineStr">
        <is>
          <t>R0001281</t>
        </is>
      </c>
      <c r="B1282" s="6" t="inlineStr">
        <is>
          <t>2015-01-01</t>
        </is>
      </c>
      <c r="C1282" s="6" t="inlineStr">
        <is>
          <t>2015-12-31</t>
        </is>
      </c>
      <c r="D1282" s="6" t="inlineStr">
        <is>
          <t>year</t>
        </is>
      </c>
      <c r="E1282" s="6" t="inlineStr">
        <is>
          <t>PY_PURCHASED_ENERGY</t>
        </is>
      </c>
      <c r="F1282" s="6" t="inlineStr">
        <is>
          <t>PY_SIN</t>
        </is>
      </c>
      <c r="G1282" s="6" t="inlineStr">
        <is>
          <t>BINATIONALS</t>
        </is>
      </c>
      <c r="H1282" s="6" t="inlineStr">
        <is>
          <t>PY</t>
        </is>
      </c>
      <c r="I1282" s="8" t="n">
        <v>13243802</v>
      </c>
      <c r="J1282" s="6" t="inlineStr">
        <is>
          <t>MWh</t>
        </is>
      </c>
      <c r="K1282" s="8" t="n">
        <v>13243802</v>
      </c>
      <c r="L1282" s="6" t="inlineStr">
        <is>
          <t>MWh</t>
        </is>
      </c>
      <c r="M1282" s="6" t="inlineStr">
        <is>
          <t>ANDE</t>
        </is>
      </c>
      <c r="N1282" s="6" t="inlineStr">
        <is>
          <t>OFFICIAL_PRIMARY</t>
        </is>
      </c>
      <c r="O1282" s="9" t="inlineStr">
        <is>
          <t>OFFICIAL_AGGREGATE</t>
        </is>
      </c>
      <c r="P1282" s="8" t="n">
        <v>1</v>
      </c>
      <c r="Q1282" s="8" t="n">
        <v>85</v>
      </c>
      <c r="R1282" s="7" t="inlineStr">
        <is>
          <t>https://www.ande.gov.py/finanzas/2.%20COMPILACION%20ESTADISTICA%202003-2023/ANDE%20-%20Compilacion%20Estadistica%202003-2023.pdf</t>
        </is>
      </c>
      <c r="S1282" s="6" t="inlineStr">
        <is>
          <t>ANDE-03-23</t>
        </is>
      </c>
      <c r="T1282" s="6" t="inlineStr"/>
      <c r="U1282" s="4" t="inlineStr">
        <is>
          <t>2026-09-11 00:05:00</t>
        </is>
      </c>
      <c r="V1282" s="4" t="inlineStr">
        <is>
          <t>Balance electrico ANDE.</t>
        </is>
      </c>
    </row>
    <row r="1283">
      <c r="A1283" s="6" t="inlineStr">
        <is>
          <t>R0001282</t>
        </is>
      </c>
      <c r="B1283" s="6" t="inlineStr">
        <is>
          <t>2016-01-01</t>
        </is>
      </c>
      <c r="C1283" s="6" t="inlineStr">
        <is>
          <t>2016-12-31</t>
        </is>
      </c>
      <c r="D1283" s="6" t="inlineStr">
        <is>
          <t>year</t>
        </is>
      </c>
      <c r="E1283" s="6" t="inlineStr">
        <is>
          <t>PY_PURCHASED_ENERGY</t>
        </is>
      </c>
      <c r="F1283" s="6" t="inlineStr">
        <is>
          <t>PY_SIN</t>
        </is>
      </c>
      <c r="G1283" s="6" t="inlineStr">
        <is>
          <t>BINATIONALS</t>
        </is>
      </c>
      <c r="H1283" s="6" t="inlineStr">
        <is>
          <t>PY</t>
        </is>
      </c>
      <c r="I1283" s="8" t="n">
        <v>13686282</v>
      </c>
      <c r="J1283" s="6" t="inlineStr">
        <is>
          <t>MWh</t>
        </is>
      </c>
      <c r="K1283" s="8" t="n">
        <v>13686282</v>
      </c>
      <c r="L1283" s="6" t="inlineStr">
        <is>
          <t>MWh</t>
        </is>
      </c>
      <c r="M1283" s="6" t="inlineStr">
        <is>
          <t>ANDE</t>
        </is>
      </c>
      <c r="N1283" s="6" t="inlineStr">
        <is>
          <t>OFFICIAL_PRIMARY</t>
        </is>
      </c>
      <c r="O1283" s="9" t="inlineStr">
        <is>
          <t>OFFICIAL_AGGREGATE</t>
        </is>
      </c>
      <c r="P1283" s="8" t="n">
        <v>1</v>
      </c>
      <c r="Q1283" s="8" t="n">
        <v>85</v>
      </c>
      <c r="R1283" s="7" t="inlineStr">
        <is>
          <t>https://www.ande.gov.py/finanzas/2.%20COMPILACION%20ESTADISTICA%202003-2023/ANDE%20-%20Compilacion%20Estadistica%202003-2023.pdf</t>
        </is>
      </c>
      <c r="S1283" s="6" t="inlineStr">
        <is>
          <t>ANDE-03-23</t>
        </is>
      </c>
      <c r="T1283" s="6" t="inlineStr"/>
      <c r="U1283" s="4" t="inlineStr">
        <is>
          <t>2026-09-11 00:05:00</t>
        </is>
      </c>
      <c r="V1283" s="4" t="inlineStr">
        <is>
          <t>Balance electrico ANDE.</t>
        </is>
      </c>
    </row>
    <row r="1284">
      <c r="A1284" s="6" t="inlineStr">
        <is>
          <t>R0001283</t>
        </is>
      </c>
      <c r="B1284" s="6" t="inlineStr">
        <is>
          <t>2017-01-01</t>
        </is>
      </c>
      <c r="C1284" s="6" t="inlineStr">
        <is>
          <t>2017-12-31</t>
        </is>
      </c>
      <c r="D1284" s="6" t="inlineStr">
        <is>
          <t>year</t>
        </is>
      </c>
      <c r="E1284" s="6" t="inlineStr">
        <is>
          <t>PY_PURCHASED_ENERGY</t>
        </is>
      </c>
      <c r="F1284" s="6" t="inlineStr">
        <is>
          <t>PY_SIN</t>
        </is>
      </c>
      <c r="G1284" s="6" t="inlineStr">
        <is>
          <t>BINATIONALS</t>
        </is>
      </c>
      <c r="H1284" s="6" t="inlineStr">
        <is>
          <t>PY</t>
        </is>
      </c>
      <c r="I1284" s="8" t="n">
        <v>14690779</v>
      </c>
      <c r="J1284" s="6" t="inlineStr">
        <is>
          <t>MWh</t>
        </is>
      </c>
      <c r="K1284" s="8" t="n">
        <v>14690779</v>
      </c>
      <c r="L1284" s="6" t="inlineStr">
        <is>
          <t>MWh</t>
        </is>
      </c>
      <c r="M1284" s="6" t="inlineStr">
        <is>
          <t>ANDE</t>
        </is>
      </c>
      <c r="N1284" s="6" t="inlineStr">
        <is>
          <t>OFFICIAL_PRIMARY</t>
        </is>
      </c>
      <c r="O1284" s="9" t="inlineStr">
        <is>
          <t>OFFICIAL_AGGREGATE</t>
        </is>
      </c>
      <c r="P1284" s="8" t="n">
        <v>1</v>
      </c>
      <c r="Q1284" s="8" t="n">
        <v>85</v>
      </c>
      <c r="R1284" s="7" t="inlineStr">
        <is>
          <t>https://www.ande.gov.py/finanzas/2.%20COMPILACION%20ESTADISTICA%202003-2023/ANDE%20-%20Compilacion%20Estadistica%202003-2023.pdf</t>
        </is>
      </c>
      <c r="S1284" s="6" t="inlineStr">
        <is>
          <t>ANDE-03-23</t>
        </is>
      </c>
      <c r="T1284" s="6" t="inlineStr"/>
      <c r="U1284" s="4" t="inlineStr">
        <is>
          <t>2026-09-11 00:05:00</t>
        </is>
      </c>
      <c r="V1284" s="4" t="inlineStr">
        <is>
          <t>Balance electrico ANDE.</t>
        </is>
      </c>
    </row>
    <row r="1285">
      <c r="A1285" s="6" t="inlineStr">
        <is>
          <t>R0001284</t>
        </is>
      </c>
      <c r="B1285" s="6" t="inlineStr">
        <is>
          <t>2018-01-01</t>
        </is>
      </c>
      <c r="C1285" s="6" t="inlineStr">
        <is>
          <t>2018-12-31</t>
        </is>
      </c>
      <c r="D1285" s="6" t="inlineStr">
        <is>
          <t>year</t>
        </is>
      </c>
      <c r="E1285" s="6" t="inlineStr">
        <is>
          <t>PY_PURCHASED_ENERGY</t>
        </is>
      </c>
      <c r="F1285" s="6" t="inlineStr">
        <is>
          <t>PY_SIN</t>
        </is>
      </c>
      <c r="G1285" s="6" t="inlineStr">
        <is>
          <t>BINATIONALS</t>
        </is>
      </c>
      <c r="H1285" s="6" t="inlineStr">
        <is>
          <t>PY</t>
        </is>
      </c>
      <c r="I1285" s="8" t="n">
        <v>15520791</v>
      </c>
      <c r="J1285" s="6" t="inlineStr">
        <is>
          <t>MWh</t>
        </is>
      </c>
      <c r="K1285" s="8" t="n">
        <v>15520791</v>
      </c>
      <c r="L1285" s="6" t="inlineStr">
        <is>
          <t>MWh</t>
        </is>
      </c>
      <c r="M1285" s="6" t="inlineStr">
        <is>
          <t>ANDE</t>
        </is>
      </c>
      <c r="N1285" s="6" t="inlineStr">
        <is>
          <t>OFFICIAL_PRIMARY</t>
        </is>
      </c>
      <c r="O1285" s="9" t="inlineStr">
        <is>
          <t>OFFICIAL_AGGREGATE</t>
        </is>
      </c>
      <c r="P1285" s="8" t="n">
        <v>1</v>
      </c>
      <c r="Q1285" s="8" t="n">
        <v>85</v>
      </c>
      <c r="R1285" s="7" t="inlineStr">
        <is>
          <t>https://www.ande.gov.py/finanzas/2.%20COMPILACION%20ESTADISTICA%202003-2023/ANDE%20-%20Compilacion%20Estadistica%202003-2023.pdf</t>
        </is>
      </c>
      <c r="S1285" s="6" t="inlineStr">
        <is>
          <t>ANDE-03-23</t>
        </is>
      </c>
      <c r="T1285" s="6" t="inlineStr"/>
      <c r="U1285" s="4" t="inlineStr">
        <is>
          <t>2026-09-11 00:05:00</t>
        </is>
      </c>
      <c r="V1285" s="4" t="inlineStr">
        <is>
          <t>Balance electrico ANDE.</t>
        </is>
      </c>
    </row>
    <row r="1286">
      <c r="A1286" s="6" t="inlineStr">
        <is>
          <t>R0001285</t>
        </is>
      </c>
      <c r="B1286" s="6" t="inlineStr">
        <is>
          <t>2019-01-01</t>
        </is>
      </c>
      <c r="C1286" s="6" t="inlineStr">
        <is>
          <t>2019-12-31</t>
        </is>
      </c>
      <c r="D1286" s="6" t="inlineStr">
        <is>
          <t>year</t>
        </is>
      </c>
      <c r="E1286" s="6" t="inlineStr">
        <is>
          <t>PY_PURCHASED_ENERGY</t>
        </is>
      </c>
      <c r="F1286" s="6" t="inlineStr">
        <is>
          <t>PY_SIN</t>
        </is>
      </c>
      <c r="G1286" s="6" t="inlineStr">
        <is>
          <t>BINATIONALS</t>
        </is>
      </c>
      <c r="H1286" s="6" t="inlineStr">
        <is>
          <t>PY</t>
        </is>
      </c>
      <c r="I1286" s="8" t="n">
        <v>16469479</v>
      </c>
      <c r="J1286" s="6" t="inlineStr">
        <is>
          <t>MWh</t>
        </is>
      </c>
      <c r="K1286" s="8" t="n">
        <v>16469479</v>
      </c>
      <c r="L1286" s="6" t="inlineStr">
        <is>
          <t>MWh</t>
        </is>
      </c>
      <c r="M1286" s="6" t="inlineStr">
        <is>
          <t>ANDE</t>
        </is>
      </c>
      <c r="N1286" s="6" t="inlineStr">
        <is>
          <t>OFFICIAL_PRIMARY</t>
        </is>
      </c>
      <c r="O1286" s="9" t="inlineStr">
        <is>
          <t>OFFICIAL_AGGREGATE</t>
        </is>
      </c>
      <c r="P1286" s="8" t="n">
        <v>1</v>
      </c>
      <c r="Q1286" s="8" t="n">
        <v>85</v>
      </c>
      <c r="R1286" s="7" t="inlineStr">
        <is>
          <t>https://www.ande.gov.py/finanzas/2.%20COMPILACION%20ESTADISTICA%202003-2023/ANDE%20-%20Compilacion%20Estadistica%202003-2023.pdf</t>
        </is>
      </c>
      <c r="S1286" s="6" t="inlineStr">
        <is>
          <t>ANDE-03-23</t>
        </is>
      </c>
      <c r="T1286" s="6" t="inlineStr"/>
      <c r="U1286" s="4" t="inlineStr">
        <is>
          <t>2026-09-11 00:05:00</t>
        </is>
      </c>
      <c r="V1286" s="4" t="inlineStr">
        <is>
          <t>Balance electrico ANDE.</t>
        </is>
      </c>
    </row>
    <row r="1287">
      <c r="A1287" s="6" t="inlineStr">
        <is>
          <t>R0001286</t>
        </is>
      </c>
      <c r="B1287" s="6" t="inlineStr">
        <is>
          <t>2020-01-01</t>
        </is>
      </c>
      <c r="C1287" s="6" t="inlineStr">
        <is>
          <t>2020-12-31</t>
        </is>
      </c>
      <c r="D1287" s="6" t="inlineStr">
        <is>
          <t>year</t>
        </is>
      </c>
      <c r="E1287" s="6" t="inlineStr">
        <is>
          <t>PY_PURCHASED_ENERGY</t>
        </is>
      </c>
      <c r="F1287" s="6" t="inlineStr">
        <is>
          <t>PY_SIN</t>
        </is>
      </c>
      <c r="G1287" s="6" t="inlineStr">
        <is>
          <t>BINATIONALS</t>
        </is>
      </c>
      <c r="H1287" s="6" t="inlineStr">
        <is>
          <t>PY</t>
        </is>
      </c>
      <c r="I1287" s="8" t="n">
        <v>17525615</v>
      </c>
      <c r="J1287" s="6" t="inlineStr">
        <is>
          <t>MWh</t>
        </is>
      </c>
      <c r="K1287" s="8" t="n">
        <v>17525615</v>
      </c>
      <c r="L1287" s="6" t="inlineStr">
        <is>
          <t>MWh</t>
        </is>
      </c>
      <c r="M1287" s="6" t="inlineStr">
        <is>
          <t>ANDE</t>
        </is>
      </c>
      <c r="N1287" s="6" t="inlineStr">
        <is>
          <t>OFFICIAL_PRIMARY</t>
        </is>
      </c>
      <c r="O1287" s="9" t="inlineStr">
        <is>
          <t>OFFICIAL_AGGREGATE</t>
        </is>
      </c>
      <c r="P1287" s="8" t="n">
        <v>1</v>
      </c>
      <c r="Q1287" s="8" t="n">
        <v>85</v>
      </c>
      <c r="R1287" s="7" t="inlineStr">
        <is>
          <t>https://www.ande.gov.py/finanzas/2.%20COMPILACION%20ESTADISTICA%202003-2023/ANDE%20-%20Compilacion%20Estadistica%202003-2023.pdf</t>
        </is>
      </c>
      <c r="S1287" s="6" t="inlineStr">
        <is>
          <t>ANDE-03-23</t>
        </is>
      </c>
      <c r="T1287" s="6" t="inlineStr"/>
      <c r="U1287" s="4" t="inlineStr">
        <is>
          <t>2026-09-11 00:05:00</t>
        </is>
      </c>
      <c r="V1287" s="4" t="inlineStr">
        <is>
          <t>Balance electrico ANDE.</t>
        </is>
      </c>
    </row>
    <row r="1288">
      <c r="A1288" s="6" t="inlineStr">
        <is>
          <t>R0001287</t>
        </is>
      </c>
      <c r="B1288" s="6" t="inlineStr">
        <is>
          <t>2021-01-01</t>
        </is>
      </c>
      <c r="C1288" s="6" t="inlineStr">
        <is>
          <t>2021-12-31</t>
        </is>
      </c>
      <c r="D1288" s="6" t="inlineStr">
        <is>
          <t>year</t>
        </is>
      </c>
      <c r="E1288" s="6" t="inlineStr">
        <is>
          <t>PY_PURCHASED_ENERGY</t>
        </is>
      </c>
      <c r="F1288" s="6" t="inlineStr">
        <is>
          <t>PY_SIN</t>
        </is>
      </c>
      <c r="G1288" s="6" t="inlineStr">
        <is>
          <t>BINATIONALS</t>
        </is>
      </c>
      <c r="H1288" s="6" t="inlineStr">
        <is>
          <t>PY</t>
        </is>
      </c>
      <c r="I1288" s="8" t="n">
        <v>18112894</v>
      </c>
      <c r="J1288" s="6" t="inlineStr">
        <is>
          <t>MWh</t>
        </is>
      </c>
      <c r="K1288" s="8" t="n">
        <v>18112894</v>
      </c>
      <c r="L1288" s="6" t="inlineStr">
        <is>
          <t>MWh</t>
        </is>
      </c>
      <c r="M1288" s="6" t="inlineStr">
        <is>
          <t>ANDE</t>
        </is>
      </c>
      <c r="N1288" s="6" t="inlineStr">
        <is>
          <t>OFFICIAL_PRIMARY</t>
        </is>
      </c>
      <c r="O1288" s="9" t="inlineStr">
        <is>
          <t>OFFICIAL_AGGREGATE</t>
        </is>
      </c>
      <c r="P1288" s="8" t="n">
        <v>1</v>
      </c>
      <c r="Q1288" s="8" t="n">
        <v>85</v>
      </c>
      <c r="R1288" s="7" t="inlineStr">
        <is>
          <t>https://www.ande.gov.py/finanzas/2.%20COMPILACION%20ESTADISTICA%202003-2023/ANDE%20-%20Compilacion%20Estadistica%202003-2023.pdf</t>
        </is>
      </c>
      <c r="S1288" s="6" t="inlineStr">
        <is>
          <t>ANDE-03-23</t>
        </is>
      </c>
      <c r="T1288" s="6" t="inlineStr"/>
      <c r="U1288" s="4" t="inlineStr">
        <is>
          <t>2026-09-11 00:05:00</t>
        </is>
      </c>
      <c r="V1288" s="4" t="inlineStr">
        <is>
          <t>Balance electrico ANDE.</t>
        </is>
      </c>
    </row>
    <row r="1289">
      <c r="A1289" s="6" t="inlineStr">
        <is>
          <t>R0001288</t>
        </is>
      </c>
      <c r="B1289" s="6" t="inlineStr">
        <is>
          <t>2022-01-01</t>
        </is>
      </c>
      <c r="C1289" s="6" t="inlineStr">
        <is>
          <t>2022-12-31</t>
        </is>
      </c>
      <c r="D1289" s="6" t="inlineStr">
        <is>
          <t>year</t>
        </is>
      </c>
      <c r="E1289" s="6" t="inlineStr">
        <is>
          <t>PY_PURCHASED_ENERGY</t>
        </is>
      </c>
      <c r="F1289" s="6" t="inlineStr">
        <is>
          <t>PY_SIN</t>
        </is>
      </c>
      <c r="G1289" s="6" t="inlineStr">
        <is>
          <t>BINATIONALS</t>
        </is>
      </c>
      <c r="H1289" s="6" t="inlineStr">
        <is>
          <t>PY</t>
        </is>
      </c>
      <c r="I1289" s="8" t="n">
        <v>18962906</v>
      </c>
      <c r="J1289" s="6" t="inlineStr">
        <is>
          <t>MWh</t>
        </is>
      </c>
      <c r="K1289" s="8" t="n">
        <v>18962906</v>
      </c>
      <c r="L1289" s="6" t="inlineStr">
        <is>
          <t>MWh</t>
        </is>
      </c>
      <c r="M1289" s="6" t="inlineStr">
        <is>
          <t>ANDE</t>
        </is>
      </c>
      <c r="N1289" s="6" t="inlineStr">
        <is>
          <t>OFFICIAL_PRIMARY</t>
        </is>
      </c>
      <c r="O1289" s="9" t="inlineStr">
        <is>
          <t>OFFICIAL_AGGREGATE</t>
        </is>
      </c>
      <c r="P1289" s="8" t="n">
        <v>1</v>
      </c>
      <c r="Q1289" s="8" t="n">
        <v>85</v>
      </c>
      <c r="R1289" s="7" t="inlineStr">
        <is>
          <t>https://www.ande.gov.py/finanzas/2.%20COMPILACION%20ESTADISTICA%202003-2023/ANDE%20-%20Compilacion%20Estadistica%202003-2023.pdf</t>
        </is>
      </c>
      <c r="S1289" s="6" t="inlineStr">
        <is>
          <t>ANDE-03-23</t>
        </is>
      </c>
      <c r="T1289" s="6" t="inlineStr"/>
      <c r="U1289" s="4" t="inlineStr">
        <is>
          <t>2026-09-11 00:05:00</t>
        </is>
      </c>
      <c r="V1289" s="4" t="inlineStr">
        <is>
          <t>Balance electrico ANDE.</t>
        </is>
      </c>
    </row>
    <row r="1290">
      <c r="A1290" s="6" t="inlineStr">
        <is>
          <t>R0001289</t>
        </is>
      </c>
      <c r="B1290" s="6" t="inlineStr">
        <is>
          <t>2023-01-01</t>
        </is>
      </c>
      <c r="C1290" s="6" t="inlineStr">
        <is>
          <t>2023-12-31</t>
        </is>
      </c>
      <c r="D1290" s="6" t="inlineStr">
        <is>
          <t>year</t>
        </is>
      </c>
      <c r="E1290" s="6" t="inlineStr">
        <is>
          <t>PY_PURCHASED_ENERGY</t>
        </is>
      </c>
      <c r="F1290" s="6" t="inlineStr">
        <is>
          <t>PY_SIN</t>
        </is>
      </c>
      <c r="G1290" s="6" t="inlineStr">
        <is>
          <t>BINATIONALS</t>
        </is>
      </c>
      <c r="H1290" s="6" t="inlineStr">
        <is>
          <t>PY</t>
        </is>
      </c>
      <c r="I1290" s="8" t="n">
        <v>21399644</v>
      </c>
      <c r="J1290" s="6" t="inlineStr">
        <is>
          <t>MWh</t>
        </is>
      </c>
      <c r="K1290" s="8" t="n">
        <v>21399644</v>
      </c>
      <c r="L1290" s="6" t="inlineStr">
        <is>
          <t>MWh</t>
        </is>
      </c>
      <c r="M1290" s="6" t="inlineStr">
        <is>
          <t>ANDE</t>
        </is>
      </c>
      <c r="N1290" s="6" t="inlineStr">
        <is>
          <t>OFFICIAL_PRIMARY</t>
        </is>
      </c>
      <c r="O1290" s="9" t="inlineStr">
        <is>
          <t>OFFICIAL_AGGREGATE</t>
        </is>
      </c>
      <c r="P1290" s="8" t="n">
        <v>1</v>
      </c>
      <c r="Q1290" s="8" t="n">
        <v>85</v>
      </c>
      <c r="R1290" s="7" t="inlineStr">
        <is>
          <t>https://www.ande.gov.py/finanzas/2.%20COMPILACION%20ESTADISTICA%202003-2023/ANDE%20-%20Compilacion%20Estadistica%202003-2023.pdf</t>
        </is>
      </c>
      <c r="S1290" s="6" t="inlineStr">
        <is>
          <t>ANDE-03-23</t>
        </is>
      </c>
      <c r="T1290" s="6" t="inlineStr"/>
      <c r="U1290" s="4" t="inlineStr">
        <is>
          <t>2026-09-11 00:05:00</t>
        </is>
      </c>
      <c r="V1290" s="4" t="inlineStr">
        <is>
          <t>Balance electrico ANDE.</t>
        </is>
      </c>
    </row>
    <row r="1291">
      <c r="A1291" s="6" t="inlineStr">
        <is>
          <t>R0001290</t>
        </is>
      </c>
      <c r="B1291" s="6" t="inlineStr">
        <is>
          <t>2003-01-01</t>
        </is>
      </c>
      <c r="C1291" s="6" t="inlineStr">
        <is>
          <t>2003-12-31</t>
        </is>
      </c>
      <c r="D1291" s="6" t="inlineStr">
        <is>
          <t>year</t>
        </is>
      </c>
      <c r="E1291" s="6" t="inlineStr">
        <is>
          <t>PY_IMPORT_ENERGY</t>
        </is>
      </c>
      <c r="F1291" s="6" t="inlineStr">
        <is>
          <t>PY_SIN</t>
        </is>
      </c>
      <c r="G1291" s="6" t="inlineStr">
        <is>
          <t>PY</t>
        </is>
      </c>
      <c r="H1291" s="6" t="inlineStr">
        <is>
          <t>PY</t>
        </is>
      </c>
      <c r="I1291" s="8" t="n">
        <v>12</v>
      </c>
      <c r="J1291" s="6" t="inlineStr">
        <is>
          <t>MWh</t>
        </is>
      </c>
      <c r="K1291" s="8" t="n">
        <v>12</v>
      </c>
      <c r="L1291" s="6" t="inlineStr">
        <is>
          <t>MWh</t>
        </is>
      </c>
      <c r="M1291" s="6" t="inlineStr">
        <is>
          <t>ANDE</t>
        </is>
      </c>
      <c r="N1291" s="6" t="inlineStr">
        <is>
          <t>OFFICIAL_PRIMARY</t>
        </is>
      </c>
      <c r="O1291" s="9" t="inlineStr">
        <is>
          <t>OFFICIAL_AGGREGATE</t>
        </is>
      </c>
      <c r="P1291" s="8" t="n">
        <v>1</v>
      </c>
      <c r="Q1291" s="8" t="n">
        <v>85</v>
      </c>
      <c r="R1291" s="7" t="inlineStr">
        <is>
          <t>https://www.ande.gov.py/finanzas/2.%20COMPILACION%20ESTADISTICA%202003-2023/ANDE%20-%20Compilacion%20Estadistica%202003-2023.pdf</t>
        </is>
      </c>
      <c r="S1291" s="6" t="inlineStr">
        <is>
          <t>ANDE-03-23</t>
        </is>
      </c>
      <c r="T1291" s="6" t="inlineStr"/>
      <c r="U1291" s="4" t="inlineStr">
        <is>
          <t>2026-09-11 00:05:00</t>
        </is>
      </c>
      <c r="V1291" s="4" t="inlineStr">
        <is>
          <t>Balance electrico ANDE.</t>
        </is>
      </c>
    </row>
    <row r="1292">
      <c r="A1292" s="6" t="inlineStr">
        <is>
          <t>R0001291</t>
        </is>
      </c>
      <c r="B1292" s="6" t="inlineStr">
        <is>
          <t>2004-01-01</t>
        </is>
      </c>
      <c r="C1292" s="6" t="inlineStr">
        <is>
          <t>2004-12-31</t>
        </is>
      </c>
      <c r="D1292" s="6" t="inlineStr">
        <is>
          <t>year</t>
        </is>
      </c>
      <c r="E1292" s="6" t="inlineStr">
        <is>
          <t>PY_IMPORT_ENERGY</t>
        </is>
      </c>
      <c r="F1292" s="6" t="inlineStr">
        <is>
          <t>PY_SIN</t>
        </is>
      </c>
      <c r="G1292" s="6" t="inlineStr">
        <is>
          <t>PY</t>
        </is>
      </c>
      <c r="H1292" s="6" t="inlineStr">
        <is>
          <t>PY</t>
        </is>
      </c>
      <c r="I1292" s="8" t="n">
        <v>17</v>
      </c>
      <c r="J1292" s="6" t="inlineStr">
        <is>
          <t>MWh</t>
        </is>
      </c>
      <c r="K1292" s="8" t="n">
        <v>17</v>
      </c>
      <c r="L1292" s="6" t="inlineStr">
        <is>
          <t>MWh</t>
        </is>
      </c>
      <c r="M1292" s="6" t="inlineStr">
        <is>
          <t>ANDE</t>
        </is>
      </c>
      <c r="N1292" s="6" t="inlineStr">
        <is>
          <t>OFFICIAL_PRIMARY</t>
        </is>
      </c>
      <c r="O1292" s="9" t="inlineStr">
        <is>
          <t>OFFICIAL_AGGREGATE</t>
        </is>
      </c>
      <c r="P1292" s="8" t="n">
        <v>1</v>
      </c>
      <c r="Q1292" s="8" t="n">
        <v>85</v>
      </c>
      <c r="R1292" s="7" t="inlineStr">
        <is>
          <t>https://www.ande.gov.py/finanzas/2.%20COMPILACION%20ESTADISTICA%202003-2023/ANDE%20-%20Compilacion%20Estadistica%202003-2023.pdf</t>
        </is>
      </c>
      <c r="S1292" s="6" t="inlineStr">
        <is>
          <t>ANDE-03-23</t>
        </is>
      </c>
      <c r="T1292" s="6" t="inlineStr"/>
      <c r="U1292" s="4" t="inlineStr">
        <is>
          <t>2026-09-11 00:05:00</t>
        </is>
      </c>
      <c r="V1292" s="4" t="inlineStr">
        <is>
          <t>Balance electrico ANDE.</t>
        </is>
      </c>
    </row>
    <row r="1293">
      <c r="A1293" s="6" t="inlineStr">
        <is>
          <t>R0001292</t>
        </is>
      </c>
      <c r="B1293" s="6" t="inlineStr">
        <is>
          <t>2005-01-01</t>
        </is>
      </c>
      <c r="C1293" s="6" t="inlineStr">
        <is>
          <t>2005-12-31</t>
        </is>
      </c>
      <c r="D1293" s="6" t="inlineStr">
        <is>
          <t>year</t>
        </is>
      </c>
      <c r="E1293" s="6" t="inlineStr">
        <is>
          <t>PY_IMPORT_ENERGY</t>
        </is>
      </c>
      <c r="F1293" s="6" t="inlineStr">
        <is>
          <t>PY_SIN</t>
        </is>
      </c>
      <c r="G1293" s="6" t="inlineStr">
        <is>
          <t>PY</t>
        </is>
      </c>
      <c r="H1293" s="6" t="inlineStr">
        <is>
          <t>PY</t>
        </is>
      </c>
      <c r="I1293" s="8" t="n">
        <v>2211</v>
      </c>
      <c r="J1293" s="6" t="inlineStr">
        <is>
          <t>MWh</t>
        </is>
      </c>
      <c r="K1293" s="8" t="n">
        <v>2211</v>
      </c>
      <c r="L1293" s="6" t="inlineStr">
        <is>
          <t>MWh</t>
        </is>
      </c>
      <c r="M1293" s="6" t="inlineStr">
        <is>
          <t>ANDE</t>
        </is>
      </c>
      <c r="N1293" s="6" t="inlineStr">
        <is>
          <t>OFFICIAL_PRIMARY</t>
        </is>
      </c>
      <c r="O1293" s="9" t="inlineStr">
        <is>
          <t>OFFICIAL_AGGREGATE</t>
        </is>
      </c>
      <c r="P1293" s="8" t="n">
        <v>1</v>
      </c>
      <c r="Q1293" s="8" t="n">
        <v>85</v>
      </c>
      <c r="R1293" s="7" t="inlineStr">
        <is>
          <t>https://www.ande.gov.py/finanzas/2.%20COMPILACION%20ESTADISTICA%202003-2023/ANDE%20-%20Compilacion%20Estadistica%202003-2023.pdf</t>
        </is>
      </c>
      <c r="S1293" s="6" t="inlineStr">
        <is>
          <t>ANDE-03-23</t>
        </is>
      </c>
      <c r="T1293" s="6" t="inlineStr"/>
      <c r="U1293" s="4" t="inlineStr">
        <is>
          <t>2026-09-11 00:05:00</t>
        </is>
      </c>
      <c r="V1293" s="4" t="inlineStr">
        <is>
          <t>Balance electrico ANDE.</t>
        </is>
      </c>
    </row>
    <row r="1294">
      <c r="A1294" s="6" t="inlineStr">
        <is>
          <t>R0001293</t>
        </is>
      </c>
      <c r="B1294" s="6" t="inlineStr">
        <is>
          <t>2006-01-01</t>
        </is>
      </c>
      <c r="C1294" s="6" t="inlineStr">
        <is>
          <t>2006-12-31</t>
        </is>
      </c>
      <c r="D1294" s="6" t="inlineStr">
        <is>
          <t>year</t>
        </is>
      </c>
      <c r="E1294" s="6" t="inlineStr">
        <is>
          <t>PY_IMPORT_ENERGY</t>
        </is>
      </c>
      <c r="F1294" s="6" t="inlineStr">
        <is>
          <t>PY_SIN</t>
        </is>
      </c>
      <c r="G1294" s="6" t="inlineStr">
        <is>
          <t>PY</t>
        </is>
      </c>
      <c r="H1294" s="6" t="inlineStr">
        <is>
          <t>PY</t>
        </is>
      </c>
      <c r="I1294" s="8" t="n">
        <v>645</v>
      </c>
      <c r="J1294" s="6" t="inlineStr">
        <is>
          <t>MWh</t>
        </is>
      </c>
      <c r="K1294" s="8" t="n">
        <v>645</v>
      </c>
      <c r="L1294" s="6" t="inlineStr">
        <is>
          <t>MWh</t>
        </is>
      </c>
      <c r="M1294" s="6" t="inlineStr">
        <is>
          <t>ANDE</t>
        </is>
      </c>
      <c r="N1294" s="6" t="inlineStr">
        <is>
          <t>OFFICIAL_PRIMARY</t>
        </is>
      </c>
      <c r="O1294" s="9" t="inlineStr">
        <is>
          <t>OFFICIAL_AGGREGATE</t>
        </is>
      </c>
      <c r="P1294" s="8" t="n">
        <v>1</v>
      </c>
      <c r="Q1294" s="8" t="n">
        <v>85</v>
      </c>
      <c r="R1294" s="7" t="inlineStr">
        <is>
          <t>https://www.ande.gov.py/finanzas/2.%20COMPILACION%20ESTADISTICA%202003-2023/ANDE%20-%20Compilacion%20Estadistica%202003-2023.pdf</t>
        </is>
      </c>
      <c r="S1294" s="6" t="inlineStr">
        <is>
          <t>ANDE-03-23</t>
        </is>
      </c>
      <c r="T1294" s="6" t="inlineStr"/>
      <c r="U1294" s="4" t="inlineStr">
        <is>
          <t>2026-09-11 00:05:00</t>
        </is>
      </c>
      <c r="V1294" s="4" t="inlineStr">
        <is>
          <t>Balance electrico ANDE.</t>
        </is>
      </c>
    </row>
    <row r="1295">
      <c r="A1295" s="6" t="inlineStr">
        <is>
          <t>R0001294</t>
        </is>
      </c>
      <c r="B1295" s="6" t="inlineStr">
        <is>
          <t>2007-01-01</t>
        </is>
      </c>
      <c r="C1295" s="6" t="inlineStr">
        <is>
          <t>2007-12-31</t>
        </is>
      </c>
      <c r="D1295" s="6" t="inlineStr">
        <is>
          <t>year</t>
        </is>
      </c>
      <c r="E1295" s="6" t="inlineStr">
        <is>
          <t>PY_IMPORT_ENERGY</t>
        </is>
      </c>
      <c r="F1295" s="6" t="inlineStr">
        <is>
          <t>PY_SIN</t>
        </is>
      </c>
      <c r="G1295" s="6" t="inlineStr">
        <is>
          <t>PY</t>
        </is>
      </c>
      <c r="H1295" s="6" t="inlineStr">
        <is>
          <t>PY</t>
        </is>
      </c>
      <c r="I1295" s="8" t="n">
        <v>0</v>
      </c>
      <c r="J1295" s="6" t="inlineStr">
        <is>
          <t>MWh</t>
        </is>
      </c>
      <c r="K1295" s="8" t="n">
        <v>0</v>
      </c>
      <c r="L1295" s="6" t="inlineStr">
        <is>
          <t>MWh</t>
        </is>
      </c>
      <c r="M1295" s="6" t="inlineStr">
        <is>
          <t>ANDE</t>
        </is>
      </c>
      <c r="N1295" s="6" t="inlineStr">
        <is>
          <t>OFFICIAL_PRIMARY</t>
        </is>
      </c>
      <c r="O1295" s="9" t="inlineStr">
        <is>
          <t>OFFICIAL_AGGREGATE</t>
        </is>
      </c>
      <c r="P1295" s="8" t="n">
        <v>1</v>
      </c>
      <c r="Q1295" s="8" t="n">
        <v>85</v>
      </c>
      <c r="R1295" s="7" t="inlineStr">
        <is>
          <t>https://www.ande.gov.py/finanzas/2.%20COMPILACION%20ESTADISTICA%202003-2023/ANDE%20-%20Compilacion%20Estadistica%202003-2023.pdf</t>
        </is>
      </c>
      <c r="S1295" s="6" t="inlineStr">
        <is>
          <t>ANDE-03-23</t>
        </is>
      </c>
      <c r="T1295" s="6" t="inlineStr"/>
      <c r="U1295" s="4" t="inlineStr">
        <is>
          <t>2026-09-11 00:05:00</t>
        </is>
      </c>
      <c r="V1295" s="4" t="inlineStr">
        <is>
          <t>Balance electrico ANDE.</t>
        </is>
      </c>
    </row>
    <row r="1296">
      <c r="A1296" s="6" t="inlineStr">
        <is>
          <t>R0001295</t>
        </is>
      </c>
      <c r="B1296" s="6" t="inlineStr">
        <is>
          <t>2008-01-01</t>
        </is>
      </c>
      <c r="C1296" s="6" t="inlineStr">
        <is>
          <t>2008-12-31</t>
        </is>
      </c>
      <c r="D1296" s="6" t="inlineStr">
        <is>
          <t>year</t>
        </is>
      </c>
      <c r="E1296" s="6" t="inlineStr">
        <is>
          <t>PY_IMPORT_ENERGY</t>
        </is>
      </c>
      <c r="F1296" s="6" t="inlineStr">
        <is>
          <t>PY_SIN</t>
        </is>
      </c>
      <c r="G1296" s="6" t="inlineStr">
        <is>
          <t>PY</t>
        </is>
      </c>
      <c r="H1296" s="6" t="inlineStr">
        <is>
          <t>PY</t>
        </is>
      </c>
      <c r="I1296" s="8" t="n">
        <v>83</v>
      </c>
      <c r="J1296" s="6" t="inlineStr">
        <is>
          <t>MWh</t>
        </is>
      </c>
      <c r="K1296" s="8" t="n">
        <v>83</v>
      </c>
      <c r="L1296" s="6" t="inlineStr">
        <is>
          <t>MWh</t>
        </is>
      </c>
      <c r="M1296" s="6" t="inlineStr">
        <is>
          <t>ANDE</t>
        </is>
      </c>
      <c r="N1296" s="6" t="inlineStr">
        <is>
          <t>OFFICIAL_PRIMARY</t>
        </is>
      </c>
      <c r="O1296" s="9" t="inlineStr">
        <is>
          <t>OFFICIAL_AGGREGATE</t>
        </is>
      </c>
      <c r="P1296" s="8" t="n">
        <v>1</v>
      </c>
      <c r="Q1296" s="8" t="n">
        <v>85</v>
      </c>
      <c r="R1296" s="7" t="inlineStr">
        <is>
          <t>https://www.ande.gov.py/finanzas/2.%20COMPILACION%20ESTADISTICA%202003-2023/ANDE%20-%20Compilacion%20Estadistica%202003-2023.pdf</t>
        </is>
      </c>
      <c r="S1296" s="6" t="inlineStr">
        <is>
          <t>ANDE-03-23</t>
        </is>
      </c>
      <c r="T1296" s="6" t="inlineStr"/>
      <c r="U1296" s="4" t="inlineStr">
        <is>
          <t>2026-09-11 00:05:00</t>
        </is>
      </c>
      <c r="V1296" s="4" t="inlineStr">
        <is>
          <t>Balance electrico ANDE.</t>
        </is>
      </c>
    </row>
    <row r="1297">
      <c r="A1297" s="6" t="inlineStr">
        <is>
          <t>R0001296</t>
        </is>
      </c>
      <c r="B1297" s="6" t="inlineStr">
        <is>
          <t>2009-01-01</t>
        </is>
      </c>
      <c r="C1297" s="6" t="inlineStr">
        <is>
          <t>2009-12-31</t>
        </is>
      </c>
      <c r="D1297" s="6" t="inlineStr">
        <is>
          <t>year</t>
        </is>
      </c>
      <c r="E1297" s="6" t="inlineStr">
        <is>
          <t>PY_IMPORT_ENERGY</t>
        </is>
      </c>
      <c r="F1297" s="6" t="inlineStr">
        <is>
          <t>PY_SIN</t>
        </is>
      </c>
      <c r="G1297" s="6" t="inlineStr">
        <is>
          <t>PY</t>
        </is>
      </c>
      <c r="H1297" s="6" t="inlineStr">
        <is>
          <t>PY</t>
        </is>
      </c>
      <c r="I1297" s="8" t="n">
        <v>0</v>
      </c>
      <c r="J1297" s="6" t="inlineStr">
        <is>
          <t>MWh</t>
        </is>
      </c>
      <c r="K1297" s="8" t="n">
        <v>0</v>
      </c>
      <c r="L1297" s="6" t="inlineStr">
        <is>
          <t>MWh</t>
        </is>
      </c>
      <c r="M1297" s="6" t="inlineStr">
        <is>
          <t>ANDE</t>
        </is>
      </c>
      <c r="N1297" s="6" t="inlineStr">
        <is>
          <t>OFFICIAL_PRIMARY</t>
        </is>
      </c>
      <c r="O1297" s="9" t="inlineStr">
        <is>
          <t>OFFICIAL_AGGREGATE</t>
        </is>
      </c>
      <c r="P1297" s="8" t="n">
        <v>1</v>
      </c>
      <c r="Q1297" s="8" t="n">
        <v>85</v>
      </c>
      <c r="R1297" s="7" t="inlineStr">
        <is>
          <t>https://www.ande.gov.py/finanzas/2.%20COMPILACION%20ESTADISTICA%202003-2023/ANDE%20-%20Compilacion%20Estadistica%202003-2023.pdf</t>
        </is>
      </c>
      <c r="S1297" s="6" t="inlineStr">
        <is>
          <t>ANDE-03-23</t>
        </is>
      </c>
      <c r="T1297" s="6" t="inlineStr"/>
      <c r="U1297" s="4" t="inlineStr">
        <is>
          <t>2026-09-11 00:05:00</t>
        </is>
      </c>
      <c r="V1297" s="4" t="inlineStr">
        <is>
          <t>Balance electrico ANDE.</t>
        </is>
      </c>
    </row>
    <row r="1298">
      <c r="A1298" s="6" t="inlineStr">
        <is>
          <t>R0001297</t>
        </is>
      </c>
      <c r="B1298" s="6" t="inlineStr">
        <is>
          <t>2010-01-01</t>
        </is>
      </c>
      <c r="C1298" s="6" t="inlineStr">
        <is>
          <t>2010-12-31</t>
        </is>
      </c>
      <c r="D1298" s="6" t="inlineStr">
        <is>
          <t>year</t>
        </is>
      </c>
      <c r="E1298" s="6" t="inlineStr">
        <is>
          <t>PY_IMPORT_ENERGY</t>
        </is>
      </c>
      <c r="F1298" s="6" t="inlineStr">
        <is>
          <t>PY_SIN</t>
        </is>
      </c>
      <c r="G1298" s="6" t="inlineStr">
        <is>
          <t>PY</t>
        </is>
      </c>
      <c r="H1298" s="6" t="inlineStr">
        <is>
          <t>PY</t>
        </is>
      </c>
      <c r="I1298" s="8" t="n">
        <v>0</v>
      </c>
      <c r="J1298" s="6" t="inlineStr">
        <is>
          <t>MWh</t>
        </is>
      </c>
      <c r="K1298" s="8" t="n">
        <v>0</v>
      </c>
      <c r="L1298" s="6" t="inlineStr">
        <is>
          <t>MWh</t>
        </is>
      </c>
      <c r="M1298" s="6" t="inlineStr">
        <is>
          <t>ANDE</t>
        </is>
      </c>
      <c r="N1298" s="6" t="inlineStr">
        <is>
          <t>OFFICIAL_PRIMARY</t>
        </is>
      </c>
      <c r="O1298" s="9" t="inlineStr">
        <is>
          <t>OFFICIAL_AGGREGATE</t>
        </is>
      </c>
      <c r="P1298" s="8" t="n">
        <v>1</v>
      </c>
      <c r="Q1298" s="8" t="n">
        <v>85</v>
      </c>
      <c r="R1298" s="7" t="inlineStr">
        <is>
          <t>https://www.ande.gov.py/finanzas/2.%20COMPILACION%20ESTADISTICA%202003-2023/ANDE%20-%20Compilacion%20Estadistica%202003-2023.pdf</t>
        </is>
      </c>
      <c r="S1298" s="6" t="inlineStr">
        <is>
          <t>ANDE-03-23</t>
        </is>
      </c>
      <c r="T1298" s="6" t="inlineStr"/>
      <c r="U1298" s="4" t="inlineStr">
        <is>
          <t>2026-09-11 00:05:00</t>
        </is>
      </c>
      <c r="V1298" s="4" t="inlineStr">
        <is>
          <t>Balance electrico ANDE.</t>
        </is>
      </c>
    </row>
    <row r="1299">
      <c r="A1299" s="6" t="inlineStr">
        <is>
          <t>R0001298</t>
        </is>
      </c>
      <c r="B1299" s="6" t="inlineStr">
        <is>
          <t>2011-01-01</t>
        </is>
      </c>
      <c r="C1299" s="6" t="inlineStr">
        <is>
          <t>2011-12-31</t>
        </is>
      </c>
      <c r="D1299" s="6" t="inlineStr">
        <is>
          <t>year</t>
        </is>
      </c>
      <c r="E1299" s="6" t="inlineStr">
        <is>
          <t>PY_IMPORT_ENERGY</t>
        </is>
      </c>
      <c r="F1299" s="6" t="inlineStr">
        <is>
          <t>PY_SIN</t>
        </is>
      </c>
      <c r="G1299" s="6" t="inlineStr">
        <is>
          <t>PY</t>
        </is>
      </c>
      <c r="H1299" s="6" t="inlineStr">
        <is>
          <t>PY</t>
        </is>
      </c>
      <c r="I1299" s="8" t="n">
        <v>0</v>
      </c>
      <c r="J1299" s="6" t="inlineStr">
        <is>
          <t>MWh</t>
        </is>
      </c>
      <c r="K1299" s="8" t="n">
        <v>0</v>
      </c>
      <c r="L1299" s="6" t="inlineStr">
        <is>
          <t>MWh</t>
        </is>
      </c>
      <c r="M1299" s="6" t="inlineStr">
        <is>
          <t>ANDE</t>
        </is>
      </c>
      <c r="N1299" s="6" t="inlineStr">
        <is>
          <t>OFFICIAL_PRIMARY</t>
        </is>
      </c>
      <c r="O1299" s="9" t="inlineStr">
        <is>
          <t>OFFICIAL_AGGREGATE</t>
        </is>
      </c>
      <c r="P1299" s="8" t="n">
        <v>1</v>
      </c>
      <c r="Q1299" s="8" t="n">
        <v>85</v>
      </c>
      <c r="R1299" s="7" t="inlineStr">
        <is>
          <t>https://www.ande.gov.py/finanzas/2.%20COMPILACION%20ESTADISTICA%202003-2023/ANDE%20-%20Compilacion%20Estadistica%202003-2023.pdf</t>
        </is>
      </c>
      <c r="S1299" s="6" t="inlineStr">
        <is>
          <t>ANDE-03-23</t>
        </is>
      </c>
      <c r="T1299" s="6" t="inlineStr"/>
      <c r="U1299" s="4" t="inlineStr">
        <is>
          <t>2026-09-11 00:05:00</t>
        </is>
      </c>
      <c r="V1299" s="4" t="inlineStr">
        <is>
          <t>Balance electrico ANDE.</t>
        </is>
      </c>
    </row>
    <row r="1300">
      <c r="A1300" s="6" t="inlineStr">
        <is>
          <t>R0001299</t>
        </is>
      </c>
      <c r="B1300" s="6" t="inlineStr">
        <is>
          <t>2012-01-01</t>
        </is>
      </c>
      <c r="C1300" s="6" t="inlineStr">
        <is>
          <t>2012-12-31</t>
        </is>
      </c>
      <c r="D1300" s="6" t="inlineStr">
        <is>
          <t>year</t>
        </is>
      </c>
      <c r="E1300" s="6" t="inlineStr">
        <is>
          <t>PY_IMPORT_ENERGY</t>
        </is>
      </c>
      <c r="F1300" s="6" t="inlineStr">
        <is>
          <t>PY_SIN</t>
        </is>
      </c>
      <c r="G1300" s="6" t="inlineStr">
        <is>
          <t>PY</t>
        </is>
      </c>
      <c r="H1300" s="6" t="inlineStr">
        <is>
          <t>PY</t>
        </is>
      </c>
      <c r="I1300" s="8" t="n">
        <v>0</v>
      </c>
      <c r="J1300" s="6" t="inlineStr">
        <is>
          <t>MWh</t>
        </is>
      </c>
      <c r="K1300" s="8" t="n">
        <v>0</v>
      </c>
      <c r="L1300" s="6" t="inlineStr">
        <is>
          <t>MWh</t>
        </is>
      </c>
      <c r="M1300" s="6" t="inlineStr">
        <is>
          <t>ANDE</t>
        </is>
      </c>
      <c r="N1300" s="6" t="inlineStr">
        <is>
          <t>OFFICIAL_PRIMARY</t>
        </is>
      </c>
      <c r="O1300" s="9" t="inlineStr">
        <is>
          <t>OFFICIAL_AGGREGATE</t>
        </is>
      </c>
      <c r="P1300" s="8" t="n">
        <v>1</v>
      </c>
      <c r="Q1300" s="8" t="n">
        <v>85</v>
      </c>
      <c r="R1300" s="7" t="inlineStr">
        <is>
          <t>https://www.ande.gov.py/finanzas/2.%20COMPILACION%20ESTADISTICA%202003-2023/ANDE%20-%20Compilacion%20Estadistica%202003-2023.pdf</t>
        </is>
      </c>
      <c r="S1300" s="6" t="inlineStr">
        <is>
          <t>ANDE-03-23</t>
        </is>
      </c>
      <c r="T1300" s="6" t="inlineStr"/>
      <c r="U1300" s="4" t="inlineStr">
        <is>
          <t>2026-09-11 00:05:00</t>
        </is>
      </c>
      <c r="V1300" s="4" t="inlineStr">
        <is>
          <t>Balance electrico ANDE.</t>
        </is>
      </c>
    </row>
    <row r="1301">
      <c r="A1301" s="6" t="inlineStr">
        <is>
          <t>R0001300</t>
        </is>
      </c>
      <c r="B1301" s="6" t="inlineStr">
        <is>
          <t>2013-01-01</t>
        </is>
      </c>
      <c r="C1301" s="6" t="inlineStr">
        <is>
          <t>2013-12-31</t>
        </is>
      </c>
      <c r="D1301" s="6" t="inlineStr">
        <is>
          <t>year</t>
        </is>
      </c>
      <c r="E1301" s="6" t="inlineStr">
        <is>
          <t>PY_IMPORT_ENERGY</t>
        </is>
      </c>
      <c r="F1301" s="6" t="inlineStr">
        <is>
          <t>PY_SIN</t>
        </is>
      </c>
      <c r="G1301" s="6" t="inlineStr">
        <is>
          <t>PY</t>
        </is>
      </c>
      <c r="H1301" s="6" t="inlineStr">
        <is>
          <t>PY</t>
        </is>
      </c>
      <c r="I1301" s="8" t="n">
        <v>0</v>
      </c>
      <c r="J1301" s="6" t="inlineStr">
        <is>
          <t>MWh</t>
        </is>
      </c>
      <c r="K1301" s="8" t="n">
        <v>0</v>
      </c>
      <c r="L1301" s="6" t="inlineStr">
        <is>
          <t>MWh</t>
        </is>
      </c>
      <c r="M1301" s="6" t="inlineStr">
        <is>
          <t>ANDE</t>
        </is>
      </c>
      <c r="N1301" s="6" t="inlineStr">
        <is>
          <t>OFFICIAL_PRIMARY</t>
        </is>
      </c>
      <c r="O1301" s="9" t="inlineStr">
        <is>
          <t>OFFICIAL_AGGREGATE</t>
        </is>
      </c>
      <c r="P1301" s="8" t="n">
        <v>1</v>
      </c>
      <c r="Q1301" s="8" t="n">
        <v>85</v>
      </c>
      <c r="R1301" s="7" t="inlineStr">
        <is>
          <t>https://www.ande.gov.py/finanzas/2.%20COMPILACION%20ESTADISTICA%202003-2023/ANDE%20-%20Compilacion%20Estadistica%202003-2023.pdf</t>
        </is>
      </c>
      <c r="S1301" s="6" t="inlineStr">
        <is>
          <t>ANDE-03-23</t>
        </is>
      </c>
      <c r="T1301" s="6" t="inlineStr"/>
      <c r="U1301" s="4" t="inlineStr">
        <is>
          <t>2026-09-11 00:05:00</t>
        </is>
      </c>
      <c r="V1301" s="4" t="inlineStr">
        <is>
          <t>Balance electrico ANDE.</t>
        </is>
      </c>
    </row>
    <row r="1302">
      <c r="A1302" s="6" t="inlineStr">
        <is>
          <t>R0001301</t>
        </is>
      </c>
      <c r="B1302" s="6" t="inlineStr">
        <is>
          <t>2014-01-01</t>
        </is>
      </c>
      <c r="C1302" s="6" t="inlineStr">
        <is>
          <t>2014-12-31</t>
        </is>
      </c>
      <c r="D1302" s="6" t="inlineStr">
        <is>
          <t>year</t>
        </is>
      </c>
      <c r="E1302" s="6" t="inlineStr">
        <is>
          <t>PY_IMPORT_ENERGY</t>
        </is>
      </c>
      <c r="F1302" s="6" t="inlineStr">
        <is>
          <t>PY_SIN</t>
        </is>
      </c>
      <c r="G1302" s="6" t="inlineStr">
        <is>
          <t>PY</t>
        </is>
      </c>
      <c r="H1302" s="6" t="inlineStr">
        <is>
          <t>PY</t>
        </is>
      </c>
      <c r="I1302" s="8" t="n">
        <v>0</v>
      </c>
      <c r="J1302" s="6" t="inlineStr">
        <is>
          <t>MWh</t>
        </is>
      </c>
      <c r="K1302" s="8" t="n">
        <v>0</v>
      </c>
      <c r="L1302" s="6" t="inlineStr">
        <is>
          <t>MWh</t>
        </is>
      </c>
      <c r="M1302" s="6" t="inlineStr">
        <is>
          <t>ANDE</t>
        </is>
      </c>
      <c r="N1302" s="6" t="inlineStr">
        <is>
          <t>OFFICIAL_PRIMARY</t>
        </is>
      </c>
      <c r="O1302" s="9" t="inlineStr">
        <is>
          <t>OFFICIAL_AGGREGATE</t>
        </is>
      </c>
      <c r="P1302" s="8" t="n">
        <v>1</v>
      </c>
      <c r="Q1302" s="8" t="n">
        <v>85</v>
      </c>
      <c r="R1302" s="7" t="inlineStr">
        <is>
          <t>https://www.ande.gov.py/finanzas/2.%20COMPILACION%20ESTADISTICA%202003-2023/ANDE%20-%20Compilacion%20Estadistica%202003-2023.pdf</t>
        </is>
      </c>
      <c r="S1302" s="6" t="inlineStr">
        <is>
          <t>ANDE-03-23</t>
        </is>
      </c>
      <c r="T1302" s="6" t="inlineStr"/>
      <c r="U1302" s="4" t="inlineStr">
        <is>
          <t>2026-09-11 00:05:00</t>
        </is>
      </c>
      <c r="V1302" s="4" t="inlineStr">
        <is>
          <t>Balance electrico ANDE.</t>
        </is>
      </c>
    </row>
    <row r="1303">
      <c r="A1303" s="6" t="inlineStr">
        <is>
          <t>R0001302</t>
        </is>
      </c>
      <c r="B1303" s="6" t="inlineStr">
        <is>
          <t>2015-01-01</t>
        </is>
      </c>
      <c r="C1303" s="6" t="inlineStr">
        <is>
          <t>2015-12-31</t>
        </is>
      </c>
      <c r="D1303" s="6" t="inlineStr">
        <is>
          <t>year</t>
        </is>
      </c>
      <c r="E1303" s="6" t="inlineStr">
        <is>
          <t>PY_IMPORT_ENERGY</t>
        </is>
      </c>
      <c r="F1303" s="6" t="inlineStr">
        <is>
          <t>PY_SIN</t>
        </is>
      </c>
      <c r="G1303" s="6" t="inlineStr">
        <is>
          <t>PY</t>
        </is>
      </c>
      <c r="H1303" s="6" t="inlineStr">
        <is>
          <t>PY</t>
        </is>
      </c>
      <c r="I1303" s="8" t="n">
        <v>0</v>
      </c>
      <c r="J1303" s="6" t="inlineStr">
        <is>
          <t>MWh</t>
        </is>
      </c>
      <c r="K1303" s="8" t="n">
        <v>0</v>
      </c>
      <c r="L1303" s="6" t="inlineStr">
        <is>
          <t>MWh</t>
        </is>
      </c>
      <c r="M1303" s="6" t="inlineStr">
        <is>
          <t>ANDE</t>
        </is>
      </c>
      <c r="N1303" s="6" t="inlineStr">
        <is>
          <t>OFFICIAL_PRIMARY</t>
        </is>
      </c>
      <c r="O1303" s="9" t="inlineStr">
        <is>
          <t>OFFICIAL_AGGREGATE</t>
        </is>
      </c>
      <c r="P1303" s="8" t="n">
        <v>1</v>
      </c>
      <c r="Q1303" s="8" t="n">
        <v>85</v>
      </c>
      <c r="R1303" s="7" t="inlineStr">
        <is>
          <t>https://www.ande.gov.py/finanzas/2.%20COMPILACION%20ESTADISTICA%202003-2023/ANDE%20-%20Compilacion%20Estadistica%202003-2023.pdf</t>
        </is>
      </c>
      <c r="S1303" s="6" t="inlineStr">
        <is>
          <t>ANDE-03-23</t>
        </is>
      </c>
      <c r="T1303" s="6" t="inlineStr"/>
      <c r="U1303" s="4" t="inlineStr">
        <is>
          <t>2026-09-11 00:05:00</t>
        </is>
      </c>
      <c r="V1303" s="4" t="inlineStr">
        <is>
          <t>Balance electrico ANDE.</t>
        </is>
      </c>
    </row>
    <row r="1304">
      <c r="A1304" s="6" t="inlineStr">
        <is>
          <t>R0001303</t>
        </is>
      </c>
      <c r="B1304" s="6" t="inlineStr">
        <is>
          <t>2016-01-01</t>
        </is>
      </c>
      <c r="C1304" s="6" t="inlineStr">
        <is>
          <t>2016-12-31</t>
        </is>
      </c>
      <c r="D1304" s="6" t="inlineStr">
        <is>
          <t>year</t>
        </is>
      </c>
      <c r="E1304" s="6" t="inlineStr">
        <is>
          <t>PY_IMPORT_ENERGY</t>
        </is>
      </c>
      <c r="F1304" s="6" t="inlineStr">
        <is>
          <t>PY_SIN</t>
        </is>
      </c>
      <c r="G1304" s="6" t="inlineStr">
        <is>
          <t>PY</t>
        </is>
      </c>
      <c r="H1304" s="6" t="inlineStr">
        <is>
          <t>PY</t>
        </is>
      </c>
      <c r="I1304" s="8" t="n">
        <v>0</v>
      </c>
      <c r="J1304" s="6" t="inlineStr">
        <is>
          <t>MWh</t>
        </is>
      </c>
      <c r="K1304" s="8" t="n">
        <v>0</v>
      </c>
      <c r="L1304" s="6" t="inlineStr">
        <is>
          <t>MWh</t>
        </is>
      </c>
      <c r="M1304" s="6" t="inlineStr">
        <is>
          <t>ANDE</t>
        </is>
      </c>
      <c r="N1304" s="6" t="inlineStr">
        <is>
          <t>OFFICIAL_PRIMARY</t>
        </is>
      </c>
      <c r="O1304" s="9" t="inlineStr">
        <is>
          <t>OFFICIAL_AGGREGATE</t>
        </is>
      </c>
      <c r="P1304" s="8" t="n">
        <v>1</v>
      </c>
      <c r="Q1304" s="8" t="n">
        <v>85</v>
      </c>
      <c r="R1304" s="7" t="inlineStr">
        <is>
          <t>https://www.ande.gov.py/finanzas/2.%20COMPILACION%20ESTADISTICA%202003-2023/ANDE%20-%20Compilacion%20Estadistica%202003-2023.pdf</t>
        </is>
      </c>
      <c r="S1304" s="6" t="inlineStr">
        <is>
          <t>ANDE-03-23</t>
        </is>
      </c>
      <c r="T1304" s="6" t="inlineStr"/>
      <c r="U1304" s="4" t="inlineStr">
        <is>
          <t>2026-09-11 00:05:00</t>
        </is>
      </c>
      <c r="V1304" s="4" t="inlineStr">
        <is>
          <t>Balance electrico ANDE.</t>
        </is>
      </c>
    </row>
    <row r="1305">
      <c r="A1305" s="6" t="inlineStr">
        <is>
          <t>R0001304</t>
        </is>
      </c>
      <c r="B1305" s="6" t="inlineStr">
        <is>
          <t>2017-01-01</t>
        </is>
      </c>
      <c r="C1305" s="6" t="inlineStr">
        <is>
          <t>2017-12-31</t>
        </is>
      </c>
      <c r="D1305" s="6" t="inlineStr">
        <is>
          <t>year</t>
        </is>
      </c>
      <c r="E1305" s="6" t="inlineStr">
        <is>
          <t>PY_IMPORT_ENERGY</t>
        </is>
      </c>
      <c r="F1305" s="6" t="inlineStr">
        <is>
          <t>PY_SIN</t>
        </is>
      </c>
      <c r="G1305" s="6" t="inlineStr">
        <is>
          <t>PY</t>
        </is>
      </c>
      <c r="H1305" s="6" t="inlineStr">
        <is>
          <t>PY</t>
        </is>
      </c>
      <c r="I1305" s="8" t="n">
        <v>0</v>
      </c>
      <c r="J1305" s="6" t="inlineStr">
        <is>
          <t>MWh</t>
        </is>
      </c>
      <c r="K1305" s="8" t="n">
        <v>0</v>
      </c>
      <c r="L1305" s="6" t="inlineStr">
        <is>
          <t>MWh</t>
        </is>
      </c>
      <c r="M1305" s="6" t="inlineStr">
        <is>
          <t>ANDE</t>
        </is>
      </c>
      <c r="N1305" s="6" t="inlineStr">
        <is>
          <t>OFFICIAL_PRIMARY</t>
        </is>
      </c>
      <c r="O1305" s="9" t="inlineStr">
        <is>
          <t>OFFICIAL_AGGREGATE</t>
        </is>
      </c>
      <c r="P1305" s="8" t="n">
        <v>1</v>
      </c>
      <c r="Q1305" s="8" t="n">
        <v>85</v>
      </c>
      <c r="R1305" s="7" t="inlineStr">
        <is>
          <t>https://www.ande.gov.py/finanzas/2.%20COMPILACION%20ESTADISTICA%202003-2023/ANDE%20-%20Compilacion%20Estadistica%202003-2023.pdf</t>
        </is>
      </c>
      <c r="S1305" s="6" t="inlineStr">
        <is>
          <t>ANDE-03-23</t>
        </is>
      </c>
      <c r="T1305" s="6" t="inlineStr"/>
      <c r="U1305" s="4" t="inlineStr">
        <is>
          <t>2026-09-11 00:05:00</t>
        </is>
      </c>
      <c r="V1305" s="4" t="inlineStr">
        <is>
          <t>Balance electrico ANDE.</t>
        </is>
      </c>
    </row>
    <row r="1306">
      <c r="A1306" s="6" t="inlineStr">
        <is>
          <t>R0001305</t>
        </is>
      </c>
      <c r="B1306" s="6" t="inlineStr">
        <is>
          <t>2018-01-01</t>
        </is>
      </c>
      <c r="C1306" s="6" t="inlineStr">
        <is>
          <t>2018-12-31</t>
        </is>
      </c>
      <c r="D1306" s="6" t="inlineStr">
        <is>
          <t>year</t>
        </is>
      </c>
      <c r="E1306" s="6" t="inlineStr">
        <is>
          <t>PY_IMPORT_ENERGY</t>
        </is>
      </c>
      <c r="F1306" s="6" t="inlineStr">
        <is>
          <t>PY_SIN</t>
        </is>
      </c>
      <c r="G1306" s="6" t="inlineStr">
        <is>
          <t>PY</t>
        </is>
      </c>
      <c r="H1306" s="6" t="inlineStr">
        <is>
          <t>PY</t>
        </is>
      </c>
      <c r="I1306" s="8" t="n">
        <v>0</v>
      </c>
      <c r="J1306" s="6" t="inlineStr">
        <is>
          <t>MWh</t>
        </is>
      </c>
      <c r="K1306" s="8" t="n">
        <v>0</v>
      </c>
      <c r="L1306" s="6" t="inlineStr">
        <is>
          <t>MWh</t>
        </is>
      </c>
      <c r="M1306" s="6" t="inlineStr">
        <is>
          <t>ANDE</t>
        </is>
      </c>
      <c r="N1306" s="6" t="inlineStr">
        <is>
          <t>OFFICIAL_PRIMARY</t>
        </is>
      </c>
      <c r="O1306" s="9" t="inlineStr">
        <is>
          <t>OFFICIAL_AGGREGATE</t>
        </is>
      </c>
      <c r="P1306" s="8" t="n">
        <v>1</v>
      </c>
      <c r="Q1306" s="8" t="n">
        <v>85</v>
      </c>
      <c r="R1306" s="7" t="inlineStr">
        <is>
          <t>https://www.ande.gov.py/finanzas/2.%20COMPILACION%20ESTADISTICA%202003-2023/ANDE%20-%20Compilacion%20Estadistica%202003-2023.pdf</t>
        </is>
      </c>
      <c r="S1306" s="6" t="inlineStr">
        <is>
          <t>ANDE-03-23</t>
        </is>
      </c>
      <c r="T1306" s="6" t="inlineStr"/>
      <c r="U1306" s="4" t="inlineStr">
        <is>
          <t>2026-09-11 00:05:00</t>
        </is>
      </c>
      <c r="V1306" s="4" t="inlineStr">
        <is>
          <t>Balance electrico ANDE.</t>
        </is>
      </c>
    </row>
    <row r="1307">
      <c r="A1307" s="6" t="inlineStr">
        <is>
          <t>R0001306</t>
        </is>
      </c>
      <c r="B1307" s="6" t="inlineStr">
        <is>
          <t>2019-01-01</t>
        </is>
      </c>
      <c r="C1307" s="6" t="inlineStr">
        <is>
          <t>2019-12-31</t>
        </is>
      </c>
      <c r="D1307" s="6" t="inlineStr">
        <is>
          <t>year</t>
        </is>
      </c>
      <c r="E1307" s="6" t="inlineStr">
        <is>
          <t>PY_IMPORT_ENERGY</t>
        </is>
      </c>
      <c r="F1307" s="6" t="inlineStr">
        <is>
          <t>PY_SIN</t>
        </is>
      </c>
      <c r="G1307" s="6" t="inlineStr">
        <is>
          <t>PY</t>
        </is>
      </c>
      <c r="H1307" s="6" t="inlineStr">
        <is>
          <t>PY</t>
        </is>
      </c>
      <c r="I1307" s="8" t="n">
        <v>0</v>
      </c>
      <c r="J1307" s="6" t="inlineStr">
        <is>
          <t>MWh</t>
        </is>
      </c>
      <c r="K1307" s="8" t="n">
        <v>0</v>
      </c>
      <c r="L1307" s="6" t="inlineStr">
        <is>
          <t>MWh</t>
        </is>
      </c>
      <c r="M1307" s="6" t="inlineStr">
        <is>
          <t>ANDE</t>
        </is>
      </c>
      <c r="N1307" s="6" t="inlineStr">
        <is>
          <t>OFFICIAL_PRIMARY</t>
        </is>
      </c>
      <c r="O1307" s="9" t="inlineStr">
        <is>
          <t>OFFICIAL_AGGREGATE</t>
        </is>
      </c>
      <c r="P1307" s="8" t="n">
        <v>1</v>
      </c>
      <c r="Q1307" s="8" t="n">
        <v>85</v>
      </c>
      <c r="R1307" s="7" t="inlineStr">
        <is>
          <t>https://www.ande.gov.py/finanzas/2.%20COMPILACION%20ESTADISTICA%202003-2023/ANDE%20-%20Compilacion%20Estadistica%202003-2023.pdf</t>
        </is>
      </c>
      <c r="S1307" s="6" t="inlineStr">
        <is>
          <t>ANDE-03-23</t>
        </is>
      </c>
      <c r="T1307" s="6" t="inlineStr"/>
      <c r="U1307" s="4" t="inlineStr">
        <is>
          <t>2026-09-11 00:05:00</t>
        </is>
      </c>
      <c r="V1307" s="4" t="inlineStr">
        <is>
          <t>Balance electrico ANDE.</t>
        </is>
      </c>
    </row>
    <row r="1308">
      <c r="A1308" s="6" t="inlineStr">
        <is>
          <t>R0001307</t>
        </is>
      </c>
      <c r="B1308" s="6" t="inlineStr">
        <is>
          <t>2020-01-01</t>
        </is>
      </c>
      <c r="C1308" s="6" t="inlineStr">
        <is>
          <t>2020-12-31</t>
        </is>
      </c>
      <c r="D1308" s="6" t="inlineStr">
        <is>
          <t>year</t>
        </is>
      </c>
      <c r="E1308" s="6" t="inlineStr">
        <is>
          <t>PY_IMPORT_ENERGY</t>
        </is>
      </c>
      <c r="F1308" s="6" t="inlineStr">
        <is>
          <t>PY_SIN</t>
        </is>
      </c>
      <c r="G1308" s="6" t="inlineStr">
        <is>
          <t>PY</t>
        </is>
      </c>
      <c r="H1308" s="6" t="inlineStr">
        <is>
          <t>PY</t>
        </is>
      </c>
      <c r="I1308" s="8" t="n">
        <v>0</v>
      </c>
      <c r="J1308" s="6" t="inlineStr">
        <is>
          <t>MWh</t>
        </is>
      </c>
      <c r="K1308" s="8" t="n">
        <v>0</v>
      </c>
      <c r="L1308" s="6" t="inlineStr">
        <is>
          <t>MWh</t>
        </is>
      </c>
      <c r="M1308" s="6" t="inlineStr">
        <is>
          <t>ANDE</t>
        </is>
      </c>
      <c r="N1308" s="6" t="inlineStr">
        <is>
          <t>OFFICIAL_PRIMARY</t>
        </is>
      </c>
      <c r="O1308" s="9" t="inlineStr">
        <is>
          <t>OFFICIAL_AGGREGATE</t>
        </is>
      </c>
      <c r="P1308" s="8" t="n">
        <v>1</v>
      </c>
      <c r="Q1308" s="8" t="n">
        <v>85</v>
      </c>
      <c r="R1308" s="7" t="inlineStr">
        <is>
          <t>https://www.ande.gov.py/finanzas/2.%20COMPILACION%20ESTADISTICA%202003-2023/ANDE%20-%20Compilacion%20Estadistica%202003-2023.pdf</t>
        </is>
      </c>
      <c r="S1308" s="6" t="inlineStr">
        <is>
          <t>ANDE-03-23</t>
        </is>
      </c>
      <c r="T1308" s="6" t="inlineStr"/>
      <c r="U1308" s="4" t="inlineStr">
        <is>
          <t>2026-09-11 00:05:00</t>
        </is>
      </c>
      <c r="V1308" s="4" t="inlineStr">
        <is>
          <t>Balance electrico ANDE.</t>
        </is>
      </c>
    </row>
    <row r="1309">
      <c r="A1309" s="6" t="inlineStr">
        <is>
          <t>R0001308</t>
        </is>
      </c>
      <c r="B1309" s="6" t="inlineStr">
        <is>
          <t>2021-01-01</t>
        </is>
      </c>
      <c r="C1309" s="6" t="inlineStr">
        <is>
          <t>2021-12-31</t>
        </is>
      </c>
      <c r="D1309" s="6" t="inlineStr">
        <is>
          <t>year</t>
        </is>
      </c>
      <c r="E1309" s="6" t="inlineStr">
        <is>
          <t>PY_IMPORT_ENERGY</t>
        </is>
      </c>
      <c r="F1309" s="6" t="inlineStr">
        <is>
          <t>PY_SIN</t>
        </is>
      </c>
      <c r="G1309" s="6" t="inlineStr">
        <is>
          <t>PY</t>
        </is>
      </c>
      <c r="H1309" s="6" t="inlineStr">
        <is>
          <t>PY</t>
        </is>
      </c>
      <c r="I1309" s="8" t="n">
        <v>0</v>
      </c>
      <c r="J1309" s="6" t="inlineStr">
        <is>
          <t>MWh</t>
        </is>
      </c>
      <c r="K1309" s="8" t="n">
        <v>0</v>
      </c>
      <c r="L1309" s="6" t="inlineStr">
        <is>
          <t>MWh</t>
        </is>
      </c>
      <c r="M1309" s="6" t="inlineStr">
        <is>
          <t>ANDE</t>
        </is>
      </c>
      <c r="N1309" s="6" t="inlineStr">
        <is>
          <t>OFFICIAL_PRIMARY</t>
        </is>
      </c>
      <c r="O1309" s="9" t="inlineStr">
        <is>
          <t>OFFICIAL_AGGREGATE</t>
        </is>
      </c>
      <c r="P1309" s="8" t="n">
        <v>1</v>
      </c>
      <c r="Q1309" s="8" t="n">
        <v>85</v>
      </c>
      <c r="R1309" s="7" t="inlineStr">
        <is>
          <t>https://www.ande.gov.py/finanzas/2.%20COMPILACION%20ESTADISTICA%202003-2023/ANDE%20-%20Compilacion%20Estadistica%202003-2023.pdf</t>
        </is>
      </c>
      <c r="S1309" s="6" t="inlineStr">
        <is>
          <t>ANDE-03-23</t>
        </is>
      </c>
      <c r="T1309" s="6" t="inlineStr"/>
      <c r="U1309" s="4" t="inlineStr">
        <is>
          <t>2026-09-11 00:05:00</t>
        </is>
      </c>
      <c r="V1309" s="4" t="inlineStr">
        <is>
          <t>Balance electrico ANDE.</t>
        </is>
      </c>
    </row>
    <row r="1310">
      <c r="A1310" s="6" t="inlineStr">
        <is>
          <t>R0001309</t>
        </is>
      </c>
      <c r="B1310" s="6" t="inlineStr">
        <is>
          <t>2022-01-01</t>
        </is>
      </c>
      <c r="C1310" s="6" t="inlineStr">
        <is>
          <t>2022-12-31</t>
        </is>
      </c>
      <c r="D1310" s="6" t="inlineStr">
        <is>
          <t>year</t>
        </is>
      </c>
      <c r="E1310" s="6" t="inlineStr">
        <is>
          <t>PY_IMPORT_ENERGY</t>
        </is>
      </c>
      <c r="F1310" s="6" t="inlineStr">
        <is>
          <t>PY_SIN</t>
        </is>
      </c>
      <c r="G1310" s="6" t="inlineStr">
        <is>
          <t>PY</t>
        </is>
      </c>
      <c r="H1310" s="6" t="inlineStr">
        <is>
          <t>PY</t>
        </is>
      </c>
      <c r="I1310" s="8" t="n">
        <v>0</v>
      </c>
      <c r="J1310" s="6" t="inlineStr">
        <is>
          <t>MWh</t>
        </is>
      </c>
      <c r="K1310" s="8" t="n">
        <v>0</v>
      </c>
      <c r="L1310" s="6" t="inlineStr">
        <is>
          <t>MWh</t>
        </is>
      </c>
      <c r="M1310" s="6" t="inlineStr">
        <is>
          <t>ANDE</t>
        </is>
      </c>
      <c r="N1310" s="6" t="inlineStr">
        <is>
          <t>OFFICIAL_PRIMARY</t>
        </is>
      </c>
      <c r="O1310" s="9" t="inlineStr">
        <is>
          <t>OFFICIAL_AGGREGATE</t>
        </is>
      </c>
      <c r="P1310" s="8" t="n">
        <v>1</v>
      </c>
      <c r="Q1310" s="8" t="n">
        <v>85</v>
      </c>
      <c r="R1310" s="7" t="inlineStr">
        <is>
          <t>https://www.ande.gov.py/finanzas/2.%20COMPILACION%20ESTADISTICA%202003-2023/ANDE%20-%20Compilacion%20Estadistica%202003-2023.pdf</t>
        </is>
      </c>
      <c r="S1310" s="6" t="inlineStr">
        <is>
          <t>ANDE-03-23</t>
        </is>
      </c>
      <c r="T1310" s="6" t="inlineStr"/>
      <c r="U1310" s="4" t="inlineStr">
        <is>
          <t>2026-09-11 00:05:00</t>
        </is>
      </c>
      <c r="V1310" s="4" t="inlineStr">
        <is>
          <t>Balance electrico ANDE.</t>
        </is>
      </c>
    </row>
    <row r="1311">
      <c r="A1311" s="6" t="inlineStr">
        <is>
          <t>R0001310</t>
        </is>
      </c>
      <c r="B1311" s="6" t="inlineStr">
        <is>
          <t>2023-01-01</t>
        </is>
      </c>
      <c r="C1311" s="6" t="inlineStr">
        <is>
          <t>2023-12-31</t>
        </is>
      </c>
      <c r="D1311" s="6" t="inlineStr">
        <is>
          <t>year</t>
        </is>
      </c>
      <c r="E1311" s="6" t="inlineStr">
        <is>
          <t>PY_IMPORT_ENERGY</t>
        </is>
      </c>
      <c r="F1311" s="6" t="inlineStr">
        <is>
          <t>PY_SIN</t>
        </is>
      </c>
      <c r="G1311" s="6" t="inlineStr">
        <is>
          <t>PY</t>
        </is>
      </c>
      <c r="H1311" s="6" t="inlineStr">
        <is>
          <t>PY</t>
        </is>
      </c>
      <c r="I1311" s="8" t="n">
        <v>0</v>
      </c>
      <c r="J1311" s="6" t="inlineStr">
        <is>
          <t>MWh</t>
        </is>
      </c>
      <c r="K1311" s="8" t="n">
        <v>0</v>
      </c>
      <c r="L1311" s="6" t="inlineStr">
        <is>
          <t>MWh</t>
        </is>
      </c>
      <c r="M1311" s="6" t="inlineStr">
        <is>
          <t>ANDE</t>
        </is>
      </c>
      <c r="N1311" s="6" t="inlineStr">
        <is>
          <t>OFFICIAL_PRIMARY</t>
        </is>
      </c>
      <c r="O1311" s="9" t="inlineStr">
        <is>
          <t>OFFICIAL_AGGREGATE</t>
        </is>
      </c>
      <c r="P1311" s="8" t="n">
        <v>1</v>
      </c>
      <c r="Q1311" s="8" t="n">
        <v>85</v>
      </c>
      <c r="R1311" s="7" t="inlineStr">
        <is>
          <t>https://www.ande.gov.py/finanzas/2.%20COMPILACION%20ESTADISTICA%202003-2023/ANDE%20-%20Compilacion%20Estadistica%202003-2023.pdf</t>
        </is>
      </c>
      <c r="S1311" s="6" t="inlineStr">
        <is>
          <t>ANDE-03-23</t>
        </is>
      </c>
      <c r="T1311" s="6" t="inlineStr"/>
      <c r="U1311" s="4" t="inlineStr">
        <is>
          <t>2026-09-11 00:05:00</t>
        </is>
      </c>
      <c r="V1311" s="4" t="inlineStr">
        <is>
          <t>Balance electrico ANDE.</t>
        </is>
      </c>
    </row>
    <row r="1312">
      <c r="A1312" s="6" t="inlineStr">
        <is>
          <t>R0001311</t>
        </is>
      </c>
      <c r="B1312" s="6" t="inlineStr">
        <is>
          <t>2003-01-01</t>
        </is>
      </c>
      <c r="C1312" s="6" t="inlineStr">
        <is>
          <t>2003-12-31</t>
        </is>
      </c>
      <c r="D1312" s="6" t="inlineStr">
        <is>
          <t>year</t>
        </is>
      </c>
      <c r="E1312" s="6" t="inlineStr">
        <is>
          <t>PY_GROSS_ENERGY_AVAILABLE</t>
        </is>
      </c>
      <c r="F1312" s="6" t="inlineStr">
        <is>
          <t>PY_SIN</t>
        </is>
      </c>
      <c r="G1312" s="6" t="inlineStr">
        <is>
          <t>PY</t>
        </is>
      </c>
      <c r="H1312" s="6" t="inlineStr">
        <is>
          <t>PY</t>
        </is>
      </c>
      <c r="I1312" s="8" t="n">
        <v>6859857</v>
      </c>
      <c r="J1312" s="6" t="inlineStr">
        <is>
          <t>MWh</t>
        </is>
      </c>
      <c r="K1312" s="8" t="n">
        <v>6859857</v>
      </c>
      <c r="L1312" s="6" t="inlineStr">
        <is>
          <t>MWh</t>
        </is>
      </c>
      <c r="M1312" s="6" t="inlineStr">
        <is>
          <t>ANDE</t>
        </is>
      </c>
      <c r="N1312" s="6" t="inlineStr">
        <is>
          <t>OFFICIAL_PRIMARY</t>
        </is>
      </c>
      <c r="O1312" s="9" t="inlineStr">
        <is>
          <t>OFFICIAL_AGGREGATE</t>
        </is>
      </c>
      <c r="P1312" s="8" t="n">
        <v>1</v>
      </c>
      <c r="Q1312" s="8" t="n">
        <v>85</v>
      </c>
      <c r="R1312" s="7" t="inlineStr">
        <is>
          <t>https://www.ande.gov.py/finanzas/2.%20COMPILACION%20ESTADISTICA%202003-2023/ANDE%20-%20Compilacion%20Estadistica%202003-2023.pdf</t>
        </is>
      </c>
      <c r="S1312" s="6" t="inlineStr">
        <is>
          <t>ANDE-03-23</t>
        </is>
      </c>
      <c r="T1312" s="6" t="inlineStr"/>
      <c r="U1312" s="4" t="inlineStr">
        <is>
          <t>2026-09-11 00:05:00</t>
        </is>
      </c>
      <c r="V1312" s="4" t="inlineStr">
        <is>
          <t>Balance electrico ANDE.</t>
        </is>
      </c>
    </row>
    <row r="1313">
      <c r="A1313" s="6" t="inlineStr">
        <is>
          <t>R0001312</t>
        </is>
      </c>
      <c r="B1313" s="6" t="inlineStr">
        <is>
          <t>2004-01-01</t>
        </is>
      </c>
      <c r="C1313" s="6" t="inlineStr">
        <is>
          <t>2004-12-31</t>
        </is>
      </c>
      <c r="D1313" s="6" t="inlineStr">
        <is>
          <t>year</t>
        </is>
      </c>
      <c r="E1313" s="6" t="inlineStr">
        <is>
          <t>PY_GROSS_ENERGY_AVAILABLE</t>
        </is>
      </c>
      <c r="F1313" s="6" t="inlineStr">
        <is>
          <t>PY_SIN</t>
        </is>
      </c>
      <c r="G1313" s="6" t="inlineStr">
        <is>
          <t>PY</t>
        </is>
      </c>
      <c r="H1313" s="6" t="inlineStr">
        <is>
          <t>PY</t>
        </is>
      </c>
      <c r="I1313" s="8" t="n">
        <v>7449132</v>
      </c>
      <c r="J1313" s="6" t="inlineStr">
        <is>
          <t>MWh</t>
        </is>
      </c>
      <c r="K1313" s="8" t="n">
        <v>7449132</v>
      </c>
      <c r="L1313" s="6" t="inlineStr">
        <is>
          <t>MWh</t>
        </is>
      </c>
      <c r="M1313" s="6" t="inlineStr">
        <is>
          <t>ANDE</t>
        </is>
      </c>
      <c r="N1313" s="6" t="inlineStr">
        <is>
          <t>OFFICIAL_PRIMARY</t>
        </is>
      </c>
      <c r="O1313" s="9" t="inlineStr">
        <is>
          <t>OFFICIAL_AGGREGATE</t>
        </is>
      </c>
      <c r="P1313" s="8" t="n">
        <v>1</v>
      </c>
      <c r="Q1313" s="8" t="n">
        <v>85</v>
      </c>
      <c r="R1313" s="7" t="inlineStr">
        <is>
          <t>https://www.ande.gov.py/finanzas/2.%20COMPILACION%20ESTADISTICA%202003-2023/ANDE%20-%20Compilacion%20Estadistica%202003-2023.pdf</t>
        </is>
      </c>
      <c r="S1313" s="6" t="inlineStr">
        <is>
          <t>ANDE-03-23</t>
        </is>
      </c>
      <c r="T1313" s="6" t="inlineStr"/>
      <c r="U1313" s="4" t="inlineStr">
        <is>
          <t>2026-09-11 00:05:00</t>
        </is>
      </c>
      <c r="V1313" s="4" t="inlineStr">
        <is>
          <t>Balance electrico ANDE.</t>
        </is>
      </c>
    </row>
    <row r="1314">
      <c r="A1314" s="6" t="inlineStr">
        <is>
          <t>R0001313</t>
        </is>
      </c>
      <c r="B1314" s="6" t="inlineStr">
        <is>
          <t>2005-01-01</t>
        </is>
      </c>
      <c r="C1314" s="6" t="inlineStr">
        <is>
          <t>2005-12-31</t>
        </is>
      </c>
      <c r="D1314" s="6" t="inlineStr">
        <is>
          <t>year</t>
        </is>
      </c>
      <c r="E1314" s="6" t="inlineStr">
        <is>
          <t>PY_GROSS_ENERGY_AVAILABLE</t>
        </is>
      </c>
      <c r="F1314" s="6" t="inlineStr">
        <is>
          <t>PY_SIN</t>
        </is>
      </c>
      <c r="G1314" s="6" t="inlineStr">
        <is>
          <t>PY</t>
        </is>
      </c>
      <c r="H1314" s="6" t="inlineStr">
        <is>
          <t>PY</t>
        </is>
      </c>
      <c r="I1314" s="8" t="n">
        <v>7631910</v>
      </c>
      <c r="J1314" s="6" t="inlineStr">
        <is>
          <t>MWh</t>
        </is>
      </c>
      <c r="K1314" s="8" t="n">
        <v>7631910</v>
      </c>
      <c r="L1314" s="6" t="inlineStr">
        <is>
          <t>MWh</t>
        </is>
      </c>
      <c r="M1314" s="6" t="inlineStr">
        <is>
          <t>ANDE</t>
        </is>
      </c>
      <c r="N1314" s="6" t="inlineStr">
        <is>
          <t>OFFICIAL_PRIMARY</t>
        </is>
      </c>
      <c r="O1314" s="9" t="inlineStr">
        <is>
          <t>OFFICIAL_AGGREGATE</t>
        </is>
      </c>
      <c r="P1314" s="8" t="n">
        <v>1</v>
      </c>
      <c r="Q1314" s="8" t="n">
        <v>85</v>
      </c>
      <c r="R1314" s="7" t="inlineStr">
        <is>
          <t>https://www.ande.gov.py/finanzas/2.%20COMPILACION%20ESTADISTICA%202003-2023/ANDE%20-%20Compilacion%20Estadistica%202003-2023.pdf</t>
        </is>
      </c>
      <c r="S1314" s="6" t="inlineStr">
        <is>
          <t>ANDE-03-23</t>
        </is>
      </c>
      <c r="T1314" s="6" t="inlineStr"/>
      <c r="U1314" s="4" t="inlineStr">
        <is>
          <t>2026-09-11 00:05:00</t>
        </is>
      </c>
      <c r="V1314" s="4" t="inlineStr">
        <is>
          <t>Balance electrico ANDE.</t>
        </is>
      </c>
    </row>
    <row r="1315">
      <c r="A1315" s="6" t="inlineStr">
        <is>
          <t>R0001314</t>
        </is>
      </c>
      <c r="B1315" s="6" t="inlineStr">
        <is>
          <t>2006-01-01</t>
        </is>
      </c>
      <c r="C1315" s="6" t="inlineStr">
        <is>
          <t>2006-12-31</t>
        </is>
      </c>
      <c r="D1315" s="6" t="inlineStr">
        <is>
          <t>year</t>
        </is>
      </c>
      <c r="E1315" s="6" t="inlineStr">
        <is>
          <t>PY_GROSS_ENERGY_AVAILABLE</t>
        </is>
      </c>
      <c r="F1315" s="6" t="inlineStr">
        <is>
          <t>PY_SIN</t>
        </is>
      </c>
      <c r="G1315" s="6" t="inlineStr">
        <is>
          <t>PY</t>
        </is>
      </c>
      <c r="H1315" s="6" t="inlineStr">
        <is>
          <t>PY</t>
        </is>
      </c>
      <c r="I1315" s="8" t="n">
        <v>8581923</v>
      </c>
      <c r="J1315" s="6" t="inlineStr">
        <is>
          <t>MWh</t>
        </is>
      </c>
      <c r="K1315" s="8" t="n">
        <v>8581923</v>
      </c>
      <c r="L1315" s="6" t="inlineStr">
        <is>
          <t>MWh</t>
        </is>
      </c>
      <c r="M1315" s="6" t="inlineStr">
        <is>
          <t>ANDE</t>
        </is>
      </c>
      <c r="N1315" s="6" t="inlineStr">
        <is>
          <t>OFFICIAL_PRIMARY</t>
        </is>
      </c>
      <c r="O1315" s="9" t="inlineStr">
        <is>
          <t>OFFICIAL_AGGREGATE</t>
        </is>
      </c>
      <c r="P1315" s="8" t="n">
        <v>1</v>
      </c>
      <c r="Q1315" s="8" t="n">
        <v>85</v>
      </c>
      <c r="R1315" s="7" t="inlineStr">
        <is>
          <t>https://www.ande.gov.py/finanzas/2.%20COMPILACION%20ESTADISTICA%202003-2023/ANDE%20-%20Compilacion%20Estadistica%202003-2023.pdf</t>
        </is>
      </c>
      <c r="S1315" s="6" t="inlineStr">
        <is>
          <t>ANDE-03-23</t>
        </is>
      </c>
      <c r="T1315" s="6" t="inlineStr"/>
      <c r="U1315" s="4" t="inlineStr">
        <is>
          <t>2026-09-11 00:05:00</t>
        </is>
      </c>
      <c r="V1315" s="4" t="inlineStr">
        <is>
          <t>Balance electrico ANDE.</t>
        </is>
      </c>
    </row>
    <row r="1316">
      <c r="A1316" s="6" t="inlineStr">
        <is>
          <t>R0001315</t>
        </is>
      </c>
      <c r="B1316" s="6" t="inlineStr">
        <is>
          <t>2007-01-01</t>
        </is>
      </c>
      <c r="C1316" s="6" t="inlineStr">
        <is>
          <t>2007-12-31</t>
        </is>
      </c>
      <c r="D1316" s="6" t="inlineStr">
        <is>
          <t>year</t>
        </is>
      </c>
      <c r="E1316" s="6" t="inlineStr">
        <is>
          <t>PY_GROSS_ENERGY_AVAILABLE</t>
        </is>
      </c>
      <c r="F1316" s="6" t="inlineStr">
        <is>
          <t>PY_SIN</t>
        </is>
      </c>
      <c r="G1316" s="6" t="inlineStr">
        <is>
          <t>PY</t>
        </is>
      </c>
      <c r="H1316" s="6" t="inlineStr">
        <is>
          <t>PY</t>
        </is>
      </c>
      <c r="I1316" s="8" t="n">
        <v>9052287</v>
      </c>
      <c r="J1316" s="6" t="inlineStr">
        <is>
          <t>MWh</t>
        </is>
      </c>
      <c r="K1316" s="8" t="n">
        <v>9052287</v>
      </c>
      <c r="L1316" s="6" t="inlineStr">
        <is>
          <t>MWh</t>
        </is>
      </c>
      <c r="M1316" s="6" t="inlineStr">
        <is>
          <t>ANDE</t>
        </is>
      </c>
      <c r="N1316" s="6" t="inlineStr">
        <is>
          <t>OFFICIAL_PRIMARY</t>
        </is>
      </c>
      <c r="O1316" s="9" t="inlineStr">
        <is>
          <t>OFFICIAL_AGGREGATE</t>
        </is>
      </c>
      <c r="P1316" s="8" t="n">
        <v>1</v>
      </c>
      <c r="Q1316" s="8" t="n">
        <v>85</v>
      </c>
      <c r="R1316" s="7" t="inlineStr">
        <is>
          <t>https://www.ande.gov.py/finanzas/2.%20COMPILACION%20ESTADISTICA%202003-2023/ANDE%20-%20Compilacion%20Estadistica%202003-2023.pdf</t>
        </is>
      </c>
      <c r="S1316" s="6" t="inlineStr">
        <is>
          <t>ANDE-03-23</t>
        </is>
      </c>
      <c r="T1316" s="6" t="inlineStr"/>
      <c r="U1316" s="4" t="inlineStr">
        <is>
          <t>2026-09-11 00:05:00</t>
        </is>
      </c>
      <c r="V1316" s="4" t="inlineStr">
        <is>
          <t>Balance electrico ANDE.</t>
        </is>
      </c>
    </row>
    <row r="1317">
      <c r="A1317" s="6" t="inlineStr">
        <is>
          <t>R0001316</t>
        </is>
      </c>
      <c r="B1317" s="6" t="inlineStr">
        <is>
          <t>2008-01-01</t>
        </is>
      </c>
      <c r="C1317" s="6" t="inlineStr">
        <is>
          <t>2008-12-31</t>
        </is>
      </c>
      <c r="D1317" s="6" t="inlineStr">
        <is>
          <t>year</t>
        </is>
      </c>
      <c r="E1317" s="6" t="inlineStr">
        <is>
          <t>PY_GROSS_ENERGY_AVAILABLE</t>
        </is>
      </c>
      <c r="F1317" s="6" t="inlineStr">
        <is>
          <t>PY_SIN</t>
        </is>
      </c>
      <c r="G1317" s="6" t="inlineStr">
        <is>
          <t>PY</t>
        </is>
      </c>
      <c r="H1317" s="6" t="inlineStr">
        <is>
          <t>PY</t>
        </is>
      </c>
      <c r="I1317" s="8" t="n">
        <v>9394666</v>
      </c>
      <c r="J1317" s="6" t="inlineStr">
        <is>
          <t>MWh</t>
        </is>
      </c>
      <c r="K1317" s="8" t="n">
        <v>9394666</v>
      </c>
      <c r="L1317" s="6" t="inlineStr">
        <is>
          <t>MWh</t>
        </is>
      </c>
      <c r="M1317" s="6" t="inlineStr">
        <is>
          <t>ANDE</t>
        </is>
      </c>
      <c r="N1317" s="6" t="inlineStr">
        <is>
          <t>OFFICIAL_PRIMARY</t>
        </is>
      </c>
      <c r="O1317" s="9" t="inlineStr">
        <is>
          <t>OFFICIAL_AGGREGATE</t>
        </is>
      </c>
      <c r="P1317" s="8" t="n">
        <v>1</v>
      </c>
      <c r="Q1317" s="8" t="n">
        <v>85</v>
      </c>
      <c r="R1317" s="7" t="inlineStr">
        <is>
          <t>https://www.ande.gov.py/finanzas/2.%20COMPILACION%20ESTADISTICA%202003-2023/ANDE%20-%20Compilacion%20Estadistica%202003-2023.pdf</t>
        </is>
      </c>
      <c r="S1317" s="6" t="inlineStr">
        <is>
          <t>ANDE-03-23</t>
        </is>
      </c>
      <c r="T1317" s="6" t="inlineStr"/>
      <c r="U1317" s="4" t="inlineStr">
        <is>
          <t>2026-09-11 00:05:00</t>
        </is>
      </c>
      <c r="V1317" s="4" t="inlineStr">
        <is>
          <t>Balance electrico ANDE.</t>
        </is>
      </c>
    </row>
    <row r="1318">
      <c r="A1318" s="6" t="inlineStr">
        <is>
          <t>R0001317</t>
        </is>
      </c>
      <c r="B1318" s="6" t="inlineStr">
        <is>
          <t>2009-01-01</t>
        </is>
      </c>
      <c r="C1318" s="6" t="inlineStr">
        <is>
          <t>2009-12-31</t>
        </is>
      </c>
      <c r="D1318" s="6" t="inlineStr">
        <is>
          <t>year</t>
        </is>
      </c>
      <c r="E1318" s="6" t="inlineStr">
        <is>
          <t>PY_GROSS_ENERGY_AVAILABLE</t>
        </is>
      </c>
      <c r="F1318" s="6" t="inlineStr">
        <is>
          <t>PY_SIN</t>
        </is>
      </c>
      <c r="G1318" s="6" t="inlineStr">
        <is>
          <t>PY</t>
        </is>
      </c>
      <c r="H1318" s="6" t="inlineStr">
        <is>
          <t>PY</t>
        </is>
      </c>
      <c r="I1318" s="8" t="n">
        <v>10120514</v>
      </c>
      <c r="J1318" s="6" t="inlineStr">
        <is>
          <t>MWh</t>
        </is>
      </c>
      <c r="K1318" s="8" t="n">
        <v>10120514</v>
      </c>
      <c r="L1318" s="6" t="inlineStr">
        <is>
          <t>MWh</t>
        </is>
      </c>
      <c r="M1318" s="6" t="inlineStr">
        <is>
          <t>ANDE</t>
        </is>
      </c>
      <c r="N1318" s="6" t="inlineStr">
        <is>
          <t>OFFICIAL_PRIMARY</t>
        </is>
      </c>
      <c r="O1318" s="9" t="inlineStr">
        <is>
          <t>OFFICIAL_AGGREGATE</t>
        </is>
      </c>
      <c r="P1318" s="8" t="n">
        <v>1</v>
      </c>
      <c r="Q1318" s="8" t="n">
        <v>85</v>
      </c>
      <c r="R1318" s="7" t="inlineStr">
        <is>
          <t>https://www.ande.gov.py/finanzas/2.%20COMPILACION%20ESTADISTICA%202003-2023/ANDE%20-%20Compilacion%20Estadistica%202003-2023.pdf</t>
        </is>
      </c>
      <c r="S1318" s="6" t="inlineStr">
        <is>
          <t>ANDE-03-23</t>
        </is>
      </c>
      <c r="T1318" s="6" t="inlineStr"/>
      <c r="U1318" s="4" t="inlineStr">
        <is>
          <t>2026-09-11 00:05:00</t>
        </is>
      </c>
      <c r="V1318" s="4" t="inlineStr">
        <is>
          <t>Balance electrico ANDE.</t>
        </is>
      </c>
    </row>
    <row r="1319">
      <c r="A1319" s="6" t="inlineStr">
        <is>
          <t>R0001318</t>
        </is>
      </c>
      <c r="B1319" s="6" t="inlineStr">
        <is>
          <t>2010-01-01</t>
        </is>
      </c>
      <c r="C1319" s="6" t="inlineStr">
        <is>
          <t>2010-12-31</t>
        </is>
      </c>
      <c r="D1319" s="6" t="inlineStr">
        <is>
          <t>year</t>
        </is>
      </c>
      <c r="E1319" s="6" t="inlineStr">
        <is>
          <t>PY_GROSS_ENERGY_AVAILABLE</t>
        </is>
      </c>
      <c r="F1319" s="6" t="inlineStr">
        <is>
          <t>PY_SIN</t>
        </is>
      </c>
      <c r="G1319" s="6" t="inlineStr">
        <is>
          <t>PY</t>
        </is>
      </c>
      <c r="H1319" s="6" t="inlineStr">
        <is>
          <t>PY</t>
        </is>
      </c>
      <c r="I1319" s="8" t="n">
        <v>10688822</v>
      </c>
      <c r="J1319" s="6" t="inlineStr">
        <is>
          <t>MWh</t>
        </is>
      </c>
      <c r="K1319" s="8" t="n">
        <v>10688822</v>
      </c>
      <c r="L1319" s="6" t="inlineStr">
        <is>
          <t>MWh</t>
        </is>
      </c>
      <c r="M1319" s="6" t="inlineStr">
        <is>
          <t>ANDE</t>
        </is>
      </c>
      <c r="N1319" s="6" t="inlineStr">
        <is>
          <t>OFFICIAL_PRIMARY</t>
        </is>
      </c>
      <c r="O1319" s="9" t="inlineStr">
        <is>
          <t>OFFICIAL_AGGREGATE</t>
        </is>
      </c>
      <c r="P1319" s="8" t="n">
        <v>1</v>
      </c>
      <c r="Q1319" s="8" t="n">
        <v>85</v>
      </c>
      <c r="R1319" s="7" t="inlineStr">
        <is>
          <t>https://www.ande.gov.py/finanzas/2.%20COMPILACION%20ESTADISTICA%202003-2023/ANDE%20-%20Compilacion%20Estadistica%202003-2023.pdf</t>
        </is>
      </c>
      <c r="S1319" s="6" t="inlineStr">
        <is>
          <t>ANDE-03-23</t>
        </is>
      </c>
      <c r="T1319" s="6" t="inlineStr"/>
      <c r="U1319" s="4" t="inlineStr">
        <is>
          <t>2026-09-11 00:05:00</t>
        </is>
      </c>
      <c r="V1319" s="4" t="inlineStr">
        <is>
          <t>Balance electrico ANDE.</t>
        </is>
      </c>
    </row>
    <row r="1320">
      <c r="A1320" s="6" t="inlineStr">
        <is>
          <t>R0001319</t>
        </is>
      </c>
      <c r="B1320" s="6" t="inlineStr">
        <is>
          <t>2011-01-01</t>
        </is>
      </c>
      <c r="C1320" s="6" t="inlineStr">
        <is>
          <t>2011-12-31</t>
        </is>
      </c>
      <c r="D1320" s="6" t="inlineStr">
        <is>
          <t>year</t>
        </is>
      </c>
      <c r="E1320" s="6" t="inlineStr">
        <is>
          <t>PY_GROSS_ENERGY_AVAILABLE</t>
        </is>
      </c>
      <c r="F1320" s="6" t="inlineStr">
        <is>
          <t>PY_SIN</t>
        </is>
      </c>
      <c r="G1320" s="6" t="inlineStr">
        <is>
          <t>PY</t>
        </is>
      </c>
      <c r="H1320" s="6" t="inlineStr">
        <is>
          <t>PY</t>
        </is>
      </c>
      <c r="I1320" s="8" t="n">
        <v>11161451</v>
      </c>
      <c r="J1320" s="6" t="inlineStr">
        <is>
          <t>MWh</t>
        </is>
      </c>
      <c r="K1320" s="8" t="n">
        <v>11161451</v>
      </c>
      <c r="L1320" s="6" t="inlineStr">
        <is>
          <t>MWh</t>
        </is>
      </c>
      <c r="M1320" s="6" t="inlineStr">
        <is>
          <t>ANDE</t>
        </is>
      </c>
      <c r="N1320" s="6" t="inlineStr">
        <is>
          <t>OFFICIAL_PRIMARY</t>
        </is>
      </c>
      <c r="O1320" s="9" t="inlineStr">
        <is>
          <t>OFFICIAL_AGGREGATE</t>
        </is>
      </c>
      <c r="P1320" s="8" t="n">
        <v>1</v>
      </c>
      <c r="Q1320" s="8" t="n">
        <v>85</v>
      </c>
      <c r="R1320" s="7" t="inlineStr">
        <is>
          <t>https://www.ande.gov.py/finanzas/2.%20COMPILACION%20ESTADISTICA%202003-2023/ANDE%20-%20Compilacion%20Estadistica%202003-2023.pdf</t>
        </is>
      </c>
      <c r="S1320" s="6" t="inlineStr">
        <is>
          <t>ANDE-03-23</t>
        </is>
      </c>
      <c r="T1320" s="6" t="inlineStr"/>
      <c r="U1320" s="4" t="inlineStr">
        <is>
          <t>2026-09-11 00:05:00</t>
        </is>
      </c>
      <c r="V1320" s="4" t="inlineStr">
        <is>
          <t>Balance electrico ANDE.</t>
        </is>
      </c>
    </row>
    <row r="1321">
      <c r="A1321" s="6" t="inlineStr">
        <is>
          <t>R0001320</t>
        </is>
      </c>
      <c r="B1321" s="6" t="inlineStr">
        <is>
          <t>2012-01-01</t>
        </is>
      </c>
      <c r="C1321" s="6" t="inlineStr">
        <is>
          <t>2012-12-31</t>
        </is>
      </c>
      <c r="D1321" s="6" t="inlineStr">
        <is>
          <t>year</t>
        </is>
      </c>
      <c r="E1321" s="6" t="inlineStr">
        <is>
          <t>PY_GROSS_ENERGY_AVAILABLE</t>
        </is>
      </c>
      <c r="F1321" s="6" t="inlineStr">
        <is>
          <t>PY_SIN</t>
        </is>
      </c>
      <c r="G1321" s="6" t="inlineStr">
        <is>
          <t>PY</t>
        </is>
      </c>
      <c r="H1321" s="6" t="inlineStr">
        <is>
          <t>PY</t>
        </is>
      </c>
      <c r="I1321" s="8" t="n">
        <v>12233749</v>
      </c>
      <c r="J1321" s="6" t="inlineStr">
        <is>
          <t>MWh</t>
        </is>
      </c>
      <c r="K1321" s="8" t="n">
        <v>12233749</v>
      </c>
      <c r="L1321" s="6" t="inlineStr">
        <is>
          <t>MWh</t>
        </is>
      </c>
      <c r="M1321" s="6" t="inlineStr">
        <is>
          <t>ANDE</t>
        </is>
      </c>
      <c r="N1321" s="6" t="inlineStr">
        <is>
          <t>OFFICIAL_PRIMARY</t>
        </is>
      </c>
      <c r="O1321" s="9" t="inlineStr">
        <is>
          <t>OFFICIAL_AGGREGATE</t>
        </is>
      </c>
      <c r="P1321" s="8" t="n">
        <v>1</v>
      </c>
      <c r="Q1321" s="8" t="n">
        <v>85</v>
      </c>
      <c r="R1321" s="7" t="inlineStr">
        <is>
          <t>https://www.ande.gov.py/finanzas/2.%20COMPILACION%20ESTADISTICA%202003-2023/ANDE%20-%20Compilacion%20Estadistica%202003-2023.pdf</t>
        </is>
      </c>
      <c r="S1321" s="6" t="inlineStr">
        <is>
          <t>ANDE-03-23</t>
        </is>
      </c>
      <c r="T1321" s="6" t="inlineStr"/>
      <c r="U1321" s="4" t="inlineStr">
        <is>
          <t>2026-09-11 00:05:00</t>
        </is>
      </c>
      <c r="V1321" s="4" t="inlineStr">
        <is>
          <t>Balance electrico ANDE.</t>
        </is>
      </c>
    </row>
    <row r="1322">
      <c r="A1322" s="6" t="inlineStr">
        <is>
          <t>R0001321</t>
        </is>
      </c>
      <c r="B1322" s="6" t="inlineStr">
        <is>
          <t>2013-01-01</t>
        </is>
      </c>
      <c r="C1322" s="6" t="inlineStr">
        <is>
          <t>2013-12-31</t>
        </is>
      </c>
      <c r="D1322" s="6" t="inlineStr">
        <is>
          <t>year</t>
        </is>
      </c>
      <c r="E1322" s="6" t="inlineStr">
        <is>
          <t>PY_GROSS_ENERGY_AVAILABLE</t>
        </is>
      </c>
      <c r="F1322" s="6" t="inlineStr">
        <is>
          <t>PY_SIN</t>
        </is>
      </c>
      <c r="G1322" s="6" t="inlineStr">
        <is>
          <t>PY</t>
        </is>
      </c>
      <c r="H1322" s="6" t="inlineStr">
        <is>
          <t>PY</t>
        </is>
      </c>
      <c r="I1322" s="8" t="n">
        <v>12664701</v>
      </c>
      <c r="J1322" s="6" t="inlineStr">
        <is>
          <t>MWh</t>
        </is>
      </c>
      <c r="K1322" s="8" t="n">
        <v>12664701</v>
      </c>
      <c r="L1322" s="6" t="inlineStr">
        <is>
          <t>MWh</t>
        </is>
      </c>
      <c r="M1322" s="6" t="inlineStr">
        <is>
          <t>ANDE</t>
        </is>
      </c>
      <c r="N1322" s="6" t="inlineStr">
        <is>
          <t>OFFICIAL_PRIMARY</t>
        </is>
      </c>
      <c r="O1322" s="9" t="inlineStr">
        <is>
          <t>OFFICIAL_AGGREGATE</t>
        </is>
      </c>
      <c r="P1322" s="8" t="n">
        <v>1</v>
      </c>
      <c r="Q1322" s="8" t="n">
        <v>85</v>
      </c>
      <c r="R1322" s="7" t="inlineStr">
        <is>
          <t>https://www.ande.gov.py/finanzas/2.%20COMPILACION%20ESTADISTICA%202003-2023/ANDE%20-%20Compilacion%20Estadistica%202003-2023.pdf</t>
        </is>
      </c>
      <c r="S1322" s="6" t="inlineStr">
        <is>
          <t>ANDE-03-23</t>
        </is>
      </c>
      <c r="T1322" s="6" t="inlineStr"/>
      <c r="U1322" s="4" t="inlineStr">
        <is>
          <t>2026-09-11 00:05:00</t>
        </is>
      </c>
      <c r="V1322" s="4" t="inlineStr">
        <is>
          <t>Balance electrico ANDE.</t>
        </is>
      </c>
    </row>
    <row r="1323">
      <c r="A1323" s="6" t="inlineStr">
        <is>
          <t>R0001322</t>
        </is>
      </c>
      <c r="B1323" s="6" t="inlineStr">
        <is>
          <t>2014-01-01</t>
        </is>
      </c>
      <c r="C1323" s="6" t="inlineStr">
        <is>
          <t>2014-12-31</t>
        </is>
      </c>
      <c r="D1323" s="6" t="inlineStr">
        <is>
          <t>year</t>
        </is>
      </c>
      <c r="E1323" s="6" t="inlineStr">
        <is>
          <t>PY_GROSS_ENERGY_AVAILABLE</t>
        </is>
      </c>
      <c r="F1323" s="6" t="inlineStr">
        <is>
          <t>PY_SIN</t>
        </is>
      </c>
      <c r="G1323" s="6" t="inlineStr">
        <is>
          <t>PY</t>
        </is>
      </c>
      <c r="H1323" s="6" t="inlineStr">
        <is>
          <t>PY</t>
        </is>
      </c>
      <c r="I1323" s="8" t="n">
        <v>13571220</v>
      </c>
      <c r="J1323" s="6" t="inlineStr">
        <is>
          <t>MWh</t>
        </is>
      </c>
      <c r="K1323" s="8" t="n">
        <v>13571220</v>
      </c>
      <c r="L1323" s="6" t="inlineStr">
        <is>
          <t>MWh</t>
        </is>
      </c>
      <c r="M1323" s="6" t="inlineStr">
        <is>
          <t>ANDE</t>
        </is>
      </c>
      <c r="N1323" s="6" t="inlineStr">
        <is>
          <t>OFFICIAL_PRIMARY</t>
        </is>
      </c>
      <c r="O1323" s="9" t="inlineStr">
        <is>
          <t>OFFICIAL_AGGREGATE</t>
        </is>
      </c>
      <c r="P1323" s="8" t="n">
        <v>1</v>
      </c>
      <c r="Q1323" s="8" t="n">
        <v>85</v>
      </c>
      <c r="R1323" s="7" t="inlineStr">
        <is>
          <t>https://www.ande.gov.py/finanzas/2.%20COMPILACION%20ESTADISTICA%202003-2023/ANDE%20-%20Compilacion%20Estadistica%202003-2023.pdf</t>
        </is>
      </c>
      <c r="S1323" s="6" t="inlineStr">
        <is>
          <t>ANDE-03-23</t>
        </is>
      </c>
      <c r="T1323" s="6" t="inlineStr"/>
      <c r="U1323" s="4" t="inlineStr">
        <is>
          <t>2026-09-11 00:05:00</t>
        </is>
      </c>
      <c r="V1323" s="4" t="inlineStr">
        <is>
          <t>Balance electrico ANDE.</t>
        </is>
      </c>
    </row>
    <row r="1324">
      <c r="A1324" s="6" t="inlineStr">
        <is>
          <t>R0001323</t>
        </is>
      </c>
      <c r="B1324" s="6" t="inlineStr">
        <is>
          <t>2015-01-01</t>
        </is>
      </c>
      <c r="C1324" s="6" t="inlineStr">
        <is>
          <t>2015-12-31</t>
        </is>
      </c>
      <c r="D1324" s="6" t="inlineStr">
        <is>
          <t>year</t>
        </is>
      </c>
      <c r="E1324" s="6" t="inlineStr">
        <is>
          <t>PY_GROSS_ENERGY_AVAILABLE</t>
        </is>
      </c>
      <c r="F1324" s="6" t="inlineStr">
        <is>
          <t>PY_SIN</t>
        </is>
      </c>
      <c r="G1324" s="6" t="inlineStr">
        <is>
          <t>PY</t>
        </is>
      </c>
      <c r="H1324" s="6" t="inlineStr">
        <is>
          <t>PY</t>
        </is>
      </c>
      <c r="I1324" s="8" t="n">
        <v>14305410</v>
      </c>
      <c r="J1324" s="6" t="inlineStr">
        <is>
          <t>MWh</t>
        </is>
      </c>
      <c r="K1324" s="8" t="n">
        <v>14305410</v>
      </c>
      <c r="L1324" s="6" t="inlineStr">
        <is>
          <t>MWh</t>
        </is>
      </c>
      <c r="M1324" s="6" t="inlineStr">
        <is>
          <t>ANDE</t>
        </is>
      </c>
      <c r="N1324" s="6" t="inlineStr">
        <is>
          <t>OFFICIAL_PRIMARY</t>
        </is>
      </c>
      <c r="O1324" s="9" t="inlineStr">
        <is>
          <t>OFFICIAL_AGGREGATE</t>
        </is>
      </c>
      <c r="P1324" s="8" t="n">
        <v>1</v>
      </c>
      <c r="Q1324" s="8" t="n">
        <v>85</v>
      </c>
      <c r="R1324" s="7" t="inlineStr">
        <is>
          <t>https://www.ande.gov.py/finanzas/2.%20COMPILACION%20ESTADISTICA%202003-2023/ANDE%20-%20Compilacion%20Estadistica%202003-2023.pdf</t>
        </is>
      </c>
      <c r="S1324" s="6" t="inlineStr">
        <is>
          <t>ANDE-03-23</t>
        </is>
      </c>
      <c r="T1324" s="6" t="inlineStr"/>
      <c r="U1324" s="4" t="inlineStr">
        <is>
          <t>2026-09-11 00:05:00</t>
        </is>
      </c>
      <c r="V1324" s="4" t="inlineStr">
        <is>
          <t>Balance electrico ANDE.</t>
        </is>
      </c>
    </row>
    <row r="1325">
      <c r="A1325" s="6" t="inlineStr">
        <is>
          <t>R0001324</t>
        </is>
      </c>
      <c r="B1325" s="6" t="inlineStr">
        <is>
          <t>2016-01-01</t>
        </is>
      </c>
      <c r="C1325" s="6" t="inlineStr">
        <is>
          <t>2016-12-31</t>
        </is>
      </c>
      <c r="D1325" s="6" t="inlineStr">
        <is>
          <t>year</t>
        </is>
      </c>
      <c r="E1325" s="6" t="inlineStr">
        <is>
          <t>PY_GROSS_ENERGY_AVAILABLE</t>
        </is>
      </c>
      <c r="F1325" s="6" t="inlineStr">
        <is>
          <t>PY_SIN</t>
        </is>
      </c>
      <c r="G1325" s="6" t="inlineStr">
        <is>
          <t>PY</t>
        </is>
      </c>
      <c r="H1325" s="6" t="inlineStr">
        <is>
          <t>PY</t>
        </is>
      </c>
      <c r="I1325" s="8" t="n">
        <v>14977681</v>
      </c>
      <c r="J1325" s="6" t="inlineStr">
        <is>
          <t>MWh</t>
        </is>
      </c>
      <c r="K1325" s="8" t="n">
        <v>14977681</v>
      </c>
      <c r="L1325" s="6" t="inlineStr">
        <is>
          <t>MWh</t>
        </is>
      </c>
      <c r="M1325" s="6" t="inlineStr">
        <is>
          <t>ANDE</t>
        </is>
      </c>
      <c r="N1325" s="6" t="inlineStr">
        <is>
          <t>OFFICIAL_PRIMARY</t>
        </is>
      </c>
      <c r="O1325" s="9" t="inlineStr">
        <is>
          <t>OFFICIAL_AGGREGATE</t>
        </is>
      </c>
      <c r="P1325" s="8" t="n">
        <v>1</v>
      </c>
      <c r="Q1325" s="8" t="n">
        <v>85</v>
      </c>
      <c r="R1325" s="7" t="inlineStr">
        <is>
          <t>https://www.ande.gov.py/finanzas/2.%20COMPILACION%20ESTADISTICA%202003-2023/ANDE%20-%20Compilacion%20Estadistica%202003-2023.pdf</t>
        </is>
      </c>
      <c r="S1325" s="6" t="inlineStr">
        <is>
          <t>ANDE-03-23</t>
        </is>
      </c>
      <c r="T1325" s="6" t="inlineStr"/>
      <c r="U1325" s="4" t="inlineStr">
        <is>
          <t>2026-09-11 00:05:00</t>
        </is>
      </c>
      <c r="V1325" s="4" t="inlineStr">
        <is>
          <t>Balance electrico ANDE.</t>
        </is>
      </c>
    </row>
    <row r="1326">
      <c r="A1326" s="6" t="inlineStr">
        <is>
          <t>R0001325</t>
        </is>
      </c>
      <c r="B1326" s="6" t="inlineStr">
        <is>
          <t>2017-01-01</t>
        </is>
      </c>
      <c r="C1326" s="6" t="inlineStr">
        <is>
          <t>2017-12-31</t>
        </is>
      </c>
      <c r="D1326" s="6" t="inlineStr">
        <is>
          <t>year</t>
        </is>
      </c>
      <c r="E1326" s="6" t="inlineStr">
        <is>
          <t>PY_GROSS_ENERGY_AVAILABLE</t>
        </is>
      </c>
      <c r="F1326" s="6" t="inlineStr">
        <is>
          <t>PY_SIN</t>
        </is>
      </c>
      <c r="G1326" s="6" t="inlineStr">
        <is>
          <t>PY</t>
        </is>
      </c>
      <c r="H1326" s="6" t="inlineStr">
        <is>
          <t>PY</t>
        </is>
      </c>
      <c r="I1326" s="8" t="n">
        <v>15649819</v>
      </c>
      <c r="J1326" s="6" t="inlineStr">
        <is>
          <t>MWh</t>
        </is>
      </c>
      <c r="K1326" s="8" t="n">
        <v>15649819</v>
      </c>
      <c r="L1326" s="6" t="inlineStr">
        <is>
          <t>MWh</t>
        </is>
      </c>
      <c r="M1326" s="6" t="inlineStr">
        <is>
          <t>ANDE</t>
        </is>
      </c>
      <c r="N1326" s="6" t="inlineStr">
        <is>
          <t>OFFICIAL_PRIMARY</t>
        </is>
      </c>
      <c r="O1326" s="9" t="inlineStr">
        <is>
          <t>OFFICIAL_AGGREGATE</t>
        </is>
      </c>
      <c r="P1326" s="8" t="n">
        <v>1</v>
      </c>
      <c r="Q1326" s="8" t="n">
        <v>85</v>
      </c>
      <c r="R1326" s="7" t="inlineStr">
        <is>
          <t>https://www.ande.gov.py/finanzas/2.%20COMPILACION%20ESTADISTICA%202003-2023/ANDE%20-%20Compilacion%20Estadistica%202003-2023.pdf</t>
        </is>
      </c>
      <c r="S1326" s="6" t="inlineStr">
        <is>
          <t>ANDE-03-23</t>
        </is>
      </c>
      <c r="T1326" s="6" t="inlineStr"/>
      <c r="U1326" s="4" t="inlineStr">
        <is>
          <t>2026-09-11 00:05:00</t>
        </is>
      </c>
      <c r="V1326" s="4" t="inlineStr">
        <is>
          <t>Balance electrico ANDE.</t>
        </is>
      </c>
    </row>
    <row r="1327">
      <c r="A1327" s="6" t="inlineStr">
        <is>
          <t>R0001326</t>
        </is>
      </c>
      <c r="B1327" s="6" t="inlineStr">
        <is>
          <t>2018-01-01</t>
        </is>
      </c>
      <c r="C1327" s="6" t="inlineStr">
        <is>
          <t>2018-12-31</t>
        </is>
      </c>
      <c r="D1327" s="6" t="inlineStr">
        <is>
          <t>year</t>
        </is>
      </c>
      <c r="E1327" s="6" t="inlineStr">
        <is>
          <t>PY_GROSS_ENERGY_AVAILABLE</t>
        </is>
      </c>
      <c r="F1327" s="6" t="inlineStr">
        <is>
          <t>PY_SIN</t>
        </is>
      </c>
      <c r="G1327" s="6" t="inlineStr">
        <is>
          <t>PY</t>
        </is>
      </c>
      <c r="H1327" s="6" t="inlineStr">
        <is>
          <t>PY</t>
        </is>
      </c>
      <c r="I1327" s="8" t="n">
        <v>16606035</v>
      </c>
      <c r="J1327" s="6" t="inlineStr">
        <is>
          <t>MWh</t>
        </is>
      </c>
      <c r="K1327" s="8" t="n">
        <v>16606035</v>
      </c>
      <c r="L1327" s="6" t="inlineStr">
        <is>
          <t>MWh</t>
        </is>
      </c>
      <c r="M1327" s="6" t="inlineStr">
        <is>
          <t>ANDE</t>
        </is>
      </c>
      <c r="N1327" s="6" t="inlineStr">
        <is>
          <t>OFFICIAL_PRIMARY</t>
        </is>
      </c>
      <c r="O1327" s="9" t="inlineStr">
        <is>
          <t>OFFICIAL_AGGREGATE</t>
        </is>
      </c>
      <c r="P1327" s="8" t="n">
        <v>1</v>
      </c>
      <c r="Q1327" s="8" t="n">
        <v>85</v>
      </c>
      <c r="R1327" s="7" t="inlineStr">
        <is>
          <t>https://www.ande.gov.py/finanzas/2.%20COMPILACION%20ESTADISTICA%202003-2023/ANDE%20-%20Compilacion%20Estadistica%202003-2023.pdf</t>
        </is>
      </c>
      <c r="S1327" s="6" t="inlineStr">
        <is>
          <t>ANDE-03-23</t>
        </is>
      </c>
      <c r="T1327" s="6" t="inlineStr"/>
      <c r="U1327" s="4" t="inlineStr">
        <is>
          <t>2026-09-11 00:05:00</t>
        </is>
      </c>
      <c r="V1327" s="4" t="inlineStr">
        <is>
          <t>Balance electrico ANDE.</t>
        </is>
      </c>
    </row>
    <row r="1328">
      <c r="A1328" s="6" t="inlineStr">
        <is>
          <t>R0001327</t>
        </is>
      </c>
      <c r="B1328" s="6" t="inlineStr">
        <is>
          <t>2019-01-01</t>
        </is>
      </c>
      <c r="C1328" s="6" t="inlineStr">
        <is>
          <t>2019-12-31</t>
        </is>
      </c>
      <c r="D1328" s="6" t="inlineStr">
        <is>
          <t>year</t>
        </is>
      </c>
      <c r="E1328" s="6" t="inlineStr">
        <is>
          <t>PY_GROSS_ENERGY_AVAILABLE</t>
        </is>
      </c>
      <c r="F1328" s="6" t="inlineStr">
        <is>
          <t>PY_SIN</t>
        </is>
      </c>
      <c r="G1328" s="6" t="inlineStr">
        <is>
          <t>PY</t>
        </is>
      </c>
      <c r="H1328" s="6" t="inlineStr">
        <is>
          <t>PY</t>
        </is>
      </c>
      <c r="I1328" s="8" t="n">
        <v>17451242</v>
      </c>
      <c r="J1328" s="6" t="inlineStr">
        <is>
          <t>MWh</t>
        </is>
      </c>
      <c r="K1328" s="8" t="n">
        <v>17451242</v>
      </c>
      <c r="L1328" s="6" t="inlineStr">
        <is>
          <t>MWh</t>
        </is>
      </c>
      <c r="M1328" s="6" t="inlineStr">
        <is>
          <t>ANDE</t>
        </is>
      </c>
      <c r="N1328" s="6" t="inlineStr">
        <is>
          <t>OFFICIAL_PRIMARY</t>
        </is>
      </c>
      <c r="O1328" s="9" t="inlineStr">
        <is>
          <t>OFFICIAL_AGGREGATE</t>
        </is>
      </c>
      <c r="P1328" s="8" t="n">
        <v>1</v>
      </c>
      <c r="Q1328" s="8" t="n">
        <v>85</v>
      </c>
      <c r="R1328" s="7" t="inlineStr">
        <is>
          <t>https://www.ande.gov.py/finanzas/2.%20COMPILACION%20ESTADISTICA%202003-2023/ANDE%20-%20Compilacion%20Estadistica%202003-2023.pdf</t>
        </is>
      </c>
      <c r="S1328" s="6" t="inlineStr">
        <is>
          <t>ANDE-03-23</t>
        </is>
      </c>
      <c r="T1328" s="6" t="inlineStr"/>
      <c r="U1328" s="4" t="inlineStr">
        <is>
          <t>2026-09-11 00:05:00</t>
        </is>
      </c>
      <c r="V1328" s="4" t="inlineStr">
        <is>
          <t>Balance electrico ANDE.</t>
        </is>
      </c>
    </row>
    <row r="1329">
      <c r="A1329" s="6" t="inlineStr">
        <is>
          <t>R0001328</t>
        </is>
      </c>
      <c r="B1329" s="6" t="inlineStr">
        <is>
          <t>2020-01-01</t>
        </is>
      </c>
      <c r="C1329" s="6" t="inlineStr">
        <is>
          <t>2020-12-31</t>
        </is>
      </c>
      <c r="D1329" s="6" t="inlineStr">
        <is>
          <t>year</t>
        </is>
      </c>
      <c r="E1329" s="6" t="inlineStr">
        <is>
          <t>PY_GROSS_ENERGY_AVAILABLE</t>
        </is>
      </c>
      <c r="F1329" s="6" t="inlineStr">
        <is>
          <t>PY_SIN</t>
        </is>
      </c>
      <c r="G1329" s="6" t="inlineStr">
        <is>
          <t>PY</t>
        </is>
      </c>
      <c r="H1329" s="6" t="inlineStr">
        <is>
          <t>PY</t>
        </is>
      </c>
      <c r="I1329" s="8" t="n">
        <v>18106566</v>
      </c>
      <c r="J1329" s="6" t="inlineStr">
        <is>
          <t>MWh</t>
        </is>
      </c>
      <c r="K1329" s="8" t="n">
        <v>18106566</v>
      </c>
      <c r="L1329" s="6" t="inlineStr">
        <is>
          <t>MWh</t>
        </is>
      </c>
      <c r="M1329" s="6" t="inlineStr">
        <is>
          <t>ANDE</t>
        </is>
      </c>
      <c r="N1329" s="6" t="inlineStr">
        <is>
          <t>OFFICIAL_PRIMARY</t>
        </is>
      </c>
      <c r="O1329" s="9" t="inlineStr">
        <is>
          <t>OFFICIAL_AGGREGATE</t>
        </is>
      </c>
      <c r="P1329" s="8" t="n">
        <v>1</v>
      </c>
      <c r="Q1329" s="8" t="n">
        <v>85</v>
      </c>
      <c r="R1329" s="7" t="inlineStr">
        <is>
          <t>https://www.ande.gov.py/finanzas/2.%20COMPILACION%20ESTADISTICA%202003-2023/ANDE%20-%20Compilacion%20Estadistica%202003-2023.pdf</t>
        </is>
      </c>
      <c r="S1329" s="6" t="inlineStr">
        <is>
          <t>ANDE-03-23</t>
        </is>
      </c>
      <c r="T1329" s="6" t="inlineStr"/>
      <c r="U1329" s="4" t="inlineStr">
        <is>
          <t>2026-09-11 00:05:00</t>
        </is>
      </c>
      <c r="V1329" s="4" t="inlineStr">
        <is>
          <t>Balance electrico ANDE.</t>
        </is>
      </c>
    </row>
    <row r="1330">
      <c r="A1330" s="6" t="inlineStr">
        <is>
          <t>R0001329</t>
        </is>
      </c>
      <c r="B1330" s="6" t="inlineStr">
        <is>
          <t>2021-01-01</t>
        </is>
      </c>
      <c r="C1330" s="6" t="inlineStr">
        <is>
          <t>2021-12-31</t>
        </is>
      </c>
      <c r="D1330" s="6" t="inlineStr">
        <is>
          <t>year</t>
        </is>
      </c>
      <c r="E1330" s="6" t="inlineStr">
        <is>
          <t>PY_GROSS_ENERGY_AVAILABLE</t>
        </is>
      </c>
      <c r="F1330" s="6" t="inlineStr">
        <is>
          <t>PY_SIN</t>
        </is>
      </c>
      <c r="G1330" s="6" t="inlineStr">
        <is>
          <t>PY</t>
        </is>
      </c>
      <c r="H1330" s="6" t="inlineStr">
        <is>
          <t>PY</t>
        </is>
      </c>
      <c r="I1330" s="8" t="n">
        <v>18737224</v>
      </c>
      <c r="J1330" s="6" t="inlineStr">
        <is>
          <t>MWh</t>
        </is>
      </c>
      <c r="K1330" s="8" t="n">
        <v>18737224</v>
      </c>
      <c r="L1330" s="6" t="inlineStr">
        <is>
          <t>MWh</t>
        </is>
      </c>
      <c r="M1330" s="6" t="inlineStr">
        <is>
          <t>ANDE</t>
        </is>
      </c>
      <c r="N1330" s="6" t="inlineStr">
        <is>
          <t>OFFICIAL_PRIMARY</t>
        </is>
      </c>
      <c r="O1330" s="9" t="inlineStr">
        <is>
          <t>OFFICIAL_AGGREGATE</t>
        </is>
      </c>
      <c r="P1330" s="8" t="n">
        <v>1</v>
      </c>
      <c r="Q1330" s="8" t="n">
        <v>85</v>
      </c>
      <c r="R1330" s="7" t="inlineStr">
        <is>
          <t>https://www.ande.gov.py/finanzas/2.%20COMPILACION%20ESTADISTICA%202003-2023/ANDE%20-%20Compilacion%20Estadistica%202003-2023.pdf</t>
        </is>
      </c>
      <c r="S1330" s="6" t="inlineStr">
        <is>
          <t>ANDE-03-23</t>
        </is>
      </c>
      <c r="T1330" s="6" t="inlineStr"/>
      <c r="U1330" s="4" t="inlineStr">
        <is>
          <t>2026-09-11 00:05:00</t>
        </is>
      </c>
      <c r="V1330" s="4" t="inlineStr">
        <is>
          <t>Balance electrico ANDE.</t>
        </is>
      </c>
    </row>
    <row r="1331">
      <c r="A1331" s="6" t="inlineStr">
        <is>
          <t>R0001330</t>
        </is>
      </c>
      <c r="B1331" s="6" t="inlineStr">
        <is>
          <t>2022-01-01</t>
        </is>
      </c>
      <c r="C1331" s="6" t="inlineStr">
        <is>
          <t>2022-12-31</t>
        </is>
      </c>
      <c r="D1331" s="6" t="inlineStr">
        <is>
          <t>year</t>
        </is>
      </c>
      <c r="E1331" s="6" t="inlineStr">
        <is>
          <t>PY_GROSS_ENERGY_AVAILABLE</t>
        </is>
      </c>
      <c r="F1331" s="6" t="inlineStr">
        <is>
          <t>PY_SIN</t>
        </is>
      </c>
      <c r="G1331" s="6" t="inlineStr">
        <is>
          <t>PY</t>
        </is>
      </c>
      <c r="H1331" s="6" t="inlineStr">
        <is>
          <t>PY</t>
        </is>
      </c>
      <c r="I1331" s="8" t="n">
        <v>19745577</v>
      </c>
      <c r="J1331" s="6" t="inlineStr">
        <is>
          <t>MWh</t>
        </is>
      </c>
      <c r="K1331" s="8" t="n">
        <v>19745577</v>
      </c>
      <c r="L1331" s="6" t="inlineStr">
        <is>
          <t>MWh</t>
        </is>
      </c>
      <c r="M1331" s="6" t="inlineStr">
        <is>
          <t>ANDE</t>
        </is>
      </c>
      <c r="N1331" s="6" t="inlineStr">
        <is>
          <t>OFFICIAL_PRIMARY</t>
        </is>
      </c>
      <c r="O1331" s="9" t="inlineStr">
        <is>
          <t>OFFICIAL_AGGREGATE</t>
        </is>
      </c>
      <c r="P1331" s="8" t="n">
        <v>1</v>
      </c>
      <c r="Q1331" s="8" t="n">
        <v>85</v>
      </c>
      <c r="R1331" s="7" t="inlineStr">
        <is>
          <t>https://www.ande.gov.py/finanzas/2.%20COMPILACION%20ESTADISTICA%202003-2023/ANDE%20-%20Compilacion%20Estadistica%202003-2023.pdf</t>
        </is>
      </c>
      <c r="S1331" s="6" t="inlineStr">
        <is>
          <t>ANDE-03-23</t>
        </is>
      </c>
      <c r="T1331" s="6" t="inlineStr"/>
      <c r="U1331" s="4" t="inlineStr">
        <is>
          <t>2026-09-11 00:05:00</t>
        </is>
      </c>
      <c r="V1331" s="4" t="inlineStr">
        <is>
          <t>Balance electrico ANDE.</t>
        </is>
      </c>
    </row>
    <row r="1332">
      <c r="A1332" s="6" t="inlineStr">
        <is>
          <t>R0001331</t>
        </is>
      </c>
      <c r="B1332" s="6" t="inlineStr">
        <is>
          <t>2023-01-01</t>
        </is>
      </c>
      <c r="C1332" s="6" t="inlineStr">
        <is>
          <t>2023-12-31</t>
        </is>
      </c>
      <c r="D1332" s="6" t="inlineStr">
        <is>
          <t>year</t>
        </is>
      </c>
      <c r="E1332" s="6" t="inlineStr">
        <is>
          <t>PY_GROSS_ENERGY_AVAILABLE</t>
        </is>
      </c>
      <c r="F1332" s="6" t="inlineStr">
        <is>
          <t>PY_SIN</t>
        </is>
      </c>
      <c r="G1332" s="6" t="inlineStr">
        <is>
          <t>PY</t>
        </is>
      </c>
      <c r="H1332" s="6" t="inlineStr">
        <is>
          <t>PY</t>
        </is>
      </c>
      <c r="I1332" s="8" t="n">
        <v>22196037</v>
      </c>
      <c r="J1332" s="6" t="inlineStr">
        <is>
          <t>MWh</t>
        </is>
      </c>
      <c r="K1332" s="8" t="n">
        <v>22196037</v>
      </c>
      <c r="L1332" s="6" t="inlineStr">
        <is>
          <t>MWh</t>
        </is>
      </c>
      <c r="M1332" s="6" t="inlineStr">
        <is>
          <t>ANDE</t>
        </is>
      </c>
      <c r="N1332" s="6" t="inlineStr">
        <is>
          <t>OFFICIAL_PRIMARY</t>
        </is>
      </c>
      <c r="O1332" s="9" t="inlineStr">
        <is>
          <t>OFFICIAL_AGGREGATE</t>
        </is>
      </c>
      <c r="P1332" s="8" t="n">
        <v>1</v>
      </c>
      <c r="Q1332" s="8" t="n">
        <v>85</v>
      </c>
      <c r="R1332" s="7" t="inlineStr">
        <is>
          <t>https://www.ande.gov.py/finanzas/2.%20COMPILACION%20ESTADISTICA%202003-2023/ANDE%20-%20Compilacion%20Estadistica%202003-2023.pdf</t>
        </is>
      </c>
      <c r="S1332" s="6" t="inlineStr">
        <is>
          <t>ANDE-03-23</t>
        </is>
      </c>
      <c r="T1332" s="6" t="inlineStr"/>
      <c r="U1332" s="4" t="inlineStr">
        <is>
          <t>2026-09-11 00:05:00</t>
        </is>
      </c>
      <c r="V1332" s="4" t="inlineStr">
        <is>
          <t>Balance electrico ANDE.</t>
        </is>
      </c>
    </row>
    <row r="1333">
      <c r="A1333" s="6" t="inlineStr">
        <is>
          <t>R0001332</t>
        </is>
      </c>
      <c r="B1333" s="6" t="inlineStr">
        <is>
          <t>2003-01-01</t>
        </is>
      </c>
      <c r="C1333" s="6" t="inlineStr">
        <is>
          <t>2003-12-31</t>
        </is>
      </c>
      <c r="D1333" s="6" t="inlineStr">
        <is>
          <t>year</t>
        </is>
      </c>
      <c r="E1333" s="6" t="inlineStr">
        <is>
          <t>PY_ANDE_EXPORT_ENERGY</t>
        </is>
      </c>
      <c r="F1333" s="6" t="inlineStr">
        <is>
          <t>PY_SIN</t>
        </is>
      </c>
      <c r="G1333" s="6" t="inlineStr">
        <is>
          <t>PY</t>
        </is>
      </c>
      <c r="H1333" s="6" t="inlineStr">
        <is>
          <t>EXTERNAL</t>
        </is>
      </c>
      <c r="I1333" s="8" t="n">
        <v>676779</v>
      </c>
      <c r="J1333" s="6" t="inlineStr">
        <is>
          <t>MWh</t>
        </is>
      </c>
      <c r="K1333" s="8" t="n">
        <v>676779</v>
      </c>
      <c r="L1333" s="6" t="inlineStr">
        <is>
          <t>MWh</t>
        </is>
      </c>
      <c r="M1333" s="6" t="inlineStr">
        <is>
          <t>ANDE</t>
        </is>
      </c>
      <c r="N1333" s="6" t="inlineStr">
        <is>
          <t>OFFICIAL_PRIMARY</t>
        </is>
      </c>
      <c r="O1333" s="9" t="inlineStr">
        <is>
          <t>OFFICIAL_AGGREGATE</t>
        </is>
      </c>
      <c r="P1333" s="8" t="n">
        <v>1</v>
      </c>
      <c r="Q1333" s="8" t="n">
        <v>85</v>
      </c>
      <c r="R1333" s="7" t="inlineStr">
        <is>
          <t>https://www.ande.gov.py/finanzas/2.%20COMPILACION%20ESTADISTICA%202003-2023/ANDE%20-%20Compilacion%20Estadistica%202003-2023.pdf</t>
        </is>
      </c>
      <c r="S1333" s="6" t="inlineStr">
        <is>
          <t>ANDE-03-23</t>
        </is>
      </c>
      <c r="T1333" s="6" t="inlineStr"/>
      <c r="U1333" s="4" t="inlineStr">
        <is>
          <t>2026-09-11 00:05:00</t>
        </is>
      </c>
      <c r="V1333" s="4" t="inlineStr">
        <is>
          <t>Balance electrico ANDE.</t>
        </is>
      </c>
    </row>
    <row r="1334">
      <c r="A1334" s="6" t="inlineStr">
        <is>
          <t>R0001333</t>
        </is>
      </c>
      <c r="B1334" s="6" t="inlineStr">
        <is>
          <t>2004-01-01</t>
        </is>
      </c>
      <c r="C1334" s="6" t="inlineStr">
        <is>
          <t>2004-12-31</t>
        </is>
      </c>
      <c r="D1334" s="6" t="inlineStr">
        <is>
          <t>year</t>
        </is>
      </c>
      <c r="E1334" s="6" t="inlineStr">
        <is>
          <t>PY_ANDE_EXPORT_ENERGY</t>
        </is>
      </c>
      <c r="F1334" s="6" t="inlineStr">
        <is>
          <t>PY_SIN</t>
        </is>
      </c>
      <c r="G1334" s="6" t="inlineStr">
        <is>
          <t>PY</t>
        </is>
      </c>
      <c r="H1334" s="6" t="inlineStr">
        <is>
          <t>EXTERNAL</t>
        </is>
      </c>
      <c r="I1334" s="8" t="n">
        <v>869013</v>
      </c>
      <c r="J1334" s="6" t="inlineStr">
        <is>
          <t>MWh</t>
        </is>
      </c>
      <c r="K1334" s="8" t="n">
        <v>869013</v>
      </c>
      <c r="L1334" s="6" t="inlineStr">
        <is>
          <t>MWh</t>
        </is>
      </c>
      <c r="M1334" s="6" t="inlineStr">
        <is>
          <t>ANDE</t>
        </is>
      </c>
      <c r="N1334" s="6" t="inlineStr">
        <is>
          <t>OFFICIAL_PRIMARY</t>
        </is>
      </c>
      <c r="O1334" s="9" t="inlineStr">
        <is>
          <t>OFFICIAL_AGGREGATE</t>
        </is>
      </c>
      <c r="P1334" s="8" t="n">
        <v>1</v>
      </c>
      <c r="Q1334" s="8" t="n">
        <v>85</v>
      </c>
      <c r="R1334" s="7" t="inlineStr">
        <is>
          <t>https://www.ande.gov.py/finanzas/2.%20COMPILACION%20ESTADISTICA%202003-2023/ANDE%20-%20Compilacion%20Estadistica%202003-2023.pdf</t>
        </is>
      </c>
      <c r="S1334" s="6" t="inlineStr">
        <is>
          <t>ANDE-03-23</t>
        </is>
      </c>
      <c r="T1334" s="6" t="inlineStr"/>
      <c r="U1334" s="4" t="inlineStr">
        <is>
          <t>2026-09-11 00:05:00</t>
        </is>
      </c>
      <c r="V1334" s="4" t="inlineStr">
        <is>
          <t>Balance electrico ANDE.</t>
        </is>
      </c>
    </row>
    <row r="1335">
      <c r="A1335" s="6" t="inlineStr">
        <is>
          <t>R0001334</t>
        </is>
      </c>
      <c r="B1335" s="6" t="inlineStr">
        <is>
          <t>2005-01-01</t>
        </is>
      </c>
      <c r="C1335" s="6" t="inlineStr">
        <is>
          <t>2005-12-31</t>
        </is>
      </c>
      <c r="D1335" s="6" t="inlineStr">
        <is>
          <t>year</t>
        </is>
      </c>
      <c r="E1335" s="6" t="inlineStr">
        <is>
          <t>PY_ANDE_EXPORT_ENERGY</t>
        </is>
      </c>
      <c r="F1335" s="6" t="inlineStr">
        <is>
          <t>PY_SIN</t>
        </is>
      </c>
      <c r="G1335" s="6" t="inlineStr">
        <is>
          <t>PY</t>
        </is>
      </c>
      <c r="H1335" s="6" t="inlineStr">
        <is>
          <t>EXTERNAL</t>
        </is>
      </c>
      <c r="I1335" s="8" t="n">
        <v>557794</v>
      </c>
      <c r="J1335" s="6" t="inlineStr">
        <is>
          <t>MWh</t>
        </is>
      </c>
      <c r="K1335" s="8" t="n">
        <v>557794</v>
      </c>
      <c r="L1335" s="6" t="inlineStr">
        <is>
          <t>MWh</t>
        </is>
      </c>
      <c r="M1335" s="6" t="inlineStr">
        <is>
          <t>ANDE</t>
        </is>
      </c>
      <c r="N1335" s="6" t="inlineStr">
        <is>
          <t>OFFICIAL_PRIMARY</t>
        </is>
      </c>
      <c r="O1335" s="9" t="inlineStr">
        <is>
          <t>OFFICIAL_AGGREGATE</t>
        </is>
      </c>
      <c r="P1335" s="8" t="n">
        <v>1</v>
      </c>
      <c r="Q1335" s="8" t="n">
        <v>85</v>
      </c>
      <c r="R1335" s="7" t="inlineStr">
        <is>
          <t>https://www.ande.gov.py/finanzas/2.%20COMPILACION%20ESTADISTICA%202003-2023/ANDE%20-%20Compilacion%20Estadistica%202003-2023.pdf</t>
        </is>
      </c>
      <c r="S1335" s="6" t="inlineStr">
        <is>
          <t>ANDE-03-23</t>
        </is>
      </c>
      <c r="T1335" s="6" t="inlineStr"/>
      <c r="U1335" s="4" t="inlineStr">
        <is>
          <t>2026-09-11 00:05:00</t>
        </is>
      </c>
      <c r="V1335" s="4" t="inlineStr">
        <is>
          <t>Balance electrico ANDE.</t>
        </is>
      </c>
    </row>
    <row r="1336">
      <c r="A1336" s="6" t="inlineStr">
        <is>
          <t>R0001335</t>
        </is>
      </c>
      <c r="B1336" s="6" t="inlineStr">
        <is>
          <t>2006-01-01</t>
        </is>
      </c>
      <c r="C1336" s="6" t="inlineStr">
        <is>
          <t>2006-12-31</t>
        </is>
      </c>
      <c r="D1336" s="6" t="inlineStr">
        <is>
          <t>year</t>
        </is>
      </c>
      <c r="E1336" s="6" t="inlineStr">
        <is>
          <t>PY_ANDE_EXPORT_ENERGY</t>
        </is>
      </c>
      <c r="F1336" s="6" t="inlineStr">
        <is>
          <t>PY_SIN</t>
        </is>
      </c>
      <c r="G1336" s="6" t="inlineStr">
        <is>
          <t>PY</t>
        </is>
      </c>
      <c r="H1336" s="6" t="inlineStr">
        <is>
          <t>EXTERNAL</t>
        </is>
      </c>
      <c r="I1336" s="8" t="n">
        <v>880110</v>
      </c>
      <c r="J1336" s="6" t="inlineStr">
        <is>
          <t>MWh</t>
        </is>
      </c>
      <c r="K1336" s="8" t="n">
        <v>880110</v>
      </c>
      <c r="L1336" s="6" t="inlineStr">
        <is>
          <t>MWh</t>
        </is>
      </c>
      <c r="M1336" s="6" t="inlineStr">
        <is>
          <t>ANDE</t>
        </is>
      </c>
      <c r="N1336" s="6" t="inlineStr">
        <is>
          <t>OFFICIAL_PRIMARY</t>
        </is>
      </c>
      <c r="O1336" s="9" t="inlineStr">
        <is>
          <t>OFFICIAL_AGGREGATE</t>
        </is>
      </c>
      <c r="P1336" s="8" t="n">
        <v>1</v>
      </c>
      <c r="Q1336" s="8" t="n">
        <v>85</v>
      </c>
      <c r="R1336" s="7" t="inlineStr">
        <is>
          <t>https://www.ande.gov.py/finanzas/2.%20COMPILACION%20ESTADISTICA%202003-2023/ANDE%20-%20Compilacion%20Estadistica%202003-2023.pdf</t>
        </is>
      </c>
      <c r="S1336" s="6" t="inlineStr">
        <is>
          <t>ANDE-03-23</t>
        </is>
      </c>
      <c r="T1336" s="6" t="inlineStr"/>
      <c r="U1336" s="4" t="inlineStr">
        <is>
          <t>2026-09-11 00:05:00</t>
        </is>
      </c>
      <c r="V1336" s="4" t="inlineStr">
        <is>
          <t>Balance electrico ANDE.</t>
        </is>
      </c>
    </row>
    <row r="1337">
      <c r="A1337" s="6" t="inlineStr">
        <is>
          <t>R0001336</t>
        </is>
      </c>
      <c r="B1337" s="6" t="inlineStr">
        <is>
          <t>2007-01-01</t>
        </is>
      </c>
      <c r="C1337" s="6" t="inlineStr">
        <is>
          <t>2007-12-31</t>
        </is>
      </c>
      <c r="D1337" s="6" t="inlineStr">
        <is>
          <t>year</t>
        </is>
      </c>
      <c r="E1337" s="6" t="inlineStr">
        <is>
          <t>PY_ANDE_EXPORT_ENERGY</t>
        </is>
      </c>
      <c r="F1337" s="6" t="inlineStr">
        <is>
          <t>PY_SIN</t>
        </is>
      </c>
      <c r="G1337" s="6" t="inlineStr">
        <is>
          <t>PY</t>
        </is>
      </c>
      <c r="H1337" s="6" t="inlineStr">
        <is>
          <t>EXTERNAL</t>
        </is>
      </c>
      <c r="I1337" s="8" t="n">
        <v>752915</v>
      </c>
      <c r="J1337" s="6" t="inlineStr">
        <is>
          <t>MWh</t>
        </is>
      </c>
      <c r="K1337" s="8" t="n">
        <v>752915</v>
      </c>
      <c r="L1337" s="6" t="inlineStr">
        <is>
          <t>MWh</t>
        </is>
      </c>
      <c r="M1337" s="6" t="inlineStr">
        <is>
          <t>ANDE</t>
        </is>
      </c>
      <c r="N1337" s="6" t="inlineStr">
        <is>
          <t>OFFICIAL_PRIMARY</t>
        </is>
      </c>
      <c r="O1337" s="9" t="inlineStr">
        <is>
          <t>OFFICIAL_AGGREGATE</t>
        </is>
      </c>
      <c r="P1337" s="8" t="n">
        <v>1</v>
      </c>
      <c r="Q1337" s="8" t="n">
        <v>85</v>
      </c>
      <c r="R1337" s="7" t="inlineStr">
        <is>
          <t>https://www.ande.gov.py/finanzas/2.%20COMPILACION%20ESTADISTICA%202003-2023/ANDE%20-%20Compilacion%20Estadistica%202003-2023.pdf</t>
        </is>
      </c>
      <c r="S1337" s="6" t="inlineStr">
        <is>
          <t>ANDE-03-23</t>
        </is>
      </c>
      <c r="T1337" s="6" t="inlineStr"/>
      <c r="U1337" s="4" t="inlineStr">
        <is>
          <t>2026-09-11 00:05:00</t>
        </is>
      </c>
      <c r="V1337" s="4" t="inlineStr">
        <is>
          <t>Balance electrico ANDE.</t>
        </is>
      </c>
    </row>
    <row r="1338">
      <c r="A1338" s="6" t="inlineStr">
        <is>
          <t>R0001337</t>
        </is>
      </c>
      <c r="B1338" s="6" t="inlineStr">
        <is>
          <t>2008-01-01</t>
        </is>
      </c>
      <c r="C1338" s="6" t="inlineStr">
        <is>
          <t>2008-12-31</t>
        </is>
      </c>
      <c r="D1338" s="6" t="inlineStr">
        <is>
          <t>year</t>
        </is>
      </c>
      <c r="E1338" s="6" t="inlineStr">
        <is>
          <t>PY_ANDE_EXPORT_ENERGY</t>
        </is>
      </c>
      <c r="F1338" s="6" t="inlineStr">
        <is>
          <t>PY_SIN</t>
        </is>
      </c>
      <c r="G1338" s="6" t="inlineStr">
        <is>
          <t>PY</t>
        </is>
      </c>
      <c r="H1338" s="6" t="inlineStr">
        <is>
          <t>EXTERNAL</t>
        </is>
      </c>
      <c r="I1338" s="8" t="n">
        <v>505675</v>
      </c>
      <c r="J1338" s="6" t="inlineStr">
        <is>
          <t>MWh</t>
        </is>
      </c>
      <c r="K1338" s="8" t="n">
        <v>505675</v>
      </c>
      <c r="L1338" s="6" t="inlineStr">
        <is>
          <t>MWh</t>
        </is>
      </c>
      <c r="M1338" s="6" t="inlineStr">
        <is>
          <t>ANDE</t>
        </is>
      </c>
      <c r="N1338" s="6" t="inlineStr">
        <is>
          <t>OFFICIAL_PRIMARY</t>
        </is>
      </c>
      <c r="O1338" s="9" t="inlineStr">
        <is>
          <t>OFFICIAL_AGGREGATE</t>
        </is>
      </c>
      <c r="P1338" s="8" t="n">
        <v>1</v>
      </c>
      <c r="Q1338" s="8" t="n">
        <v>85</v>
      </c>
      <c r="R1338" s="7" t="inlineStr">
        <is>
          <t>https://www.ande.gov.py/finanzas/2.%20COMPILACION%20ESTADISTICA%202003-2023/ANDE%20-%20Compilacion%20Estadistica%202003-2023.pdf</t>
        </is>
      </c>
      <c r="S1338" s="6" t="inlineStr">
        <is>
          <t>ANDE-03-23</t>
        </is>
      </c>
      <c r="T1338" s="6" t="inlineStr"/>
      <c r="U1338" s="4" t="inlineStr">
        <is>
          <t>2026-09-11 00:05:00</t>
        </is>
      </c>
      <c r="V1338" s="4" t="inlineStr">
        <is>
          <t>Balance electrico ANDE.</t>
        </is>
      </c>
    </row>
    <row r="1339">
      <c r="A1339" s="6" t="inlineStr">
        <is>
          <t>R0001338</t>
        </is>
      </c>
      <c r="B1339" s="6" t="inlineStr">
        <is>
          <t>2009-01-01</t>
        </is>
      </c>
      <c r="C1339" s="6" t="inlineStr">
        <is>
          <t>2009-12-31</t>
        </is>
      </c>
      <c r="D1339" s="6" t="inlineStr">
        <is>
          <t>year</t>
        </is>
      </c>
      <c r="E1339" s="6" t="inlineStr">
        <is>
          <t>PY_ANDE_EXPORT_ENERGY</t>
        </is>
      </c>
      <c r="F1339" s="6" t="inlineStr">
        <is>
          <t>PY_SIN</t>
        </is>
      </c>
      <c r="G1339" s="6" t="inlineStr">
        <is>
          <t>PY</t>
        </is>
      </c>
      <c r="H1339" s="6" t="inlineStr">
        <is>
          <t>EXTERNAL</t>
        </is>
      </c>
      <c r="I1339" s="8" t="n">
        <v>588733</v>
      </c>
      <c r="J1339" s="6" t="inlineStr">
        <is>
          <t>MWh</t>
        </is>
      </c>
      <c r="K1339" s="8" t="n">
        <v>588733</v>
      </c>
      <c r="L1339" s="6" t="inlineStr">
        <is>
          <t>MWh</t>
        </is>
      </c>
      <c r="M1339" s="6" t="inlineStr">
        <is>
          <t>ANDE</t>
        </is>
      </c>
      <c r="N1339" s="6" t="inlineStr">
        <is>
          <t>OFFICIAL_PRIMARY</t>
        </is>
      </c>
      <c r="O1339" s="9" t="inlineStr">
        <is>
          <t>OFFICIAL_AGGREGATE</t>
        </is>
      </c>
      <c r="P1339" s="8" t="n">
        <v>1</v>
      </c>
      <c r="Q1339" s="8" t="n">
        <v>85</v>
      </c>
      <c r="R1339" s="7" t="inlineStr">
        <is>
          <t>https://www.ande.gov.py/finanzas/2.%20COMPILACION%20ESTADISTICA%202003-2023/ANDE%20-%20Compilacion%20Estadistica%202003-2023.pdf</t>
        </is>
      </c>
      <c r="S1339" s="6" t="inlineStr">
        <is>
          <t>ANDE-03-23</t>
        </is>
      </c>
      <c r="T1339" s="6" t="inlineStr"/>
      <c r="U1339" s="4" t="inlineStr">
        <is>
          <t>2026-09-11 00:05:00</t>
        </is>
      </c>
      <c r="V1339" s="4" t="inlineStr">
        <is>
          <t>Balance electrico ANDE.</t>
        </is>
      </c>
    </row>
    <row r="1340">
      <c r="A1340" s="6" t="inlineStr">
        <is>
          <t>R0001339</t>
        </is>
      </c>
      <c r="B1340" s="6" t="inlineStr">
        <is>
          <t>2010-01-01</t>
        </is>
      </c>
      <c r="C1340" s="6" t="inlineStr">
        <is>
          <t>2010-12-31</t>
        </is>
      </c>
      <c r="D1340" s="6" t="inlineStr">
        <is>
          <t>year</t>
        </is>
      </c>
      <c r="E1340" s="6" t="inlineStr">
        <is>
          <t>PY_ANDE_EXPORT_ENERGY</t>
        </is>
      </c>
      <c r="F1340" s="6" t="inlineStr">
        <is>
          <t>PY_SIN</t>
        </is>
      </c>
      <c r="G1340" s="6" t="inlineStr">
        <is>
          <t>PY</t>
        </is>
      </c>
      <c r="H1340" s="6" t="inlineStr">
        <is>
          <t>EXTERNAL</t>
        </is>
      </c>
      <c r="I1340" s="8" t="n">
        <v>490547</v>
      </c>
      <c r="J1340" s="6" t="inlineStr">
        <is>
          <t>MWh</t>
        </is>
      </c>
      <c r="K1340" s="8" t="n">
        <v>490547</v>
      </c>
      <c r="L1340" s="6" t="inlineStr">
        <is>
          <t>MWh</t>
        </is>
      </c>
      <c r="M1340" s="6" t="inlineStr">
        <is>
          <t>ANDE</t>
        </is>
      </c>
      <c r="N1340" s="6" t="inlineStr">
        <is>
          <t>OFFICIAL_PRIMARY</t>
        </is>
      </c>
      <c r="O1340" s="9" t="inlineStr">
        <is>
          <t>OFFICIAL_AGGREGATE</t>
        </is>
      </c>
      <c r="P1340" s="8" t="n">
        <v>1</v>
      </c>
      <c r="Q1340" s="8" t="n">
        <v>85</v>
      </c>
      <c r="R1340" s="7" t="inlineStr">
        <is>
          <t>https://www.ande.gov.py/finanzas/2.%20COMPILACION%20ESTADISTICA%202003-2023/ANDE%20-%20Compilacion%20Estadistica%202003-2023.pdf</t>
        </is>
      </c>
      <c r="S1340" s="6" t="inlineStr">
        <is>
          <t>ANDE-03-23</t>
        </is>
      </c>
      <c r="T1340" s="6" t="inlineStr"/>
      <c r="U1340" s="4" t="inlineStr">
        <is>
          <t>2026-09-11 00:05:00</t>
        </is>
      </c>
      <c r="V1340" s="4" t="inlineStr">
        <is>
          <t>Balance electrico ANDE.</t>
        </is>
      </c>
    </row>
    <row r="1341">
      <c r="A1341" s="6" t="inlineStr">
        <is>
          <t>R0001340</t>
        </is>
      </c>
      <c r="B1341" s="6" t="inlineStr">
        <is>
          <t>2011-01-01</t>
        </is>
      </c>
      <c r="C1341" s="6" t="inlineStr">
        <is>
          <t>2011-12-31</t>
        </is>
      </c>
      <c r="D1341" s="6" t="inlineStr">
        <is>
          <t>year</t>
        </is>
      </c>
      <c r="E1341" s="6" t="inlineStr">
        <is>
          <t>PY_ANDE_EXPORT_ENERGY</t>
        </is>
      </c>
      <c r="F1341" s="6" t="inlineStr">
        <is>
          <t>PY_SIN</t>
        </is>
      </c>
      <c r="G1341" s="6" t="inlineStr">
        <is>
          <t>PY</t>
        </is>
      </c>
      <c r="H1341" s="6" t="inlineStr">
        <is>
          <t>EXTERNAL</t>
        </is>
      </c>
      <c r="I1341" s="8" t="n">
        <v>140788</v>
      </c>
      <c r="J1341" s="6" t="inlineStr">
        <is>
          <t>MWh</t>
        </is>
      </c>
      <c r="K1341" s="8" t="n">
        <v>140788</v>
      </c>
      <c r="L1341" s="6" t="inlineStr">
        <is>
          <t>MWh</t>
        </is>
      </c>
      <c r="M1341" s="6" t="inlineStr">
        <is>
          <t>ANDE</t>
        </is>
      </c>
      <c r="N1341" s="6" t="inlineStr">
        <is>
          <t>OFFICIAL_PRIMARY</t>
        </is>
      </c>
      <c r="O1341" s="9" t="inlineStr">
        <is>
          <t>OFFICIAL_AGGREGATE</t>
        </is>
      </c>
      <c r="P1341" s="8" t="n">
        <v>1</v>
      </c>
      <c r="Q1341" s="8" t="n">
        <v>85</v>
      </c>
      <c r="R1341" s="7" t="inlineStr">
        <is>
          <t>https://www.ande.gov.py/finanzas/2.%20COMPILACION%20ESTADISTICA%202003-2023/ANDE%20-%20Compilacion%20Estadistica%202003-2023.pdf</t>
        </is>
      </c>
      <c r="S1341" s="6" t="inlineStr">
        <is>
          <t>ANDE-03-23</t>
        </is>
      </c>
      <c r="T1341" s="6" t="inlineStr"/>
      <c r="U1341" s="4" t="inlineStr">
        <is>
          <t>2026-09-11 00:05:00</t>
        </is>
      </c>
      <c r="V1341" s="4" t="inlineStr">
        <is>
          <t>Balance electrico ANDE.</t>
        </is>
      </c>
    </row>
    <row r="1342">
      <c r="A1342" s="6" t="inlineStr">
        <is>
          <t>R0001341</t>
        </is>
      </c>
      <c r="B1342" s="6" t="inlineStr">
        <is>
          <t>2012-01-01</t>
        </is>
      </c>
      <c r="C1342" s="6" t="inlineStr">
        <is>
          <t>2012-12-31</t>
        </is>
      </c>
      <c r="D1342" s="6" t="inlineStr">
        <is>
          <t>year</t>
        </is>
      </c>
      <c r="E1342" s="6" t="inlineStr">
        <is>
          <t>PY_ANDE_EXPORT_ENERGY</t>
        </is>
      </c>
      <c r="F1342" s="6" t="inlineStr">
        <is>
          <t>PY_SIN</t>
        </is>
      </c>
      <c r="G1342" s="6" t="inlineStr">
        <is>
          <t>PY</t>
        </is>
      </c>
      <c r="H1342" s="6" t="inlineStr">
        <is>
          <t>EXTERNAL</t>
        </is>
      </c>
      <c r="I1342" s="8" t="n">
        <v>155818</v>
      </c>
      <c r="J1342" s="6" t="inlineStr">
        <is>
          <t>MWh</t>
        </is>
      </c>
      <c r="K1342" s="8" t="n">
        <v>155818</v>
      </c>
      <c r="L1342" s="6" t="inlineStr">
        <is>
          <t>MWh</t>
        </is>
      </c>
      <c r="M1342" s="6" t="inlineStr">
        <is>
          <t>ANDE</t>
        </is>
      </c>
      <c r="N1342" s="6" t="inlineStr">
        <is>
          <t>OFFICIAL_PRIMARY</t>
        </is>
      </c>
      <c r="O1342" s="9" t="inlineStr">
        <is>
          <t>OFFICIAL_AGGREGATE</t>
        </is>
      </c>
      <c r="P1342" s="8" t="n">
        <v>1</v>
      </c>
      <c r="Q1342" s="8" t="n">
        <v>85</v>
      </c>
      <c r="R1342" s="7" t="inlineStr">
        <is>
          <t>https://www.ande.gov.py/finanzas/2.%20COMPILACION%20ESTADISTICA%202003-2023/ANDE%20-%20Compilacion%20Estadistica%202003-2023.pdf</t>
        </is>
      </c>
      <c r="S1342" s="6" t="inlineStr">
        <is>
          <t>ANDE-03-23</t>
        </is>
      </c>
      <c r="T1342" s="6" t="inlineStr"/>
      <c r="U1342" s="4" t="inlineStr">
        <is>
          <t>2026-09-11 00:05:00</t>
        </is>
      </c>
      <c r="V1342" s="4" t="inlineStr">
        <is>
          <t>Balance electrico ANDE.</t>
        </is>
      </c>
    </row>
    <row r="1343">
      <c r="A1343" s="6" t="inlineStr">
        <is>
          <t>R0001342</t>
        </is>
      </c>
      <c r="B1343" s="6" t="inlineStr">
        <is>
          <t>2013-01-01</t>
        </is>
      </c>
      <c r="C1343" s="6" t="inlineStr">
        <is>
          <t>2013-12-31</t>
        </is>
      </c>
      <c r="D1343" s="6" t="inlineStr">
        <is>
          <t>year</t>
        </is>
      </c>
      <c r="E1343" s="6" t="inlineStr">
        <is>
          <t>PY_ANDE_EXPORT_ENERGY</t>
        </is>
      </c>
      <c r="F1343" s="6" t="inlineStr">
        <is>
          <t>PY_SIN</t>
        </is>
      </c>
      <c r="G1343" s="6" t="inlineStr">
        <is>
          <t>PY</t>
        </is>
      </c>
      <c r="H1343" s="6" t="inlineStr">
        <is>
          <t>EXTERNAL</t>
        </is>
      </c>
      <c r="I1343" s="8" t="n">
        <v>139541</v>
      </c>
      <c r="J1343" s="6" t="inlineStr">
        <is>
          <t>MWh</t>
        </is>
      </c>
      <c r="K1343" s="8" t="n">
        <v>139541</v>
      </c>
      <c r="L1343" s="6" t="inlineStr">
        <is>
          <t>MWh</t>
        </is>
      </c>
      <c r="M1343" s="6" t="inlineStr">
        <is>
          <t>ANDE</t>
        </is>
      </c>
      <c r="N1343" s="6" t="inlineStr">
        <is>
          <t>OFFICIAL_PRIMARY</t>
        </is>
      </c>
      <c r="O1343" s="9" t="inlineStr">
        <is>
          <t>OFFICIAL_AGGREGATE</t>
        </is>
      </c>
      <c r="P1343" s="8" t="n">
        <v>1</v>
      </c>
      <c r="Q1343" s="8" t="n">
        <v>85</v>
      </c>
      <c r="R1343" s="7" t="inlineStr">
        <is>
          <t>https://www.ande.gov.py/finanzas/2.%20COMPILACION%20ESTADISTICA%202003-2023/ANDE%20-%20Compilacion%20Estadistica%202003-2023.pdf</t>
        </is>
      </c>
      <c r="S1343" s="6" t="inlineStr">
        <is>
          <t>ANDE-03-23</t>
        </is>
      </c>
      <c r="T1343" s="6" t="inlineStr"/>
      <c r="U1343" s="4" t="inlineStr">
        <is>
          <t>2026-09-11 00:05:00</t>
        </is>
      </c>
      <c r="V1343" s="4" t="inlineStr">
        <is>
          <t>Balance electrico ANDE.</t>
        </is>
      </c>
    </row>
    <row r="1344">
      <c r="A1344" s="6" t="inlineStr">
        <is>
          <t>R0001343</t>
        </is>
      </c>
      <c r="B1344" s="6" t="inlineStr">
        <is>
          <t>2014-01-01</t>
        </is>
      </c>
      <c r="C1344" s="6" t="inlineStr">
        <is>
          <t>2014-12-31</t>
        </is>
      </c>
      <c r="D1344" s="6" t="inlineStr">
        <is>
          <t>year</t>
        </is>
      </c>
      <c r="E1344" s="6" t="inlineStr">
        <is>
          <t>PY_ANDE_EXPORT_ENERGY</t>
        </is>
      </c>
      <c r="F1344" s="6" t="inlineStr">
        <is>
          <t>PY_SIN</t>
        </is>
      </c>
      <c r="G1344" s="6" t="inlineStr">
        <is>
          <t>PY</t>
        </is>
      </c>
      <c r="H1344" s="6" t="inlineStr">
        <is>
          <t>EXTERNAL</t>
        </is>
      </c>
      <c r="I1344" s="8" t="n">
        <v>119843</v>
      </c>
      <c r="J1344" s="6" t="inlineStr">
        <is>
          <t>MWh</t>
        </is>
      </c>
      <c r="K1344" s="8" t="n">
        <v>119843</v>
      </c>
      <c r="L1344" s="6" t="inlineStr">
        <is>
          <t>MWh</t>
        </is>
      </c>
      <c r="M1344" s="6" t="inlineStr">
        <is>
          <t>ANDE</t>
        </is>
      </c>
      <c r="N1344" s="6" t="inlineStr">
        <is>
          <t>OFFICIAL_PRIMARY</t>
        </is>
      </c>
      <c r="O1344" s="9" t="inlineStr">
        <is>
          <t>OFFICIAL_AGGREGATE</t>
        </is>
      </c>
      <c r="P1344" s="8" t="n">
        <v>1</v>
      </c>
      <c r="Q1344" s="8" t="n">
        <v>85</v>
      </c>
      <c r="R1344" s="7" t="inlineStr">
        <is>
          <t>https://www.ande.gov.py/finanzas/2.%20COMPILACION%20ESTADISTICA%202003-2023/ANDE%20-%20Compilacion%20Estadistica%202003-2023.pdf</t>
        </is>
      </c>
      <c r="S1344" s="6" t="inlineStr">
        <is>
          <t>ANDE-03-23</t>
        </is>
      </c>
      <c r="T1344" s="6" t="inlineStr"/>
      <c r="U1344" s="4" t="inlineStr">
        <is>
          <t>2026-09-11 00:05:00</t>
        </is>
      </c>
      <c r="V1344" s="4" t="inlineStr">
        <is>
          <t>Balance electrico ANDE.</t>
        </is>
      </c>
    </row>
    <row r="1345">
      <c r="A1345" s="6" t="inlineStr">
        <is>
          <t>R0001344</t>
        </is>
      </c>
      <c r="B1345" s="6" t="inlineStr">
        <is>
          <t>2015-01-01</t>
        </is>
      </c>
      <c r="C1345" s="6" t="inlineStr">
        <is>
          <t>2015-12-31</t>
        </is>
      </c>
      <c r="D1345" s="6" t="inlineStr">
        <is>
          <t>year</t>
        </is>
      </c>
      <c r="E1345" s="6" t="inlineStr">
        <is>
          <t>PY_ANDE_EXPORT_ENERGY</t>
        </is>
      </c>
      <c r="F1345" s="6" t="inlineStr">
        <is>
          <t>PY_SIN</t>
        </is>
      </c>
      <c r="G1345" s="6" t="inlineStr">
        <is>
          <t>PY</t>
        </is>
      </c>
      <c r="H1345" s="6" t="inlineStr">
        <is>
          <t>EXTERNAL</t>
        </is>
      </c>
      <c r="I1345" s="8" t="n">
        <v>117510</v>
      </c>
      <c r="J1345" s="6" t="inlineStr">
        <is>
          <t>MWh</t>
        </is>
      </c>
      <c r="K1345" s="8" t="n">
        <v>117510</v>
      </c>
      <c r="L1345" s="6" t="inlineStr">
        <is>
          <t>MWh</t>
        </is>
      </c>
      <c r="M1345" s="6" t="inlineStr">
        <is>
          <t>ANDE</t>
        </is>
      </c>
      <c r="N1345" s="6" t="inlineStr">
        <is>
          <t>OFFICIAL_PRIMARY</t>
        </is>
      </c>
      <c r="O1345" s="9" t="inlineStr">
        <is>
          <t>OFFICIAL_AGGREGATE</t>
        </is>
      </c>
      <c r="P1345" s="8" t="n">
        <v>1</v>
      </c>
      <c r="Q1345" s="8" t="n">
        <v>85</v>
      </c>
      <c r="R1345" s="7" t="inlineStr">
        <is>
          <t>https://www.ande.gov.py/finanzas/2.%20COMPILACION%20ESTADISTICA%202003-2023/ANDE%20-%20Compilacion%20Estadistica%202003-2023.pdf</t>
        </is>
      </c>
      <c r="S1345" s="6" t="inlineStr">
        <is>
          <t>ANDE-03-23</t>
        </is>
      </c>
      <c r="T1345" s="6" t="inlineStr"/>
      <c r="U1345" s="4" t="inlineStr">
        <is>
          <t>2026-09-11 00:05:00</t>
        </is>
      </c>
      <c r="V1345" s="4" t="inlineStr">
        <is>
          <t>Balance electrico ANDE.</t>
        </is>
      </c>
    </row>
    <row r="1346">
      <c r="A1346" s="6" t="inlineStr">
        <is>
          <t>R0001345</t>
        </is>
      </c>
      <c r="B1346" s="6" t="inlineStr">
        <is>
          <t>2016-01-01</t>
        </is>
      </c>
      <c r="C1346" s="6" t="inlineStr">
        <is>
          <t>2016-12-31</t>
        </is>
      </c>
      <c r="D1346" s="6" t="inlineStr">
        <is>
          <t>year</t>
        </is>
      </c>
      <c r="E1346" s="6" t="inlineStr">
        <is>
          <t>PY_ANDE_EXPORT_ENERGY</t>
        </is>
      </c>
      <c r="F1346" s="6" t="inlineStr">
        <is>
          <t>PY_SIN</t>
        </is>
      </c>
      <c r="G1346" s="6" t="inlineStr">
        <is>
          <t>PY</t>
        </is>
      </c>
      <c r="H1346" s="6" t="inlineStr">
        <is>
          <t>EXTERNAL</t>
        </is>
      </c>
      <c r="I1346" s="8" t="n">
        <v>128339</v>
      </c>
      <c r="J1346" s="6" t="inlineStr">
        <is>
          <t>MWh</t>
        </is>
      </c>
      <c r="K1346" s="8" t="n">
        <v>128339</v>
      </c>
      <c r="L1346" s="6" t="inlineStr">
        <is>
          <t>MWh</t>
        </is>
      </c>
      <c r="M1346" s="6" t="inlineStr">
        <is>
          <t>ANDE</t>
        </is>
      </c>
      <c r="N1346" s="6" t="inlineStr">
        <is>
          <t>OFFICIAL_PRIMARY</t>
        </is>
      </c>
      <c r="O1346" s="9" t="inlineStr">
        <is>
          <t>OFFICIAL_AGGREGATE</t>
        </is>
      </c>
      <c r="P1346" s="8" t="n">
        <v>1</v>
      </c>
      <c r="Q1346" s="8" t="n">
        <v>85</v>
      </c>
      <c r="R1346" s="7" t="inlineStr">
        <is>
          <t>https://www.ande.gov.py/finanzas/2.%20COMPILACION%20ESTADISTICA%202003-2023/ANDE%20-%20Compilacion%20Estadistica%202003-2023.pdf</t>
        </is>
      </c>
      <c r="S1346" s="6" t="inlineStr">
        <is>
          <t>ANDE-03-23</t>
        </is>
      </c>
      <c r="T1346" s="6" t="inlineStr"/>
      <c r="U1346" s="4" t="inlineStr">
        <is>
          <t>2026-09-11 00:05:00</t>
        </is>
      </c>
      <c r="V1346" s="4" t="inlineStr">
        <is>
          <t>Balance electrico ANDE.</t>
        </is>
      </c>
    </row>
    <row r="1347">
      <c r="A1347" s="6" t="inlineStr">
        <is>
          <t>R0001346</t>
        </is>
      </c>
      <c r="B1347" s="6" t="inlineStr">
        <is>
          <t>2017-01-01</t>
        </is>
      </c>
      <c r="C1347" s="6" t="inlineStr">
        <is>
          <t>2017-12-31</t>
        </is>
      </c>
      <c r="D1347" s="6" t="inlineStr">
        <is>
          <t>year</t>
        </is>
      </c>
      <c r="E1347" s="6" t="inlineStr">
        <is>
          <t>PY_ANDE_EXPORT_ENERGY</t>
        </is>
      </c>
      <c r="F1347" s="6" t="inlineStr">
        <is>
          <t>PY_SIN</t>
        </is>
      </c>
      <c r="G1347" s="6" t="inlineStr">
        <is>
          <t>PY</t>
        </is>
      </c>
      <c r="H1347" s="6" t="inlineStr">
        <is>
          <t>EXTERNAL</t>
        </is>
      </c>
      <c r="I1347" s="8" t="n">
        <v>73186</v>
      </c>
      <c r="J1347" s="6" t="inlineStr">
        <is>
          <t>MWh</t>
        </is>
      </c>
      <c r="K1347" s="8" t="n">
        <v>73186</v>
      </c>
      <c r="L1347" s="6" t="inlineStr">
        <is>
          <t>MWh</t>
        </is>
      </c>
      <c r="M1347" s="6" t="inlineStr">
        <is>
          <t>ANDE</t>
        </is>
      </c>
      <c r="N1347" s="6" t="inlineStr">
        <is>
          <t>OFFICIAL_PRIMARY</t>
        </is>
      </c>
      <c r="O1347" s="9" t="inlineStr">
        <is>
          <t>OFFICIAL_AGGREGATE</t>
        </is>
      </c>
      <c r="P1347" s="8" t="n">
        <v>1</v>
      </c>
      <c r="Q1347" s="8" t="n">
        <v>85</v>
      </c>
      <c r="R1347" s="7" t="inlineStr">
        <is>
          <t>https://www.ande.gov.py/finanzas/2.%20COMPILACION%20ESTADISTICA%202003-2023/ANDE%20-%20Compilacion%20Estadistica%202003-2023.pdf</t>
        </is>
      </c>
      <c r="S1347" s="6" t="inlineStr">
        <is>
          <t>ANDE-03-23</t>
        </is>
      </c>
      <c r="T1347" s="6" t="inlineStr"/>
      <c r="U1347" s="4" t="inlineStr">
        <is>
          <t>2026-09-11 00:05:00</t>
        </is>
      </c>
      <c r="V1347" s="4" t="inlineStr">
        <is>
          <t>Balance electrico ANDE.</t>
        </is>
      </c>
    </row>
    <row r="1348">
      <c r="A1348" s="6" t="inlineStr">
        <is>
          <t>R0001347</t>
        </is>
      </c>
      <c r="B1348" s="6" t="inlineStr">
        <is>
          <t>2018-01-01</t>
        </is>
      </c>
      <c r="C1348" s="6" t="inlineStr">
        <is>
          <t>2018-12-31</t>
        </is>
      </c>
      <c r="D1348" s="6" t="inlineStr">
        <is>
          <t>year</t>
        </is>
      </c>
      <c r="E1348" s="6" t="inlineStr">
        <is>
          <t>PY_ANDE_EXPORT_ENERGY</t>
        </is>
      </c>
      <c r="F1348" s="6" t="inlineStr">
        <is>
          <t>PY_SIN</t>
        </is>
      </c>
      <c r="G1348" s="6" t="inlineStr">
        <is>
          <t>PY</t>
        </is>
      </c>
      <c r="H1348" s="6" t="inlineStr">
        <is>
          <t>EXTERNAL</t>
        </is>
      </c>
      <c r="I1348" s="8" t="n">
        <v>27066</v>
      </c>
      <c r="J1348" s="6" t="inlineStr">
        <is>
          <t>MWh</t>
        </is>
      </c>
      <c r="K1348" s="8" t="n">
        <v>27066</v>
      </c>
      <c r="L1348" s="6" t="inlineStr">
        <is>
          <t>MWh</t>
        </is>
      </c>
      <c r="M1348" s="6" t="inlineStr">
        <is>
          <t>ANDE</t>
        </is>
      </c>
      <c r="N1348" s="6" t="inlineStr">
        <is>
          <t>OFFICIAL_PRIMARY</t>
        </is>
      </c>
      <c r="O1348" s="9" t="inlineStr">
        <is>
          <t>OFFICIAL_AGGREGATE</t>
        </is>
      </c>
      <c r="P1348" s="8" t="n">
        <v>1</v>
      </c>
      <c r="Q1348" s="8" t="n">
        <v>85</v>
      </c>
      <c r="R1348" s="7" t="inlineStr">
        <is>
          <t>https://www.ande.gov.py/finanzas/2.%20COMPILACION%20ESTADISTICA%202003-2023/ANDE%20-%20Compilacion%20Estadistica%202003-2023.pdf</t>
        </is>
      </c>
      <c r="S1348" s="6" t="inlineStr">
        <is>
          <t>ANDE-03-23</t>
        </is>
      </c>
      <c r="T1348" s="6" t="inlineStr"/>
      <c r="U1348" s="4" t="inlineStr">
        <is>
          <t>2026-09-11 00:05:00</t>
        </is>
      </c>
      <c r="V1348" s="4" t="inlineStr">
        <is>
          <t>Balance electrico ANDE.</t>
        </is>
      </c>
    </row>
    <row r="1349">
      <c r="A1349" s="6" t="inlineStr">
        <is>
          <t>R0001348</t>
        </is>
      </c>
      <c r="B1349" s="6" t="inlineStr">
        <is>
          <t>2019-01-01</t>
        </is>
      </c>
      <c r="C1349" s="6" t="inlineStr">
        <is>
          <t>2019-12-31</t>
        </is>
      </c>
      <c r="D1349" s="6" t="inlineStr">
        <is>
          <t>year</t>
        </is>
      </c>
      <c r="E1349" s="6" t="inlineStr">
        <is>
          <t>PY_ANDE_EXPORT_ENERGY</t>
        </is>
      </c>
      <c r="F1349" s="6" t="inlineStr">
        <is>
          <t>PY_SIN</t>
        </is>
      </c>
      <c r="G1349" s="6" t="inlineStr">
        <is>
          <t>PY</t>
        </is>
      </c>
      <c r="H1349" s="6" t="inlineStr">
        <is>
          <t>EXTERNAL</t>
        </is>
      </c>
      <c r="I1349" s="8" t="n">
        <v>130325</v>
      </c>
      <c r="J1349" s="6" t="inlineStr">
        <is>
          <t>MWh</t>
        </is>
      </c>
      <c r="K1349" s="8" t="n">
        <v>130325</v>
      </c>
      <c r="L1349" s="6" t="inlineStr">
        <is>
          <t>MWh</t>
        </is>
      </c>
      <c r="M1349" s="6" t="inlineStr">
        <is>
          <t>ANDE</t>
        </is>
      </c>
      <c r="N1349" s="6" t="inlineStr">
        <is>
          <t>OFFICIAL_PRIMARY</t>
        </is>
      </c>
      <c r="O1349" s="9" t="inlineStr">
        <is>
          <t>OFFICIAL_AGGREGATE</t>
        </is>
      </c>
      <c r="P1349" s="8" t="n">
        <v>1</v>
      </c>
      <c r="Q1349" s="8" t="n">
        <v>85</v>
      </c>
      <c r="R1349" s="7" t="inlineStr">
        <is>
          <t>https://www.ande.gov.py/finanzas/2.%20COMPILACION%20ESTADISTICA%202003-2023/ANDE%20-%20Compilacion%20Estadistica%202003-2023.pdf</t>
        </is>
      </c>
      <c r="S1349" s="6" t="inlineStr">
        <is>
          <t>ANDE-03-23</t>
        </is>
      </c>
      <c r="T1349" s="6" t="inlineStr"/>
      <c r="U1349" s="4" t="inlineStr">
        <is>
          <t>2026-09-11 00:05:00</t>
        </is>
      </c>
      <c r="V1349" s="4" t="inlineStr">
        <is>
          <t>Balance electrico ANDE.</t>
        </is>
      </c>
    </row>
    <row r="1350">
      <c r="A1350" s="6" t="inlineStr">
        <is>
          <t>R0001349</t>
        </is>
      </c>
      <c r="B1350" s="6" t="inlineStr">
        <is>
          <t>2020-01-01</t>
        </is>
      </c>
      <c r="C1350" s="6" t="inlineStr">
        <is>
          <t>2020-12-31</t>
        </is>
      </c>
      <c r="D1350" s="6" t="inlineStr">
        <is>
          <t>year</t>
        </is>
      </c>
      <c r="E1350" s="6" t="inlineStr">
        <is>
          <t>PY_ANDE_EXPORT_ENERGY</t>
        </is>
      </c>
      <c r="F1350" s="6" t="inlineStr">
        <is>
          <t>PY_SIN</t>
        </is>
      </c>
      <c r="G1350" s="6" t="inlineStr">
        <is>
          <t>PY</t>
        </is>
      </c>
      <c r="H1350" s="6" t="inlineStr">
        <is>
          <t>EXTERNAL</t>
        </is>
      </c>
      <c r="I1350" s="8" t="n">
        <v>149152</v>
      </c>
      <c r="J1350" s="6" t="inlineStr">
        <is>
          <t>MWh</t>
        </is>
      </c>
      <c r="K1350" s="8" t="n">
        <v>149152</v>
      </c>
      <c r="L1350" s="6" t="inlineStr">
        <is>
          <t>MWh</t>
        </is>
      </c>
      <c r="M1350" s="6" t="inlineStr">
        <is>
          <t>ANDE</t>
        </is>
      </c>
      <c r="N1350" s="6" t="inlineStr">
        <is>
          <t>OFFICIAL_PRIMARY</t>
        </is>
      </c>
      <c r="O1350" s="9" t="inlineStr">
        <is>
          <t>OFFICIAL_AGGREGATE</t>
        </is>
      </c>
      <c r="P1350" s="8" t="n">
        <v>1</v>
      </c>
      <c r="Q1350" s="8" t="n">
        <v>85</v>
      </c>
      <c r="R1350" s="7" t="inlineStr">
        <is>
          <t>https://www.ande.gov.py/finanzas/2.%20COMPILACION%20ESTADISTICA%202003-2023/ANDE%20-%20Compilacion%20Estadistica%202003-2023.pdf</t>
        </is>
      </c>
      <c r="S1350" s="6" t="inlineStr">
        <is>
          <t>ANDE-03-23</t>
        </is>
      </c>
      <c r="T1350" s="6" t="inlineStr"/>
      <c r="U1350" s="4" t="inlineStr">
        <is>
          <t>2026-09-11 00:05:00</t>
        </is>
      </c>
      <c r="V1350" s="4" t="inlineStr">
        <is>
          <t>Balance electrico ANDE.</t>
        </is>
      </c>
    </row>
    <row r="1351">
      <c r="A1351" s="6" t="inlineStr">
        <is>
          <t>R0001350</t>
        </is>
      </c>
      <c r="B1351" s="6" t="inlineStr">
        <is>
          <t>2021-01-01</t>
        </is>
      </c>
      <c r="C1351" s="6" t="inlineStr">
        <is>
          <t>2021-12-31</t>
        </is>
      </c>
      <c r="D1351" s="6" t="inlineStr">
        <is>
          <t>year</t>
        </is>
      </c>
      <c r="E1351" s="6" t="inlineStr">
        <is>
          <t>PY_ANDE_EXPORT_ENERGY</t>
        </is>
      </c>
      <c r="F1351" s="6" t="inlineStr">
        <is>
          <t>PY_SIN</t>
        </is>
      </c>
      <c r="G1351" s="6" t="inlineStr">
        <is>
          <t>PY</t>
        </is>
      </c>
      <c r="H1351" s="6" t="inlineStr">
        <is>
          <t>EXTERNAL</t>
        </is>
      </c>
      <c r="I1351" s="8" t="n">
        <v>151955</v>
      </c>
      <c r="J1351" s="6" t="inlineStr">
        <is>
          <t>MWh</t>
        </is>
      </c>
      <c r="K1351" s="8" t="n">
        <v>151955</v>
      </c>
      <c r="L1351" s="6" t="inlineStr">
        <is>
          <t>MWh</t>
        </is>
      </c>
      <c r="M1351" s="6" t="inlineStr">
        <is>
          <t>ANDE</t>
        </is>
      </c>
      <c r="N1351" s="6" t="inlineStr">
        <is>
          <t>OFFICIAL_PRIMARY</t>
        </is>
      </c>
      <c r="O1351" s="9" t="inlineStr">
        <is>
          <t>OFFICIAL_AGGREGATE</t>
        </is>
      </c>
      <c r="P1351" s="8" t="n">
        <v>1</v>
      </c>
      <c r="Q1351" s="8" t="n">
        <v>85</v>
      </c>
      <c r="R1351" s="7" t="inlineStr">
        <is>
          <t>https://www.ande.gov.py/finanzas/2.%20COMPILACION%20ESTADISTICA%202003-2023/ANDE%20-%20Compilacion%20Estadistica%202003-2023.pdf</t>
        </is>
      </c>
      <c r="S1351" s="6" t="inlineStr">
        <is>
          <t>ANDE-03-23</t>
        </is>
      </c>
      <c r="T1351" s="6" t="inlineStr"/>
      <c r="U1351" s="4" t="inlineStr">
        <is>
          <t>2026-09-11 00:05:00</t>
        </is>
      </c>
      <c r="V1351" s="4" t="inlineStr">
        <is>
          <t>Balance electrico ANDE.</t>
        </is>
      </c>
    </row>
    <row r="1352">
      <c r="A1352" s="6" t="inlineStr">
        <is>
          <t>R0001351</t>
        </is>
      </c>
      <c r="B1352" s="6" t="inlineStr">
        <is>
          <t>2022-01-01</t>
        </is>
      </c>
      <c r="C1352" s="6" t="inlineStr">
        <is>
          <t>2022-12-31</t>
        </is>
      </c>
      <c r="D1352" s="6" t="inlineStr">
        <is>
          <t>year</t>
        </is>
      </c>
      <c r="E1352" s="6" t="inlineStr">
        <is>
          <t>PY_ANDE_EXPORT_ENERGY</t>
        </is>
      </c>
      <c r="F1352" s="6" t="inlineStr">
        <is>
          <t>PY_SIN</t>
        </is>
      </c>
      <c r="G1352" s="6" t="inlineStr">
        <is>
          <t>PY</t>
        </is>
      </c>
      <c r="H1352" s="6" t="inlineStr">
        <is>
          <t>EXTERNAL</t>
        </is>
      </c>
      <c r="I1352" s="8" t="n">
        <v>109625</v>
      </c>
      <c r="J1352" s="6" t="inlineStr">
        <is>
          <t>MWh</t>
        </is>
      </c>
      <c r="K1352" s="8" t="n">
        <v>109625</v>
      </c>
      <c r="L1352" s="6" t="inlineStr">
        <is>
          <t>MWh</t>
        </is>
      </c>
      <c r="M1352" s="6" t="inlineStr">
        <is>
          <t>ANDE</t>
        </is>
      </c>
      <c r="N1352" s="6" t="inlineStr">
        <is>
          <t>OFFICIAL_PRIMARY</t>
        </is>
      </c>
      <c r="O1352" s="9" t="inlineStr">
        <is>
          <t>OFFICIAL_AGGREGATE</t>
        </is>
      </c>
      <c r="P1352" s="8" t="n">
        <v>1</v>
      </c>
      <c r="Q1352" s="8" t="n">
        <v>85</v>
      </c>
      <c r="R1352" s="7" t="inlineStr">
        <is>
          <t>https://www.ande.gov.py/finanzas/2.%20COMPILACION%20ESTADISTICA%202003-2023/ANDE%20-%20Compilacion%20Estadistica%202003-2023.pdf</t>
        </is>
      </c>
      <c r="S1352" s="6" t="inlineStr">
        <is>
          <t>ANDE-03-23</t>
        </is>
      </c>
      <c r="T1352" s="6" t="inlineStr"/>
      <c r="U1352" s="4" t="inlineStr">
        <is>
          <t>2026-09-11 00:05:00</t>
        </is>
      </c>
      <c r="V1352" s="4" t="inlineStr">
        <is>
          <t>Balance electrico ANDE.</t>
        </is>
      </c>
    </row>
    <row r="1353">
      <c r="A1353" s="6" t="inlineStr">
        <is>
          <t>R0001352</t>
        </is>
      </c>
      <c r="B1353" s="6" t="inlineStr">
        <is>
          <t>2023-01-01</t>
        </is>
      </c>
      <c r="C1353" s="6" t="inlineStr">
        <is>
          <t>2023-12-31</t>
        </is>
      </c>
      <c r="D1353" s="6" t="inlineStr">
        <is>
          <t>year</t>
        </is>
      </c>
      <c r="E1353" s="6" t="inlineStr">
        <is>
          <t>PY_ANDE_EXPORT_ENERGY</t>
        </is>
      </c>
      <c r="F1353" s="6" t="inlineStr">
        <is>
          <t>PY_SIN</t>
        </is>
      </c>
      <c r="G1353" s="6" t="inlineStr">
        <is>
          <t>PY</t>
        </is>
      </c>
      <c r="H1353" s="6" t="inlineStr">
        <is>
          <t>EXTERNAL</t>
        </is>
      </c>
      <c r="I1353" s="8" t="n">
        <v>116176</v>
      </c>
      <c r="J1353" s="6" t="inlineStr">
        <is>
          <t>MWh</t>
        </is>
      </c>
      <c r="K1353" s="8" t="n">
        <v>116176</v>
      </c>
      <c r="L1353" s="6" t="inlineStr">
        <is>
          <t>MWh</t>
        </is>
      </c>
      <c r="M1353" s="6" t="inlineStr">
        <is>
          <t>ANDE</t>
        </is>
      </c>
      <c r="N1353" s="6" t="inlineStr">
        <is>
          <t>OFFICIAL_PRIMARY</t>
        </is>
      </c>
      <c r="O1353" s="9" t="inlineStr">
        <is>
          <t>OFFICIAL_AGGREGATE</t>
        </is>
      </c>
      <c r="P1353" s="8" t="n">
        <v>1</v>
      </c>
      <c r="Q1353" s="8" t="n">
        <v>85</v>
      </c>
      <c r="R1353" s="7" t="inlineStr">
        <is>
          <t>https://www.ande.gov.py/finanzas/2.%20COMPILACION%20ESTADISTICA%202003-2023/ANDE%20-%20Compilacion%20Estadistica%202003-2023.pdf</t>
        </is>
      </c>
      <c r="S1353" s="6" t="inlineStr">
        <is>
          <t>ANDE-03-23</t>
        </is>
      </c>
      <c r="T1353" s="6" t="inlineStr"/>
      <c r="U1353" s="4" t="inlineStr">
        <is>
          <t>2026-09-11 00:05:00</t>
        </is>
      </c>
      <c r="V1353" s="4" t="inlineStr">
        <is>
          <t>Balance electrico ANDE.</t>
        </is>
      </c>
    </row>
    <row r="1354">
      <c r="A1354" s="6" t="inlineStr">
        <is>
          <t>R0001353</t>
        </is>
      </c>
      <c r="B1354" s="6" t="inlineStr">
        <is>
          <t>2024-01-01</t>
        </is>
      </c>
      <c r="C1354" s="6" t="inlineStr">
        <is>
          <t>2024-12-31</t>
        </is>
      </c>
      <c r="D1354" s="6" t="inlineStr">
        <is>
          <t>year</t>
        </is>
      </c>
      <c r="E1354" s="6" t="inlineStr">
        <is>
          <t>PY_ANDE_EXPORT_ENERGY</t>
        </is>
      </c>
      <c r="F1354" s="6" t="inlineStr">
        <is>
          <t>PY_SIN</t>
        </is>
      </c>
      <c r="G1354" s="6" t="inlineStr">
        <is>
          <t>PY</t>
        </is>
      </c>
      <c r="H1354" s="6" t="inlineStr">
        <is>
          <t>ENARSA</t>
        </is>
      </c>
      <c r="I1354" s="8" t="n">
        <v>103665</v>
      </c>
      <c r="J1354" s="6" t="inlineStr">
        <is>
          <t>MWh</t>
        </is>
      </c>
      <c r="K1354" s="8" t="n">
        <v>103665</v>
      </c>
      <c r="L1354" s="6" t="inlineStr">
        <is>
          <t>MWh</t>
        </is>
      </c>
      <c r="M1354" s="6" t="inlineStr">
        <is>
          <t>ANDE</t>
        </is>
      </c>
      <c r="N1354" s="6" t="inlineStr">
        <is>
          <t>OFFICIAL_PRIMARY</t>
        </is>
      </c>
      <c r="O1354" s="9" t="inlineStr">
        <is>
          <t>OFFICIAL_AGGREGATE</t>
        </is>
      </c>
      <c r="P1354" s="8" t="n">
        <v>1</v>
      </c>
      <c r="Q1354" s="8" t="n">
        <v>90</v>
      </c>
      <c r="R1354" s="7" t="inlineStr">
        <is>
          <t>https://www.ande.gov.py/finanzas/ANDE%20-%20Resumen%20Estad%C3%ADstico%202020%20-%202024.pdf</t>
        </is>
      </c>
      <c r="S1354" s="6" t="inlineStr">
        <is>
          <t>ANDE-20-24</t>
        </is>
      </c>
      <c r="T1354" s="6" t="inlineStr"/>
      <c r="U1354" s="4" t="inlineStr">
        <is>
          <t>2026-09-11 00:05:00</t>
        </is>
      </c>
      <c r="V1354" s="4" t="inlineStr">
        <is>
          <t>Exportacion ANDE/ENARSA.</t>
        </is>
      </c>
    </row>
    <row r="1355">
      <c r="A1355" s="6" t="inlineStr">
        <is>
          <t>R0001354</t>
        </is>
      </c>
      <c r="B1355" s="6" t="inlineStr">
        <is>
          <t>2025-01-01</t>
        </is>
      </c>
      <c r="C1355" s="6" t="inlineStr">
        <is>
          <t>2025-12-31</t>
        </is>
      </c>
      <c r="D1355" s="6" t="inlineStr">
        <is>
          <t>year</t>
        </is>
      </c>
      <c r="E1355" s="6" t="inlineStr">
        <is>
          <t>PY_ANDE_EXPORT_ENERGY</t>
        </is>
      </c>
      <c r="F1355" s="6" t="inlineStr">
        <is>
          <t>PY_SIN</t>
        </is>
      </c>
      <c r="G1355" s="6" t="inlineStr">
        <is>
          <t>PY</t>
        </is>
      </c>
      <c r="H1355" s="6" t="inlineStr">
        <is>
          <t>ENARSA</t>
        </is>
      </c>
      <c r="I1355" s="8" t="n">
        <v>113360.874</v>
      </c>
      <c r="J1355" s="6" t="inlineStr">
        <is>
          <t>MWh</t>
        </is>
      </c>
      <c r="K1355" s="8" t="n">
        <v>113360.874</v>
      </c>
      <c r="L1355" s="6" t="inlineStr">
        <is>
          <t>MWh</t>
        </is>
      </c>
      <c r="M1355" s="6" t="inlineStr">
        <is>
          <t>ANDE</t>
        </is>
      </c>
      <c r="N1355" s="6" t="inlineStr">
        <is>
          <t>OFFICIAL_PRIMARY</t>
        </is>
      </c>
      <c r="O1355" s="9" t="inlineStr">
        <is>
          <t>OFFICIAL_AGGREGATE</t>
        </is>
      </c>
      <c r="P1355" s="8" t="n">
        <v>1</v>
      </c>
      <c r="Q1355" s="8" t="n">
        <v>95</v>
      </c>
      <c r="R1355" s="7" t="inlineStr">
        <is>
          <t>https://www.ande.gov.py/finanzas/BAGP%202025%20ANDE.pdf</t>
        </is>
      </c>
      <c r="S1355" s="6" t="inlineStr">
        <is>
          <t>ANDE-BAGP-2025</t>
        </is>
      </c>
      <c r="T1355" s="6" t="inlineStr"/>
      <c r="U1355" s="4" t="inlineStr">
        <is>
          <t>2026-09-11 00:05:00</t>
        </is>
      </c>
      <c r="V1355" s="4" t="inlineStr">
        <is>
          <t>Un usuario categoria exportacion: ENARSA.</t>
        </is>
      </c>
    </row>
    <row r="1356">
      <c r="A1356" s="6" t="inlineStr">
        <is>
          <t>R0001355</t>
        </is>
      </c>
      <c r="B1356" s="6" t="inlineStr">
        <is>
          <t>1983-01-01</t>
        </is>
      </c>
      <c r="C1356" s="6" t="inlineStr">
        <is>
          <t>1983-12-31</t>
        </is>
      </c>
      <c r="D1356" s="6" t="inlineStr">
        <is>
          <t>year</t>
        </is>
      </c>
      <c r="E1356" s="6" t="inlineStr">
        <is>
          <t>ANDE_EXPORT_BY_COUNTERPARTY</t>
        </is>
      </c>
      <c r="F1356" s="6" t="inlineStr">
        <is>
          <t>PY_SIN</t>
        </is>
      </c>
      <c r="G1356" s="6" t="inlineStr">
        <is>
          <t>PY</t>
        </is>
      </c>
      <c r="H1356" s="6" t="inlineStr">
        <is>
          <t>ITAIPU</t>
        </is>
      </c>
      <c r="I1356" s="8" t="n">
        <v>19713.197</v>
      </c>
      <c r="J1356" s="6" t="inlineStr">
        <is>
          <t>MWh</t>
        </is>
      </c>
      <c r="K1356" s="8" t="n">
        <v>19713.197</v>
      </c>
      <c r="L1356" s="6" t="inlineStr">
        <is>
          <t>MWh</t>
        </is>
      </c>
      <c r="M1356" s="6" t="inlineStr">
        <is>
          <t>ANDE</t>
        </is>
      </c>
      <c r="N1356" s="6" t="inlineStr">
        <is>
          <t>OFFICIAL_PRIMARY</t>
        </is>
      </c>
      <c r="O1356" s="9" t="inlineStr">
        <is>
          <t>OFFICIAL_AGGREGATE</t>
        </is>
      </c>
      <c r="P1356" s="8" t="n">
        <v>1</v>
      </c>
      <c r="Q1356" s="8" t="n">
        <v>45</v>
      </c>
      <c r="R1356" s="7" t="inlineStr">
        <is>
          <t>https://www.ande.gov.py/estadisticas/BalanceEnergia1983-2006/CompilacionEstadistica83-06.pdf</t>
        </is>
      </c>
      <c r="S1356" s="6" t="inlineStr">
        <is>
          <t>ANDE-83-06</t>
        </is>
      </c>
      <c r="T1356" s="6" t="inlineStr"/>
      <c r="U1356" s="4" t="inlineStr">
        <is>
          <t>2026-09-11 00:05:00</t>
        </is>
      </c>
      <c r="V1356" s="4" t="inlineStr">
        <is>
          <t>Exportacion historica clasificada como Itaipu segun tabla original.</t>
        </is>
      </c>
    </row>
    <row r="1357">
      <c r="A1357" s="6" t="inlineStr">
        <is>
          <t>R0001356</t>
        </is>
      </c>
      <c r="B1357" s="6" t="inlineStr">
        <is>
          <t>1984-01-01</t>
        </is>
      </c>
      <c r="C1357" s="6" t="inlineStr">
        <is>
          <t>1984-12-31</t>
        </is>
      </c>
      <c r="D1357" s="6" t="inlineStr">
        <is>
          <t>year</t>
        </is>
      </c>
      <c r="E1357" s="6" t="inlineStr">
        <is>
          <t>ANDE_EXPORT_BY_COUNTERPARTY</t>
        </is>
      </c>
      <c r="F1357" s="6" t="inlineStr">
        <is>
          <t>PY_SIN</t>
        </is>
      </c>
      <c r="G1357" s="6" t="inlineStr">
        <is>
          <t>PY</t>
        </is>
      </c>
      <c r="H1357" s="6" t="inlineStr">
        <is>
          <t>ITAIPU</t>
        </is>
      </c>
      <c r="I1357" s="8" t="n">
        <v>25907.621</v>
      </c>
      <c r="J1357" s="6" t="inlineStr">
        <is>
          <t>MWh</t>
        </is>
      </c>
      <c r="K1357" s="8" t="n">
        <v>25907.621</v>
      </c>
      <c r="L1357" s="6" t="inlineStr">
        <is>
          <t>MWh</t>
        </is>
      </c>
      <c r="M1357" s="6" t="inlineStr">
        <is>
          <t>ANDE</t>
        </is>
      </c>
      <c r="N1357" s="6" t="inlineStr">
        <is>
          <t>OFFICIAL_PRIMARY</t>
        </is>
      </c>
      <c r="O1357" s="9" t="inlineStr">
        <is>
          <t>OFFICIAL_AGGREGATE</t>
        </is>
      </c>
      <c r="P1357" s="8" t="n">
        <v>1</v>
      </c>
      <c r="Q1357" s="8" t="n">
        <v>45</v>
      </c>
      <c r="R1357" s="7" t="inlineStr">
        <is>
          <t>https://www.ande.gov.py/estadisticas/BalanceEnergia1983-2006/CompilacionEstadistica83-06.pdf</t>
        </is>
      </c>
      <c r="S1357" s="6" t="inlineStr">
        <is>
          <t>ANDE-83-06</t>
        </is>
      </c>
      <c r="T1357" s="6" t="inlineStr"/>
      <c r="U1357" s="4" t="inlineStr">
        <is>
          <t>2026-09-11 00:05:00</t>
        </is>
      </c>
      <c r="V1357" s="4" t="inlineStr">
        <is>
          <t>Exportacion historica clasificada como Itaipu segun tabla original.</t>
        </is>
      </c>
    </row>
    <row r="1358">
      <c r="A1358" s="6" t="inlineStr">
        <is>
          <t>R0001357</t>
        </is>
      </c>
      <c r="B1358" s="6" t="inlineStr">
        <is>
          <t>1985-01-01</t>
        </is>
      </c>
      <c r="C1358" s="6" t="inlineStr">
        <is>
          <t>1985-12-31</t>
        </is>
      </c>
      <c r="D1358" s="6" t="inlineStr">
        <is>
          <t>year</t>
        </is>
      </c>
      <c r="E1358" s="6" t="inlineStr">
        <is>
          <t>ANDE_EXPORT_BY_COUNTERPARTY</t>
        </is>
      </c>
      <c r="F1358" s="6" t="inlineStr">
        <is>
          <t>PY_SIN</t>
        </is>
      </c>
      <c r="G1358" s="6" t="inlineStr">
        <is>
          <t>PY</t>
        </is>
      </c>
      <c r="H1358" s="6" t="inlineStr">
        <is>
          <t>ITAIPU</t>
        </is>
      </c>
      <c r="I1358" s="8" t="n">
        <v>32063.493</v>
      </c>
      <c r="J1358" s="6" t="inlineStr">
        <is>
          <t>MWh</t>
        </is>
      </c>
      <c r="K1358" s="8" t="n">
        <v>32063.493</v>
      </c>
      <c r="L1358" s="6" t="inlineStr">
        <is>
          <t>MWh</t>
        </is>
      </c>
      <c r="M1358" s="6" t="inlineStr">
        <is>
          <t>ANDE</t>
        </is>
      </c>
      <c r="N1358" s="6" t="inlineStr">
        <is>
          <t>OFFICIAL_PRIMARY</t>
        </is>
      </c>
      <c r="O1358" s="9" t="inlineStr">
        <is>
          <t>OFFICIAL_AGGREGATE</t>
        </is>
      </c>
      <c r="P1358" s="8" t="n">
        <v>1</v>
      </c>
      <c r="Q1358" s="8" t="n">
        <v>45</v>
      </c>
      <c r="R1358" s="7" t="inlineStr">
        <is>
          <t>https://www.ande.gov.py/estadisticas/BalanceEnergia1983-2006/CompilacionEstadistica83-06.pdf</t>
        </is>
      </c>
      <c r="S1358" s="6" t="inlineStr">
        <is>
          <t>ANDE-83-06</t>
        </is>
      </c>
      <c r="T1358" s="6" t="inlineStr"/>
      <c r="U1358" s="4" t="inlineStr">
        <is>
          <t>2026-09-11 00:05:00</t>
        </is>
      </c>
      <c r="V1358" s="4" t="inlineStr">
        <is>
          <t>Exportacion historica clasificada como Itaipu segun tabla original.</t>
        </is>
      </c>
    </row>
    <row r="1359">
      <c r="A1359" s="6" t="inlineStr">
        <is>
          <t>R0001358</t>
        </is>
      </c>
      <c r="B1359" s="6" t="inlineStr">
        <is>
          <t>1986-01-01</t>
        </is>
      </c>
      <c r="C1359" s="6" t="inlineStr">
        <is>
          <t>1986-12-31</t>
        </is>
      </c>
      <c r="D1359" s="6" t="inlineStr">
        <is>
          <t>year</t>
        </is>
      </c>
      <c r="E1359" s="6" t="inlineStr">
        <is>
          <t>ANDE_EXPORT_BY_COUNTERPARTY</t>
        </is>
      </c>
      <c r="F1359" s="6" t="inlineStr">
        <is>
          <t>PY_SIN</t>
        </is>
      </c>
      <c r="G1359" s="6" t="inlineStr">
        <is>
          <t>PY</t>
        </is>
      </c>
      <c r="H1359" s="6" t="inlineStr">
        <is>
          <t>ITAIPU</t>
        </is>
      </c>
      <c r="I1359" s="8" t="n">
        <v>24549.14</v>
      </c>
      <c r="J1359" s="6" t="inlineStr">
        <is>
          <t>MWh</t>
        </is>
      </c>
      <c r="K1359" s="8" t="n">
        <v>24549.14</v>
      </c>
      <c r="L1359" s="6" t="inlineStr">
        <is>
          <t>MWh</t>
        </is>
      </c>
      <c r="M1359" s="6" t="inlineStr">
        <is>
          <t>ANDE</t>
        </is>
      </c>
      <c r="N1359" s="6" t="inlineStr">
        <is>
          <t>OFFICIAL_PRIMARY</t>
        </is>
      </c>
      <c r="O1359" s="9" t="inlineStr">
        <is>
          <t>OFFICIAL_AGGREGATE</t>
        </is>
      </c>
      <c r="P1359" s="8" t="n">
        <v>1</v>
      </c>
      <c r="Q1359" s="8" t="n">
        <v>45</v>
      </c>
      <c r="R1359" s="7" t="inlineStr">
        <is>
          <t>https://www.ande.gov.py/estadisticas/BalanceEnergia1983-2006/CompilacionEstadistica83-06.pdf</t>
        </is>
      </c>
      <c r="S1359" s="6" t="inlineStr">
        <is>
          <t>ANDE-83-06</t>
        </is>
      </c>
      <c r="T1359" s="6" t="inlineStr"/>
      <c r="U1359" s="4" t="inlineStr">
        <is>
          <t>2026-09-11 00:05:00</t>
        </is>
      </c>
      <c r="V1359" s="4" t="inlineStr">
        <is>
          <t>Exportacion historica clasificada como Itaipu segun tabla original.</t>
        </is>
      </c>
    </row>
    <row r="1360">
      <c r="A1360" s="6" t="inlineStr">
        <is>
          <t>R0001359</t>
        </is>
      </c>
      <c r="B1360" s="6" t="inlineStr">
        <is>
          <t>1987-01-01</t>
        </is>
      </c>
      <c r="C1360" s="6" t="inlineStr">
        <is>
          <t>1987-12-31</t>
        </is>
      </c>
      <c r="D1360" s="6" t="inlineStr">
        <is>
          <t>year</t>
        </is>
      </c>
      <c r="E1360" s="6" t="inlineStr">
        <is>
          <t>ANDE_EXPORT_BY_COUNTERPARTY</t>
        </is>
      </c>
      <c r="F1360" s="6" t="inlineStr">
        <is>
          <t>PY_SIN</t>
        </is>
      </c>
      <c r="G1360" s="6" t="inlineStr">
        <is>
          <t>PY</t>
        </is>
      </c>
      <c r="H1360" s="6" t="inlineStr">
        <is>
          <t>ITAIPU</t>
        </is>
      </c>
      <c r="I1360" s="8" t="n">
        <v>115529.402</v>
      </c>
      <c r="J1360" s="6" t="inlineStr">
        <is>
          <t>MWh</t>
        </is>
      </c>
      <c r="K1360" s="8" t="n">
        <v>115529.402</v>
      </c>
      <c r="L1360" s="6" t="inlineStr">
        <is>
          <t>MWh</t>
        </is>
      </c>
      <c r="M1360" s="6" t="inlineStr">
        <is>
          <t>ANDE</t>
        </is>
      </c>
      <c r="N1360" s="6" t="inlineStr">
        <is>
          <t>OFFICIAL_PRIMARY</t>
        </is>
      </c>
      <c r="O1360" s="9" t="inlineStr">
        <is>
          <t>OFFICIAL_AGGREGATE</t>
        </is>
      </c>
      <c r="P1360" s="8" t="n">
        <v>1</v>
      </c>
      <c r="Q1360" s="8" t="n">
        <v>45</v>
      </c>
      <c r="R1360" s="7" t="inlineStr">
        <is>
          <t>https://www.ande.gov.py/estadisticas/BalanceEnergia1983-2006/CompilacionEstadistica83-06.pdf</t>
        </is>
      </c>
      <c r="S1360" s="6" t="inlineStr">
        <is>
          <t>ANDE-83-06</t>
        </is>
      </c>
      <c r="T1360" s="6" t="inlineStr"/>
      <c r="U1360" s="4" t="inlineStr">
        <is>
          <t>2026-09-11 00:05:00</t>
        </is>
      </c>
      <c r="V1360" s="4" t="inlineStr">
        <is>
          <t>Exportacion historica clasificada como Itaipu segun tabla original.</t>
        </is>
      </c>
    </row>
    <row r="1361">
      <c r="A1361" s="6" t="inlineStr">
        <is>
          <t>R0001360</t>
        </is>
      </c>
      <c r="B1361" s="6" t="inlineStr">
        <is>
          <t>1988-01-01</t>
        </is>
      </c>
      <c r="C1361" s="6" t="inlineStr">
        <is>
          <t>1988-12-31</t>
        </is>
      </c>
      <c r="D1361" s="6" t="inlineStr">
        <is>
          <t>year</t>
        </is>
      </c>
      <c r="E1361" s="6" t="inlineStr">
        <is>
          <t>ANDE_EXPORT_BY_COUNTERPARTY</t>
        </is>
      </c>
      <c r="F1361" s="6" t="inlineStr">
        <is>
          <t>PY_SIN</t>
        </is>
      </c>
      <c r="G1361" s="6" t="inlineStr">
        <is>
          <t>PY</t>
        </is>
      </c>
      <c r="H1361" s="6" t="inlineStr">
        <is>
          <t>ITAIPU</t>
        </is>
      </c>
      <c r="I1361" s="8" t="n">
        <v>19251.592</v>
      </c>
      <c r="J1361" s="6" t="inlineStr">
        <is>
          <t>MWh</t>
        </is>
      </c>
      <c r="K1361" s="8" t="n">
        <v>19251.592</v>
      </c>
      <c r="L1361" s="6" t="inlineStr">
        <is>
          <t>MWh</t>
        </is>
      </c>
      <c r="M1361" s="6" t="inlineStr">
        <is>
          <t>ANDE</t>
        </is>
      </c>
      <c r="N1361" s="6" t="inlineStr">
        <is>
          <t>OFFICIAL_PRIMARY</t>
        </is>
      </c>
      <c r="O1361" s="9" t="inlineStr">
        <is>
          <t>OFFICIAL_AGGREGATE</t>
        </is>
      </c>
      <c r="P1361" s="8" t="n">
        <v>1</v>
      </c>
      <c r="Q1361" s="8" t="n">
        <v>45</v>
      </c>
      <c r="R1361" s="7" t="inlineStr">
        <is>
          <t>https://www.ande.gov.py/estadisticas/BalanceEnergia1983-2006/CompilacionEstadistica83-06.pdf</t>
        </is>
      </c>
      <c r="S1361" s="6" t="inlineStr">
        <is>
          <t>ANDE-83-06</t>
        </is>
      </c>
      <c r="T1361" s="6" t="inlineStr"/>
      <c r="U1361" s="4" t="inlineStr">
        <is>
          <t>2026-09-11 00:05:00</t>
        </is>
      </c>
      <c r="V1361" s="4" t="inlineStr">
        <is>
          <t>Exportacion historica clasificada como Itaipu segun tabla original.</t>
        </is>
      </c>
    </row>
    <row r="1362">
      <c r="A1362" s="6" t="inlineStr">
        <is>
          <t>R0001361</t>
        </is>
      </c>
      <c r="B1362" s="6" t="inlineStr">
        <is>
          <t>1989-01-01</t>
        </is>
      </c>
      <c r="C1362" s="6" t="inlineStr">
        <is>
          <t>1989-12-31</t>
        </is>
      </c>
      <c r="D1362" s="6" t="inlineStr">
        <is>
          <t>year</t>
        </is>
      </c>
      <c r="E1362" s="6" t="inlineStr">
        <is>
          <t>ANDE_EXPORT_BY_COUNTERPARTY</t>
        </is>
      </c>
      <c r="F1362" s="6" t="inlineStr">
        <is>
          <t>PY_SIN</t>
        </is>
      </c>
      <c r="G1362" s="6" t="inlineStr">
        <is>
          <t>PY</t>
        </is>
      </c>
      <c r="H1362" s="6" t="inlineStr">
        <is>
          <t>ITAIPU</t>
        </is>
      </c>
      <c r="I1362" s="8" t="n">
        <v>14306.539</v>
      </c>
      <c r="J1362" s="6" t="inlineStr">
        <is>
          <t>MWh</t>
        </is>
      </c>
      <c r="K1362" s="8" t="n">
        <v>14306.539</v>
      </c>
      <c r="L1362" s="6" t="inlineStr">
        <is>
          <t>MWh</t>
        </is>
      </c>
      <c r="M1362" s="6" t="inlineStr">
        <is>
          <t>ANDE</t>
        </is>
      </c>
      <c r="N1362" s="6" t="inlineStr">
        <is>
          <t>OFFICIAL_PRIMARY</t>
        </is>
      </c>
      <c r="O1362" s="9" t="inlineStr">
        <is>
          <t>OFFICIAL_AGGREGATE</t>
        </is>
      </c>
      <c r="P1362" s="8" t="n">
        <v>1</v>
      </c>
      <c r="Q1362" s="8" t="n">
        <v>45</v>
      </c>
      <c r="R1362" s="7" t="inlineStr">
        <is>
          <t>https://www.ande.gov.py/estadisticas/BalanceEnergia1983-2006/CompilacionEstadistica83-06.pdf</t>
        </is>
      </c>
      <c r="S1362" s="6" t="inlineStr">
        <is>
          <t>ANDE-83-06</t>
        </is>
      </c>
      <c r="T1362" s="6" t="inlineStr"/>
      <c r="U1362" s="4" t="inlineStr">
        <is>
          <t>2026-09-11 00:05:00</t>
        </is>
      </c>
      <c r="V1362" s="4" t="inlineStr">
        <is>
          <t>Exportacion historica clasificada como Itaipu segun tabla original.</t>
        </is>
      </c>
    </row>
    <row r="1363">
      <c r="A1363" s="6" t="inlineStr">
        <is>
          <t>R0001362</t>
        </is>
      </c>
      <c r="B1363" s="6" t="inlineStr">
        <is>
          <t>1990-01-01</t>
        </is>
      </c>
      <c r="C1363" s="6" t="inlineStr">
        <is>
          <t>1990-12-31</t>
        </is>
      </c>
      <c r="D1363" s="6" t="inlineStr">
        <is>
          <t>year</t>
        </is>
      </c>
      <c r="E1363" s="6" t="inlineStr">
        <is>
          <t>ANDE_EXPORT_BY_COUNTERPARTY</t>
        </is>
      </c>
      <c r="F1363" s="6" t="inlineStr">
        <is>
          <t>PY_SIN</t>
        </is>
      </c>
      <c r="G1363" s="6" t="inlineStr">
        <is>
          <t>PY</t>
        </is>
      </c>
      <c r="H1363" s="6" t="inlineStr">
        <is>
          <t>ITAIPU</t>
        </is>
      </c>
      <c r="I1363" s="8" t="n">
        <v>4695.6</v>
      </c>
      <c r="J1363" s="6" t="inlineStr">
        <is>
          <t>MWh</t>
        </is>
      </c>
      <c r="K1363" s="8" t="n">
        <v>4695.6</v>
      </c>
      <c r="L1363" s="6" t="inlineStr">
        <is>
          <t>MWh</t>
        </is>
      </c>
      <c r="M1363" s="6" t="inlineStr">
        <is>
          <t>ANDE</t>
        </is>
      </c>
      <c r="N1363" s="6" t="inlineStr">
        <is>
          <t>OFFICIAL_PRIMARY</t>
        </is>
      </c>
      <c r="O1363" s="9" t="inlineStr">
        <is>
          <t>OFFICIAL_AGGREGATE</t>
        </is>
      </c>
      <c r="P1363" s="8" t="n">
        <v>1</v>
      </c>
      <c r="Q1363" s="8" t="n">
        <v>45</v>
      </c>
      <c r="R1363" s="7" t="inlineStr">
        <is>
          <t>https://www.ande.gov.py/estadisticas/BalanceEnergia1983-2006/CompilacionEstadistica83-06.pdf</t>
        </is>
      </c>
      <c r="S1363" s="6" t="inlineStr">
        <is>
          <t>ANDE-83-06</t>
        </is>
      </c>
      <c r="T1363" s="6" t="inlineStr"/>
      <c r="U1363" s="4" t="inlineStr">
        <is>
          <t>2026-09-11 00:05:00</t>
        </is>
      </c>
      <c r="V1363" s="4" t="inlineStr">
        <is>
          <t>Exportacion historica clasificada como Itaipu segun tabla original.</t>
        </is>
      </c>
    </row>
    <row r="1364">
      <c r="A1364" s="6" t="inlineStr">
        <is>
          <t>R0001363</t>
        </is>
      </c>
      <c r="B1364" s="6" t="inlineStr">
        <is>
          <t>1987-01-01</t>
        </is>
      </c>
      <c r="C1364" s="6" t="inlineStr">
        <is>
          <t>1987-12-31</t>
        </is>
      </c>
      <c r="D1364" s="6" t="inlineStr">
        <is>
          <t>year</t>
        </is>
      </c>
      <c r="E1364" s="6" t="inlineStr">
        <is>
          <t>ANDE_EXPORT_BY_COUNTERPARTY</t>
        </is>
      </c>
      <c r="F1364" s="6" t="inlineStr">
        <is>
          <t>PY_SIN</t>
        </is>
      </c>
      <c r="G1364" s="6" t="inlineStr">
        <is>
          <t>PY</t>
        </is>
      </c>
      <c r="H1364" s="6" t="inlineStr">
        <is>
          <t>EMSA_COPEL_AGUA_ENERGIA</t>
        </is>
      </c>
      <c r="I1364" s="8" t="n">
        <v>26490.817</v>
      </c>
      <c r="J1364" s="6" t="inlineStr">
        <is>
          <t>MWh</t>
        </is>
      </c>
      <c r="K1364" s="8" t="n">
        <v>26490.817</v>
      </c>
      <c r="L1364" s="6" t="inlineStr">
        <is>
          <t>MWh</t>
        </is>
      </c>
      <c r="M1364" s="6" t="inlineStr">
        <is>
          <t>ANDE</t>
        </is>
      </c>
      <c r="N1364" s="6" t="inlineStr">
        <is>
          <t>OFFICIAL_PRIMARY</t>
        </is>
      </c>
      <c r="O1364" s="9" t="inlineStr">
        <is>
          <t>OFFICIAL_AGGREGATE</t>
        </is>
      </c>
      <c r="P1364" s="8" t="n">
        <v>1</v>
      </c>
      <c r="Q1364" s="8" t="n">
        <v>45</v>
      </c>
      <c r="R1364" s="7" t="inlineStr">
        <is>
          <t>https://www.ande.gov.py/estadisticas/BalanceEnergia1983-2006/CompilacionEstadistica83-06.pdf</t>
        </is>
      </c>
      <c r="S1364" s="6" t="inlineStr">
        <is>
          <t>ANDE-83-06</t>
        </is>
      </c>
      <c r="T1364" s="6" t="inlineStr"/>
      <c r="U1364" s="4" t="inlineStr">
        <is>
          <t>2026-09-11 00:05:00</t>
        </is>
      </c>
      <c r="V1364" s="4" t="inlineStr">
        <is>
          <t>Etiqueta exacta agrupada de la fuente: EMSA, COPEL, Agua y Energia.</t>
        </is>
      </c>
    </row>
    <row r="1365">
      <c r="A1365" s="6" t="inlineStr">
        <is>
          <t>R0001364</t>
        </is>
      </c>
      <c r="B1365" s="6" t="inlineStr">
        <is>
          <t>1988-01-01</t>
        </is>
      </c>
      <c r="C1365" s="6" t="inlineStr">
        <is>
          <t>1988-12-31</t>
        </is>
      </c>
      <c r="D1365" s="6" t="inlineStr">
        <is>
          <t>year</t>
        </is>
      </c>
      <c r="E1365" s="6" t="inlineStr">
        <is>
          <t>ANDE_EXPORT_BY_COUNTERPARTY</t>
        </is>
      </c>
      <c r="F1365" s="6" t="inlineStr">
        <is>
          <t>PY_SIN</t>
        </is>
      </c>
      <c r="G1365" s="6" t="inlineStr">
        <is>
          <t>PY</t>
        </is>
      </c>
      <c r="H1365" s="6" t="inlineStr">
        <is>
          <t>EMSA_COPEL_AGUA_ENERGIA</t>
        </is>
      </c>
      <c r="I1365" s="8" t="n">
        <v>219133.858</v>
      </c>
      <c r="J1365" s="6" t="inlineStr">
        <is>
          <t>MWh</t>
        </is>
      </c>
      <c r="K1365" s="8" t="n">
        <v>219133.858</v>
      </c>
      <c r="L1365" s="6" t="inlineStr">
        <is>
          <t>MWh</t>
        </is>
      </c>
      <c r="M1365" s="6" t="inlineStr">
        <is>
          <t>ANDE</t>
        </is>
      </c>
      <c r="N1365" s="6" t="inlineStr">
        <is>
          <t>OFFICIAL_PRIMARY</t>
        </is>
      </c>
      <c r="O1365" s="9" t="inlineStr">
        <is>
          <t>OFFICIAL_AGGREGATE</t>
        </is>
      </c>
      <c r="P1365" s="8" t="n">
        <v>1</v>
      </c>
      <c r="Q1365" s="8" t="n">
        <v>45</v>
      </c>
      <c r="R1365" s="7" t="inlineStr">
        <is>
          <t>https://www.ande.gov.py/estadisticas/BalanceEnergia1983-2006/CompilacionEstadistica83-06.pdf</t>
        </is>
      </c>
      <c r="S1365" s="6" t="inlineStr">
        <is>
          <t>ANDE-83-06</t>
        </is>
      </c>
      <c r="T1365" s="6" t="inlineStr"/>
      <c r="U1365" s="4" t="inlineStr">
        <is>
          <t>2026-09-11 00:05:00</t>
        </is>
      </c>
      <c r="V1365" s="4" t="inlineStr">
        <is>
          <t>Etiqueta exacta agrupada de la fuente: EMSA, COPEL, Agua y Energia.</t>
        </is>
      </c>
    </row>
    <row r="1366">
      <c r="A1366" s="6" t="inlineStr">
        <is>
          <t>R0001365</t>
        </is>
      </c>
      <c r="B1366" s="6" t="inlineStr">
        <is>
          <t>1989-01-01</t>
        </is>
      </c>
      <c r="C1366" s="6" t="inlineStr">
        <is>
          <t>1989-12-31</t>
        </is>
      </c>
      <c r="D1366" s="6" t="inlineStr">
        <is>
          <t>year</t>
        </is>
      </c>
      <c r="E1366" s="6" t="inlineStr">
        <is>
          <t>ANDE_EXPORT_BY_COUNTERPARTY</t>
        </is>
      </c>
      <c r="F1366" s="6" t="inlineStr">
        <is>
          <t>PY_SIN</t>
        </is>
      </c>
      <c r="G1366" s="6" t="inlineStr">
        <is>
          <t>PY</t>
        </is>
      </c>
      <c r="H1366" s="6" t="inlineStr">
        <is>
          <t>EMSA_COPEL_AGUA_ENERGIA</t>
        </is>
      </c>
      <c r="I1366" s="8" t="n">
        <v>157571.186</v>
      </c>
      <c r="J1366" s="6" t="inlineStr">
        <is>
          <t>MWh</t>
        </is>
      </c>
      <c r="K1366" s="8" t="n">
        <v>157571.186</v>
      </c>
      <c r="L1366" s="6" t="inlineStr">
        <is>
          <t>MWh</t>
        </is>
      </c>
      <c r="M1366" s="6" t="inlineStr">
        <is>
          <t>ANDE</t>
        </is>
      </c>
      <c r="N1366" s="6" t="inlineStr">
        <is>
          <t>OFFICIAL_PRIMARY</t>
        </is>
      </c>
      <c r="O1366" s="9" t="inlineStr">
        <is>
          <t>OFFICIAL_AGGREGATE</t>
        </is>
      </c>
      <c r="P1366" s="8" t="n">
        <v>1</v>
      </c>
      <c r="Q1366" s="8" t="n">
        <v>45</v>
      </c>
      <c r="R1366" s="7" t="inlineStr">
        <is>
          <t>https://www.ande.gov.py/estadisticas/BalanceEnergia1983-2006/CompilacionEstadistica83-06.pdf</t>
        </is>
      </c>
      <c r="S1366" s="6" t="inlineStr">
        <is>
          <t>ANDE-83-06</t>
        </is>
      </c>
      <c r="T1366" s="6" t="inlineStr"/>
      <c r="U1366" s="4" t="inlineStr">
        <is>
          <t>2026-09-11 00:05:00</t>
        </is>
      </c>
      <c r="V1366" s="4" t="inlineStr">
        <is>
          <t>Etiqueta exacta agrupada de la fuente: EMSA, COPEL, Agua y Energia.</t>
        </is>
      </c>
    </row>
    <row r="1367">
      <c r="A1367" s="6" t="inlineStr">
        <is>
          <t>R0001366</t>
        </is>
      </c>
      <c r="B1367" s="6" t="inlineStr">
        <is>
          <t>1990-01-01</t>
        </is>
      </c>
      <c r="C1367" s="6" t="inlineStr">
        <is>
          <t>1990-12-31</t>
        </is>
      </c>
      <c r="D1367" s="6" t="inlineStr">
        <is>
          <t>year</t>
        </is>
      </c>
      <c r="E1367" s="6" t="inlineStr">
        <is>
          <t>ANDE_EXPORT_BY_COUNTERPARTY</t>
        </is>
      </c>
      <c r="F1367" s="6" t="inlineStr">
        <is>
          <t>PY_SIN</t>
        </is>
      </c>
      <c r="G1367" s="6" t="inlineStr">
        <is>
          <t>PY</t>
        </is>
      </c>
      <c r="H1367" s="6" t="inlineStr">
        <is>
          <t>EMSA_COPEL_AGUA_ENERGIA</t>
        </is>
      </c>
      <c r="I1367" s="8" t="n">
        <v>129690.785</v>
      </c>
      <c r="J1367" s="6" t="inlineStr">
        <is>
          <t>MWh</t>
        </is>
      </c>
      <c r="K1367" s="8" t="n">
        <v>129690.785</v>
      </c>
      <c r="L1367" s="6" t="inlineStr">
        <is>
          <t>MWh</t>
        </is>
      </c>
      <c r="M1367" s="6" t="inlineStr">
        <is>
          <t>ANDE</t>
        </is>
      </c>
      <c r="N1367" s="6" t="inlineStr">
        <is>
          <t>OFFICIAL_PRIMARY</t>
        </is>
      </c>
      <c r="O1367" s="9" t="inlineStr">
        <is>
          <t>OFFICIAL_AGGREGATE</t>
        </is>
      </c>
      <c r="P1367" s="8" t="n">
        <v>1</v>
      </c>
      <c r="Q1367" s="8" t="n">
        <v>45</v>
      </c>
      <c r="R1367" s="7" t="inlineStr">
        <is>
          <t>https://www.ande.gov.py/estadisticas/BalanceEnergia1983-2006/CompilacionEstadistica83-06.pdf</t>
        </is>
      </c>
      <c r="S1367" s="6" t="inlineStr">
        <is>
          <t>ANDE-83-06</t>
        </is>
      </c>
      <c r="T1367" s="6" t="inlineStr"/>
      <c r="U1367" s="4" t="inlineStr">
        <is>
          <t>2026-09-11 00:05:00</t>
        </is>
      </c>
      <c r="V1367" s="4" t="inlineStr">
        <is>
          <t>Etiqueta exacta agrupada de la fuente: EMSA, COPEL, Agua y Energia.</t>
        </is>
      </c>
    </row>
    <row r="1368">
      <c r="A1368" s="6" t="inlineStr">
        <is>
          <t>R0001367</t>
        </is>
      </c>
      <c r="B1368" s="6" t="inlineStr">
        <is>
          <t>1991-01-01</t>
        </is>
      </c>
      <c r="C1368" s="6" t="inlineStr">
        <is>
          <t>1991-12-31</t>
        </is>
      </c>
      <c r="D1368" s="6" t="inlineStr">
        <is>
          <t>year</t>
        </is>
      </c>
      <c r="E1368" s="6" t="inlineStr">
        <is>
          <t>ANDE_EXPORT_BY_COUNTERPARTY</t>
        </is>
      </c>
      <c r="F1368" s="6" t="inlineStr">
        <is>
          <t>PY_SIN</t>
        </is>
      </c>
      <c r="G1368" s="6" t="inlineStr">
        <is>
          <t>PY</t>
        </is>
      </c>
      <c r="H1368" s="6" t="inlineStr">
        <is>
          <t>EMSA_COPEL_AGUA_ENERGIA</t>
        </is>
      </c>
      <c r="I1368" s="8" t="n">
        <v>85269.53999999999</v>
      </c>
      <c r="J1368" s="6" t="inlineStr">
        <is>
          <t>MWh</t>
        </is>
      </c>
      <c r="K1368" s="8" t="n">
        <v>85269.53999999999</v>
      </c>
      <c r="L1368" s="6" t="inlineStr">
        <is>
          <t>MWh</t>
        </is>
      </c>
      <c r="M1368" s="6" t="inlineStr">
        <is>
          <t>ANDE</t>
        </is>
      </c>
      <c r="N1368" s="6" t="inlineStr">
        <is>
          <t>OFFICIAL_PRIMARY</t>
        </is>
      </c>
      <c r="O1368" s="9" t="inlineStr">
        <is>
          <t>OFFICIAL_AGGREGATE</t>
        </is>
      </c>
      <c r="P1368" s="8" t="n">
        <v>1</v>
      </c>
      <c r="Q1368" s="8" t="n">
        <v>45</v>
      </c>
      <c r="R1368" s="7" t="inlineStr">
        <is>
          <t>https://www.ande.gov.py/estadisticas/BalanceEnergia1983-2006/CompilacionEstadistica83-06.pdf</t>
        </is>
      </c>
      <c r="S1368" s="6" t="inlineStr">
        <is>
          <t>ANDE-83-06</t>
        </is>
      </c>
      <c r="T1368" s="6" t="inlineStr"/>
      <c r="U1368" s="4" t="inlineStr">
        <is>
          <t>2026-09-11 00:05:00</t>
        </is>
      </c>
      <c r="V1368" s="4" t="inlineStr">
        <is>
          <t>Etiqueta exacta agrupada de la fuente: EMSA, COPEL, Agua y Energia.</t>
        </is>
      </c>
    </row>
    <row r="1369">
      <c r="A1369" s="6" t="inlineStr">
        <is>
          <t>R0001368</t>
        </is>
      </c>
      <c r="B1369" s="6" t="inlineStr">
        <is>
          <t>1992-01-01</t>
        </is>
      </c>
      <c r="C1369" s="6" t="inlineStr">
        <is>
          <t>1992-12-31</t>
        </is>
      </c>
      <c r="D1369" s="6" t="inlineStr">
        <is>
          <t>year</t>
        </is>
      </c>
      <c r="E1369" s="6" t="inlineStr">
        <is>
          <t>ANDE_EXPORT_BY_COUNTERPARTY</t>
        </is>
      </c>
      <c r="F1369" s="6" t="inlineStr">
        <is>
          <t>PY_SIN</t>
        </is>
      </c>
      <c r="G1369" s="6" t="inlineStr">
        <is>
          <t>PY</t>
        </is>
      </c>
      <c r="H1369" s="6" t="inlineStr">
        <is>
          <t>EMSA_COPEL_AGUA_ENERGIA</t>
        </is>
      </c>
      <c r="I1369" s="8" t="n">
        <v>59113.122</v>
      </c>
      <c r="J1369" s="6" t="inlineStr">
        <is>
          <t>MWh</t>
        </is>
      </c>
      <c r="K1369" s="8" t="n">
        <v>59113.122</v>
      </c>
      <c r="L1369" s="6" t="inlineStr">
        <is>
          <t>MWh</t>
        </is>
      </c>
      <c r="M1369" s="6" t="inlineStr">
        <is>
          <t>ANDE</t>
        </is>
      </c>
      <c r="N1369" s="6" t="inlineStr">
        <is>
          <t>OFFICIAL_PRIMARY</t>
        </is>
      </c>
      <c r="O1369" s="9" t="inlineStr">
        <is>
          <t>OFFICIAL_AGGREGATE</t>
        </is>
      </c>
      <c r="P1369" s="8" t="n">
        <v>1</v>
      </c>
      <c r="Q1369" s="8" t="n">
        <v>45</v>
      </c>
      <c r="R1369" s="7" t="inlineStr">
        <is>
          <t>https://www.ande.gov.py/estadisticas/BalanceEnergia1983-2006/CompilacionEstadistica83-06.pdf</t>
        </is>
      </c>
      <c r="S1369" s="6" t="inlineStr">
        <is>
          <t>ANDE-83-06</t>
        </is>
      </c>
      <c r="T1369" s="6" t="inlineStr"/>
      <c r="U1369" s="4" t="inlineStr">
        <is>
          <t>2026-09-11 00:05:00</t>
        </is>
      </c>
      <c r="V1369" s="4" t="inlineStr">
        <is>
          <t>Etiqueta exacta agrupada de la fuente: EMSA, COPEL, Agua y Energia.</t>
        </is>
      </c>
    </row>
    <row r="1370">
      <c r="A1370" s="6" t="inlineStr">
        <is>
          <t>R0001369</t>
        </is>
      </c>
      <c r="B1370" s="6" t="inlineStr">
        <is>
          <t>1993-01-01</t>
        </is>
      </c>
      <c r="C1370" s="6" t="inlineStr">
        <is>
          <t>1993-12-31</t>
        </is>
      </c>
      <c r="D1370" s="6" t="inlineStr">
        <is>
          <t>year</t>
        </is>
      </c>
      <c r="E1370" s="6" t="inlineStr">
        <is>
          <t>ANDE_EXPORT_BY_COUNTERPARTY</t>
        </is>
      </c>
      <c r="F1370" s="6" t="inlineStr">
        <is>
          <t>PY_SIN</t>
        </is>
      </c>
      <c r="G1370" s="6" t="inlineStr">
        <is>
          <t>PY</t>
        </is>
      </c>
      <c r="H1370" s="6" t="inlineStr">
        <is>
          <t>EMSA_COPEL_AGUA_ENERGIA</t>
        </is>
      </c>
      <c r="I1370" s="8" t="n">
        <v>50380.812</v>
      </c>
      <c r="J1370" s="6" t="inlineStr">
        <is>
          <t>MWh</t>
        </is>
      </c>
      <c r="K1370" s="8" t="n">
        <v>50380.812</v>
      </c>
      <c r="L1370" s="6" t="inlineStr">
        <is>
          <t>MWh</t>
        </is>
      </c>
      <c r="M1370" s="6" t="inlineStr">
        <is>
          <t>ANDE</t>
        </is>
      </c>
      <c r="N1370" s="6" t="inlineStr">
        <is>
          <t>OFFICIAL_PRIMARY</t>
        </is>
      </c>
      <c r="O1370" s="9" t="inlineStr">
        <is>
          <t>OFFICIAL_AGGREGATE</t>
        </is>
      </c>
      <c r="P1370" s="8" t="n">
        <v>1</v>
      </c>
      <c r="Q1370" s="8" t="n">
        <v>45</v>
      </c>
      <c r="R1370" s="7" t="inlineStr">
        <is>
          <t>https://www.ande.gov.py/estadisticas/BalanceEnergia1983-2006/CompilacionEstadistica83-06.pdf</t>
        </is>
      </c>
      <c r="S1370" s="6" t="inlineStr">
        <is>
          <t>ANDE-83-06</t>
        </is>
      </c>
      <c r="T1370" s="6" t="inlineStr"/>
      <c r="U1370" s="4" t="inlineStr">
        <is>
          <t>2026-09-11 00:05:00</t>
        </is>
      </c>
      <c r="V1370" s="4" t="inlineStr">
        <is>
          <t>Etiqueta exacta agrupada de la fuente: EMSA, COPEL, Agua y Energia.</t>
        </is>
      </c>
    </row>
    <row r="1371">
      <c r="A1371" s="6" t="inlineStr">
        <is>
          <t>R0001370</t>
        </is>
      </c>
      <c r="B1371" s="6" t="inlineStr">
        <is>
          <t>1994-01-01</t>
        </is>
      </c>
      <c r="C1371" s="6" t="inlineStr">
        <is>
          <t>1994-12-31</t>
        </is>
      </c>
      <c r="D1371" s="6" t="inlineStr">
        <is>
          <t>year</t>
        </is>
      </c>
      <c r="E1371" s="6" t="inlineStr">
        <is>
          <t>ANDE_EXPORT_BY_COUNTERPARTY</t>
        </is>
      </c>
      <c r="F1371" s="6" t="inlineStr">
        <is>
          <t>PY_SIN</t>
        </is>
      </c>
      <c r="G1371" s="6" t="inlineStr">
        <is>
          <t>PY</t>
        </is>
      </c>
      <c r="H1371" s="6" t="inlineStr">
        <is>
          <t>EMSA_COPEL_AGUA_ENERGIA</t>
        </is>
      </c>
      <c r="I1371" s="8" t="n">
        <v>111900.816</v>
      </c>
      <c r="J1371" s="6" t="inlineStr">
        <is>
          <t>MWh</t>
        </is>
      </c>
      <c r="K1371" s="8" t="n">
        <v>111900.816</v>
      </c>
      <c r="L1371" s="6" t="inlineStr">
        <is>
          <t>MWh</t>
        </is>
      </c>
      <c r="M1371" s="6" t="inlineStr">
        <is>
          <t>ANDE</t>
        </is>
      </c>
      <c r="N1371" s="6" t="inlineStr">
        <is>
          <t>OFFICIAL_PRIMARY</t>
        </is>
      </c>
      <c r="O1371" s="9" t="inlineStr">
        <is>
          <t>OFFICIAL_AGGREGATE</t>
        </is>
      </c>
      <c r="P1371" s="8" t="n">
        <v>1</v>
      </c>
      <c r="Q1371" s="8" t="n">
        <v>45</v>
      </c>
      <c r="R1371" s="7" t="inlineStr">
        <is>
          <t>https://www.ande.gov.py/estadisticas/BalanceEnergia1983-2006/CompilacionEstadistica83-06.pdf</t>
        </is>
      </c>
      <c r="S1371" s="6" t="inlineStr">
        <is>
          <t>ANDE-83-06</t>
        </is>
      </c>
      <c r="T1371" s="6" t="inlineStr"/>
      <c r="U1371" s="4" t="inlineStr">
        <is>
          <t>2026-09-11 00:05:00</t>
        </is>
      </c>
      <c r="V1371" s="4" t="inlineStr">
        <is>
          <t>Etiqueta exacta agrupada de la fuente: EMSA, COPEL, Agua y Energia.</t>
        </is>
      </c>
    </row>
    <row r="1372">
      <c r="A1372" s="6" t="inlineStr">
        <is>
          <t>R0001371</t>
        </is>
      </c>
      <c r="B1372" s="6" t="inlineStr">
        <is>
          <t>1995-01-01</t>
        </is>
      </c>
      <c r="C1372" s="6" t="inlineStr">
        <is>
          <t>1995-12-31</t>
        </is>
      </c>
      <c r="D1372" s="6" t="inlineStr">
        <is>
          <t>year</t>
        </is>
      </c>
      <c r="E1372" s="6" t="inlineStr">
        <is>
          <t>ANDE_EXPORT_BY_COUNTERPARTY</t>
        </is>
      </c>
      <c r="F1372" s="6" t="inlineStr">
        <is>
          <t>PY_SIN</t>
        </is>
      </c>
      <c r="G1372" s="6" t="inlineStr">
        <is>
          <t>PY</t>
        </is>
      </c>
      <c r="H1372" s="6" t="inlineStr">
        <is>
          <t>EMSA_COPEL_AGUA_ENERGIA</t>
        </is>
      </c>
      <c r="I1372" s="8" t="n">
        <v>161378.126</v>
      </c>
      <c r="J1372" s="6" t="inlineStr">
        <is>
          <t>MWh</t>
        </is>
      </c>
      <c r="K1372" s="8" t="n">
        <v>161378.126</v>
      </c>
      <c r="L1372" s="6" t="inlineStr">
        <is>
          <t>MWh</t>
        </is>
      </c>
      <c r="M1372" s="6" t="inlineStr">
        <is>
          <t>ANDE</t>
        </is>
      </c>
      <c r="N1372" s="6" t="inlineStr">
        <is>
          <t>OFFICIAL_PRIMARY</t>
        </is>
      </c>
      <c r="O1372" s="9" t="inlineStr">
        <is>
          <t>OFFICIAL_AGGREGATE</t>
        </is>
      </c>
      <c r="P1372" s="8" t="n">
        <v>1</v>
      </c>
      <c r="Q1372" s="8" t="n">
        <v>45</v>
      </c>
      <c r="R1372" s="7" t="inlineStr">
        <is>
          <t>https://www.ande.gov.py/estadisticas/BalanceEnergia1983-2006/CompilacionEstadistica83-06.pdf</t>
        </is>
      </c>
      <c r="S1372" s="6" t="inlineStr">
        <is>
          <t>ANDE-83-06</t>
        </is>
      </c>
      <c r="T1372" s="6" t="inlineStr"/>
      <c r="U1372" s="4" t="inlineStr">
        <is>
          <t>2026-09-11 00:05:00</t>
        </is>
      </c>
      <c r="V1372" s="4" t="inlineStr">
        <is>
          <t>Etiqueta exacta agrupada de la fuente: EMSA, COPEL, Agua y Energia.</t>
        </is>
      </c>
    </row>
    <row r="1373">
      <c r="A1373" s="6" t="inlineStr">
        <is>
          <t>R0001372</t>
        </is>
      </c>
      <c r="B1373" s="6" t="inlineStr">
        <is>
          <t>1996-01-01</t>
        </is>
      </c>
      <c r="C1373" s="6" t="inlineStr">
        <is>
          <t>1996-12-31</t>
        </is>
      </c>
      <c r="D1373" s="6" t="inlineStr">
        <is>
          <t>year</t>
        </is>
      </c>
      <c r="E1373" s="6" t="inlineStr">
        <is>
          <t>ANDE_EXPORT_BY_COUNTERPARTY</t>
        </is>
      </c>
      <c r="F1373" s="6" t="inlineStr">
        <is>
          <t>PY_SIN</t>
        </is>
      </c>
      <c r="G1373" s="6" t="inlineStr">
        <is>
          <t>PY</t>
        </is>
      </c>
      <c r="H1373" s="6" t="inlineStr">
        <is>
          <t>EMSA_COPEL_AGUA_ENERGIA</t>
        </is>
      </c>
      <c r="I1373" s="8" t="n">
        <v>159369.869</v>
      </c>
      <c r="J1373" s="6" t="inlineStr">
        <is>
          <t>MWh</t>
        </is>
      </c>
      <c r="K1373" s="8" t="n">
        <v>159369.869</v>
      </c>
      <c r="L1373" s="6" t="inlineStr">
        <is>
          <t>MWh</t>
        </is>
      </c>
      <c r="M1373" s="6" t="inlineStr">
        <is>
          <t>ANDE</t>
        </is>
      </c>
      <c r="N1373" s="6" t="inlineStr">
        <is>
          <t>OFFICIAL_PRIMARY</t>
        </is>
      </c>
      <c r="O1373" s="9" t="inlineStr">
        <is>
          <t>OFFICIAL_AGGREGATE</t>
        </is>
      </c>
      <c r="P1373" s="8" t="n">
        <v>1</v>
      </c>
      <c r="Q1373" s="8" t="n">
        <v>45</v>
      </c>
      <c r="R1373" s="7" t="inlineStr">
        <is>
          <t>https://www.ande.gov.py/estadisticas/BalanceEnergia1983-2006/CompilacionEstadistica83-06.pdf</t>
        </is>
      </c>
      <c r="S1373" s="6" t="inlineStr">
        <is>
          <t>ANDE-83-06</t>
        </is>
      </c>
      <c r="T1373" s="6" t="inlineStr"/>
      <c r="U1373" s="4" t="inlineStr">
        <is>
          <t>2026-09-11 00:05:00</t>
        </is>
      </c>
      <c r="V1373" s="4" t="inlineStr">
        <is>
          <t>Etiqueta exacta agrupada de la fuente: EMSA, COPEL, Agua y Energia.</t>
        </is>
      </c>
    </row>
    <row r="1374">
      <c r="A1374" s="6" t="inlineStr">
        <is>
          <t>R0001373</t>
        </is>
      </c>
      <c r="B1374" s="6" t="inlineStr">
        <is>
          <t>1997-01-01</t>
        </is>
      </c>
      <c r="C1374" s="6" t="inlineStr">
        <is>
          <t>1997-12-31</t>
        </is>
      </c>
      <c r="D1374" s="6" t="inlineStr">
        <is>
          <t>year</t>
        </is>
      </c>
      <c r="E1374" s="6" t="inlineStr">
        <is>
          <t>ANDE_EXPORT_BY_COUNTERPARTY</t>
        </is>
      </c>
      <c r="F1374" s="6" t="inlineStr">
        <is>
          <t>PY_SIN</t>
        </is>
      </c>
      <c r="G1374" s="6" t="inlineStr">
        <is>
          <t>PY</t>
        </is>
      </c>
      <c r="H1374" s="6" t="inlineStr">
        <is>
          <t>EMSA_COPEL_AGUA_ENERGIA</t>
        </is>
      </c>
      <c r="I1374" s="8" t="n">
        <v>109852.347</v>
      </c>
      <c r="J1374" s="6" t="inlineStr">
        <is>
          <t>MWh</t>
        </is>
      </c>
      <c r="K1374" s="8" t="n">
        <v>109852.347</v>
      </c>
      <c r="L1374" s="6" t="inlineStr">
        <is>
          <t>MWh</t>
        </is>
      </c>
      <c r="M1374" s="6" t="inlineStr">
        <is>
          <t>ANDE</t>
        </is>
      </c>
      <c r="N1374" s="6" t="inlineStr">
        <is>
          <t>OFFICIAL_PRIMARY</t>
        </is>
      </c>
      <c r="O1374" s="9" t="inlineStr">
        <is>
          <t>OFFICIAL_AGGREGATE</t>
        </is>
      </c>
      <c r="P1374" s="8" t="n">
        <v>1</v>
      </c>
      <c r="Q1374" s="8" t="n">
        <v>45</v>
      </c>
      <c r="R1374" s="7" t="inlineStr">
        <is>
          <t>https://www.ande.gov.py/estadisticas/BalanceEnergia1983-2006/CompilacionEstadistica83-06.pdf</t>
        </is>
      </c>
      <c r="S1374" s="6" t="inlineStr">
        <is>
          <t>ANDE-83-06</t>
        </is>
      </c>
      <c r="T1374" s="6" t="inlineStr"/>
      <c r="U1374" s="4" t="inlineStr">
        <is>
          <t>2026-09-11 00:05:00</t>
        </is>
      </c>
      <c r="V1374" s="4" t="inlineStr">
        <is>
          <t>Etiqueta exacta agrupada de la fuente: EMSA, COPEL, Agua y Energia.</t>
        </is>
      </c>
    </row>
    <row r="1375">
      <c r="A1375" s="6" t="inlineStr">
        <is>
          <t>R0001374</t>
        </is>
      </c>
      <c r="B1375" s="6" t="inlineStr">
        <is>
          <t>1998-01-01</t>
        </is>
      </c>
      <c r="C1375" s="6" t="inlineStr">
        <is>
          <t>1998-12-31</t>
        </is>
      </c>
      <c r="D1375" s="6" t="inlineStr">
        <is>
          <t>year</t>
        </is>
      </c>
      <c r="E1375" s="6" t="inlineStr">
        <is>
          <t>ANDE_EXPORT_BY_COUNTERPARTY</t>
        </is>
      </c>
      <c r="F1375" s="6" t="inlineStr">
        <is>
          <t>PY_SIN</t>
        </is>
      </c>
      <c r="G1375" s="6" t="inlineStr">
        <is>
          <t>PY</t>
        </is>
      </c>
      <c r="H1375" s="6" t="inlineStr">
        <is>
          <t>EMSA_COPEL_AGUA_ENERGIA</t>
        </is>
      </c>
      <c r="I1375" s="8" t="n">
        <v>102818.4</v>
      </c>
      <c r="J1375" s="6" t="inlineStr">
        <is>
          <t>MWh</t>
        </is>
      </c>
      <c r="K1375" s="8" t="n">
        <v>102818.4</v>
      </c>
      <c r="L1375" s="6" t="inlineStr">
        <is>
          <t>MWh</t>
        </is>
      </c>
      <c r="M1375" s="6" t="inlineStr">
        <is>
          <t>ANDE</t>
        </is>
      </c>
      <c r="N1375" s="6" t="inlineStr">
        <is>
          <t>OFFICIAL_PRIMARY</t>
        </is>
      </c>
      <c r="O1375" s="9" t="inlineStr">
        <is>
          <t>OFFICIAL_AGGREGATE</t>
        </is>
      </c>
      <c r="P1375" s="8" t="n">
        <v>1</v>
      </c>
      <c r="Q1375" s="8" t="n">
        <v>45</v>
      </c>
      <c r="R1375" s="7" t="inlineStr">
        <is>
          <t>https://www.ande.gov.py/estadisticas/BalanceEnergia1983-2006/CompilacionEstadistica83-06.pdf</t>
        </is>
      </c>
      <c r="S1375" s="6" t="inlineStr">
        <is>
          <t>ANDE-83-06</t>
        </is>
      </c>
      <c r="T1375" s="6" t="inlineStr"/>
      <c r="U1375" s="4" t="inlineStr">
        <is>
          <t>2026-09-11 00:05:00</t>
        </is>
      </c>
      <c r="V1375" s="4" t="inlineStr">
        <is>
          <t>Etiqueta exacta agrupada de la fuente: EMSA, COPEL, Agua y Energia.</t>
        </is>
      </c>
    </row>
    <row r="1376">
      <c r="A1376" s="6" t="inlineStr">
        <is>
          <t>R0001375</t>
        </is>
      </c>
      <c r="B1376" s="6" t="inlineStr">
        <is>
          <t>1999-01-01</t>
        </is>
      </c>
      <c r="C1376" s="6" t="inlineStr">
        <is>
          <t>1999-12-31</t>
        </is>
      </c>
      <c r="D1376" s="6" t="inlineStr">
        <is>
          <t>year</t>
        </is>
      </c>
      <c r="E1376" s="6" t="inlineStr">
        <is>
          <t>ANDE_EXPORT_BY_COUNTERPARTY</t>
        </is>
      </c>
      <c r="F1376" s="6" t="inlineStr">
        <is>
          <t>PY_SIN</t>
        </is>
      </c>
      <c r="G1376" s="6" t="inlineStr">
        <is>
          <t>PY</t>
        </is>
      </c>
      <c r="H1376" s="6" t="inlineStr">
        <is>
          <t>EMSA_COPEL_AGUA_ENERGIA</t>
        </is>
      </c>
      <c r="I1376" s="8" t="n">
        <v>484892.6</v>
      </c>
      <c r="J1376" s="6" t="inlineStr">
        <is>
          <t>MWh</t>
        </is>
      </c>
      <c r="K1376" s="8" t="n">
        <v>484892.6</v>
      </c>
      <c r="L1376" s="6" t="inlineStr">
        <is>
          <t>MWh</t>
        </is>
      </c>
      <c r="M1376" s="6" t="inlineStr">
        <is>
          <t>ANDE</t>
        </is>
      </c>
      <c r="N1376" s="6" t="inlineStr">
        <is>
          <t>OFFICIAL_PRIMARY</t>
        </is>
      </c>
      <c r="O1376" s="9" t="inlineStr">
        <is>
          <t>OFFICIAL_AGGREGATE</t>
        </is>
      </c>
      <c r="P1376" s="8" t="n">
        <v>1</v>
      </c>
      <c r="Q1376" s="8" t="n">
        <v>45</v>
      </c>
      <c r="R1376" s="7" t="inlineStr">
        <is>
          <t>https://www.ande.gov.py/estadisticas/BalanceEnergia1983-2006/CompilacionEstadistica83-06.pdf</t>
        </is>
      </c>
      <c r="S1376" s="6" t="inlineStr">
        <is>
          <t>ANDE-83-06</t>
        </is>
      </c>
      <c r="T1376" s="6" t="inlineStr"/>
      <c r="U1376" s="4" t="inlineStr">
        <is>
          <t>2026-09-11 00:05:00</t>
        </is>
      </c>
      <c r="V1376" s="4" t="inlineStr">
        <is>
          <t>Etiqueta exacta agrupada de la fuente: EMSA, COPEL, Agua y Energia.</t>
        </is>
      </c>
    </row>
    <row r="1377">
      <c r="A1377" s="6" t="inlineStr">
        <is>
          <t>R0001376</t>
        </is>
      </c>
      <c r="B1377" s="6" t="inlineStr">
        <is>
          <t>2000-01-01</t>
        </is>
      </c>
      <c r="C1377" s="6" t="inlineStr">
        <is>
          <t>2000-12-31</t>
        </is>
      </c>
      <c r="D1377" s="6" t="inlineStr">
        <is>
          <t>year</t>
        </is>
      </c>
      <c r="E1377" s="6" t="inlineStr">
        <is>
          <t>ANDE_EXPORT_BY_COUNTERPARTY</t>
        </is>
      </c>
      <c r="F1377" s="6" t="inlineStr">
        <is>
          <t>PY_SIN</t>
        </is>
      </c>
      <c r="G1377" s="6" t="inlineStr">
        <is>
          <t>PY</t>
        </is>
      </c>
      <c r="H1377" s="6" t="inlineStr">
        <is>
          <t>EMSA_COPEL_AGUA_ENERGIA</t>
        </is>
      </c>
      <c r="I1377" s="8" t="n">
        <v>608464.562</v>
      </c>
      <c r="J1377" s="6" t="inlineStr">
        <is>
          <t>MWh</t>
        </is>
      </c>
      <c r="K1377" s="8" t="n">
        <v>608464.562</v>
      </c>
      <c r="L1377" s="6" t="inlineStr">
        <is>
          <t>MWh</t>
        </is>
      </c>
      <c r="M1377" s="6" t="inlineStr">
        <is>
          <t>ANDE</t>
        </is>
      </c>
      <c r="N1377" s="6" t="inlineStr">
        <is>
          <t>OFFICIAL_PRIMARY</t>
        </is>
      </c>
      <c r="O1377" s="9" t="inlineStr">
        <is>
          <t>OFFICIAL_AGGREGATE</t>
        </is>
      </c>
      <c r="P1377" s="8" t="n">
        <v>1</v>
      </c>
      <c r="Q1377" s="8" t="n">
        <v>45</v>
      </c>
      <c r="R1377" s="7" t="inlineStr">
        <is>
          <t>https://www.ande.gov.py/estadisticas/BalanceEnergia1983-2006/CompilacionEstadistica83-06.pdf</t>
        </is>
      </c>
      <c r="S1377" s="6" t="inlineStr">
        <is>
          <t>ANDE-83-06</t>
        </is>
      </c>
      <c r="T1377" s="6" t="inlineStr"/>
      <c r="U1377" s="4" t="inlineStr">
        <is>
          <t>2026-09-11 00:05:00</t>
        </is>
      </c>
      <c r="V1377" s="4" t="inlineStr">
        <is>
          <t>Etiqueta exacta agrupada de la fuente: EMSA, COPEL, Agua y Energia.</t>
        </is>
      </c>
    </row>
    <row r="1378">
      <c r="A1378" s="6" t="inlineStr">
        <is>
          <t>R0001377</t>
        </is>
      </c>
      <c r="B1378" s="6" t="inlineStr">
        <is>
          <t>2001-01-01</t>
        </is>
      </c>
      <c r="C1378" s="6" t="inlineStr">
        <is>
          <t>2001-12-31</t>
        </is>
      </c>
      <c r="D1378" s="6" t="inlineStr">
        <is>
          <t>year</t>
        </is>
      </c>
      <c r="E1378" s="6" t="inlineStr">
        <is>
          <t>ANDE_EXPORT_BY_COUNTERPARTY</t>
        </is>
      </c>
      <c r="F1378" s="6" t="inlineStr">
        <is>
          <t>PY_SIN</t>
        </is>
      </c>
      <c r="G1378" s="6" t="inlineStr">
        <is>
          <t>PY</t>
        </is>
      </c>
      <c r="H1378" s="6" t="inlineStr">
        <is>
          <t>EMSA_COPEL_AGUA_ENERGIA</t>
        </is>
      </c>
      <c r="I1378" s="8" t="n">
        <v>636287.2120000001</v>
      </c>
      <c r="J1378" s="6" t="inlineStr">
        <is>
          <t>MWh</t>
        </is>
      </c>
      <c r="K1378" s="8" t="n">
        <v>636287.2120000001</v>
      </c>
      <c r="L1378" s="6" t="inlineStr">
        <is>
          <t>MWh</t>
        </is>
      </c>
      <c r="M1378" s="6" t="inlineStr">
        <is>
          <t>ANDE</t>
        </is>
      </c>
      <c r="N1378" s="6" t="inlineStr">
        <is>
          <t>OFFICIAL_PRIMARY</t>
        </is>
      </c>
      <c r="O1378" s="9" t="inlineStr">
        <is>
          <t>OFFICIAL_AGGREGATE</t>
        </is>
      </c>
      <c r="P1378" s="8" t="n">
        <v>1</v>
      </c>
      <c r="Q1378" s="8" t="n">
        <v>45</v>
      </c>
      <c r="R1378" s="7" t="inlineStr">
        <is>
          <t>https://www.ande.gov.py/estadisticas/BalanceEnergia1983-2006/CompilacionEstadistica83-06.pdf</t>
        </is>
      </c>
      <c r="S1378" s="6" t="inlineStr">
        <is>
          <t>ANDE-83-06</t>
        </is>
      </c>
      <c r="T1378" s="6" t="inlineStr"/>
      <c r="U1378" s="4" t="inlineStr">
        <is>
          <t>2026-09-11 00:05:00</t>
        </is>
      </c>
      <c r="V1378" s="4" t="inlineStr">
        <is>
          <t>Etiqueta exacta agrupada de la fuente: EMSA, COPEL, Agua y Energia.</t>
        </is>
      </c>
    </row>
    <row r="1379">
      <c r="A1379" s="6" t="inlineStr">
        <is>
          <t>R0001378</t>
        </is>
      </c>
      <c r="B1379" s="6" t="inlineStr">
        <is>
          <t>2002-01-01</t>
        </is>
      </c>
      <c r="C1379" s="6" t="inlineStr">
        <is>
          <t>2002-12-31</t>
        </is>
      </c>
      <c r="D1379" s="6" t="inlineStr">
        <is>
          <t>year</t>
        </is>
      </c>
      <c r="E1379" s="6" t="inlineStr">
        <is>
          <t>ANDE_EXPORT_BY_COUNTERPARTY</t>
        </is>
      </c>
      <c r="F1379" s="6" t="inlineStr">
        <is>
          <t>PY_SIN</t>
        </is>
      </c>
      <c r="G1379" s="6" t="inlineStr">
        <is>
          <t>PY</t>
        </is>
      </c>
      <c r="H1379" s="6" t="inlineStr">
        <is>
          <t>EMSA_COPEL_AGUA_ENERGIA</t>
        </is>
      </c>
      <c r="I1379" s="8" t="n">
        <v>667161.6</v>
      </c>
      <c r="J1379" s="6" t="inlineStr">
        <is>
          <t>MWh</t>
        </is>
      </c>
      <c r="K1379" s="8" t="n">
        <v>667161.6</v>
      </c>
      <c r="L1379" s="6" t="inlineStr">
        <is>
          <t>MWh</t>
        </is>
      </c>
      <c r="M1379" s="6" t="inlineStr">
        <is>
          <t>ANDE</t>
        </is>
      </c>
      <c r="N1379" s="6" t="inlineStr">
        <is>
          <t>OFFICIAL_PRIMARY</t>
        </is>
      </c>
      <c r="O1379" s="9" t="inlineStr">
        <is>
          <t>OFFICIAL_AGGREGATE</t>
        </is>
      </c>
      <c r="P1379" s="8" t="n">
        <v>1</v>
      </c>
      <c r="Q1379" s="8" t="n">
        <v>45</v>
      </c>
      <c r="R1379" s="7" t="inlineStr">
        <is>
          <t>https://www.ande.gov.py/estadisticas/BalanceEnergia1983-2006/CompilacionEstadistica83-06.pdf</t>
        </is>
      </c>
      <c r="S1379" s="6" t="inlineStr">
        <is>
          <t>ANDE-83-06</t>
        </is>
      </c>
      <c r="T1379" s="6" t="inlineStr"/>
      <c r="U1379" s="4" t="inlineStr">
        <is>
          <t>2026-09-11 00:05:00</t>
        </is>
      </c>
      <c r="V1379" s="4" t="inlineStr">
        <is>
          <t>Etiqueta exacta agrupada de la fuente: EMSA, COPEL, Agua y Energia.</t>
        </is>
      </c>
    </row>
    <row r="1380">
      <c r="A1380" s="6" t="inlineStr">
        <is>
          <t>R0001379</t>
        </is>
      </c>
      <c r="B1380" s="6" t="inlineStr">
        <is>
          <t>2003-01-01</t>
        </is>
      </c>
      <c r="C1380" s="6" t="inlineStr">
        <is>
          <t>2003-12-31</t>
        </is>
      </c>
      <c r="D1380" s="6" t="inlineStr">
        <is>
          <t>year</t>
        </is>
      </c>
      <c r="E1380" s="6" t="inlineStr">
        <is>
          <t>ANDE_EXPORT_BY_COUNTERPARTY</t>
        </is>
      </c>
      <c r="F1380" s="6" t="inlineStr">
        <is>
          <t>PY_SIN</t>
        </is>
      </c>
      <c r="G1380" s="6" t="inlineStr">
        <is>
          <t>PY</t>
        </is>
      </c>
      <c r="H1380" s="6" t="inlineStr">
        <is>
          <t>EMSA_COPEL_AGUA_ENERGIA</t>
        </is>
      </c>
      <c r="I1380" s="8" t="n">
        <v>617475.812</v>
      </c>
      <c r="J1380" s="6" t="inlineStr">
        <is>
          <t>MWh</t>
        </is>
      </c>
      <c r="K1380" s="8" t="n">
        <v>617475.812</v>
      </c>
      <c r="L1380" s="6" t="inlineStr">
        <is>
          <t>MWh</t>
        </is>
      </c>
      <c r="M1380" s="6" t="inlineStr">
        <is>
          <t>ANDE</t>
        </is>
      </c>
      <c r="N1380" s="6" t="inlineStr">
        <is>
          <t>OFFICIAL_PRIMARY</t>
        </is>
      </c>
      <c r="O1380" s="9" t="inlineStr">
        <is>
          <t>OFFICIAL_AGGREGATE</t>
        </is>
      </c>
      <c r="P1380" s="8" t="n">
        <v>1</v>
      </c>
      <c r="Q1380" s="8" t="n">
        <v>45</v>
      </c>
      <c r="R1380" s="7" t="inlineStr">
        <is>
          <t>https://www.ande.gov.py/estadisticas/BalanceEnergia1983-2006/CompilacionEstadistica83-06.pdf</t>
        </is>
      </c>
      <c r="S1380" s="6" t="inlineStr">
        <is>
          <t>ANDE-83-06</t>
        </is>
      </c>
      <c r="T1380" s="6" t="inlineStr"/>
      <c r="U1380" s="4" t="inlineStr">
        <is>
          <t>2026-09-11 00:05:00</t>
        </is>
      </c>
      <c r="V1380" s="4" t="inlineStr">
        <is>
          <t>Etiqueta exacta agrupada de la fuente: EMSA, COPEL, Agua y Energia.</t>
        </is>
      </c>
    </row>
    <row r="1381">
      <c r="A1381" s="6" t="inlineStr">
        <is>
          <t>R0001380</t>
        </is>
      </c>
      <c r="B1381" s="6" t="inlineStr">
        <is>
          <t>2004-01-01</t>
        </is>
      </c>
      <c r="C1381" s="6" t="inlineStr">
        <is>
          <t>2004-12-31</t>
        </is>
      </c>
      <c r="D1381" s="6" t="inlineStr">
        <is>
          <t>year</t>
        </is>
      </c>
      <c r="E1381" s="6" t="inlineStr">
        <is>
          <t>ANDE_EXPORT_BY_COUNTERPARTY</t>
        </is>
      </c>
      <c r="F1381" s="6" t="inlineStr">
        <is>
          <t>PY_SIN</t>
        </is>
      </c>
      <c r="G1381" s="6" t="inlineStr">
        <is>
          <t>PY</t>
        </is>
      </c>
      <c r="H1381" s="6" t="inlineStr">
        <is>
          <t>EMSA_COPEL_AGUA_ENERGIA</t>
        </is>
      </c>
      <c r="I1381" s="8" t="n">
        <v>732379.6679999999</v>
      </c>
      <c r="J1381" s="6" t="inlineStr">
        <is>
          <t>MWh</t>
        </is>
      </c>
      <c r="K1381" s="8" t="n">
        <v>732379.6679999999</v>
      </c>
      <c r="L1381" s="6" t="inlineStr">
        <is>
          <t>MWh</t>
        </is>
      </c>
      <c r="M1381" s="6" t="inlineStr">
        <is>
          <t>ANDE</t>
        </is>
      </c>
      <c r="N1381" s="6" t="inlineStr">
        <is>
          <t>OFFICIAL_PRIMARY</t>
        </is>
      </c>
      <c r="O1381" s="9" t="inlineStr">
        <is>
          <t>OFFICIAL_AGGREGATE</t>
        </is>
      </c>
      <c r="P1381" s="8" t="n">
        <v>1</v>
      </c>
      <c r="Q1381" s="8" t="n">
        <v>45</v>
      </c>
      <c r="R1381" s="7" t="inlineStr">
        <is>
          <t>https://www.ande.gov.py/estadisticas/BalanceEnergia1983-2006/CompilacionEstadistica83-06.pdf</t>
        </is>
      </c>
      <c r="S1381" s="6" t="inlineStr">
        <is>
          <t>ANDE-83-06</t>
        </is>
      </c>
      <c r="T1381" s="6" t="inlineStr"/>
      <c r="U1381" s="4" t="inlineStr">
        <is>
          <t>2026-09-11 00:05:00</t>
        </is>
      </c>
      <c r="V1381" s="4" t="inlineStr">
        <is>
          <t>Etiqueta exacta agrupada de la fuente: EMSA, COPEL, Agua y Energia.</t>
        </is>
      </c>
    </row>
    <row r="1382">
      <c r="A1382" s="6" t="inlineStr">
        <is>
          <t>R0001381</t>
        </is>
      </c>
      <c r="B1382" s="6" t="inlineStr">
        <is>
          <t>2005-01-01</t>
        </is>
      </c>
      <c r="C1382" s="6" t="inlineStr">
        <is>
          <t>2005-12-31</t>
        </is>
      </c>
      <c r="D1382" s="6" t="inlineStr">
        <is>
          <t>year</t>
        </is>
      </c>
      <c r="E1382" s="6" t="inlineStr">
        <is>
          <t>ANDE_EXPORT_BY_COUNTERPARTY</t>
        </is>
      </c>
      <c r="F1382" s="6" t="inlineStr">
        <is>
          <t>PY_SIN</t>
        </is>
      </c>
      <c r="G1382" s="6" t="inlineStr">
        <is>
          <t>PY</t>
        </is>
      </c>
      <c r="H1382" s="6" t="inlineStr">
        <is>
          <t>EMSA_COPEL_AGUA_ENERGIA</t>
        </is>
      </c>
      <c r="I1382" s="8" t="n">
        <v>417117.143</v>
      </c>
      <c r="J1382" s="6" t="inlineStr">
        <is>
          <t>MWh</t>
        </is>
      </c>
      <c r="K1382" s="8" t="n">
        <v>417117.143</v>
      </c>
      <c r="L1382" s="6" t="inlineStr">
        <is>
          <t>MWh</t>
        </is>
      </c>
      <c r="M1382" s="6" t="inlineStr">
        <is>
          <t>ANDE</t>
        </is>
      </c>
      <c r="N1382" s="6" t="inlineStr">
        <is>
          <t>OFFICIAL_PRIMARY</t>
        </is>
      </c>
      <c r="O1382" s="9" t="inlineStr">
        <is>
          <t>OFFICIAL_AGGREGATE</t>
        </is>
      </c>
      <c r="P1382" s="8" t="n">
        <v>1</v>
      </c>
      <c r="Q1382" s="8" t="n">
        <v>45</v>
      </c>
      <c r="R1382" s="7" t="inlineStr">
        <is>
          <t>https://www.ande.gov.py/estadisticas/BalanceEnergia1983-2006/CompilacionEstadistica83-06.pdf</t>
        </is>
      </c>
      <c r="S1382" s="6" t="inlineStr">
        <is>
          <t>ANDE-83-06</t>
        </is>
      </c>
      <c r="T1382" s="6" t="inlineStr"/>
      <c r="U1382" s="4" t="inlineStr">
        <is>
          <t>2026-09-11 00:05:00</t>
        </is>
      </c>
      <c r="V1382" s="4" t="inlineStr">
        <is>
          <t>Etiqueta exacta agrupada de la fuente: EMSA, COPEL, Agua y Energia.</t>
        </is>
      </c>
    </row>
    <row r="1383">
      <c r="A1383" s="6" t="inlineStr">
        <is>
          <t>R0001382</t>
        </is>
      </c>
      <c r="B1383" s="6" t="inlineStr">
        <is>
          <t>2006-01-01</t>
        </is>
      </c>
      <c r="C1383" s="6" t="inlineStr">
        <is>
          <t>2006-12-31</t>
        </is>
      </c>
      <c r="D1383" s="6" t="inlineStr">
        <is>
          <t>year</t>
        </is>
      </c>
      <c r="E1383" s="6" t="inlineStr">
        <is>
          <t>ANDE_EXPORT_BY_COUNTERPARTY</t>
        </is>
      </c>
      <c r="F1383" s="6" t="inlineStr">
        <is>
          <t>PY_SIN</t>
        </is>
      </c>
      <c r="G1383" s="6" t="inlineStr">
        <is>
          <t>PY</t>
        </is>
      </c>
      <c r="H1383" s="6" t="inlineStr">
        <is>
          <t>EMSA_COPEL_AGUA_ENERGIA</t>
        </is>
      </c>
      <c r="I1383" s="8" t="n">
        <v>725645.545</v>
      </c>
      <c r="J1383" s="6" t="inlineStr">
        <is>
          <t>MWh</t>
        </is>
      </c>
      <c r="K1383" s="8" t="n">
        <v>725645.545</v>
      </c>
      <c r="L1383" s="6" t="inlineStr">
        <is>
          <t>MWh</t>
        </is>
      </c>
      <c r="M1383" s="6" t="inlineStr">
        <is>
          <t>ANDE</t>
        </is>
      </c>
      <c r="N1383" s="6" t="inlineStr">
        <is>
          <t>OFFICIAL_PRIMARY</t>
        </is>
      </c>
      <c r="O1383" s="9" t="inlineStr">
        <is>
          <t>OFFICIAL_AGGREGATE</t>
        </is>
      </c>
      <c r="P1383" s="8" t="n">
        <v>1</v>
      </c>
      <c r="Q1383" s="8" t="n">
        <v>45</v>
      </c>
      <c r="R1383" s="7" t="inlineStr">
        <is>
          <t>https://www.ande.gov.py/estadisticas/BalanceEnergia1983-2006/CompilacionEstadistica83-06.pdf</t>
        </is>
      </c>
      <c r="S1383" s="6" t="inlineStr">
        <is>
          <t>ANDE-83-06</t>
        </is>
      </c>
      <c r="T1383" s="6" t="inlineStr"/>
      <c r="U1383" s="4" t="inlineStr">
        <is>
          <t>2026-09-11 00:05:00</t>
        </is>
      </c>
      <c r="V1383" s="4" t="inlineStr">
        <is>
          <t>Etiqueta exacta agrupada de la fuente: EMSA, COPEL, Agua y Energia.</t>
        </is>
      </c>
    </row>
    <row r="1384">
      <c r="A1384" s="6" t="inlineStr">
        <is>
          <t>R0001383</t>
        </is>
      </c>
      <c r="B1384" s="6" t="inlineStr">
        <is>
          <t>1989-01-01</t>
        </is>
      </c>
      <c r="C1384" s="6" t="inlineStr">
        <is>
          <t>1989-12-31</t>
        </is>
      </c>
      <c r="D1384" s="6" t="inlineStr">
        <is>
          <t>year</t>
        </is>
      </c>
      <c r="E1384" s="6" t="inlineStr">
        <is>
          <t>ANDE_EXPORT_BY_COUNTERPARTY</t>
        </is>
      </c>
      <c r="F1384" s="6" t="inlineStr">
        <is>
          <t>PY_SIN</t>
        </is>
      </c>
      <c r="G1384" s="6" t="inlineStr">
        <is>
          <t>PY</t>
        </is>
      </c>
      <c r="H1384" s="6" t="inlineStr">
        <is>
          <t>ERIDAY_YACYRETA</t>
        </is>
      </c>
      <c r="I1384" s="8" t="n">
        <v>88691.361</v>
      </c>
      <c r="J1384" s="6" t="inlineStr">
        <is>
          <t>MWh</t>
        </is>
      </c>
      <c r="K1384" s="8" t="n">
        <v>88691.361</v>
      </c>
      <c r="L1384" s="6" t="inlineStr">
        <is>
          <t>MWh</t>
        </is>
      </c>
      <c r="M1384" s="6" t="inlineStr">
        <is>
          <t>ANDE</t>
        </is>
      </c>
      <c r="N1384" s="6" t="inlineStr">
        <is>
          <t>OFFICIAL_PRIMARY</t>
        </is>
      </c>
      <c r="O1384" s="9" t="inlineStr">
        <is>
          <t>OFFICIAL_AGGREGATE</t>
        </is>
      </c>
      <c r="P1384" s="8" t="n">
        <v>1</v>
      </c>
      <c r="Q1384" s="8" t="n">
        <v>45</v>
      </c>
      <c r="R1384" s="7" t="inlineStr">
        <is>
          <t>https://www.ande.gov.py/estadisticas/BalanceEnergia1983-2006/CompilacionEstadistica83-06.pdf</t>
        </is>
      </c>
      <c r="S1384" s="6" t="inlineStr">
        <is>
          <t>ANDE-83-06</t>
        </is>
      </c>
      <c r="T1384" s="6" t="inlineStr"/>
      <c r="U1384" s="4" t="inlineStr">
        <is>
          <t>2026-09-11 00:05:00</t>
        </is>
      </c>
      <c r="V1384" s="4" t="inlineStr">
        <is>
          <t>Etiqueta historica ERIDAY/Yacyreta.</t>
        </is>
      </c>
    </row>
    <row r="1385">
      <c r="A1385" s="6" t="inlineStr">
        <is>
          <t>R0001384</t>
        </is>
      </c>
      <c r="B1385" s="6" t="inlineStr">
        <is>
          <t>1990-01-01</t>
        </is>
      </c>
      <c r="C1385" s="6" t="inlineStr">
        <is>
          <t>1990-12-31</t>
        </is>
      </c>
      <c r="D1385" s="6" t="inlineStr">
        <is>
          <t>year</t>
        </is>
      </c>
      <c r="E1385" s="6" t="inlineStr">
        <is>
          <t>ANDE_EXPORT_BY_COUNTERPARTY</t>
        </is>
      </c>
      <c r="F1385" s="6" t="inlineStr">
        <is>
          <t>PY_SIN</t>
        </is>
      </c>
      <c r="G1385" s="6" t="inlineStr">
        <is>
          <t>PY</t>
        </is>
      </c>
      <c r="H1385" s="6" t="inlineStr">
        <is>
          <t>ERIDAY_YACYRETA</t>
        </is>
      </c>
      <c r="I1385" s="8" t="n">
        <v>80830.69100000001</v>
      </c>
      <c r="J1385" s="6" t="inlineStr">
        <is>
          <t>MWh</t>
        </is>
      </c>
      <c r="K1385" s="8" t="n">
        <v>80830.69100000001</v>
      </c>
      <c r="L1385" s="6" t="inlineStr">
        <is>
          <t>MWh</t>
        </is>
      </c>
      <c r="M1385" s="6" t="inlineStr">
        <is>
          <t>ANDE</t>
        </is>
      </c>
      <c r="N1385" s="6" t="inlineStr">
        <is>
          <t>OFFICIAL_PRIMARY</t>
        </is>
      </c>
      <c r="O1385" s="9" t="inlineStr">
        <is>
          <t>OFFICIAL_AGGREGATE</t>
        </is>
      </c>
      <c r="P1385" s="8" t="n">
        <v>1</v>
      </c>
      <c r="Q1385" s="8" t="n">
        <v>45</v>
      </c>
      <c r="R1385" s="7" t="inlineStr">
        <is>
          <t>https://www.ande.gov.py/estadisticas/BalanceEnergia1983-2006/CompilacionEstadistica83-06.pdf</t>
        </is>
      </c>
      <c r="S1385" s="6" t="inlineStr">
        <is>
          <t>ANDE-83-06</t>
        </is>
      </c>
      <c r="T1385" s="6" t="inlineStr"/>
      <c r="U1385" s="4" t="inlineStr">
        <is>
          <t>2026-09-11 00:05:00</t>
        </is>
      </c>
      <c r="V1385" s="4" t="inlineStr">
        <is>
          <t>Etiqueta historica ERIDAY/Yacyreta.</t>
        </is>
      </c>
    </row>
    <row r="1386">
      <c r="A1386" s="6" t="inlineStr">
        <is>
          <t>R0001385</t>
        </is>
      </c>
      <c r="B1386" s="6" t="inlineStr">
        <is>
          <t>1991-01-01</t>
        </is>
      </c>
      <c r="C1386" s="6" t="inlineStr">
        <is>
          <t>1991-12-31</t>
        </is>
      </c>
      <c r="D1386" s="6" t="inlineStr">
        <is>
          <t>year</t>
        </is>
      </c>
      <c r="E1386" s="6" t="inlineStr">
        <is>
          <t>ANDE_EXPORT_BY_COUNTERPARTY</t>
        </is>
      </c>
      <c r="F1386" s="6" t="inlineStr">
        <is>
          <t>PY_SIN</t>
        </is>
      </c>
      <c r="G1386" s="6" t="inlineStr">
        <is>
          <t>PY</t>
        </is>
      </c>
      <c r="H1386" s="6" t="inlineStr">
        <is>
          <t>ERIDAY_YACYRETA</t>
        </is>
      </c>
      <c r="I1386" s="8" t="n">
        <v>61069.374</v>
      </c>
      <c r="J1386" s="6" t="inlineStr">
        <is>
          <t>MWh</t>
        </is>
      </c>
      <c r="K1386" s="8" t="n">
        <v>61069.374</v>
      </c>
      <c r="L1386" s="6" t="inlineStr">
        <is>
          <t>MWh</t>
        </is>
      </c>
      <c r="M1386" s="6" t="inlineStr">
        <is>
          <t>ANDE</t>
        </is>
      </c>
      <c r="N1386" s="6" t="inlineStr">
        <is>
          <t>OFFICIAL_PRIMARY</t>
        </is>
      </c>
      <c r="O1386" s="9" t="inlineStr">
        <is>
          <t>OFFICIAL_AGGREGATE</t>
        </is>
      </c>
      <c r="P1386" s="8" t="n">
        <v>1</v>
      </c>
      <c r="Q1386" s="8" t="n">
        <v>45</v>
      </c>
      <c r="R1386" s="7" t="inlineStr">
        <is>
          <t>https://www.ande.gov.py/estadisticas/BalanceEnergia1983-2006/CompilacionEstadistica83-06.pdf</t>
        </is>
      </c>
      <c r="S1386" s="6" t="inlineStr">
        <is>
          <t>ANDE-83-06</t>
        </is>
      </c>
      <c r="T1386" s="6" t="inlineStr"/>
      <c r="U1386" s="4" t="inlineStr">
        <is>
          <t>2026-09-11 00:05:00</t>
        </is>
      </c>
      <c r="V1386" s="4" t="inlineStr">
        <is>
          <t>Etiqueta historica ERIDAY/Yacyreta.</t>
        </is>
      </c>
    </row>
    <row r="1387">
      <c r="A1387" s="6" t="inlineStr">
        <is>
          <t>R0001386</t>
        </is>
      </c>
      <c r="B1387" s="6" t="inlineStr">
        <is>
          <t>1992-01-01</t>
        </is>
      </c>
      <c r="C1387" s="6" t="inlineStr">
        <is>
          <t>1992-12-31</t>
        </is>
      </c>
      <c r="D1387" s="6" t="inlineStr">
        <is>
          <t>year</t>
        </is>
      </c>
      <c r="E1387" s="6" t="inlineStr">
        <is>
          <t>ANDE_EXPORT_BY_COUNTERPARTY</t>
        </is>
      </c>
      <c r="F1387" s="6" t="inlineStr">
        <is>
          <t>PY_SIN</t>
        </is>
      </c>
      <c r="G1387" s="6" t="inlineStr">
        <is>
          <t>PY</t>
        </is>
      </c>
      <c r="H1387" s="6" t="inlineStr">
        <is>
          <t>ERIDAY_YACYRETA</t>
        </is>
      </c>
      <c r="I1387" s="8" t="n">
        <v>53108.123</v>
      </c>
      <c r="J1387" s="6" t="inlineStr">
        <is>
          <t>MWh</t>
        </is>
      </c>
      <c r="K1387" s="8" t="n">
        <v>53108.123</v>
      </c>
      <c r="L1387" s="6" t="inlineStr">
        <is>
          <t>MWh</t>
        </is>
      </c>
      <c r="M1387" s="6" t="inlineStr">
        <is>
          <t>ANDE</t>
        </is>
      </c>
      <c r="N1387" s="6" t="inlineStr">
        <is>
          <t>OFFICIAL_PRIMARY</t>
        </is>
      </c>
      <c r="O1387" s="9" t="inlineStr">
        <is>
          <t>OFFICIAL_AGGREGATE</t>
        </is>
      </c>
      <c r="P1387" s="8" t="n">
        <v>1</v>
      </c>
      <c r="Q1387" s="8" t="n">
        <v>45</v>
      </c>
      <c r="R1387" s="7" t="inlineStr">
        <is>
          <t>https://www.ande.gov.py/estadisticas/BalanceEnergia1983-2006/CompilacionEstadistica83-06.pdf</t>
        </is>
      </c>
      <c r="S1387" s="6" t="inlineStr">
        <is>
          <t>ANDE-83-06</t>
        </is>
      </c>
      <c r="T1387" s="6" t="inlineStr"/>
      <c r="U1387" s="4" t="inlineStr">
        <is>
          <t>2026-09-11 00:05:00</t>
        </is>
      </c>
      <c r="V1387" s="4" t="inlineStr">
        <is>
          <t>Etiqueta historica ERIDAY/Yacyreta.</t>
        </is>
      </c>
    </row>
    <row r="1388">
      <c r="A1388" s="6" t="inlineStr">
        <is>
          <t>R0001387</t>
        </is>
      </c>
      <c r="B1388" s="6" t="inlineStr">
        <is>
          <t>1993-01-01</t>
        </is>
      </c>
      <c r="C1388" s="6" t="inlineStr">
        <is>
          <t>1993-12-31</t>
        </is>
      </c>
      <c r="D1388" s="6" t="inlineStr">
        <is>
          <t>year</t>
        </is>
      </c>
      <c r="E1388" s="6" t="inlineStr">
        <is>
          <t>ANDE_EXPORT_BY_COUNTERPARTY</t>
        </is>
      </c>
      <c r="F1388" s="6" t="inlineStr">
        <is>
          <t>PY_SIN</t>
        </is>
      </c>
      <c r="G1388" s="6" t="inlineStr">
        <is>
          <t>PY</t>
        </is>
      </c>
      <c r="H1388" s="6" t="inlineStr">
        <is>
          <t>ERIDAY_YACYRETA</t>
        </is>
      </c>
      <c r="I1388" s="8" t="n">
        <v>64152.332</v>
      </c>
      <c r="J1388" s="6" t="inlineStr">
        <is>
          <t>MWh</t>
        </is>
      </c>
      <c r="K1388" s="8" t="n">
        <v>64152.332</v>
      </c>
      <c r="L1388" s="6" t="inlineStr">
        <is>
          <t>MWh</t>
        </is>
      </c>
      <c r="M1388" s="6" t="inlineStr">
        <is>
          <t>ANDE</t>
        </is>
      </c>
      <c r="N1388" s="6" t="inlineStr">
        <is>
          <t>OFFICIAL_PRIMARY</t>
        </is>
      </c>
      <c r="O1388" s="9" t="inlineStr">
        <is>
          <t>OFFICIAL_AGGREGATE</t>
        </is>
      </c>
      <c r="P1388" s="8" t="n">
        <v>1</v>
      </c>
      <c r="Q1388" s="8" t="n">
        <v>45</v>
      </c>
      <c r="R1388" s="7" t="inlineStr">
        <is>
          <t>https://www.ande.gov.py/estadisticas/BalanceEnergia1983-2006/CompilacionEstadistica83-06.pdf</t>
        </is>
      </c>
      <c r="S1388" s="6" t="inlineStr">
        <is>
          <t>ANDE-83-06</t>
        </is>
      </c>
      <c r="T1388" s="6" t="inlineStr"/>
      <c r="U1388" s="4" t="inlineStr">
        <is>
          <t>2026-09-11 00:05:00</t>
        </is>
      </c>
      <c r="V1388" s="4" t="inlineStr">
        <is>
          <t>Etiqueta historica ERIDAY/Yacyreta.</t>
        </is>
      </c>
    </row>
    <row r="1389">
      <c r="A1389" s="6" t="inlineStr">
        <is>
          <t>R0001388</t>
        </is>
      </c>
      <c r="B1389" s="6" t="inlineStr">
        <is>
          <t>1994-01-01</t>
        </is>
      </c>
      <c r="C1389" s="6" t="inlineStr">
        <is>
          <t>1994-12-31</t>
        </is>
      </c>
      <c r="D1389" s="6" t="inlineStr">
        <is>
          <t>year</t>
        </is>
      </c>
      <c r="E1389" s="6" t="inlineStr">
        <is>
          <t>ANDE_EXPORT_BY_COUNTERPARTY</t>
        </is>
      </c>
      <c r="F1389" s="6" t="inlineStr">
        <is>
          <t>PY_SIN</t>
        </is>
      </c>
      <c r="G1389" s="6" t="inlineStr">
        <is>
          <t>PY</t>
        </is>
      </c>
      <c r="H1389" s="6" t="inlineStr">
        <is>
          <t>ERIDAY_YACYRETA</t>
        </is>
      </c>
      <c r="I1389" s="8" t="n">
        <v>67530.88800000001</v>
      </c>
      <c r="J1389" s="6" t="inlineStr">
        <is>
          <t>MWh</t>
        </is>
      </c>
      <c r="K1389" s="8" t="n">
        <v>67530.88800000001</v>
      </c>
      <c r="L1389" s="6" t="inlineStr">
        <is>
          <t>MWh</t>
        </is>
      </c>
      <c r="M1389" s="6" t="inlineStr">
        <is>
          <t>ANDE</t>
        </is>
      </c>
      <c r="N1389" s="6" t="inlineStr">
        <is>
          <t>OFFICIAL_PRIMARY</t>
        </is>
      </c>
      <c r="O1389" s="9" t="inlineStr">
        <is>
          <t>OFFICIAL_AGGREGATE</t>
        </is>
      </c>
      <c r="P1389" s="8" t="n">
        <v>1</v>
      </c>
      <c r="Q1389" s="8" t="n">
        <v>45</v>
      </c>
      <c r="R1389" s="7" t="inlineStr">
        <is>
          <t>https://www.ande.gov.py/estadisticas/BalanceEnergia1983-2006/CompilacionEstadistica83-06.pdf</t>
        </is>
      </c>
      <c r="S1389" s="6" t="inlineStr">
        <is>
          <t>ANDE-83-06</t>
        </is>
      </c>
      <c r="T1389" s="6" t="inlineStr"/>
      <c r="U1389" s="4" t="inlineStr">
        <is>
          <t>2026-09-11 00:05:00</t>
        </is>
      </c>
      <c r="V1389" s="4" t="inlineStr">
        <is>
          <t>Etiqueta historica ERIDAY/Yacyreta.</t>
        </is>
      </c>
    </row>
    <row r="1390">
      <c r="A1390" s="6" t="inlineStr">
        <is>
          <t>R0001389</t>
        </is>
      </c>
      <c r="B1390" s="6" t="inlineStr">
        <is>
          <t>1995-01-01</t>
        </is>
      </c>
      <c r="C1390" s="6" t="inlineStr">
        <is>
          <t>1995-12-31</t>
        </is>
      </c>
      <c r="D1390" s="6" t="inlineStr">
        <is>
          <t>year</t>
        </is>
      </c>
      <c r="E1390" s="6" t="inlineStr">
        <is>
          <t>ANDE_EXPORT_BY_COUNTERPARTY</t>
        </is>
      </c>
      <c r="F1390" s="6" t="inlineStr">
        <is>
          <t>PY_SIN</t>
        </is>
      </c>
      <c r="G1390" s="6" t="inlineStr">
        <is>
          <t>PY</t>
        </is>
      </c>
      <c r="H1390" s="6" t="inlineStr">
        <is>
          <t>ERIDAY_YACYRETA</t>
        </is>
      </c>
      <c r="I1390" s="8" t="n">
        <v>64318.231</v>
      </c>
      <c r="J1390" s="6" t="inlineStr">
        <is>
          <t>MWh</t>
        </is>
      </c>
      <c r="K1390" s="8" t="n">
        <v>64318.231</v>
      </c>
      <c r="L1390" s="6" t="inlineStr">
        <is>
          <t>MWh</t>
        </is>
      </c>
      <c r="M1390" s="6" t="inlineStr">
        <is>
          <t>ANDE</t>
        </is>
      </c>
      <c r="N1390" s="6" t="inlineStr">
        <is>
          <t>OFFICIAL_PRIMARY</t>
        </is>
      </c>
      <c r="O1390" s="9" t="inlineStr">
        <is>
          <t>OFFICIAL_AGGREGATE</t>
        </is>
      </c>
      <c r="P1390" s="8" t="n">
        <v>1</v>
      </c>
      <c r="Q1390" s="8" t="n">
        <v>45</v>
      </c>
      <c r="R1390" s="7" t="inlineStr">
        <is>
          <t>https://www.ande.gov.py/estadisticas/BalanceEnergia1983-2006/CompilacionEstadistica83-06.pdf</t>
        </is>
      </c>
      <c r="S1390" s="6" t="inlineStr">
        <is>
          <t>ANDE-83-06</t>
        </is>
      </c>
      <c r="T1390" s="6" t="inlineStr"/>
      <c r="U1390" s="4" t="inlineStr">
        <is>
          <t>2026-09-11 00:05:00</t>
        </is>
      </c>
      <c r="V1390" s="4" t="inlineStr">
        <is>
          <t>Etiqueta historica ERIDAY/Yacyreta.</t>
        </is>
      </c>
    </row>
    <row r="1391">
      <c r="A1391" s="6" t="inlineStr">
        <is>
          <t>R0001390</t>
        </is>
      </c>
      <c r="B1391" s="6" t="inlineStr">
        <is>
          <t>1996-01-01</t>
        </is>
      </c>
      <c r="C1391" s="6" t="inlineStr">
        <is>
          <t>1996-12-31</t>
        </is>
      </c>
      <c r="D1391" s="6" t="inlineStr">
        <is>
          <t>year</t>
        </is>
      </c>
      <c r="E1391" s="6" t="inlineStr">
        <is>
          <t>ANDE_EXPORT_BY_COUNTERPARTY</t>
        </is>
      </c>
      <c r="F1391" s="6" t="inlineStr">
        <is>
          <t>PY_SIN</t>
        </is>
      </c>
      <c r="G1391" s="6" t="inlineStr">
        <is>
          <t>PY</t>
        </is>
      </c>
      <c r="H1391" s="6" t="inlineStr">
        <is>
          <t>ERIDAY_YACYRETA</t>
        </is>
      </c>
      <c r="I1391" s="8" t="n">
        <v>48014.341</v>
      </c>
      <c r="J1391" s="6" t="inlineStr">
        <is>
          <t>MWh</t>
        </is>
      </c>
      <c r="K1391" s="8" t="n">
        <v>48014.341</v>
      </c>
      <c r="L1391" s="6" t="inlineStr">
        <is>
          <t>MWh</t>
        </is>
      </c>
      <c r="M1391" s="6" t="inlineStr">
        <is>
          <t>ANDE</t>
        </is>
      </c>
      <c r="N1391" s="6" t="inlineStr">
        <is>
          <t>OFFICIAL_PRIMARY</t>
        </is>
      </c>
      <c r="O1391" s="9" t="inlineStr">
        <is>
          <t>OFFICIAL_AGGREGATE</t>
        </is>
      </c>
      <c r="P1391" s="8" t="n">
        <v>1</v>
      </c>
      <c r="Q1391" s="8" t="n">
        <v>45</v>
      </c>
      <c r="R1391" s="7" t="inlineStr">
        <is>
          <t>https://www.ande.gov.py/estadisticas/BalanceEnergia1983-2006/CompilacionEstadistica83-06.pdf</t>
        </is>
      </c>
      <c r="S1391" s="6" t="inlineStr">
        <is>
          <t>ANDE-83-06</t>
        </is>
      </c>
      <c r="T1391" s="6" t="inlineStr"/>
      <c r="U1391" s="4" t="inlineStr">
        <is>
          <t>2026-09-11 00:05:00</t>
        </is>
      </c>
      <c r="V1391" s="4" t="inlineStr">
        <is>
          <t>Etiqueta historica ERIDAY/Yacyreta.</t>
        </is>
      </c>
    </row>
    <row r="1392">
      <c r="A1392" s="6" t="inlineStr">
        <is>
          <t>R0001391</t>
        </is>
      </c>
      <c r="B1392" s="6" t="inlineStr">
        <is>
          <t>1997-01-01</t>
        </is>
      </c>
      <c r="C1392" s="6" t="inlineStr">
        <is>
          <t>1997-12-31</t>
        </is>
      </c>
      <c r="D1392" s="6" t="inlineStr">
        <is>
          <t>year</t>
        </is>
      </c>
      <c r="E1392" s="6" t="inlineStr">
        <is>
          <t>ANDE_EXPORT_BY_COUNTERPARTY</t>
        </is>
      </c>
      <c r="F1392" s="6" t="inlineStr">
        <is>
          <t>PY_SIN</t>
        </is>
      </c>
      <c r="G1392" s="6" t="inlineStr">
        <is>
          <t>PY</t>
        </is>
      </c>
      <c r="H1392" s="6" t="inlineStr">
        <is>
          <t>ERIDAY_YACYRETA</t>
        </is>
      </c>
      <c r="I1392" s="8" t="n">
        <v>35814.181</v>
      </c>
      <c r="J1392" s="6" t="inlineStr">
        <is>
          <t>MWh</t>
        </is>
      </c>
      <c r="K1392" s="8" t="n">
        <v>35814.181</v>
      </c>
      <c r="L1392" s="6" t="inlineStr">
        <is>
          <t>MWh</t>
        </is>
      </c>
      <c r="M1392" s="6" t="inlineStr">
        <is>
          <t>ANDE</t>
        </is>
      </c>
      <c r="N1392" s="6" t="inlineStr">
        <is>
          <t>OFFICIAL_PRIMARY</t>
        </is>
      </c>
      <c r="O1392" s="9" t="inlineStr">
        <is>
          <t>OFFICIAL_AGGREGATE</t>
        </is>
      </c>
      <c r="P1392" s="8" t="n">
        <v>1</v>
      </c>
      <c r="Q1392" s="8" t="n">
        <v>45</v>
      </c>
      <c r="R1392" s="7" t="inlineStr">
        <is>
          <t>https://www.ande.gov.py/estadisticas/BalanceEnergia1983-2006/CompilacionEstadistica83-06.pdf</t>
        </is>
      </c>
      <c r="S1392" s="6" t="inlineStr">
        <is>
          <t>ANDE-83-06</t>
        </is>
      </c>
      <c r="T1392" s="6" t="inlineStr"/>
      <c r="U1392" s="4" t="inlineStr">
        <is>
          <t>2026-09-11 00:05:00</t>
        </is>
      </c>
      <c r="V1392" s="4" t="inlineStr">
        <is>
          <t>Etiqueta historica ERIDAY/Yacyreta.</t>
        </is>
      </c>
    </row>
    <row r="1393">
      <c r="A1393" s="6" t="inlineStr">
        <is>
          <t>R0001392</t>
        </is>
      </c>
      <c r="B1393" s="6" t="inlineStr">
        <is>
          <t>1998-01-01</t>
        </is>
      </c>
      <c r="C1393" s="6" t="inlineStr">
        <is>
          <t>1998-12-31</t>
        </is>
      </c>
      <c r="D1393" s="6" t="inlineStr">
        <is>
          <t>year</t>
        </is>
      </c>
      <c r="E1393" s="6" t="inlineStr">
        <is>
          <t>ANDE_EXPORT_BY_COUNTERPARTY</t>
        </is>
      </c>
      <c r="F1393" s="6" t="inlineStr">
        <is>
          <t>PY_SIN</t>
        </is>
      </c>
      <c r="G1393" s="6" t="inlineStr">
        <is>
          <t>PY</t>
        </is>
      </c>
      <c r="H1393" s="6" t="inlineStr">
        <is>
          <t>ERIDAY_YACYRETA</t>
        </is>
      </c>
      <c r="I1393" s="8" t="n">
        <v>28577.074</v>
      </c>
      <c r="J1393" s="6" t="inlineStr">
        <is>
          <t>MWh</t>
        </is>
      </c>
      <c r="K1393" s="8" t="n">
        <v>28577.074</v>
      </c>
      <c r="L1393" s="6" t="inlineStr">
        <is>
          <t>MWh</t>
        </is>
      </c>
      <c r="M1393" s="6" t="inlineStr">
        <is>
          <t>ANDE</t>
        </is>
      </c>
      <c r="N1393" s="6" t="inlineStr">
        <is>
          <t>OFFICIAL_PRIMARY</t>
        </is>
      </c>
      <c r="O1393" s="9" t="inlineStr">
        <is>
          <t>OFFICIAL_AGGREGATE</t>
        </is>
      </c>
      <c r="P1393" s="8" t="n">
        <v>1</v>
      </c>
      <c r="Q1393" s="8" t="n">
        <v>45</v>
      </c>
      <c r="R1393" s="7" t="inlineStr">
        <is>
          <t>https://www.ande.gov.py/estadisticas/BalanceEnergia1983-2006/CompilacionEstadistica83-06.pdf</t>
        </is>
      </c>
      <c r="S1393" s="6" t="inlineStr">
        <is>
          <t>ANDE-83-06</t>
        </is>
      </c>
      <c r="T1393" s="6" t="inlineStr"/>
      <c r="U1393" s="4" t="inlineStr">
        <is>
          <t>2026-09-11 00:05:00</t>
        </is>
      </c>
      <c r="V1393" s="4" t="inlineStr">
        <is>
          <t>Etiqueta historica ERIDAY/Yacyreta.</t>
        </is>
      </c>
    </row>
    <row r="1394">
      <c r="A1394" s="6" t="inlineStr">
        <is>
          <t>R0001393</t>
        </is>
      </c>
      <c r="B1394" s="6" t="inlineStr">
        <is>
          <t>1999-01-01</t>
        </is>
      </c>
      <c r="C1394" s="6" t="inlineStr">
        <is>
          <t>1999-12-31</t>
        </is>
      </c>
      <c r="D1394" s="6" t="inlineStr">
        <is>
          <t>year</t>
        </is>
      </c>
      <c r="E1394" s="6" t="inlineStr">
        <is>
          <t>ANDE_EXPORT_BY_COUNTERPARTY</t>
        </is>
      </c>
      <c r="F1394" s="6" t="inlineStr">
        <is>
          <t>PY_SIN</t>
        </is>
      </c>
      <c r="G1394" s="6" t="inlineStr">
        <is>
          <t>PY</t>
        </is>
      </c>
      <c r="H1394" s="6" t="inlineStr">
        <is>
          <t>ERIDAY_YACYRETA</t>
        </is>
      </c>
      <c r="I1394" s="8" t="n">
        <v>20857.478</v>
      </c>
      <c r="J1394" s="6" t="inlineStr">
        <is>
          <t>MWh</t>
        </is>
      </c>
      <c r="K1394" s="8" t="n">
        <v>20857.478</v>
      </c>
      <c r="L1394" s="6" t="inlineStr">
        <is>
          <t>MWh</t>
        </is>
      </c>
      <c r="M1394" s="6" t="inlineStr">
        <is>
          <t>ANDE</t>
        </is>
      </c>
      <c r="N1394" s="6" t="inlineStr">
        <is>
          <t>OFFICIAL_PRIMARY</t>
        </is>
      </c>
      <c r="O1394" s="9" t="inlineStr">
        <is>
          <t>OFFICIAL_AGGREGATE</t>
        </is>
      </c>
      <c r="P1394" s="8" t="n">
        <v>1</v>
      </c>
      <c r="Q1394" s="8" t="n">
        <v>45</v>
      </c>
      <c r="R1394" s="7" t="inlineStr">
        <is>
          <t>https://www.ande.gov.py/estadisticas/BalanceEnergia1983-2006/CompilacionEstadistica83-06.pdf</t>
        </is>
      </c>
      <c r="S1394" s="6" t="inlineStr">
        <is>
          <t>ANDE-83-06</t>
        </is>
      </c>
      <c r="T1394" s="6" t="inlineStr"/>
      <c r="U1394" s="4" t="inlineStr">
        <is>
          <t>2026-09-11 00:05:00</t>
        </is>
      </c>
      <c r="V1394" s="4" t="inlineStr">
        <is>
          <t>Etiqueta historica ERIDAY/Yacyreta.</t>
        </is>
      </c>
    </row>
    <row r="1395">
      <c r="A1395" s="6" t="inlineStr">
        <is>
          <t>R0001394</t>
        </is>
      </c>
      <c r="B1395" s="6" t="inlineStr">
        <is>
          <t>2000-01-01</t>
        </is>
      </c>
      <c r="C1395" s="6" t="inlineStr">
        <is>
          <t>2000-12-31</t>
        </is>
      </c>
      <c r="D1395" s="6" t="inlineStr">
        <is>
          <t>year</t>
        </is>
      </c>
      <c r="E1395" s="6" t="inlineStr">
        <is>
          <t>ANDE_EXPORT_BY_COUNTERPARTY</t>
        </is>
      </c>
      <c r="F1395" s="6" t="inlineStr">
        <is>
          <t>PY_SIN</t>
        </is>
      </c>
      <c r="G1395" s="6" t="inlineStr">
        <is>
          <t>PY</t>
        </is>
      </c>
      <c r="H1395" s="6" t="inlineStr">
        <is>
          <t>ERIDAY_YACYRETA</t>
        </is>
      </c>
      <c r="I1395" s="8" t="n">
        <v>12925.443</v>
      </c>
      <c r="J1395" s="6" t="inlineStr">
        <is>
          <t>MWh</t>
        </is>
      </c>
      <c r="K1395" s="8" t="n">
        <v>12925.443</v>
      </c>
      <c r="L1395" s="6" t="inlineStr">
        <is>
          <t>MWh</t>
        </is>
      </c>
      <c r="M1395" s="6" t="inlineStr">
        <is>
          <t>ANDE</t>
        </is>
      </c>
      <c r="N1395" s="6" t="inlineStr">
        <is>
          <t>OFFICIAL_PRIMARY</t>
        </is>
      </c>
      <c r="O1395" s="9" t="inlineStr">
        <is>
          <t>OFFICIAL_AGGREGATE</t>
        </is>
      </c>
      <c r="P1395" s="8" t="n">
        <v>1</v>
      </c>
      <c r="Q1395" s="8" t="n">
        <v>45</v>
      </c>
      <c r="R1395" s="7" t="inlineStr">
        <is>
          <t>https://www.ande.gov.py/estadisticas/BalanceEnergia1983-2006/CompilacionEstadistica83-06.pdf</t>
        </is>
      </c>
      <c r="S1395" s="6" t="inlineStr">
        <is>
          <t>ANDE-83-06</t>
        </is>
      </c>
      <c r="T1395" s="6" t="inlineStr"/>
      <c r="U1395" s="4" t="inlineStr">
        <is>
          <t>2026-09-11 00:05:00</t>
        </is>
      </c>
      <c r="V1395" s="4" t="inlineStr">
        <is>
          <t>Etiqueta historica ERIDAY/Yacyreta.</t>
        </is>
      </c>
    </row>
    <row r="1396">
      <c r="A1396" s="6" t="inlineStr">
        <is>
          <t>R0001395</t>
        </is>
      </c>
      <c r="B1396" s="6" t="inlineStr">
        <is>
          <t>2001-01-01</t>
        </is>
      </c>
      <c r="C1396" s="6" t="inlineStr">
        <is>
          <t>2001-12-31</t>
        </is>
      </c>
      <c r="D1396" s="6" t="inlineStr">
        <is>
          <t>year</t>
        </is>
      </c>
      <c r="E1396" s="6" t="inlineStr">
        <is>
          <t>ANDE_EXPORT_BY_COUNTERPARTY</t>
        </is>
      </c>
      <c r="F1396" s="6" t="inlineStr">
        <is>
          <t>PY_SIN</t>
        </is>
      </c>
      <c r="G1396" s="6" t="inlineStr">
        <is>
          <t>PY</t>
        </is>
      </c>
      <c r="H1396" s="6" t="inlineStr">
        <is>
          <t>ERIDAY_YACYRETA</t>
        </is>
      </c>
      <c r="I1396" s="8" t="n">
        <v>3144.713</v>
      </c>
      <c r="J1396" s="6" t="inlineStr">
        <is>
          <t>MWh</t>
        </is>
      </c>
      <c r="K1396" s="8" t="n">
        <v>3144.713</v>
      </c>
      <c r="L1396" s="6" t="inlineStr">
        <is>
          <t>MWh</t>
        </is>
      </c>
      <c r="M1396" s="6" t="inlineStr">
        <is>
          <t>ANDE</t>
        </is>
      </c>
      <c r="N1396" s="6" t="inlineStr">
        <is>
          <t>OFFICIAL_PRIMARY</t>
        </is>
      </c>
      <c r="O1396" s="9" t="inlineStr">
        <is>
          <t>OFFICIAL_AGGREGATE</t>
        </is>
      </c>
      <c r="P1396" s="8" t="n">
        <v>1</v>
      </c>
      <c r="Q1396" s="8" t="n">
        <v>45</v>
      </c>
      <c r="R1396" s="7" t="inlineStr">
        <is>
          <t>https://www.ande.gov.py/estadisticas/BalanceEnergia1983-2006/CompilacionEstadistica83-06.pdf</t>
        </is>
      </c>
      <c r="S1396" s="6" t="inlineStr">
        <is>
          <t>ANDE-83-06</t>
        </is>
      </c>
      <c r="T1396" s="6" t="inlineStr"/>
      <c r="U1396" s="4" t="inlineStr">
        <is>
          <t>2026-09-11 00:05:00</t>
        </is>
      </c>
      <c r="V1396" s="4" t="inlineStr">
        <is>
          <t>Etiqueta historica ERIDAY/Yacyreta.</t>
        </is>
      </c>
    </row>
    <row r="1397">
      <c r="A1397" s="6" t="inlineStr">
        <is>
          <t>R0001396</t>
        </is>
      </c>
      <c r="B1397" s="6" t="inlineStr">
        <is>
          <t>2002-01-01</t>
        </is>
      </c>
      <c r="C1397" s="6" t="inlineStr">
        <is>
          <t>2002-12-31</t>
        </is>
      </c>
      <c r="D1397" s="6" t="inlineStr">
        <is>
          <t>year</t>
        </is>
      </c>
      <c r="E1397" s="6" t="inlineStr">
        <is>
          <t>ANDE_EXPORT_BY_COUNTERPARTY</t>
        </is>
      </c>
      <c r="F1397" s="6" t="inlineStr">
        <is>
          <t>PY_SIN</t>
        </is>
      </c>
      <c r="G1397" s="6" t="inlineStr">
        <is>
          <t>PY</t>
        </is>
      </c>
      <c r="H1397" s="6" t="inlineStr">
        <is>
          <t>ERIDAY_YACYRETA</t>
        </is>
      </c>
      <c r="I1397" s="8" t="n">
        <v>6392.369</v>
      </c>
      <c r="J1397" s="6" t="inlineStr">
        <is>
          <t>MWh</t>
        </is>
      </c>
      <c r="K1397" s="8" t="n">
        <v>6392.369</v>
      </c>
      <c r="L1397" s="6" t="inlineStr">
        <is>
          <t>MWh</t>
        </is>
      </c>
      <c r="M1397" s="6" t="inlineStr">
        <is>
          <t>ANDE</t>
        </is>
      </c>
      <c r="N1397" s="6" t="inlineStr">
        <is>
          <t>OFFICIAL_PRIMARY</t>
        </is>
      </c>
      <c r="O1397" s="9" t="inlineStr">
        <is>
          <t>OFFICIAL_AGGREGATE</t>
        </is>
      </c>
      <c r="P1397" s="8" t="n">
        <v>1</v>
      </c>
      <c r="Q1397" s="8" t="n">
        <v>45</v>
      </c>
      <c r="R1397" s="7" t="inlineStr">
        <is>
          <t>https://www.ande.gov.py/estadisticas/BalanceEnergia1983-2006/CompilacionEstadistica83-06.pdf</t>
        </is>
      </c>
      <c r="S1397" s="6" t="inlineStr">
        <is>
          <t>ANDE-83-06</t>
        </is>
      </c>
      <c r="T1397" s="6" t="inlineStr"/>
      <c r="U1397" s="4" t="inlineStr">
        <is>
          <t>2026-09-11 00:05:00</t>
        </is>
      </c>
      <c r="V1397" s="4" t="inlineStr">
        <is>
          <t>Etiqueta historica ERIDAY/Yacyreta.</t>
        </is>
      </c>
    </row>
    <row r="1398">
      <c r="A1398" s="6" t="inlineStr">
        <is>
          <t>R0001397</t>
        </is>
      </c>
      <c r="B1398" s="6" t="inlineStr">
        <is>
          <t>2003-01-01</t>
        </is>
      </c>
      <c r="C1398" s="6" t="inlineStr">
        <is>
          <t>2003-12-31</t>
        </is>
      </c>
      <c r="D1398" s="6" t="inlineStr">
        <is>
          <t>year</t>
        </is>
      </c>
      <c r="E1398" s="6" t="inlineStr">
        <is>
          <t>ANDE_EXPORT_BY_COUNTERPARTY</t>
        </is>
      </c>
      <c r="F1398" s="6" t="inlineStr">
        <is>
          <t>PY_SIN</t>
        </is>
      </c>
      <c r="G1398" s="6" t="inlineStr">
        <is>
          <t>PY</t>
        </is>
      </c>
      <c r="H1398" s="6" t="inlineStr">
        <is>
          <t>ERIDAY_YACYRETA</t>
        </is>
      </c>
      <c r="I1398" s="8" t="n">
        <v>3290.871</v>
      </c>
      <c r="J1398" s="6" t="inlineStr">
        <is>
          <t>MWh</t>
        </is>
      </c>
      <c r="K1398" s="8" t="n">
        <v>3290.871</v>
      </c>
      <c r="L1398" s="6" t="inlineStr">
        <is>
          <t>MWh</t>
        </is>
      </c>
      <c r="M1398" s="6" t="inlineStr">
        <is>
          <t>ANDE</t>
        </is>
      </c>
      <c r="N1398" s="6" t="inlineStr">
        <is>
          <t>OFFICIAL_PRIMARY</t>
        </is>
      </c>
      <c r="O1398" s="9" t="inlineStr">
        <is>
          <t>OFFICIAL_AGGREGATE</t>
        </is>
      </c>
      <c r="P1398" s="8" t="n">
        <v>1</v>
      </c>
      <c r="Q1398" s="8" t="n">
        <v>45</v>
      </c>
      <c r="R1398" s="7" t="inlineStr">
        <is>
          <t>https://www.ande.gov.py/estadisticas/BalanceEnergia1983-2006/CompilacionEstadistica83-06.pdf</t>
        </is>
      </c>
      <c r="S1398" s="6" t="inlineStr">
        <is>
          <t>ANDE-83-06</t>
        </is>
      </c>
      <c r="T1398" s="6" t="inlineStr"/>
      <c r="U1398" s="4" t="inlineStr">
        <is>
          <t>2026-09-11 00:05:00</t>
        </is>
      </c>
      <c r="V1398" s="4" t="inlineStr">
        <is>
          <t>Etiqueta historica ERIDAY/Yacyreta.</t>
        </is>
      </c>
    </row>
    <row r="1399">
      <c r="A1399" s="6" t="inlineStr">
        <is>
          <t>R0001398</t>
        </is>
      </c>
      <c r="B1399" s="6" t="inlineStr">
        <is>
          <t>2004-01-01</t>
        </is>
      </c>
      <c r="C1399" s="6" t="inlineStr">
        <is>
          <t>2004-12-31</t>
        </is>
      </c>
      <c r="D1399" s="6" t="inlineStr">
        <is>
          <t>year</t>
        </is>
      </c>
      <c r="E1399" s="6" t="inlineStr">
        <is>
          <t>ANDE_EXPORT_BY_COUNTERPARTY</t>
        </is>
      </c>
      <c r="F1399" s="6" t="inlineStr">
        <is>
          <t>PY_SIN</t>
        </is>
      </c>
      <c r="G1399" s="6" t="inlineStr">
        <is>
          <t>PY</t>
        </is>
      </c>
      <c r="H1399" s="6" t="inlineStr">
        <is>
          <t>ERIDAY_YACYRETA</t>
        </is>
      </c>
      <c r="I1399" s="8" t="n">
        <v>2931.074</v>
      </c>
      <c r="J1399" s="6" t="inlineStr">
        <is>
          <t>MWh</t>
        </is>
      </c>
      <c r="K1399" s="8" t="n">
        <v>2931.074</v>
      </c>
      <c r="L1399" s="6" t="inlineStr">
        <is>
          <t>MWh</t>
        </is>
      </c>
      <c r="M1399" s="6" t="inlineStr">
        <is>
          <t>ANDE</t>
        </is>
      </c>
      <c r="N1399" s="6" t="inlineStr">
        <is>
          <t>OFFICIAL_PRIMARY</t>
        </is>
      </c>
      <c r="O1399" s="9" t="inlineStr">
        <is>
          <t>OFFICIAL_AGGREGATE</t>
        </is>
      </c>
      <c r="P1399" s="8" t="n">
        <v>1</v>
      </c>
      <c r="Q1399" s="8" t="n">
        <v>45</v>
      </c>
      <c r="R1399" s="7" t="inlineStr">
        <is>
          <t>https://www.ande.gov.py/estadisticas/BalanceEnergia1983-2006/CompilacionEstadistica83-06.pdf</t>
        </is>
      </c>
      <c r="S1399" s="6" t="inlineStr">
        <is>
          <t>ANDE-83-06</t>
        </is>
      </c>
      <c r="T1399" s="6" t="inlineStr"/>
      <c r="U1399" s="4" t="inlineStr">
        <is>
          <t>2026-09-11 00:05:00</t>
        </is>
      </c>
      <c r="V1399" s="4" t="inlineStr">
        <is>
          <t>Etiqueta historica ERIDAY/Yacyreta.</t>
        </is>
      </c>
    </row>
    <row r="1400">
      <c r="A1400" s="6" t="inlineStr">
        <is>
          <t>R0001399</t>
        </is>
      </c>
      <c r="B1400" s="6" t="inlineStr">
        <is>
          <t>2005-01-01</t>
        </is>
      </c>
      <c r="C1400" s="6" t="inlineStr">
        <is>
          <t>2005-12-31</t>
        </is>
      </c>
      <c r="D1400" s="6" t="inlineStr">
        <is>
          <t>year</t>
        </is>
      </c>
      <c r="E1400" s="6" t="inlineStr">
        <is>
          <t>ANDE_EXPORT_BY_COUNTERPARTY</t>
        </is>
      </c>
      <c r="F1400" s="6" t="inlineStr">
        <is>
          <t>PY_SIN</t>
        </is>
      </c>
      <c r="G1400" s="6" t="inlineStr">
        <is>
          <t>PY</t>
        </is>
      </c>
      <c r="H1400" s="6" t="inlineStr">
        <is>
          <t>ERIDAY_YACYRETA</t>
        </is>
      </c>
      <c r="I1400" s="8" t="n">
        <v>2888.693</v>
      </c>
      <c r="J1400" s="6" t="inlineStr">
        <is>
          <t>MWh</t>
        </is>
      </c>
      <c r="K1400" s="8" t="n">
        <v>2888.693</v>
      </c>
      <c r="L1400" s="6" t="inlineStr">
        <is>
          <t>MWh</t>
        </is>
      </c>
      <c r="M1400" s="6" t="inlineStr">
        <is>
          <t>ANDE</t>
        </is>
      </c>
      <c r="N1400" s="6" t="inlineStr">
        <is>
          <t>OFFICIAL_PRIMARY</t>
        </is>
      </c>
      <c r="O1400" s="9" t="inlineStr">
        <is>
          <t>OFFICIAL_AGGREGATE</t>
        </is>
      </c>
      <c r="P1400" s="8" t="n">
        <v>1</v>
      </c>
      <c r="Q1400" s="8" t="n">
        <v>45</v>
      </c>
      <c r="R1400" s="7" t="inlineStr">
        <is>
          <t>https://www.ande.gov.py/estadisticas/BalanceEnergia1983-2006/CompilacionEstadistica83-06.pdf</t>
        </is>
      </c>
      <c r="S1400" s="6" t="inlineStr">
        <is>
          <t>ANDE-83-06</t>
        </is>
      </c>
      <c r="T1400" s="6" t="inlineStr"/>
      <c r="U1400" s="4" t="inlineStr">
        <is>
          <t>2026-09-11 00:05:00</t>
        </is>
      </c>
      <c r="V1400" s="4" t="inlineStr">
        <is>
          <t>Etiqueta historica ERIDAY/Yacyreta.</t>
        </is>
      </c>
    </row>
    <row r="1401">
      <c r="A1401" s="6" t="inlineStr">
        <is>
          <t>R0001400</t>
        </is>
      </c>
      <c r="B1401" s="6" t="inlineStr">
        <is>
          <t>2006-01-01</t>
        </is>
      </c>
      <c r="C1401" s="6" t="inlineStr">
        <is>
          <t>2006-12-31</t>
        </is>
      </c>
      <c r="D1401" s="6" t="inlineStr">
        <is>
          <t>year</t>
        </is>
      </c>
      <c r="E1401" s="6" t="inlineStr">
        <is>
          <t>ANDE_EXPORT_BY_COUNTERPARTY</t>
        </is>
      </c>
      <c r="F1401" s="6" t="inlineStr">
        <is>
          <t>PY_SIN</t>
        </is>
      </c>
      <c r="G1401" s="6" t="inlineStr">
        <is>
          <t>PY</t>
        </is>
      </c>
      <c r="H1401" s="6" t="inlineStr">
        <is>
          <t>ERIDAY_YACYRETA</t>
        </is>
      </c>
      <c r="I1401" s="8" t="n">
        <v>2080.324</v>
      </c>
      <c r="J1401" s="6" t="inlineStr">
        <is>
          <t>MWh</t>
        </is>
      </c>
      <c r="K1401" s="8" t="n">
        <v>2080.324</v>
      </c>
      <c r="L1401" s="6" t="inlineStr">
        <is>
          <t>MWh</t>
        </is>
      </c>
      <c r="M1401" s="6" t="inlineStr">
        <is>
          <t>ANDE</t>
        </is>
      </c>
      <c r="N1401" s="6" t="inlineStr">
        <is>
          <t>OFFICIAL_PRIMARY</t>
        </is>
      </c>
      <c r="O1401" s="9" t="inlineStr">
        <is>
          <t>OFFICIAL_AGGREGATE</t>
        </is>
      </c>
      <c r="P1401" s="8" t="n">
        <v>1</v>
      </c>
      <c r="Q1401" s="8" t="n">
        <v>45</v>
      </c>
      <c r="R1401" s="7" t="inlineStr">
        <is>
          <t>https://www.ande.gov.py/estadisticas/BalanceEnergia1983-2006/CompilacionEstadistica83-06.pdf</t>
        </is>
      </c>
      <c r="S1401" s="6" t="inlineStr">
        <is>
          <t>ANDE-83-06</t>
        </is>
      </c>
      <c r="T1401" s="6" t="inlineStr"/>
      <c r="U1401" s="4" t="inlineStr">
        <is>
          <t>2026-09-11 00:05:00</t>
        </is>
      </c>
      <c r="V1401" s="4" t="inlineStr">
        <is>
          <t>Etiqueta historica ERIDAY/Yacyreta.</t>
        </is>
      </c>
    </row>
    <row r="1402">
      <c r="A1402" s="6" t="inlineStr">
        <is>
          <t>R0001401</t>
        </is>
      </c>
      <c r="B1402" s="6" t="inlineStr">
        <is>
          <t>1984-01-01</t>
        </is>
      </c>
      <c r="C1402" s="6" t="inlineStr">
        <is>
          <t>1984-12-31</t>
        </is>
      </c>
      <c r="D1402" s="6" t="inlineStr">
        <is>
          <t>year</t>
        </is>
      </c>
      <c r="E1402" s="6" t="inlineStr">
        <is>
          <t>ITAIPU_GROSS_GENERATION</t>
        </is>
      </c>
      <c r="F1402" s="6" t="inlineStr">
        <is>
          <t>ITAIPU</t>
        </is>
      </c>
      <c r="G1402" s="6" t="inlineStr">
        <is>
          <t>ITAIPU</t>
        </is>
      </c>
      <c r="H1402" s="6" t="inlineStr">
        <is>
          <t>TOTAL</t>
        </is>
      </c>
      <c r="I1402" s="8" t="n">
        <v>277000</v>
      </c>
      <c r="J1402" s="6" t="inlineStr">
        <is>
          <t>MWh</t>
        </is>
      </c>
      <c r="K1402" s="8" t="n">
        <v>277000</v>
      </c>
      <c r="L1402" s="6" t="inlineStr">
        <is>
          <t>MWh</t>
        </is>
      </c>
      <c r="M1402" s="6" t="inlineStr">
        <is>
          <t>ITAIPU</t>
        </is>
      </c>
      <c r="N1402" s="6" t="inlineStr">
        <is>
          <t>OFFICIAL_PRIMARY</t>
        </is>
      </c>
      <c r="O1402" s="9" t="inlineStr">
        <is>
          <t>OFFICIAL_AGGREGATE</t>
        </is>
      </c>
      <c r="P1402" s="8" t="n">
        <v>1</v>
      </c>
      <c r="Q1402" s="8" t="n">
        <v>95</v>
      </c>
      <c r="R1402" s="7" t="inlineStr">
        <is>
          <t>https://www.itaipu.gov.py/sites/default/files/af_df/Memoria%20Anual%202002.pdf</t>
        </is>
      </c>
      <c r="S1402" s="6" t="inlineStr">
        <is>
          <t>ITAIPU-MEM-2002</t>
        </is>
      </c>
      <c r="T1402" s="6" t="inlineStr"/>
      <c r="U1402" s="4" t="inlineStr">
        <is>
          <t>2026-09-11 00:05:00</t>
        </is>
      </c>
      <c r="V1402" s="4" t="inlineStr">
        <is>
          <t>Produccion anual oficial; valores de memoria en GWh.</t>
        </is>
      </c>
    </row>
    <row r="1403">
      <c r="A1403" s="6" t="inlineStr">
        <is>
          <t>R0001402</t>
        </is>
      </c>
      <c r="B1403" s="6" t="inlineStr">
        <is>
          <t>1985-01-01</t>
        </is>
      </c>
      <c r="C1403" s="6" t="inlineStr">
        <is>
          <t>1985-12-31</t>
        </is>
      </c>
      <c r="D1403" s="6" t="inlineStr">
        <is>
          <t>year</t>
        </is>
      </c>
      <c r="E1403" s="6" t="inlineStr">
        <is>
          <t>ITAIPU_GROSS_GENERATION</t>
        </is>
      </c>
      <c r="F1403" s="6" t="inlineStr">
        <is>
          <t>ITAIPU</t>
        </is>
      </c>
      <c r="G1403" s="6" t="inlineStr">
        <is>
          <t>ITAIPU</t>
        </is>
      </c>
      <c r="H1403" s="6" t="inlineStr">
        <is>
          <t>TOTAL</t>
        </is>
      </c>
      <c r="I1403" s="8" t="n">
        <v>6327000</v>
      </c>
      <c r="J1403" s="6" t="inlineStr">
        <is>
          <t>MWh</t>
        </is>
      </c>
      <c r="K1403" s="8" t="n">
        <v>6327000</v>
      </c>
      <c r="L1403" s="6" t="inlineStr">
        <is>
          <t>MWh</t>
        </is>
      </c>
      <c r="M1403" s="6" t="inlineStr">
        <is>
          <t>ITAIPU</t>
        </is>
      </c>
      <c r="N1403" s="6" t="inlineStr">
        <is>
          <t>OFFICIAL_PRIMARY</t>
        </is>
      </c>
      <c r="O1403" s="9" t="inlineStr">
        <is>
          <t>OFFICIAL_AGGREGATE</t>
        </is>
      </c>
      <c r="P1403" s="8" t="n">
        <v>1</v>
      </c>
      <c r="Q1403" s="8" t="n">
        <v>95</v>
      </c>
      <c r="R1403" s="7" t="inlineStr">
        <is>
          <t>https://www.itaipu.gov.py/sites/default/files/af_df/Memoria%20Anual%202002.pdf</t>
        </is>
      </c>
      <c r="S1403" s="6" t="inlineStr">
        <is>
          <t>ITAIPU-MEM-2002</t>
        </is>
      </c>
      <c r="T1403" s="6" t="inlineStr"/>
      <c r="U1403" s="4" t="inlineStr">
        <is>
          <t>2026-09-11 00:05:00</t>
        </is>
      </c>
      <c r="V1403" s="4" t="inlineStr">
        <is>
          <t>Produccion anual oficial; valores de memoria en GWh.</t>
        </is>
      </c>
    </row>
    <row r="1404">
      <c r="A1404" s="6" t="inlineStr">
        <is>
          <t>R0001403</t>
        </is>
      </c>
      <c r="B1404" s="6" t="inlineStr">
        <is>
          <t>1986-01-01</t>
        </is>
      </c>
      <c r="C1404" s="6" t="inlineStr">
        <is>
          <t>1986-12-31</t>
        </is>
      </c>
      <c r="D1404" s="6" t="inlineStr">
        <is>
          <t>year</t>
        </is>
      </c>
      <c r="E1404" s="6" t="inlineStr">
        <is>
          <t>ITAIPU_GROSS_GENERATION</t>
        </is>
      </c>
      <c r="F1404" s="6" t="inlineStr">
        <is>
          <t>ITAIPU</t>
        </is>
      </c>
      <c r="G1404" s="6" t="inlineStr">
        <is>
          <t>ITAIPU</t>
        </is>
      </c>
      <c r="H1404" s="6" t="inlineStr">
        <is>
          <t>TOTAL</t>
        </is>
      </c>
      <c r="I1404" s="8" t="n">
        <v>21853000</v>
      </c>
      <c r="J1404" s="6" t="inlineStr">
        <is>
          <t>MWh</t>
        </is>
      </c>
      <c r="K1404" s="8" t="n">
        <v>21853000</v>
      </c>
      <c r="L1404" s="6" t="inlineStr">
        <is>
          <t>MWh</t>
        </is>
      </c>
      <c r="M1404" s="6" t="inlineStr">
        <is>
          <t>ITAIPU</t>
        </is>
      </c>
      <c r="N1404" s="6" t="inlineStr">
        <is>
          <t>OFFICIAL_PRIMARY</t>
        </is>
      </c>
      <c r="O1404" s="9" t="inlineStr">
        <is>
          <t>OFFICIAL_AGGREGATE</t>
        </is>
      </c>
      <c r="P1404" s="8" t="n">
        <v>1</v>
      </c>
      <c r="Q1404" s="8" t="n">
        <v>95</v>
      </c>
      <c r="R1404" s="7" t="inlineStr">
        <is>
          <t>https://www.itaipu.gov.py/sites/default/files/af_df/Memoria%20Anual%202002.pdf</t>
        </is>
      </c>
      <c r="S1404" s="6" t="inlineStr">
        <is>
          <t>ITAIPU-MEM-2002</t>
        </is>
      </c>
      <c r="T1404" s="6" t="inlineStr"/>
      <c r="U1404" s="4" t="inlineStr">
        <is>
          <t>2026-09-11 00:05:00</t>
        </is>
      </c>
      <c r="V1404" s="4" t="inlineStr">
        <is>
          <t>Produccion anual oficial; valores de memoria en GWh.</t>
        </is>
      </c>
    </row>
    <row r="1405">
      <c r="A1405" s="6" t="inlineStr">
        <is>
          <t>R0001404</t>
        </is>
      </c>
      <c r="B1405" s="6" t="inlineStr">
        <is>
          <t>1987-01-01</t>
        </is>
      </c>
      <c r="C1405" s="6" t="inlineStr">
        <is>
          <t>1987-12-31</t>
        </is>
      </c>
      <c r="D1405" s="6" t="inlineStr">
        <is>
          <t>year</t>
        </is>
      </c>
      <c r="E1405" s="6" t="inlineStr">
        <is>
          <t>ITAIPU_GROSS_GENERATION</t>
        </is>
      </c>
      <c r="F1405" s="6" t="inlineStr">
        <is>
          <t>ITAIPU</t>
        </is>
      </c>
      <c r="G1405" s="6" t="inlineStr">
        <is>
          <t>ITAIPU</t>
        </is>
      </c>
      <c r="H1405" s="6" t="inlineStr">
        <is>
          <t>TOTAL</t>
        </is>
      </c>
      <c r="I1405" s="8" t="n">
        <v>35807000</v>
      </c>
      <c r="J1405" s="6" t="inlineStr">
        <is>
          <t>MWh</t>
        </is>
      </c>
      <c r="K1405" s="8" t="n">
        <v>35807000</v>
      </c>
      <c r="L1405" s="6" t="inlineStr">
        <is>
          <t>MWh</t>
        </is>
      </c>
      <c r="M1405" s="6" t="inlineStr">
        <is>
          <t>ITAIPU</t>
        </is>
      </c>
      <c r="N1405" s="6" t="inlineStr">
        <is>
          <t>OFFICIAL_PRIMARY</t>
        </is>
      </c>
      <c r="O1405" s="9" t="inlineStr">
        <is>
          <t>OFFICIAL_AGGREGATE</t>
        </is>
      </c>
      <c r="P1405" s="8" t="n">
        <v>1</v>
      </c>
      <c r="Q1405" s="8" t="n">
        <v>95</v>
      </c>
      <c r="R1405" s="7" t="inlineStr">
        <is>
          <t>https://www.itaipu.gov.py/sites/default/files/af_df/Memoria%20Anual%202002.pdf</t>
        </is>
      </c>
      <c r="S1405" s="6" t="inlineStr">
        <is>
          <t>ITAIPU-MEM-2002</t>
        </is>
      </c>
      <c r="T1405" s="6" t="inlineStr"/>
      <c r="U1405" s="4" t="inlineStr">
        <is>
          <t>2026-09-11 00:05:00</t>
        </is>
      </c>
      <c r="V1405" s="4" t="inlineStr">
        <is>
          <t>Produccion anual oficial; valores de memoria en GWh.</t>
        </is>
      </c>
    </row>
    <row r="1406">
      <c r="A1406" s="6" t="inlineStr">
        <is>
          <t>R0001405</t>
        </is>
      </c>
      <c r="B1406" s="6" t="inlineStr">
        <is>
          <t>1988-01-01</t>
        </is>
      </c>
      <c r="C1406" s="6" t="inlineStr">
        <is>
          <t>1988-12-31</t>
        </is>
      </c>
      <c r="D1406" s="6" t="inlineStr">
        <is>
          <t>year</t>
        </is>
      </c>
      <c r="E1406" s="6" t="inlineStr">
        <is>
          <t>ITAIPU_GROSS_GENERATION</t>
        </is>
      </c>
      <c r="F1406" s="6" t="inlineStr">
        <is>
          <t>ITAIPU</t>
        </is>
      </c>
      <c r="G1406" s="6" t="inlineStr">
        <is>
          <t>ITAIPU</t>
        </is>
      </c>
      <c r="H1406" s="6" t="inlineStr">
        <is>
          <t>TOTAL</t>
        </is>
      </c>
      <c r="I1406" s="8" t="n">
        <v>38508000</v>
      </c>
      <c r="J1406" s="6" t="inlineStr">
        <is>
          <t>MWh</t>
        </is>
      </c>
      <c r="K1406" s="8" t="n">
        <v>38508000</v>
      </c>
      <c r="L1406" s="6" t="inlineStr">
        <is>
          <t>MWh</t>
        </is>
      </c>
      <c r="M1406" s="6" t="inlineStr">
        <is>
          <t>ITAIPU</t>
        </is>
      </c>
      <c r="N1406" s="6" t="inlineStr">
        <is>
          <t>OFFICIAL_PRIMARY</t>
        </is>
      </c>
      <c r="O1406" s="9" t="inlineStr">
        <is>
          <t>OFFICIAL_AGGREGATE</t>
        </is>
      </c>
      <c r="P1406" s="8" t="n">
        <v>1</v>
      </c>
      <c r="Q1406" s="8" t="n">
        <v>95</v>
      </c>
      <c r="R1406" s="7" t="inlineStr">
        <is>
          <t>https://www.itaipu.gov.py/sites/default/files/af_df/Memoria%20Anual%202002.pdf</t>
        </is>
      </c>
      <c r="S1406" s="6" t="inlineStr">
        <is>
          <t>ITAIPU-MEM-2002</t>
        </is>
      </c>
      <c r="T1406" s="6" t="inlineStr"/>
      <c r="U1406" s="4" t="inlineStr">
        <is>
          <t>2026-09-11 00:05:00</t>
        </is>
      </c>
      <c r="V1406" s="4" t="inlineStr">
        <is>
          <t>Produccion anual oficial; valores de memoria en GWh.</t>
        </is>
      </c>
    </row>
    <row r="1407">
      <c r="A1407" s="6" t="inlineStr">
        <is>
          <t>R0001406</t>
        </is>
      </c>
      <c r="B1407" s="6" t="inlineStr">
        <is>
          <t>1989-01-01</t>
        </is>
      </c>
      <c r="C1407" s="6" t="inlineStr">
        <is>
          <t>1989-12-31</t>
        </is>
      </c>
      <c r="D1407" s="6" t="inlineStr">
        <is>
          <t>year</t>
        </is>
      </c>
      <c r="E1407" s="6" t="inlineStr">
        <is>
          <t>ITAIPU_GROSS_GENERATION</t>
        </is>
      </c>
      <c r="F1407" s="6" t="inlineStr">
        <is>
          <t>ITAIPU</t>
        </is>
      </c>
      <c r="G1407" s="6" t="inlineStr">
        <is>
          <t>ITAIPU</t>
        </is>
      </c>
      <c r="H1407" s="6" t="inlineStr">
        <is>
          <t>TOTAL</t>
        </is>
      </c>
      <c r="I1407" s="8" t="n">
        <v>47230000</v>
      </c>
      <c r="J1407" s="6" t="inlineStr">
        <is>
          <t>MWh</t>
        </is>
      </c>
      <c r="K1407" s="8" t="n">
        <v>47230000</v>
      </c>
      <c r="L1407" s="6" t="inlineStr">
        <is>
          <t>MWh</t>
        </is>
      </c>
      <c r="M1407" s="6" t="inlineStr">
        <is>
          <t>ITAIPU</t>
        </is>
      </c>
      <c r="N1407" s="6" t="inlineStr">
        <is>
          <t>OFFICIAL_PRIMARY</t>
        </is>
      </c>
      <c r="O1407" s="9" t="inlineStr">
        <is>
          <t>OFFICIAL_AGGREGATE</t>
        </is>
      </c>
      <c r="P1407" s="8" t="n">
        <v>1</v>
      </c>
      <c r="Q1407" s="8" t="n">
        <v>95</v>
      </c>
      <c r="R1407" s="7" t="inlineStr">
        <is>
          <t>https://www.itaipu.gov.py/sites/default/files/af_df/Memoria%20Anual%202002.pdf</t>
        </is>
      </c>
      <c r="S1407" s="6" t="inlineStr">
        <is>
          <t>ITAIPU-MEM-2002</t>
        </is>
      </c>
      <c r="T1407" s="6" t="inlineStr"/>
      <c r="U1407" s="4" t="inlineStr">
        <is>
          <t>2026-09-11 00:05:00</t>
        </is>
      </c>
      <c r="V1407" s="4" t="inlineStr">
        <is>
          <t>Produccion anual oficial; valores de memoria en GWh.</t>
        </is>
      </c>
    </row>
    <row r="1408">
      <c r="A1408" s="6" t="inlineStr">
        <is>
          <t>R0001407</t>
        </is>
      </c>
      <c r="B1408" s="6" t="inlineStr">
        <is>
          <t>1990-01-01</t>
        </is>
      </c>
      <c r="C1408" s="6" t="inlineStr">
        <is>
          <t>1990-12-31</t>
        </is>
      </c>
      <c r="D1408" s="6" t="inlineStr">
        <is>
          <t>year</t>
        </is>
      </c>
      <c r="E1408" s="6" t="inlineStr">
        <is>
          <t>ITAIPU_GROSS_GENERATION</t>
        </is>
      </c>
      <c r="F1408" s="6" t="inlineStr">
        <is>
          <t>ITAIPU</t>
        </is>
      </c>
      <c r="G1408" s="6" t="inlineStr">
        <is>
          <t>ITAIPU</t>
        </is>
      </c>
      <c r="H1408" s="6" t="inlineStr">
        <is>
          <t>TOTAL</t>
        </is>
      </c>
      <c r="I1408" s="8" t="n">
        <v>53090000</v>
      </c>
      <c r="J1408" s="6" t="inlineStr">
        <is>
          <t>MWh</t>
        </is>
      </c>
      <c r="K1408" s="8" t="n">
        <v>53090000</v>
      </c>
      <c r="L1408" s="6" t="inlineStr">
        <is>
          <t>MWh</t>
        </is>
      </c>
      <c r="M1408" s="6" t="inlineStr">
        <is>
          <t>ITAIPU</t>
        </is>
      </c>
      <c r="N1408" s="6" t="inlineStr">
        <is>
          <t>OFFICIAL_PRIMARY</t>
        </is>
      </c>
      <c r="O1408" s="9" t="inlineStr">
        <is>
          <t>OFFICIAL_AGGREGATE</t>
        </is>
      </c>
      <c r="P1408" s="8" t="n">
        <v>1</v>
      </c>
      <c r="Q1408" s="8" t="n">
        <v>95</v>
      </c>
      <c r="R1408" s="7" t="inlineStr">
        <is>
          <t>https://www.itaipu.gov.py/sites/default/files/af_df/Memoria%20Anual%202002.pdf</t>
        </is>
      </c>
      <c r="S1408" s="6" t="inlineStr">
        <is>
          <t>ITAIPU-MEM-2002</t>
        </is>
      </c>
      <c r="T1408" s="6" t="inlineStr"/>
      <c r="U1408" s="4" t="inlineStr">
        <is>
          <t>2026-09-11 00:05:00</t>
        </is>
      </c>
      <c r="V1408" s="4" t="inlineStr">
        <is>
          <t>Produccion anual oficial; valores de memoria en GWh.</t>
        </is>
      </c>
    </row>
    <row r="1409">
      <c r="A1409" s="6" t="inlineStr">
        <is>
          <t>R0001408</t>
        </is>
      </c>
      <c r="B1409" s="6" t="inlineStr">
        <is>
          <t>1991-01-01</t>
        </is>
      </c>
      <c r="C1409" s="6" t="inlineStr">
        <is>
          <t>1991-12-31</t>
        </is>
      </c>
      <c r="D1409" s="6" t="inlineStr">
        <is>
          <t>year</t>
        </is>
      </c>
      <c r="E1409" s="6" t="inlineStr">
        <is>
          <t>ITAIPU_GROSS_GENERATION</t>
        </is>
      </c>
      <c r="F1409" s="6" t="inlineStr">
        <is>
          <t>ITAIPU</t>
        </is>
      </c>
      <c r="G1409" s="6" t="inlineStr">
        <is>
          <t>ITAIPU</t>
        </is>
      </c>
      <c r="H1409" s="6" t="inlineStr">
        <is>
          <t>TOTAL</t>
        </is>
      </c>
      <c r="I1409" s="8" t="n">
        <v>57518000</v>
      </c>
      <c r="J1409" s="6" t="inlineStr">
        <is>
          <t>MWh</t>
        </is>
      </c>
      <c r="K1409" s="8" t="n">
        <v>57518000</v>
      </c>
      <c r="L1409" s="6" t="inlineStr">
        <is>
          <t>MWh</t>
        </is>
      </c>
      <c r="M1409" s="6" t="inlineStr">
        <is>
          <t>ITAIPU</t>
        </is>
      </c>
      <c r="N1409" s="6" t="inlineStr">
        <is>
          <t>OFFICIAL_PRIMARY</t>
        </is>
      </c>
      <c r="O1409" s="9" t="inlineStr">
        <is>
          <t>OFFICIAL_AGGREGATE</t>
        </is>
      </c>
      <c r="P1409" s="8" t="n">
        <v>1</v>
      </c>
      <c r="Q1409" s="8" t="n">
        <v>95</v>
      </c>
      <c r="R1409" s="7" t="inlineStr">
        <is>
          <t>https://www.itaipu.gov.py/sites/default/files/af_df/Memoria%20Anual%202002.pdf</t>
        </is>
      </c>
      <c r="S1409" s="6" t="inlineStr">
        <is>
          <t>ITAIPU-MEM-2002</t>
        </is>
      </c>
      <c r="T1409" s="6" t="inlineStr"/>
      <c r="U1409" s="4" t="inlineStr">
        <is>
          <t>2026-09-11 00:05:00</t>
        </is>
      </c>
      <c r="V1409" s="4" t="inlineStr">
        <is>
          <t>Produccion anual oficial; valores de memoria en GWh.</t>
        </is>
      </c>
    </row>
    <row r="1410">
      <c r="A1410" s="6" t="inlineStr">
        <is>
          <t>R0001409</t>
        </is>
      </c>
      <c r="B1410" s="6" t="inlineStr">
        <is>
          <t>1992-01-01</t>
        </is>
      </c>
      <c r="C1410" s="6" t="inlineStr">
        <is>
          <t>1992-12-31</t>
        </is>
      </c>
      <c r="D1410" s="6" t="inlineStr">
        <is>
          <t>year</t>
        </is>
      </c>
      <c r="E1410" s="6" t="inlineStr">
        <is>
          <t>ITAIPU_GROSS_GENERATION</t>
        </is>
      </c>
      <c r="F1410" s="6" t="inlineStr">
        <is>
          <t>ITAIPU</t>
        </is>
      </c>
      <c r="G1410" s="6" t="inlineStr">
        <is>
          <t>ITAIPU</t>
        </is>
      </c>
      <c r="H1410" s="6" t="inlineStr">
        <is>
          <t>TOTAL</t>
        </is>
      </c>
      <c r="I1410" s="8" t="n">
        <v>52268000</v>
      </c>
      <c r="J1410" s="6" t="inlineStr">
        <is>
          <t>MWh</t>
        </is>
      </c>
      <c r="K1410" s="8" t="n">
        <v>52268000</v>
      </c>
      <c r="L1410" s="6" t="inlineStr">
        <is>
          <t>MWh</t>
        </is>
      </c>
      <c r="M1410" s="6" t="inlineStr">
        <is>
          <t>ITAIPU</t>
        </is>
      </c>
      <c r="N1410" s="6" t="inlineStr">
        <is>
          <t>OFFICIAL_PRIMARY</t>
        </is>
      </c>
      <c r="O1410" s="9" t="inlineStr">
        <is>
          <t>OFFICIAL_AGGREGATE</t>
        </is>
      </c>
      <c r="P1410" s="8" t="n">
        <v>1</v>
      </c>
      <c r="Q1410" s="8" t="n">
        <v>95</v>
      </c>
      <c r="R1410" s="7" t="inlineStr">
        <is>
          <t>https://www.itaipu.gov.py/sites/default/files/af_df/Memoria%20Anual%202002.pdf</t>
        </is>
      </c>
      <c r="S1410" s="6" t="inlineStr">
        <is>
          <t>ITAIPU-MEM-2002</t>
        </is>
      </c>
      <c r="T1410" s="6" t="inlineStr"/>
      <c r="U1410" s="4" t="inlineStr">
        <is>
          <t>2026-09-11 00:05:00</t>
        </is>
      </c>
      <c r="V1410" s="4" t="inlineStr">
        <is>
          <t>Produccion anual oficial; valores de memoria en GWh.</t>
        </is>
      </c>
    </row>
    <row r="1411">
      <c r="A1411" s="6" t="inlineStr">
        <is>
          <t>R0001410</t>
        </is>
      </c>
      <c r="B1411" s="6" t="inlineStr">
        <is>
          <t>1993-01-01</t>
        </is>
      </c>
      <c r="C1411" s="6" t="inlineStr">
        <is>
          <t>1993-12-31</t>
        </is>
      </c>
      <c r="D1411" s="6" t="inlineStr">
        <is>
          <t>year</t>
        </is>
      </c>
      <c r="E1411" s="6" t="inlineStr">
        <is>
          <t>ITAIPU_GROSS_GENERATION</t>
        </is>
      </c>
      <c r="F1411" s="6" t="inlineStr">
        <is>
          <t>ITAIPU</t>
        </is>
      </c>
      <c r="G1411" s="6" t="inlineStr">
        <is>
          <t>ITAIPU</t>
        </is>
      </c>
      <c r="H1411" s="6" t="inlineStr">
        <is>
          <t>TOTAL</t>
        </is>
      </c>
      <c r="I1411" s="8" t="n">
        <v>59997000</v>
      </c>
      <c r="J1411" s="6" t="inlineStr">
        <is>
          <t>MWh</t>
        </is>
      </c>
      <c r="K1411" s="8" t="n">
        <v>59997000</v>
      </c>
      <c r="L1411" s="6" t="inlineStr">
        <is>
          <t>MWh</t>
        </is>
      </c>
      <c r="M1411" s="6" t="inlineStr">
        <is>
          <t>ITAIPU</t>
        </is>
      </c>
      <c r="N1411" s="6" t="inlineStr">
        <is>
          <t>OFFICIAL_PRIMARY</t>
        </is>
      </c>
      <c r="O1411" s="9" t="inlineStr">
        <is>
          <t>OFFICIAL_AGGREGATE</t>
        </is>
      </c>
      <c r="P1411" s="8" t="n">
        <v>1</v>
      </c>
      <c r="Q1411" s="8" t="n">
        <v>95</v>
      </c>
      <c r="R1411" s="7" t="inlineStr">
        <is>
          <t>https://www.itaipu.gov.py/sites/default/files/af_df/Memoria%20Anual%202002.pdf</t>
        </is>
      </c>
      <c r="S1411" s="6" t="inlineStr">
        <is>
          <t>ITAIPU-MEM-2002</t>
        </is>
      </c>
      <c r="T1411" s="6" t="inlineStr"/>
      <c r="U1411" s="4" t="inlineStr">
        <is>
          <t>2026-09-11 00:05:00</t>
        </is>
      </c>
      <c r="V1411" s="4" t="inlineStr">
        <is>
          <t>Produccion anual oficial; valores de memoria en GWh.</t>
        </is>
      </c>
    </row>
    <row r="1412">
      <c r="A1412" s="6" t="inlineStr">
        <is>
          <t>R0001411</t>
        </is>
      </c>
      <c r="B1412" s="6" t="inlineStr">
        <is>
          <t>1994-01-01</t>
        </is>
      </c>
      <c r="C1412" s="6" t="inlineStr">
        <is>
          <t>1994-12-31</t>
        </is>
      </c>
      <c r="D1412" s="6" t="inlineStr">
        <is>
          <t>year</t>
        </is>
      </c>
      <c r="E1412" s="6" t="inlineStr">
        <is>
          <t>ITAIPU_GROSS_GENERATION</t>
        </is>
      </c>
      <c r="F1412" s="6" t="inlineStr">
        <is>
          <t>ITAIPU</t>
        </is>
      </c>
      <c r="G1412" s="6" t="inlineStr">
        <is>
          <t>ITAIPU</t>
        </is>
      </c>
      <c r="H1412" s="6" t="inlineStr">
        <is>
          <t>TOTAL</t>
        </is>
      </c>
      <c r="I1412" s="8" t="n">
        <v>69394000</v>
      </c>
      <c r="J1412" s="6" t="inlineStr">
        <is>
          <t>MWh</t>
        </is>
      </c>
      <c r="K1412" s="8" t="n">
        <v>69394000</v>
      </c>
      <c r="L1412" s="6" t="inlineStr">
        <is>
          <t>MWh</t>
        </is>
      </c>
      <c r="M1412" s="6" t="inlineStr">
        <is>
          <t>ITAIPU</t>
        </is>
      </c>
      <c r="N1412" s="6" t="inlineStr">
        <is>
          <t>OFFICIAL_PRIMARY</t>
        </is>
      </c>
      <c r="O1412" s="9" t="inlineStr">
        <is>
          <t>OFFICIAL_AGGREGATE</t>
        </is>
      </c>
      <c r="P1412" s="8" t="n">
        <v>1</v>
      </c>
      <c r="Q1412" s="8" t="n">
        <v>95</v>
      </c>
      <c r="R1412" s="7" t="inlineStr">
        <is>
          <t>https://www.itaipu.gov.py/sites/default/files/af_df/Memoria%20Anual%202002.pdf</t>
        </is>
      </c>
      <c r="S1412" s="6" t="inlineStr">
        <is>
          <t>ITAIPU-MEM-2002</t>
        </is>
      </c>
      <c r="T1412" s="6" t="inlineStr"/>
      <c r="U1412" s="4" t="inlineStr">
        <is>
          <t>2026-09-11 00:05:00</t>
        </is>
      </c>
      <c r="V1412" s="4" t="inlineStr">
        <is>
          <t>Produccion anual oficial; valores de memoria en GWh.</t>
        </is>
      </c>
    </row>
    <row r="1413">
      <c r="A1413" s="6" t="inlineStr">
        <is>
          <t>R0001412</t>
        </is>
      </c>
      <c r="B1413" s="6" t="inlineStr">
        <is>
          <t>1995-01-01</t>
        </is>
      </c>
      <c r="C1413" s="6" t="inlineStr">
        <is>
          <t>1995-12-31</t>
        </is>
      </c>
      <c r="D1413" s="6" t="inlineStr">
        <is>
          <t>year</t>
        </is>
      </c>
      <c r="E1413" s="6" t="inlineStr">
        <is>
          <t>ITAIPU_GROSS_GENERATION</t>
        </is>
      </c>
      <c r="F1413" s="6" t="inlineStr">
        <is>
          <t>ITAIPU</t>
        </is>
      </c>
      <c r="G1413" s="6" t="inlineStr">
        <is>
          <t>ITAIPU</t>
        </is>
      </c>
      <c r="H1413" s="6" t="inlineStr">
        <is>
          <t>TOTAL</t>
        </is>
      </c>
      <c r="I1413" s="8" t="n">
        <v>77212000</v>
      </c>
      <c r="J1413" s="6" t="inlineStr">
        <is>
          <t>MWh</t>
        </is>
      </c>
      <c r="K1413" s="8" t="n">
        <v>77212000</v>
      </c>
      <c r="L1413" s="6" t="inlineStr">
        <is>
          <t>MWh</t>
        </is>
      </c>
      <c r="M1413" s="6" t="inlineStr">
        <is>
          <t>ITAIPU</t>
        </is>
      </c>
      <c r="N1413" s="6" t="inlineStr">
        <is>
          <t>OFFICIAL_PRIMARY</t>
        </is>
      </c>
      <c r="O1413" s="9" t="inlineStr">
        <is>
          <t>OFFICIAL_AGGREGATE</t>
        </is>
      </c>
      <c r="P1413" s="8" t="n">
        <v>1</v>
      </c>
      <c r="Q1413" s="8" t="n">
        <v>95</v>
      </c>
      <c r="R1413" s="7" t="inlineStr">
        <is>
          <t>https://www.itaipu.gov.py/sites/default/files/af_df/Memoria%20Anual%202002.pdf</t>
        </is>
      </c>
      <c r="S1413" s="6" t="inlineStr">
        <is>
          <t>ITAIPU-MEM-2002</t>
        </is>
      </c>
      <c r="T1413" s="6" t="inlineStr"/>
      <c r="U1413" s="4" t="inlineStr">
        <is>
          <t>2026-09-11 00:05:00</t>
        </is>
      </c>
      <c r="V1413" s="4" t="inlineStr">
        <is>
          <t>Produccion anual oficial; valores de memoria en GWh.</t>
        </is>
      </c>
    </row>
    <row r="1414">
      <c r="A1414" s="6" t="inlineStr">
        <is>
          <t>R0001413</t>
        </is>
      </c>
      <c r="B1414" s="6" t="inlineStr">
        <is>
          <t>1996-01-01</t>
        </is>
      </c>
      <c r="C1414" s="6" t="inlineStr">
        <is>
          <t>1996-12-31</t>
        </is>
      </c>
      <c r="D1414" s="6" t="inlineStr">
        <is>
          <t>year</t>
        </is>
      </c>
      <c r="E1414" s="6" t="inlineStr">
        <is>
          <t>ITAIPU_GROSS_GENERATION</t>
        </is>
      </c>
      <c r="F1414" s="6" t="inlineStr">
        <is>
          <t>ITAIPU</t>
        </is>
      </c>
      <c r="G1414" s="6" t="inlineStr">
        <is>
          <t>ITAIPU</t>
        </is>
      </c>
      <c r="H1414" s="6" t="inlineStr">
        <is>
          <t>TOTAL</t>
        </is>
      </c>
      <c r="I1414" s="8" t="n">
        <v>81654000</v>
      </c>
      <c r="J1414" s="6" t="inlineStr">
        <is>
          <t>MWh</t>
        </is>
      </c>
      <c r="K1414" s="8" t="n">
        <v>81654000</v>
      </c>
      <c r="L1414" s="6" t="inlineStr">
        <is>
          <t>MWh</t>
        </is>
      </c>
      <c r="M1414" s="6" t="inlineStr">
        <is>
          <t>ITAIPU</t>
        </is>
      </c>
      <c r="N1414" s="6" t="inlineStr">
        <is>
          <t>OFFICIAL_PRIMARY</t>
        </is>
      </c>
      <c r="O1414" s="9" t="inlineStr">
        <is>
          <t>OFFICIAL_AGGREGATE</t>
        </is>
      </c>
      <c r="P1414" s="8" t="n">
        <v>1</v>
      </c>
      <c r="Q1414" s="8" t="n">
        <v>95</v>
      </c>
      <c r="R1414" s="7" t="inlineStr">
        <is>
          <t>https://www.itaipu.gov.py/sites/default/files/af_df/Memoria%20Anual%202002.pdf</t>
        </is>
      </c>
      <c r="S1414" s="6" t="inlineStr">
        <is>
          <t>ITAIPU-MEM-2002</t>
        </is>
      </c>
      <c r="T1414" s="6" t="inlineStr"/>
      <c r="U1414" s="4" t="inlineStr">
        <is>
          <t>2026-09-11 00:05:00</t>
        </is>
      </c>
      <c r="V1414" s="4" t="inlineStr">
        <is>
          <t>Produccion anual oficial; valores de memoria en GWh.</t>
        </is>
      </c>
    </row>
    <row r="1415">
      <c r="A1415" s="6" t="inlineStr">
        <is>
          <t>R0001414</t>
        </is>
      </c>
      <c r="B1415" s="6" t="inlineStr">
        <is>
          <t>1997-01-01</t>
        </is>
      </c>
      <c r="C1415" s="6" t="inlineStr">
        <is>
          <t>1997-12-31</t>
        </is>
      </c>
      <c r="D1415" s="6" t="inlineStr">
        <is>
          <t>year</t>
        </is>
      </c>
      <c r="E1415" s="6" t="inlineStr">
        <is>
          <t>ITAIPU_GROSS_GENERATION</t>
        </is>
      </c>
      <c r="F1415" s="6" t="inlineStr">
        <is>
          <t>ITAIPU</t>
        </is>
      </c>
      <c r="G1415" s="6" t="inlineStr">
        <is>
          <t>ITAIPU</t>
        </is>
      </c>
      <c r="H1415" s="6" t="inlineStr">
        <is>
          <t>TOTAL</t>
        </is>
      </c>
      <c r="I1415" s="8" t="n">
        <v>89237000</v>
      </c>
      <c r="J1415" s="6" t="inlineStr">
        <is>
          <t>MWh</t>
        </is>
      </c>
      <c r="K1415" s="8" t="n">
        <v>89237000</v>
      </c>
      <c r="L1415" s="6" t="inlineStr">
        <is>
          <t>MWh</t>
        </is>
      </c>
      <c r="M1415" s="6" t="inlineStr">
        <is>
          <t>ITAIPU</t>
        </is>
      </c>
      <c r="N1415" s="6" t="inlineStr">
        <is>
          <t>OFFICIAL_PRIMARY</t>
        </is>
      </c>
      <c r="O1415" s="9" t="inlineStr">
        <is>
          <t>OFFICIAL_AGGREGATE</t>
        </is>
      </c>
      <c r="P1415" s="8" t="n">
        <v>1</v>
      </c>
      <c r="Q1415" s="8" t="n">
        <v>95</v>
      </c>
      <c r="R1415" s="7" t="inlineStr">
        <is>
          <t>https://www.itaipu.gov.py/sites/default/files/af_df/Memoria%20Anual%202002.pdf</t>
        </is>
      </c>
      <c r="S1415" s="6" t="inlineStr">
        <is>
          <t>ITAIPU-MEM-2002</t>
        </is>
      </c>
      <c r="T1415" s="6" t="inlineStr"/>
      <c r="U1415" s="4" t="inlineStr">
        <is>
          <t>2026-09-11 00:05:00</t>
        </is>
      </c>
      <c r="V1415" s="4" t="inlineStr">
        <is>
          <t>Produccion anual oficial; valores de memoria en GWh.</t>
        </is>
      </c>
    </row>
    <row r="1416">
      <c r="A1416" s="6" t="inlineStr">
        <is>
          <t>R0001415</t>
        </is>
      </c>
      <c r="B1416" s="6" t="inlineStr">
        <is>
          <t>1998-01-01</t>
        </is>
      </c>
      <c r="C1416" s="6" t="inlineStr">
        <is>
          <t>1998-12-31</t>
        </is>
      </c>
      <c r="D1416" s="6" t="inlineStr">
        <is>
          <t>year</t>
        </is>
      </c>
      <c r="E1416" s="6" t="inlineStr">
        <is>
          <t>ITAIPU_GROSS_GENERATION</t>
        </is>
      </c>
      <c r="F1416" s="6" t="inlineStr">
        <is>
          <t>ITAIPU</t>
        </is>
      </c>
      <c r="G1416" s="6" t="inlineStr">
        <is>
          <t>ITAIPU</t>
        </is>
      </c>
      <c r="H1416" s="6" t="inlineStr">
        <is>
          <t>TOTAL</t>
        </is>
      </c>
      <c r="I1416" s="8" t="n">
        <v>87846000</v>
      </c>
      <c r="J1416" s="6" t="inlineStr">
        <is>
          <t>MWh</t>
        </is>
      </c>
      <c r="K1416" s="8" t="n">
        <v>87846000</v>
      </c>
      <c r="L1416" s="6" t="inlineStr">
        <is>
          <t>MWh</t>
        </is>
      </c>
      <c r="M1416" s="6" t="inlineStr">
        <is>
          <t>ITAIPU</t>
        </is>
      </c>
      <c r="N1416" s="6" t="inlineStr">
        <is>
          <t>OFFICIAL_PRIMARY</t>
        </is>
      </c>
      <c r="O1416" s="9" t="inlineStr">
        <is>
          <t>OFFICIAL_AGGREGATE</t>
        </is>
      </c>
      <c r="P1416" s="8" t="n">
        <v>1</v>
      </c>
      <c r="Q1416" s="8" t="n">
        <v>95</v>
      </c>
      <c r="R1416" s="7" t="inlineStr">
        <is>
          <t>https://www.itaipu.gov.py/sites/default/files/af_df/Memoria%20Anual%202002.pdf</t>
        </is>
      </c>
      <c r="S1416" s="6" t="inlineStr">
        <is>
          <t>ITAIPU-MEM-2002</t>
        </is>
      </c>
      <c r="T1416" s="6" t="inlineStr"/>
      <c r="U1416" s="4" t="inlineStr">
        <is>
          <t>2026-09-11 00:05:00</t>
        </is>
      </c>
      <c r="V1416" s="4" t="inlineStr">
        <is>
          <t>Produccion anual oficial; valores de memoria en GWh.</t>
        </is>
      </c>
    </row>
    <row r="1417">
      <c r="A1417" s="6" t="inlineStr">
        <is>
          <t>R0001416</t>
        </is>
      </c>
      <c r="B1417" s="6" t="inlineStr">
        <is>
          <t>1999-01-01</t>
        </is>
      </c>
      <c r="C1417" s="6" t="inlineStr">
        <is>
          <t>1999-12-31</t>
        </is>
      </c>
      <c r="D1417" s="6" t="inlineStr">
        <is>
          <t>year</t>
        </is>
      </c>
      <c r="E1417" s="6" t="inlineStr">
        <is>
          <t>ITAIPU_GROSS_GENERATION</t>
        </is>
      </c>
      <c r="F1417" s="6" t="inlineStr">
        <is>
          <t>ITAIPU</t>
        </is>
      </c>
      <c r="G1417" s="6" t="inlineStr">
        <is>
          <t>ITAIPU</t>
        </is>
      </c>
      <c r="H1417" s="6" t="inlineStr">
        <is>
          <t>TOTAL</t>
        </is>
      </c>
      <c r="I1417" s="8" t="n">
        <v>90002000</v>
      </c>
      <c r="J1417" s="6" t="inlineStr">
        <is>
          <t>MWh</t>
        </is>
      </c>
      <c r="K1417" s="8" t="n">
        <v>90002000</v>
      </c>
      <c r="L1417" s="6" t="inlineStr">
        <is>
          <t>MWh</t>
        </is>
      </c>
      <c r="M1417" s="6" t="inlineStr">
        <is>
          <t>ITAIPU</t>
        </is>
      </c>
      <c r="N1417" s="6" t="inlineStr">
        <is>
          <t>OFFICIAL_PRIMARY</t>
        </is>
      </c>
      <c r="O1417" s="9" t="inlineStr">
        <is>
          <t>OFFICIAL_AGGREGATE</t>
        </is>
      </c>
      <c r="P1417" s="8" t="n">
        <v>1</v>
      </c>
      <c r="Q1417" s="8" t="n">
        <v>95</v>
      </c>
      <c r="R1417" s="7" t="inlineStr">
        <is>
          <t>https://www.itaipu.gov.py/sites/default/files/af_df/Memoria%20Anual%202002.pdf</t>
        </is>
      </c>
      <c r="S1417" s="6" t="inlineStr">
        <is>
          <t>ITAIPU-MEM-2002</t>
        </is>
      </c>
      <c r="T1417" s="6" t="inlineStr"/>
      <c r="U1417" s="4" t="inlineStr">
        <is>
          <t>2026-09-11 00:05:00</t>
        </is>
      </c>
      <c r="V1417" s="4" t="inlineStr">
        <is>
          <t>Produccion anual oficial; valores de memoria en GWh.</t>
        </is>
      </c>
    </row>
    <row r="1418">
      <c r="A1418" s="6" t="inlineStr">
        <is>
          <t>R0001417</t>
        </is>
      </c>
      <c r="B1418" s="6" t="inlineStr">
        <is>
          <t>2000-01-01</t>
        </is>
      </c>
      <c r="C1418" s="6" t="inlineStr">
        <is>
          <t>2000-12-31</t>
        </is>
      </c>
      <c r="D1418" s="6" t="inlineStr">
        <is>
          <t>year</t>
        </is>
      </c>
      <c r="E1418" s="6" t="inlineStr">
        <is>
          <t>ITAIPU_GROSS_GENERATION</t>
        </is>
      </c>
      <c r="F1418" s="6" t="inlineStr">
        <is>
          <t>ITAIPU</t>
        </is>
      </c>
      <c r="G1418" s="6" t="inlineStr">
        <is>
          <t>ITAIPU</t>
        </is>
      </c>
      <c r="H1418" s="6" t="inlineStr">
        <is>
          <t>TOTAL</t>
        </is>
      </c>
      <c r="I1418" s="8" t="n">
        <v>93428000</v>
      </c>
      <c r="J1418" s="6" t="inlineStr">
        <is>
          <t>MWh</t>
        </is>
      </c>
      <c r="K1418" s="8" t="n">
        <v>93428000</v>
      </c>
      <c r="L1418" s="6" t="inlineStr">
        <is>
          <t>MWh</t>
        </is>
      </c>
      <c r="M1418" s="6" t="inlineStr">
        <is>
          <t>ITAIPU</t>
        </is>
      </c>
      <c r="N1418" s="6" t="inlineStr">
        <is>
          <t>OFFICIAL_PRIMARY</t>
        </is>
      </c>
      <c r="O1418" s="9" t="inlineStr">
        <is>
          <t>OFFICIAL_AGGREGATE</t>
        </is>
      </c>
      <c r="P1418" s="8" t="n">
        <v>1</v>
      </c>
      <c r="Q1418" s="8" t="n">
        <v>95</v>
      </c>
      <c r="R1418" s="7" t="inlineStr">
        <is>
          <t>https://www.itaipu.gov.py/sites/default/files/af_df/Memoria%20Anual%202002.pdf</t>
        </is>
      </c>
      <c r="S1418" s="6" t="inlineStr">
        <is>
          <t>ITAIPU-MEM-2002</t>
        </is>
      </c>
      <c r="T1418" s="6" t="inlineStr"/>
      <c r="U1418" s="4" t="inlineStr">
        <is>
          <t>2026-09-11 00:05:00</t>
        </is>
      </c>
      <c r="V1418" s="4" t="inlineStr">
        <is>
          <t>Produccion anual oficial; valores de memoria en GWh.</t>
        </is>
      </c>
    </row>
    <row r="1419">
      <c r="A1419" s="6" t="inlineStr">
        <is>
          <t>R0001418</t>
        </is>
      </c>
      <c r="B1419" s="6" t="inlineStr">
        <is>
          <t>2001-01-01</t>
        </is>
      </c>
      <c r="C1419" s="6" t="inlineStr">
        <is>
          <t>2001-12-31</t>
        </is>
      </c>
      <c r="D1419" s="6" t="inlineStr">
        <is>
          <t>year</t>
        </is>
      </c>
      <c r="E1419" s="6" t="inlineStr">
        <is>
          <t>ITAIPU_GROSS_GENERATION</t>
        </is>
      </c>
      <c r="F1419" s="6" t="inlineStr">
        <is>
          <t>ITAIPU</t>
        </is>
      </c>
      <c r="G1419" s="6" t="inlineStr">
        <is>
          <t>ITAIPU</t>
        </is>
      </c>
      <c r="H1419" s="6" t="inlineStr">
        <is>
          <t>TOTAL</t>
        </is>
      </c>
      <c r="I1419" s="8" t="n">
        <v>79307000</v>
      </c>
      <c r="J1419" s="6" t="inlineStr">
        <is>
          <t>MWh</t>
        </is>
      </c>
      <c r="K1419" s="8" t="n">
        <v>79307000</v>
      </c>
      <c r="L1419" s="6" t="inlineStr">
        <is>
          <t>MWh</t>
        </is>
      </c>
      <c r="M1419" s="6" t="inlineStr">
        <is>
          <t>ITAIPU</t>
        </is>
      </c>
      <c r="N1419" s="6" t="inlineStr">
        <is>
          <t>OFFICIAL_PRIMARY</t>
        </is>
      </c>
      <c r="O1419" s="9" t="inlineStr">
        <is>
          <t>OFFICIAL_AGGREGATE</t>
        </is>
      </c>
      <c r="P1419" s="8" t="n">
        <v>1</v>
      </c>
      <c r="Q1419" s="8" t="n">
        <v>95</v>
      </c>
      <c r="R1419" s="7" t="inlineStr">
        <is>
          <t>https://www.itaipu.gov.py/sites/default/files/af_df/Memoria%20Anual%202002.pdf</t>
        </is>
      </c>
      <c r="S1419" s="6" t="inlineStr">
        <is>
          <t>ITAIPU-MEM-2002</t>
        </is>
      </c>
      <c r="T1419" s="6" t="inlineStr"/>
      <c r="U1419" s="4" t="inlineStr">
        <is>
          <t>2026-09-11 00:05:00</t>
        </is>
      </c>
      <c r="V1419" s="4" t="inlineStr">
        <is>
          <t>Produccion anual oficial; valores de memoria en GWh.</t>
        </is>
      </c>
    </row>
    <row r="1420">
      <c r="A1420" s="6" t="inlineStr">
        <is>
          <t>R0001419</t>
        </is>
      </c>
      <c r="B1420" s="6" t="inlineStr">
        <is>
          <t>2002-01-01</t>
        </is>
      </c>
      <c r="C1420" s="6" t="inlineStr">
        <is>
          <t>2002-12-31</t>
        </is>
      </c>
      <c r="D1420" s="6" t="inlineStr">
        <is>
          <t>year</t>
        </is>
      </c>
      <c r="E1420" s="6" t="inlineStr">
        <is>
          <t>ITAIPU_GROSS_GENERATION</t>
        </is>
      </c>
      <c r="F1420" s="6" t="inlineStr">
        <is>
          <t>ITAIPU</t>
        </is>
      </c>
      <c r="G1420" s="6" t="inlineStr">
        <is>
          <t>ITAIPU</t>
        </is>
      </c>
      <c r="H1420" s="6" t="inlineStr">
        <is>
          <t>TOTAL</t>
        </is>
      </c>
      <c r="I1420" s="8" t="n">
        <v>82914000</v>
      </c>
      <c r="J1420" s="6" t="inlineStr">
        <is>
          <t>MWh</t>
        </is>
      </c>
      <c r="K1420" s="8" t="n">
        <v>82914000</v>
      </c>
      <c r="L1420" s="6" t="inlineStr">
        <is>
          <t>MWh</t>
        </is>
      </c>
      <c r="M1420" s="6" t="inlineStr">
        <is>
          <t>ITAIPU</t>
        </is>
      </c>
      <c r="N1420" s="6" t="inlineStr">
        <is>
          <t>OFFICIAL_PRIMARY</t>
        </is>
      </c>
      <c r="O1420" s="9" t="inlineStr">
        <is>
          <t>OFFICIAL_AGGREGATE</t>
        </is>
      </c>
      <c r="P1420" s="8" t="n">
        <v>1</v>
      </c>
      <c r="Q1420" s="8" t="n">
        <v>95</v>
      </c>
      <c r="R1420" s="7" t="inlineStr">
        <is>
          <t>https://www.itaipu.gov.py/sites/default/files/af_df/Memoria%20Anual%202002.pdf</t>
        </is>
      </c>
      <c r="S1420" s="6" t="inlineStr">
        <is>
          <t>ITAIPU-MEM-2002</t>
        </is>
      </c>
      <c r="T1420" s="6" t="inlineStr"/>
      <c r="U1420" s="4" t="inlineStr">
        <is>
          <t>2026-09-11 00:05:00</t>
        </is>
      </c>
      <c r="V1420" s="4" t="inlineStr">
        <is>
          <t>Produccion anual oficial; valores de memoria en GWh.</t>
        </is>
      </c>
    </row>
    <row r="1421">
      <c r="A1421" s="6" t="inlineStr">
        <is>
          <t>R0001420</t>
        </is>
      </c>
      <c r="B1421" s="6" t="inlineStr">
        <is>
          <t>2024-01-01</t>
        </is>
      </c>
      <c r="C1421" s="6" t="inlineStr">
        <is>
          <t>2024-12-31</t>
        </is>
      </c>
      <c r="D1421" s="6" t="inlineStr">
        <is>
          <t>year</t>
        </is>
      </c>
      <c r="E1421" s="6" t="inlineStr">
        <is>
          <t>ITAIPU_GROSS_GENERATION</t>
        </is>
      </c>
      <c r="F1421" s="6" t="inlineStr">
        <is>
          <t>ITAIPU</t>
        </is>
      </c>
      <c r="G1421" s="6" t="inlineStr">
        <is>
          <t>ITAIPU</t>
        </is>
      </c>
      <c r="H1421" s="6" t="inlineStr">
        <is>
          <t>TOTAL</t>
        </is>
      </c>
      <c r="I1421" s="8" t="n">
        <v>67088571</v>
      </c>
      <c r="J1421" s="6" t="inlineStr">
        <is>
          <t>MWh</t>
        </is>
      </c>
      <c r="K1421" s="8" t="n">
        <v>67088571</v>
      </c>
      <c r="L1421" s="6" t="inlineStr">
        <is>
          <t>MWh</t>
        </is>
      </c>
      <c r="M1421" s="6" t="inlineStr">
        <is>
          <t>ITAIPU</t>
        </is>
      </c>
      <c r="N1421" s="6" t="inlineStr">
        <is>
          <t>OFFICIAL_PRIMARY</t>
        </is>
      </c>
      <c r="O1421" s="9" t="inlineStr">
        <is>
          <t>OFFICIAL_AGGREGATE</t>
        </is>
      </c>
      <c r="P1421" s="8" t="n">
        <v>1</v>
      </c>
      <c r="Q1421" s="8" t="n">
        <v>95</v>
      </c>
      <c r="R1421" s="7" t="inlineStr">
        <is>
          <t>https://www.itaipu.gov.py/</t>
        </is>
      </c>
      <c r="S1421" s="6" t="inlineStr">
        <is>
          <t>ITAIPU-RECENT</t>
        </is>
      </c>
      <c r="T1421" s="6" t="inlineStr"/>
      <c r="U1421" s="4" t="inlineStr">
        <is>
          <t>2026-09-11 00:05:00</t>
        </is>
      </c>
      <c r="V1421" s="4" t="inlineStr">
        <is>
          <t>Produccion 2024 reportada por Itaipu.</t>
        </is>
      </c>
    </row>
    <row r="1422">
      <c r="A1422" s="6" t="inlineStr">
        <is>
          <t>R0001421</t>
        </is>
      </c>
      <c r="B1422" s="6" t="inlineStr">
        <is>
          <t>2025-01-01</t>
        </is>
      </c>
      <c r="C1422" s="6" t="inlineStr">
        <is>
          <t>2025-12-31</t>
        </is>
      </c>
      <c r="D1422" s="6" t="inlineStr">
        <is>
          <t>year</t>
        </is>
      </c>
      <c r="E1422" s="6" t="inlineStr">
        <is>
          <t>ITAIPU_GROSS_GENERATION</t>
        </is>
      </c>
      <c r="F1422" s="6" t="inlineStr">
        <is>
          <t>ITAIPU</t>
        </is>
      </c>
      <c r="G1422" s="6" t="inlineStr">
        <is>
          <t>ITAIPU</t>
        </is>
      </c>
      <c r="H1422" s="6" t="inlineStr">
        <is>
          <t>TOTAL</t>
        </is>
      </c>
      <c r="I1422" s="8" t="n">
        <v>72879287</v>
      </c>
      <c r="J1422" s="6" t="inlineStr">
        <is>
          <t>MWh</t>
        </is>
      </c>
      <c r="K1422" s="8" t="n">
        <v>72879287</v>
      </c>
      <c r="L1422" s="6" t="inlineStr">
        <is>
          <t>MWh</t>
        </is>
      </c>
      <c r="M1422" s="6" t="inlineStr">
        <is>
          <t>ITAIPU</t>
        </is>
      </c>
      <c r="N1422" s="6" t="inlineStr">
        <is>
          <t>OFFICIAL_PRIMARY</t>
        </is>
      </c>
      <c r="O1422" s="9" t="inlineStr">
        <is>
          <t>OFFICIAL_AGGREGATE</t>
        </is>
      </c>
      <c r="P1422" s="8" t="n">
        <v>1</v>
      </c>
      <c r="Q1422" s="8" t="n">
        <v>95</v>
      </c>
      <c r="R1422" s="7" t="inlineStr">
        <is>
          <t>https://www.itaipu.gov.py/</t>
        </is>
      </c>
      <c r="S1422" s="6" t="inlineStr">
        <is>
          <t>ITAIPU-RECENT</t>
        </is>
      </c>
      <c r="T1422" s="6" t="inlineStr"/>
      <c r="U1422" s="4" t="inlineStr">
        <is>
          <t>2026-09-11 00:05:00</t>
        </is>
      </c>
      <c r="V1422" s="4" t="inlineStr">
        <is>
          <t>Produccion 2025 reportada por Itaipu.</t>
        </is>
      </c>
    </row>
    <row r="1423">
      <c r="A1423" s="6" t="inlineStr">
        <is>
          <t>R0001422</t>
        </is>
      </c>
      <c r="B1423" s="6" t="inlineStr">
        <is>
          <t>2025-01-01</t>
        </is>
      </c>
      <c r="C1423" s="6" t="inlineStr">
        <is>
          <t>2025-12-31</t>
        </is>
      </c>
      <c r="D1423" s="6" t="inlineStr">
        <is>
          <t>year</t>
        </is>
      </c>
      <c r="E1423" s="6" t="inlineStr">
        <is>
          <t>ENERGY_TO_PY</t>
        </is>
      </c>
      <c r="F1423" s="6" t="inlineStr">
        <is>
          <t>ITAIPU</t>
        </is>
      </c>
      <c r="G1423" s="6" t="inlineStr">
        <is>
          <t>ITAIPU</t>
        </is>
      </c>
      <c r="H1423" s="6" t="inlineStr">
        <is>
          <t>PY</t>
        </is>
      </c>
      <c r="I1423" s="8" t="n">
        <v>25768000</v>
      </c>
      <c r="J1423" s="6" t="inlineStr">
        <is>
          <t>MWh</t>
        </is>
      </c>
      <c r="K1423" s="8" t="n">
        <v>25768000</v>
      </c>
      <c r="L1423" s="6" t="inlineStr">
        <is>
          <t>MWh</t>
        </is>
      </c>
      <c r="M1423" s="6" t="inlineStr">
        <is>
          <t>ITAIPU</t>
        </is>
      </c>
      <c r="N1423" s="6" t="inlineStr">
        <is>
          <t>OFFICIAL_PRIMARY</t>
        </is>
      </c>
      <c r="O1423" s="9" t="inlineStr">
        <is>
          <t>OFFICIAL_AGGREGATE</t>
        </is>
      </c>
      <c r="P1423" s="8" t="n">
        <v>1</v>
      </c>
      <c r="Q1423" s="8" t="n">
        <v>95</v>
      </c>
      <c r="R1423" s="7" t="inlineStr">
        <is>
          <t>https://www.itaipu.gov.py/</t>
        </is>
      </c>
      <c r="S1423" s="6" t="inlineStr">
        <is>
          <t>ITAIPU-RECENT</t>
        </is>
      </c>
      <c r="T1423" s="6" t="inlineStr"/>
      <c r="U1423" s="4" t="inlineStr">
        <is>
          <t>2026-09-11 00:05:00</t>
        </is>
      </c>
      <c r="V1423" s="4" t="inlineStr">
        <is>
          <t>Suministro 2025 a Paraguay.</t>
        </is>
      </c>
    </row>
    <row r="1424">
      <c r="A1424" s="6" t="inlineStr">
        <is>
          <t>R0001423</t>
        </is>
      </c>
      <c r="B1424" s="6" t="inlineStr">
        <is>
          <t>2018-01-01</t>
        </is>
      </c>
      <c r="C1424" s="6" t="inlineStr">
        <is>
          <t>2018-12-31</t>
        </is>
      </c>
      <c r="D1424" s="6" t="inlineStr">
        <is>
          <t>year</t>
        </is>
      </c>
      <c r="E1424" s="6" t="inlineStr">
        <is>
          <t>ITAIPU_SUPPLIED_ENERGY</t>
        </is>
      </c>
      <c r="F1424" s="6" t="inlineStr">
        <is>
          <t>ITAIPU</t>
        </is>
      </c>
      <c r="G1424" s="6" t="inlineStr">
        <is>
          <t>ITAIPU</t>
        </is>
      </c>
      <c r="H1424" s="6" t="inlineStr">
        <is>
          <t>BR</t>
        </is>
      </c>
      <c r="I1424" s="8" t="n">
        <v>80838912</v>
      </c>
      <c r="J1424" s="6" t="inlineStr">
        <is>
          <t>MWh</t>
        </is>
      </c>
      <c r="K1424" s="8" t="n">
        <v>80838912</v>
      </c>
      <c r="L1424" s="6" t="inlineStr">
        <is>
          <t>MWh</t>
        </is>
      </c>
      <c r="M1424" s="6" t="inlineStr">
        <is>
          <t>ITAIPU</t>
        </is>
      </c>
      <c r="N1424" s="6" t="inlineStr">
        <is>
          <t>OFFICIAL_PRIMARY</t>
        </is>
      </c>
      <c r="O1424" s="9" t="inlineStr">
        <is>
          <t>OFFICIAL_ACCOUNTING</t>
        </is>
      </c>
      <c r="P1424" s="8" t="n">
        <v>1</v>
      </c>
      <c r="Q1424" s="8" t="n">
        <v>90</v>
      </c>
      <c r="R1424" s="7" t="inlineStr">
        <is>
          <t>https://www.itaipu.gov.py/</t>
        </is>
      </c>
      <c r="S1424" s="6" t="inlineStr">
        <is>
          <t>ITAIPU-FIN</t>
        </is>
      </c>
      <c r="T1424" s="6" t="inlineStr"/>
      <c r="U1424" s="4" t="inlineStr">
        <is>
          <t>2026-09-11 00:05:00</t>
        </is>
      </c>
      <c r="V1424" s="4" t="inlineStr">
        <is>
          <t>Energia suministrada al Brasil segun estados financieros.</t>
        </is>
      </c>
    </row>
    <row r="1425">
      <c r="A1425" s="6" t="inlineStr">
        <is>
          <t>R0001424</t>
        </is>
      </c>
      <c r="B1425" s="6" t="inlineStr">
        <is>
          <t>2018-01-01</t>
        </is>
      </c>
      <c r="C1425" s="6" t="inlineStr">
        <is>
          <t>2018-12-31</t>
        </is>
      </c>
      <c r="D1425" s="6" t="inlineStr">
        <is>
          <t>year</t>
        </is>
      </c>
      <c r="E1425" s="6" t="inlineStr">
        <is>
          <t>ITAIPU_SUPPLIED_ENERGY</t>
        </is>
      </c>
      <c r="F1425" s="6" t="inlineStr">
        <is>
          <t>ITAIPU</t>
        </is>
      </c>
      <c r="G1425" s="6" t="inlineStr">
        <is>
          <t>ITAIPU</t>
        </is>
      </c>
      <c r="H1425" s="6" t="inlineStr">
        <is>
          <t>PY</t>
        </is>
      </c>
      <c r="I1425" s="8" t="n">
        <v>15043900</v>
      </c>
      <c r="J1425" s="6" t="inlineStr">
        <is>
          <t>MWh</t>
        </is>
      </c>
      <c r="K1425" s="8" t="n">
        <v>15043900</v>
      </c>
      <c r="L1425" s="6" t="inlineStr">
        <is>
          <t>MWh</t>
        </is>
      </c>
      <c r="M1425" s="6" t="inlineStr">
        <is>
          <t>ITAIPU</t>
        </is>
      </c>
      <c r="N1425" s="6" t="inlineStr">
        <is>
          <t>OFFICIAL_PRIMARY</t>
        </is>
      </c>
      <c r="O1425" s="9" t="inlineStr">
        <is>
          <t>OFFICIAL_ACCOUNTING</t>
        </is>
      </c>
      <c r="P1425" s="8" t="n">
        <v>1</v>
      </c>
      <c r="Q1425" s="8" t="n">
        <v>90</v>
      </c>
      <c r="R1425" s="7" t="inlineStr">
        <is>
          <t>https://www.itaipu.gov.py/</t>
        </is>
      </c>
      <c r="S1425" s="6" t="inlineStr">
        <is>
          <t>ITAIPU-FIN</t>
        </is>
      </c>
      <c r="T1425" s="6" t="inlineStr"/>
      <c r="U1425" s="4" t="inlineStr">
        <is>
          <t>2026-09-11 00:05:00</t>
        </is>
      </c>
      <c r="V1425" s="4" t="inlineStr">
        <is>
          <t>Energia suministrada al Paraguay segun estados financieros.</t>
        </is>
      </c>
    </row>
    <row r="1426">
      <c r="A1426" s="6" t="inlineStr">
        <is>
          <t>R0001425</t>
        </is>
      </c>
      <c r="B1426" s="6" t="inlineStr">
        <is>
          <t>2019-01-01</t>
        </is>
      </c>
      <c r="C1426" s="6" t="inlineStr">
        <is>
          <t>2019-12-31</t>
        </is>
      </c>
      <c r="D1426" s="6" t="inlineStr">
        <is>
          <t>year</t>
        </is>
      </c>
      <c r="E1426" s="6" t="inlineStr">
        <is>
          <t>ITAIPU_SUPPLIED_ENERGY</t>
        </is>
      </c>
      <c r="F1426" s="6" t="inlineStr">
        <is>
          <t>ITAIPU</t>
        </is>
      </c>
      <c r="G1426" s="6" t="inlineStr">
        <is>
          <t>ITAIPU</t>
        </is>
      </c>
      <c r="H1426" s="6" t="inlineStr">
        <is>
          <t>BR</t>
        </is>
      </c>
      <c r="I1426" s="8" t="n">
        <v>63627155</v>
      </c>
      <c r="J1426" s="6" t="inlineStr">
        <is>
          <t>MWh</t>
        </is>
      </c>
      <c r="K1426" s="8" t="n">
        <v>63627155</v>
      </c>
      <c r="L1426" s="6" t="inlineStr">
        <is>
          <t>MWh</t>
        </is>
      </c>
      <c r="M1426" s="6" t="inlineStr">
        <is>
          <t>ITAIPU</t>
        </is>
      </c>
      <c r="N1426" s="6" t="inlineStr">
        <is>
          <t>OFFICIAL_PRIMARY</t>
        </is>
      </c>
      <c r="O1426" s="9" t="inlineStr">
        <is>
          <t>OFFICIAL_ACCOUNTING</t>
        </is>
      </c>
      <c r="P1426" s="8" t="n">
        <v>1</v>
      </c>
      <c r="Q1426" s="8" t="n">
        <v>90</v>
      </c>
      <c r="R1426" s="7" t="inlineStr">
        <is>
          <t>https://www.itaipu.gov.py/</t>
        </is>
      </c>
      <c r="S1426" s="6" t="inlineStr">
        <is>
          <t>ITAIPU-FIN</t>
        </is>
      </c>
      <c r="T1426" s="6" t="inlineStr"/>
      <c r="U1426" s="4" t="inlineStr">
        <is>
          <t>2026-09-11 00:05:00</t>
        </is>
      </c>
      <c r="V1426" s="4" t="inlineStr">
        <is>
          <t>Energia suministrada al Brasil segun estados financieros.</t>
        </is>
      </c>
    </row>
    <row r="1427">
      <c r="A1427" s="6" t="inlineStr">
        <is>
          <t>R0001426</t>
        </is>
      </c>
      <c r="B1427" s="6" t="inlineStr">
        <is>
          <t>2019-01-01</t>
        </is>
      </c>
      <c r="C1427" s="6" t="inlineStr">
        <is>
          <t>2019-12-31</t>
        </is>
      </c>
      <c r="D1427" s="6" t="inlineStr">
        <is>
          <t>year</t>
        </is>
      </c>
      <c r="E1427" s="6" t="inlineStr">
        <is>
          <t>ITAIPU_SUPPLIED_ENERGY</t>
        </is>
      </c>
      <c r="F1427" s="6" t="inlineStr">
        <is>
          <t>ITAIPU</t>
        </is>
      </c>
      <c r="G1427" s="6" t="inlineStr">
        <is>
          <t>ITAIPU</t>
        </is>
      </c>
      <c r="H1427" s="6" t="inlineStr">
        <is>
          <t>PY</t>
        </is>
      </c>
      <c r="I1427" s="8" t="n">
        <v>15266241</v>
      </c>
      <c r="J1427" s="6" t="inlineStr">
        <is>
          <t>MWh</t>
        </is>
      </c>
      <c r="K1427" s="8" t="n">
        <v>15266241</v>
      </c>
      <c r="L1427" s="6" t="inlineStr">
        <is>
          <t>MWh</t>
        </is>
      </c>
      <c r="M1427" s="6" t="inlineStr">
        <is>
          <t>ITAIPU</t>
        </is>
      </c>
      <c r="N1427" s="6" t="inlineStr">
        <is>
          <t>OFFICIAL_PRIMARY</t>
        </is>
      </c>
      <c r="O1427" s="9" t="inlineStr">
        <is>
          <t>OFFICIAL_ACCOUNTING</t>
        </is>
      </c>
      <c r="P1427" s="8" t="n">
        <v>1</v>
      </c>
      <c r="Q1427" s="8" t="n">
        <v>90</v>
      </c>
      <c r="R1427" s="7" t="inlineStr">
        <is>
          <t>https://www.itaipu.gov.py/</t>
        </is>
      </c>
      <c r="S1427" s="6" t="inlineStr">
        <is>
          <t>ITAIPU-FIN</t>
        </is>
      </c>
      <c r="T1427" s="6" t="inlineStr"/>
      <c r="U1427" s="4" t="inlineStr">
        <is>
          <t>2026-09-11 00:05:00</t>
        </is>
      </c>
      <c r="V1427" s="4" t="inlineStr">
        <is>
          <t>Energia suministrada al Paraguay segun estados financieros.</t>
        </is>
      </c>
    </row>
    <row r="1428">
      <c r="A1428" s="6" t="inlineStr">
        <is>
          <t>R0001427</t>
        </is>
      </c>
      <c r="B1428" s="6" t="inlineStr">
        <is>
          <t>2020-01-01</t>
        </is>
      </c>
      <c r="C1428" s="6" t="inlineStr">
        <is>
          <t>2020-12-31</t>
        </is>
      </c>
      <c r="D1428" s="6" t="inlineStr">
        <is>
          <t>year</t>
        </is>
      </c>
      <c r="E1428" s="6" t="inlineStr">
        <is>
          <t>ITAIPU_SUPPLIED_ENERGY</t>
        </is>
      </c>
      <c r="F1428" s="6" t="inlineStr">
        <is>
          <t>ITAIPU</t>
        </is>
      </c>
      <c r="G1428" s="6" t="inlineStr">
        <is>
          <t>ITAIPU</t>
        </is>
      </c>
      <c r="H1428" s="6" t="inlineStr">
        <is>
          <t>BR</t>
        </is>
      </c>
      <c r="I1428" s="8" t="n">
        <v>60045120</v>
      </c>
      <c r="J1428" s="6" t="inlineStr">
        <is>
          <t>MWh</t>
        </is>
      </c>
      <c r="K1428" s="8" t="n">
        <v>60045120</v>
      </c>
      <c r="L1428" s="6" t="inlineStr">
        <is>
          <t>MWh</t>
        </is>
      </c>
      <c r="M1428" s="6" t="inlineStr">
        <is>
          <t>ITAIPU</t>
        </is>
      </c>
      <c r="N1428" s="6" t="inlineStr">
        <is>
          <t>OFFICIAL_PRIMARY</t>
        </is>
      </c>
      <c r="O1428" s="9" t="inlineStr">
        <is>
          <t>OFFICIAL_ACCOUNTING</t>
        </is>
      </c>
      <c r="P1428" s="8" t="n">
        <v>1</v>
      </c>
      <c r="Q1428" s="8" t="n">
        <v>90</v>
      </c>
      <c r="R1428" s="7" t="inlineStr">
        <is>
          <t>https://www.itaipu.gov.py/</t>
        </is>
      </c>
      <c r="S1428" s="6" t="inlineStr">
        <is>
          <t>ITAIPU-FIN</t>
        </is>
      </c>
      <c r="T1428" s="6" t="inlineStr"/>
      <c r="U1428" s="4" t="inlineStr">
        <is>
          <t>2026-09-11 00:05:00</t>
        </is>
      </c>
      <c r="V1428" s="4" t="inlineStr">
        <is>
          <t>Energia suministrada al Brasil segun estados financieros.</t>
        </is>
      </c>
    </row>
    <row r="1429">
      <c r="A1429" s="6" t="inlineStr">
        <is>
          <t>R0001428</t>
        </is>
      </c>
      <c r="B1429" s="6" t="inlineStr">
        <is>
          <t>2020-01-01</t>
        </is>
      </c>
      <c r="C1429" s="6" t="inlineStr">
        <is>
          <t>2020-12-31</t>
        </is>
      </c>
      <c r="D1429" s="6" t="inlineStr">
        <is>
          <t>year</t>
        </is>
      </c>
      <c r="E1429" s="6" t="inlineStr">
        <is>
          <t>ITAIPU_SUPPLIED_ENERGY</t>
        </is>
      </c>
      <c r="F1429" s="6" t="inlineStr">
        <is>
          <t>ITAIPU</t>
        </is>
      </c>
      <c r="G1429" s="6" t="inlineStr">
        <is>
          <t>ITAIPU</t>
        </is>
      </c>
      <c r="H1429" s="6" t="inlineStr">
        <is>
          <t>PY</t>
        </is>
      </c>
      <c r="I1429" s="8" t="n">
        <v>15861298</v>
      </c>
      <c r="J1429" s="6" t="inlineStr">
        <is>
          <t>MWh</t>
        </is>
      </c>
      <c r="K1429" s="8" t="n">
        <v>15861298</v>
      </c>
      <c r="L1429" s="6" t="inlineStr">
        <is>
          <t>MWh</t>
        </is>
      </c>
      <c r="M1429" s="6" t="inlineStr">
        <is>
          <t>ITAIPU</t>
        </is>
      </c>
      <c r="N1429" s="6" t="inlineStr">
        <is>
          <t>OFFICIAL_PRIMARY</t>
        </is>
      </c>
      <c r="O1429" s="9" t="inlineStr">
        <is>
          <t>OFFICIAL_ACCOUNTING</t>
        </is>
      </c>
      <c r="P1429" s="8" t="n">
        <v>1</v>
      </c>
      <c r="Q1429" s="8" t="n">
        <v>90</v>
      </c>
      <c r="R1429" s="7" t="inlineStr">
        <is>
          <t>https://www.itaipu.gov.py/</t>
        </is>
      </c>
      <c r="S1429" s="6" t="inlineStr">
        <is>
          <t>ITAIPU-FIN</t>
        </is>
      </c>
      <c r="T1429" s="6" t="inlineStr"/>
      <c r="U1429" s="4" t="inlineStr">
        <is>
          <t>2026-09-11 00:05:00</t>
        </is>
      </c>
      <c r="V1429" s="4" t="inlineStr">
        <is>
          <t>Energia suministrada al Paraguay segun estados financieros.</t>
        </is>
      </c>
    </row>
    <row r="1430">
      <c r="A1430" s="6" t="inlineStr">
        <is>
          <t>R0001429</t>
        </is>
      </c>
      <c r="B1430" s="6" t="inlineStr">
        <is>
          <t>2016-01-01</t>
        </is>
      </c>
      <c r="C1430" s="6" t="inlineStr">
        <is>
          <t>2016-12-31</t>
        </is>
      </c>
      <c r="D1430" s="6" t="inlineStr">
        <is>
          <t>year</t>
        </is>
      </c>
      <c r="E1430" s="6" t="inlineStr">
        <is>
          <t>ITAIPU_GROSS_GENERATION</t>
        </is>
      </c>
      <c r="F1430" s="6" t="inlineStr">
        <is>
          <t>ITAIPU</t>
        </is>
      </c>
      <c r="G1430" s="6" t="inlineStr">
        <is>
          <t>ITAIPU</t>
        </is>
      </c>
      <c r="H1430" s="6" t="inlineStr">
        <is>
          <t>TOTAL</t>
        </is>
      </c>
      <c r="I1430" s="8" t="n">
        <v>103098366</v>
      </c>
      <c r="J1430" s="6" t="inlineStr">
        <is>
          <t>MWh</t>
        </is>
      </c>
      <c r="K1430" s="8" t="n">
        <v>103098366</v>
      </c>
      <c r="L1430" s="6" t="inlineStr">
        <is>
          <t>MWh</t>
        </is>
      </c>
      <c r="M1430" s="6" t="inlineStr">
        <is>
          <t>ITAIPU</t>
        </is>
      </c>
      <c r="N1430" s="6" t="inlineStr">
        <is>
          <t>OFFICIAL_PRIMARY</t>
        </is>
      </c>
      <c r="O1430" s="9" t="inlineStr">
        <is>
          <t>OFFICIAL_AGGREGATE</t>
        </is>
      </c>
      <c r="P1430" s="8" t="n">
        <v>1</v>
      </c>
      <c r="Q1430" s="8" t="n">
        <v>100</v>
      </c>
      <c r="R1430" s="7" t="inlineStr">
        <is>
          <t>https://www.itaipu.gov.py/noticias/institucional/itaipu-produjo-en-2016-un-total-de-103-098-366-de-mwh-y-usd-100-millones-adicionales-para-el-paraguay</t>
        </is>
      </c>
      <c r="S1430" s="6" t="inlineStr">
        <is>
          <t>ITAIPU-2016</t>
        </is>
      </c>
      <c r="T1430" s="6" t="inlineStr"/>
      <c r="U1430" s="4" t="inlineStr">
        <is>
          <t>2026-09-11 00:05:00</t>
        </is>
      </c>
      <c r="V1430" s="4" t="inlineStr">
        <is>
          <t>Record mundial anual 2016.</t>
        </is>
      </c>
    </row>
    <row r="1431">
      <c r="A1431" s="6" t="inlineStr">
        <is>
          <t>R0001430</t>
        </is>
      </c>
      <c r="B1431" s="6" t="inlineStr">
        <is>
          <t>2022-01-01</t>
        </is>
      </c>
      <c r="C1431" s="6" t="inlineStr">
        <is>
          <t>2022-12-31</t>
        </is>
      </c>
      <c r="D1431" s="6" t="inlineStr">
        <is>
          <t>year</t>
        </is>
      </c>
      <c r="E1431" s="6" t="inlineStr">
        <is>
          <t>ITAIPU_SUPPLIED_ENERGY</t>
        </is>
      </c>
      <c r="F1431" s="6" t="inlineStr">
        <is>
          <t>ITAIPU</t>
        </is>
      </c>
      <c r="G1431" s="6" t="inlineStr">
        <is>
          <t>ITAIPU</t>
        </is>
      </c>
      <c r="H1431" s="6" t="inlineStr">
        <is>
          <t>PY</t>
        </is>
      </c>
      <c r="I1431" s="8" t="n">
        <v>16965000</v>
      </c>
      <c r="J1431" s="6" t="inlineStr">
        <is>
          <t>MWh</t>
        </is>
      </c>
      <c r="K1431" s="8" t="n">
        <v>16965000</v>
      </c>
      <c r="L1431" s="6" t="inlineStr">
        <is>
          <t>MWh</t>
        </is>
      </c>
      <c r="M1431" s="6" t="inlineStr">
        <is>
          <t>ITAIPU</t>
        </is>
      </c>
      <c r="N1431" s="6" t="inlineStr">
        <is>
          <t>OFFICIAL_PRIMARY</t>
        </is>
      </c>
      <c r="O1431" s="9" t="inlineStr">
        <is>
          <t>OFFICIAL_AGGREGATE</t>
        </is>
      </c>
      <c r="P1431" s="8" t="n">
        <v>1</v>
      </c>
      <c r="Q1431" s="8" t="n">
        <v>98</v>
      </c>
      <c r="R1431" s="7" t="inlineStr">
        <is>
          <t>https://www.itaipu.gov.py/sites/default/files/u62/Memoria%20Anual%20Itaipu%202023_Espa%C3%B1ol_internet.pdf</t>
        </is>
      </c>
      <c r="S1431" s="6" t="inlineStr">
        <is>
          <t>ITAIPU-MEM-2023</t>
        </is>
      </c>
      <c r="T1431" s="6" t="inlineStr"/>
      <c r="U1431" s="4" t="inlineStr">
        <is>
          <t>2026-09-11 00:05:00</t>
        </is>
      </c>
      <c r="V1431" s="4" t="inlineStr">
        <is>
          <t>Energia suministrada a ANDE; valores redondeados en GWh.</t>
        </is>
      </c>
    </row>
    <row r="1432">
      <c r="A1432" s="6" t="inlineStr">
        <is>
          <t>R0001431</t>
        </is>
      </c>
      <c r="B1432" s="6" t="inlineStr">
        <is>
          <t>2022-01-01</t>
        </is>
      </c>
      <c r="C1432" s="6" t="inlineStr">
        <is>
          <t>2022-12-31</t>
        </is>
      </c>
      <c r="D1432" s="6" t="inlineStr">
        <is>
          <t>year</t>
        </is>
      </c>
      <c r="E1432" s="6" t="inlineStr">
        <is>
          <t>ITAIPU_SUPPLIED_ENERGY</t>
        </is>
      </c>
      <c r="F1432" s="6" t="inlineStr">
        <is>
          <t>ITAIPU</t>
        </is>
      </c>
      <c r="G1432" s="6" t="inlineStr">
        <is>
          <t>ITAIPU</t>
        </is>
      </c>
      <c r="H1432" s="6" t="inlineStr">
        <is>
          <t>BR</t>
        </is>
      </c>
      <c r="I1432" s="8" t="n">
        <v>52527000</v>
      </c>
      <c r="J1432" s="6" t="inlineStr">
        <is>
          <t>MWh</t>
        </is>
      </c>
      <c r="K1432" s="8" t="n">
        <v>52527000</v>
      </c>
      <c r="L1432" s="6" t="inlineStr">
        <is>
          <t>MWh</t>
        </is>
      </c>
      <c r="M1432" s="6" t="inlineStr">
        <is>
          <t>ITAIPU</t>
        </is>
      </c>
      <c r="N1432" s="6" t="inlineStr">
        <is>
          <t>OFFICIAL_PRIMARY</t>
        </is>
      </c>
      <c r="O1432" s="9" t="inlineStr">
        <is>
          <t>OFFICIAL_AGGREGATE</t>
        </is>
      </c>
      <c r="P1432" s="8" t="n">
        <v>1</v>
      </c>
      <c r="Q1432" s="8" t="n">
        <v>98</v>
      </c>
      <c r="R1432" s="7" t="inlineStr">
        <is>
          <t>https://www.itaipu.gov.py/sites/default/files/u62/Memoria%20Anual%20Itaipu%202023_Espa%C3%B1ol_internet.pdf</t>
        </is>
      </c>
      <c r="S1432" s="6" t="inlineStr">
        <is>
          <t>ITAIPU-MEM-2023</t>
        </is>
      </c>
      <c r="T1432" s="6" t="inlineStr"/>
      <c r="U1432" s="4" t="inlineStr">
        <is>
          <t>2026-09-11 00:05:00</t>
        </is>
      </c>
      <c r="V1432" s="4" t="inlineStr">
        <is>
          <t>Energia suministrada a ENBPar; valores redondeados en GWh.</t>
        </is>
      </c>
    </row>
    <row r="1433">
      <c r="A1433" s="6" t="inlineStr">
        <is>
          <t>R0001432</t>
        </is>
      </c>
      <c r="B1433" s="6" t="inlineStr">
        <is>
          <t>2023-01-01</t>
        </is>
      </c>
      <c r="C1433" s="6" t="inlineStr">
        <is>
          <t>2023-12-31</t>
        </is>
      </c>
      <c r="D1433" s="6" t="inlineStr">
        <is>
          <t>year</t>
        </is>
      </c>
      <c r="E1433" s="6" t="inlineStr">
        <is>
          <t>ITAIPU_SUPPLIED_ENERGY</t>
        </is>
      </c>
      <c r="F1433" s="6" t="inlineStr">
        <is>
          <t>ITAIPU</t>
        </is>
      </c>
      <c r="G1433" s="6" t="inlineStr">
        <is>
          <t>ITAIPU</t>
        </is>
      </c>
      <c r="H1433" s="6" t="inlineStr">
        <is>
          <t>PY</t>
        </is>
      </c>
      <c r="I1433" s="8" t="n">
        <v>19515000</v>
      </c>
      <c r="J1433" s="6" t="inlineStr">
        <is>
          <t>MWh</t>
        </is>
      </c>
      <c r="K1433" s="8" t="n">
        <v>19515000</v>
      </c>
      <c r="L1433" s="6" t="inlineStr">
        <is>
          <t>MWh</t>
        </is>
      </c>
      <c r="M1433" s="6" t="inlineStr">
        <is>
          <t>ITAIPU</t>
        </is>
      </c>
      <c r="N1433" s="6" t="inlineStr">
        <is>
          <t>OFFICIAL_PRIMARY</t>
        </is>
      </c>
      <c r="O1433" s="9" t="inlineStr">
        <is>
          <t>OFFICIAL_AGGREGATE</t>
        </is>
      </c>
      <c r="P1433" s="8" t="n">
        <v>1</v>
      </c>
      <c r="Q1433" s="8" t="n">
        <v>98</v>
      </c>
      <c r="R1433" s="7" t="inlineStr">
        <is>
          <t>https://www.itaipu.gov.py/sites/default/files/u62/Memoria%20Anual%20Itaipu%202023_Espa%C3%B1ol_internet.pdf</t>
        </is>
      </c>
      <c r="S1433" s="6" t="inlineStr">
        <is>
          <t>ITAIPU-MEM-2023</t>
        </is>
      </c>
      <c r="T1433" s="6" t="inlineStr"/>
      <c r="U1433" s="4" t="inlineStr">
        <is>
          <t>2026-09-11 00:05:00</t>
        </is>
      </c>
      <c r="V1433" s="4" t="inlineStr">
        <is>
          <t>Energia suministrada a ANDE; valores redondeados en GWh.</t>
        </is>
      </c>
    </row>
    <row r="1434">
      <c r="A1434" s="6" t="inlineStr">
        <is>
          <t>R0001433</t>
        </is>
      </c>
      <c r="B1434" s="6" t="inlineStr">
        <is>
          <t>2023-01-01</t>
        </is>
      </c>
      <c r="C1434" s="6" t="inlineStr">
        <is>
          <t>2023-12-31</t>
        </is>
      </c>
      <c r="D1434" s="6" t="inlineStr">
        <is>
          <t>year</t>
        </is>
      </c>
      <c r="E1434" s="6" t="inlineStr">
        <is>
          <t>ITAIPU_SUPPLIED_ENERGY</t>
        </is>
      </c>
      <c r="F1434" s="6" t="inlineStr">
        <is>
          <t>ITAIPU</t>
        </is>
      </c>
      <c r="G1434" s="6" t="inlineStr">
        <is>
          <t>ITAIPU</t>
        </is>
      </c>
      <c r="H1434" s="6" t="inlineStr">
        <is>
          <t>BR</t>
        </is>
      </c>
      <c r="I1434" s="8" t="n">
        <v>63920000</v>
      </c>
      <c r="J1434" s="6" t="inlineStr">
        <is>
          <t>MWh</t>
        </is>
      </c>
      <c r="K1434" s="8" t="n">
        <v>63920000</v>
      </c>
      <c r="L1434" s="6" t="inlineStr">
        <is>
          <t>MWh</t>
        </is>
      </c>
      <c r="M1434" s="6" t="inlineStr">
        <is>
          <t>ITAIPU</t>
        </is>
      </c>
      <c r="N1434" s="6" t="inlineStr">
        <is>
          <t>OFFICIAL_PRIMARY</t>
        </is>
      </c>
      <c r="O1434" s="9" t="inlineStr">
        <is>
          <t>OFFICIAL_AGGREGATE</t>
        </is>
      </c>
      <c r="P1434" s="8" t="n">
        <v>1</v>
      </c>
      <c r="Q1434" s="8" t="n">
        <v>98</v>
      </c>
      <c r="R1434" s="7" t="inlineStr">
        <is>
          <t>https://www.itaipu.gov.py/sites/default/files/u62/Memoria%20Anual%20Itaipu%202023_Espa%C3%B1ol_internet.pdf</t>
        </is>
      </c>
      <c r="S1434" s="6" t="inlineStr">
        <is>
          <t>ITAIPU-MEM-2023</t>
        </is>
      </c>
      <c r="T1434" s="6" t="inlineStr"/>
      <c r="U1434" s="4" t="inlineStr">
        <is>
          <t>2026-09-11 00:05:00</t>
        </is>
      </c>
      <c r="V1434" s="4" t="inlineStr">
        <is>
          <t>Energia suministrada a ENBPar; valores redondeados en GWh.</t>
        </is>
      </c>
    </row>
    <row r="1435">
      <c r="A1435" s="6" t="inlineStr">
        <is>
          <t>R0001434</t>
        </is>
      </c>
      <c r="B1435" s="6" t="inlineStr">
        <is>
          <t>2023-01-01</t>
        </is>
      </c>
      <c r="C1435" s="6" t="inlineStr">
        <is>
          <t>2023-01-31</t>
        </is>
      </c>
      <c r="D1435" s="6" t="inlineStr">
        <is>
          <t>month</t>
        </is>
      </c>
      <c r="E1435" s="6" t="inlineStr">
        <is>
          <t>ITAIPU_SUPPLIED_ENERGY</t>
        </is>
      </c>
      <c r="F1435" s="6" t="inlineStr">
        <is>
          <t>ITAIPU</t>
        </is>
      </c>
      <c r="G1435" s="6" t="inlineStr">
        <is>
          <t>ITAIPU</t>
        </is>
      </c>
      <c r="H1435" s="6" t="inlineStr">
        <is>
          <t>PY</t>
        </is>
      </c>
      <c r="I1435" s="8" t="n">
        <v>2019000</v>
      </c>
      <c r="J1435" s="6" t="inlineStr">
        <is>
          <t>MWh</t>
        </is>
      </c>
      <c r="K1435" s="8" t="n">
        <v>2019000</v>
      </c>
      <c r="L1435" s="6" t="inlineStr">
        <is>
          <t>MWh</t>
        </is>
      </c>
      <c r="M1435" s="6" t="inlineStr">
        <is>
          <t>ITAIPU</t>
        </is>
      </c>
      <c r="N1435" s="6" t="inlineStr">
        <is>
          <t>OFFICIAL_PRIMARY</t>
        </is>
      </c>
      <c r="O1435" s="9" t="inlineStr">
        <is>
          <t>OFFICIAL_AGGREGATE</t>
        </is>
      </c>
      <c r="P1435" s="8" t="n">
        <v>1</v>
      </c>
      <c r="Q1435" s="8" t="n">
        <v>98</v>
      </c>
      <c r="R1435" s="7" t="inlineStr">
        <is>
          <t>https://www.itaipu.gov.py/sites/default/files/u62/Memoria%20Anual%20Itaipu%202023_Espa%C3%B1ol_internet.pdf</t>
        </is>
      </c>
      <c r="S1435" s="6" t="inlineStr">
        <is>
          <t>ITAIPU-MEM-2023</t>
        </is>
      </c>
      <c r="T1435" s="6" t="inlineStr"/>
      <c r="U1435" s="4" t="inlineStr">
        <is>
          <t>2026-09-11 00:05:00</t>
        </is>
      </c>
      <c r="V1435" s="4" t="inlineStr">
        <is>
          <t>Tabla mensual oficial, valores redondeados a GWh.</t>
        </is>
      </c>
    </row>
    <row r="1436">
      <c r="A1436" s="6" t="inlineStr">
        <is>
          <t>R0001435</t>
        </is>
      </c>
      <c r="B1436" s="6" t="inlineStr">
        <is>
          <t>2023-01-01</t>
        </is>
      </c>
      <c r="C1436" s="6" t="inlineStr">
        <is>
          <t>2023-01-31</t>
        </is>
      </c>
      <c r="D1436" s="6" t="inlineStr">
        <is>
          <t>month</t>
        </is>
      </c>
      <c r="E1436" s="6" t="inlineStr">
        <is>
          <t>ITAIPU_SUPPLIED_ENERGY</t>
        </is>
      </c>
      <c r="F1436" s="6" t="inlineStr">
        <is>
          <t>ITAIPU</t>
        </is>
      </c>
      <c r="G1436" s="6" t="inlineStr">
        <is>
          <t>ITAIPU</t>
        </is>
      </c>
      <c r="H1436" s="6" t="inlineStr">
        <is>
          <t>BR</t>
        </is>
      </c>
      <c r="I1436" s="8" t="n">
        <v>4301000</v>
      </c>
      <c r="J1436" s="6" t="inlineStr">
        <is>
          <t>MWh</t>
        </is>
      </c>
      <c r="K1436" s="8" t="n">
        <v>4301000</v>
      </c>
      <c r="L1436" s="6" t="inlineStr">
        <is>
          <t>MWh</t>
        </is>
      </c>
      <c r="M1436" s="6" t="inlineStr">
        <is>
          <t>ITAIPU</t>
        </is>
      </c>
      <c r="N1436" s="6" t="inlineStr">
        <is>
          <t>OFFICIAL_PRIMARY</t>
        </is>
      </c>
      <c r="O1436" s="9" t="inlineStr">
        <is>
          <t>OFFICIAL_AGGREGATE</t>
        </is>
      </c>
      <c r="P1436" s="8" t="n">
        <v>1</v>
      </c>
      <c r="Q1436" s="8" t="n">
        <v>98</v>
      </c>
      <c r="R1436" s="7" t="inlineStr">
        <is>
          <t>https://www.itaipu.gov.py/sites/default/files/u62/Memoria%20Anual%20Itaipu%202023_Espa%C3%B1ol_internet.pdf</t>
        </is>
      </c>
      <c r="S1436" s="6" t="inlineStr">
        <is>
          <t>ITAIPU-MEM-2023</t>
        </is>
      </c>
      <c r="T1436" s="6" t="inlineStr"/>
      <c r="U1436" s="4" t="inlineStr">
        <is>
          <t>2026-09-11 00:05:00</t>
        </is>
      </c>
      <c r="V1436" s="4" t="inlineStr">
        <is>
          <t>Tabla mensual oficial, valores redondeados a GWh.</t>
        </is>
      </c>
    </row>
    <row r="1437">
      <c r="A1437" s="6" t="inlineStr">
        <is>
          <t>R0001436</t>
        </is>
      </c>
      <c r="B1437" s="6" t="inlineStr">
        <is>
          <t>2023-02-01</t>
        </is>
      </c>
      <c r="C1437" s="6" t="inlineStr">
        <is>
          <t>2023-02-28</t>
        </is>
      </c>
      <c r="D1437" s="6" t="inlineStr">
        <is>
          <t>month</t>
        </is>
      </c>
      <c r="E1437" s="6" t="inlineStr">
        <is>
          <t>ITAIPU_SUPPLIED_ENERGY</t>
        </is>
      </c>
      <c r="F1437" s="6" t="inlineStr">
        <is>
          <t>ITAIPU</t>
        </is>
      </c>
      <c r="G1437" s="6" t="inlineStr">
        <is>
          <t>ITAIPU</t>
        </is>
      </c>
      <c r="H1437" s="6" t="inlineStr">
        <is>
          <t>PY</t>
        </is>
      </c>
      <c r="I1437" s="8" t="n">
        <v>1726000</v>
      </c>
      <c r="J1437" s="6" t="inlineStr">
        <is>
          <t>MWh</t>
        </is>
      </c>
      <c r="K1437" s="8" t="n">
        <v>1726000</v>
      </c>
      <c r="L1437" s="6" t="inlineStr">
        <is>
          <t>MWh</t>
        </is>
      </c>
      <c r="M1437" s="6" t="inlineStr">
        <is>
          <t>ITAIPU</t>
        </is>
      </c>
      <c r="N1437" s="6" t="inlineStr">
        <is>
          <t>OFFICIAL_PRIMARY</t>
        </is>
      </c>
      <c r="O1437" s="9" t="inlineStr">
        <is>
          <t>OFFICIAL_AGGREGATE</t>
        </is>
      </c>
      <c r="P1437" s="8" t="n">
        <v>1</v>
      </c>
      <c r="Q1437" s="8" t="n">
        <v>98</v>
      </c>
      <c r="R1437" s="7" t="inlineStr">
        <is>
          <t>https://www.itaipu.gov.py/sites/default/files/u62/Memoria%20Anual%20Itaipu%202023_Espa%C3%B1ol_internet.pdf</t>
        </is>
      </c>
      <c r="S1437" s="6" t="inlineStr">
        <is>
          <t>ITAIPU-MEM-2023</t>
        </is>
      </c>
      <c r="T1437" s="6" t="inlineStr"/>
      <c r="U1437" s="4" t="inlineStr">
        <is>
          <t>2026-09-11 00:05:00</t>
        </is>
      </c>
      <c r="V1437" s="4" t="inlineStr">
        <is>
          <t>Tabla mensual oficial, valores redondeados a GWh.</t>
        </is>
      </c>
    </row>
    <row r="1438">
      <c r="A1438" s="6" t="inlineStr">
        <is>
          <t>R0001437</t>
        </is>
      </c>
      <c r="B1438" s="6" t="inlineStr">
        <is>
          <t>2023-02-01</t>
        </is>
      </c>
      <c r="C1438" s="6" t="inlineStr">
        <is>
          <t>2023-02-28</t>
        </is>
      </c>
      <c r="D1438" s="6" t="inlineStr">
        <is>
          <t>month</t>
        </is>
      </c>
      <c r="E1438" s="6" t="inlineStr">
        <is>
          <t>ITAIPU_SUPPLIED_ENERGY</t>
        </is>
      </c>
      <c r="F1438" s="6" t="inlineStr">
        <is>
          <t>ITAIPU</t>
        </is>
      </c>
      <c r="G1438" s="6" t="inlineStr">
        <is>
          <t>ITAIPU</t>
        </is>
      </c>
      <c r="H1438" s="6" t="inlineStr">
        <is>
          <t>BR</t>
        </is>
      </c>
      <c r="I1438" s="8" t="n">
        <v>4762000</v>
      </c>
      <c r="J1438" s="6" t="inlineStr">
        <is>
          <t>MWh</t>
        </is>
      </c>
      <c r="K1438" s="8" t="n">
        <v>4762000</v>
      </c>
      <c r="L1438" s="6" t="inlineStr">
        <is>
          <t>MWh</t>
        </is>
      </c>
      <c r="M1438" s="6" t="inlineStr">
        <is>
          <t>ITAIPU</t>
        </is>
      </c>
      <c r="N1438" s="6" t="inlineStr">
        <is>
          <t>OFFICIAL_PRIMARY</t>
        </is>
      </c>
      <c r="O1438" s="9" t="inlineStr">
        <is>
          <t>OFFICIAL_AGGREGATE</t>
        </is>
      </c>
      <c r="P1438" s="8" t="n">
        <v>1</v>
      </c>
      <c r="Q1438" s="8" t="n">
        <v>98</v>
      </c>
      <c r="R1438" s="7" t="inlineStr">
        <is>
          <t>https://www.itaipu.gov.py/sites/default/files/u62/Memoria%20Anual%20Itaipu%202023_Espa%C3%B1ol_internet.pdf</t>
        </is>
      </c>
      <c r="S1438" s="6" t="inlineStr">
        <is>
          <t>ITAIPU-MEM-2023</t>
        </is>
      </c>
      <c r="T1438" s="6" t="inlineStr"/>
      <c r="U1438" s="4" t="inlineStr">
        <is>
          <t>2026-09-11 00:05:00</t>
        </is>
      </c>
      <c r="V1438" s="4" t="inlineStr">
        <is>
          <t>Tabla mensual oficial, valores redondeados a GWh.</t>
        </is>
      </c>
    </row>
    <row r="1439">
      <c r="A1439" s="6" t="inlineStr">
        <is>
          <t>R0001438</t>
        </is>
      </c>
      <c r="B1439" s="6" t="inlineStr">
        <is>
          <t>2023-03-01</t>
        </is>
      </c>
      <c r="C1439" s="6" t="inlineStr">
        <is>
          <t>2023-03-31</t>
        </is>
      </c>
      <c r="D1439" s="6" t="inlineStr">
        <is>
          <t>month</t>
        </is>
      </c>
      <c r="E1439" s="6" t="inlineStr">
        <is>
          <t>ITAIPU_SUPPLIED_ENERGY</t>
        </is>
      </c>
      <c r="F1439" s="6" t="inlineStr">
        <is>
          <t>ITAIPU</t>
        </is>
      </c>
      <c r="G1439" s="6" t="inlineStr">
        <is>
          <t>ITAIPU</t>
        </is>
      </c>
      <c r="H1439" s="6" t="inlineStr">
        <is>
          <t>PY</t>
        </is>
      </c>
      <c r="I1439" s="8" t="n">
        <v>1844000</v>
      </c>
      <c r="J1439" s="6" t="inlineStr">
        <is>
          <t>MWh</t>
        </is>
      </c>
      <c r="K1439" s="8" t="n">
        <v>1844000</v>
      </c>
      <c r="L1439" s="6" t="inlineStr">
        <is>
          <t>MWh</t>
        </is>
      </c>
      <c r="M1439" s="6" t="inlineStr">
        <is>
          <t>ITAIPU</t>
        </is>
      </c>
      <c r="N1439" s="6" t="inlineStr">
        <is>
          <t>OFFICIAL_PRIMARY</t>
        </is>
      </c>
      <c r="O1439" s="9" t="inlineStr">
        <is>
          <t>OFFICIAL_AGGREGATE</t>
        </is>
      </c>
      <c r="P1439" s="8" t="n">
        <v>1</v>
      </c>
      <c r="Q1439" s="8" t="n">
        <v>98</v>
      </c>
      <c r="R1439" s="7" t="inlineStr">
        <is>
          <t>https://www.itaipu.gov.py/sites/default/files/u62/Memoria%20Anual%20Itaipu%202023_Espa%C3%B1ol_internet.pdf</t>
        </is>
      </c>
      <c r="S1439" s="6" t="inlineStr">
        <is>
          <t>ITAIPU-MEM-2023</t>
        </is>
      </c>
      <c r="T1439" s="6" t="inlineStr"/>
      <c r="U1439" s="4" t="inlineStr">
        <is>
          <t>2026-09-11 00:05:00</t>
        </is>
      </c>
      <c r="V1439" s="4" t="inlineStr">
        <is>
          <t>Tabla mensual oficial, valores redondeados a GWh.</t>
        </is>
      </c>
    </row>
    <row r="1440">
      <c r="A1440" s="6" t="inlineStr">
        <is>
          <t>R0001439</t>
        </is>
      </c>
      <c r="B1440" s="6" t="inlineStr">
        <is>
          <t>2023-03-01</t>
        </is>
      </c>
      <c r="C1440" s="6" t="inlineStr">
        <is>
          <t>2023-03-31</t>
        </is>
      </c>
      <c r="D1440" s="6" t="inlineStr">
        <is>
          <t>month</t>
        </is>
      </c>
      <c r="E1440" s="6" t="inlineStr">
        <is>
          <t>ITAIPU_SUPPLIED_ENERGY</t>
        </is>
      </c>
      <c r="F1440" s="6" t="inlineStr">
        <is>
          <t>ITAIPU</t>
        </is>
      </c>
      <c r="G1440" s="6" t="inlineStr">
        <is>
          <t>ITAIPU</t>
        </is>
      </c>
      <c r="H1440" s="6" t="inlineStr">
        <is>
          <t>BR</t>
        </is>
      </c>
      <c r="I1440" s="8" t="n">
        <v>5861000</v>
      </c>
      <c r="J1440" s="6" t="inlineStr">
        <is>
          <t>MWh</t>
        </is>
      </c>
      <c r="K1440" s="8" t="n">
        <v>5861000</v>
      </c>
      <c r="L1440" s="6" t="inlineStr">
        <is>
          <t>MWh</t>
        </is>
      </c>
      <c r="M1440" s="6" t="inlineStr">
        <is>
          <t>ITAIPU</t>
        </is>
      </c>
      <c r="N1440" s="6" t="inlineStr">
        <is>
          <t>OFFICIAL_PRIMARY</t>
        </is>
      </c>
      <c r="O1440" s="9" t="inlineStr">
        <is>
          <t>OFFICIAL_AGGREGATE</t>
        </is>
      </c>
      <c r="P1440" s="8" t="n">
        <v>1</v>
      </c>
      <c r="Q1440" s="8" t="n">
        <v>98</v>
      </c>
      <c r="R1440" s="7" t="inlineStr">
        <is>
          <t>https://www.itaipu.gov.py/sites/default/files/u62/Memoria%20Anual%20Itaipu%202023_Espa%C3%B1ol_internet.pdf</t>
        </is>
      </c>
      <c r="S1440" s="6" t="inlineStr">
        <is>
          <t>ITAIPU-MEM-2023</t>
        </is>
      </c>
      <c r="T1440" s="6" t="inlineStr"/>
      <c r="U1440" s="4" t="inlineStr">
        <is>
          <t>2026-09-11 00:05:00</t>
        </is>
      </c>
      <c r="V1440" s="4" t="inlineStr">
        <is>
          <t>Tabla mensual oficial, valores redondeados a GWh.</t>
        </is>
      </c>
    </row>
    <row r="1441">
      <c r="A1441" s="6" t="inlineStr">
        <is>
          <t>R0001440</t>
        </is>
      </c>
      <c r="B1441" s="6" t="inlineStr">
        <is>
          <t>2023-04-01</t>
        </is>
      </c>
      <c r="C1441" s="6" t="inlineStr">
        <is>
          <t>2023-04-30</t>
        </is>
      </c>
      <c r="D1441" s="6" t="inlineStr">
        <is>
          <t>month</t>
        </is>
      </c>
      <c r="E1441" s="6" t="inlineStr">
        <is>
          <t>ITAIPU_SUPPLIED_ENERGY</t>
        </is>
      </c>
      <c r="F1441" s="6" t="inlineStr">
        <is>
          <t>ITAIPU</t>
        </is>
      </c>
      <c r="G1441" s="6" t="inlineStr">
        <is>
          <t>ITAIPU</t>
        </is>
      </c>
      <c r="H1441" s="6" t="inlineStr">
        <is>
          <t>PY</t>
        </is>
      </c>
      <c r="I1441" s="8" t="n">
        <v>1408000</v>
      </c>
      <c r="J1441" s="6" t="inlineStr">
        <is>
          <t>MWh</t>
        </is>
      </c>
      <c r="K1441" s="8" t="n">
        <v>1408000</v>
      </c>
      <c r="L1441" s="6" t="inlineStr">
        <is>
          <t>MWh</t>
        </is>
      </c>
      <c r="M1441" s="6" t="inlineStr">
        <is>
          <t>ITAIPU</t>
        </is>
      </c>
      <c r="N1441" s="6" t="inlineStr">
        <is>
          <t>OFFICIAL_PRIMARY</t>
        </is>
      </c>
      <c r="O1441" s="9" t="inlineStr">
        <is>
          <t>OFFICIAL_AGGREGATE</t>
        </is>
      </c>
      <c r="P1441" s="8" t="n">
        <v>1</v>
      </c>
      <c r="Q1441" s="8" t="n">
        <v>98</v>
      </c>
      <c r="R1441" s="7" t="inlineStr">
        <is>
          <t>https://www.itaipu.gov.py/sites/default/files/u62/Memoria%20Anual%20Itaipu%202023_Espa%C3%B1ol_internet.pdf</t>
        </is>
      </c>
      <c r="S1441" s="6" t="inlineStr">
        <is>
          <t>ITAIPU-MEM-2023</t>
        </is>
      </c>
      <c r="T1441" s="6" t="inlineStr"/>
      <c r="U1441" s="4" t="inlineStr">
        <is>
          <t>2026-09-11 00:05:00</t>
        </is>
      </c>
      <c r="V1441" s="4" t="inlineStr">
        <is>
          <t>Tabla mensual oficial, valores redondeados a GWh.</t>
        </is>
      </c>
    </row>
    <row r="1442">
      <c r="A1442" s="6" t="inlineStr">
        <is>
          <t>R0001441</t>
        </is>
      </c>
      <c r="B1442" s="6" t="inlineStr">
        <is>
          <t>2023-04-01</t>
        </is>
      </c>
      <c r="C1442" s="6" t="inlineStr">
        <is>
          <t>2023-04-30</t>
        </is>
      </c>
      <c r="D1442" s="6" t="inlineStr">
        <is>
          <t>month</t>
        </is>
      </c>
      <c r="E1442" s="6" t="inlineStr">
        <is>
          <t>ITAIPU_SUPPLIED_ENERGY</t>
        </is>
      </c>
      <c r="F1442" s="6" t="inlineStr">
        <is>
          <t>ITAIPU</t>
        </is>
      </c>
      <c r="G1442" s="6" t="inlineStr">
        <is>
          <t>ITAIPU</t>
        </is>
      </c>
      <c r="H1442" s="6" t="inlineStr">
        <is>
          <t>BR</t>
        </is>
      </c>
      <c r="I1442" s="8" t="n">
        <v>5412000</v>
      </c>
      <c r="J1442" s="6" t="inlineStr">
        <is>
          <t>MWh</t>
        </is>
      </c>
      <c r="K1442" s="8" t="n">
        <v>5412000</v>
      </c>
      <c r="L1442" s="6" t="inlineStr">
        <is>
          <t>MWh</t>
        </is>
      </c>
      <c r="M1442" s="6" t="inlineStr">
        <is>
          <t>ITAIPU</t>
        </is>
      </c>
      <c r="N1442" s="6" t="inlineStr">
        <is>
          <t>OFFICIAL_PRIMARY</t>
        </is>
      </c>
      <c r="O1442" s="9" t="inlineStr">
        <is>
          <t>OFFICIAL_AGGREGATE</t>
        </is>
      </c>
      <c r="P1442" s="8" t="n">
        <v>1</v>
      </c>
      <c r="Q1442" s="8" t="n">
        <v>98</v>
      </c>
      <c r="R1442" s="7" t="inlineStr">
        <is>
          <t>https://www.itaipu.gov.py/sites/default/files/u62/Memoria%20Anual%20Itaipu%202023_Espa%C3%B1ol_internet.pdf</t>
        </is>
      </c>
      <c r="S1442" s="6" t="inlineStr">
        <is>
          <t>ITAIPU-MEM-2023</t>
        </is>
      </c>
      <c r="T1442" s="6" t="inlineStr"/>
      <c r="U1442" s="4" t="inlineStr">
        <is>
          <t>2026-09-11 00:05:00</t>
        </is>
      </c>
      <c r="V1442" s="4" t="inlineStr">
        <is>
          <t>Tabla mensual oficial, valores redondeados a GWh.</t>
        </is>
      </c>
    </row>
    <row r="1443">
      <c r="A1443" s="6" t="inlineStr">
        <is>
          <t>R0001442</t>
        </is>
      </c>
      <c r="B1443" s="6" t="inlineStr">
        <is>
          <t>2023-05-01</t>
        </is>
      </c>
      <c r="C1443" s="6" t="inlineStr">
        <is>
          <t>2023-05-31</t>
        </is>
      </c>
      <c r="D1443" s="6" t="inlineStr">
        <is>
          <t>month</t>
        </is>
      </c>
      <c r="E1443" s="6" t="inlineStr">
        <is>
          <t>ITAIPU_SUPPLIED_ENERGY</t>
        </is>
      </c>
      <c r="F1443" s="6" t="inlineStr">
        <is>
          <t>ITAIPU</t>
        </is>
      </c>
      <c r="G1443" s="6" t="inlineStr">
        <is>
          <t>ITAIPU</t>
        </is>
      </c>
      <c r="H1443" s="6" t="inlineStr">
        <is>
          <t>PY</t>
        </is>
      </c>
      <c r="I1443" s="8" t="n">
        <v>1180000</v>
      </c>
      <c r="J1443" s="6" t="inlineStr">
        <is>
          <t>MWh</t>
        </is>
      </c>
      <c r="K1443" s="8" t="n">
        <v>1180000</v>
      </c>
      <c r="L1443" s="6" t="inlineStr">
        <is>
          <t>MWh</t>
        </is>
      </c>
      <c r="M1443" s="6" t="inlineStr">
        <is>
          <t>ITAIPU</t>
        </is>
      </c>
      <c r="N1443" s="6" t="inlineStr">
        <is>
          <t>OFFICIAL_PRIMARY</t>
        </is>
      </c>
      <c r="O1443" s="9" t="inlineStr">
        <is>
          <t>OFFICIAL_AGGREGATE</t>
        </is>
      </c>
      <c r="P1443" s="8" t="n">
        <v>1</v>
      </c>
      <c r="Q1443" s="8" t="n">
        <v>98</v>
      </c>
      <c r="R1443" s="7" t="inlineStr">
        <is>
          <t>https://www.itaipu.gov.py/sites/default/files/u62/Memoria%20Anual%20Itaipu%202023_Espa%C3%B1ol_internet.pdf</t>
        </is>
      </c>
      <c r="S1443" s="6" t="inlineStr">
        <is>
          <t>ITAIPU-MEM-2023</t>
        </is>
      </c>
      <c r="T1443" s="6" t="inlineStr"/>
      <c r="U1443" s="4" t="inlineStr">
        <is>
          <t>2026-09-11 00:05:00</t>
        </is>
      </c>
      <c r="V1443" s="4" t="inlineStr">
        <is>
          <t>Tabla mensual oficial, valores redondeados a GWh.</t>
        </is>
      </c>
    </row>
    <row r="1444">
      <c r="A1444" s="6" t="inlineStr">
        <is>
          <t>R0001443</t>
        </is>
      </c>
      <c r="B1444" s="6" t="inlineStr">
        <is>
          <t>2023-05-01</t>
        </is>
      </c>
      <c r="C1444" s="6" t="inlineStr">
        <is>
          <t>2023-05-31</t>
        </is>
      </c>
      <c r="D1444" s="6" t="inlineStr">
        <is>
          <t>month</t>
        </is>
      </c>
      <c r="E1444" s="6" t="inlineStr">
        <is>
          <t>ITAIPU_SUPPLIED_ENERGY</t>
        </is>
      </c>
      <c r="F1444" s="6" t="inlineStr">
        <is>
          <t>ITAIPU</t>
        </is>
      </c>
      <c r="G1444" s="6" t="inlineStr">
        <is>
          <t>ITAIPU</t>
        </is>
      </c>
      <c r="H1444" s="6" t="inlineStr">
        <is>
          <t>BR</t>
        </is>
      </c>
      <c r="I1444" s="8" t="n">
        <v>5600000</v>
      </c>
      <c r="J1444" s="6" t="inlineStr">
        <is>
          <t>MWh</t>
        </is>
      </c>
      <c r="K1444" s="8" t="n">
        <v>5600000</v>
      </c>
      <c r="L1444" s="6" t="inlineStr">
        <is>
          <t>MWh</t>
        </is>
      </c>
      <c r="M1444" s="6" t="inlineStr">
        <is>
          <t>ITAIPU</t>
        </is>
      </c>
      <c r="N1444" s="6" t="inlineStr">
        <is>
          <t>OFFICIAL_PRIMARY</t>
        </is>
      </c>
      <c r="O1444" s="9" t="inlineStr">
        <is>
          <t>OFFICIAL_AGGREGATE</t>
        </is>
      </c>
      <c r="P1444" s="8" t="n">
        <v>1</v>
      </c>
      <c r="Q1444" s="8" t="n">
        <v>98</v>
      </c>
      <c r="R1444" s="7" t="inlineStr">
        <is>
          <t>https://www.itaipu.gov.py/sites/default/files/u62/Memoria%20Anual%20Itaipu%202023_Espa%C3%B1ol_internet.pdf</t>
        </is>
      </c>
      <c r="S1444" s="6" t="inlineStr">
        <is>
          <t>ITAIPU-MEM-2023</t>
        </is>
      </c>
      <c r="T1444" s="6" t="inlineStr"/>
      <c r="U1444" s="4" t="inlineStr">
        <is>
          <t>2026-09-11 00:05:00</t>
        </is>
      </c>
      <c r="V1444" s="4" t="inlineStr">
        <is>
          <t>Tabla mensual oficial, valores redondeados a GWh.</t>
        </is>
      </c>
    </row>
    <row r="1445">
      <c r="A1445" s="6" t="inlineStr">
        <is>
          <t>R0001444</t>
        </is>
      </c>
      <c r="B1445" s="6" t="inlineStr">
        <is>
          <t>2023-06-01</t>
        </is>
      </c>
      <c r="C1445" s="6" t="inlineStr">
        <is>
          <t>2023-06-30</t>
        </is>
      </c>
      <c r="D1445" s="6" t="inlineStr">
        <is>
          <t>month</t>
        </is>
      </c>
      <c r="E1445" s="6" t="inlineStr">
        <is>
          <t>ITAIPU_SUPPLIED_ENERGY</t>
        </is>
      </c>
      <c r="F1445" s="6" t="inlineStr">
        <is>
          <t>ITAIPU</t>
        </is>
      </c>
      <c r="G1445" s="6" t="inlineStr">
        <is>
          <t>ITAIPU</t>
        </is>
      </c>
      <c r="H1445" s="6" t="inlineStr">
        <is>
          <t>PY</t>
        </is>
      </c>
      <c r="I1445" s="8" t="n">
        <v>1286000</v>
      </c>
      <c r="J1445" s="6" t="inlineStr">
        <is>
          <t>MWh</t>
        </is>
      </c>
      <c r="K1445" s="8" t="n">
        <v>1286000</v>
      </c>
      <c r="L1445" s="6" t="inlineStr">
        <is>
          <t>MWh</t>
        </is>
      </c>
      <c r="M1445" s="6" t="inlineStr">
        <is>
          <t>ITAIPU</t>
        </is>
      </c>
      <c r="N1445" s="6" t="inlineStr">
        <is>
          <t>OFFICIAL_PRIMARY</t>
        </is>
      </c>
      <c r="O1445" s="9" t="inlineStr">
        <is>
          <t>OFFICIAL_AGGREGATE</t>
        </is>
      </c>
      <c r="P1445" s="8" t="n">
        <v>1</v>
      </c>
      <c r="Q1445" s="8" t="n">
        <v>98</v>
      </c>
      <c r="R1445" s="7" t="inlineStr">
        <is>
          <t>https://www.itaipu.gov.py/sites/default/files/u62/Memoria%20Anual%20Itaipu%202023_Espa%C3%B1ol_internet.pdf</t>
        </is>
      </c>
      <c r="S1445" s="6" t="inlineStr">
        <is>
          <t>ITAIPU-MEM-2023</t>
        </is>
      </c>
      <c r="T1445" s="6" t="inlineStr"/>
      <c r="U1445" s="4" t="inlineStr">
        <is>
          <t>2026-09-11 00:05:00</t>
        </is>
      </c>
      <c r="V1445" s="4" t="inlineStr">
        <is>
          <t>Tabla mensual oficial, valores redondeados a GWh.</t>
        </is>
      </c>
    </row>
    <row r="1446">
      <c r="A1446" s="6" t="inlineStr">
        <is>
          <t>R0001445</t>
        </is>
      </c>
      <c r="B1446" s="6" t="inlineStr">
        <is>
          <t>2023-06-01</t>
        </is>
      </c>
      <c r="C1446" s="6" t="inlineStr">
        <is>
          <t>2023-06-30</t>
        </is>
      </c>
      <c r="D1446" s="6" t="inlineStr">
        <is>
          <t>month</t>
        </is>
      </c>
      <c r="E1446" s="6" t="inlineStr">
        <is>
          <t>ITAIPU_SUPPLIED_ENERGY</t>
        </is>
      </c>
      <c r="F1446" s="6" t="inlineStr">
        <is>
          <t>ITAIPU</t>
        </is>
      </c>
      <c r="G1446" s="6" t="inlineStr">
        <is>
          <t>ITAIPU</t>
        </is>
      </c>
      <c r="H1446" s="6" t="inlineStr">
        <is>
          <t>BR</t>
        </is>
      </c>
      <c r="I1446" s="8" t="n">
        <v>5041000</v>
      </c>
      <c r="J1446" s="6" t="inlineStr">
        <is>
          <t>MWh</t>
        </is>
      </c>
      <c r="K1446" s="8" t="n">
        <v>5041000</v>
      </c>
      <c r="L1446" s="6" t="inlineStr">
        <is>
          <t>MWh</t>
        </is>
      </c>
      <c r="M1446" s="6" t="inlineStr">
        <is>
          <t>ITAIPU</t>
        </is>
      </c>
      <c r="N1446" s="6" t="inlineStr">
        <is>
          <t>OFFICIAL_PRIMARY</t>
        </is>
      </c>
      <c r="O1446" s="9" t="inlineStr">
        <is>
          <t>OFFICIAL_AGGREGATE</t>
        </is>
      </c>
      <c r="P1446" s="8" t="n">
        <v>1</v>
      </c>
      <c r="Q1446" s="8" t="n">
        <v>98</v>
      </c>
      <c r="R1446" s="7" t="inlineStr">
        <is>
          <t>https://www.itaipu.gov.py/sites/default/files/u62/Memoria%20Anual%20Itaipu%202023_Espa%C3%B1ol_internet.pdf</t>
        </is>
      </c>
      <c r="S1446" s="6" t="inlineStr">
        <is>
          <t>ITAIPU-MEM-2023</t>
        </is>
      </c>
      <c r="T1446" s="6" t="inlineStr"/>
      <c r="U1446" s="4" t="inlineStr">
        <is>
          <t>2026-09-11 00:05:00</t>
        </is>
      </c>
      <c r="V1446" s="4" t="inlineStr">
        <is>
          <t>Tabla mensual oficial, valores redondeados a GWh.</t>
        </is>
      </c>
    </row>
    <row r="1447">
      <c r="A1447" s="6" t="inlineStr">
        <is>
          <t>R0001446</t>
        </is>
      </c>
      <c r="B1447" s="6" t="inlineStr">
        <is>
          <t>2023-07-01</t>
        </is>
      </c>
      <c r="C1447" s="6" t="inlineStr">
        <is>
          <t>2023-07-31</t>
        </is>
      </c>
      <c r="D1447" s="6" t="inlineStr">
        <is>
          <t>month</t>
        </is>
      </c>
      <c r="E1447" s="6" t="inlineStr">
        <is>
          <t>ITAIPU_SUPPLIED_ENERGY</t>
        </is>
      </c>
      <c r="F1447" s="6" t="inlineStr">
        <is>
          <t>ITAIPU</t>
        </is>
      </c>
      <c r="G1447" s="6" t="inlineStr">
        <is>
          <t>ITAIPU</t>
        </is>
      </c>
      <c r="H1447" s="6" t="inlineStr">
        <is>
          <t>PY</t>
        </is>
      </c>
      <c r="I1447" s="8" t="n">
        <v>1424000</v>
      </c>
      <c r="J1447" s="6" t="inlineStr">
        <is>
          <t>MWh</t>
        </is>
      </c>
      <c r="K1447" s="8" t="n">
        <v>1424000</v>
      </c>
      <c r="L1447" s="6" t="inlineStr">
        <is>
          <t>MWh</t>
        </is>
      </c>
      <c r="M1447" s="6" t="inlineStr">
        <is>
          <t>ITAIPU</t>
        </is>
      </c>
      <c r="N1447" s="6" t="inlineStr">
        <is>
          <t>OFFICIAL_PRIMARY</t>
        </is>
      </c>
      <c r="O1447" s="9" t="inlineStr">
        <is>
          <t>OFFICIAL_AGGREGATE</t>
        </is>
      </c>
      <c r="P1447" s="8" t="n">
        <v>1</v>
      </c>
      <c r="Q1447" s="8" t="n">
        <v>98</v>
      </c>
      <c r="R1447" s="7" t="inlineStr">
        <is>
          <t>https://www.itaipu.gov.py/sites/default/files/u62/Memoria%20Anual%20Itaipu%202023_Espa%C3%B1ol_internet.pdf</t>
        </is>
      </c>
      <c r="S1447" s="6" t="inlineStr">
        <is>
          <t>ITAIPU-MEM-2023</t>
        </is>
      </c>
      <c r="T1447" s="6" t="inlineStr"/>
      <c r="U1447" s="4" t="inlineStr">
        <is>
          <t>2026-09-11 00:05:00</t>
        </is>
      </c>
      <c r="V1447" s="4" t="inlineStr">
        <is>
          <t>Tabla mensual oficial, valores redondeados a GWh.</t>
        </is>
      </c>
    </row>
    <row r="1448">
      <c r="A1448" s="6" t="inlineStr">
        <is>
          <t>R0001447</t>
        </is>
      </c>
      <c r="B1448" s="6" t="inlineStr">
        <is>
          <t>2023-07-01</t>
        </is>
      </c>
      <c r="C1448" s="6" t="inlineStr">
        <is>
          <t>2023-07-31</t>
        </is>
      </c>
      <c r="D1448" s="6" t="inlineStr">
        <is>
          <t>month</t>
        </is>
      </c>
      <c r="E1448" s="6" t="inlineStr">
        <is>
          <t>ITAIPU_SUPPLIED_ENERGY</t>
        </is>
      </c>
      <c r="F1448" s="6" t="inlineStr">
        <is>
          <t>ITAIPU</t>
        </is>
      </c>
      <c r="G1448" s="6" t="inlineStr">
        <is>
          <t>ITAIPU</t>
        </is>
      </c>
      <c r="H1448" s="6" t="inlineStr">
        <is>
          <t>BR</t>
        </is>
      </c>
      <c r="I1448" s="8" t="n">
        <v>4741000</v>
      </c>
      <c r="J1448" s="6" t="inlineStr">
        <is>
          <t>MWh</t>
        </is>
      </c>
      <c r="K1448" s="8" t="n">
        <v>4741000</v>
      </c>
      <c r="L1448" s="6" t="inlineStr">
        <is>
          <t>MWh</t>
        </is>
      </c>
      <c r="M1448" s="6" t="inlineStr">
        <is>
          <t>ITAIPU</t>
        </is>
      </c>
      <c r="N1448" s="6" t="inlineStr">
        <is>
          <t>OFFICIAL_PRIMARY</t>
        </is>
      </c>
      <c r="O1448" s="9" t="inlineStr">
        <is>
          <t>OFFICIAL_AGGREGATE</t>
        </is>
      </c>
      <c r="P1448" s="8" t="n">
        <v>1</v>
      </c>
      <c r="Q1448" s="8" t="n">
        <v>98</v>
      </c>
      <c r="R1448" s="7" t="inlineStr">
        <is>
          <t>https://www.itaipu.gov.py/sites/default/files/u62/Memoria%20Anual%20Itaipu%202023_Espa%C3%B1ol_internet.pdf</t>
        </is>
      </c>
      <c r="S1448" s="6" t="inlineStr">
        <is>
          <t>ITAIPU-MEM-2023</t>
        </is>
      </c>
      <c r="T1448" s="6" t="inlineStr"/>
      <c r="U1448" s="4" t="inlineStr">
        <is>
          <t>2026-09-11 00:05:00</t>
        </is>
      </c>
      <c r="V1448" s="4" t="inlineStr">
        <is>
          <t>Tabla mensual oficial, valores redondeados a GWh.</t>
        </is>
      </c>
    </row>
    <row r="1449">
      <c r="A1449" s="6" t="inlineStr">
        <is>
          <t>R0001448</t>
        </is>
      </c>
      <c r="B1449" s="6" t="inlineStr">
        <is>
          <t>2023-08-01</t>
        </is>
      </c>
      <c r="C1449" s="6" t="inlineStr">
        <is>
          <t>2023-08-31</t>
        </is>
      </c>
      <c r="D1449" s="6" t="inlineStr">
        <is>
          <t>month</t>
        </is>
      </c>
      <c r="E1449" s="6" t="inlineStr">
        <is>
          <t>ITAIPU_SUPPLIED_ENERGY</t>
        </is>
      </c>
      <c r="F1449" s="6" t="inlineStr">
        <is>
          <t>ITAIPU</t>
        </is>
      </c>
      <c r="G1449" s="6" t="inlineStr">
        <is>
          <t>ITAIPU</t>
        </is>
      </c>
      <c r="H1449" s="6" t="inlineStr">
        <is>
          <t>PY</t>
        </is>
      </c>
      <c r="I1449" s="8" t="n">
        <v>1530000</v>
      </c>
      <c r="J1449" s="6" t="inlineStr">
        <is>
          <t>MWh</t>
        </is>
      </c>
      <c r="K1449" s="8" t="n">
        <v>1530000</v>
      </c>
      <c r="L1449" s="6" t="inlineStr">
        <is>
          <t>MWh</t>
        </is>
      </c>
      <c r="M1449" s="6" t="inlineStr">
        <is>
          <t>ITAIPU</t>
        </is>
      </c>
      <c r="N1449" s="6" t="inlineStr">
        <is>
          <t>OFFICIAL_PRIMARY</t>
        </is>
      </c>
      <c r="O1449" s="9" t="inlineStr">
        <is>
          <t>OFFICIAL_AGGREGATE</t>
        </is>
      </c>
      <c r="P1449" s="8" t="n">
        <v>1</v>
      </c>
      <c r="Q1449" s="8" t="n">
        <v>98</v>
      </c>
      <c r="R1449" s="7" t="inlineStr">
        <is>
          <t>https://www.itaipu.gov.py/sites/default/files/u62/Memoria%20Anual%20Itaipu%202023_Espa%C3%B1ol_internet.pdf</t>
        </is>
      </c>
      <c r="S1449" s="6" t="inlineStr">
        <is>
          <t>ITAIPU-MEM-2023</t>
        </is>
      </c>
      <c r="T1449" s="6" t="inlineStr"/>
      <c r="U1449" s="4" t="inlineStr">
        <is>
          <t>2026-09-11 00:05:00</t>
        </is>
      </c>
      <c r="V1449" s="4" t="inlineStr">
        <is>
          <t>Tabla mensual oficial, valores redondeados a GWh.</t>
        </is>
      </c>
    </row>
    <row r="1450">
      <c r="A1450" s="6" t="inlineStr">
        <is>
          <t>R0001449</t>
        </is>
      </c>
      <c r="B1450" s="6" t="inlineStr">
        <is>
          <t>2023-08-01</t>
        </is>
      </c>
      <c r="C1450" s="6" t="inlineStr">
        <is>
          <t>2023-08-31</t>
        </is>
      </c>
      <c r="D1450" s="6" t="inlineStr">
        <is>
          <t>month</t>
        </is>
      </c>
      <c r="E1450" s="6" t="inlineStr">
        <is>
          <t>ITAIPU_SUPPLIED_ENERGY</t>
        </is>
      </c>
      <c r="F1450" s="6" t="inlineStr">
        <is>
          <t>ITAIPU</t>
        </is>
      </c>
      <c r="G1450" s="6" t="inlineStr">
        <is>
          <t>ITAIPU</t>
        </is>
      </c>
      <c r="H1450" s="6" t="inlineStr">
        <is>
          <t>BR</t>
        </is>
      </c>
      <c r="I1450" s="8" t="n">
        <v>5159000</v>
      </c>
      <c r="J1450" s="6" t="inlineStr">
        <is>
          <t>MWh</t>
        </is>
      </c>
      <c r="K1450" s="8" t="n">
        <v>5159000</v>
      </c>
      <c r="L1450" s="6" t="inlineStr">
        <is>
          <t>MWh</t>
        </is>
      </c>
      <c r="M1450" s="6" t="inlineStr">
        <is>
          <t>ITAIPU</t>
        </is>
      </c>
      <c r="N1450" s="6" t="inlineStr">
        <is>
          <t>OFFICIAL_PRIMARY</t>
        </is>
      </c>
      <c r="O1450" s="9" t="inlineStr">
        <is>
          <t>OFFICIAL_AGGREGATE</t>
        </is>
      </c>
      <c r="P1450" s="8" t="n">
        <v>1</v>
      </c>
      <c r="Q1450" s="8" t="n">
        <v>98</v>
      </c>
      <c r="R1450" s="7" t="inlineStr">
        <is>
          <t>https://www.itaipu.gov.py/sites/default/files/u62/Memoria%20Anual%20Itaipu%202023_Espa%C3%B1ol_internet.pdf</t>
        </is>
      </c>
      <c r="S1450" s="6" t="inlineStr">
        <is>
          <t>ITAIPU-MEM-2023</t>
        </is>
      </c>
      <c r="T1450" s="6" t="inlineStr"/>
      <c r="U1450" s="4" t="inlineStr">
        <is>
          <t>2026-09-11 00:05:00</t>
        </is>
      </c>
      <c r="V1450" s="4" t="inlineStr">
        <is>
          <t>Tabla mensual oficial, valores redondeados a GWh.</t>
        </is>
      </c>
    </row>
    <row r="1451">
      <c r="A1451" s="6" t="inlineStr">
        <is>
          <t>R0001450</t>
        </is>
      </c>
      <c r="B1451" s="6" t="inlineStr">
        <is>
          <t>2023-09-01</t>
        </is>
      </c>
      <c r="C1451" s="6" t="inlineStr">
        <is>
          <t>2023-09-30</t>
        </is>
      </c>
      <c r="D1451" s="6" t="inlineStr">
        <is>
          <t>month</t>
        </is>
      </c>
      <c r="E1451" s="6" t="inlineStr">
        <is>
          <t>ITAIPU_SUPPLIED_ENERGY</t>
        </is>
      </c>
      <c r="F1451" s="6" t="inlineStr">
        <is>
          <t>ITAIPU</t>
        </is>
      </c>
      <c r="G1451" s="6" t="inlineStr">
        <is>
          <t>ITAIPU</t>
        </is>
      </c>
      <c r="H1451" s="6" t="inlineStr">
        <is>
          <t>PY</t>
        </is>
      </c>
      <c r="I1451" s="8" t="n">
        <v>1533000</v>
      </c>
      <c r="J1451" s="6" t="inlineStr">
        <is>
          <t>MWh</t>
        </is>
      </c>
      <c r="K1451" s="8" t="n">
        <v>1533000</v>
      </c>
      <c r="L1451" s="6" t="inlineStr">
        <is>
          <t>MWh</t>
        </is>
      </c>
      <c r="M1451" s="6" t="inlineStr">
        <is>
          <t>ITAIPU</t>
        </is>
      </c>
      <c r="N1451" s="6" t="inlineStr">
        <is>
          <t>OFFICIAL_PRIMARY</t>
        </is>
      </c>
      <c r="O1451" s="9" t="inlineStr">
        <is>
          <t>OFFICIAL_AGGREGATE</t>
        </is>
      </c>
      <c r="P1451" s="8" t="n">
        <v>1</v>
      </c>
      <c r="Q1451" s="8" t="n">
        <v>98</v>
      </c>
      <c r="R1451" s="7" t="inlineStr">
        <is>
          <t>https://www.itaipu.gov.py/sites/default/files/u62/Memoria%20Anual%20Itaipu%202023_Espa%C3%B1ol_internet.pdf</t>
        </is>
      </c>
      <c r="S1451" s="6" t="inlineStr">
        <is>
          <t>ITAIPU-MEM-2023</t>
        </is>
      </c>
      <c r="T1451" s="6" t="inlineStr"/>
      <c r="U1451" s="4" t="inlineStr">
        <is>
          <t>2026-09-11 00:05:00</t>
        </is>
      </c>
      <c r="V1451" s="4" t="inlineStr">
        <is>
          <t>Tabla mensual oficial, valores redondeados a GWh.</t>
        </is>
      </c>
    </row>
    <row r="1452">
      <c r="A1452" s="6" t="inlineStr">
        <is>
          <t>R0001451</t>
        </is>
      </c>
      <c r="B1452" s="6" t="inlineStr">
        <is>
          <t>2023-09-01</t>
        </is>
      </c>
      <c r="C1452" s="6" t="inlineStr">
        <is>
          <t>2023-09-30</t>
        </is>
      </c>
      <c r="D1452" s="6" t="inlineStr">
        <is>
          <t>month</t>
        </is>
      </c>
      <c r="E1452" s="6" t="inlineStr">
        <is>
          <t>ITAIPU_SUPPLIED_ENERGY</t>
        </is>
      </c>
      <c r="F1452" s="6" t="inlineStr">
        <is>
          <t>ITAIPU</t>
        </is>
      </c>
      <c r="G1452" s="6" t="inlineStr">
        <is>
          <t>ITAIPU</t>
        </is>
      </c>
      <c r="H1452" s="6" t="inlineStr">
        <is>
          <t>BR</t>
        </is>
      </c>
      <c r="I1452" s="8" t="n">
        <v>5306000</v>
      </c>
      <c r="J1452" s="6" t="inlineStr">
        <is>
          <t>MWh</t>
        </is>
      </c>
      <c r="K1452" s="8" t="n">
        <v>5306000</v>
      </c>
      <c r="L1452" s="6" t="inlineStr">
        <is>
          <t>MWh</t>
        </is>
      </c>
      <c r="M1452" s="6" t="inlineStr">
        <is>
          <t>ITAIPU</t>
        </is>
      </c>
      <c r="N1452" s="6" t="inlineStr">
        <is>
          <t>OFFICIAL_PRIMARY</t>
        </is>
      </c>
      <c r="O1452" s="9" t="inlineStr">
        <is>
          <t>OFFICIAL_AGGREGATE</t>
        </is>
      </c>
      <c r="P1452" s="8" t="n">
        <v>1</v>
      </c>
      <c r="Q1452" s="8" t="n">
        <v>98</v>
      </c>
      <c r="R1452" s="7" t="inlineStr">
        <is>
          <t>https://www.itaipu.gov.py/sites/default/files/u62/Memoria%20Anual%20Itaipu%202023_Espa%C3%B1ol_internet.pdf</t>
        </is>
      </c>
      <c r="S1452" s="6" t="inlineStr">
        <is>
          <t>ITAIPU-MEM-2023</t>
        </is>
      </c>
      <c r="T1452" s="6" t="inlineStr"/>
      <c r="U1452" s="4" t="inlineStr">
        <is>
          <t>2026-09-11 00:05:00</t>
        </is>
      </c>
      <c r="V1452" s="4" t="inlineStr">
        <is>
          <t>Tabla mensual oficial, valores redondeados a GWh.</t>
        </is>
      </c>
    </row>
    <row r="1453">
      <c r="A1453" s="6" t="inlineStr">
        <is>
          <t>R0001452</t>
        </is>
      </c>
      <c r="B1453" s="6" t="inlineStr">
        <is>
          <t>2023-10-01</t>
        </is>
      </c>
      <c r="C1453" s="6" t="inlineStr">
        <is>
          <t>2023-10-31</t>
        </is>
      </c>
      <c r="D1453" s="6" t="inlineStr">
        <is>
          <t>month</t>
        </is>
      </c>
      <c r="E1453" s="6" t="inlineStr">
        <is>
          <t>ITAIPU_SUPPLIED_ENERGY</t>
        </is>
      </c>
      <c r="F1453" s="6" t="inlineStr">
        <is>
          <t>ITAIPU</t>
        </is>
      </c>
      <c r="G1453" s="6" t="inlineStr">
        <is>
          <t>ITAIPU</t>
        </is>
      </c>
      <c r="H1453" s="6" t="inlineStr">
        <is>
          <t>PY</t>
        </is>
      </c>
      <c r="I1453" s="8" t="n">
        <v>1705000</v>
      </c>
      <c r="J1453" s="6" t="inlineStr">
        <is>
          <t>MWh</t>
        </is>
      </c>
      <c r="K1453" s="8" t="n">
        <v>1705000</v>
      </c>
      <c r="L1453" s="6" t="inlineStr">
        <is>
          <t>MWh</t>
        </is>
      </c>
      <c r="M1453" s="6" t="inlineStr">
        <is>
          <t>ITAIPU</t>
        </is>
      </c>
      <c r="N1453" s="6" t="inlineStr">
        <is>
          <t>OFFICIAL_PRIMARY</t>
        </is>
      </c>
      <c r="O1453" s="9" t="inlineStr">
        <is>
          <t>OFFICIAL_AGGREGATE</t>
        </is>
      </c>
      <c r="P1453" s="8" t="n">
        <v>1</v>
      </c>
      <c r="Q1453" s="8" t="n">
        <v>98</v>
      </c>
      <c r="R1453" s="7" t="inlineStr">
        <is>
          <t>https://www.itaipu.gov.py/sites/default/files/u62/Memoria%20Anual%20Itaipu%202023_Espa%C3%B1ol_internet.pdf</t>
        </is>
      </c>
      <c r="S1453" s="6" t="inlineStr">
        <is>
          <t>ITAIPU-MEM-2023</t>
        </is>
      </c>
      <c r="T1453" s="6" t="inlineStr"/>
      <c r="U1453" s="4" t="inlineStr">
        <is>
          <t>2026-09-11 00:05:00</t>
        </is>
      </c>
      <c r="V1453" s="4" t="inlineStr">
        <is>
          <t>Tabla mensual oficial, valores redondeados a GWh.</t>
        </is>
      </c>
    </row>
    <row r="1454">
      <c r="A1454" s="6" t="inlineStr">
        <is>
          <t>R0001453</t>
        </is>
      </c>
      <c r="B1454" s="6" t="inlineStr">
        <is>
          <t>2023-10-01</t>
        </is>
      </c>
      <c r="C1454" s="6" t="inlineStr">
        <is>
          <t>2023-10-31</t>
        </is>
      </c>
      <c r="D1454" s="6" t="inlineStr">
        <is>
          <t>month</t>
        </is>
      </c>
      <c r="E1454" s="6" t="inlineStr">
        <is>
          <t>ITAIPU_SUPPLIED_ENERGY</t>
        </is>
      </c>
      <c r="F1454" s="6" t="inlineStr">
        <is>
          <t>ITAIPU</t>
        </is>
      </c>
      <c r="G1454" s="6" t="inlineStr">
        <is>
          <t>ITAIPU</t>
        </is>
      </c>
      <c r="H1454" s="6" t="inlineStr">
        <is>
          <t>BR</t>
        </is>
      </c>
      <c r="I1454" s="8" t="n">
        <v>5234000</v>
      </c>
      <c r="J1454" s="6" t="inlineStr">
        <is>
          <t>MWh</t>
        </is>
      </c>
      <c r="K1454" s="8" t="n">
        <v>5234000</v>
      </c>
      <c r="L1454" s="6" t="inlineStr">
        <is>
          <t>MWh</t>
        </is>
      </c>
      <c r="M1454" s="6" t="inlineStr">
        <is>
          <t>ITAIPU</t>
        </is>
      </c>
      <c r="N1454" s="6" t="inlineStr">
        <is>
          <t>OFFICIAL_PRIMARY</t>
        </is>
      </c>
      <c r="O1454" s="9" t="inlineStr">
        <is>
          <t>OFFICIAL_AGGREGATE</t>
        </is>
      </c>
      <c r="P1454" s="8" t="n">
        <v>1</v>
      </c>
      <c r="Q1454" s="8" t="n">
        <v>98</v>
      </c>
      <c r="R1454" s="7" t="inlineStr">
        <is>
          <t>https://www.itaipu.gov.py/sites/default/files/u62/Memoria%20Anual%20Itaipu%202023_Espa%C3%B1ol_internet.pdf</t>
        </is>
      </c>
      <c r="S1454" s="6" t="inlineStr">
        <is>
          <t>ITAIPU-MEM-2023</t>
        </is>
      </c>
      <c r="T1454" s="6" t="inlineStr"/>
      <c r="U1454" s="4" t="inlineStr">
        <is>
          <t>2026-09-11 00:05:00</t>
        </is>
      </c>
      <c r="V1454" s="4" t="inlineStr">
        <is>
          <t>Tabla mensual oficial, valores redondeados a GWh.</t>
        </is>
      </c>
    </row>
    <row r="1455">
      <c r="A1455" s="6" t="inlineStr">
        <is>
          <t>R0001454</t>
        </is>
      </c>
      <c r="B1455" s="6" t="inlineStr">
        <is>
          <t>2023-11-01</t>
        </is>
      </c>
      <c r="C1455" s="6" t="inlineStr">
        <is>
          <t>2023-11-30</t>
        </is>
      </c>
      <c r="D1455" s="6" t="inlineStr">
        <is>
          <t>month</t>
        </is>
      </c>
      <c r="E1455" s="6" t="inlineStr">
        <is>
          <t>ITAIPU_SUPPLIED_ENERGY</t>
        </is>
      </c>
      <c r="F1455" s="6" t="inlineStr">
        <is>
          <t>ITAIPU</t>
        </is>
      </c>
      <c r="G1455" s="6" t="inlineStr">
        <is>
          <t>ITAIPU</t>
        </is>
      </c>
      <c r="H1455" s="6" t="inlineStr">
        <is>
          <t>PY</t>
        </is>
      </c>
      <c r="I1455" s="8" t="n">
        <v>1790000</v>
      </c>
      <c r="J1455" s="6" t="inlineStr">
        <is>
          <t>MWh</t>
        </is>
      </c>
      <c r="K1455" s="8" t="n">
        <v>1790000</v>
      </c>
      <c r="L1455" s="6" t="inlineStr">
        <is>
          <t>MWh</t>
        </is>
      </c>
      <c r="M1455" s="6" t="inlineStr">
        <is>
          <t>ITAIPU</t>
        </is>
      </c>
      <c r="N1455" s="6" t="inlineStr">
        <is>
          <t>OFFICIAL_PRIMARY</t>
        </is>
      </c>
      <c r="O1455" s="9" t="inlineStr">
        <is>
          <t>OFFICIAL_AGGREGATE</t>
        </is>
      </c>
      <c r="P1455" s="8" t="n">
        <v>1</v>
      </c>
      <c r="Q1455" s="8" t="n">
        <v>98</v>
      </c>
      <c r="R1455" s="7" t="inlineStr">
        <is>
          <t>https://www.itaipu.gov.py/sites/default/files/u62/Memoria%20Anual%20Itaipu%202023_Espa%C3%B1ol_internet.pdf</t>
        </is>
      </c>
      <c r="S1455" s="6" t="inlineStr">
        <is>
          <t>ITAIPU-MEM-2023</t>
        </is>
      </c>
      <c r="T1455" s="6" t="inlineStr"/>
      <c r="U1455" s="4" t="inlineStr">
        <is>
          <t>2026-09-11 00:05:00</t>
        </is>
      </c>
      <c r="V1455" s="4" t="inlineStr">
        <is>
          <t>Tabla mensual oficial, valores redondeados a GWh.</t>
        </is>
      </c>
    </row>
    <row r="1456">
      <c r="A1456" s="6" t="inlineStr">
        <is>
          <t>R0001455</t>
        </is>
      </c>
      <c r="B1456" s="6" t="inlineStr">
        <is>
          <t>2023-11-01</t>
        </is>
      </c>
      <c r="C1456" s="6" t="inlineStr">
        <is>
          <t>2023-11-30</t>
        </is>
      </c>
      <c r="D1456" s="6" t="inlineStr">
        <is>
          <t>month</t>
        </is>
      </c>
      <c r="E1456" s="6" t="inlineStr">
        <is>
          <t>ITAIPU_SUPPLIED_ENERGY</t>
        </is>
      </c>
      <c r="F1456" s="6" t="inlineStr">
        <is>
          <t>ITAIPU</t>
        </is>
      </c>
      <c r="G1456" s="6" t="inlineStr">
        <is>
          <t>ITAIPU</t>
        </is>
      </c>
      <c r="H1456" s="6" t="inlineStr">
        <is>
          <t>BR</t>
        </is>
      </c>
      <c r="I1456" s="8" t="n">
        <v>6179000</v>
      </c>
      <c r="J1456" s="6" t="inlineStr">
        <is>
          <t>MWh</t>
        </is>
      </c>
      <c r="K1456" s="8" t="n">
        <v>6179000</v>
      </c>
      <c r="L1456" s="6" t="inlineStr">
        <is>
          <t>MWh</t>
        </is>
      </c>
      <c r="M1456" s="6" t="inlineStr">
        <is>
          <t>ITAIPU</t>
        </is>
      </c>
      <c r="N1456" s="6" t="inlineStr">
        <is>
          <t>OFFICIAL_PRIMARY</t>
        </is>
      </c>
      <c r="O1456" s="9" t="inlineStr">
        <is>
          <t>OFFICIAL_AGGREGATE</t>
        </is>
      </c>
      <c r="P1456" s="8" t="n">
        <v>1</v>
      </c>
      <c r="Q1456" s="8" t="n">
        <v>98</v>
      </c>
      <c r="R1456" s="7" t="inlineStr">
        <is>
          <t>https://www.itaipu.gov.py/sites/default/files/u62/Memoria%20Anual%20Itaipu%202023_Espa%C3%B1ol_internet.pdf</t>
        </is>
      </c>
      <c r="S1456" s="6" t="inlineStr">
        <is>
          <t>ITAIPU-MEM-2023</t>
        </is>
      </c>
      <c r="T1456" s="6" t="inlineStr"/>
      <c r="U1456" s="4" t="inlineStr">
        <is>
          <t>2026-09-11 00:05:00</t>
        </is>
      </c>
      <c r="V1456" s="4" t="inlineStr">
        <is>
          <t>Tabla mensual oficial, valores redondeados a GWh.</t>
        </is>
      </c>
    </row>
    <row r="1457">
      <c r="A1457" s="6" t="inlineStr">
        <is>
          <t>R0001456</t>
        </is>
      </c>
      <c r="B1457" s="6" t="inlineStr">
        <is>
          <t>2023-12-01</t>
        </is>
      </c>
      <c r="C1457" s="6" t="inlineStr">
        <is>
          <t>2023-12-31</t>
        </is>
      </c>
      <c r="D1457" s="6" t="inlineStr">
        <is>
          <t>month</t>
        </is>
      </c>
      <c r="E1457" s="6" t="inlineStr">
        <is>
          <t>ITAIPU_SUPPLIED_ENERGY</t>
        </is>
      </c>
      <c r="F1457" s="6" t="inlineStr">
        <is>
          <t>ITAIPU</t>
        </is>
      </c>
      <c r="G1457" s="6" t="inlineStr">
        <is>
          <t>ITAIPU</t>
        </is>
      </c>
      <c r="H1457" s="6" t="inlineStr">
        <is>
          <t>PY</t>
        </is>
      </c>
      <c r="I1457" s="8" t="n">
        <v>2069000</v>
      </c>
      <c r="J1457" s="6" t="inlineStr">
        <is>
          <t>MWh</t>
        </is>
      </c>
      <c r="K1457" s="8" t="n">
        <v>2069000</v>
      </c>
      <c r="L1457" s="6" t="inlineStr">
        <is>
          <t>MWh</t>
        </is>
      </c>
      <c r="M1457" s="6" t="inlineStr">
        <is>
          <t>ITAIPU</t>
        </is>
      </c>
      <c r="N1457" s="6" t="inlineStr">
        <is>
          <t>OFFICIAL_PRIMARY</t>
        </is>
      </c>
      <c r="O1457" s="9" t="inlineStr">
        <is>
          <t>OFFICIAL_AGGREGATE</t>
        </is>
      </c>
      <c r="P1457" s="8" t="n">
        <v>1</v>
      </c>
      <c r="Q1457" s="8" t="n">
        <v>98</v>
      </c>
      <c r="R1457" s="7" t="inlineStr">
        <is>
          <t>https://www.itaipu.gov.py/sites/default/files/u62/Memoria%20Anual%20Itaipu%202023_Espa%C3%B1ol_internet.pdf</t>
        </is>
      </c>
      <c r="S1457" s="6" t="inlineStr">
        <is>
          <t>ITAIPU-MEM-2023</t>
        </is>
      </c>
      <c r="T1457" s="6" t="inlineStr"/>
      <c r="U1457" s="4" t="inlineStr">
        <is>
          <t>2026-09-11 00:05:00</t>
        </is>
      </c>
      <c r="V1457" s="4" t="inlineStr">
        <is>
          <t>Tabla mensual oficial, valores redondeados a GWh.</t>
        </is>
      </c>
    </row>
    <row r="1458">
      <c r="A1458" s="6" t="inlineStr">
        <is>
          <t>R0001457</t>
        </is>
      </c>
      <c r="B1458" s="6" t="inlineStr">
        <is>
          <t>2023-12-01</t>
        </is>
      </c>
      <c r="C1458" s="6" t="inlineStr">
        <is>
          <t>2023-12-31</t>
        </is>
      </c>
      <c r="D1458" s="6" t="inlineStr">
        <is>
          <t>month</t>
        </is>
      </c>
      <c r="E1458" s="6" t="inlineStr">
        <is>
          <t>ITAIPU_SUPPLIED_ENERGY</t>
        </is>
      </c>
      <c r="F1458" s="6" t="inlineStr">
        <is>
          <t>ITAIPU</t>
        </is>
      </c>
      <c r="G1458" s="6" t="inlineStr">
        <is>
          <t>ITAIPU</t>
        </is>
      </c>
      <c r="H1458" s="6" t="inlineStr">
        <is>
          <t>BR</t>
        </is>
      </c>
      <c r="I1458" s="8" t="n">
        <v>6324000</v>
      </c>
      <c r="J1458" s="6" t="inlineStr">
        <is>
          <t>MWh</t>
        </is>
      </c>
      <c r="K1458" s="8" t="n">
        <v>6324000</v>
      </c>
      <c r="L1458" s="6" t="inlineStr">
        <is>
          <t>MWh</t>
        </is>
      </c>
      <c r="M1458" s="6" t="inlineStr">
        <is>
          <t>ITAIPU</t>
        </is>
      </c>
      <c r="N1458" s="6" t="inlineStr">
        <is>
          <t>OFFICIAL_PRIMARY</t>
        </is>
      </c>
      <c r="O1458" s="9" t="inlineStr">
        <is>
          <t>OFFICIAL_AGGREGATE</t>
        </is>
      </c>
      <c r="P1458" s="8" t="n">
        <v>1</v>
      </c>
      <c r="Q1458" s="8" t="n">
        <v>98</v>
      </c>
      <c r="R1458" s="7" t="inlineStr">
        <is>
          <t>https://www.itaipu.gov.py/sites/default/files/u62/Memoria%20Anual%20Itaipu%202023_Espa%C3%B1ol_internet.pdf</t>
        </is>
      </c>
      <c r="S1458" s="6" t="inlineStr">
        <is>
          <t>ITAIPU-MEM-2023</t>
        </is>
      </c>
      <c r="T1458" s="6" t="inlineStr"/>
      <c r="U1458" s="4" t="inlineStr">
        <is>
          <t>2026-09-11 00:05:00</t>
        </is>
      </c>
      <c r="V1458" s="4" t="inlineStr">
        <is>
          <t>Tabla mensual oficial, valores redondeados a GWh.</t>
        </is>
      </c>
    </row>
    <row r="1459">
      <c r="A1459" s="6" t="inlineStr">
        <is>
          <t>R0001458</t>
        </is>
      </c>
      <c r="B1459" s="6" t="inlineStr">
        <is>
          <t>2025-01-01</t>
        </is>
      </c>
      <c r="C1459" s="6" t="inlineStr">
        <is>
          <t>2025-12-31</t>
        </is>
      </c>
      <c r="D1459" s="6" t="inlineStr">
        <is>
          <t>year</t>
        </is>
      </c>
      <c r="E1459" s="6" t="inlineStr">
        <is>
          <t>ITAIPU_CESSION_VOLUME_DERIVED</t>
        </is>
      </c>
      <c r="F1459" s="6" t="inlineStr">
        <is>
          <t>ITAIPU</t>
        </is>
      </c>
      <c r="G1459" s="6" t="inlineStr">
        <is>
          <t>PY</t>
        </is>
      </c>
      <c r="H1459" s="6" t="inlineStr">
        <is>
          <t>BR</t>
        </is>
      </c>
      <c r="I1459" s="8" t="n">
        <v>10671500</v>
      </c>
      <c r="J1459" s="6" t="inlineStr">
        <is>
          <t>MWh</t>
        </is>
      </c>
      <c r="K1459" s="8" t="n">
        <v>10671500</v>
      </c>
      <c r="L1459" s="6" t="inlineStr">
        <is>
          <t>MWh</t>
        </is>
      </c>
      <c r="M1459" s="6" t="inlineStr">
        <is>
          <t>ABC</t>
        </is>
      </c>
      <c r="N1459" s="6" t="inlineStr">
        <is>
          <t>PRESS_SECONDARY</t>
        </is>
      </c>
      <c r="O1459" s="11" t="inlineStr">
        <is>
          <t>PRESS_DERIVED</t>
        </is>
      </c>
      <c r="P1459" s="10" t="n">
        <v>0</v>
      </c>
      <c r="Q1459" s="8" t="n">
        <v>20</v>
      </c>
      <c r="R1459" s="7" t="inlineStr">
        <is>
          <t>https://www.abc.com.py/economia/2026/01/20/en-2025-pagaron-al-paraguay-us-15-por-cada-1000-kwh-que-cedio-al-brasil/</t>
        </is>
      </c>
      <c r="S1459" s="6" t="inlineStr">
        <is>
          <t>ABC-ITA-2025</t>
        </is>
      </c>
      <c r="T1459" s="6" t="inlineStr"/>
      <c r="U1459" s="4" t="inlineStr">
        <is>
          <t>2026-09-11 00:05:00</t>
        </is>
      </c>
      <c r="V1459" s="4" t="inlineStr">
        <is>
          <t>Derived from 50% entitlement less Paraguayan use; contextual, not primary physical measurement.</t>
        </is>
      </c>
    </row>
    <row r="1460">
      <c r="A1460" s="40" t="inlineStr">
        <is>
          <t>V5_0001</t>
        </is>
      </c>
      <c r="B1460" s="40" t="inlineStr">
        <is>
          <t>2026-01-01</t>
        </is>
      </c>
      <c r="C1460" s="40" t="inlineStr">
        <is>
          <t>2026-08-31</t>
        </is>
      </c>
      <c r="D1460" s="40" t="inlineStr">
        <is>
          <t>YTD</t>
        </is>
      </c>
      <c r="E1460" s="40" t="inlineStr">
        <is>
          <t>ITAIPU_SUPPLY_TO_PY</t>
        </is>
      </c>
      <c r="F1460" s="40" t="inlineStr">
        <is>
          <t>ITAIPU</t>
        </is>
      </c>
      <c r="G1460" s="40" t="n"/>
      <c r="H1460" s="40" t="n"/>
      <c r="I1460" s="40" t="n">
        <v>19276</v>
      </c>
      <c r="J1460" s="40" t="inlineStr">
        <is>
          <t>GWh</t>
        </is>
      </c>
      <c r="K1460" s="40" t="n">
        <v>19276</v>
      </c>
      <c r="L1460" s="40" t="inlineStr">
        <is>
          <t>GWh</t>
        </is>
      </c>
      <c r="M1460" s="40" t="inlineStr">
        <is>
          <t>ITAIPU</t>
        </is>
      </c>
      <c r="N1460" s="40" t="inlineStr">
        <is>
          <t>OFFICIAL_PRIMARY</t>
        </is>
      </c>
      <c r="O1460" s="40" t="inlineStr">
        <is>
          <t>OFFICIAL_AGGREGATE</t>
        </is>
      </c>
      <c r="P1460" s="40" t="n">
        <v>1</v>
      </c>
      <c r="Q1460" s="40" t="n">
        <v>95</v>
      </c>
      <c r="R1460" s="40" t="inlineStr">
        <is>
          <t>https://www.itaipu.gov.py/noticias/energia/itaipu-suministro-19-276-gwh-de-energia-electrica-a-la-ande-de-enero-a-agosto-de-2026</t>
        </is>
      </c>
      <c r="S1460" s="40" t="inlineStr">
        <is>
          <t>V5_CURRENT_BASELINES</t>
        </is>
      </c>
      <c r="T1460" s="40" t="n"/>
      <c r="U1460" s="40" t="inlineStr">
        <is>
          <t>2026-09-11T01:00:00-03:00</t>
        </is>
      </c>
      <c r="V1460" s="40" t="inlineStr">
        <is>
          <t>Supplied to Paraguay through ANDE Jan-Aug 2026.</t>
        </is>
      </c>
    </row>
    <row r="1461">
      <c r="A1461" s="40" t="inlineStr">
        <is>
          <t>V5_0002</t>
        </is>
      </c>
      <c r="B1461" s="40" t="inlineStr">
        <is>
          <t>2026-01-01</t>
        </is>
      </c>
      <c r="C1461" s="40" t="inlineStr">
        <is>
          <t>2026-08-31</t>
        </is>
      </c>
      <c r="D1461" s="40" t="inlineStr">
        <is>
          <t>YTD</t>
        </is>
      </c>
      <c r="E1461" s="40" t="inlineStr">
        <is>
          <t>ITAIPU_TOTAL_GENERATION</t>
        </is>
      </c>
      <c r="F1461" s="40" t="inlineStr">
        <is>
          <t>ITAIPU</t>
        </is>
      </c>
      <c r="G1461" s="40" t="n"/>
      <c r="H1461" s="40" t="n"/>
      <c r="I1461" s="40" t="n">
        <v>51144</v>
      </c>
      <c r="J1461" s="40" t="inlineStr">
        <is>
          <t>GWh</t>
        </is>
      </c>
      <c r="K1461" s="40" t="n">
        <v>51144</v>
      </c>
      <c r="L1461" s="40" t="inlineStr">
        <is>
          <t>GWh</t>
        </is>
      </c>
      <c r="M1461" s="40" t="inlineStr">
        <is>
          <t>ITAIPU</t>
        </is>
      </c>
      <c r="N1461" s="40" t="inlineStr">
        <is>
          <t>OFFICIAL_PRIMARY</t>
        </is>
      </c>
      <c r="O1461" s="40" t="inlineStr">
        <is>
          <t>OFFICIAL_AGGREGATE</t>
        </is>
      </c>
      <c r="P1461" s="40" t="n">
        <v>1</v>
      </c>
      <c r="Q1461" s="40" t="n">
        <v>95</v>
      </c>
      <c r="R1461" s="40" t="inlineStr">
        <is>
          <t>https://www.itaipu.gov.py/noticias/energia/itaipu-suministro-19-276-gwh-de-energia-electrica-a-la-ande-de-enero-a-agosto-de-2026</t>
        </is>
      </c>
      <c r="S1461" s="40" t="inlineStr">
        <is>
          <t>V5_CURRENT_BASELINES</t>
        </is>
      </c>
      <c r="T1461" s="40" t="n"/>
      <c r="U1461" s="40" t="inlineStr">
        <is>
          <t>2026-09-11T01:00:00-03:00</t>
        </is>
      </c>
      <c r="V1461" s="40" t="inlineStr">
        <is>
          <t>Total generation Jan-Aug 2026.</t>
        </is>
      </c>
    </row>
    <row r="1462">
      <c r="A1462" s="40" t="inlineStr">
        <is>
          <t>V5_0003</t>
        </is>
      </c>
      <c r="B1462" s="40" t="inlineStr">
        <is>
          <t>2026-01-01</t>
        </is>
      </c>
      <c r="C1462" s="40" t="inlineStr">
        <is>
          <t>2026-08-31</t>
        </is>
      </c>
      <c r="D1462" s="40" t="inlineStr">
        <is>
          <t>YTD</t>
        </is>
      </c>
      <c r="E1462" s="40" t="inlineStr">
        <is>
          <t>ITAIPU_UNIT_AVAILABILITY</t>
        </is>
      </c>
      <c r="F1462" s="40" t="inlineStr">
        <is>
          <t>ITAIPU</t>
        </is>
      </c>
      <c r="G1462" s="40" t="n"/>
      <c r="H1462" s="40" t="n"/>
      <c r="I1462" s="40" t="n">
        <v>96.34999999999999</v>
      </c>
      <c r="J1462" s="40" t="inlineStr">
        <is>
          <t>percent</t>
        </is>
      </c>
      <c r="K1462" s="40" t="n">
        <v>96.34999999999999</v>
      </c>
      <c r="L1462" s="40" t="inlineStr">
        <is>
          <t>percent</t>
        </is>
      </c>
      <c r="M1462" s="40" t="inlineStr">
        <is>
          <t>ITAIPU</t>
        </is>
      </c>
      <c r="N1462" s="40" t="inlineStr">
        <is>
          <t>OFFICIAL_PRIMARY</t>
        </is>
      </c>
      <c r="O1462" s="40" t="inlineStr">
        <is>
          <t>OFFICIAL_AGGREGATE</t>
        </is>
      </c>
      <c r="P1462" s="40" t="n">
        <v>1</v>
      </c>
      <c r="Q1462" s="40" t="n">
        <v>95</v>
      </c>
      <c r="R1462" s="40" t="inlineStr">
        <is>
          <t>https://www.itaipu.gov.py/noticias/energia/itaipu-suministro-19-276-gwh-de-energia-electrica-a-la-ande-de-enero-a-agosto-de-2026</t>
        </is>
      </c>
      <c r="S1462" s="40" t="inlineStr">
        <is>
          <t>V5_CURRENT_BASELINES</t>
        </is>
      </c>
      <c r="T1462" s="40" t="n"/>
      <c r="U1462" s="40" t="inlineStr">
        <is>
          <t>2026-09-11T01:00:00-03:00</t>
        </is>
      </c>
      <c r="V1462" s="40" t="inlineStr">
        <is>
          <t>Availability through August 2026.</t>
        </is>
      </c>
    </row>
    <row r="1463">
      <c r="A1463" s="40" t="inlineStr">
        <is>
          <t>V5_0004</t>
        </is>
      </c>
      <c r="B1463" s="40" t="inlineStr">
        <is>
          <t>2026-08-01</t>
        </is>
      </c>
      <c r="C1463" s="40" t="inlineStr">
        <is>
          <t>2026-08-31</t>
        </is>
      </c>
      <c r="D1463" s="40" t="inlineStr">
        <is>
          <t>month</t>
        </is>
      </c>
      <c r="E1463" s="40" t="inlineStr">
        <is>
          <t>ITAIPU_AUG_TOTAL_GENERATION</t>
        </is>
      </c>
      <c r="F1463" s="40" t="inlineStr">
        <is>
          <t>ITAIPU</t>
        </is>
      </c>
      <c r="G1463" s="40" t="n"/>
      <c r="H1463" s="40" t="n"/>
      <c r="I1463" s="40" t="n">
        <v>6796</v>
      </c>
      <c r="J1463" s="40" t="inlineStr">
        <is>
          <t>GWh</t>
        </is>
      </c>
      <c r="K1463" s="40" t="n">
        <v>6796</v>
      </c>
      <c r="L1463" s="40" t="inlineStr">
        <is>
          <t>GWh</t>
        </is>
      </c>
      <c r="M1463" s="40" t="inlineStr">
        <is>
          <t>ITAIPU</t>
        </is>
      </c>
      <c r="N1463" s="40" t="inlineStr">
        <is>
          <t>OFFICIAL_PRIMARY</t>
        </is>
      </c>
      <c r="O1463" s="40" t="inlineStr">
        <is>
          <t>OFFICIAL_AGGREGATE</t>
        </is>
      </c>
      <c r="P1463" s="40" t="n">
        <v>1</v>
      </c>
      <c r="Q1463" s="40" t="n">
        <v>95</v>
      </c>
      <c r="R1463" s="40" t="inlineStr">
        <is>
          <t>https://www.itaipu.gov.py/noticias/energia/itaipu-suministro-19-276-gwh-de-energia-electrica-a-la-ande-de-enero-a-agosto-de-2026</t>
        </is>
      </c>
      <c r="S1463" s="40" t="inlineStr">
        <is>
          <t>V5_CURRENT_BASELINES</t>
        </is>
      </c>
      <c r="T1463" s="40" t="n"/>
      <c r="U1463" s="40" t="inlineStr">
        <is>
          <t>2026-09-11T01:00:00-03:00</t>
        </is>
      </c>
      <c r="V1463" s="40" t="inlineStr"/>
    </row>
    <row r="1464">
      <c r="A1464" s="40" t="inlineStr">
        <is>
          <t>V5_0005</t>
        </is>
      </c>
      <c r="B1464" s="40" t="inlineStr">
        <is>
          <t>2026-08-01</t>
        </is>
      </c>
      <c r="C1464" s="40" t="inlineStr">
        <is>
          <t>2026-08-31</t>
        </is>
      </c>
      <c r="D1464" s="40" t="inlineStr">
        <is>
          <t>month</t>
        </is>
      </c>
      <c r="E1464" s="40" t="inlineStr">
        <is>
          <t>ITAIPU_AUG_50HZ_GENERATION</t>
        </is>
      </c>
      <c r="F1464" s="40" t="inlineStr">
        <is>
          <t>ITAIPU</t>
        </is>
      </c>
      <c r="G1464" s="40" t="n"/>
      <c r="H1464" s="40" t="n"/>
      <c r="I1464" s="40" t="n">
        <v>3428</v>
      </c>
      <c r="J1464" s="40" t="inlineStr">
        <is>
          <t>GWh</t>
        </is>
      </c>
      <c r="K1464" s="40" t="n">
        <v>3428</v>
      </c>
      <c r="L1464" s="40" t="inlineStr">
        <is>
          <t>GWh</t>
        </is>
      </c>
      <c r="M1464" s="40" t="inlineStr">
        <is>
          <t>ITAIPU</t>
        </is>
      </c>
      <c r="N1464" s="40" t="inlineStr">
        <is>
          <t>OFFICIAL_PRIMARY</t>
        </is>
      </c>
      <c r="O1464" s="40" t="inlineStr">
        <is>
          <t>OFFICIAL_AGGREGATE</t>
        </is>
      </c>
      <c r="P1464" s="40" t="n">
        <v>1</v>
      </c>
      <c r="Q1464" s="40" t="n">
        <v>95</v>
      </c>
      <c r="R1464" s="40" t="inlineStr">
        <is>
          <t>https://www.itaipu.gov.py/noticias/energia/itaipu-suministro-19-276-gwh-de-energia-electrica-a-la-ande-de-enero-a-agosto-de-2026</t>
        </is>
      </c>
      <c r="S1464" s="40" t="inlineStr">
        <is>
          <t>V5_CURRENT_BASELINES</t>
        </is>
      </c>
      <c r="T1464" s="40" t="n"/>
      <c r="U1464" s="40" t="inlineStr">
        <is>
          <t>2026-09-11T01:00:00-03:00</t>
        </is>
      </c>
      <c r="V1464" s="40" t="inlineStr"/>
    </row>
    <row r="1465">
      <c r="A1465" s="40" t="inlineStr">
        <is>
          <t>V5_0006</t>
        </is>
      </c>
      <c r="B1465" s="40" t="inlineStr">
        <is>
          <t>2026-08-01</t>
        </is>
      </c>
      <c r="C1465" s="40" t="inlineStr">
        <is>
          <t>2026-08-31</t>
        </is>
      </c>
      <c r="D1465" s="40" t="inlineStr">
        <is>
          <t>month</t>
        </is>
      </c>
      <c r="E1465" s="40" t="inlineStr">
        <is>
          <t>ITAIPU_AUG_SUPPLY_TO_ANDE</t>
        </is>
      </c>
      <c r="F1465" s="40" t="inlineStr">
        <is>
          <t>ITAIPU</t>
        </is>
      </c>
      <c r="G1465" s="40" t="n"/>
      <c r="H1465" s="40" t="n"/>
      <c r="I1465" s="40" t="n">
        <v>2401</v>
      </c>
      <c r="J1465" s="40" t="inlineStr">
        <is>
          <t>GWh</t>
        </is>
      </c>
      <c r="K1465" s="40" t="n">
        <v>2401</v>
      </c>
      <c r="L1465" s="40" t="inlineStr">
        <is>
          <t>GWh</t>
        </is>
      </c>
      <c r="M1465" s="40" t="inlineStr">
        <is>
          <t>ITAIPU</t>
        </is>
      </c>
      <c r="N1465" s="40" t="inlineStr">
        <is>
          <t>OFFICIAL_PRIMARY</t>
        </is>
      </c>
      <c r="O1465" s="40" t="inlineStr">
        <is>
          <t>OFFICIAL_AGGREGATE</t>
        </is>
      </c>
      <c r="P1465" s="40" t="n">
        <v>1</v>
      </c>
      <c r="Q1465" s="40" t="n">
        <v>95</v>
      </c>
      <c r="R1465" s="40" t="inlineStr">
        <is>
          <t>https://www.itaipu.gov.py/noticias/energia/itaipu-suministro-19-276-gwh-de-energia-electrica-a-la-ande-de-enero-a-agosto-de-2026</t>
        </is>
      </c>
      <c r="S1465" s="40" t="inlineStr">
        <is>
          <t>V5_CURRENT_BASELINES</t>
        </is>
      </c>
      <c r="T1465" s="40" t="n"/>
      <c r="U1465" s="40" t="inlineStr">
        <is>
          <t>2026-09-11T01:00:00-03:00</t>
        </is>
      </c>
      <c r="V1465" s="40" t="inlineStr"/>
    </row>
    <row r="1466">
      <c r="A1466" s="40" t="inlineStr">
        <is>
          <t>V5_0007</t>
        </is>
      </c>
      <c r="B1466" s="40" t="inlineStr">
        <is>
          <t>2026-01-01</t>
        </is>
      </c>
      <c r="C1466" s="40" t="inlineStr">
        <is>
          <t>2026-08-31</t>
        </is>
      </c>
      <c r="D1466" s="40" t="inlineStr">
        <is>
          <t>YTD_avg</t>
        </is>
      </c>
      <c r="E1466" s="40" t="inlineStr">
        <is>
          <t>ITAIPU_AVG_POWER_TO_PY_EQUIV</t>
        </is>
      </c>
      <c r="F1466" s="40" t="inlineStr">
        <is>
          <t>ITAIPU</t>
        </is>
      </c>
      <c r="G1466" s="40" t="n"/>
      <c r="H1466" s="40" t="n"/>
      <c r="I1466" s="40" t="n">
        <v>3305.213</v>
      </c>
      <c r="J1466" s="40" t="inlineStr">
        <is>
          <t>MW</t>
        </is>
      </c>
      <c r="K1466" s="40" t="n">
        <v>3305.213</v>
      </c>
      <c r="L1466" s="40" t="inlineStr">
        <is>
          <t>MW</t>
        </is>
      </c>
      <c r="M1466" s="40" t="inlineStr">
        <is>
          <t>ENERGIAPY</t>
        </is>
      </c>
      <c r="N1466" s="40" t="inlineStr">
        <is>
          <t>DERIVED</t>
        </is>
      </c>
      <c r="O1466" s="40" t="inlineStr">
        <is>
          <t>DERIVED_FROM_OFFICIAL</t>
        </is>
      </c>
      <c r="P1466" s="40" t="n">
        <v>1</v>
      </c>
      <c r="Q1466" s="40" t="n">
        <v>80</v>
      </c>
      <c r="R1466" s="40" t="inlineStr">
        <is>
          <t>https://www.itaipu.gov.py/noticias/energia/itaipu-suministro-19-276-gwh-de-energia-electrica-a-la-ande-de-enero-a-agosto-de-2026</t>
        </is>
      </c>
      <c r="S1466" s="40" t="inlineStr">
        <is>
          <t>V5_CURRENT_BASELINES</t>
        </is>
      </c>
      <c r="T1466" s="40" t="n"/>
      <c r="U1466" s="40" t="inlineStr">
        <is>
          <t>2026-09-11T01:00:00-03:00</t>
        </is>
      </c>
      <c r="V1466" s="40" t="inlineStr">
        <is>
          <t>Energy/time equivalent average; not an instantaneous measurement.</t>
        </is>
      </c>
    </row>
    <row r="1467">
      <c r="A1467" s="40" t="inlineStr">
        <is>
          <t>V5_0008</t>
        </is>
      </c>
      <c r="B1467" s="40" t="inlineStr">
        <is>
          <t>2026-01-01</t>
        </is>
      </c>
      <c r="C1467" s="40" t="inlineStr">
        <is>
          <t>2026-08-31</t>
        </is>
      </c>
      <c r="D1467" s="40" t="inlineStr">
        <is>
          <t>YTD_avg</t>
        </is>
      </c>
      <c r="E1467" s="40" t="inlineStr">
        <is>
          <t>ITAIPU_AVG_TOTAL_POWER_EQUIV</t>
        </is>
      </c>
      <c r="F1467" s="40" t="inlineStr">
        <is>
          <t>ITAIPU</t>
        </is>
      </c>
      <c r="G1467" s="40" t="n"/>
      <c r="H1467" s="40" t="n"/>
      <c r="I1467" s="40" t="n">
        <v>8769.547</v>
      </c>
      <c r="J1467" s="40" t="inlineStr">
        <is>
          <t>MW</t>
        </is>
      </c>
      <c r="K1467" s="40" t="n">
        <v>8769.547</v>
      </c>
      <c r="L1467" s="40" t="inlineStr">
        <is>
          <t>MW</t>
        </is>
      </c>
      <c r="M1467" s="40" t="inlineStr">
        <is>
          <t>ENERGIAPY</t>
        </is>
      </c>
      <c r="N1467" s="40" t="inlineStr">
        <is>
          <t>DERIVED</t>
        </is>
      </c>
      <c r="O1467" s="40" t="inlineStr">
        <is>
          <t>DERIVED_FROM_OFFICIAL</t>
        </is>
      </c>
      <c r="P1467" s="40" t="n">
        <v>1</v>
      </c>
      <c r="Q1467" s="40" t="n">
        <v>80</v>
      </c>
      <c r="R1467" s="40" t="inlineStr">
        <is>
          <t>https://www.itaipu.gov.py/noticias/energia/itaipu-suministro-19-276-gwh-de-energia-electrica-a-la-ande-de-enero-a-agosto-de-2026</t>
        </is>
      </c>
      <c r="S1467" s="40" t="inlineStr">
        <is>
          <t>V5_CURRENT_BASELINES</t>
        </is>
      </c>
      <c r="T1467" s="40" t="n"/>
      <c r="U1467" s="40" t="inlineStr">
        <is>
          <t>2026-09-11T01:00:00-03:00</t>
        </is>
      </c>
      <c r="V1467" s="40" t="inlineStr">
        <is>
          <t>Energy/time equivalent average; not an instantaneous measurement.</t>
        </is>
      </c>
    </row>
    <row r="1468">
      <c r="A1468" s="40" t="inlineStr">
        <is>
          <t>V5_0009</t>
        </is>
      </c>
      <c r="B1468" s="40" t="inlineStr">
        <is>
          <t>2026-08-01</t>
        </is>
      </c>
      <c r="C1468" s="40" t="inlineStr">
        <is>
          <t>2026-08-31</t>
        </is>
      </c>
      <c r="D1468" s="40" t="inlineStr">
        <is>
          <t>month_avg</t>
        </is>
      </c>
      <c r="E1468" s="40" t="inlineStr">
        <is>
          <t>ITAIPU_AUG_AVG_POWER_EQUIV</t>
        </is>
      </c>
      <c r="F1468" s="40" t="inlineStr">
        <is>
          <t>ITAIPU</t>
        </is>
      </c>
      <c r="G1468" s="40" t="n"/>
      <c r="H1468" s="40" t="n"/>
      <c r="I1468" s="40" t="n">
        <v>9134.409</v>
      </c>
      <c r="J1468" s="40" t="inlineStr">
        <is>
          <t>MW</t>
        </is>
      </c>
      <c r="K1468" s="40" t="n">
        <v>9134.409</v>
      </c>
      <c r="L1468" s="40" t="inlineStr">
        <is>
          <t>MW</t>
        </is>
      </c>
      <c r="M1468" s="40" t="inlineStr">
        <is>
          <t>ENERGIAPY</t>
        </is>
      </c>
      <c r="N1468" s="40" t="inlineStr">
        <is>
          <t>DERIVED</t>
        </is>
      </c>
      <c r="O1468" s="40" t="inlineStr">
        <is>
          <t>DERIVED_FROM_OFFICIAL</t>
        </is>
      </c>
      <c r="P1468" s="40" t="n">
        <v>1</v>
      </c>
      <c r="Q1468" s="40" t="n">
        <v>80</v>
      </c>
      <c r="R1468" s="40" t="inlineStr">
        <is>
          <t>https://www.itaipu.gov.py/noticias/energia/itaipu-suministro-19-276-gwh-de-energia-electrica-a-la-ande-de-enero-a-agosto-de-2026</t>
        </is>
      </c>
      <c r="S1468" s="40" t="inlineStr">
        <is>
          <t>V5_CURRENT_BASELINES</t>
        </is>
      </c>
      <c r="T1468" s="40" t="n"/>
      <c r="U1468" s="40" t="inlineStr">
        <is>
          <t>2026-09-11T01:00:00-03:00</t>
        </is>
      </c>
      <c r="V1468" s="40" t="inlineStr"/>
    </row>
    <row r="1469">
      <c r="A1469" s="40" t="inlineStr">
        <is>
          <t>V5_0010</t>
        </is>
      </c>
      <c r="B1469" s="40" t="inlineStr">
        <is>
          <t>2026-08-01</t>
        </is>
      </c>
      <c r="C1469" s="40" t="inlineStr">
        <is>
          <t>2026-08-31</t>
        </is>
      </c>
      <c r="D1469" s="40" t="inlineStr">
        <is>
          <t>month_avg</t>
        </is>
      </c>
      <c r="E1469" s="40" t="inlineStr">
        <is>
          <t>ITAIPU_AUG_AVG_TO_ANDE_EQUIV</t>
        </is>
      </c>
      <c r="F1469" s="40" t="inlineStr">
        <is>
          <t>ITAIPU</t>
        </is>
      </c>
      <c r="G1469" s="40" t="n"/>
      <c r="H1469" s="40" t="n"/>
      <c r="I1469" s="40" t="n">
        <v>3227.151</v>
      </c>
      <c r="J1469" s="40" t="inlineStr">
        <is>
          <t>MW</t>
        </is>
      </c>
      <c r="K1469" s="40" t="n">
        <v>3227.151</v>
      </c>
      <c r="L1469" s="40" t="inlineStr">
        <is>
          <t>MW</t>
        </is>
      </c>
      <c r="M1469" s="40" t="inlineStr">
        <is>
          <t>ENERGIAPY</t>
        </is>
      </c>
      <c r="N1469" s="40" t="inlineStr">
        <is>
          <t>DERIVED</t>
        </is>
      </c>
      <c r="O1469" s="40" t="inlineStr">
        <is>
          <t>DERIVED_FROM_OFFICIAL</t>
        </is>
      </c>
      <c r="P1469" s="40" t="n">
        <v>1</v>
      </c>
      <c r="Q1469" s="40" t="n">
        <v>80</v>
      </c>
      <c r="R1469" s="40" t="inlineStr">
        <is>
          <t>https://www.itaipu.gov.py/noticias/energia/itaipu-suministro-19-276-gwh-de-energia-electrica-a-la-ande-de-enero-a-agosto-de-2026</t>
        </is>
      </c>
      <c r="S1469" s="40" t="inlineStr">
        <is>
          <t>V5_CURRENT_BASELINES</t>
        </is>
      </c>
      <c r="T1469" s="40" t="n"/>
      <c r="U1469" s="40" t="inlineStr">
        <is>
          <t>2026-09-11T01:00:00-03:00</t>
        </is>
      </c>
      <c r="V1469" s="40" t="inlineStr"/>
    </row>
    <row r="1470">
      <c r="A1470" s="40" t="inlineStr">
        <is>
          <t>V5_0011</t>
        </is>
      </c>
      <c r="B1470" s="40" t="inlineStr">
        <is>
          <t>2026-09-11</t>
        </is>
      </c>
      <c r="C1470" s="40" t="inlineStr">
        <is>
          <t>2026-09-11</t>
        </is>
      </c>
      <c r="D1470" s="40" t="inlineStr">
        <is>
          <t>latest_hour_label</t>
        </is>
      </c>
      <c r="E1470" s="40" t="inlineStr">
        <is>
          <t>YACYRETA_POWER_LAST_HOUR</t>
        </is>
      </c>
      <c r="F1470" s="40" t="inlineStr">
        <is>
          <t>YACYRETA</t>
        </is>
      </c>
      <c r="G1470" s="40" t="n"/>
      <c r="H1470" s="40" t="n"/>
      <c r="I1470" s="40" t="n">
        <v>2034</v>
      </c>
      <c r="J1470" s="40" t="inlineStr">
        <is>
          <t>MW</t>
        </is>
      </c>
      <c r="K1470" s="40" t="n">
        <v>2034</v>
      </c>
      <c r="L1470" s="40" t="inlineStr">
        <is>
          <t>MW</t>
        </is>
      </c>
      <c r="M1470" s="40" t="inlineStr">
        <is>
          <t>EBY</t>
        </is>
      </c>
      <c r="N1470" s="40" t="inlineStr">
        <is>
          <t>OFFICIAL_PRIMARY</t>
        </is>
      </c>
      <c r="O1470" s="40" t="inlineStr">
        <is>
          <t>OFFICIAL_WEB_CURRENT</t>
        </is>
      </c>
      <c r="P1470" s="40" t="n">
        <v>1</v>
      </c>
      <c r="Q1470" s="40" t="n">
        <v>95</v>
      </c>
      <c r="R1470" s="40" t="inlineStr">
        <is>
          <t>https://eby.gov.py/</t>
        </is>
      </c>
      <c r="S1470" s="40" t="inlineStr">
        <is>
          <t>V5_CURRENT_BASELINES</t>
        </is>
      </c>
      <c r="T1470" s="40" t="n"/>
      <c r="U1470" s="40" t="inlineStr">
        <is>
          <t>2026-09-11T01:00:00-03:00</t>
        </is>
      </c>
      <c r="V1470" s="40" t="inlineStr">
        <is>
          <t>EBY homepage says power generated in the last hour; exact measurement timestamp is not exposed.</t>
        </is>
      </c>
    </row>
    <row r="1471">
      <c r="A1471" s="40" t="inlineStr">
        <is>
          <t>V5_0012</t>
        </is>
      </c>
      <c r="B1471" s="40" t="inlineStr">
        <is>
          <t>2026-09-10</t>
        </is>
      </c>
      <c r="C1471" s="40" t="inlineStr">
        <is>
          <t>2026-09-10</t>
        </is>
      </c>
      <c r="D1471" s="40" t="inlineStr">
        <is>
          <t>06:00</t>
        </is>
      </c>
      <c r="E1471" s="40" t="inlineStr">
        <is>
          <t>YACYRETA_RESERVOIR_LEVEL</t>
        </is>
      </c>
      <c r="F1471" s="40" t="inlineStr">
        <is>
          <t>YACYRETA</t>
        </is>
      </c>
      <c r="G1471" s="40" t="n"/>
      <c r="H1471" s="40" t="n"/>
      <c r="I1471" s="40" t="n">
        <v>82.81999999999999</v>
      </c>
      <c r="J1471" s="40" t="inlineStr">
        <is>
          <t>mSNM</t>
        </is>
      </c>
      <c r="K1471" s="40" t="n">
        <v>82.81999999999999</v>
      </c>
      <c r="L1471" s="40" t="inlineStr">
        <is>
          <t>mSNM</t>
        </is>
      </c>
      <c r="M1471" s="40" t="inlineStr">
        <is>
          <t>EBY</t>
        </is>
      </c>
      <c r="N1471" s="40" t="inlineStr">
        <is>
          <t>OFFICIAL_PRIMARY</t>
        </is>
      </c>
      <c r="O1471" s="40" t="inlineStr">
        <is>
          <t>OFFICIAL_MEASURED</t>
        </is>
      </c>
      <c r="P1471" s="40" t="n">
        <v>1</v>
      </c>
      <c r="Q1471" s="40" t="n">
        <v>95</v>
      </c>
      <c r="R1471" s="40" t="inlineStr">
        <is>
          <t>https://eby.gov.py/cota-82-82-msnm-resumen-ejecutivo-n-6077-10-09-2026/</t>
        </is>
      </c>
      <c r="S1471" s="40" t="inlineStr">
        <is>
          <t>V5_CURRENT_BASELINES</t>
        </is>
      </c>
      <c r="T1471" s="40" t="n"/>
      <c r="U1471" s="40" t="inlineStr">
        <is>
          <t>2026-09-11T01:00:00-03:00</t>
        </is>
      </c>
      <c r="V1471" s="40" t="inlineStr"/>
    </row>
    <row r="1472">
      <c r="A1472" s="40" t="inlineStr">
        <is>
          <t>V5_0013</t>
        </is>
      </c>
      <c r="B1472" s="40" t="inlineStr">
        <is>
          <t>2026-09-10</t>
        </is>
      </c>
      <c r="C1472" s="40" t="inlineStr">
        <is>
          <t>2026-09-10</t>
        </is>
      </c>
      <c r="D1472" s="40" t="inlineStr">
        <is>
          <t>day</t>
        </is>
      </c>
      <c r="E1472" s="40" t="inlineStr">
        <is>
          <t>YACYRETA_INFLOW_FORECAST</t>
        </is>
      </c>
      <c r="F1472" s="40" t="inlineStr">
        <is>
          <t>YACYRETA</t>
        </is>
      </c>
      <c r="G1472" s="40" t="n"/>
      <c r="H1472" s="40" t="n"/>
      <c r="I1472" s="40" t="n">
        <v>13400</v>
      </c>
      <c r="J1472" s="40" t="inlineStr">
        <is>
          <t>m3/s</t>
        </is>
      </c>
      <c r="K1472" s="40" t="n">
        <v>13400</v>
      </c>
      <c r="L1472" s="40" t="inlineStr">
        <is>
          <t>m3/s</t>
        </is>
      </c>
      <c r="M1472" s="40" t="inlineStr">
        <is>
          <t>EBY</t>
        </is>
      </c>
      <c r="N1472" s="40" t="inlineStr">
        <is>
          <t>OFFICIAL_PRIMARY</t>
        </is>
      </c>
      <c r="O1472" s="40" t="inlineStr">
        <is>
          <t>OFFICIAL_FORECAST</t>
        </is>
      </c>
      <c r="P1472" s="40" t="n">
        <v>1</v>
      </c>
      <c r="Q1472" s="40" t="n">
        <v>95</v>
      </c>
      <c r="R1472" s="40" t="inlineStr">
        <is>
          <t>https://eby.gov.py/cota-82-82-msnm-resumen-ejecutivo-n-6077-10-09-2026/</t>
        </is>
      </c>
      <c r="S1472" s="40" t="inlineStr">
        <is>
          <t>V5_CURRENT_BASELINES</t>
        </is>
      </c>
      <c r="T1472" s="40" t="n"/>
      <c r="U1472" s="40" t="inlineStr">
        <is>
          <t>2026-09-11T01:00:00-03:00</t>
        </is>
      </c>
      <c r="V1472" s="40" t="inlineStr"/>
    </row>
    <row r="1473">
      <c r="A1473" s="40" t="inlineStr">
        <is>
          <t>V5_0014</t>
        </is>
      </c>
      <c r="B1473" s="40" t="inlineStr">
        <is>
          <t>2026-09-11</t>
        </is>
      </c>
      <c r="C1473" s="40" t="inlineStr">
        <is>
          <t>2026-09-11</t>
        </is>
      </c>
      <c r="D1473" s="40" t="inlineStr">
        <is>
          <t>day</t>
        </is>
      </c>
      <c r="E1473" s="40" t="inlineStr">
        <is>
          <t>YACYRETA_INFLOW_FORECAST_NEXT_DAY</t>
        </is>
      </c>
      <c r="F1473" s="40" t="inlineStr">
        <is>
          <t>YACYRETA</t>
        </is>
      </c>
      <c r="G1473" s="40" t="n"/>
      <c r="H1473" s="40" t="n"/>
      <c r="I1473" s="40" t="n">
        <v>14500</v>
      </c>
      <c r="J1473" s="40" t="inlineStr">
        <is>
          <t>m3/s</t>
        </is>
      </c>
      <c r="K1473" s="40" t="n">
        <v>14500</v>
      </c>
      <c r="L1473" s="40" t="inlineStr">
        <is>
          <t>m3/s</t>
        </is>
      </c>
      <c r="M1473" s="40" t="inlineStr">
        <is>
          <t>EBY</t>
        </is>
      </c>
      <c r="N1473" s="40" t="inlineStr">
        <is>
          <t>OFFICIAL_PRIMARY</t>
        </is>
      </c>
      <c r="O1473" s="40" t="inlineStr">
        <is>
          <t>OFFICIAL_FORECAST</t>
        </is>
      </c>
      <c r="P1473" s="40" t="n">
        <v>1</v>
      </c>
      <c r="Q1473" s="40" t="n">
        <v>95</v>
      </c>
      <c r="R1473" s="40" t="inlineStr">
        <is>
          <t>https://eby.gov.py/cota-82-82-msnm-resumen-ejecutivo-n-6077-10-09-2026/</t>
        </is>
      </c>
      <c r="S1473" s="40" t="inlineStr">
        <is>
          <t>V5_CURRENT_BASELINES</t>
        </is>
      </c>
      <c r="T1473" s="40" t="n"/>
      <c r="U1473" s="40" t="inlineStr">
        <is>
          <t>2026-09-11T01:00:00-03:00</t>
        </is>
      </c>
      <c r="V1473" s="40" t="inlineStr"/>
    </row>
    <row r="1474">
      <c r="A1474" s="40" t="inlineStr">
        <is>
          <t>V5_0015</t>
        </is>
      </c>
      <c r="B1474" s="40" t="inlineStr">
        <is>
          <t>2026-09-10</t>
        </is>
      </c>
      <c r="C1474" s="40" t="inlineStr">
        <is>
          <t>2026-09-10</t>
        </is>
      </c>
      <c r="D1474" s="40" t="inlineStr">
        <is>
          <t>day</t>
        </is>
      </c>
      <c r="E1474" s="40" t="inlineStr">
        <is>
          <t>YACYRETA_ANACUA_FLOW</t>
        </is>
      </c>
      <c r="F1474" s="40" t="inlineStr">
        <is>
          <t>YACYRETA</t>
        </is>
      </c>
      <c r="G1474" s="40" t="n"/>
      <c r="H1474" s="40" t="n"/>
      <c r="I1474" s="40" t="n">
        <v>1000</v>
      </c>
      <c r="J1474" s="40" t="inlineStr">
        <is>
          <t>m3/s</t>
        </is>
      </c>
      <c r="K1474" s="40" t="n">
        <v>1000</v>
      </c>
      <c r="L1474" s="40" t="inlineStr">
        <is>
          <t>m3/s</t>
        </is>
      </c>
      <c r="M1474" s="40" t="inlineStr">
        <is>
          <t>EBY</t>
        </is>
      </c>
      <c r="N1474" s="40" t="inlineStr">
        <is>
          <t>OFFICIAL_PRIMARY</t>
        </is>
      </c>
      <c r="O1474" s="40" t="inlineStr">
        <is>
          <t>OFFICIAL_OPERATIONAL</t>
        </is>
      </c>
      <c r="P1474" s="40" t="n">
        <v>1</v>
      </c>
      <c r="Q1474" s="40" t="n">
        <v>95</v>
      </c>
      <c r="R1474" s="40" t="inlineStr">
        <is>
          <t>https://eby.gov.py/cota-82-82-msnm-resumen-ejecutivo-n-6077-10-09-2026/</t>
        </is>
      </c>
      <c r="S1474" s="40" t="inlineStr">
        <is>
          <t>V5_CURRENT_BASELINES</t>
        </is>
      </c>
      <c r="T1474" s="40" t="n"/>
      <c r="U1474" s="40" t="inlineStr">
        <is>
          <t>2026-09-11T01:00:00-03:00</t>
        </is>
      </c>
      <c r="V1474" s="40" t="inlineStr">
        <is>
          <t>Brazo Ana Cua spillway.</t>
        </is>
      </c>
    </row>
    <row r="1475">
      <c r="A1475" s="40" t="inlineStr">
        <is>
          <t>V5_0016</t>
        </is>
      </c>
      <c r="B1475" s="40" t="inlineStr">
        <is>
          <t>2026-09-10</t>
        </is>
      </c>
      <c r="C1475" s="40" t="inlineStr">
        <is>
          <t>2026-09-10</t>
        </is>
      </c>
      <c r="D1475" s="40" t="inlineStr">
        <is>
          <t>day</t>
        </is>
      </c>
      <c r="E1475" s="40" t="inlineStr">
        <is>
          <t>AYOLAS_RIVER_LEVEL</t>
        </is>
      </c>
      <c r="F1475" s="40" t="inlineStr">
        <is>
          <t>AYOLAS</t>
        </is>
      </c>
      <c r="G1475" s="40" t="n"/>
      <c r="H1475" s="40" t="n"/>
      <c r="I1475" s="40" t="n">
        <v>1.8</v>
      </c>
      <c r="J1475" s="40" t="inlineStr">
        <is>
          <t>m</t>
        </is>
      </c>
      <c r="K1475" s="40" t="n">
        <v>1.8</v>
      </c>
      <c r="L1475" s="40" t="inlineStr">
        <is>
          <t>m</t>
        </is>
      </c>
      <c r="M1475" s="40" t="inlineStr">
        <is>
          <t>EBY</t>
        </is>
      </c>
      <c r="N1475" s="40" t="inlineStr">
        <is>
          <t>OFFICIAL_PRIMARY</t>
        </is>
      </c>
      <c r="O1475" s="40" t="inlineStr">
        <is>
          <t>OFFICIAL_MEASURED</t>
        </is>
      </c>
      <c r="P1475" s="40" t="n">
        <v>1</v>
      </c>
      <c r="Q1475" s="40" t="n">
        <v>95</v>
      </c>
      <c r="R1475" s="40" t="inlineStr">
        <is>
          <t>https://eby.gov.py/cota-82-82-msnm-resumen-ejecutivo-n-6077-10-09-2026/</t>
        </is>
      </c>
      <c r="S1475" s="40" t="inlineStr">
        <is>
          <t>V5_CURRENT_BASELINES</t>
        </is>
      </c>
      <c r="T1475" s="40" t="n"/>
      <c r="U1475" s="40" t="inlineStr">
        <is>
          <t>2026-09-11T01:00:00-03:00</t>
        </is>
      </c>
      <c r="V1475" s="40" t="inlineStr"/>
    </row>
    <row r="1476">
      <c r="A1476" s="40" t="inlineStr">
        <is>
          <t>V5_0017</t>
        </is>
      </c>
      <c r="B1476" s="40" t="inlineStr">
        <is>
          <t>2026-09-10</t>
        </is>
      </c>
      <c r="C1476" s="40" t="inlineStr">
        <is>
          <t>2026-09-10</t>
        </is>
      </c>
      <c r="D1476" s="40" t="inlineStr">
        <is>
          <t>02:00</t>
        </is>
      </c>
      <c r="E1476" s="40" t="inlineStr">
        <is>
          <t>ITUZAINGO_RIVER_LEVEL</t>
        </is>
      </c>
      <c r="F1476" s="40" t="inlineStr">
        <is>
          <t>ITUZAINGO</t>
        </is>
      </c>
      <c r="G1476" s="40" t="n"/>
      <c r="H1476" s="40" t="n"/>
      <c r="I1476" s="40" t="n">
        <v>1.6</v>
      </c>
      <c r="J1476" s="40" t="inlineStr">
        <is>
          <t>m</t>
        </is>
      </c>
      <c r="K1476" s="40" t="n">
        <v>1.6</v>
      </c>
      <c r="L1476" s="40" t="inlineStr">
        <is>
          <t>m</t>
        </is>
      </c>
      <c r="M1476" s="40" t="inlineStr">
        <is>
          <t>EBY</t>
        </is>
      </c>
      <c r="N1476" s="40" t="inlineStr">
        <is>
          <t>OFFICIAL_PRIMARY</t>
        </is>
      </c>
      <c r="O1476" s="40" t="inlineStr">
        <is>
          <t>OFFICIAL_MEASURED</t>
        </is>
      </c>
      <c r="P1476" s="40" t="n">
        <v>1</v>
      </c>
      <c r="Q1476" s="40" t="n">
        <v>95</v>
      </c>
      <c r="R1476" s="40" t="inlineStr">
        <is>
          <t>https://eby.gov.py/cota-82-82-msnm-resumen-ejecutivo-n-6077-10-09-2026/</t>
        </is>
      </c>
      <c r="S1476" s="40" t="inlineStr">
        <is>
          <t>V5_CURRENT_BASELINES</t>
        </is>
      </c>
      <c r="T1476" s="40" t="n"/>
      <c r="U1476" s="40" t="inlineStr">
        <is>
          <t>2026-09-11T01:00:00-03:00</t>
        </is>
      </c>
      <c r="V1476" s="40" t="inlineStr"/>
    </row>
    <row r="1477">
      <c r="A1477" s="40" t="inlineStr">
        <is>
          <t>V5_0018</t>
        </is>
      </c>
      <c r="B1477" s="40" t="inlineStr">
        <is>
          <t>2025-01-01</t>
        </is>
      </c>
      <c r="C1477" s="40" t="inlineStr">
        <is>
          <t>2025-12-31</t>
        </is>
      </c>
      <c r="D1477" s="40" t="inlineStr">
        <is>
          <t>year</t>
        </is>
      </c>
      <c r="E1477" s="40" t="inlineStr">
        <is>
          <t>PY_SIN_ENERGY_CONSUMPTION</t>
        </is>
      </c>
      <c r="F1477" s="40" t="inlineStr">
        <is>
          <t>PY_SIN</t>
        </is>
      </c>
      <c r="G1477" s="40" t="n"/>
      <c r="H1477" s="40" t="n"/>
      <c r="I1477" s="40" t="n">
        <v>29418538</v>
      </c>
      <c r="J1477" s="40" t="inlineStr">
        <is>
          <t>MWh</t>
        </is>
      </c>
      <c r="K1477" s="40" t="n">
        <v>29418538</v>
      </c>
      <c r="L1477" s="40" t="inlineStr">
        <is>
          <t>MWh</t>
        </is>
      </c>
      <c r="M1477" s="40" t="inlineStr">
        <is>
          <t>ANDE</t>
        </is>
      </c>
      <c r="N1477" s="40" t="inlineStr">
        <is>
          <t>OFFICIAL_PRIMARY</t>
        </is>
      </c>
      <c r="O1477" s="40" t="inlineStr">
        <is>
          <t>OFFICIAL_AGGREGATE</t>
        </is>
      </c>
      <c r="P1477" s="40" t="n">
        <v>1</v>
      </c>
      <c r="Q1477" s="40" t="n">
        <v>95</v>
      </c>
      <c r="R1477" s="40" t="inlineStr">
        <is>
          <t>https://www.ande.gov.py/finanzas/BAGP%202025%20ANDE.pdf</t>
        </is>
      </c>
      <c r="S1477" s="40" t="inlineStr">
        <is>
          <t>V5_CURRENT_BASELINES</t>
        </is>
      </c>
      <c r="T1477" s="40" t="n"/>
      <c r="U1477" s="40" t="inlineStr">
        <is>
          <t>2026-09-11T01:00:00-03:00</t>
        </is>
      </c>
      <c r="V1477" s="40" t="inlineStr"/>
    </row>
    <row r="1478">
      <c r="A1478" s="40" t="inlineStr">
        <is>
          <t>V5_0019</t>
        </is>
      </c>
      <c r="B1478" s="40" t="inlineStr">
        <is>
          <t>2025-01-01</t>
        </is>
      </c>
      <c r="C1478" s="40" t="inlineStr">
        <is>
          <t>2025-12-31</t>
        </is>
      </c>
      <c r="D1478" s="40" t="inlineStr">
        <is>
          <t>year</t>
        </is>
      </c>
      <c r="E1478" s="40" t="inlineStr">
        <is>
          <t>PY_SIN_MAX_DEMAND</t>
        </is>
      </c>
      <c r="F1478" s="40" t="inlineStr">
        <is>
          <t>PY_SIN</t>
        </is>
      </c>
      <c r="G1478" s="40" t="n"/>
      <c r="H1478" s="40" t="n"/>
      <c r="I1478" s="40" t="n">
        <v>5280</v>
      </c>
      <c r="J1478" s="40" t="inlineStr">
        <is>
          <t>MW</t>
        </is>
      </c>
      <c r="K1478" s="40" t="n">
        <v>5280</v>
      </c>
      <c r="L1478" s="40" t="inlineStr">
        <is>
          <t>MW</t>
        </is>
      </c>
      <c r="M1478" s="40" t="inlineStr">
        <is>
          <t>ANDE</t>
        </is>
      </c>
      <c r="N1478" s="40" t="inlineStr">
        <is>
          <t>OFFICIAL_PRIMARY</t>
        </is>
      </c>
      <c r="O1478" s="40" t="inlineStr">
        <is>
          <t>OFFICIAL_AGGREGATE</t>
        </is>
      </c>
      <c r="P1478" s="40" t="n">
        <v>1</v>
      </c>
      <c r="Q1478" s="40" t="n">
        <v>95</v>
      </c>
      <c r="R1478" s="40" t="inlineStr">
        <is>
          <t>https://www.ande.gov.py/finanzas/BAGP%202025%20ANDE.pdf</t>
        </is>
      </c>
      <c r="S1478" s="40" t="inlineStr">
        <is>
          <t>V5_CURRENT_BASELINES</t>
        </is>
      </c>
      <c r="T1478" s="40" t="n"/>
      <c r="U1478" s="40" t="inlineStr">
        <is>
          <t>2026-09-11T01:00:00-03:00</t>
        </is>
      </c>
      <c r="V1478" s="40" t="inlineStr"/>
    </row>
    <row r="1479">
      <c r="A1479" s="40" t="inlineStr">
        <is>
          <t>V5_0020</t>
        </is>
      </c>
      <c r="B1479" s="40" t="inlineStr">
        <is>
          <t>2025-01-01</t>
        </is>
      </c>
      <c r="C1479" s="40" t="inlineStr">
        <is>
          <t>2025-12-31</t>
        </is>
      </c>
      <c r="D1479" s="40" t="inlineStr">
        <is>
          <t>year</t>
        </is>
      </c>
      <c r="E1479" s="40" t="inlineStr">
        <is>
          <t>PY_SIN_LOAD_FACTOR</t>
        </is>
      </c>
      <c r="F1479" s="40" t="inlineStr">
        <is>
          <t>PY_SIN</t>
        </is>
      </c>
      <c r="G1479" s="40" t="n"/>
      <c r="H1479" s="40" t="n"/>
      <c r="I1479" s="40" t="n">
        <v>63.6</v>
      </c>
      <c r="J1479" s="40" t="inlineStr">
        <is>
          <t>percent</t>
        </is>
      </c>
      <c r="K1479" s="40" t="n">
        <v>63.6</v>
      </c>
      <c r="L1479" s="40" t="inlineStr">
        <is>
          <t>percent</t>
        </is>
      </c>
      <c r="M1479" s="40" t="inlineStr">
        <is>
          <t>ANDE</t>
        </is>
      </c>
      <c r="N1479" s="40" t="inlineStr">
        <is>
          <t>OFFICIAL_PRIMARY</t>
        </is>
      </c>
      <c r="O1479" s="40" t="inlineStr">
        <is>
          <t>OFFICIAL_AGGREGATE</t>
        </is>
      </c>
      <c r="P1479" s="40" t="n">
        <v>1</v>
      </c>
      <c r="Q1479" s="40" t="n">
        <v>95</v>
      </c>
      <c r="R1479" s="40" t="inlineStr">
        <is>
          <t>https://www.ande.gov.py/finanzas/BAGP%202025%20ANDE.pdf</t>
        </is>
      </c>
      <c r="S1479" s="40" t="inlineStr">
        <is>
          <t>V5_CURRENT_BASELINES</t>
        </is>
      </c>
      <c r="T1479" s="40" t="n"/>
      <c r="U1479" s="40" t="inlineStr">
        <is>
          <t>2026-09-11T01:00:00-03:00</t>
        </is>
      </c>
      <c r="V1479" s="40" t="inlineStr"/>
    </row>
    <row r="1480">
      <c r="A1480" s="40" t="inlineStr">
        <is>
          <t>V5_0021</t>
        </is>
      </c>
      <c r="B1480" s="40" t="inlineStr">
        <is>
          <t>2025-01-01</t>
        </is>
      </c>
      <c r="C1480" s="40" t="inlineStr">
        <is>
          <t>2025-12-31</t>
        </is>
      </c>
      <c r="D1480" s="40" t="inlineStr">
        <is>
          <t>year</t>
        </is>
      </c>
      <c r="E1480" s="40" t="inlineStr">
        <is>
          <t>ANDE_TOTAL_LOSS_RATE</t>
        </is>
      </c>
      <c r="F1480" s="40" t="inlineStr">
        <is>
          <t>PY_GRID</t>
        </is>
      </c>
      <c r="G1480" s="40" t="n"/>
      <c r="H1480" s="40" t="n"/>
      <c r="I1480" s="40" t="n">
        <v>24.4</v>
      </c>
      <c r="J1480" s="40" t="inlineStr">
        <is>
          <t>percent</t>
        </is>
      </c>
      <c r="K1480" s="40" t="n">
        <v>24.4</v>
      </c>
      <c r="L1480" s="40" t="inlineStr">
        <is>
          <t>percent</t>
        </is>
      </c>
      <c r="M1480" s="40" t="inlineStr">
        <is>
          <t>ANDE</t>
        </is>
      </c>
      <c r="N1480" s="40" t="inlineStr">
        <is>
          <t>OFFICIAL_PRIMARY</t>
        </is>
      </c>
      <c r="O1480" s="40" t="inlineStr">
        <is>
          <t>OFFICIAL_AGGREGATE</t>
        </is>
      </c>
      <c r="P1480" s="40" t="n">
        <v>1</v>
      </c>
      <c r="Q1480" s="40" t="n">
        <v>95</v>
      </c>
      <c r="R1480" s="40" t="inlineStr">
        <is>
          <t>https://www.ande.gov.py/finanzas/BAGP%202025%20ANDE.pdf</t>
        </is>
      </c>
      <c r="S1480" s="40" t="inlineStr">
        <is>
          <t>V5_CURRENT_BASELINES</t>
        </is>
      </c>
      <c r="T1480" s="40" t="n"/>
      <c r="U1480" s="40" t="inlineStr">
        <is>
          <t>2026-09-11T01:00:00-03:00</t>
        </is>
      </c>
      <c r="V1480" s="40" t="inlineStr">
        <is>
          <t>BAGP annual canonical figure. ANDE news rounds this to 24.5%.</t>
        </is>
      </c>
    </row>
    <row r="1481">
      <c r="A1481" s="40" t="inlineStr">
        <is>
          <t>V5_0022</t>
        </is>
      </c>
      <c r="B1481" s="40" t="inlineStr">
        <is>
          <t>2025-01-01</t>
        </is>
      </c>
      <c r="C1481" s="40" t="inlineStr">
        <is>
          <t>2025-12-31</t>
        </is>
      </c>
      <c r="D1481" s="40" t="inlineStr">
        <is>
          <t>year</t>
        </is>
      </c>
      <c r="E1481" s="40" t="inlineStr">
        <is>
          <t>ANDE_DISTRIBUTION_LOSS_RATE</t>
        </is>
      </c>
      <c r="F1481" s="40" t="inlineStr">
        <is>
          <t>PY_GRID</t>
        </is>
      </c>
      <c r="G1481" s="40" t="n"/>
      <c r="H1481" s="40" t="n"/>
      <c r="I1481" s="40" t="n">
        <v>20.03</v>
      </c>
      <c r="J1481" s="40" t="inlineStr">
        <is>
          <t>percent</t>
        </is>
      </c>
      <c r="K1481" s="40" t="n">
        <v>20.03</v>
      </c>
      <c r="L1481" s="40" t="inlineStr">
        <is>
          <t>percent</t>
        </is>
      </c>
      <c r="M1481" s="40" t="inlineStr">
        <is>
          <t>ANDE</t>
        </is>
      </c>
      <c r="N1481" s="40" t="inlineStr">
        <is>
          <t>OFFICIAL_PRIMARY</t>
        </is>
      </c>
      <c r="O1481" s="40" t="inlineStr">
        <is>
          <t>OFFICIAL_RELEASE</t>
        </is>
      </c>
      <c r="P1481" s="40" t="n">
        <v>1</v>
      </c>
      <c r="Q1481" s="40" t="n">
        <v>95</v>
      </c>
      <c r="R1481" s="40" t="inlineStr">
        <is>
          <t>https://www.ande.gov.py/interna.php?id=15116</t>
        </is>
      </c>
      <c r="S1481" s="40" t="inlineStr">
        <is>
          <t>V5_CURRENT_BASELINES</t>
        </is>
      </c>
      <c r="T1481" s="40" t="n"/>
      <c r="U1481" s="40" t="inlineStr">
        <is>
          <t>2026-09-11T01:00:00-03:00</t>
        </is>
      </c>
      <c r="V1481" s="40" t="inlineStr"/>
    </row>
    <row r="1482">
      <c r="A1482" s="40" t="inlineStr">
        <is>
          <t>V5_0023</t>
        </is>
      </c>
      <c r="B1482" s="40" t="inlineStr">
        <is>
          <t>2024-12-01</t>
        </is>
      </c>
      <c r="C1482" s="40" t="inlineStr">
        <is>
          <t>2025-03-31</t>
        </is>
      </c>
      <c r="D1482" s="40" t="inlineStr">
        <is>
          <t>season</t>
        </is>
      </c>
      <c r="E1482" s="40" t="inlineStr">
        <is>
          <t>DEP_METROPOLITAN_SUMMER</t>
        </is>
      </c>
      <c r="F1482" s="40" t="inlineStr">
        <is>
          <t>PY_GRID_METRO</t>
        </is>
      </c>
      <c r="G1482" s="40" t="n"/>
      <c r="H1482" s="40" t="n"/>
      <c r="I1482" s="40" t="n">
        <v>2.44</v>
      </c>
      <c r="J1482" s="40" t="inlineStr">
        <is>
          <t>hours</t>
        </is>
      </c>
      <c r="K1482" s="40" t="n">
        <v>2.44</v>
      </c>
      <c r="L1482" s="40" t="inlineStr">
        <is>
          <t>hours</t>
        </is>
      </c>
      <c r="M1482" s="40" t="inlineStr">
        <is>
          <t>ANDE</t>
        </is>
      </c>
      <c r="N1482" s="40" t="inlineStr">
        <is>
          <t>OFFICIAL_PRIMARY</t>
        </is>
      </c>
      <c r="O1482" s="40" t="inlineStr">
        <is>
          <t>OFFICIAL_RELEASE</t>
        </is>
      </c>
      <c r="P1482" s="40" t="n">
        <v>1</v>
      </c>
      <c r="Q1482" s="40" t="n">
        <v>95</v>
      </c>
      <c r="R1482" s="40" t="inlineStr">
        <is>
          <t>https://www.ande.gov.py/interna.php?id=13680</t>
        </is>
      </c>
      <c r="S1482" s="40" t="inlineStr">
        <is>
          <t>V5_CURRENT_BASELINES</t>
        </is>
      </c>
      <c r="T1482" s="40" t="n"/>
      <c r="U1482" s="40" t="inlineStr">
        <is>
          <t>2026-09-11T01:00:00-03:00</t>
        </is>
      </c>
      <c r="V1482" s="40" t="inlineStr"/>
    </row>
    <row r="1483">
      <c r="A1483" s="40" t="inlineStr">
        <is>
          <t>V5_0024</t>
        </is>
      </c>
      <c r="B1483" s="40" t="inlineStr">
        <is>
          <t>2024-12-01</t>
        </is>
      </c>
      <c r="C1483" s="40" t="inlineStr">
        <is>
          <t>2025-03-31</t>
        </is>
      </c>
      <c r="D1483" s="40" t="inlineStr">
        <is>
          <t>season</t>
        </is>
      </c>
      <c r="E1483" s="40" t="inlineStr">
        <is>
          <t>FEP_METROPOLITAN_SUMMER</t>
        </is>
      </c>
      <c r="F1483" s="40" t="inlineStr">
        <is>
          <t>PY_GRID_METRO</t>
        </is>
      </c>
      <c r="G1483" s="40" t="n"/>
      <c r="H1483" s="40" t="n"/>
      <c r="I1483" s="40" t="n">
        <v>3.79</v>
      </c>
      <c r="J1483" s="40" t="inlineStr">
        <is>
          <t>interruptions_equivalent</t>
        </is>
      </c>
      <c r="K1483" s="40" t="n">
        <v>3.79</v>
      </c>
      <c r="L1483" s="40" t="inlineStr">
        <is>
          <t>interruptions_equivalent</t>
        </is>
      </c>
      <c r="M1483" s="40" t="inlineStr">
        <is>
          <t>ANDE</t>
        </is>
      </c>
      <c r="N1483" s="40" t="inlineStr">
        <is>
          <t>OFFICIAL_PRIMARY</t>
        </is>
      </c>
      <c r="O1483" s="40" t="inlineStr">
        <is>
          <t>OFFICIAL_RELEASE</t>
        </is>
      </c>
      <c r="P1483" s="40" t="n">
        <v>1</v>
      </c>
      <c r="Q1483" s="40" t="n">
        <v>95</v>
      </c>
      <c r="R1483" s="40" t="inlineStr">
        <is>
          <t>https://www.ande.gov.py/interna.php?id=13680</t>
        </is>
      </c>
      <c r="S1483" s="40" t="inlineStr">
        <is>
          <t>V5_CURRENT_BASELINES</t>
        </is>
      </c>
      <c r="T1483" s="40" t="n"/>
      <c r="U1483" s="40" t="inlineStr">
        <is>
          <t>2026-09-11T01:00:00-03:00</t>
        </is>
      </c>
      <c r="V1483" s="40" t="inlineStr"/>
    </row>
    <row r="1484">
      <c r="A1484" s="40" t="inlineStr">
        <is>
          <t>V5_0025</t>
        </is>
      </c>
      <c r="B1484" s="40" t="inlineStr">
        <is>
          <t>2025-01-01</t>
        </is>
      </c>
      <c r="C1484" s="40" t="inlineStr">
        <is>
          <t>2025-12-31</t>
        </is>
      </c>
      <c r="D1484" s="40" t="inlineStr">
        <is>
          <t>year</t>
        </is>
      </c>
      <c r="E1484" s="40" t="inlineStr">
        <is>
          <t>TARIFA_SOCIAL_SUBSIDY_TOTAL</t>
        </is>
      </c>
      <c r="F1484" s="40" t="inlineStr">
        <is>
          <t>PY_HOUSEHOLDS</t>
        </is>
      </c>
      <c r="G1484" s="40" t="n"/>
      <c r="H1484" s="40" t="n"/>
      <c r="I1484" s="40" t="n">
        <v>50185</v>
      </c>
      <c r="J1484" s="40" t="inlineStr">
        <is>
          <t>million_PYG</t>
        </is>
      </c>
      <c r="K1484" s="40" t="n">
        <v>50185</v>
      </c>
      <c r="L1484" s="40" t="inlineStr">
        <is>
          <t>million_PYG</t>
        </is>
      </c>
      <c r="M1484" s="40" t="inlineStr">
        <is>
          <t>ANDE</t>
        </is>
      </c>
      <c r="N1484" s="40" t="inlineStr">
        <is>
          <t>OFFICIAL_PRIMARY</t>
        </is>
      </c>
      <c r="O1484" s="40" t="inlineStr">
        <is>
          <t>OFFICIAL_AGGREGATE</t>
        </is>
      </c>
      <c r="P1484" s="40" t="n">
        <v>1</v>
      </c>
      <c r="Q1484" s="40" t="n">
        <v>95</v>
      </c>
      <c r="R1484" s="40" t="inlineStr">
        <is>
          <t>https://www.ande.gov.py/finanzas/BAGP%202025%20ANDE.pdf</t>
        </is>
      </c>
      <c r="S1484" s="40" t="inlineStr">
        <is>
          <t>V5_CURRENT_BASELINES</t>
        </is>
      </c>
      <c r="T1484" s="40" t="n"/>
      <c r="U1484" s="40" t="inlineStr">
        <is>
          <t>2026-09-11T01:00:00-03:00</t>
        </is>
      </c>
      <c r="V1484" s="40" t="inlineStr"/>
    </row>
    <row r="1485">
      <c r="A1485" s="40" t="inlineStr">
        <is>
          <t>V5_0026</t>
        </is>
      </c>
      <c r="B1485" s="40" t="inlineStr">
        <is>
          <t>2025-01-01</t>
        </is>
      </c>
      <c r="C1485" s="40" t="inlineStr">
        <is>
          <t>2025-12-31</t>
        </is>
      </c>
      <c r="D1485" s="40" t="inlineStr">
        <is>
          <t>year_avg</t>
        </is>
      </c>
      <c r="E1485" s="40" t="inlineStr">
        <is>
          <t>TARIFA_SOCIAL_SUBSIDY_MONTHLY_AVG</t>
        </is>
      </c>
      <c r="F1485" s="40" t="inlineStr">
        <is>
          <t>PY_HOUSEHOLDS</t>
        </is>
      </c>
      <c r="G1485" s="40" t="n"/>
      <c r="H1485" s="40" t="n"/>
      <c r="I1485" s="40" t="n">
        <v>4182</v>
      </c>
      <c r="J1485" s="40" t="inlineStr">
        <is>
          <t>million_PYG/month</t>
        </is>
      </c>
      <c r="K1485" s="40" t="n">
        <v>4182</v>
      </c>
      <c r="L1485" s="40" t="inlineStr">
        <is>
          <t>million_PYG/month</t>
        </is>
      </c>
      <c r="M1485" s="40" t="inlineStr">
        <is>
          <t>ANDE</t>
        </is>
      </c>
      <c r="N1485" s="40" t="inlineStr">
        <is>
          <t>OFFICIAL_PRIMARY</t>
        </is>
      </c>
      <c r="O1485" s="40" t="inlineStr">
        <is>
          <t>OFFICIAL_AGGREGATE</t>
        </is>
      </c>
      <c r="P1485" s="40" t="n">
        <v>1</v>
      </c>
      <c r="Q1485" s="40" t="n">
        <v>95</v>
      </c>
      <c r="R1485" s="40" t="inlineStr">
        <is>
          <t>https://www.ande.gov.py/finanzas/BAGP%202025%20ANDE.pdf</t>
        </is>
      </c>
      <c r="S1485" s="40" t="inlineStr">
        <is>
          <t>V5_CURRENT_BASELINES</t>
        </is>
      </c>
      <c r="T1485" s="40" t="n"/>
      <c r="U1485" s="40" t="inlineStr">
        <is>
          <t>2026-09-11T01:00:00-03:00</t>
        </is>
      </c>
      <c r="V1485" s="40" t="inlineStr">
        <is>
          <t>Published average in BAGP.</t>
        </is>
      </c>
    </row>
    <row r="1486">
      <c r="A1486" s="40" t="inlineStr">
        <is>
          <t>V5_0027</t>
        </is>
      </c>
      <c r="B1486" s="40" t="inlineStr">
        <is>
          <t>2024-01-01</t>
        </is>
      </c>
      <c r="C1486" s="40" t="inlineStr">
        <is>
          <t>2025-12-31</t>
        </is>
      </c>
      <c r="D1486" s="40" t="inlineStr">
        <is>
          <t>2y</t>
        </is>
      </c>
      <c r="E1486" s="40" t="inlineStr">
        <is>
          <t>ILLEGAL_CRYPTO_POWER_INTERVENED</t>
        </is>
      </c>
      <c r="F1486" s="40" t="inlineStr">
        <is>
          <t>PY_GRID</t>
        </is>
      </c>
      <c r="G1486" s="40" t="n"/>
      <c r="H1486" s="40" t="n"/>
      <c r="I1486" s="40" t="n">
        <v>91.8</v>
      </c>
      <c r="J1486" s="40" t="inlineStr">
        <is>
          <t>MW</t>
        </is>
      </c>
      <c r="K1486" s="40" t="n">
        <v>91.8</v>
      </c>
      <c r="L1486" s="40" t="inlineStr">
        <is>
          <t>MW</t>
        </is>
      </c>
      <c r="M1486" s="40" t="inlineStr">
        <is>
          <t>ANDE</t>
        </is>
      </c>
      <c r="N1486" s="40" t="inlineStr">
        <is>
          <t>OFFICIAL_PRIMARY</t>
        </is>
      </c>
      <c r="O1486" s="40" t="inlineStr">
        <is>
          <t>OFFICIAL_RELEASE</t>
        </is>
      </c>
      <c r="P1486" s="40" t="n">
        <v>1</v>
      </c>
      <c r="Q1486" s="40" t="n">
        <v>95</v>
      </c>
      <c r="R1486" s="40" t="inlineStr">
        <is>
          <t>https://www.ande.gov.py/interna.php?id=15116</t>
        </is>
      </c>
      <c r="S1486" s="40" t="inlineStr">
        <is>
          <t>V5_CURRENT_BASELINES</t>
        </is>
      </c>
      <c r="T1486" s="40" t="n"/>
      <c r="U1486" s="40" t="inlineStr">
        <is>
          <t>2026-09-11T01:00:00-03:00</t>
        </is>
      </c>
      <c r="V1486" s="40" t="inlineStr">
        <is>
          <t>37 illegal crypto farms intervened in 2024-2025.</t>
        </is>
      </c>
    </row>
    <row r="1487">
      <c r="A1487" s="40" t="inlineStr">
        <is>
          <t>V5_0028</t>
        </is>
      </c>
      <c r="B1487" s="40" t="inlineStr">
        <is>
          <t>2024-01-01</t>
        </is>
      </c>
      <c r="C1487" s="40" t="inlineStr">
        <is>
          <t>2025-12-31</t>
        </is>
      </c>
      <c r="D1487" s="40" t="inlineStr">
        <is>
          <t>2y_context</t>
        </is>
      </c>
      <c r="E1487" s="40" t="inlineStr">
        <is>
          <t>ILLEGAL_CRYPTO_AVOIDED_LOSS_MONTHLY</t>
        </is>
      </c>
      <c r="F1487" s="40" t="inlineStr">
        <is>
          <t>PY_GRID</t>
        </is>
      </c>
      <c r="G1487" s="40" t="n"/>
      <c r="H1487" s="40" t="n"/>
      <c r="I1487" s="40" t="n">
        <v>18600</v>
      </c>
      <c r="J1487" s="40" t="inlineStr">
        <is>
          <t>million_PYG/month</t>
        </is>
      </c>
      <c r="K1487" s="40" t="n">
        <v>18600</v>
      </c>
      <c r="L1487" s="40" t="inlineStr">
        <is>
          <t>million_PYG/month</t>
        </is>
      </c>
      <c r="M1487" s="40" t="inlineStr">
        <is>
          <t>ANDE</t>
        </is>
      </c>
      <c r="N1487" s="40" t="inlineStr">
        <is>
          <t>OFFICIAL_PRIMARY</t>
        </is>
      </c>
      <c r="O1487" s="40" t="inlineStr">
        <is>
          <t>OFFICIAL_RELEASE</t>
        </is>
      </c>
      <c r="P1487" s="40" t="n">
        <v>1</v>
      </c>
      <c r="Q1487" s="40" t="n">
        <v>95</v>
      </c>
      <c r="R1487" s="40" t="inlineStr">
        <is>
          <t>https://www.ande.gov.py/interna.php?id=15116</t>
        </is>
      </c>
      <c r="S1487" s="40" t="inlineStr">
        <is>
          <t>V5_CURRENT_BASELINES</t>
        </is>
      </c>
      <c r="T1487" s="40" t="n"/>
      <c r="U1487" s="40" t="inlineStr">
        <is>
          <t>2026-09-11T01:00:00-03:00</t>
        </is>
      </c>
      <c r="V1487" s="40" t="inlineStr">
        <is>
          <t>ANDE says monthly economic harm avoided exceeds this amount.</t>
        </is>
      </c>
    </row>
    <row r="1488">
      <c r="A1488" s="40" t="inlineStr">
        <is>
          <t>V5_0029</t>
        </is>
      </c>
      <c r="B1488" s="40" t="inlineStr">
        <is>
          <t>2026-06-01</t>
        </is>
      </c>
      <c r="C1488" s="40" t="inlineStr">
        <is>
          <t>2026-06-30</t>
        </is>
      </c>
      <c r="D1488" s="40" t="inlineStr">
        <is>
          <t>month_or_YTD</t>
        </is>
      </c>
      <c r="E1488" s="40" t="inlineStr">
        <is>
          <t>IMAEP_YOY</t>
        </is>
      </c>
      <c r="F1488" s="40" t="inlineStr">
        <is>
          <t>PY_ECONOMY</t>
        </is>
      </c>
      <c r="G1488" s="40" t="n"/>
      <c r="H1488" s="40" t="n"/>
      <c r="I1488" s="40" t="n">
        <v>5.6</v>
      </c>
      <c r="J1488" s="40" t="inlineStr">
        <is>
          <t>percent</t>
        </is>
      </c>
      <c r="K1488" s="40" t="n">
        <v>5.6</v>
      </c>
      <c r="L1488" s="40" t="inlineStr">
        <is>
          <t>percent</t>
        </is>
      </c>
      <c r="M1488" s="40" t="inlineStr">
        <is>
          <t>BCP</t>
        </is>
      </c>
      <c r="N1488" s="40" t="inlineStr">
        <is>
          <t>OFFICIAL_PRIMARY</t>
        </is>
      </c>
      <c r="O1488" s="40" t="inlineStr">
        <is>
          <t>OFFICIAL_PRELIMINARY</t>
        </is>
      </c>
      <c r="P1488" s="40" t="n">
        <v>1</v>
      </c>
      <c r="Q1488" s="40" t="n">
        <v>95</v>
      </c>
      <c r="R1488" s="40" t="inlineStr">
        <is>
          <t>https://www.bcp.gov.py/documents/20117/2588253/Informe%2BIMAEP-Sectores-Junio_2026.pdf/1b25c6bf-e43c-1c91-9a58-037d4cee0653</t>
        </is>
      </c>
      <c r="S1488" s="40" t="inlineStr">
        <is>
          <t>V5_CURRENT_BASELINES</t>
        </is>
      </c>
      <c r="T1488" s="40" t="n"/>
      <c r="U1488" s="40" t="inlineStr">
        <is>
          <t>2026-09-11T01:00:00-03:00</t>
        </is>
      </c>
      <c r="V1488" s="40" t="inlineStr">
        <is>
          <t>IMAEP total interannual growth</t>
        </is>
      </c>
    </row>
    <row r="1489">
      <c r="A1489" s="40" t="inlineStr">
        <is>
          <t>V5_0030</t>
        </is>
      </c>
      <c r="B1489" s="40" t="inlineStr">
        <is>
          <t>2026-01-01</t>
        </is>
      </c>
      <c r="C1489" s="40" t="inlineStr">
        <is>
          <t>2026-06-30</t>
        </is>
      </c>
      <c r="D1489" s="40" t="inlineStr">
        <is>
          <t>month_or_YTD</t>
        </is>
      </c>
      <c r="E1489" s="40" t="inlineStr">
        <is>
          <t>IMAEP_YTD</t>
        </is>
      </c>
      <c r="F1489" s="40" t="inlineStr">
        <is>
          <t>PY_ECONOMY</t>
        </is>
      </c>
      <c r="G1489" s="40" t="n"/>
      <c r="H1489" s="40" t="n"/>
      <c r="I1489" s="40" t="n">
        <v>5.6</v>
      </c>
      <c r="J1489" s="40" t="inlineStr">
        <is>
          <t>percent</t>
        </is>
      </c>
      <c r="K1489" s="40" t="n">
        <v>5.6</v>
      </c>
      <c r="L1489" s="40" t="inlineStr">
        <is>
          <t>percent</t>
        </is>
      </c>
      <c r="M1489" s="40" t="inlineStr">
        <is>
          <t>BCP</t>
        </is>
      </c>
      <c r="N1489" s="40" t="inlineStr">
        <is>
          <t>OFFICIAL_PRIMARY</t>
        </is>
      </c>
      <c r="O1489" s="40" t="inlineStr">
        <is>
          <t>OFFICIAL_PRELIMINARY</t>
        </is>
      </c>
      <c r="P1489" s="40" t="n">
        <v>1</v>
      </c>
      <c r="Q1489" s="40" t="n">
        <v>95</v>
      </c>
      <c r="R1489" s="40" t="inlineStr">
        <is>
          <t>https://www.bcp.gov.py/documents/20117/2588253/Informe%2BIMAEP-Sectores-Junio_2026.pdf/1b25c6bf-e43c-1c91-9a58-037d4cee0653</t>
        </is>
      </c>
      <c r="S1489" s="40" t="inlineStr">
        <is>
          <t>V5_CURRENT_BASELINES</t>
        </is>
      </c>
      <c r="T1489" s="40" t="n"/>
      <c r="U1489" s="40" t="inlineStr">
        <is>
          <t>2026-09-11T01:00:00-03:00</t>
        </is>
      </c>
      <c r="V1489" s="40" t="inlineStr">
        <is>
          <t>IMAEP accumulated Jan-Jun 2026</t>
        </is>
      </c>
    </row>
    <row r="1490">
      <c r="A1490" s="40" t="inlineStr">
        <is>
          <t>V5_0031</t>
        </is>
      </c>
      <c r="B1490" s="40" t="inlineStr">
        <is>
          <t>2026-06-01</t>
        </is>
      </c>
      <c r="C1490" s="40" t="inlineStr">
        <is>
          <t>2026-06-30</t>
        </is>
      </c>
      <c r="D1490" s="40" t="inlineStr">
        <is>
          <t>month_or_YTD</t>
        </is>
      </c>
      <c r="E1490" s="40" t="inlineStr">
        <is>
          <t>IMAEP_PRIMARY_YOY</t>
        </is>
      </c>
      <c r="F1490" s="40" t="inlineStr">
        <is>
          <t>PY_ECONOMY</t>
        </is>
      </c>
      <c r="G1490" s="40" t="n"/>
      <c r="H1490" s="40" t="n"/>
      <c r="I1490" s="40" t="n">
        <v>9.4</v>
      </c>
      <c r="J1490" s="40" t="inlineStr">
        <is>
          <t>percent</t>
        </is>
      </c>
      <c r="K1490" s="40" t="n">
        <v>9.4</v>
      </c>
      <c r="L1490" s="40" t="inlineStr">
        <is>
          <t>percent</t>
        </is>
      </c>
      <c r="M1490" s="40" t="inlineStr">
        <is>
          <t>BCP</t>
        </is>
      </c>
      <c r="N1490" s="40" t="inlineStr">
        <is>
          <t>OFFICIAL_PRIMARY</t>
        </is>
      </c>
      <c r="O1490" s="40" t="inlineStr">
        <is>
          <t>OFFICIAL_PRELIMINARY</t>
        </is>
      </c>
      <c r="P1490" s="40" t="n">
        <v>1</v>
      </c>
      <c r="Q1490" s="40" t="n">
        <v>95</v>
      </c>
      <c r="R1490" s="40" t="inlineStr">
        <is>
          <t>https://www.bcp.gov.py/documents/20117/2588253/Informe%2BIMAEP-Sectores-Junio_2026.pdf/1b25c6bf-e43c-1c91-9a58-037d4cee0653</t>
        </is>
      </c>
      <c r="S1490" s="40" t="inlineStr">
        <is>
          <t>V5_CURRENT_BASELINES</t>
        </is>
      </c>
      <c r="T1490" s="40" t="n"/>
      <c r="U1490" s="40" t="inlineStr">
        <is>
          <t>2026-09-11T01:00:00-03:00</t>
        </is>
      </c>
      <c r="V1490" s="40" t="inlineStr">
        <is>
          <t>Primary sector interannual</t>
        </is>
      </c>
    </row>
    <row r="1491">
      <c r="A1491" s="40" t="inlineStr">
        <is>
          <t>V5_0032</t>
        </is>
      </c>
      <c r="B1491" s="40" t="inlineStr">
        <is>
          <t>2026-01-01</t>
        </is>
      </c>
      <c r="C1491" s="40" t="inlineStr">
        <is>
          <t>2026-06-30</t>
        </is>
      </c>
      <c r="D1491" s="40" t="inlineStr">
        <is>
          <t>month_or_YTD</t>
        </is>
      </c>
      <c r="E1491" s="40" t="inlineStr">
        <is>
          <t>IMAEP_PRIMARY_YTD</t>
        </is>
      </c>
      <c r="F1491" s="40" t="inlineStr">
        <is>
          <t>PY_ECONOMY</t>
        </is>
      </c>
      <c r="G1491" s="40" t="n"/>
      <c r="H1491" s="40" t="n"/>
      <c r="I1491" s="40" t="n">
        <v>9.800000000000001</v>
      </c>
      <c r="J1491" s="40" t="inlineStr">
        <is>
          <t>percent</t>
        </is>
      </c>
      <c r="K1491" s="40" t="n">
        <v>9.800000000000001</v>
      </c>
      <c r="L1491" s="40" t="inlineStr">
        <is>
          <t>percent</t>
        </is>
      </c>
      <c r="M1491" s="40" t="inlineStr">
        <is>
          <t>BCP</t>
        </is>
      </c>
      <c r="N1491" s="40" t="inlineStr">
        <is>
          <t>OFFICIAL_PRIMARY</t>
        </is>
      </c>
      <c r="O1491" s="40" t="inlineStr">
        <is>
          <t>OFFICIAL_PRELIMINARY</t>
        </is>
      </c>
      <c r="P1491" s="40" t="n">
        <v>1</v>
      </c>
      <c r="Q1491" s="40" t="n">
        <v>95</v>
      </c>
      <c r="R1491" s="40" t="inlineStr">
        <is>
          <t>https://www.bcp.gov.py/documents/20117/2588253/Informe%2BIMAEP-Sectores-Junio_2026.pdf/1b25c6bf-e43c-1c91-9a58-037d4cee0653</t>
        </is>
      </c>
      <c r="S1491" s="40" t="inlineStr">
        <is>
          <t>V5_CURRENT_BASELINES</t>
        </is>
      </c>
      <c r="T1491" s="40" t="n"/>
      <c r="U1491" s="40" t="inlineStr">
        <is>
          <t>2026-09-11T01:00:00-03:00</t>
        </is>
      </c>
      <c r="V1491" s="40" t="inlineStr">
        <is>
          <t>Primary sector accumulated</t>
        </is>
      </c>
    </row>
    <row r="1492">
      <c r="A1492" s="40" t="inlineStr">
        <is>
          <t>V5_0033</t>
        </is>
      </c>
      <c r="B1492" s="40" t="inlineStr">
        <is>
          <t>2026-06-01</t>
        </is>
      </c>
      <c r="C1492" s="40" t="inlineStr">
        <is>
          <t>2026-06-30</t>
        </is>
      </c>
      <c r="D1492" s="40" t="inlineStr">
        <is>
          <t>month_or_YTD</t>
        </is>
      </c>
      <c r="E1492" s="40" t="inlineStr">
        <is>
          <t>IMAEP_SECONDARY_YOY</t>
        </is>
      </c>
      <c r="F1492" s="40" t="inlineStr">
        <is>
          <t>PY_ECONOMY</t>
        </is>
      </c>
      <c r="G1492" s="40" t="n"/>
      <c r="H1492" s="40" t="n"/>
      <c r="I1492" s="40" t="n">
        <v>5.6</v>
      </c>
      <c r="J1492" s="40" t="inlineStr">
        <is>
          <t>percent</t>
        </is>
      </c>
      <c r="K1492" s="40" t="n">
        <v>5.6</v>
      </c>
      <c r="L1492" s="40" t="inlineStr">
        <is>
          <t>percent</t>
        </is>
      </c>
      <c r="M1492" s="40" t="inlineStr">
        <is>
          <t>BCP</t>
        </is>
      </c>
      <c r="N1492" s="40" t="inlineStr">
        <is>
          <t>OFFICIAL_PRIMARY</t>
        </is>
      </c>
      <c r="O1492" s="40" t="inlineStr">
        <is>
          <t>OFFICIAL_PRELIMINARY</t>
        </is>
      </c>
      <c r="P1492" s="40" t="n">
        <v>1</v>
      </c>
      <c r="Q1492" s="40" t="n">
        <v>95</v>
      </c>
      <c r="R1492" s="40" t="inlineStr">
        <is>
          <t>https://www.bcp.gov.py/documents/20117/2588253/Informe%2BIMAEP-Sectores-Junio_2026.pdf/1b25c6bf-e43c-1c91-9a58-037d4cee0653</t>
        </is>
      </c>
      <c r="S1492" s="40" t="inlineStr">
        <is>
          <t>V5_CURRENT_BASELINES</t>
        </is>
      </c>
      <c r="T1492" s="40" t="n"/>
      <c r="U1492" s="40" t="inlineStr">
        <is>
          <t>2026-09-11T01:00:00-03:00</t>
        </is>
      </c>
      <c r="V1492" s="40" t="inlineStr">
        <is>
          <t>Secondary sector interannual</t>
        </is>
      </c>
    </row>
    <row r="1493">
      <c r="A1493" s="40" t="inlineStr">
        <is>
          <t>V5_0034</t>
        </is>
      </c>
      <c r="B1493" s="40" t="inlineStr">
        <is>
          <t>2026-01-01</t>
        </is>
      </c>
      <c r="C1493" s="40" t="inlineStr">
        <is>
          <t>2026-06-30</t>
        </is>
      </c>
      <c r="D1493" s="40" t="inlineStr">
        <is>
          <t>month_or_YTD</t>
        </is>
      </c>
      <c r="E1493" s="40" t="inlineStr">
        <is>
          <t>IMAEP_SECONDARY_YTD</t>
        </is>
      </c>
      <c r="F1493" s="40" t="inlineStr">
        <is>
          <t>PY_ECONOMY</t>
        </is>
      </c>
      <c r="G1493" s="40" t="n"/>
      <c r="H1493" s="40" t="n"/>
      <c r="I1493" s="40" t="n">
        <v>4.7</v>
      </c>
      <c r="J1493" s="40" t="inlineStr">
        <is>
          <t>percent</t>
        </is>
      </c>
      <c r="K1493" s="40" t="n">
        <v>4.7</v>
      </c>
      <c r="L1493" s="40" t="inlineStr">
        <is>
          <t>percent</t>
        </is>
      </c>
      <c r="M1493" s="40" t="inlineStr">
        <is>
          <t>BCP</t>
        </is>
      </c>
      <c r="N1493" s="40" t="inlineStr">
        <is>
          <t>OFFICIAL_PRIMARY</t>
        </is>
      </c>
      <c r="O1493" s="40" t="inlineStr">
        <is>
          <t>OFFICIAL_PRELIMINARY</t>
        </is>
      </c>
      <c r="P1493" s="40" t="n">
        <v>1</v>
      </c>
      <c r="Q1493" s="40" t="n">
        <v>95</v>
      </c>
      <c r="R1493" s="40" t="inlineStr">
        <is>
          <t>https://www.bcp.gov.py/documents/20117/2588253/Informe%2BIMAEP-Sectores-Junio_2026.pdf/1b25c6bf-e43c-1c91-9a58-037d4cee0653</t>
        </is>
      </c>
      <c r="S1493" s="40" t="inlineStr">
        <is>
          <t>V5_CURRENT_BASELINES</t>
        </is>
      </c>
      <c r="T1493" s="40" t="n"/>
      <c r="U1493" s="40" t="inlineStr">
        <is>
          <t>2026-09-11T01:00:00-03:00</t>
        </is>
      </c>
      <c r="V1493" s="40" t="inlineStr">
        <is>
          <t>Secondary sector accumulated</t>
        </is>
      </c>
    </row>
    <row r="1494">
      <c r="A1494" s="40" t="inlineStr">
        <is>
          <t>V5_0035</t>
        </is>
      </c>
      <c r="B1494" s="40" t="inlineStr">
        <is>
          <t>2026-06-01</t>
        </is>
      </c>
      <c r="C1494" s="40" t="inlineStr">
        <is>
          <t>2026-06-30</t>
        </is>
      </c>
      <c r="D1494" s="40" t="inlineStr">
        <is>
          <t>month_or_YTD</t>
        </is>
      </c>
      <c r="E1494" s="40" t="inlineStr">
        <is>
          <t>IMAEP_MANUFACTURING_YOY</t>
        </is>
      </c>
      <c r="F1494" s="40" t="inlineStr">
        <is>
          <t>PY_ECONOMY</t>
        </is>
      </c>
      <c r="G1494" s="40" t="n"/>
      <c r="H1494" s="40" t="n"/>
      <c r="I1494" s="40" t="n">
        <v>2.8</v>
      </c>
      <c r="J1494" s="40" t="inlineStr">
        <is>
          <t>percent</t>
        </is>
      </c>
      <c r="K1494" s="40" t="n">
        <v>2.8</v>
      </c>
      <c r="L1494" s="40" t="inlineStr">
        <is>
          <t>percent</t>
        </is>
      </c>
      <c r="M1494" s="40" t="inlineStr">
        <is>
          <t>BCP</t>
        </is>
      </c>
      <c r="N1494" s="40" t="inlineStr">
        <is>
          <t>OFFICIAL_PRIMARY</t>
        </is>
      </c>
      <c r="O1494" s="40" t="inlineStr">
        <is>
          <t>OFFICIAL_PRELIMINARY</t>
        </is>
      </c>
      <c r="P1494" s="40" t="n">
        <v>1</v>
      </c>
      <c r="Q1494" s="40" t="n">
        <v>95</v>
      </c>
      <c r="R1494" s="40" t="inlineStr">
        <is>
          <t>https://www.bcp.gov.py/documents/20117/2588253/Informe%2BIMAEP-Sectores-Junio_2026.pdf/1b25c6bf-e43c-1c91-9a58-037d4cee0653</t>
        </is>
      </c>
      <c r="S1494" s="40" t="inlineStr">
        <is>
          <t>V5_CURRENT_BASELINES</t>
        </is>
      </c>
      <c r="T1494" s="40" t="n"/>
      <c r="U1494" s="40" t="inlineStr">
        <is>
          <t>2026-09-11T01:00:00-03:00</t>
        </is>
      </c>
      <c r="V1494" s="40" t="inlineStr">
        <is>
          <t>Manufacturing interannual</t>
        </is>
      </c>
    </row>
    <row r="1495">
      <c r="A1495" s="40" t="inlineStr">
        <is>
          <t>V5_0036</t>
        </is>
      </c>
      <c r="B1495" s="40" t="inlineStr">
        <is>
          <t>2026-01-01</t>
        </is>
      </c>
      <c r="C1495" s="40" t="inlineStr">
        <is>
          <t>2026-06-30</t>
        </is>
      </c>
      <c r="D1495" s="40" t="inlineStr">
        <is>
          <t>month_or_YTD</t>
        </is>
      </c>
      <c r="E1495" s="40" t="inlineStr">
        <is>
          <t>IMAEP_MANUFACTURING_YTD</t>
        </is>
      </c>
      <c r="F1495" s="40" t="inlineStr">
        <is>
          <t>PY_ECONOMY</t>
        </is>
      </c>
      <c r="G1495" s="40" t="n"/>
      <c r="H1495" s="40" t="n"/>
      <c r="I1495" s="40" t="n">
        <v>3.1</v>
      </c>
      <c r="J1495" s="40" t="inlineStr">
        <is>
          <t>percent</t>
        </is>
      </c>
      <c r="K1495" s="40" t="n">
        <v>3.1</v>
      </c>
      <c r="L1495" s="40" t="inlineStr">
        <is>
          <t>percent</t>
        </is>
      </c>
      <c r="M1495" s="40" t="inlineStr">
        <is>
          <t>BCP</t>
        </is>
      </c>
      <c r="N1495" s="40" t="inlineStr">
        <is>
          <t>OFFICIAL_PRIMARY</t>
        </is>
      </c>
      <c r="O1495" s="40" t="inlineStr">
        <is>
          <t>OFFICIAL_PRELIMINARY</t>
        </is>
      </c>
      <c r="P1495" s="40" t="n">
        <v>1</v>
      </c>
      <c r="Q1495" s="40" t="n">
        <v>95</v>
      </c>
      <c r="R1495" s="40" t="inlineStr">
        <is>
          <t>https://www.bcp.gov.py/documents/20117/2588253/Informe%2BIMAEP-Sectores-Junio_2026.pdf/1b25c6bf-e43c-1c91-9a58-037d4cee0653</t>
        </is>
      </c>
      <c r="S1495" s="40" t="inlineStr">
        <is>
          <t>V5_CURRENT_BASELINES</t>
        </is>
      </c>
      <c r="T1495" s="40" t="n"/>
      <c r="U1495" s="40" t="inlineStr">
        <is>
          <t>2026-09-11T01:00:00-03:00</t>
        </is>
      </c>
      <c r="V1495" s="40" t="inlineStr">
        <is>
          <t>Manufacturing accumulated</t>
        </is>
      </c>
    </row>
    <row r="1496">
      <c r="A1496" s="40" t="inlineStr">
        <is>
          <t>V5_0037</t>
        </is>
      </c>
      <c r="B1496" s="40" t="inlineStr">
        <is>
          <t>2026-06-01</t>
        </is>
      </c>
      <c r="C1496" s="40" t="inlineStr">
        <is>
          <t>2026-06-30</t>
        </is>
      </c>
      <c r="D1496" s="40" t="inlineStr">
        <is>
          <t>month_or_YTD</t>
        </is>
      </c>
      <c r="E1496" s="40" t="inlineStr">
        <is>
          <t>IMAEP_SERVICES_YOY</t>
        </is>
      </c>
      <c r="F1496" s="40" t="inlineStr">
        <is>
          <t>PY_ECONOMY</t>
        </is>
      </c>
      <c r="G1496" s="40" t="n"/>
      <c r="H1496" s="40" t="n"/>
      <c r="I1496" s="40" t="n">
        <v>4.9</v>
      </c>
      <c r="J1496" s="40" t="inlineStr">
        <is>
          <t>percent</t>
        </is>
      </c>
      <c r="K1496" s="40" t="n">
        <v>4.9</v>
      </c>
      <c r="L1496" s="40" t="inlineStr">
        <is>
          <t>percent</t>
        </is>
      </c>
      <c r="M1496" s="40" t="inlineStr">
        <is>
          <t>BCP</t>
        </is>
      </c>
      <c r="N1496" s="40" t="inlineStr">
        <is>
          <t>OFFICIAL_PRIMARY</t>
        </is>
      </c>
      <c r="O1496" s="40" t="inlineStr">
        <is>
          <t>OFFICIAL_PRELIMINARY</t>
        </is>
      </c>
      <c r="P1496" s="40" t="n">
        <v>1</v>
      </c>
      <c r="Q1496" s="40" t="n">
        <v>95</v>
      </c>
      <c r="R1496" s="40" t="inlineStr">
        <is>
          <t>https://www.bcp.gov.py/documents/20117/2588253/Informe%2BIMAEP-Sectores-Junio_2026.pdf/1b25c6bf-e43c-1c91-9a58-037d4cee0653</t>
        </is>
      </c>
      <c r="S1496" s="40" t="inlineStr">
        <is>
          <t>V5_CURRENT_BASELINES</t>
        </is>
      </c>
      <c r="T1496" s="40" t="n"/>
      <c r="U1496" s="40" t="inlineStr">
        <is>
          <t>2026-09-11T01:00:00-03:00</t>
        </is>
      </c>
      <c r="V1496" s="40" t="inlineStr">
        <is>
          <t>Services interannual</t>
        </is>
      </c>
    </row>
    <row r="1497">
      <c r="A1497" s="40" t="inlineStr">
        <is>
          <t>V5_0038</t>
        </is>
      </c>
      <c r="B1497" s="40" t="inlineStr">
        <is>
          <t>2026-01-01</t>
        </is>
      </c>
      <c r="C1497" s="40" t="inlineStr">
        <is>
          <t>2026-06-30</t>
        </is>
      </c>
      <c r="D1497" s="40" t="inlineStr">
        <is>
          <t>month_or_YTD</t>
        </is>
      </c>
      <c r="E1497" s="40" t="inlineStr">
        <is>
          <t>IMAEP_SERVICES_YTD</t>
        </is>
      </c>
      <c r="F1497" s="40" t="inlineStr">
        <is>
          <t>PY_ECONOMY</t>
        </is>
      </c>
      <c r="G1497" s="40" t="n"/>
      <c r="H1497" s="40" t="n"/>
      <c r="I1497" s="40" t="n">
        <v>5.1</v>
      </c>
      <c r="J1497" s="40" t="inlineStr">
        <is>
          <t>percent</t>
        </is>
      </c>
      <c r="K1497" s="40" t="n">
        <v>5.1</v>
      </c>
      <c r="L1497" s="40" t="inlineStr">
        <is>
          <t>percent</t>
        </is>
      </c>
      <c r="M1497" s="40" t="inlineStr">
        <is>
          <t>BCP</t>
        </is>
      </c>
      <c r="N1497" s="40" t="inlineStr">
        <is>
          <t>OFFICIAL_PRIMARY</t>
        </is>
      </c>
      <c r="O1497" s="40" t="inlineStr">
        <is>
          <t>OFFICIAL_PRELIMINARY</t>
        </is>
      </c>
      <c r="P1497" s="40" t="n">
        <v>1</v>
      </c>
      <c r="Q1497" s="40" t="n">
        <v>95</v>
      </c>
      <c r="R1497" s="40" t="inlineStr">
        <is>
          <t>https://www.bcp.gov.py/documents/20117/2588253/Informe%2BIMAEP-Sectores-Junio_2026.pdf/1b25c6bf-e43c-1c91-9a58-037d4cee0653</t>
        </is>
      </c>
      <c r="S1497" s="40" t="inlineStr">
        <is>
          <t>V5_CURRENT_BASELINES</t>
        </is>
      </c>
      <c r="T1497" s="40" t="n"/>
      <c r="U1497" s="40" t="inlineStr">
        <is>
          <t>2026-09-11T01:00:00-03:00</t>
        </is>
      </c>
      <c r="V1497" s="40" t="inlineStr">
        <is>
          <t>Services accumulated</t>
        </is>
      </c>
    </row>
    <row r="1498">
      <c r="A1498" s="40" t="inlineStr">
        <is>
          <t>V5_0039</t>
        </is>
      </c>
      <c r="B1498" s="40" t="inlineStr">
        <is>
          <t>2026-06-01</t>
        </is>
      </c>
      <c r="C1498" s="40" t="inlineStr">
        <is>
          <t>2026-06-30</t>
        </is>
      </c>
      <c r="D1498" s="40" t="inlineStr">
        <is>
          <t>month_or_YTD</t>
        </is>
      </c>
      <c r="E1498" s="40" t="inlineStr">
        <is>
          <t>IMAEP_EX_AGRI_BINATIONAL_YOY</t>
        </is>
      </c>
      <c r="F1498" s="40" t="inlineStr">
        <is>
          <t>PY_ECONOMY</t>
        </is>
      </c>
      <c r="G1498" s="40" t="n"/>
      <c r="H1498" s="40" t="n"/>
      <c r="I1498" s="40" t="n">
        <v>5</v>
      </c>
      <c r="J1498" s="40" t="inlineStr">
        <is>
          <t>percent</t>
        </is>
      </c>
      <c r="K1498" s="40" t="n">
        <v>5</v>
      </c>
      <c r="L1498" s="40" t="inlineStr">
        <is>
          <t>percent</t>
        </is>
      </c>
      <c r="M1498" s="40" t="inlineStr">
        <is>
          <t>BCP</t>
        </is>
      </c>
      <c r="N1498" s="40" t="inlineStr">
        <is>
          <t>OFFICIAL_PRIMARY</t>
        </is>
      </c>
      <c r="O1498" s="40" t="inlineStr">
        <is>
          <t>OFFICIAL_PRELIMINARY</t>
        </is>
      </c>
      <c r="P1498" s="40" t="n">
        <v>1</v>
      </c>
      <c r="Q1498" s="40" t="n">
        <v>95</v>
      </c>
      <c r="R1498" s="40" t="inlineStr">
        <is>
          <t>https://www.bcp.gov.py/documents/20117/2588253/Informe%2BIMAEP-Sectores-Junio_2026.pdf/1b25c6bf-e43c-1c91-9a58-037d4cee0653</t>
        </is>
      </c>
      <c r="S1498" s="40" t="inlineStr">
        <is>
          <t>V5_CURRENT_BASELINES</t>
        </is>
      </c>
      <c r="T1498" s="40" t="n"/>
      <c r="U1498" s="40" t="inlineStr">
        <is>
          <t>2026-09-11T01:00:00-03:00</t>
        </is>
      </c>
      <c r="V1498" s="40" t="inlineStr">
        <is>
          <t>IMAEP excluding agriculture and binational entities interannual</t>
        </is>
      </c>
    </row>
    <row r="1499">
      <c r="A1499" s="40" t="inlineStr">
        <is>
          <t>V5_0040</t>
        </is>
      </c>
      <c r="B1499" s="40" t="inlineStr">
        <is>
          <t>2026-01-01</t>
        </is>
      </c>
      <c r="C1499" s="40" t="inlineStr">
        <is>
          <t>2026-06-30</t>
        </is>
      </c>
      <c r="D1499" s="40" t="inlineStr">
        <is>
          <t>month_or_YTD</t>
        </is>
      </c>
      <c r="E1499" s="40" t="inlineStr">
        <is>
          <t>IMAEP_EX_AGRI_BINATIONAL_YTD</t>
        </is>
      </c>
      <c r="F1499" s="40" t="inlineStr">
        <is>
          <t>PY_ECONOMY</t>
        </is>
      </c>
      <c r="G1499" s="40" t="n"/>
      <c r="H1499" s="40" t="n"/>
      <c r="I1499" s="40" t="n">
        <v>5</v>
      </c>
      <c r="J1499" s="40" t="inlineStr">
        <is>
          <t>percent</t>
        </is>
      </c>
      <c r="K1499" s="40" t="n">
        <v>5</v>
      </c>
      <c r="L1499" s="40" t="inlineStr">
        <is>
          <t>percent</t>
        </is>
      </c>
      <c r="M1499" s="40" t="inlineStr">
        <is>
          <t>BCP</t>
        </is>
      </c>
      <c r="N1499" s="40" t="inlineStr">
        <is>
          <t>OFFICIAL_PRIMARY</t>
        </is>
      </c>
      <c r="O1499" s="40" t="inlineStr">
        <is>
          <t>OFFICIAL_PRELIMINARY</t>
        </is>
      </c>
      <c r="P1499" s="40" t="n">
        <v>1</v>
      </c>
      <c r="Q1499" s="40" t="n">
        <v>95</v>
      </c>
      <c r="R1499" s="40" t="inlineStr">
        <is>
          <t>https://www.bcp.gov.py/documents/20117/2588253/Informe%2BIMAEP-Sectores-Junio_2026.pdf/1b25c6bf-e43c-1c91-9a58-037d4cee0653</t>
        </is>
      </c>
      <c r="S1499" s="40" t="inlineStr">
        <is>
          <t>V5_CURRENT_BASELINES</t>
        </is>
      </c>
      <c r="T1499" s="40" t="n"/>
      <c r="U1499" s="40" t="inlineStr">
        <is>
          <t>2026-09-11T01:00:00-03:00</t>
        </is>
      </c>
      <c r="V1499" s="40" t="inlineStr">
        <is>
          <t>IMAEP excluding agriculture and binational entities accumulated</t>
        </is>
      </c>
    </row>
    <row r="1500">
      <c r="A1500" s="40" t="inlineStr">
        <is>
          <t>V5_0041</t>
        </is>
      </c>
      <c r="B1500" s="40" t="inlineStr">
        <is>
          <t>2025-01-01</t>
        </is>
      </c>
      <c r="C1500" s="40" t="inlineStr">
        <is>
          <t>2025-12-31</t>
        </is>
      </c>
      <c r="D1500" s="40" t="inlineStr">
        <is>
          <t>year</t>
        </is>
      </c>
      <c r="E1500" s="40" t="inlineStr">
        <is>
          <t>HOUSEHOLD_AVAILABLE_INCOME_AVG</t>
        </is>
      </c>
      <c r="F1500" s="40" t="inlineStr">
        <is>
          <t>PY_HOUSEHOLDS</t>
        </is>
      </c>
      <c r="G1500" s="40" t="n"/>
      <c r="H1500" s="40" t="n"/>
      <c r="I1500" s="40" t="n">
        <v>6864000</v>
      </c>
      <c r="J1500" s="40" t="inlineStr">
        <is>
          <t>PYG/month</t>
        </is>
      </c>
      <c r="K1500" s="40" t="n">
        <v>6864000</v>
      </c>
      <c r="L1500" s="40" t="inlineStr">
        <is>
          <t>PYG/month</t>
        </is>
      </c>
      <c r="M1500" s="40" t="inlineStr">
        <is>
          <t>INE</t>
        </is>
      </c>
      <c r="N1500" s="40" t="inlineStr">
        <is>
          <t>OFFICIAL_PRIMARY</t>
        </is>
      </c>
      <c r="O1500" s="40" t="inlineStr">
        <is>
          <t>OFFICIAL_SURVEY</t>
        </is>
      </c>
      <c r="P1500" s="40" t="n">
        <v>1</v>
      </c>
      <c r="Q1500" s="40" t="n">
        <v>95</v>
      </c>
      <c r="R1500" s="40" t="inlineStr">
        <is>
          <t>https://www.ine.gov.py/Publicaciones/Biblioteca/documento/308/Pobreza%20Monetaria_%20EPHC_2025_INE.pdf</t>
        </is>
      </c>
      <c r="S1500" s="40" t="inlineStr">
        <is>
          <t>V5_CURRENT_BASELINES</t>
        </is>
      </c>
      <c r="T1500" s="40" t="n"/>
      <c r="U1500" s="40" t="inlineStr">
        <is>
          <t>2026-09-11T01:00:00-03:00</t>
        </is>
      </c>
      <c r="V1500" s="40" t="inlineStr">
        <is>
          <t>Average monthly disposable household income</t>
        </is>
      </c>
    </row>
    <row r="1501">
      <c r="A1501" s="40" t="inlineStr">
        <is>
          <t>V5_0042</t>
        </is>
      </c>
      <c r="B1501" s="40" t="inlineStr">
        <is>
          <t>2025-01-01</t>
        </is>
      </c>
      <c r="C1501" s="40" t="inlineStr">
        <is>
          <t>2025-12-31</t>
        </is>
      </c>
      <c r="D1501" s="40" t="inlineStr">
        <is>
          <t>year</t>
        </is>
      </c>
      <c r="E1501" s="40" t="inlineStr">
        <is>
          <t>HOUSEHOLD_LABOR_INCOME_AVG</t>
        </is>
      </c>
      <c r="F1501" s="40" t="inlineStr">
        <is>
          <t>PY_HOUSEHOLDS</t>
        </is>
      </c>
      <c r="G1501" s="40" t="n"/>
      <c r="H1501" s="40" t="n"/>
      <c r="I1501" s="40" t="n">
        <v>6394000</v>
      </c>
      <c r="J1501" s="40" t="inlineStr">
        <is>
          <t>PYG/month</t>
        </is>
      </c>
      <c r="K1501" s="40" t="n">
        <v>6394000</v>
      </c>
      <c r="L1501" s="40" t="inlineStr">
        <is>
          <t>PYG/month</t>
        </is>
      </c>
      <c r="M1501" s="40" t="inlineStr">
        <is>
          <t>INE</t>
        </is>
      </c>
      <c r="N1501" s="40" t="inlineStr">
        <is>
          <t>OFFICIAL_PRIMARY</t>
        </is>
      </c>
      <c r="O1501" s="40" t="inlineStr">
        <is>
          <t>OFFICIAL_SURVEY</t>
        </is>
      </c>
      <c r="P1501" s="40" t="n">
        <v>1</v>
      </c>
      <c r="Q1501" s="40" t="n">
        <v>95</v>
      </c>
      <c r="R1501" s="40" t="inlineStr">
        <is>
          <t>https://www.ine.gov.py/Publicaciones/Biblioteca/documento/308/Pobreza%20Monetaria_%20EPHC_2025_INE.pdf</t>
        </is>
      </c>
      <c r="S1501" s="40" t="inlineStr">
        <is>
          <t>V5_CURRENT_BASELINES</t>
        </is>
      </c>
      <c r="T1501" s="40" t="n"/>
      <c r="U1501" s="40" t="inlineStr">
        <is>
          <t>2026-09-11T01:00:00-03:00</t>
        </is>
      </c>
      <c r="V1501" s="40" t="inlineStr">
        <is>
          <t>Average monthly household labor income</t>
        </is>
      </c>
    </row>
    <row r="1502">
      <c r="A1502" s="40" t="inlineStr">
        <is>
          <t>V5_0043</t>
        </is>
      </c>
      <c r="B1502" s="40" t="inlineStr">
        <is>
          <t>2025-01-01</t>
        </is>
      </c>
      <c r="C1502" s="40" t="inlineStr">
        <is>
          <t>2025-12-31</t>
        </is>
      </c>
      <c r="D1502" s="40" t="inlineStr">
        <is>
          <t>year</t>
        </is>
      </c>
      <c r="E1502" s="40" t="inlineStr">
        <is>
          <t>HOUSEHOLD_AVAILABLE_INCOME_Q1</t>
        </is>
      </c>
      <c r="F1502" s="40" t="inlineStr">
        <is>
          <t>PY_HOUSEHOLDS</t>
        </is>
      </c>
      <c r="G1502" s="40" t="n"/>
      <c r="H1502" s="40" t="n"/>
      <c r="I1502" s="40" t="n">
        <v>2296000</v>
      </c>
      <c r="J1502" s="40" t="inlineStr">
        <is>
          <t>PYG/month</t>
        </is>
      </c>
      <c r="K1502" s="40" t="n">
        <v>2296000</v>
      </c>
      <c r="L1502" s="40" t="inlineStr">
        <is>
          <t>PYG/month</t>
        </is>
      </c>
      <c r="M1502" s="40" t="inlineStr">
        <is>
          <t>INE</t>
        </is>
      </c>
      <c r="N1502" s="40" t="inlineStr">
        <is>
          <t>OFFICIAL_PRIMARY</t>
        </is>
      </c>
      <c r="O1502" s="40" t="inlineStr">
        <is>
          <t>OFFICIAL_SURVEY</t>
        </is>
      </c>
      <c r="P1502" s="40" t="n">
        <v>1</v>
      </c>
      <c r="Q1502" s="40" t="n">
        <v>95</v>
      </c>
      <c r="R1502" s="40" t="inlineStr">
        <is>
          <t>https://www.ine.gov.py/Publicaciones/Biblioteca/documento/308/Pobreza%20Monetaria_%20EPHC_2025_INE.pdf</t>
        </is>
      </c>
      <c r="S1502" s="40" t="inlineStr">
        <is>
          <t>V5_CURRENT_BASELINES</t>
        </is>
      </c>
      <c r="T1502" s="40" t="n"/>
      <c r="U1502" s="40" t="inlineStr">
        <is>
          <t>2026-09-11T01:00:00-03:00</t>
        </is>
      </c>
      <c r="V1502" s="40" t="inlineStr">
        <is>
          <t>Lowest income quintile household disposable income</t>
        </is>
      </c>
    </row>
    <row r="1503">
      <c r="A1503" s="40" t="inlineStr">
        <is>
          <t>V5_0044</t>
        </is>
      </c>
      <c r="B1503" s="40" t="inlineStr">
        <is>
          <t>2025-01-01</t>
        </is>
      </c>
      <c r="C1503" s="40" t="inlineStr">
        <is>
          <t>2025-12-31</t>
        </is>
      </c>
      <c r="D1503" s="40" t="inlineStr">
        <is>
          <t>year</t>
        </is>
      </c>
      <c r="E1503" s="40" t="inlineStr">
        <is>
          <t>HOUSEHOLD_AVAILABLE_INCOME_Q2</t>
        </is>
      </c>
      <c r="F1503" s="40" t="inlineStr">
        <is>
          <t>PY_HOUSEHOLDS</t>
        </is>
      </c>
      <c r="G1503" s="40" t="n"/>
      <c r="H1503" s="40" t="n"/>
      <c r="I1503" s="40" t="n">
        <v>3680000</v>
      </c>
      <c r="J1503" s="40" t="inlineStr">
        <is>
          <t>PYG/month</t>
        </is>
      </c>
      <c r="K1503" s="40" t="n">
        <v>3680000</v>
      </c>
      <c r="L1503" s="40" t="inlineStr">
        <is>
          <t>PYG/month</t>
        </is>
      </c>
      <c r="M1503" s="40" t="inlineStr">
        <is>
          <t>INE</t>
        </is>
      </c>
      <c r="N1503" s="40" t="inlineStr">
        <is>
          <t>OFFICIAL_PRIMARY</t>
        </is>
      </c>
      <c r="O1503" s="40" t="inlineStr">
        <is>
          <t>OFFICIAL_SURVEY</t>
        </is>
      </c>
      <c r="P1503" s="40" t="n">
        <v>1</v>
      </c>
      <c r="Q1503" s="40" t="n">
        <v>95</v>
      </c>
      <c r="R1503" s="40" t="inlineStr">
        <is>
          <t>https://www.ine.gov.py/Publicaciones/Biblioteca/documento/308/Pobreza%20Monetaria_%20EPHC_2025_INE.pdf</t>
        </is>
      </c>
      <c r="S1503" s="40" t="inlineStr">
        <is>
          <t>V5_CURRENT_BASELINES</t>
        </is>
      </c>
      <c r="T1503" s="40" t="n"/>
      <c r="U1503" s="40" t="inlineStr">
        <is>
          <t>2026-09-11T01:00:00-03:00</t>
        </is>
      </c>
      <c r="V1503" s="40" t="inlineStr">
        <is>
          <t>Second quintile</t>
        </is>
      </c>
    </row>
    <row r="1504">
      <c r="A1504" s="40" t="inlineStr">
        <is>
          <t>V5_0045</t>
        </is>
      </c>
      <c r="B1504" s="40" t="inlineStr">
        <is>
          <t>2025-01-01</t>
        </is>
      </c>
      <c r="C1504" s="40" t="inlineStr">
        <is>
          <t>2025-12-31</t>
        </is>
      </c>
      <c r="D1504" s="40" t="inlineStr">
        <is>
          <t>year</t>
        </is>
      </c>
      <c r="E1504" s="40" t="inlineStr">
        <is>
          <t>HOUSEHOLD_AVAILABLE_INCOME_Q3</t>
        </is>
      </c>
      <c r="F1504" s="40" t="inlineStr">
        <is>
          <t>PY_HOUSEHOLDS</t>
        </is>
      </c>
      <c r="G1504" s="40" t="n"/>
      <c r="H1504" s="40" t="n"/>
      <c r="I1504" s="40" t="n">
        <v>5032000</v>
      </c>
      <c r="J1504" s="40" t="inlineStr">
        <is>
          <t>PYG/month</t>
        </is>
      </c>
      <c r="K1504" s="40" t="n">
        <v>5032000</v>
      </c>
      <c r="L1504" s="40" t="inlineStr">
        <is>
          <t>PYG/month</t>
        </is>
      </c>
      <c r="M1504" s="40" t="inlineStr">
        <is>
          <t>INE</t>
        </is>
      </c>
      <c r="N1504" s="40" t="inlineStr">
        <is>
          <t>OFFICIAL_PRIMARY</t>
        </is>
      </c>
      <c r="O1504" s="40" t="inlineStr">
        <is>
          <t>OFFICIAL_SURVEY</t>
        </is>
      </c>
      <c r="P1504" s="40" t="n">
        <v>1</v>
      </c>
      <c r="Q1504" s="40" t="n">
        <v>95</v>
      </c>
      <c r="R1504" s="40" t="inlineStr">
        <is>
          <t>https://www.ine.gov.py/Publicaciones/Biblioteca/documento/308/Pobreza%20Monetaria_%20EPHC_2025_INE.pdf</t>
        </is>
      </c>
      <c r="S1504" s="40" t="inlineStr">
        <is>
          <t>V5_CURRENT_BASELINES</t>
        </is>
      </c>
      <c r="T1504" s="40" t="n"/>
      <c r="U1504" s="40" t="inlineStr">
        <is>
          <t>2026-09-11T01:00:00-03:00</t>
        </is>
      </c>
      <c r="V1504" s="40" t="inlineStr">
        <is>
          <t>Third quintile</t>
        </is>
      </c>
    </row>
    <row r="1505">
      <c r="A1505" s="40" t="inlineStr">
        <is>
          <t>V5_0046</t>
        </is>
      </c>
      <c r="B1505" s="40" t="inlineStr">
        <is>
          <t>2025-01-01</t>
        </is>
      </c>
      <c r="C1505" s="40" t="inlineStr">
        <is>
          <t>2025-12-31</t>
        </is>
      </c>
      <c r="D1505" s="40" t="inlineStr">
        <is>
          <t>year</t>
        </is>
      </c>
      <c r="E1505" s="40" t="inlineStr">
        <is>
          <t>HOUSEHOLD_AVAILABLE_INCOME_Q4</t>
        </is>
      </c>
      <c r="F1505" s="40" t="inlineStr">
        <is>
          <t>PY_HOUSEHOLDS</t>
        </is>
      </c>
      <c r="G1505" s="40" t="n"/>
      <c r="H1505" s="40" t="n"/>
      <c r="I1505" s="40" t="n">
        <v>6724000</v>
      </c>
      <c r="J1505" s="40" t="inlineStr">
        <is>
          <t>PYG/month</t>
        </is>
      </c>
      <c r="K1505" s="40" t="n">
        <v>6724000</v>
      </c>
      <c r="L1505" s="40" t="inlineStr">
        <is>
          <t>PYG/month</t>
        </is>
      </c>
      <c r="M1505" s="40" t="inlineStr">
        <is>
          <t>INE</t>
        </is>
      </c>
      <c r="N1505" s="40" t="inlineStr">
        <is>
          <t>OFFICIAL_PRIMARY</t>
        </is>
      </c>
      <c r="O1505" s="40" t="inlineStr">
        <is>
          <t>OFFICIAL_SURVEY</t>
        </is>
      </c>
      <c r="P1505" s="40" t="n">
        <v>1</v>
      </c>
      <c r="Q1505" s="40" t="n">
        <v>95</v>
      </c>
      <c r="R1505" s="40" t="inlineStr">
        <is>
          <t>https://www.ine.gov.py/Publicaciones/Biblioteca/documento/308/Pobreza%20Monetaria_%20EPHC_2025_INE.pdf</t>
        </is>
      </c>
      <c r="S1505" s="40" t="inlineStr">
        <is>
          <t>V5_CURRENT_BASELINES</t>
        </is>
      </c>
      <c r="T1505" s="40" t="n"/>
      <c r="U1505" s="40" t="inlineStr">
        <is>
          <t>2026-09-11T01:00:00-03:00</t>
        </is>
      </c>
      <c r="V1505" s="40" t="inlineStr">
        <is>
          <t>Fourth quintile</t>
        </is>
      </c>
    </row>
    <row r="1506">
      <c r="A1506" s="40" t="inlineStr">
        <is>
          <t>V5_0047</t>
        </is>
      </c>
      <c r="B1506" s="40" t="inlineStr">
        <is>
          <t>2025-01-01</t>
        </is>
      </c>
      <c r="C1506" s="40" t="inlineStr">
        <is>
          <t>2025-12-31</t>
        </is>
      </c>
      <c r="D1506" s="40" t="inlineStr">
        <is>
          <t>year</t>
        </is>
      </c>
      <c r="E1506" s="40" t="inlineStr">
        <is>
          <t>HOUSEHOLD_AVAILABLE_INCOME_Q5</t>
        </is>
      </c>
      <c r="F1506" s="40" t="inlineStr">
        <is>
          <t>PY_HOUSEHOLDS</t>
        </is>
      </c>
      <c r="G1506" s="40" t="n"/>
      <c r="H1506" s="40" t="n"/>
      <c r="I1506" s="40" t="n">
        <v>13155000</v>
      </c>
      <c r="J1506" s="40" t="inlineStr">
        <is>
          <t>PYG/month</t>
        </is>
      </c>
      <c r="K1506" s="40" t="n">
        <v>13155000</v>
      </c>
      <c r="L1506" s="40" t="inlineStr">
        <is>
          <t>PYG/month</t>
        </is>
      </c>
      <c r="M1506" s="40" t="inlineStr">
        <is>
          <t>INE</t>
        </is>
      </c>
      <c r="N1506" s="40" t="inlineStr">
        <is>
          <t>OFFICIAL_PRIMARY</t>
        </is>
      </c>
      <c r="O1506" s="40" t="inlineStr">
        <is>
          <t>OFFICIAL_SURVEY</t>
        </is>
      </c>
      <c r="P1506" s="40" t="n">
        <v>1</v>
      </c>
      <c r="Q1506" s="40" t="n">
        <v>95</v>
      </c>
      <c r="R1506" s="40" t="inlineStr">
        <is>
          <t>https://www.ine.gov.py/Publicaciones/Biblioteca/documento/308/Pobreza%20Monetaria_%20EPHC_2025_INE.pdf</t>
        </is>
      </c>
      <c r="S1506" s="40" t="inlineStr">
        <is>
          <t>V5_CURRENT_BASELINES</t>
        </is>
      </c>
      <c r="T1506" s="40" t="n"/>
      <c r="U1506" s="40" t="inlineStr">
        <is>
          <t>2026-09-11T01:00:00-03:00</t>
        </is>
      </c>
      <c r="V1506" s="40" t="inlineStr">
        <is>
          <t>Highest quintile</t>
        </is>
      </c>
    </row>
    <row r="1507">
      <c r="A1507" s="40" t="inlineStr">
        <is>
          <t>V5_0048</t>
        </is>
      </c>
      <c r="B1507" s="40" t="inlineStr">
        <is>
          <t>2022-01-01</t>
        </is>
      </c>
      <c r="C1507" s="40" t="inlineStr">
        <is>
          <t>2022-12-31</t>
        </is>
      </c>
      <c r="D1507" s="40" t="inlineStr">
        <is>
          <t>year</t>
        </is>
      </c>
      <c r="E1507" s="40" t="inlineStr">
        <is>
          <t>POPULATION_CENSUS</t>
        </is>
      </c>
      <c r="F1507" s="40" t="inlineStr">
        <is>
          <t>PY_HOUSEHOLDS</t>
        </is>
      </c>
      <c r="G1507" s="40" t="n"/>
      <c r="H1507" s="40" t="n"/>
      <c r="I1507" s="40" t="n">
        <v>6109903</v>
      </c>
      <c r="J1507" s="40" t="inlineStr">
        <is>
          <t>persons</t>
        </is>
      </c>
      <c r="K1507" s="40" t="n">
        <v>6109903</v>
      </c>
      <c r="L1507" s="40" t="inlineStr">
        <is>
          <t>persons</t>
        </is>
      </c>
      <c r="M1507" s="40" t="inlineStr">
        <is>
          <t>INE</t>
        </is>
      </c>
      <c r="N1507" s="40" t="inlineStr">
        <is>
          <t>OFFICIAL_PRIMARY</t>
        </is>
      </c>
      <c r="O1507" s="40" t="inlineStr">
        <is>
          <t>OFFICIAL_CENSUS</t>
        </is>
      </c>
      <c r="P1507" s="40" t="n">
        <v>1</v>
      </c>
      <c r="Q1507" s="40" t="n">
        <v>95</v>
      </c>
      <c r="R1507" s="40" t="inlineStr">
        <is>
          <t>https://www.ine.gov.py/censo2022/documentos/Tr%C3%ADptico%20Resultados%20Finales_web.pdf</t>
        </is>
      </c>
      <c r="S1507" s="40" t="inlineStr">
        <is>
          <t>V5_CURRENT_BASELINES</t>
        </is>
      </c>
      <c r="T1507" s="40" t="n"/>
      <c r="U1507" s="40" t="inlineStr">
        <is>
          <t>2026-09-11T01:00:00-03:00</t>
        </is>
      </c>
      <c r="V1507" s="40" t="inlineStr">
        <is>
          <t>Census population</t>
        </is>
      </c>
    </row>
    <row r="1508">
      <c r="A1508" s="40" t="inlineStr">
        <is>
          <t>V5_0049</t>
        </is>
      </c>
      <c r="B1508" s="40" t="inlineStr">
        <is>
          <t>2022-01-01</t>
        </is>
      </c>
      <c r="C1508" s="40" t="inlineStr">
        <is>
          <t>2022-12-31</t>
        </is>
      </c>
      <c r="D1508" s="40" t="inlineStr">
        <is>
          <t>year</t>
        </is>
      </c>
      <c r="E1508" s="40" t="inlineStr">
        <is>
          <t>OCCUPIED_PRIVATE_DWELLINGS</t>
        </is>
      </c>
      <c r="F1508" s="40" t="inlineStr">
        <is>
          <t>PY_HOUSEHOLDS</t>
        </is>
      </c>
      <c r="G1508" s="40" t="n"/>
      <c r="H1508" s="40" t="n"/>
      <c r="I1508" s="40" t="n">
        <v>1749336</v>
      </c>
      <c r="J1508" s="40" t="inlineStr">
        <is>
          <t>dwellings</t>
        </is>
      </c>
      <c r="K1508" s="40" t="n">
        <v>1749336</v>
      </c>
      <c r="L1508" s="40" t="inlineStr">
        <is>
          <t>dwellings</t>
        </is>
      </c>
      <c r="M1508" s="40" t="inlineStr">
        <is>
          <t>INE</t>
        </is>
      </c>
      <c r="N1508" s="40" t="inlineStr">
        <is>
          <t>OFFICIAL_PRIMARY</t>
        </is>
      </c>
      <c r="O1508" s="40" t="inlineStr">
        <is>
          <t>OFFICIAL_CENSUS</t>
        </is>
      </c>
      <c r="P1508" s="40" t="n">
        <v>1</v>
      </c>
      <c r="Q1508" s="40" t="n">
        <v>95</v>
      </c>
      <c r="R1508" s="40" t="inlineStr">
        <is>
          <t>https://www.ine.gov.py/censo2022/documentos/Tr%C3%ADptico%20Resultados%20Finales_web.pdf</t>
        </is>
      </c>
      <c r="S1508" s="40" t="inlineStr">
        <is>
          <t>V5_CURRENT_BASELINES</t>
        </is>
      </c>
      <c r="T1508" s="40" t="n"/>
      <c r="U1508" s="40" t="inlineStr">
        <is>
          <t>2026-09-11T01:00:00-03:00</t>
        </is>
      </c>
      <c r="V1508" s="40" t="inlineStr">
        <is>
          <t>Occupied private dwellings</t>
        </is>
      </c>
    </row>
    <row r="1509">
      <c r="A1509" s="40" t="inlineStr">
        <is>
          <t>V5_0050</t>
        </is>
      </c>
      <c r="B1509" s="40" t="inlineStr">
        <is>
          <t>2022-01-01</t>
        </is>
      </c>
      <c r="C1509" s="40" t="inlineStr">
        <is>
          <t>2022-12-31</t>
        </is>
      </c>
      <c r="D1509" s="40" t="inlineStr">
        <is>
          <t>year</t>
        </is>
      </c>
      <c r="E1509" s="40" t="inlineStr">
        <is>
          <t>DWELLINGS_ELECTRICITY_ACCESS</t>
        </is>
      </c>
      <c r="F1509" s="40" t="inlineStr">
        <is>
          <t>PY_HOUSEHOLDS</t>
        </is>
      </c>
      <c r="G1509" s="40" t="n"/>
      <c r="H1509" s="40" t="n"/>
      <c r="I1509" s="40" t="n">
        <v>1725111</v>
      </c>
      <c r="J1509" s="40" t="inlineStr">
        <is>
          <t>dwellings</t>
        </is>
      </c>
      <c r="K1509" s="40" t="n">
        <v>1725111</v>
      </c>
      <c r="L1509" s="40" t="inlineStr">
        <is>
          <t>dwellings</t>
        </is>
      </c>
      <c r="M1509" s="40" t="inlineStr">
        <is>
          <t>INE</t>
        </is>
      </c>
      <c r="N1509" s="40" t="inlineStr">
        <is>
          <t>OFFICIAL_PRIMARY</t>
        </is>
      </c>
      <c r="O1509" s="40" t="inlineStr">
        <is>
          <t>OFFICIAL_CENSUS</t>
        </is>
      </c>
      <c r="P1509" s="40" t="n">
        <v>1</v>
      </c>
      <c r="Q1509" s="40" t="n">
        <v>95</v>
      </c>
      <c r="R1509" s="40" t="inlineStr">
        <is>
          <t>https://www.ine.gov.py/censo2022/documentos/Tr%C3%ADptico%20Resultados%20Finales_web.pdf</t>
        </is>
      </c>
      <c r="S1509" s="40" t="inlineStr">
        <is>
          <t>V5_CURRENT_BASELINES</t>
        </is>
      </c>
      <c r="T1509" s="40" t="n"/>
      <c r="U1509" s="40" t="inlineStr">
        <is>
          <t>2026-09-11T01:00:00-03:00</t>
        </is>
      </c>
      <c r="V1509" s="40" t="inlineStr">
        <is>
          <t>Dwellings with electric power access</t>
        </is>
      </c>
    </row>
    <row r="1510">
      <c r="A1510" s="40" t="inlineStr">
        <is>
          <t>V5_0051</t>
        </is>
      </c>
      <c r="B1510" s="40" t="inlineStr">
        <is>
          <t>2022-01-01</t>
        </is>
      </c>
      <c r="C1510" s="40" t="inlineStr">
        <is>
          <t>2022-12-31</t>
        </is>
      </c>
      <c r="D1510" s="40" t="inlineStr">
        <is>
          <t>year</t>
        </is>
      </c>
      <c r="E1510" s="40" t="inlineStr">
        <is>
          <t>DWELLINGS_ELECTRICITY_ACCESS_RATE</t>
        </is>
      </c>
      <c r="F1510" s="40" t="inlineStr">
        <is>
          <t>PY_HOUSEHOLDS</t>
        </is>
      </c>
      <c r="G1510" s="40" t="n"/>
      <c r="H1510" s="40" t="n"/>
      <c r="I1510" s="40" t="n">
        <v>98.59999999999999</v>
      </c>
      <c r="J1510" s="40" t="inlineStr">
        <is>
          <t>percent</t>
        </is>
      </c>
      <c r="K1510" s="40" t="n">
        <v>98.59999999999999</v>
      </c>
      <c r="L1510" s="40" t="inlineStr">
        <is>
          <t>percent</t>
        </is>
      </c>
      <c r="M1510" s="40" t="inlineStr">
        <is>
          <t>INE</t>
        </is>
      </c>
      <c r="N1510" s="40" t="inlineStr">
        <is>
          <t>OFFICIAL_PRIMARY</t>
        </is>
      </c>
      <c r="O1510" s="40" t="inlineStr">
        <is>
          <t>OFFICIAL_CENSUS</t>
        </is>
      </c>
      <c r="P1510" s="40" t="n">
        <v>1</v>
      </c>
      <c r="Q1510" s="40" t="n">
        <v>95</v>
      </c>
      <c r="R1510" s="40" t="inlineStr">
        <is>
          <t>https://www.ine.gov.py/censo2022/documentos/Tr%C3%ADptico%20Resultados%20Finales_web.pdf</t>
        </is>
      </c>
      <c r="S1510" s="40" t="inlineStr">
        <is>
          <t>V5_CURRENT_BASELINES</t>
        </is>
      </c>
      <c r="T1510" s="40" t="n"/>
      <c r="U1510" s="40" t="inlineStr">
        <is>
          <t>2026-09-11T01:00:00-03:00</t>
        </is>
      </c>
      <c r="V1510" s="40" t="inlineStr">
        <is>
          <t>Share of occupied private dwellings with electricity</t>
        </is>
      </c>
    </row>
    <row r="1511">
      <c r="A1511" s="40" t="inlineStr">
        <is>
          <t>V5_0052</t>
        </is>
      </c>
      <c r="B1511" s="40" t="inlineStr">
        <is>
          <t>2022-01-01</t>
        </is>
      </c>
      <c r="C1511" s="40" t="inlineStr">
        <is>
          <t>2022-12-31</t>
        </is>
      </c>
      <c r="D1511" s="40" t="inlineStr">
        <is>
          <t>year</t>
        </is>
      </c>
      <c r="E1511" s="40" t="inlineStr">
        <is>
          <t>DWELLINGS_AUTOMATIC_WASHER</t>
        </is>
      </c>
      <c r="F1511" s="40" t="inlineStr">
        <is>
          <t>PY_HOUSEHOLDS</t>
        </is>
      </c>
      <c r="G1511" s="40" t="n"/>
      <c r="H1511" s="40" t="n"/>
      <c r="I1511" s="40" t="n">
        <v>1106542</v>
      </c>
      <c r="J1511" s="40" t="inlineStr">
        <is>
          <t>dwellings</t>
        </is>
      </c>
      <c r="K1511" s="40" t="n">
        <v>1106542</v>
      </c>
      <c r="L1511" s="40" t="inlineStr">
        <is>
          <t>dwellings</t>
        </is>
      </c>
      <c r="M1511" s="40" t="inlineStr">
        <is>
          <t>INE</t>
        </is>
      </c>
      <c r="N1511" s="40" t="inlineStr">
        <is>
          <t>OFFICIAL_PRIMARY</t>
        </is>
      </c>
      <c r="O1511" s="40" t="inlineStr">
        <is>
          <t>OFFICIAL_CENSUS</t>
        </is>
      </c>
      <c r="P1511" s="40" t="n">
        <v>1</v>
      </c>
      <c r="Q1511" s="40" t="n">
        <v>95</v>
      </c>
      <c r="R1511" s="40" t="inlineStr">
        <is>
          <t>https://www.ine.gov.py/censo2022/documentos/Tr%C3%ADptico%20Resultados%20Finales_web.pdf</t>
        </is>
      </c>
      <c r="S1511" s="40" t="inlineStr">
        <is>
          <t>V5_CURRENT_BASELINES</t>
        </is>
      </c>
      <c r="T1511" s="40" t="n"/>
      <c r="U1511" s="40" t="inlineStr">
        <is>
          <t>2026-09-11T01:00:00-03:00</t>
        </is>
      </c>
      <c r="V1511" s="40" t="inlineStr">
        <is>
          <t>Automatic washing machine</t>
        </is>
      </c>
    </row>
    <row r="1512">
      <c r="A1512" s="40" t="inlineStr">
        <is>
          <t>V5_0053</t>
        </is>
      </c>
      <c r="B1512" s="40" t="inlineStr">
        <is>
          <t>2022-01-01</t>
        </is>
      </c>
      <c r="C1512" s="40" t="inlineStr">
        <is>
          <t>2022-12-31</t>
        </is>
      </c>
      <c r="D1512" s="40" t="inlineStr">
        <is>
          <t>year</t>
        </is>
      </c>
      <c r="E1512" s="40" t="inlineStr">
        <is>
          <t>DWELLINGS_AUTOMATIC_WASHER_RATE</t>
        </is>
      </c>
      <c r="F1512" s="40" t="inlineStr">
        <is>
          <t>PY_HOUSEHOLDS</t>
        </is>
      </c>
      <c r="G1512" s="40" t="n"/>
      <c r="H1512" s="40" t="n"/>
      <c r="I1512" s="40" t="n">
        <v>63.3</v>
      </c>
      <c r="J1512" s="40" t="inlineStr">
        <is>
          <t>percent</t>
        </is>
      </c>
      <c r="K1512" s="40" t="n">
        <v>63.3</v>
      </c>
      <c r="L1512" s="40" t="inlineStr">
        <is>
          <t>percent</t>
        </is>
      </c>
      <c r="M1512" s="40" t="inlineStr">
        <is>
          <t>INE</t>
        </is>
      </c>
      <c r="N1512" s="40" t="inlineStr">
        <is>
          <t>OFFICIAL_PRIMARY</t>
        </is>
      </c>
      <c r="O1512" s="40" t="inlineStr">
        <is>
          <t>OFFICIAL_CENSUS</t>
        </is>
      </c>
      <c r="P1512" s="40" t="n">
        <v>1</v>
      </c>
      <c r="Q1512" s="40" t="n">
        <v>95</v>
      </c>
      <c r="R1512" s="40" t="inlineStr">
        <is>
          <t>https://www.ine.gov.py/censo2022/documentos/Tr%C3%ADptico%20Resultados%20Finales_web.pdf</t>
        </is>
      </c>
      <c r="S1512" s="40" t="inlineStr">
        <is>
          <t>V5_CURRENT_BASELINES</t>
        </is>
      </c>
      <c r="T1512" s="40" t="n"/>
      <c r="U1512" s="40" t="inlineStr">
        <is>
          <t>2026-09-11T01:00:00-03:00</t>
        </is>
      </c>
      <c r="V1512" s="40" t="inlineStr">
        <is>
          <t>Automatic washing machine penetration</t>
        </is>
      </c>
    </row>
    <row r="1513">
      <c r="A1513" s="40" t="inlineStr">
        <is>
          <t>V5_0054</t>
        </is>
      </c>
      <c r="B1513" s="40" t="inlineStr">
        <is>
          <t>2022-01-01</t>
        </is>
      </c>
      <c r="C1513" s="40" t="inlineStr">
        <is>
          <t>2022-12-31</t>
        </is>
      </c>
      <c r="D1513" s="40" t="inlineStr">
        <is>
          <t>year</t>
        </is>
      </c>
      <c r="E1513" s="40" t="inlineStr">
        <is>
          <t>DWELLINGS_DRYER</t>
        </is>
      </c>
      <c r="F1513" s="40" t="inlineStr">
        <is>
          <t>PY_HOUSEHOLDS</t>
        </is>
      </c>
      <c r="G1513" s="40" t="n"/>
      <c r="H1513" s="40" t="n"/>
      <c r="I1513" s="40" t="n">
        <v>611264</v>
      </c>
      <c r="J1513" s="40" t="inlineStr">
        <is>
          <t>dwellings</t>
        </is>
      </c>
      <c r="K1513" s="40" t="n">
        <v>611264</v>
      </c>
      <c r="L1513" s="40" t="inlineStr">
        <is>
          <t>dwellings</t>
        </is>
      </c>
      <c r="M1513" s="40" t="inlineStr">
        <is>
          <t>INE</t>
        </is>
      </c>
      <c r="N1513" s="40" t="inlineStr">
        <is>
          <t>OFFICIAL_PRIMARY</t>
        </is>
      </c>
      <c r="O1513" s="40" t="inlineStr">
        <is>
          <t>OFFICIAL_CENSUS</t>
        </is>
      </c>
      <c r="P1513" s="40" t="n">
        <v>1</v>
      </c>
      <c r="Q1513" s="40" t="n">
        <v>95</v>
      </c>
      <c r="R1513" s="40" t="inlineStr">
        <is>
          <t>https://www.ine.gov.py/censo2022/documentos/Tr%C3%ADptico%20Resultados%20Finales_web.pdf</t>
        </is>
      </c>
      <c r="S1513" s="40" t="inlineStr">
        <is>
          <t>V5_CURRENT_BASELINES</t>
        </is>
      </c>
      <c r="T1513" s="40" t="n"/>
      <c r="U1513" s="40" t="inlineStr">
        <is>
          <t>2026-09-11T01:00:00-03:00</t>
        </is>
      </c>
      <c r="V1513" s="40" t="inlineStr">
        <is>
          <t>Clothes dryer</t>
        </is>
      </c>
    </row>
    <row r="1514">
      <c r="A1514" s="40" t="inlineStr">
        <is>
          <t>V5_0055</t>
        </is>
      </c>
      <c r="B1514" s="40" t="inlineStr">
        <is>
          <t>2022-01-01</t>
        </is>
      </c>
      <c r="C1514" s="40" t="inlineStr">
        <is>
          <t>2022-12-31</t>
        </is>
      </c>
      <c r="D1514" s="40" t="inlineStr">
        <is>
          <t>year</t>
        </is>
      </c>
      <c r="E1514" s="40" t="inlineStr">
        <is>
          <t>DWELLINGS_DRYER_RATE</t>
        </is>
      </c>
      <c r="F1514" s="40" t="inlineStr">
        <is>
          <t>PY_HOUSEHOLDS</t>
        </is>
      </c>
      <c r="G1514" s="40" t="n"/>
      <c r="H1514" s="40" t="n"/>
      <c r="I1514" s="40" t="n">
        <v>34.9</v>
      </c>
      <c r="J1514" s="40" t="inlineStr">
        <is>
          <t>percent</t>
        </is>
      </c>
      <c r="K1514" s="40" t="n">
        <v>34.9</v>
      </c>
      <c r="L1514" s="40" t="inlineStr">
        <is>
          <t>percent</t>
        </is>
      </c>
      <c r="M1514" s="40" t="inlineStr">
        <is>
          <t>INE</t>
        </is>
      </c>
      <c r="N1514" s="40" t="inlineStr">
        <is>
          <t>OFFICIAL_PRIMARY</t>
        </is>
      </c>
      <c r="O1514" s="40" t="inlineStr">
        <is>
          <t>OFFICIAL_CENSUS</t>
        </is>
      </c>
      <c r="P1514" s="40" t="n">
        <v>1</v>
      </c>
      <c r="Q1514" s="40" t="n">
        <v>95</v>
      </c>
      <c r="R1514" s="40" t="inlineStr">
        <is>
          <t>https://www.ine.gov.py/censo2022/documentos/Tr%C3%ADptico%20Resultados%20Finales_web.pdf</t>
        </is>
      </c>
      <c r="S1514" s="40" t="inlineStr">
        <is>
          <t>V5_CURRENT_BASELINES</t>
        </is>
      </c>
      <c r="T1514" s="40" t="n"/>
      <c r="U1514" s="40" t="inlineStr">
        <is>
          <t>2026-09-11T01:00:00-03:00</t>
        </is>
      </c>
      <c r="V1514" s="40" t="inlineStr">
        <is>
          <t>Clothes dryer penetration</t>
        </is>
      </c>
    </row>
    <row r="1515">
      <c r="A1515" s="40" t="inlineStr">
        <is>
          <t>V5_0056</t>
        </is>
      </c>
      <c r="B1515" s="40" t="inlineStr">
        <is>
          <t>2022-01-01</t>
        </is>
      </c>
      <c r="C1515" s="40" t="inlineStr">
        <is>
          <t>2022-12-31</t>
        </is>
      </c>
      <c r="D1515" s="40" t="inlineStr">
        <is>
          <t>year</t>
        </is>
      </c>
      <c r="E1515" s="40" t="inlineStr">
        <is>
          <t>DWELLINGS_ELECTRIC_SHOWER</t>
        </is>
      </c>
      <c r="F1515" s="40" t="inlineStr">
        <is>
          <t>PY_HOUSEHOLDS</t>
        </is>
      </c>
      <c r="G1515" s="40" t="n"/>
      <c r="H1515" s="40" t="n"/>
      <c r="I1515" s="40" t="n">
        <v>1155448</v>
      </c>
      <c r="J1515" s="40" t="inlineStr">
        <is>
          <t>dwellings</t>
        </is>
      </c>
      <c r="K1515" s="40" t="n">
        <v>1155448</v>
      </c>
      <c r="L1515" s="40" t="inlineStr">
        <is>
          <t>dwellings</t>
        </is>
      </c>
      <c r="M1515" s="40" t="inlineStr">
        <is>
          <t>INE</t>
        </is>
      </c>
      <c r="N1515" s="40" t="inlineStr">
        <is>
          <t>OFFICIAL_PRIMARY</t>
        </is>
      </c>
      <c r="O1515" s="40" t="inlineStr">
        <is>
          <t>OFFICIAL_CENSUS</t>
        </is>
      </c>
      <c r="P1515" s="40" t="n">
        <v>1</v>
      </c>
      <c r="Q1515" s="40" t="n">
        <v>95</v>
      </c>
      <c r="R1515" s="40" t="inlineStr">
        <is>
          <t>https://www.ine.gov.py/censo2022/documentos/Tr%C3%ADptico%20Resultados%20Finales_web.pdf</t>
        </is>
      </c>
      <c r="S1515" s="40" t="inlineStr">
        <is>
          <t>V5_CURRENT_BASELINES</t>
        </is>
      </c>
      <c r="T1515" s="40" t="n"/>
      <c r="U1515" s="40" t="inlineStr">
        <is>
          <t>2026-09-11T01:00:00-03:00</t>
        </is>
      </c>
      <c r="V1515" s="40" t="inlineStr">
        <is>
          <t>Electric shower</t>
        </is>
      </c>
    </row>
    <row r="1516">
      <c r="A1516" s="40" t="inlineStr">
        <is>
          <t>V5_0057</t>
        </is>
      </c>
      <c r="B1516" s="40" t="inlineStr">
        <is>
          <t>2022-01-01</t>
        </is>
      </c>
      <c r="C1516" s="40" t="inlineStr">
        <is>
          <t>2022-12-31</t>
        </is>
      </c>
      <c r="D1516" s="40" t="inlineStr">
        <is>
          <t>year</t>
        </is>
      </c>
      <c r="E1516" s="40" t="inlineStr">
        <is>
          <t>DWELLINGS_ELECTRIC_SHOWER_RATE</t>
        </is>
      </c>
      <c r="F1516" s="40" t="inlineStr">
        <is>
          <t>PY_HOUSEHOLDS</t>
        </is>
      </c>
      <c r="G1516" s="40" t="n"/>
      <c r="H1516" s="40" t="n"/>
      <c r="I1516" s="40" t="n">
        <v>66.09999999999999</v>
      </c>
      <c r="J1516" s="40" t="inlineStr">
        <is>
          <t>percent</t>
        </is>
      </c>
      <c r="K1516" s="40" t="n">
        <v>66.09999999999999</v>
      </c>
      <c r="L1516" s="40" t="inlineStr">
        <is>
          <t>percent</t>
        </is>
      </c>
      <c r="M1516" s="40" t="inlineStr">
        <is>
          <t>INE</t>
        </is>
      </c>
      <c r="N1516" s="40" t="inlineStr">
        <is>
          <t>OFFICIAL_PRIMARY</t>
        </is>
      </c>
      <c r="O1516" s="40" t="inlineStr">
        <is>
          <t>OFFICIAL_CENSUS</t>
        </is>
      </c>
      <c r="P1516" s="40" t="n">
        <v>1</v>
      </c>
      <c r="Q1516" s="40" t="n">
        <v>95</v>
      </c>
      <c r="R1516" s="40" t="inlineStr">
        <is>
          <t>https://www.ine.gov.py/censo2022/documentos/Tr%C3%ADptico%20Resultados%20Finales_web.pdf</t>
        </is>
      </c>
      <c r="S1516" s="40" t="inlineStr">
        <is>
          <t>V5_CURRENT_BASELINES</t>
        </is>
      </c>
      <c r="T1516" s="40" t="n"/>
      <c r="U1516" s="40" t="inlineStr">
        <is>
          <t>2026-09-11T01:00:00-03:00</t>
        </is>
      </c>
      <c r="V1516" s="40" t="inlineStr">
        <is>
          <t>Electric shower penetration</t>
        </is>
      </c>
    </row>
    <row r="1517">
      <c r="A1517" s="40" t="inlineStr">
        <is>
          <t>V5_0058</t>
        </is>
      </c>
      <c r="B1517" s="40" t="inlineStr">
        <is>
          <t>2022-01-01</t>
        </is>
      </c>
      <c r="C1517" s="40" t="inlineStr">
        <is>
          <t>2022-12-31</t>
        </is>
      </c>
      <c r="D1517" s="40" t="inlineStr">
        <is>
          <t>year</t>
        </is>
      </c>
      <c r="E1517" s="40" t="inlineStr">
        <is>
          <t>DWELLINGS_WATER_HEATER</t>
        </is>
      </c>
      <c r="F1517" s="40" t="inlineStr">
        <is>
          <t>PY_HOUSEHOLDS</t>
        </is>
      </c>
      <c r="G1517" s="40" t="n"/>
      <c r="H1517" s="40" t="n"/>
      <c r="I1517" s="40" t="n">
        <v>354102</v>
      </c>
      <c r="J1517" s="40" t="inlineStr">
        <is>
          <t>dwellings</t>
        </is>
      </c>
      <c r="K1517" s="40" t="n">
        <v>354102</v>
      </c>
      <c r="L1517" s="40" t="inlineStr">
        <is>
          <t>dwellings</t>
        </is>
      </c>
      <c r="M1517" s="40" t="inlineStr">
        <is>
          <t>INE</t>
        </is>
      </c>
      <c r="N1517" s="40" t="inlineStr">
        <is>
          <t>OFFICIAL_PRIMARY</t>
        </is>
      </c>
      <c r="O1517" s="40" t="inlineStr">
        <is>
          <t>OFFICIAL_CENSUS</t>
        </is>
      </c>
      <c r="P1517" s="40" t="n">
        <v>1</v>
      </c>
      <c r="Q1517" s="40" t="n">
        <v>95</v>
      </c>
      <c r="R1517" s="40" t="inlineStr">
        <is>
          <t>https://www.ine.gov.py/censo2022/documentos/Tr%C3%ADptico%20Resultados%20Finales_web.pdf</t>
        </is>
      </c>
      <c r="S1517" s="40" t="inlineStr">
        <is>
          <t>V5_CURRENT_BASELINES</t>
        </is>
      </c>
      <c r="T1517" s="40" t="n"/>
      <c r="U1517" s="40" t="inlineStr">
        <is>
          <t>2026-09-11T01:00:00-03:00</t>
        </is>
      </c>
      <c r="V1517" s="40" t="inlineStr">
        <is>
          <t>Electric/other water heater (termocalefon category)</t>
        </is>
      </c>
    </row>
    <row r="1518">
      <c r="A1518" s="40" t="inlineStr">
        <is>
          <t>V5_0059</t>
        </is>
      </c>
      <c r="B1518" s="40" t="inlineStr">
        <is>
          <t>2022-01-01</t>
        </is>
      </c>
      <c r="C1518" s="40" t="inlineStr">
        <is>
          <t>2022-12-31</t>
        </is>
      </c>
      <c r="D1518" s="40" t="inlineStr">
        <is>
          <t>year</t>
        </is>
      </c>
      <c r="E1518" s="40" t="inlineStr">
        <is>
          <t>DWELLINGS_WATER_HEATER_RATE</t>
        </is>
      </c>
      <c r="F1518" s="40" t="inlineStr">
        <is>
          <t>PY_HOUSEHOLDS</t>
        </is>
      </c>
      <c r="G1518" s="40" t="n"/>
      <c r="H1518" s="40" t="n"/>
      <c r="I1518" s="40" t="n">
        <v>20.2</v>
      </c>
      <c r="J1518" s="40" t="inlineStr">
        <is>
          <t>percent</t>
        </is>
      </c>
      <c r="K1518" s="40" t="n">
        <v>20.2</v>
      </c>
      <c r="L1518" s="40" t="inlineStr">
        <is>
          <t>percent</t>
        </is>
      </c>
      <c r="M1518" s="40" t="inlineStr">
        <is>
          <t>INE</t>
        </is>
      </c>
      <c r="N1518" s="40" t="inlineStr">
        <is>
          <t>OFFICIAL_PRIMARY</t>
        </is>
      </c>
      <c r="O1518" s="40" t="inlineStr">
        <is>
          <t>OFFICIAL_CENSUS</t>
        </is>
      </c>
      <c r="P1518" s="40" t="n">
        <v>1</v>
      </c>
      <c r="Q1518" s="40" t="n">
        <v>95</v>
      </c>
      <c r="R1518" s="40" t="inlineStr">
        <is>
          <t>https://www.ine.gov.py/censo2022/documentos/Tr%C3%ADptico%20Resultados%20Finales_web.pdf</t>
        </is>
      </c>
      <c r="S1518" s="40" t="inlineStr">
        <is>
          <t>V5_CURRENT_BASELINES</t>
        </is>
      </c>
      <c r="T1518" s="40" t="n"/>
      <c r="U1518" s="40" t="inlineStr">
        <is>
          <t>2026-09-11T01:00:00-03:00</t>
        </is>
      </c>
      <c r="V1518" s="40" t="inlineStr">
        <is>
          <t>Water heater penetration</t>
        </is>
      </c>
    </row>
    <row r="1519">
      <c r="A1519" s="40" t="inlineStr">
        <is>
          <t>V5_0060</t>
        </is>
      </c>
      <c r="B1519" s="40" t="inlineStr">
        <is>
          <t>2022-01-01</t>
        </is>
      </c>
      <c r="C1519" s="40" t="inlineStr">
        <is>
          <t>2022-12-31</t>
        </is>
      </c>
      <c r="D1519" s="40" t="inlineStr">
        <is>
          <t>year</t>
        </is>
      </c>
      <c r="E1519" s="40" t="inlineStr">
        <is>
          <t>DWELLINGS_MICROWAVE</t>
        </is>
      </c>
      <c r="F1519" s="40" t="inlineStr">
        <is>
          <t>PY_HOUSEHOLDS</t>
        </is>
      </c>
      <c r="G1519" s="40" t="n"/>
      <c r="H1519" s="40" t="n"/>
      <c r="I1519" s="40" t="n">
        <v>625998</v>
      </c>
      <c r="J1519" s="40" t="inlineStr">
        <is>
          <t>dwellings</t>
        </is>
      </c>
      <c r="K1519" s="40" t="n">
        <v>625998</v>
      </c>
      <c r="L1519" s="40" t="inlineStr">
        <is>
          <t>dwellings</t>
        </is>
      </c>
      <c r="M1519" s="40" t="inlineStr">
        <is>
          <t>INE</t>
        </is>
      </c>
      <c r="N1519" s="40" t="inlineStr">
        <is>
          <t>OFFICIAL_PRIMARY</t>
        </is>
      </c>
      <c r="O1519" s="40" t="inlineStr">
        <is>
          <t>OFFICIAL_CENSUS</t>
        </is>
      </c>
      <c r="P1519" s="40" t="n">
        <v>1</v>
      </c>
      <c r="Q1519" s="40" t="n">
        <v>95</v>
      </c>
      <c r="R1519" s="40" t="inlineStr">
        <is>
          <t>https://www.ine.gov.py/censo2022/documentos/Tr%C3%ADptico%20Resultados%20Finales_web.pdf</t>
        </is>
      </c>
      <c r="S1519" s="40" t="inlineStr">
        <is>
          <t>V5_CURRENT_BASELINES</t>
        </is>
      </c>
      <c r="T1519" s="40" t="n"/>
      <c r="U1519" s="40" t="inlineStr">
        <is>
          <t>2026-09-11T01:00:00-03:00</t>
        </is>
      </c>
      <c r="V1519" s="40" t="inlineStr">
        <is>
          <t>Microwave</t>
        </is>
      </c>
    </row>
    <row r="1520">
      <c r="A1520" s="40" t="inlineStr">
        <is>
          <t>V5_0061</t>
        </is>
      </c>
      <c r="B1520" s="40" t="inlineStr">
        <is>
          <t>2022-01-01</t>
        </is>
      </c>
      <c r="C1520" s="40" t="inlineStr">
        <is>
          <t>2022-12-31</t>
        </is>
      </c>
      <c r="D1520" s="40" t="inlineStr">
        <is>
          <t>year</t>
        </is>
      </c>
      <c r="E1520" s="40" t="inlineStr">
        <is>
          <t>DWELLINGS_MICROWAVE_RATE</t>
        </is>
      </c>
      <c r="F1520" s="40" t="inlineStr">
        <is>
          <t>PY_HOUSEHOLDS</t>
        </is>
      </c>
      <c r="G1520" s="40" t="n"/>
      <c r="H1520" s="40" t="n"/>
      <c r="I1520" s="40" t="n">
        <v>35.8</v>
      </c>
      <c r="J1520" s="40" t="inlineStr">
        <is>
          <t>percent</t>
        </is>
      </c>
      <c r="K1520" s="40" t="n">
        <v>35.8</v>
      </c>
      <c r="L1520" s="40" t="inlineStr">
        <is>
          <t>percent</t>
        </is>
      </c>
      <c r="M1520" s="40" t="inlineStr">
        <is>
          <t>INE</t>
        </is>
      </c>
      <c r="N1520" s="40" t="inlineStr">
        <is>
          <t>OFFICIAL_PRIMARY</t>
        </is>
      </c>
      <c r="O1520" s="40" t="inlineStr">
        <is>
          <t>OFFICIAL_CENSUS</t>
        </is>
      </c>
      <c r="P1520" s="40" t="n">
        <v>1</v>
      </c>
      <c r="Q1520" s="40" t="n">
        <v>95</v>
      </c>
      <c r="R1520" s="40" t="inlineStr">
        <is>
          <t>https://www.ine.gov.py/censo2022/documentos/Tr%C3%ADptico%20Resultados%20Finales_web.pdf</t>
        </is>
      </c>
      <c r="S1520" s="40" t="inlineStr">
        <is>
          <t>V5_CURRENT_BASELINES</t>
        </is>
      </c>
      <c r="T1520" s="40" t="n"/>
      <c r="U1520" s="40" t="inlineStr">
        <is>
          <t>2026-09-11T01:00:00-03:00</t>
        </is>
      </c>
      <c r="V1520" s="40" t="inlineStr">
        <is>
          <t>Microwave penetration</t>
        </is>
      </c>
    </row>
    <row r="1521">
      <c r="A1521" s="40" t="inlineStr">
        <is>
          <t>V5_0062</t>
        </is>
      </c>
      <c r="B1521" s="40" t="inlineStr">
        <is>
          <t>2022-01-01</t>
        </is>
      </c>
      <c r="C1521" s="40" t="inlineStr">
        <is>
          <t>2022-12-31</t>
        </is>
      </c>
      <c r="D1521" s="40" t="inlineStr">
        <is>
          <t>year</t>
        </is>
      </c>
      <c r="E1521" s="40" t="inlineStr">
        <is>
          <t>DWELLINGS_AIR_CONDITIONER</t>
        </is>
      </c>
      <c r="F1521" s="40" t="inlineStr">
        <is>
          <t>PY_HOUSEHOLDS</t>
        </is>
      </c>
      <c r="G1521" s="40" t="n"/>
      <c r="H1521" s="40" t="n"/>
      <c r="I1521" s="40" t="n">
        <v>930301</v>
      </c>
      <c r="J1521" s="40" t="inlineStr">
        <is>
          <t>dwellings</t>
        </is>
      </c>
      <c r="K1521" s="40" t="n">
        <v>930301</v>
      </c>
      <c r="L1521" s="40" t="inlineStr">
        <is>
          <t>dwellings</t>
        </is>
      </c>
      <c r="M1521" s="40" t="inlineStr">
        <is>
          <t>INE</t>
        </is>
      </c>
      <c r="N1521" s="40" t="inlineStr">
        <is>
          <t>OFFICIAL_PRIMARY</t>
        </is>
      </c>
      <c r="O1521" s="40" t="inlineStr">
        <is>
          <t>OFFICIAL_CENSUS</t>
        </is>
      </c>
      <c r="P1521" s="40" t="n">
        <v>1</v>
      </c>
      <c r="Q1521" s="40" t="n">
        <v>95</v>
      </c>
      <c r="R1521" s="40" t="inlineStr">
        <is>
          <t>https://www.ine.gov.py/censo2022/documentos/Tr%C3%ADptico%20Resultados%20Finales_web.pdf</t>
        </is>
      </c>
      <c r="S1521" s="40" t="inlineStr">
        <is>
          <t>V5_CURRENT_BASELINES</t>
        </is>
      </c>
      <c r="T1521" s="40" t="n"/>
      <c r="U1521" s="40" t="inlineStr">
        <is>
          <t>2026-09-11T01:00:00-03:00</t>
        </is>
      </c>
      <c r="V1521" s="40" t="inlineStr">
        <is>
          <t>Air conditioner</t>
        </is>
      </c>
    </row>
    <row r="1522">
      <c r="A1522" s="40" t="inlineStr">
        <is>
          <t>V5_0063</t>
        </is>
      </c>
      <c r="B1522" s="40" t="inlineStr">
        <is>
          <t>2022-01-01</t>
        </is>
      </c>
      <c r="C1522" s="40" t="inlineStr">
        <is>
          <t>2022-12-31</t>
        </is>
      </c>
      <c r="D1522" s="40" t="inlineStr">
        <is>
          <t>year</t>
        </is>
      </c>
      <c r="E1522" s="40" t="inlineStr">
        <is>
          <t>DWELLINGS_AIR_CONDITIONER_RATE</t>
        </is>
      </c>
      <c r="F1522" s="40" t="inlineStr">
        <is>
          <t>PY_HOUSEHOLDS</t>
        </is>
      </c>
      <c r="G1522" s="40" t="n"/>
      <c r="H1522" s="40" t="n"/>
      <c r="I1522" s="40" t="n">
        <v>53.2</v>
      </c>
      <c r="J1522" s="40" t="inlineStr">
        <is>
          <t>percent</t>
        </is>
      </c>
      <c r="K1522" s="40" t="n">
        <v>53.2</v>
      </c>
      <c r="L1522" s="40" t="inlineStr">
        <is>
          <t>percent</t>
        </is>
      </c>
      <c r="M1522" s="40" t="inlineStr">
        <is>
          <t>INE</t>
        </is>
      </c>
      <c r="N1522" s="40" t="inlineStr">
        <is>
          <t>OFFICIAL_PRIMARY</t>
        </is>
      </c>
      <c r="O1522" s="40" t="inlineStr">
        <is>
          <t>OFFICIAL_CENSUS</t>
        </is>
      </c>
      <c r="P1522" s="40" t="n">
        <v>1</v>
      </c>
      <c r="Q1522" s="40" t="n">
        <v>95</v>
      </c>
      <c r="R1522" s="40" t="inlineStr">
        <is>
          <t>https://www.ine.gov.py/censo2022/documentos/Tr%C3%ADptico%20Resultados%20Finales_web.pdf</t>
        </is>
      </c>
      <c r="S1522" s="40" t="inlineStr">
        <is>
          <t>V5_CURRENT_BASELINES</t>
        </is>
      </c>
      <c r="T1522" s="40" t="n"/>
      <c r="U1522" s="40" t="inlineStr">
        <is>
          <t>2026-09-11T01:00:00-03:00</t>
        </is>
      </c>
      <c r="V1522" s="40" t="inlineStr">
        <is>
          <t>Air-conditioner penetration</t>
        </is>
      </c>
    </row>
    <row r="1523">
      <c r="A1523" s="40" t="inlineStr">
        <is>
          <t>V5_0064</t>
        </is>
      </c>
      <c r="B1523" s="40" t="inlineStr">
        <is>
          <t>2026-01-01</t>
        </is>
      </c>
      <c r="C1523" s="40" t="inlineStr">
        <is>
          <t>2030-12-31</t>
        </is>
      </c>
      <c r="D1523" s="40" t="inlineStr">
        <is>
          <t>plan</t>
        </is>
      </c>
      <c r="E1523" s="40" t="inlineStr">
        <is>
          <t>NEW_USERS_PLANNED_TO_2030</t>
        </is>
      </c>
      <c r="F1523" s="40" t="inlineStr">
        <is>
          <t>PY_SIN</t>
        </is>
      </c>
      <c r="G1523" s="40" t="n"/>
      <c r="H1523" s="40" t="n"/>
      <c r="I1523" s="40" t="n">
        <v>383000</v>
      </c>
      <c r="J1523" s="40" t="inlineStr">
        <is>
          <t>users</t>
        </is>
      </c>
      <c r="K1523" s="40" t="n">
        <v>383000</v>
      </c>
      <c r="L1523" s="40" t="inlineStr">
        <is>
          <t>users</t>
        </is>
      </c>
      <c r="M1523" s="40" t="inlineStr">
        <is>
          <t>ANDE</t>
        </is>
      </c>
      <c r="N1523" s="40" t="inlineStr">
        <is>
          <t>OFFICIAL_PRIMARY</t>
        </is>
      </c>
      <c r="O1523" s="40" t="inlineStr">
        <is>
          <t>OFFICIAL_PLAN</t>
        </is>
      </c>
      <c r="P1523" s="40" t="n">
        <v>1</v>
      </c>
      <c r="Q1523" s="40" t="n">
        <v>95</v>
      </c>
      <c r="R1523" s="40" t="inlineStr">
        <is>
          <t>https://www.ande.gov.py/finanzas/BAGP%202025%20ANDE.pdf</t>
        </is>
      </c>
      <c r="S1523" s="40" t="inlineStr">
        <is>
          <t>V5_CURRENT_BASELINES</t>
        </is>
      </c>
      <c r="T1523" s="40" t="n"/>
      <c r="U1523" s="40" t="inlineStr">
        <is>
          <t>2026-09-11T01:00:00-03:00</t>
        </is>
      </c>
      <c r="V1523" s="40" t="inlineStr">
        <is>
          <t>BAGP 2025 states projected connection of 383,000 new users by 2030.</t>
        </is>
      </c>
    </row>
    <row r="1524">
      <c r="A1524" s="40" t="inlineStr">
        <is>
          <t>V5_0065</t>
        </is>
      </c>
      <c r="B1524" s="40" t="inlineStr">
        <is>
          <t>2026-01-01</t>
        </is>
      </c>
      <c r="C1524" s="40" t="inlineStr">
        <is>
          <t>2028-12-31</t>
        </is>
      </c>
      <c r="D1524" s="40" t="inlineStr">
        <is>
          <t>plan</t>
        </is>
      </c>
      <c r="E1524" s="40" t="inlineStr">
        <is>
          <t>NATIONAL_ELECTRIFICATION_TARGET</t>
        </is>
      </c>
      <c r="F1524" s="40" t="inlineStr">
        <is>
          <t>PY_SIN</t>
        </is>
      </c>
      <c r="G1524" s="40" t="n"/>
      <c r="H1524" s="40" t="n"/>
      <c r="I1524" s="40" t="n">
        <v>100</v>
      </c>
      <c r="J1524" s="40" t="inlineStr">
        <is>
          <t>percent</t>
        </is>
      </c>
      <c r="K1524" s="40" t="n">
        <v>100</v>
      </c>
      <c r="L1524" s="40" t="inlineStr">
        <is>
          <t>percent</t>
        </is>
      </c>
      <c r="M1524" s="40" t="inlineStr">
        <is>
          <t>ANDE</t>
        </is>
      </c>
      <c r="N1524" s="40" t="inlineStr">
        <is>
          <t>OFFICIAL_PRIMARY</t>
        </is>
      </c>
      <c r="O1524" s="40" t="inlineStr">
        <is>
          <t>OFFICIAL_PLAN</t>
        </is>
      </c>
      <c r="P1524" s="40" t="n">
        <v>1</v>
      </c>
      <c r="Q1524" s="40" t="n">
        <v>95</v>
      </c>
      <c r="R1524" s="40" t="inlineStr">
        <is>
          <t>https://www.ande.gov.py/finanzas/BAGP%202025%20ANDE.pdf</t>
        </is>
      </c>
      <c r="S1524" s="40" t="inlineStr">
        <is>
          <t>V5_CURRENT_BASELINES</t>
        </is>
      </c>
      <c r="T1524" s="40" t="n"/>
      <c r="U1524" s="40" t="inlineStr">
        <is>
          <t>2026-09-11T01:00:00-03:00</t>
        </is>
      </c>
      <c r="V1524" s="40" t="inlineStr">
        <is>
          <t>Target of 100% national electricity coverage by 2028.</t>
        </is>
      </c>
    </row>
    <row r="1525">
      <c r="A1525" s="40" t="inlineStr">
        <is>
          <t>V5_0066</t>
        </is>
      </c>
      <c r="B1525" s="40" t="inlineStr">
        <is>
          <t>2025-01-01</t>
        </is>
      </c>
      <c r="C1525" s="40" t="inlineStr">
        <is>
          <t>2028-12-31</t>
        </is>
      </c>
      <c r="D1525" s="40" t="inlineStr">
        <is>
          <t>plan</t>
        </is>
      </c>
      <c r="E1525" s="40" t="inlineStr">
        <is>
          <t>DISTRIBUTION_LOSS_TARGET_2028</t>
        </is>
      </c>
      <c r="F1525" s="40" t="inlineStr">
        <is>
          <t>PY_GRID</t>
        </is>
      </c>
      <c r="G1525" s="40" t="n"/>
      <c r="H1525" s="40" t="n"/>
      <c r="I1525" s="40" t="n">
        <v>15</v>
      </c>
      <c r="J1525" s="40" t="inlineStr">
        <is>
          <t>percent</t>
        </is>
      </c>
      <c r="K1525" s="40" t="n">
        <v>15</v>
      </c>
      <c r="L1525" s="40" t="inlineStr">
        <is>
          <t>percent</t>
        </is>
      </c>
      <c r="M1525" s="40" t="inlineStr">
        <is>
          <t>ANDE</t>
        </is>
      </c>
      <c r="N1525" s="40" t="inlineStr">
        <is>
          <t>OFFICIAL_PRIMARY</t>
        </is>
      </c>
      <c r="O1525" s="40" t="inlineStr">
        <is>
          <t>OFFICIAL_PLAN</t>
        </is>
      </c>
      <c r="P1525" s="40" t="n">
        <v>1</v>
      </c>
      <c r="Q1525" s="40" t="n">
        <v>95</v>
      </c>
      <c r="R1525" s="40" t="inlineStr">
        <is>
          <t>https://www.ande.gov.py/interna.php?id=15116</t>
        </is>
      </c>
      <c r="S1525" s="40" t="inlineStr">
        <is>
          <t>V5_CURRENT_BASELINES</t>
        </is>
      </c>
      <c r="T1525" s="40" t="n"/>
      <c r="U1525" s="40" t="inlineStr">
        <is>
          <t>2026-09-11T01:00:00-03:00</t>
        </is>
      </c>
      <c r="V1525" s="40" t="inlineStr">
        <is>
          <t>ANDE target for total distribution losses by end-2028.</t>
        </is>
      </c>
    </row>
  </sheetData>
  <autoFilter ref="A1:V1459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  <hyperlink xmlns:r="http://schemas.openxmlformats.org/officeDocument/2006/relationships" ref="R169" r:id="rId168"/>
    <hyperlink xmlns:r="http://schemas.openxmlformats.org/officeDocument/2006/relationships" ref="R170" r:id="rId169"/>
    <hyperlink xmlns:r="http://schemas.openxmlformats.org/officeDocument/2006/relationships" ref="R171" r:id="rId170"/>
    <hyperlink xmlns:r="http://schemas.openxmlformats.org/officeDocument/2006/relationships" ref="R172" r:id="rId171"/>
    <hyperlink xmlns:r="http://schemas.openxmlformats.org/officeDocument/2006/relationships" ref="R173" r:id="rId172"/>
    <hyperlink xmlns:r="http://schemas.openxmlformats.org/officeDocument/2006/relationships" ref="R174" r:id="rId173"/>
    <hyperlink xmlns:r="http://schemas.openxmlformats.org/officeDocument/2006/relationships" ref="R175" r:id="rId174"/>
    <hyperlink xmlns:r="http://schemas.openxmlformats.org/officeDocument/2006/relationships" ref="R176" r:id="rId175"/>
    <hyperlink xmlns:r="http://schemas.openxmlformats.org/officeDocument/2006/relationships" ref="R177" r:id="rId176"/>
    <hyperlink xmlns:r="http://schemas.openxmlformats.org/officeDocument/2006/relationships" ref="R178" r:id="rId177"/>
    <hyperlink xmlns:r="http://schemas.openxmlformats.org/officeDocument/2006/relationships" ref="R179" r:id="rId178"/>
    <hyperlink xmlns:r="http://schemas.openxmlformats.org/officeDocument/2006/relationships" ref="R180" r:id="rId179"/>
    <hyperlink xmlns:r="http://schemas.openxmlformats.org/officeDocument/2006/relationships" ref="R181" r:id="rId180"/>
    <hyperlink xmlns:r="http://schemas.openxmlformats.org/officeDocument/2006/relationships" ref="R182" r:id="rId181"/>
    <hyperlink xmlns:r="http://schemas.openxmlformats.org/officeDocument/2006/relationships" ref="R183" r:id="rId182"/>
    <hyperlink xmlns:r="http://schemas.openxmlformats.org/officeDocument/2006/relationships" ref="R184" r:id="rId183"/>
    <hyperlink xmlns:r="http://schemas.openxmlformats.org/officeDocument/2006/relationships" ref="R185" r:id="rId184"/>
    <hyperlink xmlns:r="http://schemas.openxmlformats.org/officeDocument/2006/relationships" ref="R186" r:id="rId185"/>
    <hyperlink xmlns:r="http://schemas.openxmlformats.org/officeDocument/2006/relationships" ref="R187" r:id="rId186"/>
    <hyperlink xmlns:r="http://schemas.openxmlformats.org/officeDocument/2006/relationships" ref="R188" r:id="rId187"/>
    <hyperlink xmlns:r="http://schemas.openxmlformats.org/officeDocument/2006/relationships" ref="R189" r:id="rId188"/>
    <hyperlink xmlns:r="http://schemas.openxmlformats.org/officeDocument/2006/relationships" ref="R190" r:id="rId189"/>
    <hyperlink xmlns:r="http://schemas.openxmlformats.org/officeDocument/2006/relationships" ref="R191" r:id="rId190"/>
    <hyperlink xmlns:r="http://schemas.openxmlformats.org/officeDocument/2006/relationships" ref="R192" r:id="rId191"/>
    <hyperlink xmlns:r="http://schemas.openxmlformats.org/officeDocument/2006/relationships" ref="R193" r:id="rId192"/>
    <hyperlink xmlns:r="http://schemas.openxmlformats.org/officeDocument/2006/relationships" ref="R194" r:id="rId193"/>
    <hyperlink xmlns:r="http://schemas.openxmlformats.org/officeDocument/2006/relationships" ref="R195" r:id="rId194"/>
    <hyperlink xmlns:r="http://schemas.openxmlformats.org/officeDocument/2006/relationships" ref="R196" r:id="rId195"/>
    <hyperlink xmlns:r="http://schemas.openxmlformats.org/officeDocument/2006/relationships" ref="R197" r:id="rId196"/>
    <hyperlink xmlns:r="http://schemas.openxmlformats.org/officeDocument/2006/relationships" ref="R198" r:id="rId197"/>
    <hyperlink xmlns:r="http://schemas.openxmlformats.org/officeDocument/2006/relationships" ref="R199" r:id="rId198"/>
    <hyperlink xmlns:r="http://schemas.openxmlformats.org/officeDocument/2006/relationships" ref="R200" r:id="rId199"/>
    <hyperlink xmlns:r="http://schemas.openxmlformats.org/officeDocument/2006/relationships" ref="R201" r:id="rId200"/>
    <hyperlink xmlns:r="http://schemas.openxmlformats.org/officeDocument/2006/relationships" ref="R202" r:id="rId201"/>
    <hyperlink xmlns:r="http://schemas.openxmlformats.org/officeDocument/2006/relationships" ref="R203" r:id="rId202"/>
    <hyperlink xmlns:r="http://schemas.openxmlformats.org/officeDocument/2006/relationships" ref="R204" r:id="rId203"/>
    <hyperlink xmlns:r="http://schemas.openxmlformats.org/officeDocument/2006/relationships" ref="R205" r:id="rId204"/>
    <hyperlink xmlns:r="http://schemas.openxmlformats.org/officeDocument/2006/relationships" ref="R206" r:id="rId205"/>
    <hyperlink xmlns:r="http://schemas.openxmlformats.org/officeDocument/2006/relationships" ref="R207" r:id="rId206"/>
    <hyperlink xmlns:r="http://schemas.openxmlformats.org/officeDocument/2006/relationships" ref="R208" r:id="rId207"/>
    <hyperlink xmlns:r="http://schemas.openxmlformats.org/officeDocument/2006/relationships" ref="R209" r:id="rId208"/>
    <hyperlink xmlns:r="http://schemas.openxmlformats.org/officeDocument/2006/relationships" ref="R210" r:id="rId209"/>
    <hyperlink xmlns:r="http://schemas.openxmlformats.org/officeDocument/2006/relationships" ref="R211" r:id="rId210"/>
    <hyperlink xmlns:r="http://schemas.openxmlformats.org/officeDocument/2006/relationships" ref="R212" r:id="rId211"/>
    <hyperlink xmlns:r="http://schemas.openxmlformats.org/officeDocument/2006/relationships" ref="R213" r:id="rId212"/>
    <hyperlink xmlns:r="http://schemas.openxmlformats.org/officeDocument/2006/relationships" ref="R214" r:id="rId213"/>
    <hyperlink xmlns:r="http://schemas.openxmlformats.org/officeDocument/2006/relationships" ref="R215" r:id="rId214"/>
    <hyperlink xmlns:r="http://schemas.openxmlformats.org/officeDocument/2006/relationships" ref="R216" r:id="rId215"/>
    <hyperlink xmlns:r="http://schemas.openxmlformats.org/officeDocument/2006/relationships" ref="R217" r:id="rId216"/>
    <hyperlink xmlns:r="http://schemas.openxmlformats.org/officeDocument/2006/relationships" ref="R218" r:id="rId217"/>
    <hyperlink xmlns:r="http://schemas.openxmlformats.org/officeDocument/2006/relationships" ref="R219" r:id="rId218"/>
    <hyperlink xmlns:r="http://schemas.openxmlformats.org/officeDocument/2006/relationships" ref="R220" r:id="rId219"/>
    <hyperlink xmlns:r="http://schemas.openxmlformats.org/officeDocument/2006/relationships" ref="R221" r:id="rId220"/>
    <hyperlink xmlns:r="http://schemas.openxmlformats.org/officeDocument/2006/relationships" ref="R222" r:id="rId221"/>
    <hyperlink xmlns:r="http://schemas.openxmlformats.org/officeDocument/2006/relationships" ref="R223" r:id="rId222"/>
    <hyperlink xmlns:r="http://schemas.openxmlformats.org/officeDocument/2006/relationships" ref="R224" r:id="rId223"/>
    <hyperlink xmlns:r="http://schemas.openxmlformats.org/officeDocument/2006/relationships" ref="R225" r:id="rId224"/>
    <hyperlink xmlns:r="http://schemas.openxmlformats.org/officeDocument/2006/relationships" ref="R226" r:id="rId225"/>
    <hyperlink xmlns:r="http://schemas.openxmlformats.org/officeDocument/2006/relationships" ref="R227" r:id="rId226"/>
    <hyperlink xmlns:r="http://schemas.openxmlformats.org/officeDocument/2006/relationships" ref="R228" r:id="rId227"/>
    <hyperlink xmlns:r="http://schemas.openxmlformats.org/officeDocument/2006/relationships" ref="R229" r:id="rId228"/>
    <hyperlink xmlns:r="http://schemas.openxmlformats.org/officeDocument/2006/relationships" ref="R230" r:id="rId229"/>
    <hyperlink xmlns:r="http://schemas.openxmlformats.org/officeDocument/2006/relationships" ref="R231" r:id="rId230"/>
    <hyperlink xmlns:r="http://schemas.openxmlformats.org/officeDocument/2006/relationships" ref="R232" r:id="rId231"/>
    <hyperlink xmlns:r="http://schemas.openxmlformats.org/officeDocument/2006/relationships" ref="R233" r:id="rId232"/>
    <hyperlink xmlns:r="http://schemas.openxmlformats.org/officeDocument/2006/relationships" ref="R234" r:id="rId233"/>
    <hyperlink xmlns:r="http://schemas.openxmlformats.org/officeDocument/2006/relationships" ref="R235" r:id="rId234"/>
    <hyperlink xmlns:r="http://schemas.openxmlformats.org/officeDocument/2006/relationships" ref="R236" r:id="rId235"/>
    <hyperlink xmlns:r="http://schemas.openxmlformats.org/officeDocument/2006/relationships" ref="R237" r:id="rId236"/>
    <hyperlink xmlns:r="http://schemas.openxmlformats.org/officeDocument/2006/relationships" ref="R238" r:id="rId237"/>
    <hyperlink xmlns:r="http://schemas.openxmlformats.org/officeDocument/2006/relationships" ref="R239" r:id="rId238"/>
    <hyperlink xmlns:r="http://schemas.openxmlformats.org/officeDocument/2006/relationships" ref="R240" r:id="rId239"/>
    <hyperlink xmlns:r="http://schemas.openxmlformats.org/officeDocument/2006/relationships" ref="R241" r:id="rId240"/>
    <hyperlink xmlns:r="http://schemas.openxmlformats.org/officeDocument/2006/relationships" ref="R242" r:id="rId241"/>
    <hyperlink xmlns:r="http://schemas.openxmlformats.org/officeDocument/2006/relationships" ref="R243" r:id="rId242"/>
    <hyperlink xmlns:r="http://schemas.openxmlformats.org/officeDocument/2006/relationships" ref="R244" r:id="rId243"/>
    <hyperlink xmlns:r="http://schemas.openxmlformats.org/officeDocument/2006/relationships" ref="R245" r:id="rId244"/>
    <hyperlink xmlns:r="http://schemas.openxmlformats.org/officeDocument/2006/relationships" ref="R246" r:id="rId245"/>
    <hyperlink xmlns:r="http://schemas.openxmlformats.org/officeDocument/2006/relationships" ref="R247" r:id="rId246"/>
    <hyperlink xmlns:r="http://schemas.openxmlformats.org/officeDocument/2006/relationships" ref="R248" r:id="rId247"/>
    <hyperlink xmlns:r="http://schemas.openxmlformats.org/officeDocument/2006/relationships" ref="R249" r:id="rId248"/>
    <hyperlink xmlns:r="http://schemas.openxmlformats.org/officeDocument/2006/relationships" ref="R250" r:id="rId249"/>
    <hyperlink xmlns:r="http://schemas.openxmlformats.org/officeDocument/2006/relationships" ref="R251" r:id="rId250"/>
    <hyperlink xmlns:r="http://schemas.openxmlformats.org/officeDocument/2006/relationships" ref="R252" r:id="rId251"/>
    <hyperlink xmlns:r="http://schemas.openxmlformats.org/officeDocument/2006/relationships" ref="R253" r:id="rId252"/>
    <hyperlink xmlns:r="http://schemas.openxmlformats.org/officeDocument/2006/relationships" ref="R254" r:id="rId253"/>
    <hyperlink xmlns:r="http://schemas.openxmlformats.org/officeDocument/2006/relationships" ref="R255" r:id="rId254"/>
    <hyperlink xmlns:r="http://schemas.openxmlformats.org/officeDocument/2006/relationships" ref="R256" r:id="rId255"/>
    <hyperlink xmlns:r="http://schemas.openxmlformats.org/officeDocument/2006/relationships" ref="R257" r:id="rId256"/>
    <hyperlink xmlns:r="http://schemas.openxmlformats.org/officeDocument/2006/relationships" ref="R258" r:id="rId257"/>
    <hyperlink xmlns:r="http://schemas.openxmlformats.org/officeDocument/2006/relationships" ref="R259" r:id="rId258"/>
    <hyperlink xmlns:r="http://schemas.openxmlformats.org/officeDocument/2006/relationships" ref="R260" r:id="rId259"/>
    <hyperlink xmlns:r="http://schemas.openxmlformats.org/officeDocument/2006/relationships" ref="R261" r:id="rId260"/>
    <hyperlink xmlns:r="http://schemas.openxmlformats.org/officeDocument/2006/relationships" ref="R262" r:id="rId261"/>
    <hyperlink xmlns:r="http://schemas.openxmlformats.org/officeDocument/2006/relationships" ref="R263" r:id="rId262"/>
    <hyperlink xmlns:r="http://schemas.openxmlformats.org/officeDocument/2006/relationships" ref="R264" r:id="rId263"/>
    <hyperlink xmlns:r="http://schemas.openxmlformats.org/officeDocument/2006/relationships" ref="R265" r:id="rId264"/>
    <hyperlink xmlns:r="http://schemas.openxmlformats.org/officeDocument/2006/relationships" ref="R266" r:id="rId265"/>
    <hyperlink xmlns:r="http://schemas.openxmlformats.org/officeDocument/2006/relationships" ref="R267" r:id="rId266"/>
    <hyperlink xmlns:r="http://schemas.openxmlformats.org/officeDocument/2006/relationships" ref="R268" r:id="rId267"/>
    <hyperlink xmlns:r="http://schemas.openxmlformats.org/officeDocument/2006/relationships" ref="R269" r:id="rId268"/>
    <hyperlink xmlns:r="http://schemas.openxmlformats.org/officeDocument/2006/relationships" ref="R270" r:id="rId269"/>
    <hyperlink xmlns:r="http://schemas.openxmlformats.org/officeDocument/2006/relationships" ref="R271" r:id="rId270"/>
    <hyperlink xmlns:r="http://schemas.openxmlformats.org/officeDocument/2006/relationships" ref="R272" r:id="rId271"/>
    <hyperlink xmlns:r="http://schemas.openxmlformats.org/officeDocument/2006/relationships" ref="R273" r:id="rId272"/>
    <hyperlink xmlns:r="http://schemas.openxmlformats.org/officeDocument/2006/relationships" ref="R274" r:id="rId273"/>
    <hyperlink xmlns:r="http://schemas.openxmlformats.org/officeDocument/2006/relationships" ref="R275" r:id="rId274"/>
    <hyperlink xmlns:r="http://schemas.openxmlformats.org/officeDocument/2006/relationships" ref="R276" r:id="rId275"/>
    <hyperlink xmlns:r="http://schemas.openxmlformats.org/officeDocument/2006/relationships" ref="R277" r:id="rId276"/>
    <hyperlink xmlns:r="http://schemas.openxmlformats.org/officeDocument/2006/relationships" ref="R278" r:id="rId277"/>
    <hyperlink xmlns:r="http://schemas.openxmlformats.org/officeDocument/2006/relationships" ref="R279" r:id="rId278"/>
    <hyperlink xmlns:r="http://schemas.openxmlformats.org/officeDocument/2006/relationships" ref="R280" r:id="rId279"/>
    <hyperlink xmlns:r="http://schemas.openxmlformats.org/officeDocument/2006/relationships" ref="R281" r:id="rId280"/>
    <hyperlink xmlns:r="http://schemas.openxmlformats.org/officeDocument/2006/relationships" ref="R282" r:id="rId281"/>
    <hyperlink xmlns:r="http://schemas.openxmlformats.org/officeDocument/2006/relationships" ref="R283" r:id="rId282"/>
    <hyperlink xmlns:r="http://schemas.openxmlformats.org/officeDocument/2006/relationships" ref="R284" r:id="rId283"/>
    <hyperlink xmlns:r="http://schemas.openxmlformats.org/officeDocument/2006/relationships" ref="R285" r:id="rId284"/>
    <hyperlink xmlns:r="http://schemas.openxmlformats.org/officeDocument/2006/relationships" ref="R286" r:id="rId285"/>
    <hyperlink xmlns:r="http://schemas.openxmlformats.org/officeDocument/2006/relationships" ref="R287" r:id="rId286"/>
    <hyperlink xmlns:r="http://schemas.openxmlformats.org/officeDocument/2006/relationships" ref="R288" r:id="rId287"/>
    <hyperlink xmlns:r="http://schemas.openxmlformats.org/officeDocument/2006/relationships" ref="R289" r:id="rId288"/>
    <hyperlink xmlns:r="http://schemas.openxmlformats.org/officeDocument/2006/relationships" ref="R290" r:id="rId289"/>
    <hyperlink xmlns:r="http://schemas.openxmlformats.org/officeDocument/2006/relationships" ref="R291" r:id="rId290"/>
    <hyperlink xmlns:r="http://schemas.openxmlformats.org/officeDocument/2006/relationships" ref="R292" r:id="rId291"/>
    <hyperlink xmlns:r="http://schemas.openxmlformats.org/officeDocument/2006/relationships" ref="R293" r:id="rId292"/>
    <hyperlink xmlns:r="http://schemas.openxmlformats.org/officeDocument/2006/relationships" ref="R294" r:id="rId293"/>
    <hyperlink xmlns:r="http://schemas.openxmlformats.org/officeDocument/2006/relationships" ref="R295" r:id="rId294"/>
    <hyperlink xmlns:r="http://schemas.openxmlformats.org/officeDocument/2006/relationships" ref="R296" r:id="rId295"/>
    <hyperlink xmlns:r="http://schemas.openxmlformats.org/officeDocument/2006/relationships" ref="R297" r:id="rId296"/>
    <hyperlink xmlns:r="http://schemas.openxmlformats.org/officeDocument/2006/relationships" ref="R298" r:id="rId297"/>
    <hyperlink xmlns:r="http://schemas.openxmlformats.org/officeDocument/2006/relationships" ref="R299" r:id="rId298"/>
    <hyperlink xmlns:r="http://schemas.openxmlformats.org/officeDocument/2006/relationships" ref="R300" r:id="rId299"/>
    <hyperlink xmlns:r="http://schemas.openxmlformats.org/officeDocument/2006/relationships" ref="R301" r:id="rId300"/>
    <hyperlink xmlns:r="http://schemas.openxmlformats.org/officeDocument/2006/relationships" ref="R302" r:id="rId301"/>
    <hyperlink xmlns:r="http://schemas.openxmlformats.org/officeDocument/2006/relationships" ref="R303" r:id="rId302"/>
    <hyperlink xmlns:r="http://schemas.openxmlformats.org/officeDocument/2006/relationships" ref="R304" r:id="rId303"/>
    <hyperlink xmlns:r="http://schemas.openxmlformats.org/officeDocument/2006/relationships" ref="R305" r:id="rId304"/>
    <hyperlink xmlns:r="http://schemas.openxmlformats.org/officeDocument/2006/relationships" ref="R306" r:id="rId305"/>
    <hyperlink xmlns:r="http://schemas.openxmlformats.org/officeDocument/2006/relationships" ref="R307" r:id="rId306"/>
    <hyperlink xmlns:r="http://schemas.openxmlformats.org/officeDocument/2006/relationships" ref="R308" r:id="rId307"/>
    <hyperlink xmlns:r="http://schemas.openxmlformats.org/officeDocument/2006/relationships" ref="R309" r:id="rId308"/>
    <hyperlink xmlns:r="http://schemas.openxmlformats.org/officeDocument/2006/relationships" ref="R310" r:id="rId309"/>
    <hyperlink xmlns:r="http://schemas.openxmlformats.org/officeDocument/2006/relationships" ref="R311" r:id="rId310"/>
    <hyperlink xmlns:r="http://schemas.openxmlformats.org/officeDocument/2006/relationships" ref="R312" r:id="rId311"/>
    <hyperlink xmlns:r="http://schemas.openxmlformats.org/officeDocument/2006/relationships" ref="R313" r:id="rId312"/>
    <hyperlink xmlns:r="http://schemas.openxmlformats.org/officeDocument/2006/relationships" ref="R314" r:id="rId313"/>
    <hyperlink xmlns:r="http://schemas.openxmlformats.org/officeDocument/2006/relationships" ref="R315" r:id="rId314"/>
    <hyperlink xmlns:r="http://schemas.openxmlformats.org/officeDocument/2006/relationships" ref="R316" r:id="rId315"/>
    <hyperlink xmlns:r="http://schemas.openxmlformats.org/officeDocument/2006/relationships" ref="R317" r:id="rId316"/>
    <hyperlink xmlns:r="http://schemas.openxmlformats.org/officeDocument/2006/relationships" ref="R318" r:id="rId317"/>
    <hyperlink xmlns:r="http://schemas.openxmlformats.org/officeDocument/2006/relationships" ref="R319" r:id="rId318"/>
    <hyperlink xmlns:r="http://schemas.openxmlformats.org/officeDocument/2006/relationships" ref="R320" r:id="rId319"/>
    <hyperlink xmlns:r="http://schemas.openxmlformats.org/officeDocument/2006/relationships" ref="R321" r:id="rId320"/>
    <hyperlink xmlns:r="http://schemas.openxmlformats.org/officeDocument/2006/relationships" ref="R322" r:id="rId321"/>
    <hyperlink xmlns:r="http://schemas.openxmlformats.org/officeDocument/2006/relationships" ref="R323" r:id="rId322"/>
    <hyperlink xmlns:r="http://schemas.openxmlformats.org/officeDocument/2006/relationships" ref="R324" r:id="rId323"/>
    <hyperlink xmlns:r="http://schemas.openxmlformats.org/officeDocument/2006/relationships" ref="R325" r:id="rId324"/>
    <hyperlink xmlns:r="http://schemas.openxmlformats.org/officeDocument/2006/relationships" ref="R326" r:id="rId325"/>
    <hyperlink xmlns:r="http://schemas.openxmlformats.org/officeDocument/2006/relationships" ref="R327" r:id="rId326"/>
    <hyperlink xmlns:r="http://schemas.openxmlformats.org/officeDocument/2006/relationships" ref="R328" r:id="rId327"/>
    <hyperlink xmlns:r="http://schemas.openxmlformats.org/officeDocument/2006/relationships" ref="R329" r:id="rId328"/>
    <hyperlink xmlns:r="http://schemas.openxmlformats.org/officeDocument/2006/relationships" ref="R330" r:id="rId329"/>
    <hyperlink xmlns:r="http://schemas.openxmlformats.org/officeDocument/2006/relationships" ref="R331" r:id="rId330"/>
    <hyperlink xmlns:r="http://schemas.openxmlformats.org/officeDocument/2006/relationships" ref="R332" r:id="rId331"/>
    <hyperlink xmlns:r="http://schemas.openxmlformats.org/officeDocument/2006/relationships" ref="R333" r:id="rId332"/>
    <hyperlink xmlns:r="http://schemas.openxmlformats.org/officeDocument/2006/relationships" ref="R334" r:id="rId333"/>
    <hyperlink xmlns:r="http://schemas.openxmlformats.org/officeDocument/2006/relationships" ref="R335" r:id="rId334"/>
    <hyperlink xmlns:r="http://schemas.openxmlformats.org/officeDocument/2006/relationships" ref="R336" r:id="rId335"/>
    <hyperlink xmlns:r="http://schemas.openxmlformats.org/officeDocument/2006/relationships" ref="R337" r:id="rId336"/>
    <hyperlink xmlns:r="http://schemas.openxmlformats.org/officeDocument/2006/relationships" ref="R338" r:id="rId337"/>
    <hyperlink xmlns:r="http://schemas.openxmlformats.org/officeDocument/2006/relationships" ref="R339" r:id="rId338"/>
    <hyperlink xmlns:r="http://schemas.openxmlformats.org/officeDocument/2006/relationships" ref="R340" r:id="rId339"/>
    <hyperlink xmlns:r="http://schemas.openxmlformats.org/officeDocument/2006/relationships" ref="R341" r:id="rId340"/>
    <hyperlink xmlns:r="http://schemas.openxmlformats.org/officeDocument/2006/relationships" ref="R342" r:id="rId341"/>
    <hyperlink xmlns:r="http://schemas.openxmlformats.org/officeDocument/2006/relationships" ref="R343" r:id="rId342"/>
    <hyperlink xmlns:r="http://schemas.openxmlformats.org/officeDocument/2006/relationships" ref="R344" r:id="rId343"/>
    <hyperlink xmlns:r="http://schemas.openxmlformats.org/officeDocument/2006/relationships" ref="R345" r:id="rId344"/>
    <hyperlink xmlns:r="http://schemas.openxmlformats.org/officeDocument/2006/relationships" ref="R346" r:id="rId345"/>
    <hyperlink xmlns:r="http://schemas.openxmlformats.org/officeDocument/2006/relationships" ref="R347" r:id="rId346"/>
    <hyperlink xmlns:r="http://schemas.openxmlformats.org/officeDocument/2006/relationships" ref="R348" r:id="rId347"/>
    <hyperlink xmlns:r="http://schemas.openxmlformats.org/officeDocument/2006/relationships" ref="R349" r:id="rId348"/>
    <hyperlink xmlns:r="http://schemas.openxmlformats.org/officeDocument/2006/relationships" ref="R350" r:id="rId349"/>
    <hyperlink xmlns:r="http://schemas.openxmlformats.org/officeDocument/2006/relationships" ref="R351" r:id="rId350"/>
    <hyperlink xmlns:r="http://schemas.openxmlformats.org/officeDocument/2006/relationships" ref="R352" r:id="rId351"/>
    <hyperlink xmlns:r="http://schemas.openxmlformats.org/officeDocument/2006/relationships" ref="R353" r:id="rId352"/>
    <hyperlink xmlns:r="http://schemas.openxmlformats.org/officeDocument/2006/relationships" ref="R354" r:id="rId353"/>
    <hyperlink xmlns:r="http://schemas.openxmlformats.org/officeDocument/2006/relationships" ref="R355" r:id="rId354"/>
    <hyperlink xmlns:r="http://schemas.openxmlformats.org/officeDocument/2006/relationships" ref="R356" r:id="rId355"/>
    <hyperlink xmlns:r="http://schemas.openxmlformats.org/officeDocument/2006/relationships" ref="R357" r:id="rId356"/>
    <hyperlink xmlns:r="http://schemas.openxmlformats.org/officeDocument/2006/relationships" ref="R358" r:id="rId357"/>
    <hyperlink xmlns:r="http://schemas.openxmlformats.org/officeDocument/2006/relationships" ref="R359" r:id="rId358"/>
    <hyperlink xmlns:r="http://schemas.openxmlformats.org/officeDocument/2006/relationships" ref="R360" r:id="rId359"/>
    <hyperlink xmlns:r="http://schemas.openxmlformats.org/officeDocument/2006/relationships" ref="R361" r:id="rId360"/>
    <hyperlink xmlns:r="http://schemas.openxmlformats.org/officeDocument/2006/relationships" ref="R362" r:id="rId361"/>
    <hyperlink xmlns:r="http://schemas.openxmlformats.org/officeDocument/2006/relationships" ref="R363" r:id="rId362"/>
    <hyperlink xmlns:r="http://schemas.openxmlformats.org/officeDocument/2006/relationships" ref="R364" r:id="rId363"/>
    <hyperlink xmlns:r="http://schemas.openxmlformats.org/officeDocument/2006/relationships" ref="R365" r:id="rId364"/>
    <hyperlink xmlns:r="http://schemas.openxmlformats.org/officeDocument/2006/relationships" ref="R366" r:id="rId365"/>
    <hyperlink xmlns:r="http://schemas.openxmlformats.org/officeDocument/2006/relationships" ref="R367" r:id="rId366"/>
    <hyperlink xmlns:r="http://schemas.openxmlformats.org/officeDocument/2006/relationships" ref="R368" r:id="rId367"/>
    <hyperlink xmlns:r="http://schemas.openxmlformats.org/officeDocument/2006/relationships" ref="R369" r:id="rId368"/>
    <hyperlink xmlns:r="http://schemas.openxmlformats.org/officeDocument/2006/relationships" ref="R370" r:id="rId369"/>
    <hyperlink xmlns:r="http://schemas.openxmlformats.org/officeDocument/2006/relationships" ref="R371" r:id="rId370"/>
    <hyperlink xmlns:r="http://schemas.openxmlformats.org/officeDocument/2006/relationships" ref="R372" r:id="rId371"/>
    <hyperlink xmlns:r="http://schemas.openxmlformats.org/officeDocument/2006/relationships" ref="R373" r:id="rId372"/>
    <hyperlink xmlns:r="http://schemas.openxmlformats.org/officeDocument/2006/relationships" ref="R374" r:id="rId373"/>
    <hyperlink xmlns:r="http://schemas.openxmlformats.org/officeDocument/2006/relationships" ref="R375" r:id="rId374"/>
    <hyperlink xmlns:r="http://schemas.openxmlformats.org/officeDocument/2006/relationships" ref="R376" r:id="rId375"/>
    <hyperlink xmlns:r="http://schemas.openxmlformats.org/officeDocument/2006/relationships" ref="R377" r:id="rId376"/>
    <hyperlink xmlns:r="http://schemas.openxmlformats.org/officeDocument/2006/relationships" ref="R378" r:id="rId377"/>
    <hyperlink xmlns:r="http://schemas.openxmlformats.org/officeDocument/2006/relationships" ref="R379" r:id="rId378"/>
    <hyperlink xmlns:r="http://schemas.openxmlformats.org/officeDocument/2006/relationships" ref="R380" r:id="rId379"/>
    <hyperlink xmlns:r="http://schemas.openxmlformats.org/officeDocument/2006/relationships" ref="R381" r:id="rId380"/>
    <hyperlink xmlns:r="http://schemas.openxmlformats.org/officeDocument/2006/relationships" ref="R382" r:id="rId381"/>
    <hyperlink xmlns:r="http://schemas.openxmlformats.org/officeDocument/2006/relationships" ref="R383" r:id="rId382"/>
    <hyperlink xmlns:r="http://schemas.openxmlformats.org/officeDocument/2006/relationships" ref="R384" r:id="rId383"/>
    <hyperlink xmlns:r="http://schemas.openxmlformats.org/officeDocument/2006/relationships" ref="R385" r:id="rId384"/>
    <hyperlink xmlns:r="http://schemas.openxmlformats.org/officeDocument/2006/relationships" ref="R386" r:id="rId385"/>
    <hyperlink xmlns:r="http://schemas.openxmlformats.org/officeDocument/2006/relationships" ref="R387" r:id="rId386"/>
    <hyperlink xmlns:r="http://schemas.openxmlformats.org/officeDocument/2006/relationships" ref="R388" r:id="rId387"/>
    <hyperlink xmlns:r="http://schemas.openxmlformats.org/officeDocument/2006/relationships" ref="R389" r:id="rId388"/>
    <hyperlink xmlns:r="http://schemas.openxmlformats.org/officeDocument/2006/relationships" ref="R390" r:id="rId389"/>
    <hyperlink xmlns:r="http://schemas.openxmlformats.org/officeDocument/2006/relationships" ref="R391" r:id="rId390"/>
    <hyperlink xmlns:r="http://schemas.openxmlformats.org/officeDocument/2006/relationships" ref="R392" r:id="rId391"/>
    <hyperlink xmlns:r="http://schemas.openxmlformats.org/officeDocument/2006/relationships" ref="R393" r:id="rId392"/>
    <hyperlink xmlns:r="http://schemas.openxmlformats.org/officeDocument/2006/relationships" ref="R394" r:id="rId393"/>
    <hyperlink xmlns:r="http://schemas.openxmlformats.org/officeDocument/2006/relationships" ref="R395" r:id="rId394"/>
    <hyperlink xmlns:r="http://schemas.openxmlformats.org/officeDocument/2006/relationships" ref="R396" r:id="rId395"/>
    <hyperlink xmlns:r="http://schemas.openxmlformats.org/officeDocument/2006/relationships" ref="R397" r:id="rId396"/>
    <hyperlink xmlns:r="http://schemas.openxmlformats.org/officeDocument/2006/relationships" ref="R398" r:id="rId397"/>
    <hyperlink xmlns:r="http://schemas.openxmlformats.org/officeDocument/2006/relationships" ref="R399" r:id="rId398"/>
    <hyperlink xmlns:r="http://schemas.openxmlformats.org/officeDocument/2006/relationships" ref="R400" r:id="rId399"/>
    <hyperlink xmlns:r="http://schemas.openxmlformats.org/officeDocument/2006/relationships" ref="R401" r:id="rId400"/>
    <hyperlink xmlns:r="http://schemas.openxmlformats.org/officeDocument/2006/relationships" ref="R402" r:id="rId401"/>
    <hyperlink xmlns:r="http://schemas.openxmlformats.org/officeDocument/2006/relationships" ref="R403" r:id="rId402"/>
    <hyperlink xmlns:r="http://schemas.openxmlformats.org/officeDocument/2006/relationships" ref="R404" r:id="rId403"/>
    <hyperlink xmlns:r="http://schemas.openxmlformats.org/officeDocument/2006/relationships" ref="R405" r:id="rId404"/>
    <hyperlink xmlns:r="http://schemas.openxmlformats.org/officeDocument/2006/relationships" ref="R406" r:id="rId405"/>
    <hyperlink xmlns:r="http://schemas.openxmlformats.org/officeDocument/2006/relationships" ref="R407" r:id="rId406"/>
    <hyperlink xmlns:r="http://schemas.openxmlformats.org/officeDocument/2006/relationships" ref="R408" r:id="rId407"/>
    <hyperlink xmlns:r="http://schemas.openxmlformats.org/officeDocument/2006/relationships" ref="R409" r:id="rId408"/>
    <hyperlink xmlns:r="http://schemas.openxmlformats.org/officeDocument/2006/relationships" ref="R410" r:id="rId409"/>
    <hyperlink xmlns:r="http://schemas.openxmlformats.org/officeDocument/2006/relationships" ref="R411" r:id="rId410"/>
    <hyperlink xmlns:r="http://schemas.openxmlformats.org/officeDocument/2006/relationships" ref="R412" r:id="rId411"/>
    <hyperlink xmlns:r="http://schemas.openxmlformats.org/officeDocument/2006/relationships" ref="R413" r:id="rId412"/>
    <hyperlink xmlns:r="http://schemas.openxmlformats.org/officeDocument/2006/relationships" ref="R414" r:id="rId413"/>
    <hyperlink xmlns:r="http://schemas.openxmlformats.org/officeDocument/2006/relationships" ref="R415" r:id="rId414"/>
    <hyperlink xmlns:r="http://schemas.openxmlformats.org/officeDocument/2006/relationships" ref="R416" r:id="rId415"/>
    <hyperlink xmlns:r="http://schemas.openxmlformats.org/officeDocument/2006/relationships" ref="R417" r:id="rId416"/>
    <hyperlink xmlns:r="http://schemas.openxmlformats.org/officeDocument/2006/relationships" ref="R418" r:id="rId417"/>
    <hyperlink xmlns:r="http://schemas.openxmlformats.org/officeDocument/2006/relationships" ref="R419" r:id="rId418"/>
    <hyperlink xmlns:r="http://schemas.openxmlformats.org/officeDocument/2006/relationships" ref="R420" r:id="rId419"/>
    <hyperlink xmlns:r="http://schemas.openxmlformats.org/officeDocument/2006/relationships" ref="R421" r:id="rId420"/>
    <hyperlink xmlns:r="http://schemas.openxmlformats.org/officeDocument/2006/relationships" ref="R422" r:id="rId421"/>
    <hyperlink xmlns:r="http://schemas.openxmlformats.org/officeDocument/2006/relationships" ref="R423" r:id="rId422"/>
    <hyperlink xmlns:r="http://schemas.openxmlformats.org/officeDocument/2006/relationships" ref="R424" r:id="rId423"/>
    <hyperlink xmlns:r="http://schemas.openxmlformats.org/officeDocument/2006/relationships" ref="R425" r:id="rId424"/>
    <hyperlink xmlns:r="http://schemas.openxmlformats.org/officeDocument/2006/relationships" ref="R426" r:id="rId425"/>
    <hyperlink xmlns:r="http://schemas.openxmlformats.org/officeDocument/2006/relationships" ref="R427" r:id="rId426"/>
    <hyperlink xmlns:r="http://schemas.openxmlformats.org/officeDocument/2006/relationships" ref="R428" r:id="rId427"/>
    <hyperlink xmlns:r="http://schemas.openxmlformats.org/officeDocument/2006/relationships" ref="R429" r:id="rId428"/>
    <hyperlink xmlns:r="http://schemas.openxmlformats.org/officeDocument/2006/relationships" ref="R430" r:id="rId429"/>
    <hyperlink xmlns:r="http://schemas.openxmlformats.org/officeDocument/2006/relationships" ref="R431" r:id="rId430"/>
    <hyperlink xmlns:r="http://schemas.openxmlformats.org/officeDocument/2006/relationships" ref="R432" r:id="rId431"/>
    <hyperlink xmlns:r="http://schemas.openxmlformats.org/officeDocument/2006/relationships" ref="R433" r:id="rId432"/>
    <hyperlink xmlns:r="http://schemas.openxmlformats.org/officeDocument/2006/relationships" ref="R434" r:id="rId433"/>
    <hyperlink xmlns:r="http://schemas.openxmlformats.org/officeDocument/2006/relationships" ref="R435" r:id="rId434"/>
    <hyperlink xmlns:r="http://schemas.openxmlformats.org/officeDocument/2006/relationships" ref="R436" r:id="rId435"/>
    <hyperlink xmlns:r="http://schemas.openxmlformats.org/officeDocument/2006/relationships" ref="R437" r:id="rId436"/>
    <hyperlink xmlns:r="http://schemas.openxmlformats.org/officeDocument/2006/relationships" ref="R438" r:id="rId437"/>
    <hyperlink xmlns:r="http://schemas.openxmlformats.org/officeDocument/2006/relationships" ref="R439" r:id="rId438"/>
    <hyperlink xmlns:r="http://schemas.openxmlformats.org/officeDocument/2006/relationships" ref="R440" r:id="rId439"/>
    <hyperlink xmlns:r="http://schemas.openxmlformats.org/officeDocument/2006/relationships" ref="R441" r:id="rId440"/>
    <hyperlink xmlns:r="http://schemas.openxmlformats.org/officeDocument/2006/relationships" ref="R442" r:id="rId441"/>
    <hyperlink xmlns:r="http://schemas.openxmlformats.org/officeDocument/2006/relationships" ref="R443" r:id="rId442"/>
    <hyperlink xmlns:r="http://schemas.openxmlformats.org/officeDocument/2006/relationships" ref="R444" r:id="rId443"/>
    <hyperlink xmlns:r="http://schemas.openxmlformats.org/officeDocument/2006/relationships" ref="R445" r:id="rId444"/>
    <hyperlink xmlns:r="http://schemas.openxmlformats.org/officeDocument/2006/relationships" ref="R446" r:id="rId445"/>
    <hyperlink xmlns:r="http://schemas.openxmlformats.org/officeDocument/2006/relationships" ref="R447" r:id="rId446"/>
    <hyperlink xmlns:r="http://schemas.openxmlformats.org/officeDocument/2006/relationships" ref="R448" r:id="rId447"/>
    <hyperlink xmlns:r="http://schemas.openxmlformats.org/officeDocument/2006/relationships" ref="R449" r:id="rId448"/>
    <hyperlink xmlns:r="http://schemas.openxmlformats.org/officeDocument/2006/relationships" ref="R450" r:id="rId449"/>
    <hyperlink xmlns:r="http://schemas.openxmlformats.org/officeDocument/2006/relationships" ref="R451" r:id="rId450"/>
    <hyperlink xmlns:r="http://schemas.openxmlformats.org/officeDocument/2006/relationships" ref="R452" r:id="rId451"/>
    <hyperlink xmlns:r="http://schemas.openxmlformats.org/officeDocument/2006/relationships" ref="R453" r:id="rId452"/>
    <hyperlink xmlns:r="http://schemas.openxmlformats.org/officeDocument/2006/relationships" ref="R454" r:id="rId453"/>
    <hyperlink xmlns:r="http://schemas.openxmlformats.org/officeDocument/2006/relationships" ref="R455" r:id="rId454"/>
    <hyperlink xmlns:r="http://schemas.openxmlformats.org/officeDocument/2006/relationships" ref="R456" r:id="rId455"/>
    <hyperlink xmlns:r="http://schemas.openxmlformats.org/officeDocument/2006/relationships" ref="R457" r:id="rId456"/>
    <hyperlink xmlns:r="http://schemas.openxmlformats.org/officeDocument/2006/relationships" ref="R458" r:id="rId457"/>
    <hyperlink xmlns:r="http://schemas.openxmlformats.org/officeDocument/2006/relationships" ref="R459" r:id="rId458"/>
    <hyperlink xmlns:r="http://schemas.openxmlformats.org/officeDocument/2006/relationships" ref="R460" r:id="rId459"/>
    <hyperlink xmlns:r="http://schemas.openxmlformats.org/officeDocument/2006/relationships" ref="R461" r:id="rId460"/>
    <hyperlink xmlns:r="http://schemas.openxmlformats.org/officeDocument/2006/relationships" ref="R462" r:id="rId461"/>
    <hyperlink xmlns:r="http://schemas.openxmlformats.org/officeDocument/2006/relationships" ref="R463" r:id="rId462"/>
    <hyperlink xmlns:r="http://schemas.openxmlformats.org/officeDocument/2006/relationships" ref="R464" r:id="rId463"/>
    <hyperlink xmlns:r="http://schemas.openxmlformats.org/officeDocument/2006/relationships" ref="R465" r:id="rId464"/>
    <hyperlink xmlns:r="http://schemas.openxmlformats.org/officeDocument/2006/relationships" ref="R466" r:id="rId465"/>
    <hyperlink xmlns:r="http://schemas.openxmlformats.org/officeDocument/2006/relationships" ref="R467" r:id="rId466"/>
    <hyperlink xmlns:r="http://schemas.openxmlformats.org/officeDocument/2006/relationships" ref="R468" r:id="rId467"/>
    <hyperlink xmlns:r="http://schemas.openxmlformats.org/officeDocument/2006/relationships" ref="R469" r:id="rId468"/>
    <hyperlink xmlns:r="http://schemas.openxmlformats.org/officeDocument/2006/relationships" ref="R470" r:id="rId469"/>
    <hyperlink xmlns:r="http://schemas.openxmlformats.org/officeDocument/2006/relationships" ref="R471" r:id="rId470"/>
    <hyperlink xmlns:r="http://schemas.openxmlformats.org/officeDocument/2006/relationships" ref="R472" r:id="rId471"/>
    <hyperlink xmlns:r="http://schemas.openxmlformats.org/officeDocument/2006/relationships" ref="R473" r:id="rId472"/>
    <hyperlink xmlns:r="http://schemas.openxmlformats.org/officeDocument/2006/relationships" ref="R474" r:id="rId473"/>
    <hyperlink xmlns:r="http://schemas.openxmlformats.org/officeDocument/2006/relationships" ref="R475" r:id="rId474"/>
    <hyperlink xmlns:r="http://schemas.openxmlformats.org/officeDocument/2006/relationships" ref="R476" r:id="rId475"/>
    <hyperlink xmlns:r="http://schemas.openxmlformats.org/officeDocument/2006/relationships" ref="R477" r:id="rId476"/>
    <hyperlink xmlns:r="http://schemas.openxmlformats.org/officeDocument/2006/relationships" ref="R478" r:id="rId477"/>
    <hyperlink xmlns:r="http://schemas.openxmlformats.org/officeDocument/2006/relationships" ref="R479" r:id="rId478"/>
    <hyperlink xmlns:r="http://schemas.openxmlformats.org/officeDocument/2006/relationships" ref="R480" r:id="rId479"/>
    <hyperlink xmlns:r="http://schemas.openxmlformats.org/officeDocument/2006/relationships" ref="R481" r:id="rId480"/>
    <hyperlink xmlns:r="http://schemas.openxmlformats.org/officeDocument/2006/relationships" ref="R482" r:id="rId481"/>
    <hyperlink xmlns:r="http://schemas.openxmlformats.org/officeDocument/2006/relationships" ref="R483" r:id="rId482"/>
    <hyperlink xmlns:r="http://schemas.openxmlformats.org/officeDocument/2006/relationships" ref="R484" r:id="rId483"/>
    <hyperlink xmlns:r="http://schemas.openxmlformats.org/officeDocument/2006/relationships" ref="R485" r:id="rId484"/>
    <hyperlink xmlns:r="http://schemas.openxmlformats.org/officeDocument/2006/relationships" ref="R486" r:id="rId485"/>
    <hyperlink xmlns:r="http://schemas.openxmlformats.org/officeDocument/2006/relationships" ref="R487" r:id="rId486"/>
    <hyperlink xmlns:r="http://schemas.openxmlformats.org/officeDocument/2006/relationships" ref="R488" r:id="rId487"/>
    <hyperlink xmlns:r="http://schemas.openxmlformats.org/officeDocument/2006/relationships" ref="R489" r:id="rId488"/>
    <hyperlink xmlns:r="http://schemas.openxmlformats.org/officeDocument/2006/relationships" ref="R490" r:id="rId489"/>
    <hyperlink xmlns:r="http://schemas.openxmlformats.org/officeDocument/2006/relationships" ref="R491" r:id="rId490"/>
    <hyperlink xmlns:r="http://schemas.openxmlformats.org/officeDocument/2006/relationships" ref="R492" r:id="rId491"/>
    <hyperlink xmlns:r="http://schemas.openxmlformats.org/officeDocument/2006/relationships" ref="R493" r:id="rId492"/>
    <hyperlink xmlns:r="http://schemas.openxmlformats.org/officeDocument/2006/relationships" ref="R494" r:id="rId493"/>
    <hyperlink xmlns:r="http://schemas.openxmlformats.org/officeDocument/2006/relationships" ref="R495" r:id="rId494"/>
    <hyperlink xmlns:r="http://schemas.openxmlformats.org/officeDocument/2006/relationships" ref="R496" r:id="rId495"/>
    <hyperlink xmlns:r="http://schemas.openxmlformats.org/officeDocument/2006/relationships" ref="R497" r:id="rId496"/>
    <hyperlink xmlns:r="http://schemas.openxmlformats.org/officeDocument/2006/relationships" ref="R498" r:id="rId497"/>
    <hyperlink xmlns:r="http://schemas.openxmlformats.org/officeDocument/2006/relationships" ref="R499" r:id="rId498"/>
    <hyperlink xmlns:r="http://schemas.openxmlformats.org/officeDocument/2006/relationships" ref="R500" r:id="rId499"/>
    <hyperlink xmlns:r="http://schemas.openxmlformats.org/officeDocument/2006/relationships" ref="R501" r:id="rId500"/>
    <hyperlink xmlns:r="http://schemas.openxmlformats.org/officeDocument/2006/relationships" ref="R502" r:id="rId501"/>
    <hyperlink xmlns:r="http://schemas.openxmlformats.org/officeDocument/2006/relationships" ref="R503" r:id="rId502"/>
    <hyperlink xmlns:r="http://schemas.openxmlformats.org/officeDocument/2006/relationships" ref="R504" r:id="rId503"/>
    <hyperlink xmlns:r="http://schemas.openxmlformats.org/officeDocument/2006/relationships" ref="R505" r:id="rId504"/>
    <hyperlink xmlns:r="http://schemas.openxmlformats.org/officeDocument/2006/relationships" ref="R506" r:id="rId505"/>
    <hyperlink xmlns:r="http://schemas.openxmlformats.org/officeDocument/2006/relationships" ref="R507" r:id="rId506"/>
    <hyperlink xmlns:r="http://schemas.openxmlformats.org/officeDocument/2006/relationships" ref="R508" r:id="rId507"/>
    <hyperlink xmlns:r="http://schemas.openxmlformats.org/officeDocument/2006/relationships" ref="R509" r:id="rId508"/>
    <hyperlink xmlns:r="http://schemas.openxmlformats.org/officeDocument/2006/relationships" ref="R510" r:id="rId509"/>
    <hyperlink xmlns:r="http://schemas.openxmlformats.org/officeDocument/2006/relationships" ref="R511" r:id="rId510"/>
    <hyperlink xmlns:r="http://schemas.openxmlformats.org/officeDocument/2006/relationships" ref="R512" r:id="rId511"/>
    <hyperlink xmlns:r="http://schemas.openxmlformats.org/officeDocument/2006/relationships" ref="R513" r:id="rId512"/>
    <hyperlink xmlns:r="http://schemas.openxmlformats.org/officeDocument/2006/relationships" ref="R514" r:id="rId513"/>
    <hyperlink xmlns:r="http://schemas.openxmlformats.org/officeDocument/2006/relationships" ref="R515" r:id="rId514"/>
    <hyperlink xmlns:r="http://schemas.openxmlformats.org/officeDocument/2006/relationships" ref="R516" r:id="rId515"/>
    <hyperlink xmlns:r="http://schemas.openxmlformats.org/officeDocument/2006/relationships" ref="R517" r:id="rId516"/>
    <hyperlink xmlns:r="http://schemas.openxmlformats.org/officeDocument/2006/relationships" ref="R518" r:id="rId517"/>
    <hyperlink xmlns:r="http://schemas.openxmlformats.org/officeDocument/2006/relationships" ref="R519" r:id="rId518"/>
    <hyperlink xmlns:r="http://schemas.openxmlformats.org/officeDocument/2006/relationships" ref="R520" r:id="rId519"/>
    <hyperlink xmlns:r="http://schemas.openxmlformats.org/officeDocument/2006/relationships" ref="R521" r:id="rId520"/>
    <hyperlink xmlns:r="http://schemas.openxmlformats.org/officeDocument/2006/relationships" ref="R522" r:id="rId521"/>
    <hyperlink xmlns:r="http://schemas.openxmlformats.org/officeDocument/2006/relationships" ref="R523" r:id="rId522"/>
    <hyperlink xmlns:r="http://schemas.openxmlformats.org/officeDocument/2006/relationships" ref="R524" r:id="rId523"/>
    <hyperlink xmlns:r="http://schemas.openxmlformats.org/officeDocument/2006/relationships" ref="R525" r:id="rId524"/>
    <hyperlink xmlns:r="http://schemas.openxmlformats.org/officeDocument/2006/relationships" ref="R526" r:id="rId525"/>
    <hyperlink xmlns:r="http://schemas.openxmlformats.org/officeDocument/2006/relationships" ref="R527" r:id="rId526"/>
    <hyperlink xmlns:r="http://schemas.openxmlformats.org/officeDocument/2006/relationships" ref="R528" r:id="rId527"/>
    <hyperlink xmlns:r="http://schemas.openxmlformats.org/officeDocument/2006/relationships" ref="R529" r:id="rId528"/>
    <hyperlink xmlns:r="http://schemas.openxmlformats.org/officeDocument/2006/relationships" ref="R530" r:id="rId529"/>
    <hyperlink xmlns:r="http://schemas.openxmlformats.org/officeDocument/2006/relationships" ref="R531" r:id="rId530"/>
    <hyperlink xmlns:r="http://schemas.openxmlformats.org/officeDocument/2006/relationships" ref="R532" r:id="rId531"/>
    <hyperlink xmlns:r="http://schemas.openxmlformats.org/officeDocument/2006/relationships" ref="R533" r:id="rId532"/>
    <hyperlink xmlns:r="http://schemas.openxmlformats.org/officeDocument/2006/relationships" ref="R534" r:id="rId533"/>
    <hyperlink xmlns:r="http://schemas.openxmlformats.org/officeDocument/2006/relationships" ref="R535" r:id="rId534"/>
    <hyperlink xmlns:r="http://schemas.openxmlformats.org/officeDocument/2006/relationships" ref="R536" r:id="rId535"/>
    <hyperlink xmlns:r="http://schemas.openxmlformats.org/officeDocument/2006/relationships" ref="R537" r:id="rId536"/>
    <hyperlink xmlns:r="http://schemas.openxmlformats.org/officeDocument/2006/relationships" ref="R538" r:id="rId537"/>
    <hyperlink xmlns:r="http://schemas.openxmlformats.org/officeDocument/2006/relationships" ref="R539" r:id="rId538"/>
    <hyperlink xmlns:r="http://schemas.openxmlformats.org/officeDocument/2006/relationships" ref="R540" r:id="rId539"/>
    <hyperlink xmlns:r="http://schemas.openxmlformats.org/officeDocument/2006/relationships" ref="R541" r:id="rId540"/>
    <hyperlink xmlns:r="http://schemas.openxmlformats.org/officeDocument/2006/relationships" ref="R542" r:id="rId541"/>
    <hyperlink xmlns:r="http://schemas.openxmlformats.org/officeDocument/2006/relationships" ref="R543" r:id="rId542"/>
    <hyperlink xmlns:r="http://schemas.openxmlformats.org/officeDocument/2006/relationships" ref="R544" r:id="rId543"/>
    <hyperlink xmlns:r="http://schemas.openxmlformats.org/officeDocument/2006/relationships" ref="R545" r:id="rId544"/>
    <hyperlink xmlns:r="http://schemas.openxmlformats.org/officeDocument/2006/relationships" ref="R546" r:id="rId545"/>
    <hyperlink xmlns:r="http://schemas.openxmlformats.org/officeDocument/2006/relationships" ref="R547" r:id="rId546"/>
    <hyperlink xmlns:r="http://schemas.openxmlformats.org/officeDocument/2006/relationships" ref="R548" r:id="rId547"/>
    <hyperlink xmlns:r="http://schemas.openxmlformats.org/officeDocument/2006/relationships" ref="R549" r:id="rId548"/>
    <hyperlink xmlns:r="http://schemas.openxmlformats.org/officeDocument/2006/relationships" ref="R550" r:id="rId549"/>
    <hyperlink xmlns:r="http://schemas.openxmlformats.org/officeDocument/2006/relationships" ref="R551" r:id="rId550"/>
    <hyperlink xmlns:r="http://schemas.openxmlformats.org/officeDocument/2006/relationships" ref="R552" r:id="rId551"/>
    <hyperlink xmlns:r="http://schemas.openxmlformats.org/officeDocument/2006/relationships" ref="R553" r:id="rId552"/>
    <hyperlink xmlns:r="http://schemas.openxmlformats.org/officeDocument/2006/relationships" ref="R554" r:id="rId553"/>
    <hyperlink xmlns:r="http://schemas.openxmlformats.org/officeDocument/2006/relationships" ref="R555" r:id="rId554"/>
    <hyperlink xmlns:r="http://schemas.openxmlformats.org/officeDocument/2006/relationships" ref="R556" r:id="rId555"/>
    <hyperlink xmlns:r="http://schemas.openxmlformats.org/officeDocument/2006/relationships" ref="R557" r:id="rId556"/>
    <hyperlink xmlns:r="http://schemas.openxmlformats.org/officeDocument/2006/relationships" ref="R558" r:id="rId557"/>
    <hyperlink xmlns:r="http://schemas.openxmlformats.org/officeDocument/2006/relationships" ref="R559" r:id="rId558"/>
    <hyperlink xmlns:r="http://schemas.openxmlformats.org/officeDocument/2006/relationships" ref="R560" r:id="rId559"/>
    <hyperlink xmlns:r="http://schemas.openxmlformats.org/officeDocument/2006/relationships" ref="R561" r:id="rId560"/>
    <hyperlink xmlns:r="http://schemas.openxmlformats.org/officeDocument/2006/relationships" ref="R562" r:id="rId561"/>
    <hyperlink xmlns:r="http://schemas.openxmlformats.org/officeDocument/2006/relationships" ref="R563" r:id="rId562"/>
    <hyperlink xmlns:r="http://schemas.openxmlformats.org/officeDocument/2006/relationships" ref="R564" r:id="rId563"/>
    <hyperlink xmlns:r="http://schemas.openxmlformats.org/officeDocument/2006/relationships" ref="R565" r:id="rId564"/>
    <hyperlink xmlns:r="http://schemas.openxmlformats.org/officeDocument/2006/relationships" ref="R566" r:id="rId565"/>
    <hyperlink xmlns:r="http://schemas.openxmlformats.org/officeDocument/2006/relationships" ref="R567" r:id="rId566"/>
    <hyperlink xmlns:r="http://schemas.openxmlformats.org/officeDocument/2006/relationships" ref="R568" r:id="rId567"/>
    <hyperlink xmlns:r="http://schemas.openxmlformats.org/officeDocument/2006/relationships" ref="R569" r:id="rId568"/>
    <hyperlink xmlns:r="http://schemas.openxmlformats.org/officeDocument/2006/relationships" ref="R570" r:id="rId569"/>
    <hyperlink xmlns:r="http://schemas.openxmlformats.org/officeDocument/2006/relationships" ref="R571" r:id="rId570"/>
    <hyperlink xmlns:r="http://schemas.openxmlformats.org/officeDocument/2006/relationships" ref="R572" r:id="rId571"/>
    <hyperlink xmlns:r="http://schemas.openxmlformats.org/officeDocument/2006/relationships" ref="R573" r:id="rId572"/>
    <hyperlink xmlns:r="http://schemas.openxmlformats.org/officeDocument/2006/relationships" ref="R574" r:id="rId573"/>
    <hyperlink xmlns:r="http://schemas.openxmlformats.org/officeDocument/2006/relationships" ref="R575" r:id="rId574"/>
    <hyperlink xmlns:r="http://schemas.openxmlformats.org/officeDocument/2006/relationships" ref="R576" r:id="rId575"/>
    <hyperlink xmlns:r="http://schemas.openxmlformats.org/officeDocument/2006/relationships" ref="R577" r:id="rId576"/>
    <hyperlink xmlns:r="http://schemas.openxmlformats.org/officeDocument/2006/relationships" ref="R578" r:id="rId577"/>
    <hyperlink xmlns:r="http://schemas.openxmlformats.org/officeDocument/2006/relationships" ref="R579" r:id="rId578"/>
    <hyperlink xmlns:r="http://schemas.openxmlformats.org/officeDocument/2006/relationships" ref="R580" r:id="rId579"/>
    <hyperlink xmlns:r="http://schemas.openxmlformats.org/officeDocument/2006/relationships" ref="R581" r:id="rId580"/>
    <hyperlink xmlns:r="http://schemas.openxmlformats.org/officeDocument/2006/relationships" ref="R582" r:id="rId581"/>
    <hyperlink xmlns:r="http://schemas.openxmlformats.org/officeDocument/2006/relationships" ref="R583" r:id="rId582"/>
    <hyperlink xmlns:r="http://schemas.openxmlformats.org/officeDocument/2006/relationships" ref="R584" r:id="rId583"/>
    <hyperlink xmlns:r="http://schemas.openxmlformats.org/officeDocument/2006/relationships" ref="R585" r:id="rId584"/>
    <hyperlink xmlns:r="http://schemas.openxmlformats.org/officeDocument/2006/relationships" ref="R586" r:id="rId585"/>
    <hyperlink xmlns:r="http://schemas.openxmlformats.org/officeDocument/2006/relationships" ref="R587" r:id="rId586"/>
    <hyperlink xmlns:r="http://schemas.openxmlformats.org/officeDocument/2006/relationships" ref="R588" r:id="rId587"/>
    <hyperlink xmlns:r="http://schemas.openxmlformats.org/officeDocument/2006/relationships" ref="R589" r:id="rId588"/>
    <hyperlink xmlns:r="http://schemas.openxmlformats.org/officeDocument/2006/relationships" ref="R590" r:id="rId589"/>
    <hyperlink xmlns:r="http://schemas.openxmlformats.org/officeDocument/2006/relationships" ref="R591" r:id="rId590"/>
    <hyperlink xmlns:r="http://schemas.openxmlformats.org/officeDocument/2006/relationships" ref="R592" r:id="rId591"/>
    <hyperlink xmlns:r="http://schemas.openxmlformats.org/officeDocument/2006/relationships" ref="R593" r:id="rId592"/>
    <hyperlink xmlns:r="http://schemas.openxmlformats.org/officeDocument/2006/relationships" ref="R594" r:id="rId593"/>
    <hyperlink xmlns:r="http://schemas.openxmlformats.org/officeDocument/2006/relationships" ref="R595" r:id="rId594"/>
    <hyperlink xmlns:r="http://schemas.openxmlformats.org/officeDocument/2006/relationships" ref="R596" r:id="rId595"/>
    <hyperlink xmlns:r="http://schemas.openxmlformats.org/officeDocument/2006/relationships" ref="R597" r:id="rId596"/>
    <hyperlink xmlns:r="http://schemas.openxmlformats.org/officeDocument/2006/relationships" ref="R598" r:id="rId597"/>
    <hyperlink xmlns:r="http://schemas.openxmlformats.org/officeDocument/2006/relationships" ref="R599" r:id="rId598"/>
    <hyperlink xmlns:r="http://schemas.openxmlformats.org/officeDocument/2006/relationships" ref="R600" r:id="rId599"/>
    <hyperlink xmlns:r="http://schemas.openxmlformats.org/officeDocument/2006/relationships" ref="R601" r:id="rId600"/>
    <hyperlink xmlns:r="http://schemas.openxmlformats.org/officeDocument/2006/relationships" ref="R602" r:id="rId601"/>
    <hyperlink xmlns:r="http://schemas.openxmlformats.org/officeDocument/2006/relationships" ref="R603" r:id="rId602"/>
    <hyperlink xmlns:r="http://schemas.openxmlformats.org/officeDocument/2006/relationships" ref="R604" r:id="rId603"/>
    <hyperlink xmlns:r="http://schemas.openxmlformats.org/officeDocument/2006/relationships" ref="R605" r:id="rId604"/>
    <hyperlink xmlns:r="http://schemas.openxmlformats.org/officeDocument/2006/relationships" ref="R606" r:id="rId605"/>
    <hyperlink xmlns:r="http://schemas.openxmlformats.org/officeDocument/2006/relationships" ref="R607" r:id="rId606"/>
    <hyperlink xmlns:r="http://schemas.openxmlformats.org/officeDocument/2006/relationships" ref="R608" r:id="rId607"/>
    <hyperlink xmlns:r="http://schemas.openxmlformats.org/officeDocument/2006/relationships" ref="R609" r:id="rId608"/>
    <hyperlink xmlns:r="http://schemas.openxmlformats.org/officeDocument/2006/relationships" ref="R610" r:id="rId609"/>
    <hyperlink xmlns:r="http://schemas.openxmlformats.org/officeDocument/2006/relationships" ref="R611" r:id="rId610"/>
    <hyperlink xmlns:r="http://schemas.openxmlformats.org/officeDocument/2006/relationships" ref="R612" r:id="rId611"/>
    <hyperlink xmlns:r="http://schemas.openxmlformats.org/officeDocument/2006/relationships" ref="R613" r:id="rId612"/>
    <hyperlink xmlns:r="http://schemas.openxmlformats.org/officeDocument/2006/relationships" ref="R614" r:id="rId613"/>
    <hyperlink xmlns:r="http://schemas.openxmlformats.org/officeDocument/2006/relationships" ref="R615" r:id="rId614"/>
    <hyperlink xmlns:r="http://schemas.openxmlformats.org/officeDocument/2006/relationships" ref="R616" r:id="rId615"/>
    <hyperlink xmlns:r="http://schemas.openxmlformats.org/officeDocument/2006/relationships" ref="R617" r:id="rId616"/>
    <hyperlink xmlns:r="http://schemas.openxmlformats.org/officeDocument/2006/relationships" ref="R618" r:id="rId617"/>
    <hyperlink xmlns:r="http://schemas.openxmlformats.org/officeDocument/2006/relationships" ref="R619" r:id="rId618"/>
    <hyperlink xmlns:r="http://schemas.openxmlformats.org/officeDocument/2006/relationships" ref="R620" r:id="rId619"/>
    <hyperlink xmlns:r="http://schemas.openxmlformats.org/officeDocument/2006/relationships" ref="R621" r:id="rId620"/>
    <hyperlink xmlns:r="http://schemas.openxmlformats.org/officeDocument/2006/relationships" ref="R622" r:id="rId621"/>
    <hyperlink xmlns:r="http://schemas.openxmlformats.org/officeDocument/2006/relationships" ref="R623" r:id="rId622"/>
    <hyperlink xmlns:r="http://schemas.openxmlformats.org/officeDocument/2006/relationships" ref="R624" r:id="rId623"/>
    <hyperlink xmlns:r="http://schemas.openxmlformats.org/officeDocument/2006/relationships" ref="R625" r:id="rId624"/>
    <hyperlink xmlns:r="http://schemas.openxmlformats.org/officeDocument/2006/relationships" ref="R626" r:id="rId625"/>
    <hyperlink xmlns:r="http://schemas.openxmlformats.org/officeDocument/2006/relationships" ref="R627" r:id="rId626"/>
    <hyperlink xmlns:r="http://schemas.openxmlformats.org/officeDocument/2006/relationships" ref="R628" r:id="rId627"/>
    <hyperlink xmlns:r="http://schemas.openxmlformats.org/officeDocument/2006/relationships" ref="R629" r:id="rId628"/>
    <hyperlink xmlns:r="http://schemas.openxmlformats.org/officeDocument/2006/relationships" ref="R630" r:id="rId629"/>
    <hyperlink xmlns:r="http://schemas.openxmlformats.org/officeDocument/2006/relationships" ref="R631" r:id="rId630"/>
    <hyperlink xmlns:r="http://schemas.openxmlformats.org/officeDocument/2006/relationships" ref="R632" r:id="rId631"/>
    <hyperlink xmlns:r="http://schemas.openxmlformats.org/officeDocument/2006/relationships" ref="R633" r:id="rId632"/>
    <hyperlink xmlns:r="http://schemas.openxmlformats.org/officeDocument/2006/relationships" ref="R634" r:id="rId633"/>
    <hyperlink xmlns:r="http://schemas.openxmlformats.org/officeDocument/2006/relationships" ref="R635" r:id="rId634"/>
    <hyperlink xmlns:r="http://schemas.openxmlformats.org/officeDocument/2006/relationships" ref="R636" r:id="rId635"/>
    <hyperlink xmlns:r="http://schemas.openxmlformats.org/officeDocument/2006/relationships" ref="R637" r:id="rId636"/>
    <hyperlink xmlns:r="http://schemas.openxmlformats.org/officeDocument/2006/relationships" ref="R638" r:id="rId637"/>
    <hyperlink xmlns:r="http://schemas.openxmlformats.org/officeDocument/2006/relationships" ref="R639" r:id="rId638"/>
    <hyperlink xmlns:r="http://schemas.openxmlformats.org/officeDocument/2006/relationships" ref="R640" r:id="rId639"/>
    <hyperlink xmlns:r="http://schemas.openxmlformats.org/officeDocument/2006/relationships" ref="R641" r:id="rId640"/>
    <hyperlink xmlns:r="http://schemas.openxmlformats.org/officeDocument/2006/relationships" ref="R642" r:id="rId641"/>
    <hyperlink xmlns:r="http://schemas.openxmlformats.org/officeDocument/2006/relationships" ref="R643" r:id="rId642"/>
    <hyperlink xmlns:r="http://schemas.openxmlformats.org/officeDocument/2006/relationships" ref="R644" r:id="rId643"/>
    <hyperlink xmlns:r="http://schemas.openxmlformats.org/officeDocument/2006/relationships" ref="R645" r:id="rId644"/>
    <hyperlink xmlns:r="http://schemas.openxmlformats.org/officeDocument/2006/relationships" ref="R646" r:id="rId645"/>
    <hyperlink xmlns:r="http://schemas.openxmlformats.org/officeDocument/2006/relationships" ref="R647" r:id="rId646"/>
    <hyperlink xmlns:r="http://schemas.openxmlformats.org/officeDocument/2006/relationships" ref="R648" r:id="rId647"/>
    <hyperlink xmlns:r="http://schemas.openxmlformats.org/officeDocument/2006/relationships" ref="R649" r:id="rId648"/>
    <hyperlink xmlns:r="http://schemas.openxmlformats.org/officeDocument/2006/relationships" ref="R650" r:id="rId649"/>
    <hyperlink xmlns:r="http://schemas.openxmlformats.org/officeDocument/2006/relationships" ref="R651" r:id="rId650"/>
    <hyperlink xmlns:r="http://schemas.openxmlformats.org/officeDocument/2006/relationships" ref="R652" r:id="rId651"/>
    <hyperlink xmlns:r="http://schemas.openxmlformats.org/officeDocument/2006/relationships" ref="R653" r:id="rId652"/>
    <hyperlink xmlns:r="http://schemas.openxmlformats.org/officeDocument/2006/relationships" ref="R654" r:id="rId653"/>
    <hyperlink xmlns:r="http://schemas.openxmlformats.org/officeDocument/2006/relationships" ref="R655" r:id="rId654"/>
    <hyperlink xmlns:r="http://schemas.openxmlformats.org/officeDocument/2006/relationships" ref="R656" r:id="rId655"/>
    <hyperlink xmlns:r="http://schemas.openxmlformats.org/officeDocument/2006/relationships" ref="R657" r:id="rId656"/>
    <hyperlink xmlns:r="http://schemas.openxmlformats.org/officeDocument/2006/relationships" ref="R658" r:id="rId657"/>
    <hyperlink xmlns:r="http://schemas.openxmlformats.org/officeDocument/2006/relationships" ref="R659" r:id="rId658"/>
    <hyperlink xmlns:r="http://schemas.openxmlformats.org/officeDocument/2006/relationships" ref="R660" r:id="rId659"/>
    <hyperlink xmlns:r="http://schemas.openxmlformats.org/officeDocument/2006/relationships" ref="R661" r:id="rId660"/>
    <hyperlink xmlns:r="http://schemas.openxmlformats.org/officeDocument/2006/relationships" ref="R662" r:id="rId661"/>
    <hyperlink xmlns:r="http://schemas.openxmlformats.org/officeDocument/2006/relationships" ref="R663" r:id="rId662"/>
    <hyperlink xmlns:r="http://schemas.openxmlformats.org/officeDocument/2006/relationships" ref="R664" r:id="rId663"/>
    <hyperlink xmlns:r="http://schemas.openxmlformats.org/officeDocument/2006/relationships" ref="R665" r:id="rId664"/>
    <hyperlink xmlns:r="http://schemas.openxmlformats.org/officeDocument/2006/relationships" ref="R666" r:id="rId665"/>
    <hyperlink xmlns:r="http://schemas.openxmlformats.org/officeDocument/2006/relationships" ref="R667" r:id="rId666"/>
    <hyperlink xmlns:r="http://schemas.openxmlformats.org/officeDocument/2006/relationships" ref="R668" r:id="rId667"/>
    <hyperlink xmlns:r="http://schemas.openxmlformats.org/officeDocument/2006/relationships" ref="R669" r:id="rId668"/>
    <hyperlink xmlns:r="http://schemas.openxmlformats.org/officeDocument/2006/relationships" ref="R670" r:id="rId669"/>
    <hyperlink xmlns:r="http://schemas.openxmlformats.org/officeDocument/2006/relationships" ref="R671" r:id="rId670"/>
    <hyperlink xmlns:r="http://schemas.openxmlformats.org/officeDocument/2006/relationships" ref="R672" r:id="rId671"/>
    <hyperlink xmlns:r="http://schemas.openxmlformats.org/officeDocument/2006/relationships" ref="R673" r:id="rId672"/>
    <hyperlink xmlns:r="http://schemas.openxmlformats.org/officeDocument/2006/relationships" ref="R674" r:id="rId673"/>
    <hyperlink xmlns:r="http://schemas.openxmlformats.org/officeDocument/2006/relationships" ref="R675" r:id="rId674"/>
    <hyperlink xmlns:r="http://schemas.openxmlformats.org/officeDocument/2006/relationships" ref="R676" r:id="rId675"/>
    <hyperlink xmlns:r="http://schemas.openxmlformats.org/officeDocument/2006/relationships" ref="R677" r:id="rId676"/>
    <hyperlink xmlns:r="http://schemas.openxmlformats.org/officeDocument/2006/relationships" ref="R678" r:id="rId677"/>
    <hyperlink xmlns:r="http://schemas.openxmlformats.org/officeDocument/2006/relationships" ref="R679" r:id="rId678"/>
    <hyperlink xmlns:r="http://schemas.openxmlformats.org/officeDocument/2006/relationships" ref="R680" r:id="rId679"/>
    <hyperlink xmlns:r="http://schemas.openxmlformats.org/officeDocument/2006/relationships" ref="R681" r:id="rId680"/>
    <hyperlink xmlns:r="http://schemas.openxmlformats.org/officeDocument/2006/relationships" ref="R682" r:id="rId681"/>
    <hyperlink xmlns:r="http://schemas.openxmlformats.org/officeDocument/2006/relationships" ref="R683" r:id="rId682"/>
    <hyperlink xmlns:r="http://schemas.openxmlformats.org/officeDocument/2006/relationships" ref="R684" r:id="rId683"/>
    <hyperlink xmlns:r="http://schemas.openxmlformats.org/officeDocument/2006/relationships" ref="R685" r:id="rId684"/>
    <hyperlink xmlns:r="http://schemas.openxmlformats.org/officeDocument/2006/relationships" ref="R686" r:id="rId685"/>
    <hyperlink xmlns:r="http://schemas.openxmlformats.org/officeDocument/2006/relationships" ref="R687" r:id="rId686"/>
    <hyperlink xmlns:r="http://schemas.openxmlformats.org/officeDocument/2006/relationships" ref="R688" r:id="rId687"/>
    <hyperlink xmlns:r="http://schemas.openxmlformats.org/officeDocument/2006/relationships" ref="R689" r:id="rId688"/>
    <hyperlink xmlns:r="http://schemas.openxmlformats.org/officeDocument/2006/relationships" ref="R690" r:id="rId689"/>
    <hyperlink xmlns:r="http://schemas.openxmlformats.org/officeDocument/2006/relationships" ref="R691" r:id="rId690"/>
    <hyperlink xmlns:r="http://schemas.openxmlformats.org/officeDocument/2006/relationships" ref="R692" r:id="rId691"/>
    <hyperlink xmlns:r="http://schemas.openxmlformats.org/officeDocument/2006/relationships" ref="R693" r:id="rId692"/>
    <hyperlink xmlns:r="http://schemas.openxmlformats.org/officeDocument/2006/relationships" ref="R694" r:id="rId693"/>
    <hyperlink xmlns:r="http://schemas.openxmlformats.org/officeDocument/2006/relationships" ref="R695" r:id="rId694"/>
    <hyperlink xmlns:r="http://schemas.openxmlformats.org/officeDocument/2006/relationships" ref="R696" r:id="rId695"/>
    <hyperlink xmlns:r="http://schemas.openxmlformats.org/officeDocument/2006/relationships" ref="R697" r:id="rId696"/>
    <hyperlink xmlns:r="http://schemas.openxmlformats.org/officeDocument/2006/relationships" ref="R698" r:id="rId697"/>
    <hyperlink xmlns:r="http://schemas.openxmlformats.org/officeDocument/2006/relationships" ref="R699" r:id="rId698"/>
    <hyperlink xmlns:r="http://schemas.openxmlformats.org/officeDocument/2006/relationships" ref="R700" r:id="rId699"/>
    <hyperlink xmlns:r="http://schemas.openxmlformats.org/officeDocument/2006/relationships" ref="R701" r:id="rId700"/>
    <hyperlink xmlns:r="http://schemas.openxmlformats.org/officeDocument/2006/relationships" ref="R702" r:id="rId701"/>
    <hyperlink xmlns:r="http://schemas.openxmlformats.org/officeDocument/2006/relationships" ref="R703" r:id="rId702"/>
    <hyperlink xmlns:r="http://schemas.openxmlformats.org/officeDocument/2006/relationships" ref="R704" r:id="rId703"/>
    <hyperlink xmlns:r="http://schemas.openxmlformats.org/officeDocument/2006/relationships" ref="R705" r:id="rId704"/>
    <hyperlink xmlns:r="http://schemas.openxmlformats.org/officeDocument/2006/relationships" ref="R706" r:id="rId705"/>
    <hyperlink xmlns:r="http://schemas.openxmlformats.org/officeDocument/2006/relationships" ref="R707" r:id="rId706"/>
    <hyperlink xmlns:r="http://schemas.openxmlformats.org/officeDocument/2006/relationships" ref="R708" r:id="rId707"/>
    <hyperlink xmlns:r="http://schemas.openxmlformats.org/officeDocument/2006/relationships" ref="R709" r:id="rId708"/>
    <hyperlink xmlns:r="http://schemas.openxmlformats.org/officeDocument/2006/relationships" ref="R710" r:id="rId709"/>
    <hyperlink xmlns:r="http://schemas.openxmlformats.org/officeDocument/2006/relationships" ref="R711" r:id="rId710"/>
    <hyperlink xmlns:r="http://schemas.openxmlformats.org/officeDocument/2006/relationships" ref="R712" r:id="rId711"/>
    <hyperlink xmlns:r="http://schemas.openxmlformats.org/officeDocument/2006/relationships" ref="R713" r:id="rId712"/>
    <hyperlink xmlns:r="http://schemas.openxmlformats.org/officeDocument/2006/relationships" ref="R714" r:id="rId713"/>
    <hyperlink xmlns:r="http://schemas.openxmlformats.org/officeDocument/2006/relationships" ref="R715" r:id="rId714"/>
    <hyperlink xmlns:r="http://schemas.openxmlformats.org/officeDocument/2006/relationships" ref="R716" r:id="rId715"/>
    <hyperlink xmlns:r="http://schemas.openxmlformats.org/officeDocument/2006/relationships" ref="R717" r:id="rId716"/>
    <hyperlink xmlns:r="http://schemas.openxmlformats.org/officeDocument/2006/relationships" ref="R718" r:id="rId717"/>
    <hyperlink xmlns:r="http://schemas.openxmlformats.org/officeDocument/2006/relationships" ref="R719" r:id="rId718"/>
    <hyperlink xmlns:r="http://schemas.openxmlformats.org/officeDocument/2006/relationships" ref="R720" r:id="rId719"/>
    <hyperlink xmlns:r="http://schemas.openxmlformats.org/officeDocument/2006/relationships" ref="R721" r:id="rId720"/>
    <hyperlink xmlns:r="http://schemas.openxmlformats.org/officeDocument/2006/relationships" ref="R722" r:id="rId721"/>
    <hyperlink xmlns:r="http://schemas.openxmlformats.org/officeDocument/2006/relationships" ref="R723" r:id="rId722"/>
    <hyperlink xmlns:r="http://schemas.openxmlformats.org/officeDocument/2006/relationships" ref="R724" r:id="rId723"/>
    <hyperlink xmlns:r="http://schemas.openxmlformats.org/officeDocument/2006/relationships" ref="R725" r:id="rId724"/>
    <hyperlink xmlns:r="http://schemas.openxmlformats.org/officeDocument/2006/relationships" ref="R726" r:id="rId725"/>
    <hyperlink xmlns:r="http://schemas.openxmlformats.org/officeDocument/2006/relationships" ref="R727" r:id="rId726"/>
    <hyperlink xmlns:r="http://schemas.openxmlformats.org/officeDocument/2006/relationships" ref="R728" r:id="rId727"/>
    <hyperlink xmlns:r="http://schemas.openxmlformats.org/officeDocument/2006/relationships" ref="R729" r:id="rId728"/>
    <hyperlink xmlns:r="http://schemas.openxmlformats.org/officeDocument/2006/relationships" ref="R730" r:id="rId729"/>
    <hyperlink xmlns:r="http://schemas.openxmlformats.org/officeDocument/2006/relationships" ref="R731" r:id="rId730"/>
    <hyperlink xmlns:r="http://schemas.openxmlformats.org/officeDocument/2006/relationships" ref="R732" r:id="rId731"/>
    <hyperlink xmlns:r="http://schemas.openxmlformats.org/officeDocument/2006/relationships" ref="R733" r:id="rId732"/>
    <hyperlink xmlns:r="http://schemas.openxmlformats.org/officeDocument/2006/relationships" ref="R734" r:id="rId733"/>
    <hyperlink xmlns:r="http://schemas.openxmlformats.org/officeDocument/2006/relationships" ref="R735" r:id="rId734"/>
    <hyperlink xmlns:r="http://schemas.openxmlformats.org/officeDocument/2006/relationships" ref="R736" r:id="rId735"/>
    <hyperlink xmlns:r="http://schemas.openxmlformats.org/officeDocument/2006/relationships" ref="R737" r:id="rId736"/>
    <hyperlink xmlns:r="http://schemas.openxmlformats.org/officeDocument/2006/relationships" ref="R738" r:id="rId737"/>
    <hyperlink xmlns:r="http://schemas.openxmlformats.org/officeDocument/2006/relationships" ref="R739" r:id="rId738"/>
    <hyperlink xmlns:r="http://schemas.openxmlformats.org/officeDocument/2006/relationships" ref="R740" r:id="rId739"/>
    <hyperlink xmlns:r="http://schemas.openxmlformats.org/officeDocument/2006/relationships" ref="R741" r:id="rId740"/>
    <hyperlink xmlns:r="http://schemas.openxmlformats.org/officeDocument/2006/relationships" ref="R742" r:id="rId741"/>
    <hyperlink xmlns:r="http://schemas.openxmlformats.org/officeDocument/2006/relationships" ref="R743" r:id="rId742"/>
    <hyperlink xmlns:r="http://schemas.openxmlformats.org/officeDocument/2006/relationships" ref="R744" r:id="rId743"/>
    <hyperlink xmlns:r="http://schemas.openxmlformats.org/officeDocument/2006/relationships" ref="R745" r:id="rId744"/>
    <hyperlink xmlns:r="http://schemas.openxmlformats.org/officeDocument/2006/relationships" ref="R746" r:id="rId745"/>
    <hyperlink xmlns:r="http://schemas.openxmlformats.org/officeDocument/2006/relationships" ref="R747" r:id="rId746"/>
    <hyperlink xmlns:r="http://schemas.openxmlformats.org/officeDocument/2006/relationships" ref="R748" r:id="rId747"/>
    <hyperlink xmlns:r="http://schemas.openxmlformats.org/officeDocument/2006/relationships" ref="R749" r:id="rId748"/>
    <hyperlink xmlns:r="http://schemas.openxmlformats.org/officeDocument/2006/relationships" ref="R750" r:id="rId749"/>
    <hyperlink xmlns:r="http://schemas.openxmlformats.org/officeDocument/2006/relationships" ref="R751" r:id="rId750"/>
    <hyperlink xmlns:r="http://schemas.openxmlformats.org/officeDocument/2006/relationships" ref="R752" r:id="rId751"/>
    <hyperlink xmlns:r="http://schemas.openxmlformats.org/officeDocument/2006/relationships" ref="R753" r:id="rId752"/>
    <hyperlink xmlns:r="http://schemas.openxmlformats.org/officeDocument/2006/relationships" ref="R754" r:id="rId753"/>
    <hyperlink xmlns:r="http://schemas.openxmlformats.org/officeDocument/2006/relationships" ref="R755" r:id="rId754"/>
    <hyperlink xmlns:r="http://schemas.openxmlformats.org/officeDocument/2006/relationships" ref="R756" r:id="rId755"/>
    <hyperlink xmlns:r="http://schemas.openxmlformats.org/officeDocument/2006/relationships" ref="R757" r:id="rId756"/>
    <hyperlink xmlns:r="http://schemas.openxmlformats.org/officeDocument/2006/relationships" ref="R758" r:id="rId757"/>
    <hyperlink xmlns:r="http://schemas.openxmlformats.org/officeDocument/2006/relationships" ref="R759" r:id="rId758"/>
    <hyperlink xmlns:r="http://schemas.openxmlformats.org/officeDocument/2006/relationships" ref="R760" r:id="rId759"/>
    <hyperlink xmlns:r="http://schemas.openxmlformats.org/officeDocument/2006/relationships" ref="R761" r:id="rId760"/>
    <hyperlink xmlns:r="http://schemas.openxmlformats.org/officeDocument/2006/relationships" ref="R762" r:id="rId761"/>
    <hyperlink xmlns:r="http://schemas.openxmlformats.org/officeDocument/2006/relationships" ref="R763" r:id="rId762"/>
    <hyperlink xmlns:r="http://schemas.openxmlformats.org/officeDocument/2006/relationships" ref="R764" r:id="rId763"/>
    <hyperlink xmlns:r="http://schemas.openxmlformats.org/officeDocument/2006/relationships" ref="R765" r:id="rId764"/>
    <hyperlink xmlns:r="http://schemas.openxmlformats.org/officeDocument/2006/relationships" ref="R766" r:id="rId765"/>
    <hyperlink xmlns:r="http://schemas.openxmlformats.org/officeDocument/2006/relationships" ref="R767" r:id="rId766"/>
    <hyperlink xmlns:r="http://schemas.openxmlformats.org/officeDocument/2006/relationships" ref="R768" r:id="rId767"/>
    <hyperlink xmlns:r="http://schemas.openxmlformats.org/officeDocument/2006/relationships" ref="R769" r:id="rId768"/>
    <hyperlink xmlns:r="http://schemas.openxmlformats.org/officeDocument/2006/relationships" ref="R770" r:id="rId769"/>
    <hyperlink xmlns:r="http://schemas.openxmlformats.org/officeDocument/2006/relationships" ref="R771" r:id="rId770"/>
    <hyperlink xmlns:r="http://schemas.openxmlformats.org/officeDocument/2006/relationships" ref="R772" r:id="rId771"/>
    <hyperlink xmlns:r="http://schemas.openxmlformats.org/officeDocument/2006/relationships" ref="R773" r:id="rId772"/>
    <hyperlink xmlns:r="http://schemas.openxmlformats.org/officeDocument/2006/relationships" ref="R774" r:id="rId773"/>
    <hyperlink xmlns:r="http://schemas.openxmlformats.org/officeDocument/2006/relationships" ref="R775" r:id="rId774"/>
    <hyperlink xmlns:r="http://schemas.openxmlformats.org/officeDocument/2006/relationships" ref="R776" r:id="rId775"/>
    <hyperlink xmlns:r="http://schemas.openxmlformats.org/officeDocument/2006/relationships" ref="R777" r:id="rId776"/>
    <hyperlink xmlns:r="http://schemas.openxmlformats.org/officeDocument/2006/relationships" ref="R778" r:id="rId777"/>
    <hyperlink xmlns:r="http://schemas.openxmlformats.org/officeDocument/2006/relationships" ref="R779" r:id="rId778"/>
    <hyperlink xmlns:r="http://schemas.openxmlformats.org/officeDocument/2006/relationships" ref="R780" r:id="rId779"/>
    <hyperlink xmlns:r="http://schemas.openxmlformats.org/officeDocument/2006/relationships" ref="R781" r:id="rId780"/>
    <hyperlink xmlns:r="http://schemas.openxmlformats.org/officeDocument/2006/relationships" ref="R782" r:id="rId781"/>
    <hyperlink xmlns:r="http://schemas.openxmlformats.org/officeDocument/2006/relationships" ref="R783" r:id="rId782"/>
    <hyperlink xmlns:r="http://schemas.openxmlformats.org/officeDocument/2006/relationships" ref="R784" r:id="rId783"/>
    <hyperlink xmlns:r="http://schemas.openxmlformats.org/officeDocument/2006/relationships" ref="R785" r:id="rId784"/>
    <hyperlink xmlns:r="http://schemas.openxmlformats.org/officeDocument/2006/relationships" ref="R786" r:id="rId785"/>
    <hyperlink xmlns:r="http://schemas.openxmlformats.org/officeDocument/2006/relationships" ref="R787" r:id="rId786"/>
    <hyperlink xmlns:r="http://schemas.openxmlformats.org/officeDocument/2006/relationships" ref="R788" r:id="rId787"/>
    <hyperlink xmlns:r="http://schemas.openxmlformats.org/officeDocument/2006/relationships" ref="R789" r:id="rId788"/>
    <hyperlink xmlns:r="http://schemas.openxmlformats.org/officeDocument/2006/relationships" ref="R790" r:id="rId789"/>
    <hyperlink xmlns:r="http://schemas.openxmlformats.org/officeDocument/2006/relationships" ref="R791" r:id="rId790"/>
    <hyperlink xmlns:r="http://schemas.openxmlformats.org/officeDocument/2006/relationships" ref="R792" r:id="rId791"/>
    <hyperlink xmlns:r="http://schemas.openxmlformats.org/officeDocument/2006/relationships" ref="R793" r:id="rId792"/>
    <hyperlink xmlns:r="http://schemas.openxmlformats.org/officeDocument/2006/relationships" ref="R794" r:id="rId793"/>
    <hyperlink xmlns:r="http://schemas.openxmlformats.org/officeDocument/2006/relationships" ref="R795" r:id="rId794"/>
    <hyperlink xmlns:r="http://schemas.openxmlformats.org/officeDocument/2006/relationships" ref="R796" r:id="rId795"/>
    <hyperlink xmlns:r="http://schemas.openxmlformats.org/officeDocument/2006/relationships" ref="R797" r:id="rId796"/>
    <hyperlink xmlns:r="http://schemas.openxmlformats.org/officeDocument/2006/relationships" ref="R798" r:id="rId797"/>
    <hyperlink xmlns:r="http://schemas.openxmlformats.org/officeDocument/2006/relationships" ref="R799" r:id="rId798"/>
    <hyperlink xmlns:r="http://schemas.openxmlformats.org/officeDocument/2006/relationships" ref="R800" r:id="rId799"/>
    <hyperlink xmlns:r="http://schemas.openxmlformats.org/officeDocument/2006/relationships" ref="R801" r:id="rId800"/>
    <hyperlink xmlns:r="http://schemas.openxmlformats.org/officeDocument/2006/relationships" ref="R802" r:id="rId801"/>
    <hyperlink xmlns:r="http://schemas.openxmlformats.org/officeDocument/2006/relationships" ref="R803" r:id="rId802"/>
    <hyperlink xmlns:r="http://schemas.openxmlformats.org/officeDocument/2006/relationships" ref="R804" r:id="rId803"/>
    <hyperlink xmlns:r="http://schemas.openxmlformats.org/officeDocument/2006/relationships" ref="R805" r:id="rId804"/>
    <hyperlink xmlns:r="http://schemas.openxmlformats.org/officeDocument/2006/relationships" ref="R806" r:id="rId805"/>
    <hyperlink xmlns:r="http://schemas.openxmlformats.org/officeDocument/2006/relationships" ref="R807" r:id="rId806"/>
    <hyperlink xmlns:r="http://schemas.openxmlformats.org/officeDocument/2006/relationships" ref="R808" r:id="rId807"/>
    <hyperlink xmlns:r="http://schemas.openxmlformats.org/officeDocument/2006/relationships" ref="R809" r:id="rId808"/>
    <hyperlink xmlns:r="http://schemas.openxmlformats.org/officeDocument/2006/relationships" ref="R810" r:id="rId809"/>
    <hyperlink xmlns:r="http://schemas.openxmlformats.org/officeDocument/2006/relationships" ref="R811" r:id="rId810"/>
    <hyperlink xmlns:r="http://schemas.openxmlformats.org/officeDocument/2006/relationships" ref="R812" r:id="rId811"/>
    <hyperlink xmlns:r="http://schemas.openxmlformats.org/officeDocument/2006/relationships" ref="R813" r:id="rId812"/>
    <hyperlink xmlns:r="http://schemas.openxmlformats.org/officeDocument/2006/relationships" ref="R814" r:id="rId813"/>
    <hyperlink xmlns:r="http://schemas.openxmlformats.org/officeDocument/2006/relationships" ref="R815" r:id="rId814"/>
    <hyperlink xmlns:r="http://schemas.openxmlformats.org/officeDocument/2006/relationships" ref="R816" r:id="rId815"/>
    <hyperlink xmlns:r="http://schemas.openxmlformats.org/officeDocument/2006/relationships" ref="R817" r:id="rId816"/>
    <hyperlink xmlns:r="http://schemas.openxmlformats.org/officeDocument/2006/relationships" ref="R818" r:id="rId817"/>
    <hyperlink xmlns:r="http://schemas.openxmlformats.org/officeDocument/2006/relationships" ref="R819" r:id="rId818"/>
    <hyperlink xmlns:r="http://schemas.openxmlformats.org/officeDocument/2006/relationships" ref="R820" r:id="rId819"/>
    <hyperlink xmlns:r="http://schemas.openxmlformats.org/officeDocument/2006/relationships" ref="R821" r:id="rId820"/>
    <hyperlink xmlns:r="http://schemas.openxmlformats.org/officeDocument/2006/relationships" ref="R822" r:id="rId821"/>
    <hyperlink xmlns:r="http://schemas.openxmlformats.org/officeDocument/2006/relationships" ref="R823" r:id="rId822"/>
    <hyperlink xmlns:r="http://schemas.openxmlformats.org/officeDocument/2006/relationships" ref="R824" r:id="rId823"/>
    <hyperlink xmlns:r="http://schemas.openxmlformats.org/officeDocument/2006/relationships" ref="R825" r:id="rId824"/>
    <hyperlink xmlns:r="http://schemas.openxmlformats.org/officeDocument/2006/relationships" ref="R826" r:id="rId825"/>
    <hyperlink xmlns:r="http://schemas.openxmlformats.org/officeDocument/2006/relationships" ref="R827" r:id="rId826"/>
    <hyperlink xmlns:r="http://schemas.openxmlformats.org/officeDocument/2006/relationships" ref="R828" r:id="rId827"/>
    <hyperlink xmlns:r="http://schemas.openxmlformats.org/officeDocument/2006/relationships" ref="R829" r:id="rId828"/>
    <hyperlink xmlns:r="http://schemas.openxmlformats.org/officeDocument/2006/relationships" ref="R830" r:id="rId829"/>
    <hyperlink xmlns:r="http://schemas.openxmlformats.org/officeDocument/2006/relationships" ref="R831" r:id="rId830"/>
    <hyperlink xmlns:r="http://schemas.openxmlformats.org/officeDocument/2006/relationships" ref="R832" r:id="rId831"/>
    <hyperlink xmlns:r="http://schemas.openxmlformats.org/officeDocument/2006/relationships" ref="R833" r:id="rId832"/>
    <hyperlink xmlns:r="http://schemas.openxmlformats.org/officeDocument/2006/relationships" ref="R834" r:id="rId833"/>
    <hyperlink xmlns:r="http://schemas.openxmlformats.org/officeDocument/2006/relationships" ref="R835" r:id="rId834"/>
    <hyperlink xmlns:r="http://schemas.openxmlformats.org/officeDocument/2006/relationships" ref="R836" r:id="rId835"/>
    <hyperlink xmlns:r="http://schemas.openxmlformats.org/officeDocument/2006/relationships" ref="R837" r:id="rId836"/>
    <hyperlink xmlns:r="http://schemas.openxmlformats.org/officeDocument/2006/relationships" ref="R838" r:id="rId837"/>
    <hyperlink xmlns:r="http://schemas.openxmlformats.org/officeDocument/2006/relationships" ref="R839" r:id="rId838"/>
    <hyperlink xmlns:r="http://schemas.openxmlformats.org/officeDocument/2006/relationships" ref="R840" r:id="rId839"/>
    <hyperlink xmlns:r="http://schemas.openxmlformats.org/officeDocument/2006/relationships" ref="R841" r:id="rId840"/>
    <hyperlink xmlns:r="http://schemas.openxmlformats.org/officeDocument/2006/relationships" ref="R842" r:id="rId841"/>
    <hyperlink xmlns:r="http://schemas.openxmlformats.org/officeDocument/2006/relationships" ref="R843" r:id="rId842"/>
    <hyperlink xmlns:r="http://schemas.openxmlformats.org/officeDocument/2006/relationships" ref="R844" r:id="rId843"/>
    <hyperlink xmlns:r="http://schemas.openxmlformats.org/officeDocument/2006/relationships" ref="R845" r:id="rId844"/>
    <hyperlink xmlns:r="http://schemas.openxmlformats.org/officeDocument/2006/relationships" ref="R846" r:id="rId845"/>
    <hyperlink xmlns:r="http://schemas.openxmlformats.org/officeDocument/2006/relationships" ref="R847" r:id="rId846"/>
    <hyperlink xmlns:r="http://schemas.openxmlformats.org/officeDocument/2006/relationships" ref="R848" r:id="rId847"/>
    <hyperlink xmlns:r="http://schemas.openxmlformats.org/officeDocument/2006/relationships" ref="R849" r:id="rId848"/>
    <hyperlink xmlns:r="http://schemas.openxmlformats.org/officeDocument/2006/relationships" ref="R850" r:id="rId849"/>
    <hyperlink xmlns:r="http://schemas.openxmlformats.org/officeDocument/2006/relationships" ref="R851" r:id="rId850"/>
    <hyperlink xmlns:r="http://schemas.openxmlformats.org/officeDocument/2006/relationships" ref="R852" r:id="rId851"/>
    <hyperlink xmlns:r="http://schemas.openxmlformats.org/officeDocument/2006/relationships" ref="R853" r:id="rId852"/>
    <hyperlink xmlns:r="http://schemas.openxmlformats.org/officeDocument/2006/relationships" ref="R854" r:id="rId853"/>
    <hyperlink xmlns:r="http://schemas.openxmlformats.org/officeDocument/2006/relationships" ref="R855" r:id="rId854"/>
    <hyperlink xmlns:r="http://schemas.openxmlformats.org/officeDocument/2006/relationships" ref="R856" r:id="rId855"/>
    <hyperlink xmlns:r="http://schemas.openxmlformats.org/officeDocument/2006/relationships" ref="R857" r:id="rId856"/>
    <hyperlink xmlns:r="http://schemas.openxmlformats.org/officeDocument/2006/relationships" ref="R858" r:id="rId857"/>
    <hyperlink xmlns:r="http://schemas.openxmlformats.org/officeDocument/2006/relationships" ref="R859" r:id="rId858"/>
    <hyperlink xmlns:r="http://schemas.openxmlformats.org/officeDocument/2006/relationships" ref="R860" r:id="rId859"/>
    <hyperlink xmlns:r="http://schemas.openxmlformats.org/officeDocument/2006/relationships" ref="R861" r:id="rId860"/>
    <hyperlink xmlns:r="http://schemas.openxmlformats.org/officeDocument/2006/relationships" ref="R862" r:id="rId861"/>
    <hyperlink xmlns:r="http://schemas.openxmlformats.org/officeDocument/2006/relationships" ref="R863" r:id="rId862"/>
    <hyperlink xmlns:r="http://schemas.openxmlformats.org/officeDocument/2006/relationships" ref="R864" r:id="rId863"/>
    <hyperlink xmlns:r="http://schemas.openxmlformats.org/officeDocument/2006/relationships" ref="R865" r:id="rId864"/>
    <hyperlink xmlns:r="http://schemas.openxmlformats.org/officeDocument/2006/relationships" ref="R866" r:id="rId865"/>
    <hyperlink xmlns:r="http://schemas.openxmlformats.org/officeDocument/2006/relationships" ref="R867" r:id="rId866"/>
    <hyperlink xmlns:r="http://schemas.openxmlformats.org/officeDocument/2006/relationships" ref="R868" r:id="rId867"/>
    <hyperlink xmlns:r="http://schemas.openxmlformats.org/officeDocument/2006/relationships" ref="R869" r:id="rId868"/>
    <hyperlink xmlns:r="http://schemas.openxmlformats.org/officeDocument/2006/relationships" ref="R870" r:id="rId869"/>
    <hyperlink xmlns:r="http://schemas.openxmlformats.org/officeDocument/2006/relationships" ref="R871" r:id="rId870"/>
    <hyperlink xmlns:r="http://schemas.openxmlformats.org/officeDocument/2006/relationships" ref="R872" r:id="rId871"/>
    <hyperlink xmlns:r="http://schemas.openxmlformats.org/officeDocument/2006/relationships" ref="R873" r:id="rId872"/>
    <hyperlink xmlns:r="http://schemas.openxmlformats.org/officeDocument/2006/relationships" ref="R874" r:id="rId873"/>
    <hyperlink xmlns:r="http://schemas.openxmlformats.org/officeDocument/2006/relationships" ref="R875" r:id="rId874"/>
    <hyperlink xmlns:r="http://schemas.openxmlformats.org/officeDocument/2006/relationships" ref="R876" r:id="rId875"/>
    <hyperlink xmlns:r="http://schemas.openxmlformats.org/officeDocument/2006/relationships" ref="R877" r:id="rId876"/>
    <hyperlink xmlns:r="http://schemas.openxmlformats.org/officeDocument/2006/relationships" ref="R878" r:id="rId877"/>
    <hyperlink xmlns:r="http://schemas.openxmlformats.org/officeDocument/2006/relationships" ref="R879" r:id="rId878"/>
    <hyperlink xmlns:r="http://schemas.openxmlformats.org/officeDocument/2006/relationships" ref="R880" r:id="rId879"/>
    <hyperlink xmlns:r="http://schemas.openxmlformats.org/officeDocument/2006/relationships" ref="R881" r:id="rId880"/>
    <hyperlink xmlns:r="http://schemas.openxmlformats.org/officeDocument/2006/relationships" ref="R882" r:id="rId881"/>
    <hyperlink xmlns:r="http://schemas.openxmlformats.org/officeDocument/2006/relationships" ref="R883" r:id="rId882"/>
    <hyperlink xmlns:r="http://schemas.openxmlformats.org/officeDocument/2006/relationships" ref="R884" r:id="rId883"/>
    <hyperlink xmlns:r="http://schemas.openxmlformats.org/officeDocument/2006/relationships" ref="R885" r:id="rId884"/>
    <hyperlink xmlns:r="http://schemas.openxmlformats.org/officeDocument/2006/relationships" ref="R886" r:id="rId885"/>
    <hyperlink xmlns:r="http://schemas.openxmlformats.org/officeDocument/2006/relationships" ref="R887" r:id="rId886"/>
    <hyperlink xmlns:r="http://schemas.openxmlformats.org/officeDocument/2006/relationships" ref="R888" r:id="rId887"/>
    <hyperlink xmlns:r="http://schemas.openxmlformats.org/officeDocument/2006/relationships" ref="R889" r:id="rId888"/>
    <hyperlink xmlns:r="http://schemas.openxmlformats.org/officeDocument/2006/relationships" ref="R890" r:id="rId889"/>
    <hyperlink xmlns:r="http://schemas.openxmlformats.org/officeDocument/2006/relationships" ref="R891" r:id="rId890"/>
    <hyperlink xmlns:r="http://schemas.openxmlformats.org/officeDocument/2006/relationships" ref="R892" r:id="rId891"/>
    <hyperlink xmlns:r="http://schemas.openxmlformats.org/officeDocument/2006/relationships" ref="R893" r:id="rId892"/>
    <hyperlink xmlns:r="http://schemas.openxmlformats.org/officeDocument/2006/relationships" ref="R894" r:id="rId893"/>
    <hyperlink xmlns:r="http://schemas.openxmlformats.org/officeDocument/2006/relationships" ref="R895" r:id="rId894"/>
    <hyperlink xmlns:r="http://schemas.openxmlformats.org/officeDocument/2006/relationships" ref="R896" r:id="rId895"/>
    <hyperlink xmlns:r="http://schemas.openxmlformats.org/officeDocument/2006/relationships" ref="R897" r:id="rId896"/>
    <hyperlink xmlns:r="http://schemas.openxmlformats.org/officeDocument/2006/relationships" ref="R898" r:id="rId897"/>
    <hyperlink xmlns:r="http://schemas.openxmlformats.org/officeDocument/2006/relationships" ref="R899" r:id="rId898"/>
    <hyperlink xmlns:r="http://schemas.openxmlformats.org/officeDocument/2006/relationships" ref="R900" r:id="rId899"/>
    <hyperlink xmlns:r="http://schemas.openxmlformats.org/officeDocument/2006/relationships" ref="R901" r:id="rId900"/>
    <hyperlink xmlns:r="http://schemas.openxmlformats.org/officeDocument/2006/relationships" ref="R902" r:id="rId901"/>
    <hyperlink xmlns:r="http://schemas.openxmlformats.org/officeDocument/2006/relationships" ref="R903" r:id="rId902"/>
    <hyperlink xmlns:r="http://schemas.openxmlformats.org/officeDocument/2006/relationships" ref="R904" r:id="rId903"/>
    <hyperlink xmlns:r="http://schemas.openxmlformats.org/officeDocument/2006/relationships" ref="R905" r:id="rId904"/>
    <hyperlink xmlns:r="http://schemas.openxmlformats.org/officeDocument/2006/relationships" ref="R906" r:id="rId905"/>
    <hyperlink xmlns:r="http://schemas.openxmlformats.org/officeDocument/2006/relationships" ref="R907" r:id="rId906"/>
    <hyperlink xmlns:r="http://schemas.openxmlformats.org/officeDocument/2006/relationships" ref="R908" r:id="rId907"/>
    <hyperlink xmlns:r="http://schemas.openxmlformats.org/officeDocument/2006/relationships" ref="R909" r:id="rId908"/>
    <hyperlink xmlns:r="http://schemas.openxmlformats.org/officeDocument/2006/relationships" ref="R910" r:id="rId909"/>
    <hyperlink xmlns:r="http://schemas.openxmlformats.org/officeDocument/2006/relationships" ref="R911" r:id="rId910"/>
    <hyperlink xmlns:r="http://schemas.openxmlformats.org/officeDocument/2006/relationships" ref="R912" r:id="rId911"/>
    <hyperlink xmlns:r="http://schemas.openxmlformats.org/officeDocument/2006/relationships" ref="R913" r:id="rId912"/>
    <hyperlink xmlns:r="http://schemas.openxmlformats.org/officeDocument/2006/relationships" ref="R914" r:id="rId913"/>
    <hyperlink xmlns:r="http://schemas.openxmlformats.org/officeDocument/2006/relationships" ref="R915" r:id="rId914"/>
    <hyperlink xmlns:r="http://schemas.openxmlformats.org/officeDocument/2006/relationships" ref="R916" r:id="rId915"/>
    <hyperlink xmlns:r="http://schemas.openxmlformats.org/officeDocument/2006/relationships" ref="R917" r:id="rId916"/>
    <hyperlink xmlns:r="http://schemas.openxmlformats.org/officeDocument/2006/relationships" ref="R918" r:id="rId917"/>
    <hyperlink xmlns:r="http://schemas.openxmlformats.org/officeDocument/2006/relationships" ref="R919" r:id="rId918"/>
    <hyperlink xmlns:r="http://schemas.openxmlformats.org/officeDocument/2006/relationships" ref="R920" r:id="rId919"/>
    <hyperlink xmlns:r="http://schemas.openxmlformats.org/officeDocument/2006/relationships" ref="R921" r:id="rId920"/>
    <hyperlink xmlns:r="http://schemas.openxmlformats.org/officeDocument/2006/relationships" ref="R922" r:id="rId921"/>
    <hyperlink xmlns:r="http://schemas.openxmlformats.org/officeDocument/2006/relationships" ref="R923" r:id="rId922"/>
    <hyperlink xmlns:r="http://schemas.openxmlformats.org/officeDocument/2006/relationships" ref="R924" r:id="rId923"/>
    <hyperlink xmlns:r="http://schemas.openxmlformats.org/officeDocument/2006/relationships" ref="R925" r:id="rId924"/>
    <hyperlink xmlns:r="http://schemas.openxmlformats.org/officeDocument/2006/relationships" ref="R926" r:id="rId925"/>
    <hyperlink xmlns:r="http://schemas.openxmlformats.org/officeDocument/2006/relationships" ref="R927" r:id="rId926"/>
    <hyperlink xmlns:r="http://schemas.openxmlformats.org/officeDocument/2006/relationships" ref="R928" r:id="rId927"/>
    <hyperlink xmlns:r="http://schemas.openxmlformats.org/officeDocument/2006/relationships" ref="R929" r:id="rId928"/>
    <hyperlink xmlns:r="http://schemas.openxmlformats.org/officeDocument/2006/relationships" ref="R930" r:id="rId929"/>
    <hyperlink xmlns:r="http://schemas.openxmlformats.org/officeDocument/2006/relationships" ref="R931" r:id="rId930"/>
    <hyperlink xmlns:r="http://schemas.openxmlformats.org/officeDocument/2006/relationships" ref="R932" r:id="rId931"/>
    <hyperlink xmlns:r="http://schemas.openxmlformats.org/officeDocument/2006/relationships" ref="R933" r:id="rId932"/>
    <hyperlink xmlns:r="http://schemas.openxmlformats.org/officeDocument/2006/relationships" ref="R934" r:id="rId933"/>
    <hyperlink xmlns:r="http://schemas.openxmlformats.org/officeDocument/2006/relationships" ref="R935" r:id="rId934"/>
    <hyperlink xmlns:r="http://schemas.openxmlformats.org/officeDocument/2006/relationships" ref="R936" r:id="rId935"/>
    <hyperlink xmlns:r="http://schemas.openxmlformats.org/officeDocument/2006/relationships" ref="R937" r:id="rId936"/>
    <hyperlink xmlns:r="http://schemas.openxmlformats.org/officeDocument/2006/relationships" ref="R938" r:id="rId937"/>
    <hyperlink xmlns:r="http://schemas.openxmlformats.org/officeDocument/2006/relationships" ref="R939" r:id="rId938"/>
    <hyperlink xmlns:r="http://schemas.openxmlformats.org/officeDocument/2006/relationships" ref="R940" r:id="rId939"/>
    <hyperlink xmlns:r="http://schemas.openxmlformats.org/officeDocument/2006/relationships" ref="R941" r:id="rId940"/>
    <hyperlink xmlns:r="http://schemas.openxmlformats.org/officeDocument/2006/relationships" ref="R942" r:id="rId941"/>
    <hyperlink xmlns:r="http://schemas.openxmlformats.org/officeDocument/2006/relationships" ref="R943" r:id="rId942"/>
    <hyperlink xmlns:r="http://schemas.openxmlformats.org/officeDocument/2006/relationships" ref="R944" r:id="rId943"/>
    <hyperlink xmlns:r="http://schemas.openxmlformats.org/officeDocument/2006/relationships" ref="R945" r:id="rId944"/>
    <hyperlink xmlns:r="http://schemas.openxmlformats.org/officeDocument/2006/relationships" ref="R946" r:id="rId945"/>
    <hyperlink xmlns:r="http://schemas.openxmlformats.org/officeDocument/2006/relationships" ref="R947" r:id="rId946"/>
    <hyperlink xmlns:r="http://schemas.openxmlformats.org/officeDocument/2006/relationships" ref="R948" r:id="rId947"/>
    <hyperlink xmlns:r="http://schemas.openxmlformats.org/officeDocument/2006/relationships" ref="R949" r:id="rId948"/>
    <hyperlink xmlns:r="http://schemas.openxmlformats.org/officeDocument/2006/relationships" ref="R950" r:id="rId949"/>
    <hyperlink xmlns:r="http://schemas.openxmlformats.org/officeDocument/2006/relationships" ref="R951" r:id="rId950"/>
    <hyperlink xmlns:r="http://schemas.openxmlformats.org/officeDocument/2006/relationships" ref="R952" r:id="rId951"/>
    <hyperlink xmlns:r="http://schemas.openxmlformats.org/officeDocument/2006/relationships" ref="R953" r:id="rId952"/>
    <hyperlink xmlns:r="http://schemas.openxmlformats.org/officeDocument/2006/relationships" ref="R954" r:id="rId953"/>
    <hyperlink xmlns:r="http://schemas.openxmlformats.org/officeDocument/2006/relationships" ref="R955" r:id="rId954"/>
    <hyperlink xmlns:r="http://schemas.openxmlformats.org/officeDocument/2006/relationships" ref="R956" r:id="rId955"/>
    <hyperlink xmlns:r="http://schemas.openxmlformats.org/officeDocument/2006/relationships" ref="R957" r:id="rId956"/>
    <hyperlink xmlns:r="http://schemas.openxmlformats.org/officeDocument/2006/relationships" ref="R958" r:id="rId957"/>
    <hyperlink xmlns:r="http://schemas.openxmlformats.org/officeDocument/2006/relationships" ref="R959" r:id="rId958"/>
    <hyperlink xmlns:r="http://schemas.openxmlformats.org/officeDocument/2006/relationships" ref="R960" r:id="rId959"/>
    <hyperlink xmlns:r="http://schemas.openxmlformats.org/officeDocument/2006/relationships" ref="R961" r:id="rId960"/>
    <hyperlink xmlns:r="http://schemas.openxmlformats.org/officeDocument/2006/relationships" ref="R962" r:id="rId961"/>
    <hyperlink xmlns:r="http://schemas.openxmlformats.org/officeDocument/2006/relationships" ref="R963" r:id="rId962"/>
    <hyperlink xmlns:r="http://schemas.openxmlformats.org/officeDocument/2006/relationships" ref="R964" r:id="rId963"/>
    <hyperlink xmlns:r="http://schemas.openxmlformats.org/officeDocument/2006/relationships" ref="R965" r:id="rId964"/>
    <hyperlink xmlns:r="http://schemas.openxmlformats.org/officeDocument/2006/relationships" ref="R966" r:id="rId965"/>
    <hyperlink xmlns:r="http://schemas.openxmlformats.org/officeDocument/2006/relationships" ref="R967" r:id="rId966"/>
    <hyperlink xmlns:r="http://schemas.openxmlformats.org/officeDocument/2006/relationships" ref="R968" r:id="rId967"/>
    <hyperlink xmlns:r="http://schemas.openxmlformats.org/officeDocument/2006/relationships" ref="R969" r:id="rId968"/>
    <hyperlink xmlns:r="http://schemas.openxmlformats.org/officeDocument/2006/relationships" ref="R970" r:id="rId969"/>
    <hyperlink xmlns:r="http://schemas.openxmlformats.org/officeDocument/2006/relationships" ref="R971" r:id="rId970"/>
    <hyperlink xmlns:r="http://schemas.openxmlformats.org/officeDocument/2006/relationships" ref="R972" r:id="rId971"/>
    <hyperlink xmlns:r="http://schemas.openxmlformats.org/officeDocument/2006/relationships" ref="R973" r:id="rId972"/>
    <hyperlink xmlns:r="http://schemas.openxmlformats.org/officeDocument/2006/relationships" ref="R974" r:id="rId973"/>
    <hyperlink xmlns:r="http://schemas.openxmlformats.org/officeDocument/2006/relationships" ref="R975" r:id="rId974"/>
    <hyperlink xmlns:r="http://schemas.openxmlformats.org/officeDocument/2006/relationships" ref="R976" r:id="rId975"/>
    <hyperlink xmlns:r="http://schemas.openxmlformats.org/officeDocument/2006/relationships" ref="R977" r:id="rId976"/>
    <hyperlink xmlns:r="http://schemas.openxmlformats.org/officeDocument/2006/relationships" ref="R978" r:id="rId977"/>
    <hyperlink xmlns:r="http://schemas.openxmlformats.org/officeDocument/2006/relationships" ref="R979" r:id="rId978"/>
    <hyperlink xmlns:r="http://schemas.openxmlformats.org/officeDocument/2006/relationships" ref="R980" r:id="rId979"/>
    <hyperlink xmlns:r="http://schemas.openxmlformats.org/officeDocument/2006/relationships" ref="R981" r:id="rId980"/>
    <hyperlink xmlns:r="http://schemas.openxmlformats.org/officeDocument/2006/relationships" ref="R982" r:id="rId981"/>
    <hyperlink xmlns:r="http://schemas.openxmlformats.org/officeDocument/2006/relationships" ref="R983" r:id="rId982"/>
    <hyperlink xmlns:r="http://schemas.openxmlformats.org/officeDocument/2006/relationships" ref="R984" r:id="rId983"/>
    <hyperlink xmlns:r="http://schemas.openxmlformats.org/officeDocument/2006/relationships" ref="R985" r:id="rId984"/>
    <hyperlink xmlns:r="http://schemas.openxmlformats.org/officeDocument/2006/relationships" ref="R986" r:id="rId985"/>
    <hyperlink xmlns:r="http://schemas.openxmlformats.org/officeDocument/2006/relationships" ref="R987" r:id="rId986"/>
    <hyperlink xmlns:r="http://schemas.openxmlformats.org/officeDocument/2006/relationships" ref="R988" r:id="rId987"/>
    <hyperlink xmlns:r="http://schemas.openxmlformats.org/officeDocument/2006/relationships" ref="R989" r:id="rId988"/>
    <hyperlink xmlns:r="http://schemas.openxmlformats.org/officeDocument/2006/relationships" ref="R990" r:id="rId989"/>
    <hyperlink xmlns:r="http://schemas.openxmlformats.org/officeDocument/2006/relationships" ref="R991" r:id="rId990"/>
    <hyperlink xmlns:r="http://schemas.openxmlformats.org/officeDocument/2006/relationships" ref="R992" r:id="rId991"/>
    <hyperlink xmlns:r="http://schemas.openxmlformats.org/officeDocument/2006/relationships" ref="R993" r:id="rId992"/>
    <hyperlink xmlns:r="http://schemas.openxmlformats.org/officeDocument/2006/relationships" ref="R994" r:id="rId993"/>
    <hyperlink xmlns:r="http://schemas.openxmlformats.org/officeDocument/2006/relationships" ref="R995" r:id="rId994"/>
    <hyperlink xmlns:r="http://schemas.openxmlformats.org/officeDocument/2006/relationships" ref="R996" r:id="rId995"/>
    <hyperlink xmlns:r="http://schemas.openxmlformats.org/officeDocument/2006/relationships" ref="R997" r:id="rId996"/>
    <hyperlink xmlns:r="http://schemas.openxmlformats.org/officeDocument/2006/relationships" ref="R998" r:id="rId997"/>
    <hyperlink xmlns:r="http://schemas.openxmlformats.org/officeDocument/2006/relationships" ref="R999" r:id="rId998"/>
    <hyperlink xmlns:r="http://schemas.openxmlformats.org/officeDocument/2006/relationships" ref="R1000" r:id="rId999"/>
    <hyperlink xmlns:r="http://schemas.openxmlformats.org/officeDocument/2006/relationships" ref="R1001" r:id="rId1000"/>
    <hyperlink xmlns:r="http://schemas.openxmlformats.org/officeDocument/2006/relationships" ref="R1002" r:id="rId1001"/>
    <hyperlink xmlns:r="http://schemas.openxmlformats.org/officeDocument/2006/relationships" ref="R1003" r:id="rId1002"/>
    <hyperlink xmlns:r="http://schemas.openxmlformats.org/officeDocument/2006/relationships" ref="R1004" r:id="rId1003"/>
    <hyperlink xmlns:r="http://schemas.openxmlformats.org/officeDocument/2006/relationships" ref="R1005" r:id="rId1004"/>
    <hyperlink xmlns:r="http://schemas.openxmlformats.org/officeDocument/2006/relationships" ref="R1006" r:id="rId1005"/>
    <hyperlink xmlns:r="http://schemas.openxmlformats.org/officeDocument/2006/relationships" ref="R1007" r:id="rId1006"/>
    <hyperlink xmlns:r="http://schemas.openxmlformats.org/officeDocument/2006/relationships" ref="R1008" r:id="rId1007"/>
    <hyperlink xmlns:r="http://schemas.openxmlformats.org/officeDocument/2006/relationships" ref="R1009" r:id="rId1008"/>
    <hyperlink xmlns:r="http://schemas.openxmlformats.org/officeDocument/2006/relationships" ref="R1010" r:id="rId1009"/>
    <hyperlink xmlns:r="http://schemas.openxmlformats.org/officeDocument/2006/relationships" ref="R1011" r:id="rId1010"/>
    <hyperlink xmlns:r="http://schemas.openxmlformats.org/officeDocument/2006/relationships" ref="R1012" r:id="rId1011"/>
    <hyperlink xmlns:r="http://schemas.openxmlformats.org/officeDocument/2006/relationships" ref="R1013" r:id="rId1012"/>
    <hyperlink xmlns:r="http://schemas.openxmlformats.org/officeDocument/2006/relationships" ref="R1014" r:id="rId1013"/>
    <hyperlink xmlns:r="http://schemas.openxmlformats.org/officeDocument/2006/relationships" ref="R1015" r:id="rId1014"/>
    <hyperlink xmlns:r="http://schemas.openxmlformats.org/officeDocument/2006/relationships" ref="R1016" r:id="rId1015"/>
    <hyperlink xmlns:r="http://schemas.openxmlformats.org/officeDocument/2006/relationships" ref="R1017" r:id="rId1016"/>
    <hyperlink xmlns:r="http://schemas.openxmlformats.org/officeDocument/2006/relationships" ref="R1018" r:id="rId1017"/>
    <hyperlink xmlns:r="http://schemas.openxmlformats.org/officeDocument/2006/relationships" ref="R1019" r:id="rId1018"/>
    <hyperlink xmlns:r="http://schemas.openxmlformats.org/officeDocument/2006/relationships" ref="R1020" r:id="rId1019"/>
    <hyperlink xmlns:r="http://schemas.openxmlformats.org/officeDocument/2006/relationships" ref="R1021" r:id="rId1020"/>
    <hyperlink xmlns:r="http://schemas.openxmlformats.org/officeDocument/2006/relationships" ref="R1022" r:id="rId1021"/>
    <hyperlink xmlns:r="http://schemas.openxmlformats.org/officeDocument/2006/relationships" ref="R1023" r:id="rId1022"/>
    <hyperlink xmlns:r="http://schemas.openxmlformats.org/officeDocument/2006/relationships" ref="R1024" r:id="rId1023"/>
    <hyperlink xmlns:r="http://schemas.openxmlformats.org/officeDocument/2006/relationships" ref="R1025" r:id="rId1024"/>
    <hyperlink xmlns:r="http://schemas.openxmlformats.org/officeDocument/2006/relationships" ref="R1026" r:id="rId1025"/>
    <hyperlink xmlns:r="http://schemas.openxmlformats.org/officeDocument/2006/relationships" ref="R1027" r:id="rId1026"/>
    <hyperlink xmlns:r="http://schemas.openxmlformats.org/officeDocument/2006/relationships" ref="R1028" r:id="rId1027"/>
    <hyperlink xmlns:r="http://schemas.openxmlformats.org/officeDocument/2006/relationships" ref="R1029" r:id="rId1028"/>
    <hyperlink xmlns:r="http://schemas.openxmlformats.org/officeDocument/2006/relationships" ref="R1030" r:id="rId1029"/>
    <hyperlink xmlns:r="http://schemas.openxmlformats.org/officeDocument/2006/relationships" ref="R1031" r:id="rId1030"/>
    <hyperlink xmlns:r="http://schemas.openxmlformats.org/officeDocument/2006/relationships" ref="R1032" r:id="rId1031"/>
    <hyperlink xmlns:r="http://schemas.openxmlformats.org/officeDocument/2006/relationships" ref="R1033" r:id="rId1032"/>
    <hyperlink xmlns:r="http://schemas.openxmlformats.org/officeDocument/2006/relationships" ref="R1034" r:id="rId1033"/>
    <hyperlink xmlns:r="http://schemas.openxmlformats.org/officeDocument/2006/relationships" ref="R1035" r:id="rId1034"/>
    <hyperlink xmlns:r="http://schemas.openxmlformats.org/officeDocument/2006/relationships" ref="R1036" r:id="rId1035"/>
    <hyperlink xmlns:r="http://schemas.openxmlformats.org/officeDocument/2006/relationships" ref="R1037" r:id="rId1036"/>
    <hyperlink xmlns:r="http://schemas.openxmlformats.org/officeDocument/2006/relationships" ref="R1038" r:id="rId1037"/>
    <hyperlink xmlns:r="http://schemas.openxmlformats.org/officeDocument/2006/relationships" ref="R1039" r:id="rId1038"/>
    <hyperlink xmlns:r="http://schemas.openxmlformats.org/officeDocument/2006/relationships" ref="R1040" r:id="rId1039"/>
    <hyperlink xmlns:r="http://schemas.openxmlformats.org/officeDocument/2006/relationships" ref="R1041" r:id="rId1040"/>
    <hyperlink xmlns:r="http://schemas.openxmlformats.org/officeDocument/2006/relationships" ref="R1042" r:id="rId1041"/>
    <hyperlink xmlns:r="http://schemas.openxmlformats.org/officeDocument/2006/relationships" ref="R1043" r:id="rId1042"/>
    <hyperlink xmlns:r="http://schemas.openxmlformats.org/officeDocument/2006/relationships" ref="R1044" r:id="rId1043"/>
    <hyperlink xmlns:r="http://schemas.openxmlformats.org/officeDocument/2006/relationships" ref="R1045" r:id="rId1044"/>
    <hyperlink xmlns:r="http://schemas.openxmlformats.org/officeDocument/2006/relationships" ref="R1046" r:id="rId1045"/>
    <hyperlink xmlns:r="http://schemas.openxmlformats.org/officeDocument/2006/relationships" ref="R1047" r:id="rId1046"/>
    <hyperlink xmlns:r="http://schemas.openxmlformats.org/officeDocument/2006/relationships" ref="R1048" r:id="rId1047"/>
    <hyperlink xmlns:r="http://schemas.openxmlformats.org/officeDocument/2006/relationships" ref="R1049" r:id="rId1048"/>
    <hyperlink xmlns:r="http://schemas.openxmlformats.org/officeDocument/2006/relationships" ref="R1050" r:id="rId1049"/>
    <hyperlink xmlns:r="http://schemas.openxmlformats.org/officeDocument/2006/relationships" ref="R1051" r:id="rId1050"/>
    <hyperlink xmlns:r="http://schemas.openxmlformats.org/officeDocument/2006/relationships" ref="R1052" r:id="rId1051"/>
    <hyperlink xmlns:r="http://schemas.openxmlformats.org/officeDocument/2006/relationships" ref="R1053" r:id="rId1052"/>
    <hyperlink xmlns:r="http://schemas.openxmlformats.org/officeDocument/2006/relationships" ref="R1054" r:id="rId1053"/>
    <hyperlink xmlns:r="http://schemas.openxmlformats.org/officeDocument/2006/relationships" ref="R1055" r:id="rId1054"/>
    <hyperlink xmlns:r="http://schemas.openxmlformats.org/officeDocument/2006/relationships" ref="R1056" r:id="rId1055"/>
    <hyperlink xmlns:r="http://schemas.openxmlformats.org/officeDocument/2006/relationships" ref="R1057" r:id="rId1056"/>
    <hyperlink xmlns:r="http://schemas.openxmlformats.org/officeDocument/2006/relationships" ref="R1058" r:id="rId1057"/>
    <hyperlink xmlns:r="http://schemas.openxmlformats.org/officeDocument/2006/relationships" ref="R1059" r:id="rId1058"/>
    <hyperlink xmlns:r="http://schemas.openxmlformats.org/officeDocument/2006/relationships" ref="R1060" r:id="rId1059"/>
    <hyperlink xmlns:r="http://schemas.openxmlformats.org/officeDocument/2006/relationships" ref="R1061" r:id="rId1060"/>
    <hyperlink xmlns:r="http://schemas.openxmlformats.org/officeDocument/2006/relationships" ref="R1062" r:id="rId1061"/>
    <hyperlink xmlns:r="http://schemas.openxmlformats.org/officeDocument/2006/relationships" ref="R1063" r:id="rId1062"/>
    <hyperlink xmlns:r="http://schemas.openxmlformats.org/officeDocument/2006/relationships" ref="R1064" r:id="rId1063"/>
    <hyperlink xmlns:r="http://schemas.openxmlformats.org/officeDocument/2006/relationships" ref="R1065" r:id="rId1064"/>
    <hyperlink xmlns:r="http://schemas.openxmlformats.org/officeDocument/2006/relationships" ref="R1066" r:id="rId1065"/>
    <hyperlink xmlns:r="http://schemas.openxmlformats.org/officeDocument/2006/relationships" ref="R1067" r:id="rId1066"/>
    <hyperlink xmlns:r="http://schemas.openxmlformats.org/officeDocument/2006/relationships" ref="R1068" r:id="rId1067"/>
    <hyperlink xmlns:r="http://schemas.openxmlformats.org/officeDocument/2006/relationships" ref="R1069" r:id="rId1068"/>
    <hyperlink xmlns:r="http://schemas.openxmlformats.org/officeDocument/2006/relationships" ref="R1070" r:id="rId1069"/>
    <hyperlink xmlns:r="http://schemas.openxmlformats.org/officeDocument/2006/relationships" ref="R1071" r:id="rId1070"/>
    <hyperlink xmlns:r="http://schemas.openxmlformats.org/officeDocument/2006/relationships" ref="R1072" r:id="rId1071"/>
    <hyperlink xmlns:r="http://schemas.openxmlformats.org/officeDocument/2006/relationships" ref="R1073" r:id="rId1072"/>
    <hyperlink xmlns:r="http://schemas.openxmlformats.org/officeDocument/2006/relationships" ref="R1074" r:id="rId1073"/>
    <hyperlink xmlns:r="http://schemas.openxmlformats.org/officeDocument/2006/relationships" ref="R1075" r:id="rId1074"/>
    <hyperlink xmlns:r="http://schemas.openxmlformats.org/officeDocument/2006/relationships" ref="R1076" r:id="rId1075"/>
    <hyperlink xmlns:r="http://schemas.openxmlformats.org/officeDocument/2006/relationships" ref="R1077" r:id="rId1076"/>
    <hyperlink xmlns:r="http://schemas.openxmlformats.org/officeDocument/2006/relationships" ref="R1078" r:id="rId1077"/>
    <hyperlink xmlns:r="http://schemas.openxmlformats.org/officeDocument/2006/relationships" ref="R1079" r:id="rId1078"/>
    <hyperlink xmlns:r="http://schemas.openxmlformats.org/officeDocument/2006/relationships" ref="R1080" r:id="rId1079"/>
    <hyperlink xmlns:r="http://schemas.openxmlformats.org/officeDocument/2006/relationships" ref="R1081" r:id="rId1080"/>
    <hyperlink xmlns:r="http://schemas.openxmlformats.org/officeDocument/2006/relationships" ref="R1082" r:id="rId1081"/>
    <hyperlink xmlns:r="http://schemas.openxmlformats.org/officeDocument/2006/relationships" ref="R1083" r:id="rId1082"/>
    <hyperlink xmlns:r="http://schemas.openxmlformats.org/officeDocument/2006/relationships" ref="R1084" r:id="rId1083"/>
    <hyperlink xmlns:r="http://schemas.openxmlformats.org/officeDocument/2006/relationships" ref="R1085" r:id="rId1084"/>
    <hyperlink xmlns:r="http://schemas.openxmlformats.org/officeDocument/2006/relationships" ref="R1086" r:id="rId1085"/>
    <hyperlink xmlns:r="http://schemas.openxmlformats.org/officeDocument/2006/relationships" ref="R1087" r:id="rId1086"/>
    <hyperlink xmlns:r="http://schemas.openxmlformats.org/officeDocument/2006/relationships" ref="R1088" r:id="rId1087"/>
    <hyperlink xmlns:r="http://schemas.openxmlformats.org/officeDocument/2006/relationships" ref="R1089" r:id="rId1088"/>
    <hyperlink xmlns:r="http://schemas.openxmlformats.org/officeDocument/2006/relationships" ref="R1090" r:id="rId1089"/>
    <hyperlink xmlns:r="http://schemas.openxmlformats.org/officeDocument/2006/relationships" ref="R1091" r:id="rId1090"/>
    <hyperlink xmlns:r="http://schemas.openxmlformats.org/officeDocument/2006/relationships" ref="R1092" r:id="rId1091"/>
    <hyperlink xmlns:r="http://schemas.openxmlformats.org/officeDocument/2006/relationships" ref="R1093" r:id="rId1092"/>
    <hyperlink xmlns:r="http://schemas.openxmlformats.org/officeDocument/2006/relationships" ref="R1094" r:id="rId1093"/>
    <hyperlink xmlns:r="http://schemas.openxmlformats.org/officeDocument/2006/relationships" ref="R1095" r:id="rId1094"/>
    <hyperlink xmlns:r="http://schemas.openxmlformats.org/officeDocument/2006/relationships" ref="R1096" r:id="rId1095"/>
    <hyperlink xmlns:r="http://schemas.openxmlformats.org/officeDocument/2006/relationships" ref="R1097" r:id="rId1096"/>
    <hyperlink xmlns:r="http://schemas.openxmlformats.org/officeDocument/2006/relationships" ref="R1098" r:id="rId1097"/>
    <hyperlink xmlns:r="http://schemas.openxmlformats.org/officeDocument/2006/relationships" ref="R1099" r:id="rId1098"/>
    <hyperlink xmlns:r="http://schemas.openxmlformats.org/officeDocument/2006/relationships" ref="R1100" r:id="rId1099"/>
    <hyperlink xmlns:r="http://schemas.openxmlformats.org/officeDocument/2006/relationships" ref="R1101" r:id="rId1100"/>
    <hyperlink xmlns:r="http://schemas.openxmlformats.org/officeDocument/2006/relationships" ref="R1102" r:id="rId1101"/>
    <hyperlink xmlns:r="http://schemas.openxmlformats.org/officeDocument/2006/relationships" ref="R1103" r:id="rId1102"/>
    <hyperlink xmlns:r="http://schemas.openxmlformats.org/officeDocument/2006/relationships" ref="R1104" r:id="rId1103"/>
    <hyperlink xmlns:r="http://schemas.openxmlformats.org/officeDocument/2006/relationships" ref="R1105" r:id="rId1104"/>
    <hyperlink xmlns:r="http://schemas.openxmlformats.org/officeDocument/2006/relationships" ref="R1106" r:id="rId1105"/>
    <hyperlink xmlns:r="http://schemas.openxmlformats.org/officeDocument/2006/relationships" ref="R1107" r:id="rId1106"/>
    <hyperlink xmlns:r="http://schemas.openxmlformats.org/officeDocument/2006/relationships" ref="R1108" r:id="rId1107"/>
    <hyperlink xmlns:r="http://schemas.openxmlformats.org/officeDocument/2006/relationships" ref="R1109" r:id="rId1108"/>
    <hyperlink xmlns:r="http://schemas.openxmlformats.org/officeDocument/2006/relationships" ref="R1110" r:id="rId1109"/>
    <hyperlink xmlns:r="http://schemas.openxmlformats.org/officeDocument/2006/relationships" ref="R1111" r:id="rId1110"/>
    <hyperlink xmlns:r="http://schemas.openxmlformats.org/officeDocument/2006/relationships" ref="R1112" r:id="rId1111"/>
    <hyperlink xmlns:r="http://schemas.openxmlformats.org/officeDocument/2006/relationships" ref="R1113" r:id="rId1112"/>
    <hyperlink xmlns:r="http://schemas.openxmlformats.org/officeDocument/2006/relationships" ref="R1114" r:id="rId1113"/>
    <hyperlink xmlns:r="http://schemas.openxmlformats.org/officeDocument/2006/relationships" ref="R1115" r:id="rId1114"/>
    <hyperlink xmlns:r="http://schemas.openxmlformats.org/officeDocument/2006/relationships" ref="R1116" r:id="rId1115"/>
    <hyperlink xmlns:r="http://schemas.openxmlformats.org/officeDocument/2006/relationships" ref="R1117" r:id="rId1116"/>
    <hyperlink xmlns:r="http://schemas.openxmlformats.org/officeDocument/2006/relationships" ref="R1118" r:id="rId1117"/>
    <hyperlink xmlns:r="http://schemas.openxmlformats.org/officeDocument/2006/relationships" ref="R1119" r:id="rId1118"/>
    <hyperlink xmlns:r="http://schemas.openxmlformats.org/officeDocument/2006/relationships" ref="R1120" r:id="rId1119"/>
    <hyperlink xmlns:r="http://schemas.openxmlformats.org/officeDocument/2006/relationships" ref="R1121" r:id="rId1120"/>
    <hyperlink xmlns:r="http://schemas.openxmlformats.org/officeDocument/2006/relationships" ref="R1122" r:id="rId1121"/>
    <hyperlink xmlns:r="http://schemas.openxmlformats.org/officeDocument/2006/relationships" ref="R1123" r:id="rId1122"/>
    <hyperlink xmlns:r="http://schemas.openxmlformats.org/officeDocument/2006/relationships" ref="R1124" r:id="rId1123"/>
    <hyperlink xmlns:r="http://schemas.openxmlformats.org/officeDocument/2006/relationships" ref="R1125" r:id="rId1124"/>
    <hyperlink xmlns:r="http://schemas.openxmlformats.org/officeDocument/2006/relationships" ref="R1126" r:id="rId1125"/>
    <hyperlink xmlns:r="http://schemas.openxmlformats.org/officeDocument/2006/relationships" ref="R1127" r:id="rId1126"/>
    <hyperlink xmlns:r="http://schemas.openxmlformats.org/officeDocument/2006/relationships" ref="R1128" r:id="rId1127"/>
    <hyperlink xmlns:r="http://schemas.openxmlformats.org/officeDocument/2006/relationships" ref="R1129" r:id="rId1128"/>
    <hyperlink xmlns:r="http://schemas.openxmlformats.org/officeDocument/2006/relationships" ref="R1130" r:id="rId1129"/>
    <hyperlink xmlns:r="http://schemas.openxmlformats.org/officeDocument/2006/relationships" ref="R1131" r:id="rId1130"/>
    <hyperlink xmlns:r="http://schemas.openxmlformats.org/officeDocument/2006/relationships" ref="R1132" r:id="rId1131"/>
    <hyperlink xmlns:r="http://schemas.openxmlformats.org/officeDocument/2006/relationships" ref="R1133" r:id="rId1132"/>
    <hyperlink xmlns:r="http://schemas.openxmlformats.org/officeDocument/2006/relationships" ref="R1134" r:id="rId1133"/>
    <hyperlink xmlns:r="http://schemas.openxmlformats.org/officeDocument/2006/relationships" ref="R1135" r:id="rId1134"/>
    <hyperlink xmlns:r="http://schemas.openxmlformats.org/officeDocument/2006/relationships" ref="R1136" r:id="rId1135"/>
    <hyperlink xmlns:r="http://schemas.openxmlformats.org/officeDocument/2006/relationships" ref="R1137" r:id="rId1136"/>
    <hyperlink xmlns:r="http://schemas.openxmlformats.org/officeDocument/2006/relationships" ref="R1138" r:id="rId1137"/>
    <hyperlink xmlns:r="http://schemas.openxmlformats.org/officeDocument/2006/relationships" ref="R1139" r:id="rId1138"/>
    <hyperlink xmlns:r="http://schemas.openxmlformats.org/officeDocument/2006/relationships" ref="R1140" r:id="rId1139"/>
    <hyperlink xmlns:r="http://schemas.openxmlformats.org/officeDocument/2006/relationships" ref="R1141" r:id="rId1140"/>
    <hyperlink xmlns:r="http://schemas.openxmlformats.org/officeDocument/2006/relationships" ref="R1142" r:id="rId1141"/>
    <hyperlink xmlns:r="http://schemas.openxmlformats.org/officeDocument/2006/relationships" ref="R1143" r:id="rId1142"/>
    <hyperlink xmlns:r="http://schemas.openxmlformats.org/officeDocument/2006/relationships" ref="R1144" r:id="rId1143"/>
    <hyperlink xmlns:r="http://schemas.openxmlformats.org/officeDocument/2006/relationships" ref="R1145" r:id="rId1144"/>
    <hyperlink xmlns:r="http://schemas.openxmlformats.org/officeDocument/2006/relationships" ref="R1146" r:id="rId1145"/>
    <hyperlink xmlns:r="http://schemas.openxmlformats.org/officeDocument/2006/relationships" ref="R1147" r:id="rId1146"/>
    <hyperlink xmlns:r="http://schemas.openxmlformats.org/officeDocument/2006/relationships" ref="R1148" r:id="rId1147"/>
    <hyperlink xmlns:r="http://schemas.openxmlformats.org/officeDocument/2006/relationships" ref="R1149" r:id="rId1148"/>
    <hyperlink xmlns:r="http://schemas.openxmlformats.org/officeDocument/2006/relationships" ref="R1150" r:id="rId1149"/>
    <hyperlink xmlns:r="http://schemas.openxmlformats.org/officeDocument/2006/relationships" ref="R1151" r:id="rId1150"/>
    <hyperlink xmlns:r="http://schemas.openxmlformats.org/officeDocument/2006/relationships" ref="R1152" r:id="rId1151"/>
    <hyperlink xmlns:r="http://schemas.openxmlformats.org/officeDocument/2006/relationships" ref="R1153" r:id="rId1152"/>
    <hyperlink xmlns:r="http://schemas.openxmlformats.org/officeDocument/2006/relationships" ref="R1154" r:id="rId1153"/>
    <hyperlink xmlns:r="http://schemas.openxmlformats.org/officeDocument/2006/relationships" ref="R1155" r:id="rId1154"/>
    <hyperlink xmlns:r="http://schemas.openxmlformats.org/officeDocument/2006/relationships" ref="R1156" r:id="rId1155"/>
    <hyperlink xmlns:r="http://schemas.openxmlformats.org/officeDocument/2006/relationships" ref="R1157" r:id="rId1156"/>
    <hyperlink xmlns:r="http://schemas.openxmlformats.org/officeDocument/2006/relationships" ref="R1158" r:id="rId1157"/>
    <hyperlink xmlns:r="http://schemas.openxmlformats.org/officeDocument/2006/relationships" ref="R1159" r:id="rId1158"/>
    <hyperlink xmlns:r="http://schemas.openxmlformats.org/officeDocument/2006/relationships" ref="R1160" r:id="rId1159"/>
    <hyperlink xmlns:r="http://schemas.openxmlformats.org/officeDocument/2006/relationships" ref="R1161" r:id="rId1160"/>
    <hyperlink xmlns:r="http://schemas.openxmlformats.org/officeDocument/2006/relationships" ref="R1162" r:id="rId1161"/>
    <hyperlink xmlns:r="http://schemas.openxmlformats.org/officeDocument/2006/relationships" ref="R1163" r:id="rId1162"/>
    <hyperlink xmlns:r="http://schemas.openxmlformats.org/officeDocument/2006/relationships" ref="R1164" r:id="rId1163"/>
    <hyperlink xmlns:r="http://schemas.openxmlformats.org/officeDocument/2006/relationships" ref="R1165" r:id="rId1164"/>
    <hyperlink xmlns:r="http://schemas.openxmlformats.org/officeDocument/2006/relationships" ref="R1166" r:id="rId1165"/>
    <hyperlink xmlns:r="http://schemas.openxmlformats.org/officeDocument/2006/relationships" ref="R1167" r:id="rId1166"/>
    <hyperlink xmlns:r="http://schemas.openxmlformats.org/officeDocument/2006/relationships" ref="R1168" r:id="rId1167"/>
    <hyperlink xmlns:r="http://schemas.openxmlformats.org/officeDocument/2006/relationships" ref="R1169" r:id="rId1168"/>
    <hyperlink xmlns:r="http://schemas.openxmlformats.org/officeDocument/2006/relationships" ref="R1170" r:id="rId1169"/>
    <hyperlink xmlns:r="http://schemas.openxmlformats.org/officeDocument/2006/relationships" ref="R1171" r:id="rId1170"/>
    <hyperlink xmlns:r="http://schemas.openxmlformats.org/officeDocument/2006/relationships" ref="R1172" r:id="rId1171"/>
    <hyperlink xmlns:r="http://schemas.openxmlformats.org/officeDocument/2006/relationships" ref="R1173" r:id="rId1172"/>
    <hyperlink xmlns:r="http://schemas.openxmlformats.org/officeDocument/2006/relationships" ref="R1174" r:id="rId1173"/>
    <hyperlink xmlns:r="http://schemas.openxmlformats.org/officeDocument/2006/relationships" ref="R1175" r:id="rId1174"/>
    <hyperlink xmlns:r="http://schemas.openxmlformats.org/officeDocument/2006/relationships" ref="R1176" r:id="rId1175"/>
    <hyperlink xmlns:r="http://schemas.openxmlformats.org/officeDocument/2006/relationships" ref="R1177" r:id="rId1176"/>
    <hyperlink xmlns:r="http://schemas.openxmlformats.org/officeDocument/2006/relationships" ref="R1178" r:id="rId1177"/>
    <hyperlink xmlns:r="http://schemas.openxmlformats.org/officeDocument/2006/relationships" ref="R1179" r:id="rId1178"/>
    <hyperlink xmlns:r="http://schemas.openxmlformats.org/officeDocument/2006/relationships" ref="R1180" r:id="rId1179"/>
    <hyperlink xmlns:r="http://schemas.openxmlformats.org/officeDocument/2006/relationships" ref="R1181" r:id="rId1180"/>
    <hyperlink xmlns:r="http://schemas.openxmlformats.org/officeDocument/2006/relationships" ref="R1182" r:id="rId1181"/>
    <hyperlink xmlns:r="http://schemas.openxmlformats.org/officeDocument/2006/relationships" ref="R1183" r:id="rId1182"/>
    <hyperlink xmlns:r="http://schemas.openxmlformats.org/officeDocument/2006/relationships" ref="R1184" r:id="rId1183"/>
    <hyperlink xmlns:r="http://schemas.openxmlformats.org/officeDocument/2006/relationships" ref="R1185" r:id="rId1184"/>
    <hyperlink xmlns:r="http://schemas.openxmlformats.org/officeDocument/2006/relationships" ref="R1186" r:id="rId1185"/>
    <hyperlink xmlns:r="http://schemas.openxmlformats.org/officeDocument/2006/relationships" ref="R1187" r:id="rId1186"/>
    <hyperlink xmlns:r="http://schemas.openxmlformats.org/officeDocument/2006/relationships" ref="R1188" r:id="rId1187"/>
    <hyperlink xmlns:r="http://schemas.openxmlformats.org/officeDocument/2006/relationships" ref="R1189" r:id="rId1188"/>
    <hyperlink xmlns:r="http://schemas.openxmlformats.org/officeDocument/2006/relationships" ref="R1190" r:id="rId1189"/>
    <hyperlink xmlns:r="http://schemas.openxmlformats.org/officeDocument/2006/relationships" ref="R1191" r:id="rId1190"/>
    <hyperlink xmlns:r="http://schemas.openxmlformats.org/officeDocument/2006/relationships" ref="R1192" r:id="rId1191"/>
    <hyperlink xmlns:r="http://schemas.openxmlformats.org/officeDocument/2006/relationships" ref="R1193" r:id="rId1192"/>
    <hyperlink xmlns:r="http://schemas.openxmlformats.org/officeDocument/2006/relationships" ref="R1194" r:id="rId1193"/>
    <hyperlink xmlns:r="http://schemas.openxmlformats.org/officeDocument/2006/relationships" ref="R1195" r:id="rId1194"/>
    <hyperlink xmlns:r="http://schemas.openxmlformats.org/officeDocument/2006/relationships" ref="R1196" r:id="rId1195"/>
    <hyperlink xmlns:r="http://schemas.openxmlformats.org/officeDocument/2006/relationships" ref="R1197" r:id="rId1196"/>
    <hyperlink xmlns:r="http://schemas.openxmlformats.org/officeDocument/2006/relationships" ref="R1198" r:id="rId1197"/>
    <hyperlink xmlns:r="http://schemas.openxmlformats.org/officeDocument/2006/relationships" ref="R1199" r:id="rId1198"/>
    <hyperlink xmlns:r="http://schemas.openxmlformats.org/officeDocument/2006/relationships" ref="R1200" r:id="rId1199"/>
    <hyperlink xmlns:r="http://schemas.openxmlformats.org/officeDocument/2006/relationships" ref="R1201" r:id="rId1200"/>
    <hyperlink xmlns:r="http://schemas.openxmlformats.org/officeDocument/2006/relationships" ref="R1202" r:id="rId1201"/>
    <hyperlink xmlns:r="http://schemas.openxmlformats.org/officeDocument/2006/relationships" ref="R1203" r:id="rId1202"/>
    <hyperlink xmlns:r="http://schemas.openxmlformats.org/officeDocument/2006/relationships" ref="R1204" r:id="rId1203"/>
    <hyperlink xmlns:r="http://schemas.openxmlformats.org/officeDocument/2006/relationships" ref="R1205" r:id="rId1204"/>
    <hyperlink xmlns:r="http://schemas.openxmlformats.org/officeDocument/2006/relationships" ref="R1206" r:id="rId1205"/>
    <hyperlink xmlns:r="http://schemas.openxmlformats.org/officeDocument/2006/relationships" ref="R1207" r:id="rId1206"/>
    <hyperlink xmlns:r="http://schemas.openxmlformats.org/officeDocument/2006/relationships" ref="R1208" r:id="rId1207"/>
    <hyperlink xmlns:r="http://schemas.openxmlformats.org/officeDocument/2006/relationships" ref="R1209" r:id="rId1208"/>
    <hyperlink xmlns:r="http://schemas.openxmlformats.org/officeDocument/2006/relationships" ref="R1210" r:id="rId1209"/>
    <hyperlink xmlns:r="http://schemas.openxmlformats.org/officeDocument/2006/relationships" ref="R1211" r:id="rId1210"/>
    <hyperlink xmlns:r="http://schemas.openxmlformats.org/officeDocument/2006/relationships" ref="R1212" r:id="rId1211"/>
    <hyperlink xmlns:r="http://schemas.openxmlformats.org/officeDocument/2006/relationships" ref="R1213" r:id="rId1212"/>
    <hyperlink xmlns:r="http://schemas.openxmlformats.org/officeDocument/2006/relationships" ref="R1214" r:id="rId1213"/>
    <hyperlink xmlns:r="http://schemas.openxmlformats.org/officeDocument/2006/relationships" ref="R1215" r:id="rId1214"/>
    <hyperlink xmlns:r="http://schemas.openxmlformats.org/officeDocument/2006/relationships" ref="R1216" r:id="rId1215"/>
    <hyperlink xmlns:r="http://schemas.openxmlformats.org/officeDocument/2006/relationships" ref="R1217" r:id="rId1216"/>
    <hyperlink xmlns:r="http://schemas.openxmlformats.org/officeDocument/2006/relationships" ref="R1218" r:id="rId1217"/>
    <hyperlink xmlns:r="http://schemas.openxmlformats.org/officeDocument/2006/relationships" ref="R1219" r:id="rId1218"/>
    <hyperlink xmlns:r="http://schemas.openxmlformats.org/officeDocument/2006/relationships" ref="R1220" r:id="rId1219"/>
    <hyperlink xmlns:r="http://schemas.openxmlformats.org/officeDocument/2006/relationships" ref="R1221" r:id="rId1220"/>
    <hyperlink xmlns:r="http://schemas.openxmlformats.org/officeDocument/2006/relationships" ref="R1222" r:id="rId1221"/>
    <hyperlink xmlns:r="http://schemas.openxmlformats.org/officeDocument/2006/relationships" ref="R1223" r:id="rId1222"/>
    <hyperlink xmlns:r="http://schemas.openxmlformats.org/officeDocument/2006/relationships" ref="R1224" r:id="rId1223"/>
    <hyperlink xmlns:r="http://schemas.openxmlformats.org/officeDocument/2006/relationships" ref="R1225" r:id="rId1224"/>
    <hyperlink xmlns:r="http://schemas.openxmlformats.org/officeDocument/2006/relationships" ref="R1226" r:id="rId1225"/>
    <hyperlink xmlns:r="http://schemas.openxmlformats.org/officeDocument/2006/relationships" ref="R1227" r:id="rId1226"/>
    <hyperlink xmlns:r="http://schemas.openxmlformats.org/officeDocument/2006/relationships" ref="R1228" r:id="rId1227"/>
    <hyperlink xmlns:r="http://schemas.openxmlformats.org/officeDocument/2006/relationships" ref="R1229" r:id="rId1228"/>
    <hyperlink xmlns:r="http://schemas.openxmlformats.org/officeDocument/2006/relationships" ref="R1230" r:id="rId1229"/>
    <hyperlink xmlns:r="http://schemas.openxmlformats.org/officeDocument/2006/relationships" ref="R1231" r:id="rId1230"/>
    <hyperlink xmlns:r="http://schemas.openxmlformats.org/officeDocument/2006/relationships" ref="R1232" r:id="rId1231"/>
    <hyperlink xmlns:r="http://schemas.openxmlformats.org/officeDocument/2006/relationships" ref="R1233" r:id="rId1232"/>
    <hyperlink xmlns:r="http://schemas.openxmlformats.org/officeDocument/2006/relationships" ref="R1234" r:id="rId1233"/>
    <hyperlink xmlns:r="http://schemas.openxmlformats.org/officeDocument/2006/relationships" ref="R1235" r:id="rId1234"/>
    <hyperlink xmlns:r="http://schemas.openxmlformats.org/officeDocument/2006/relationships" ref="R1236" r:id="rId1235"/>
    <hyperlink xmlns:r="http://schemas.openxmlformats.org/officeDocument/2006/relationships" ref="R1237" r:id="rId1236"/>
    <hyperlink xmlns:r="http://schemas.openxmlformats.org/officeDocument/2006/relationships" ref="R1238" r:id="rId1237"/>
    <hyperlink xmlns:r="http://schemas.openxmlformats.org/officeDocument/2006/relationships" ref="R1239" r:id="rId1238"/>
    <hyperlink xmlns:r="http://schemas.openxmlformats.org/officeDocument/2006/relationships" ref="R1240" r:id="rId1239"/>
    <hyperlink xmlns:r="http://schemas.openxmlformats.org/officeDocument/2006/relationships" ref="R1241" r:id="rId1240"/>
    <hyperlink xmlns:r="http://schemas.openxmlformats.org/officeDocument/2006/relationships" ref="R1242" r:id="rId1241"/>
    <hyperlink xmlns:r="http://schemas.openxmlformats.org/officeDocument/2006/relationships" ref="R1243" r:id="rId1242"/>
    <hyperlink xmlns:r="http://schemas.openxmlformats.org/officeDocument/2006/relationships" ref="R1244" r:id="rId1243"/>
    <hyperlink xmlns:r="http://schemas.openxmlformats.org/officeDocument/2006/relationships" ref="R1245" r:id="rId1244"/>
    <hyperlink xmlns:r="http://schemas.openxmlformats.org/officeDocument/2006/relationships" ref="R1246" r:id="rId1245"/>
    <hyperlink xmlns:r="http://schemas.openxmlformats.org/officeDocument/2006/relationships" ref="R1247" r:id="rId1246"/>
    <hyperlink xmlns:r="http://schemas.openxmlformats.org/officeDocument/2006/relationships" ref="R1248" r:id="rId1247"/>
    <hyperlink xmlns:r="http://schemas.openxmlformats.org/officeDocument/2006/relationships" ref="R1249" r:id="rId1248"/>
    <hyperlink xmlns:r="http://schemas.openxmlformats.org/officeDocument/2006/relationships" ref="R1250" r:id="rId1249"/>
    <hyperlink xmlns:r="http://schemas.openxmlformats.org/officeDocument/2006/relationships" ref="R1251" r:id="rId1250"/>
    <hyperlink xmlns:r="http://schemas.openxmlformats.org/officeDocument/2006/relationships" ref="R1252" r:id="rId1251"/>
    <hyperlink xmlns:r="http://schemas.openxmlformats.org/officeDocument/2006/relationships" ref="R1253" r:id="rId1252"/>
    <hyperlink xmlns:r="http://schemas.openxmlformats.org/officeDocument/2006/relationships" ref="R1254" r:id="rId1253"/>
    <hyperlink xmlns:r="http://schemas.openxmlformats.org/officeDocument/2006/relationships" ref="R1255" r:id="rId1254"/>
    <hyperlink xmlns:r="http://schemas.openxmlformats.org/officeDocument/2006/relationships" ref="R1256" r:id="rId1255"/>
    <hyperlink xmlns:r="http://schemas.openxmlformats.org/officeDocument/2006/relationships" ref="R1257" r:id="rId1256"/>
    <hyperlink xmlns:r="http://schemas.openxmlformats.org/officeDocument/2006/relationships" ref="R1258" r:id="rId1257"/>
    <hyperlink xmlns:r="http://schemas.openxmlformats.org/officeDocument/2006/relationships" ref="R1259" r:id="rId1258"/>
    <hyperlink xmlns:r="http://schemas.openxmlformats.org/officeDocument/2006/relationships" ref="R1260" r:id="rId1259"/>
    <hyperlink xmlns:r="http://schemas.openxmlformats.org/officeDocument/2006/relationships" ref="R1261" r:id="rId1260"/>
    <hyperlink xmlns:r="http://schemas.openxmlformats.org/officeDocument/2006/relationships" ref="R1262" r:id="rId1261"/>
    <hyperlink xmlns:r="http://schemas.openxmlformats.org/officeDocument/2006/relationships" ref="R1263" r:id="rId1262"/>
    <hyperlink xmlns:r="http://schemas.openxmlformats.org/officeDocument/2006/relationships" ref="R1264" r:id="rId1263"/>
    <hyperlink xmlns:r="http://schemas.openxmlformats.org/officeDocument/2006/relationships" ref="R1265" r:id="rId1264"/>
    <hyperlink xmlns:r="http://schemas.openxmlformats.org/officeDocument/2006/relationships" ref="R1266" r:id="rId1265"/>
    <hyperlink xmlns:r="http://schemas.openxmlformats.org/officeDocument/2006/relationships" ref="R1267" r:id="rId1266"/>
    <hyperlink xmlns:r="http://schemas.openxmlformats.org/officeDocument/2006/relationships" ref="R1268" r:id="rId1267"/>
    <hyperlink xmlns:r="http://schemas.openxmlformats.org/officeDocument/2006/relationships" ref="R1269" r:id="rId1268"/>
    <hyperlink xmlns:r="http://schemas.openxmlformats.org/officeDocument/2006/relationships" ref="R1270" r:id="rId1269"/>
    <hyperlink xmlns:r="http://schemas.openxmlformats.org/officeDocument/2006/relationships" ref="R1271" r:id="rId1270"/>
    <hyperlink xmlns:r="http://schemas.openxmlformats.org/officeDocument/2006/relationships" ref="R1272" r:id="rId1271"/>
    <hyperlink xmlns:r="http://schemas.openxmlformats.org/officeDocument/2006/relationships" ref="R1273" r:id="rId1272"/>
    <hyperlink xmlns:r="http://schemas.openxmlformats.org/officeDocument/2006/relationships" ref="R1274" r:id="rId1273"/>
    <hyperlink xmlns:r="http://schemas.openxmlformats.org/officeDocument/2006/relationships" ref="R1275" r:id="rId1274"/>
    <hyperlink xmlns:r="http://schemas.openxmlformats.org/officeDocument/2006/relationships" ref="R1276" r:id="rId1275"/>
    <hyperlink xmlns:r="http://schemas.openxmlformats.org/officeDocument/2006/relationships" ref="R1277" r:id="rId1276"/>
    <hyperlink xmlns:r="http://schemas.openxmlformats.org/officeDocument/2006/relationships" ref="R1278" r:id="rId1277"/>
    <hyperlink xmlns:r="http://schemas.openxmlformats.org/officeDocument/2006/relationships" ref="R1279" r:id="rId1278"/>
    <hyperlink xmlns:r="http://schemas.openxmlformats.org/officeDocument/2006/relationships" ref="R1280" r:id="rId1279"/>
    <hyperlink xmlns:r="http://schemas.openxmlformats.org/officeDocument/2006/relationships" ref="R1281" r:id="rId1280"/>
    <hyperlink xmlns:r="http://schemas.openxmlformats.org/officeDocument/2006/relationships" ref="R1282" r:id="rId1281"/>
    <hyperlink xmlns:r="http://schemas.openxmlformats.org/officeDocument/2006/relationships" ref="R1283" r:id="rId1282"/>
    <hyperlink xmlns:r="http://schemas.openxmlformats.org/officeDocument/2006/relationships" ref="R1284" r:id="rId1283"/>
    <hyperlink xmlns:r="http://schemas.openxmlformats.org/officeDocument/2006/relationships" ref="R1285" r:id="rId1284"/>
    <hyperlink xmlns:r="http://schemas.openxmlformats.org/officeDocument/2006/relationships" ref="R1286" r:id="rId1285"/>
    <hyperlink xmlns:r="http://schemas.openxmlformats.org/officeDocument/2006/relationships" ref="R1287" r:id="rId1286"/>
    <hyperlink xmlns:r="http://schemas.openxmlformats.org/officeDocument/2006/relationships" ref="R1288" r:id="rId1287"/>
    <hyperlink xmlns:r="http://schemas.openxmlformats.org/officeDocument/2006/relationships" ref="R1289" r:id="rId1288"/>
    <hyperlink xmlns:r="http://schemas.openxmlformats.org/officeDocument/2006/relationships" ref="R1290" r:id="rId1289"/>
    <hyperlink xmlns:r="http://schemas.openxmlformats.org/officeDocument/2006/relationships" ref="R1291" r:id="rId1290"/>
    <hyperlink xmlns:r="http://schemas.openxmlformats.org/officeDocument/2006/relationships" ref="R1292" r:id="rId1291"/>
    <hyperlink xmlns:r="http://schemas.openxmlformats.org/officeDocument/2006/relationships" ref="R1293" r:id="rId1292"/>
    <hyperlink xmlns:r="http://schemas.openxmlformats.org/officeDocument/2006/relationships" ref="R1294" r:id="rId1293"/>
    <hyperlink xmlns:r="http://schemas.openxmlformats.org/officeDocument/2006/relationships" ref="R1295" r:id="rId1294"/>
    <hyperlink xmlns:r="http://schemas.openxmlformats.org/officeDocument/2006/relationships" ref="R1296" r:id="rId1295"/>
    <hyperlink xmlns:r="http://schemas.openxmlformats.org/officeDocument/2006/relationships" ref="R1297" r:id="rId1296"/>
    <hyperlink xmlns:r="http://schemas.openxmlformats.org/officeDocument/2006/relationships" ref="R1298" r:id="rId1297"/>
    <hyperlink xmlns:r="http://schemas.openxmlformats.org/officeDocument/2006/relationships" ref="R1299" r:id="rId1298"/>
    <hyperlink xmlns:r="http://schemas.openxmlformats.org/officeDocument/2006/relationships" ref="R1300" r:id="rId1299"/>
    <hyperlink xmlns:r="http://schemas.openxmlformats.org/officeDocument/2006/relationships" ref="R1301" r:id="rId1300"/>
    <hyperlink xmlns:r="http://schemas.openxmlformats.org/officeDocument/2006/relationships" ref="R1302" r:id="rId1301"/>
    <hyperlink xmlns:r="http://schemas.openxmlformats.org/officeDocument/2006/relationships" ref="R1303" r:id="rId1302"/>
    <hyperlink xmlns:r="http://schemas.openxmlformats.org/officeDocument/2006/relationships" ref="R1304" r:id="rId1303"/>
    <hyperlink xmlns:r="http://schemas.openxmlformats.org/officeDocument/2006/relationships" ref="R1305" r:id="rId1304"/>
    <hyperlink xmlns:r="http://schemas.openxmlformats.org/officeDocument/2006/relationships" ref="R1306" r:id="rId1305"/>
    <hyperlink xmlns:r="http://schemas.openxmlformats.org/officeDocument/2006/relationships" ref="R1307" r:id="rId1306"/>
    <hyperlink xmlns:r="http://schemas.openxmlformats.org/officeDocument/2006/relationships" ref="R1308" r:id="rId1307"/>
    <hyperlink xmlns:r="http://schemas.openxmlformats.org/officeDocument/2006/relationships" ref="R1309" r:id="rId1308"/>
    <hyperlink xmlns:r="http://schemas.openxmlformats.org/officeDocument/2006/relationships" ref="R1310" r:id="rId1309"/>
    <hyperlink xmlns:r="http://schemas.openxmlformats.org/officeDocument/2006/relationships" ref="R1311" r:id="rId1310"/>
    <hyperlink xmlns:r="http://schemas.openxmlformats.org/officeDocument/2006/relationships" ref="R1312" r:id="rId1311"/>
    <hyperlink xmlns:r="http://schemas.openxmlformats.org/officeDocument/2006/relationships" ref="R1313" r:id="rId1312"/>
    <hyperlink xmlns:r="http://schemas.openxmlformats.org/officeDocument/2006/relationships" ref="R1314" r:id="rId1313"/>
    <hyperlink xmlns:r="http://schemas.openxmlformats.org/officeDocument/2006/relationships" ref="R1315" r:id="rId1314"/>
    <hyperlink xmlns:r="http://schemas.openxmlformats.org/officeDocument/2006/relationships" ref="R1316" r:id="rId1315"/>
    <hyperlink xmlns:r="http://schemas.openxmlformats.org/officeDocument/2006/relationships" ref="R1317" r:id="rId1316"/>
    <hyperlink xmlns:r="http://schemas.openxmlformats.org/officeDocument/2006/relationships" ref="R1318" r:id="rId1317"/>
    <hyperlink xmlns:r="http://schemas.openxmlformats.org/officeDocument/2006/relationships" ref="R1319" r:id="rId1318"/>
    <hyperlink xmlns:r="http://schemas.openxmlformats.org/officeDocument/2006/relationships" ref="R1320" r:id="rId1319"/>
    <hyperlink xmlns:r="http://schemas.openxmlformats.org/officeDocument/2006/relationships" ref="R1321" r:id="rId1320"/>
    <hyperlink xmlns:r="http://schemas.openxmlformats.org/officeDocument/2006/relationships" ref="R1322" r:id="rId1321"/>
    <hyperlink xmlns:r="http://schemas.openxmlformats.org/officeDocument/2006/relationships" ref="R1323" r:id="rId1322"/>
    <hyperlink xmlns:r="http://schemas.openxmlformats.org/officeDocument/2006/relationships" ref="R1324" r:id="rId1323"/>
    <hyperlink xmlns:r="http://schemas.openxmlformats.org/officeDocument/2006/relationships" ref="R1325" r:id="rId1324"/>
    <hyperlink xmlns:r="http://schemas.openxmlformats.org/officeDocument/2006/relationships" ref="R1326" r:id="rId1325"/>
    <hyperlink xmlns:r="http://schemas.openxmlformats.org/officeDocument/2006/relationships" ref="R1327" r:id="rId1326"/>
    <hyperlink xmlns:r="http://schemas.openxmlformats.org/officeDocument/2006/relationships" ref="R1328" r:id="rId1327"/>
    <hyperlink xmlns:r="http://schemas.openxmlformats.org/officeDocument/2006/relationships" ref="R1329" r:id="rId1328"/>
    <hyperlink xmlns:r="http://schemas.openxmlformats.org/officeDocument/2006/relationships" ref="R1330" r:id="rId1329"/>
    <hyperlink xmlns:r="http://schemas.openxmlformats.org/officeDocument/2006/relationships" ref="R1331" r:id="rId1330"/>
    <hyperlink xmlns:r="http://schemas.openxmlformats.org/officeDocument/2006/relationships" ref="R1332" r:id="rId1331"/>
    <hyperlink xmlns:r="http://schemas.openxmlformats.org/officeDocument/2006/relationships" ref="R1333" r:id="rId1332"/>
    <hyperlink xmlns:r="http://schemas.openxmlformats.org/officeDocument/2006/relationships" ref="R1334" r:id="rId1333"/>
    <hyperlink xmlns:r="http://schemas.openxmlformats.org/officeDocument/2006/relationships" ref="R1335" r:id="rId1334"/>
    <hyperlink xmlns:r="http://schemas.openxmlformats.org/officeDocument/2006/relationships" ref="R1336" r:id="rId1335"/>
    <hyperlink xmlns:r="http://schemas.openxmlformats.org/officeDocument/2006/relationships" ref="R1337" r:id="rId1336"/>
    <hyperlink xmlns:r="http://schemas.openxmlformats.org/officeDocument/2006/relationships" ref="R1338" r:id="rId1337"/>
    <hyperlink xmlns:r="http://schemas.openxmlformats.org/officeDocument/2006/relationships" ref="R1339" r:id="rId1338"/>
    <hyperlink xmlns:r="http://schemas.openxmlformats.org/officeDocument/2006/relationships" ref="R1340" r:id="rId1339"/>
    <hyperlink xmlns:r="http://schemas.openxmlformats.org/officeDocument/2006/relationships" ref="R1341" r:id="rId1340"/>
    <hyperlink xmlns:r="http://schemas.openxmlformats.org/officeDocument/2006/relationships" ref="R1342" r:id="rId1341"/>
    <hyperlink xmlns:r="http://schemas.openxmlformats.org/officeDocument/2006/relationships" ref="R1343" r:id="rId1342"/>
    <hyperlink xmlns:r="http://schemas.openxmlformats.org/officeDocument/2006/relationships" ref="R1344" r:id="rId1343"/>
    <hyperlink xmlns:r="http://schemas.openxmlformats.org/officeDocument/2006/relationships" ref="R1345" r:id="rId1344"/>
    <hyperlink xmlns:r="http://schemas.openxmlformats.org/officeDocument/2006/relationships" ref="R1346" r:id="rId1345"/>
    <hyperlink xmlns:r="http://schemas.openxmlformats.org/officeDocument/2006/relationships" ref="R1347" r:id="rId1346"/>
    <hyperlink xmlns:r="http://schemas.openxmlformats.org/officeDocument/2006/relationships" ref="R1348" r:id="rId1347"/>
    <hyperlink xmlns:r="http://schemas.openxmlformats.org/officeDocument/2006/relationships" ref="R1349" r:id="rId1348"/>
    <hyperlink xmlns:r="http://schemas.openxmlformats.org/officeDocument/2006/relationships" ref="R1350" r:id="rId1349"/>
    <hyperlink xmlns:r="http://schemas.openxmlformats.org/officeDocument/2006/relationships" ref="R1351" r:id="rId1350"/>
    <hyperlink xmlns:r="http://schemas.openxmlformats.org/officeDocument/2006/relationships" ref="R1352" r:id="rId1351"/>
    <hyperlink xmlns:r="http://schemas.openxmlformats.org/officeDocument/2006/relationships" ref="R1353" r:id="rId1352"/>
    <hyperlink xmlns:r="http://schemas.openxmlformats.org/officeDocument/2006/relationships" ref="R1354" r:id="rId1353"/>
    <hyperlink xmlns:r="http://schemas.openxmlformats.org/officeDocument/2006/relationships" ref="R1355" r:id="rId1354"/>
    <hyperlink xmlns:r="http://schemas.openxmlformats.org/officeDocument/2006/relationships" ref="R1356" r:id="rId1355"/>
    <hyperlink xmlns:r="http://schemas.openxmlformats.org/officeDocument/2006/relationships" ref="R1357" r:id="rId1356"/>
    <hyperlink xmlns:r="http://schemas.openxmlformats.org/officeDocument/2006/relationships" ref="R1358" r:id="rId1357"/>
    <hyperlink xmlns:r="http://schemas.openxmlformats.org/officeDocument/2006/relationships" ref="R1359" r:id="rId1358"/>
    <hyperlink xmlns:r="http://schemas.openxmlformats.org/officeDocument/2006/relationships" ref="R1360" r:id="rId1359"/>
    <hyperlink xmlns:r="http://schemas.openxmlformats.org/officeDocument/2006/relationships" ref="R1361" r:id="rId1360"/>
    <hyperlink xmlns:r="http://schemas.openxmlformats.org/officeDocument/2006/relationships" ref="R1362" r:id="rId1361"/>
    <hyperlink xmlns:r="http://schemas.openxmlformats.org/officeDocument/2006/relationships" ref="R1363" r:id="rId1362"/>
    <hyperlink xmlns:r="http://schemas.openxmlformats.org/officeDocument/2006/relationships" ref="R1364" r:id="rId1363"/>
    <hyperlink xmlns:r="http://schemas.openxmlformats.org/officeDocument/2006/relationships" ref="R1365" r:id="rId1364"/>
    <hyperlink xmlns:r="http://schemas.openxmlformats.org/officeDocument/2006/relationships" ref="R1366" r:id="rId1365"/>
    <hyperlink xmlns:r="http://schemas.openxmlformats.org/officeDocument/2006/relationships" ref="R1367" r:id="rId1366"/>
    <hyperlink xmlns:r="http://schemas.openxmlformats.org/officeDocument/2006/relationships" ref="R1368" r:id="rId1367"/>
    <hyperlink xmlns:r="http://schemas.openxmlformats.org/officeDocument/2006/relationships" ref="R1369" r:id="rId1368"/>
    <hyperlink xmlns:r="http://schemas.openxmlformats.org/officeDocument/2006/relationships" ref="R1370" r:id="rId1369"/>
    <hyperlink xmlns:r="http://schemas.openxmlformats.org/officeDocument/2006/relationships" ref="R1371" r:id="rId1370"/>
    <hyperlink xmlns:r="http://schemas.openxmlformats.org/officeDocument/2006/relationships" ref="R1372" r:id="rId1371"/>
    <hyperlink xmlns:r="http://schemas.openxmlformats.org/officeDocument/2006/relationships" ref="R1373" r:id="rId1372"/>
    <hyperlink xmlns:r="http://schemas.openxmlformats.org/officeDocument/2006/relationships" ref="R1374" r:id="rId1373"/>
    <hyperlink xmlns:r="http://schemas.openxmlformats.org/officeDocument/2006/relationships" ref="R1375" r:id="rId1374"/>
    <hyperlink xmlns:r="http://schemas.openxmlformats.org/officeDocument/2006/relationships" ref="R1376" r:id="rId1375"/>
    <hyperlink xmlns:r="http://schemas.openxmlformats.org/officeDocument/2006/relationships" ref="R1377" r:id="rId1376"/>
    <hyperlink xmlns:r="http://schemas.openxmlformats.org/officeDocument/2006/relationships" ref="R1378" r:id="rId1377"/>
    <hyperlink xmlns:r="http://schemas.openxmlformats.org/officeDocument/2006/relationships" ref="R1379" r:id="rId1378"/>
    <hyperlink xmlns:r="http://schemas.openxmlformats.org/officeDocument/2006/relationships" ref="R1380" r:id="rId1379"/>
    <hyperlink xmlns:r="http://schemas.openxmlformats.org/officeDocument/2006/relationships" ref="R1381" r:id="rId1380"/>
    <hyperlink xmlns:r="http://schemas.openxmlformats.org/officeDocument/2006/relationships" ref="R1382" r:id="rId1381"/>
    <hyperlink xmlns:r="http://schemas.openxmlformats.org/officeDocument/2006/relationships" ref="R1383" r:id="rId1382"/>
    <hyperlink xmlns:r="http://schemas.openxmlformats.org/officeDocument/2006/relationships" ref="R1384" r:id="rId1383"/>
    <hyperlink xmlns:r="http://schemas.openxmlformats.org/officeDocument/2006/relationships" ref="R1385" r:id="rId1384"/>
    <hyperlink xmlns:r="http://schemas.openxmlformats.org/officeDocument/2006/relationships" ref="R1386" r:id="rId1385"/>
    <hyperlink xmlns:r="http://schemas.openxmlformats.org/officeDocument/2006/relationships" ref="R1387" r:id="rId1386"/>
    <hyperlink xmlns:r="http://schemas.openxmlformats.org/officeDocument/2006/relationships" ref="R1388" r:id="rId1387"/>
    <hyperlink xmlns:r="http://schemas.openxmlformats.org/officeDocument/2006/relationships" ref="R1389" r:id="rId1388"/>
    <hyperlink xmlns:r="http://schemas.openxmlformats.org/officeDocument/2006/relationships" ref="R1390" r:id="rId1389"/>
    <hyperlink xmlns:r="http://schemas.openxmlformats.org/officeDocument/2006/relationships" ref="R1391" r:id="rId1390"/>
    <hyperlink xmlns:r="http://schemas.openxmlformats.org/officeDocument/2006/relationships" ref="R1392" r:id="rId1391"/>
    <hyperlink xmlns:r="http://schemas.openxmlformats.org/officeDocument/2006/relationships" ref="R1393" r:id="rId1392"/>
    <hyperlink xmlns:r="http://schemas.openxmlformats.org/officeDocument/2006/relationships" ref="R1394" r:id="rId1393"/>
    <hyperlink xmlns:r="http://schemas.openxmlformats.org/officeDocument/2006/relationships" ref="R1395" r:id="rId1394"/>
    <hyperlink xmlns:r="http://schemas.openxmlformats.org/officeDocument/2006/relationships" ref="R1396" r:id="rId1395"/>
    <hyperlink xmlns:r="http://schemas.openxmlformats.org/officeDocument/2006/relationships" ref="R1397" r:id="rId1396"/>
    <hyperlink xmlns:r="http://schemas.openxmlformats.org/officeDocument/2006/relationships" ref="R1398" r:id="rId1397"/>
    <hyperlink xmlns:r="http://schemas.openxmlformats.org/officeDocument/2006/relationships" ref="R1399" r:id="rId1398"/>
    <hyperlink xmlns:r="http://schemas.openxmlformats.org/officeDocument/2006/relationships" ref="R1400" r:id="rId1399"/>
    <hyperlink xmlns:r="http://schemas.openxmlformats.org/officeDocument/2006/relationships" ref="R1401" r:id="rId1400"/>
    <hyperlink xmlns:r="http://schemas.openxmlformats.org/officeDocument/2006/relationships" ref="R1402" r:id="rId1401"/>
    <hyperlink xmlns:r="http://schemas.openxmlformats.org/officeDocument/2006/relationships" ref="R1403" r:id="rId1402"/>
    <hyperlink xmlns:r="http://schemas.openxmlformats.org/officeDocument/2006/relationships" ref="R1404" r:id="rId1403"/>
    <hyperlink xmlns:r="http://schemas.openxmlformats.org/officeDocument/2006/relationships" ref="R1405" r:id="rId1404"/>
    <hyperlink xmlns:r="http://schemas.openxmlformats.org/officeDocument/2006/relationships" ref="R1406" r:id="rId1405"/>
    <hyperlink xmlns:r="http://schemas.openxmlformats.org/officeDocument/2006/relationships" ref="R1407" r:id="rId1406"/>
    <hyperlink xmlns:r="http://schemas.openxmlformats.org/officeDocument/2006/relationships" ref="R1408" r:id="rId1407"/>
    <hyperlink xmlns:r="http://schemas.openxmlformats.org/officeDocument/2006/relationships" ref="R1409" r:id="rId1408"/>
    <hyperlink xmlns:r="http://schemas.openxmlformats.org/officeDocument/2006/relationships" ref="R1410" r:id="rId1409"/>
    <hyperlink xmlns:r="http://schemas.openxmlformats.org/officeDocument/2006/relationships" ref="R1411" r:id="rId1410"/>
    <hyperlink xmlns:r="http://schemas.openxmlformats.org/officeDocument/2006/relationships" ref="R1412" r:id="rId1411"/>
    <hyperlink xmlns:r="http://schemas.openxmlformats.org/officeDocument/2006/relationships" ref="R1413" r:id="rId1412"/>
    <hyperlink xmlns:r="http://schemas.openxmlformats.org/officeDocument/2006/relationships" ref="R1414" r:id="rId1413"/>
    <hyperlink xmlns:r="http://schemas.openxmlformats.org/officeDocument/2006/relationships" ref="R1415" r:id="rId1414"/>
    <hyperlink xmlns:r="http://schemas.openxmlformats.org/officeDocument/2006/relationships" ref="R1416" r:id="rId1415"/>
    <hyperlink xmlns:r="http://schemas.openxmlformats.org/officeDocument/2006/relationships" ref="R1417" r:id="rId1416"/>
    <hyperlink xmlns:r="http://schemas.openxmlformats.org/officeDocument/2006/relationships" ref="R1418" r:id="rId1417"/>
    <hyperlink xmlns:r="http://schemas.openxmlformats.org/officeDocument/2006/relationships" ref="R1419" r:id="rId1418"/>
    <hyperlink xmlns:r="http://schemas.openxmlformats.org/officeDocument/2006/relationships" ref="R1420" r:id="rId1419"/>
    <hyperlink xmlns:r="http://schemas.openxmlformats.org/officeDocument/2006/relationships" ref="R1421" r:id="rId1420"/>
    <hyperlink xmlns:r="http://schemas.openxmlformats.org/officeDocument/2006/relationships" ref="R1422" r:id="rId1421"/>
    <hyperlink xmlns:r="http://schemas.openxmlformats.org/officeDocument/2006/relationships" ref="R1423" r:id="rId1422"/>
    <hyperlink xmlns:r="http://schemas.openxmlformats.org/officeDocument/2006/relationships" ref="R1424" r:id="rId1423"/>
    <hyperlink xmlns:r="http://schemas.openxmlformats.org/officeDocument/2006/relationships" ref="R1425" r:id="rId1424"/>
    <hyperlink xmlns:r="http://schemas.openxmlformats.org/officeDocument/2006/relationships" ref="R1426" r:id="rId1425"/>
    <hyperlink xmlns:r="http://schemas.openxmlformats.org/officeDocument/2006/relationships" ref="R1427" r:id="rId1426"/>
    <hyperlink xmlns:r="http://schemas.openxmlformats.org/officeDocument/2006/relationships" ref="R1428" r:id="rId1427"/>
    <hyperlink xmlns:r="http://schemas.openxmlformats.org/officeDocument/2006/relationships" ref="R1429" r:id="rId1428"/>
    <hyperlink xmlns:r="http://schemas.openxmlformats.org/officeDocument/2006/relationships" ref="R1430" r:id="rId1429"/>
    <hyperlink xmlns:r="http://schemas.openxmlformats.org/officeDocument/2006/relationships" ref="R1431" r:id="rId1430"/>
    <hyperlink xmlns:r="http://schemas.openxmlformats.org/officeDocument/2006/relationships" ref="R1432" r:id="rId1431"/>
    <hyperlink xmlns:r="http://schemas.openxmlformats.org/officeDocument/2006/relationships" ref="R1433" r:id="rId1432"/>
    <hyperlink xmlns:r="http://schemas.openxmlformats.org/officeDocument/2006/relationships" ref="R1434" r:id="rId1433"/>
    <hyperlink xmlns:r="http://schemas.openxmlformats.org/officeDocument/2006/relationships" ref="R1435" r:id="rId1434"/>
    <hyperlink xmlns:r="http://schemas.openxmlformats.org/officeDocument/2006/relationships" ref="R1436" r:id="rId1435"/>
    <hyperlink xmlns:r="http://schemas.openxmlformats.org/officeDocument/2006/relationships" ref="R1437" r:id="rId1436"/>
    <hyperlink xmlns:r="http://schemas.openxmlformats.org/officeDocument/2006/relationships" ref="R1438" r:id="rId1437"/>
    <hyperlink xmlns:r="http://schemas.openxmlformats.org/officeDocument/2006/relationships" ref="R1439" r:id="rId1438"/>
    <hyperlink xmlns:r="http://schemas.openxmlformats.org/officeDocument/2006/relationships" ref="R1440" r:id="rId1439"/>
    <hyperlink xmlns:r="http://schemas.openxmlformats.org/officeDocument/2006/relationships" ref="R1441" r:id="rId1440"/>
    <hyperlink xmlns:r="http://schemas.openxmlformats.org/officeDocument/2006/relationships" ref="R1442" r:id="rId1441"/>
    <hyperlink xmlns:r="http://schemas.openxmlformats.org/officeDocument/2006/relationships" ref="R1443" r:id="rId1442"/>
    <hyperlink xmlns:r="http://schemas.openxmlformats.org/officeDocument/2006/relationships" ref="R1444" r:id="rId1443"/>
    <hyperlink xmlns:r="http://schemas.openxmlformats.org/officeDocument/2006/relationships" ref="R1445" r:id="rId1444"/>
    <hyperlink xmlns:r="http://schemas.openxmlformats.org/officeDocument/2006/relationships" ref="R1446" r:id="rId1445"/>
    <hyperlink xmlns:r="http://schemas.openxmlformats.org/officeDocument/2006/relationships" ref="R1447" r:id="rId1446"/>
    <hyperlink xmlns:r="http://schemas.openxmlformats.org/officeDocument/2006/relationships" ref="R1448" r:id="rId1447"/>
    <hyperlink xmlns:r="http://schemas.openxmlformats.org/officeDocument/2006/relationships" ref="R1449" r:id="rId1448"/>
    <hyperlink xmlns:r="http://schemas.openxmlformats.org/officeDocument/2006/relationships" ref="R1450" r:id="rId1449"/>
    <hyperlink xmlns:r="http://schemas.openxmlformats.org/officeDocument/2006/relationships" ref="R1451" r:id="rId1450"/>
    <hyperlink xmlns:r="http://schemas.openxmlformats.org/officeDocument/2006/relationships" ref="R1452" r:id="rId1451"/>
    <hyperlink xmlns:r="http://schemas.openxmlformats.org/officeDocument/2006/relationships" ref="R1453" r:id="rId1452"/>
    <hyperlink xmlns:r="http://schemas.openxmlformats.org/officeDocument/2006/relationships" ref="R1454" r:id="rId1453"/>
    <hyperlink xmlns:r="http://schemas.openxmlformats.org/officeDocument/2006/relationships" ref="R1455" r:id="rId1454"/>
    <hyperlink xmlns:r="http://schemas.openxmlformats.org/officeDocument/2006/relationships" ref="R1456" r:id="rId1455"/>
    <hyperlink xmlns:r="http://schemas.openxmlformats.org/officeDocument/2006/relationships" ref="R1457" r:id="rId1456"/>
    <hyperlink xmlns:r="http://schemas.openxmlformats.org/officeDocument/2006/relationships" ref="R1458" r:id="rId1457"/>
    <hyperlink xmlns:r="http://schemas.openxmlformats.org/officeDocument/2006/relationships" ref="R1459" r:id="rId145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4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6" customWidth="1" min="4" max="4"/>
    <col width="3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42" customWidth="1" min="18" max="18"/>
    <col width="16" customWidth="1" min="19" max="19"/>
    <col width="20" customWidth="1" min="20" max="20"/>
    <col width="20" customWidth="1" min="21" max="21"/>
    <col width="48" customWidth="1" min="22" max="22"/>
  </cols>
  <sheetData>
    <row r="1" ht="32" customHeight="1">
      <c r="A1" s="5" t="inlineStr">
        <is>
          <t>record_id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grain</t>
        </is>
      </c>
      <c r="E1" s="5" t="inlineStr">
        <is>
          <t>variable_code</t>
        </is>
      </c>
      <c r="F1" s="5" t="inlineStr">
        <is>
          <t>asset_code</t>
        </is>
      </c>
      <c r="G1" s="5" t="inlineStr">
        <is>
          <t>origin_code</t>
        </is>
      </c>
      <c r="H1" s="5" t="inlineStr">
        <is>
          <t>destination_code</t>
        </is>
      </c>
      <c r="I1" s="5" t="inlineStr">
        <is>
          <t>value_source</t>
        </is>
      </c>
      <c r="J1" s="5" t="inlineStr">
        <is>
          <t>unit_source</t>
        </is>
      </c>
      <c r="K1" s="5" t="inlineStr">
        <is>
          <t>value_normalized</t>
        </is>
      </c>
      <c r="L1" s="5" t="inlineStr">
        <is>
          <t>unit_normalized</t>
        </is>
      </c>
      <c r="M1" s="5" t="inlineStr">
        <is>
          <t>source_code</t>
        </is>
      </c>
      <c r="N1" s="5" t="inlineStr">
        <is>
          <t>authority_class</t>
        </is>
      </c>
      <c r="O1" s="5" t="inlineStr">
        <is>
          <t>quality_class</t>
        </is>
      </c>
      <c r="P1" s="5" t="inlineStr">
        <is>
          <t>canonical_flag</t>
        </is>
      </c>
      <c r="Q1" s="5" t="inlineStr">
        <is>
          <t>revision_priority</t>
        </is>
      </c>
      <c r="R1" s="5" t="inlineStr">
        <is>
          <t>source_url</t>
        </is>
      </c>
      <c r="S1" s="5" t="inlineStr">
        <is>
          <t>source_file_code</t>
        </is>
      </c>
      <c r="T1" s="5" t="inlineStr">
        <is>
          <t>source_published_at</t>
        </is>
      </c>
      <c r="U1" s="5" t="inlineStr">
        <is>
          <t>collected_at</t>
        </is>
      </c>
      <c r="V1" s="5" t="inlineStr">
        <is>
          <t>notes</t>
        </is>
      </c>
    </row>
    <row r="2">
      <c r="A2" s="6" t="inlineStr">
        <is>
          <t>R0000001</t>
        </is>
      </c>
      <c r="B2" s="6" t="inlineStr">
        <is>
          <t>2003-01-01</t>
        </is>
      </c>
      <c r="C2" s="6" t="inlineStr">
        <is>
          <t>2003-12-31</t>
        </is>
      </c>
      <c r="D2" s="6" t="inlineStr">
        <is>
          <t>year</t>
        </is>
      </c>
      <c r="E2" s="6" t="inlineStr">
        <is>
          <t>PY_CONSUMPTION_ENERGY</t>
        </is>
      </c>
      <c r="F2" s="6" t="inlineStr">
        <is>
          <t>PY_SIN</t>
        </is>
      </c>
      <c r="G2" s="6" t="inlineStr">
        <is>
          <t>PY</t>
        </is>
      </c>
      <c r="H2" s="6" t="inlineStr">
        <is>
          <t>PY</t>
        </is>
      </c>
      <c r="I2" s="8" t="n">
        <v>6183000</v>
      </c>
      <c r="J2" s="6" t="inlineStr">
        <is>
          <t>MWh</t>
        </is>
      </c>
      <c r="K2" s="8" t="n">
        <v>6183000</v>
      </c>
      <c r="L2" s="6" t="inlineStr">
        <is>
          <t>MWh</t>
        </is>
      </c>
      <c r="M2" s="6" t="inlineStr">
        <is>
          <t>ANDE</t>
        </is>
      </c>
      <c r="N2" s="6" t="inlineStr">
        <is>
          <t>OFFICIAL_PRIMARY</t>
        </is>
      </c>
      <c r="O2" s="9" t="inlineStr">
        <is>
          <t>OFFICIAL_AGGREGATE</t>
        </is>
      </c>
      <c r="P2" s="8" t="n">
        <v>1</v>
      </c>
      <c r="Q2" s="8" t="n">
        <v>50</v>
      </c>
      <c r="R2" s="7" t="inlineStr">
        <is>
          <t>https://www.ande.gov.py/finanzas/2.%20COMPILACION%20ESTADISTICA%202003-2023/ANDE%20-%20Compilacion%20Estadistica%202003-2023.pdf</t>
        </is>
      </c>
      <c r="S2" s="6" t="inlineStr">
        <is>
          <t>ANDE-STAT-2003-2023</t>
        </is>
      </c>
      <c r="T2" s="6" t="inlineStr"/>
      <c r="U2" s="4" t="inlineStr">
        <is>
          <t>2026-09-10 23:00:00</t>
        </is>
      </c>
      <c r="V2" s="4" t="inlineStr"/>
    </row>
    <row r="3">
      <c r="A3" s="6" t="inlineStr">
        <is>
          <t>R0000002</t>
        </is>
      </c>
      <c r="B3" s="6" t="inlineStr">
        <is>
          <t>2003-01-01</t>
        </is>
      </c>
      <c r="C3" s="6" t="inlineStr">
        <is>
          <t>2003-12-31</t>
        </is>
      </c>
      <c r="D3" s="6" t="inlineStr">
        <is>
          <t>year</t>
        </is>
      </c>
      <c r="E3" s="6" t="inlineStr">
        <is>
          <t>PY_MAX_DEMAND</t>
        </is>
      </c>
      <c r="F3" s="6" t="inlineStr">
        <is>
          <t>PY_SIN</t>
        </is>
      </c>
      <c r="G3" s="6" t="inlineStr">
        <is>
          <t>PY</t>
        </is>
      </c>
      <c r="H3" s="6" t="inlineStr">
        <is>
          <t>PY</t>
        </is>
      </c>
      <c r="I3" s="8" t="n">
        <v>1191</v>
      </c>
      <c r="J3" s="6" t="inlineStr">
        <is>
          <t>MW</t>
        </is>
      </c>
      <c r="K3" s="8" t="n">
        <v>1191</v>
      </c>
      <c r="L3" s="6" t="inlineStr">
        <is>
          <t>MW</t>
        </is>
      </c>
      <c r="M3" s="6" t="inlineStr">
        <is>
          <t>ANDE</t>
        </is>
      </c>
      <c r="N3" s="6" t="inlineStr">
        <is>
          <t>OFFICIAL_PRIMARY</t>
        </is>
      </c>
      <c r="O3" s="9" t="inlineStr">
        <is>
          <t>OFFICIAL_AGGREGATE</t>
        </is>
      </c>
      <c r="P3" s="8" t="n">
        <v>1</v>
      </c>
      <c r="Q3" s="8" t="n">
        <v>50</v>
      </c>
      <c r="R3" s="7" t="inlineStr">
        <is>
          <t>https://www.ande.gov.py/finanzas/2.%20COMPILACION%20ESTADISTICA%202003-2023/ANDE%20-%20Compilacion%20Estadistica%202003-2023.pdf</t>
        </is>
      </c>
      <c r="S3" s="6" t="inlineStr">
        <is>
          <t>ANDE-STAT-2003-2023</t>
        </is>
      </c>
      <c r="T3" s="6" t="inlineStr"/>
      <c r="U3" s="4" t="inlineStr">
        <is>
          <t>2026-09-10 23:00:00</t>
        </is>
      </c>
      <c r="V3" s="4" t="inlineStr"/>
    </row>
    <row r="4">
      <c r="A4" s="6" t="inlineStr">
        <is>
          <t>R0000003</t>
        </is>
      </c>
      <c r="B4" s="6" t="inlineStr">
        <is>
          <t>2004-01-01</t>
        </is>
      </c>
      <c r="C4" s="6" t="inlineStr">
        <is>
          <t>2004-12-31</t>
        </is>
      </c>
      <c r="D4" s="6" t="inlineStr">
        <is>
          <t>year</t>
        </is>
      </c>
      <c r="E4" s="6" t="inlineStr">
        <is>
          <t>PY_CONSUMPTION_ENERGY</t>
        </is>
      </c>
      <c r="F4" s="6" t="inlineStr">
        <is>
          <t>PY_SIN</t>
        </is>
      </c>
      <c r="G4" s="6" t="inlineStr">
        <is>
          <t>PY</t>
        </is>
      </c>
      <c r="H4" s="6" t="inlineStr">
        <is>
          <t>PY</t>
        </is>
      </c>
      <c r="I4" s="8" t="n">
        <v>6580000</v>
      </c>
      <c r="J4" s="6" t="inlineStr">
        <is>
          <t>MWh</t>
        </is>
      </c>
      <c r="K4" s="8" t="n">
        <v>6580000</v>
      </c>
      <c r="L4" s="6" t="inlineStr">
        <is>
          <t>MWh</t>
        </is>
      </c>
      <c r="M4" s="6" t="inlineStr">
        <is>
          <t>ANDE</t>
        </is>
      </c>
      <c r="N4" s="6" t="inlineStr">
        <is>
          <t>OFFICIAL_PRIMARY</t>
        </is>
      </c>
      <c r="O4" s="9" t="inlineStr">
        <is>
          <t>OFFICIAL_AGGREGATE</t>
        </is>
      </c>
      <c r="P4" s="8" t="n">
        <v>1</v>
      </c>
      <c r="Q4" s="8" t="n">
        <v>50</v>
      </c>
      <c r="R4" s="7" t="inlineStr">
        <is>
          <t>https://www.ande.gov.py/finanzas/2.%20COMPILACION%20ESTADISTICA%202003-2023/ANDE%20-%20Compilacion%20Estadistica%202003-2023.pdf</t>
        </is>
      </c>
      <c r="S4" s="6" t="inlineStr">
        <is>
          <t>ANDE-STAT-2003-2023</t>
        </is>
      </c>
      <c r="T4" s="6" t="inlineStr"/>
      <c r="U4" s="4" t="inlineStr">
        <is>
          <t>2026-09-10 23:00:00</t>
        </is>
      </c>
      <c r="V4" s="4" t="inlineStr"/>
    </row>
    <row r="5">
      <c r="A5" s="6" t="inlineStr">
        <is>
          <t>R0000004</t>
        </is>
      </c>
      <c r="B5" s="6" t="inlineStr">
        <is>
          <t>2004-01-01</t>
        </is>
      </c>
      <c r="C5" s="6" t="inlineStr">
        <is>
          <t>2004-12-31</t>
        </is>
      </c>
      <c r="D5" s="6" t="inlineStr">
        <is>
          <t>year</t>
        </is>
      </c>
      <c r="E5" s="6" t="inlineStr">
        <is>
          <t>PY_MAX_DEMAND</t>
        </is>
      </c>
      <c r="F5" s="6" t="inlineStr">
        <is>
          <t>PY_SIN</t>
        </is>
      </c>
      <c r="G5" s="6" t="inlineStr">
        <is>
          <t>PY</t>
        </is>
      </c>
      <c r="H5" s="6" t="inlineStr">
        <is>
          <t>PY</t>
        </is>
      </c>
      <c r="I5" s="8" t="n">
        <v>1241</v>
      </c>
      <c r="J5" s="6" t="inlineStr">
        <is>
          <t>MW</t>
        </is>
      </c>
      <c r="K5" s="8" t="n">
        <v>1241</v>
      </c>
      <c r="L5" s="6" t="inlineStr">
        <is>
          <t>MW</t>
        </is>
      </c>
      <c r="M5" s="6" t="inlineStr">
        <is>
          <t>ANDE</t>
        </is>
      </c>
      <c r="N5" s="6" t="inlineStr">
        <is>
          <t>OFFICIAL_PRIMARY</t>
        </is>
      </c>
      <c r="O5" s="9" t="inlineStr">
        <is>
          <t>OFFICIAL_AGGREGATE</t>
        </is>
      </c>
      <c r="P5" s="8" t="n">
        <v>1</v>
      </c>
      <c r="Q5" s="8" t="n">
        <v>50</v>
      </c>
      <c r="R5" s="7" t="inlineStr">
        <is>
          <t>https://www.ande.gov.py/finanzas/2.%20COMPILACION%20ESTADISTICA%202003-2023/ANDE%20-%20Compilacion%20Estadistica%202003-2023.pdf</t>
        </is>
      </c>
      <c r="S5" s="6" t="inlineStr">
        <is>
          <t>ANDE-STAT-2003-2023</t>
        </is>
      </c>
      <c r="T5" s="6" t="inlineStr"/>
      <c r="U5" s="4" t="inlineStr">
        <is>
          <t>2026-09-10 23:00:00</t>
        </is>
      </c>
      <c r="V5" s="4" t="inlineStr"/>
    </row>
    <row r="6">
      <c r="A6" s="6" t="inlineStr">
        <is>
          <t>R0000005</t>
        </is>
      </c>
      <c r="B6" s="6" t="inlineStr">
        <is>
          <t>2005-01-01</t>
        </is>
      </c>
      <c r="C6" s="6" t="inlineStr">
        <is>
          <t>2005-12-31</t>
        </is>
      </c>
      <c r="D6" s="6" t="inlineStr">
        <is>
          <t>year</t>
        </is>
      </c>
      <c r="E6" s="6" t="inlineStr">
        <is>
          <t>PY_CONSUMPTION_ENERGY</t>
        </is>
      </c>
      <c r="F6" s="6" t="inlineStr">
        <is>
          <t>PY_SIN</t>
        </is>
      </c>
      <c r="G6" s="6" t="inlineStr">
        <is>
          <t>PY</t>
        </is>
      </c>
      <c r="H6" s="6" t="inlineStr">
        <is>
          <t>PY</t>
        </is>
      </c>
      <c r="I6" s="8" t="n">
        <v>6944000</v>
      </c>
      <c r="J6" s="6" t="inlineStr">
        <is>
          <t>MWh</t>
        </is>
      </c>
      <c r="K6" s="8" t="n">
        <v>6944000</v>
      </c>
      <c r="L6" s="6" t="inlineStr">
        <is>
          <t>MWh</t>
        </is>
      </c>
      <c r="M6" s="6" t="inlineStr">
        <is>
          <t>ANDE</t>
        </is>
      </c>
      <c r="N6" s="6" t="inlineStr">
        <is>
          <t>OFFICIAL_PRIMARY</t>
        </is>
      </c>
      <c r="O6" s="9" t="inlineStr">
        <is>
          <t>OFFICIAL_AGGREGATE</t>
        </is>
      </c>
      <c r="P6" s="8" t="n">
        <v>1</v>
      </c>
      <c r="Q6" s="8" t="n">
        <v>50</v>
      </c>
      <c r="R6" s="7" t="inlineStr">
        <is>
          <t>https://www.ande.gov.py/finanzas/2.%20COMPILACION%20ESTADISTICA%202003-2023/ANDE%20-%20Compilacion%20Estadistica%202003-2023.pdf</t>
        </is>
      </c>
      <c r="S6" s="6" t="inlineStr">
        <is>
          <t>ANDE-STAT-2003-2023</t>
        </is>
      </c>
      <c r="T6" s="6" t="inlineStr"/>
      <c r="U6" s="4" t="inlineStr">
        <is>
          <t>2026-09-10 23:00:00</t>
        </is>
      </c>
      <c r="V6" s="4" t="inlineStr"/>
    </row>
    <row r="7">
      <c r="A7" s="6" t="inlineStr">
        <is>
          <t>R0000006</t>
        </is>
      </c>
      <c r="B7" s="6" t="inlineStr">
        <is>
          <t>2005-01-01</t>
        </is>
      </c>
      <c r="C7" s="6" t="inlineStr">
        <is>
          <t>2005-12-31</t>
        </is>
      </c>
      <c r="D7" s="6" t="inlineStr">
        <is>
          <t>year</t>
        </is>
      </c>
      <c r="E7" s="6" t="inlineStr">
        <is>
          <t>PY_MAX_DEMAND</t>
        </is>
      </c>
      <c r="F7" s="6" t="inlineStr">
        <is>
          <t>PY_SIN</t>
        </is>
      </c>
      <c r="G7" s="6" t="inlineStr">
        <is>
          <t>PY</t>
        </is>
      </c>
      <c r="H7" s="6" t="inlineStr">
        <is>
          <t>PY</t>
        </is>
      </c>
      <c r="I7" s="8" t="n">
        <v>1354</v>
      </c>
      <c r="J7" s="6" t="inlineStr">
        <is>
          <t>MW</t>
        </is>
      </c>
      <c r="K7" s="8" t="n">
        <v>1354</v>
      </c>
      <c r="L7" s="6" t="inlineStr">
        <is>
          <t>MW</t>
        </is>
      </c>
      <c r="M7" s="6" t="inlineStr">
        <is>
          <t>ANDE</t>
        </is>
      </c>
      <c r="N7" s="6" t="inlineStr">
        <is>
          <t>OFFICIAL_PRIMARY</t>
        </is>
      </c>
      <c r="O7" s="9" t="inlineStr">
        <is>
          <t>OFFICIAL_AGGREGATE</t>
        </is>
      </c>
      <c r="P7" s="8" t="n">
        <v>1</v>
      </c>
      <c r="Q7" s="8" t="n">
        <v>50</v>
      </c>
      <c r="R7" s="7" t="inlineStr">
        <is>
          <t>https://www.ande.gov.py/finanzas/2.%20COMPILACION%20ESTADISTICA%202003-2023/ANDE%20-%20Compilacion%20Estadistica%202003-2023.pdf</t>
        </is>
      </c>
      <c r="S7" s="6" t="inlineStr">
        <is>
          <t>ANDE-STAT-2003-2023</t>
        </is>
      </c>
      <c r="T7" s="6" t="inlineStr"/>
      <c r="U7" s="4" t="inlineStr">
        <is>
          <t>2026-09-10 23:00:00</t>
        </is>
      </c>
      <c r="V7" s="4" t="inlineStr"/>
    </row>
    <row r="8">
      <c r="A8" s="6" t="inlineStr">
        <is>
          <t>R0000007</t>
        </is>
      </c>
      <c r="B8" s="6" t="inlineStr">
        <is>
          <t>2006-01-01</t>
        </is>
      </c>
      <c r="C8" s="6" t="inlineStr">
        <is>
          <t>2006-12-31</t>
        </is>
      </c>
      <c r="D8" s="6" t="inlineStr">
        <is>
          <t>year</t>
        </is>
      </c>
      <c r="E8" s="6" t="inlineStr">
        <is>
          <t>PY_CONSUMPTION_ENERGY</t>
        </is>
      </c>
      <c r="F8" s="6" t="inlineStr">
        <is>
          <t>PY_SIN</t>
        </is>
      </c>
      <c r="G8" s="6" t="inlineStr">
        <is>
          <t>PY</t>
        </is>
      </c>
      <c r="H8" s="6" t="inlineStr">
        <is>
          <t>PY</t>
        </is>
      </c>
      <c r="I8" s="8" t="n">
        <v>7701000</v>
      </c>
      <c r="J8" s="6" t="inlineStr">
        <is>
          <t>MWh</t>
        </is>
      </c>
      <c r="K8" s="8" t="n">
        <v>7701000</v>
      </c>
      <c r="L8" s="6" t="inlineStr">
        <is>
          <t>MWh</t>
        </is>
      </c>
      <c r="M8" s="6" t="inlineStr">
        <is>
          <t>ANDE</t>
        </is>
      </c>
      <c r="N8" s="6" t="inlineStr">
        <is>
          <t>OFFICIAL_PRIMARY</t>
        </is>
      </c>
      <c r="O8" s="9" t="inlineStr">
        <is>
          <t>OFFICIAL_AGGREGATE</t>
        </is>
      </c>
      <c r="P8" s="8" t="n">
        <v>1</v>
      </c>
      <c r="Q8" s="8" t="n">
        <v>50</v>
      </c>
      <c r="R8" s="7" t="inlineStr">
        <is>
          <t>https://www.ande.gov.py/finanzas/2.%20COMPILACION%20ESTADISTICA%202003-2023/ANDE%20-%20Compilacion%20Estadistica%202003-2023.pdf</t>
        </is>
      </c>
      <c r="S8" s="6" t="inlineStr">
        <is>
          <t>ANDE-STAT-2003-2023</t>
        </is>
      </c>
      <c r="T8" s="6" t="inlineStr"/>
      <c r="U8" s="4" t="inlineStr">
        <is>
          <t>2026-09-10 23:00:00</t>
        </is>
      </c>
      <c r="V8" s="4" t="inlineStr"/>
    </row>
    <row r="9">
      <c r="A9" s="6" t="inlineStr">
        <is>
          <t>R0000008</t>
        </is>
      </c>
      <c r="B9" s="6" t="inlineStr">
        <is>
          <t>2006-01-01</t>
        </is>
      </c>
      <c r="C9" s="6" t="inlineStr">
        <is>
          <t>2006-12-31</t>
        </is>
      </c>
      <c r="D9" s="6" t="inlineStr">
        <is>
          <t>year</t>
        </is>
      </c>
      <c r="E9" s="6" t="inlineStr">
        <is>
          <t>PY_MAX_DEMAND</t>
        </is>
      </c>
      <c r="F9" s="6" t="inlineStr">
        <is>
          <t>PY_SIN</t>
        </is>
      </c>
      <c r="G9" s="6" t="inlineStr">
        <is>
          <t>PY</t>
        </is>
      </c>
      <c r="H9" s="6" t="inlineStr">
        <is>
          <t>PY</t>
        </is>
      </c>
      <c r="I9" s="8" t="n">
        <v>1450</v>
      </c>
      <c r="J9" s="6" t="inlineStr">
        <is>
          <t>MW</t>
        </is>
      </c>
      <c r="K9" s="8" t="n">
        <v>1450</v>
      </c>
      <c r="L9" s="6" t="inlineStr">
        <is>
          <t>MW</t>
        </is>
      </c>
      <c r="M9" s="6" t="inlineStr">
        <is>
          <t>ANDE</t>
        </is>
      </c>
      <c r="N9" s="6" t="inlineStr">
        <is>
          <t>OFFICIAL_PRIMARY</t>
        </is>
      </c>
      <c r="O9" s="9" t="inlineStr">
        <is>
          <t>OFFICIAL_AGGREGATE</t>
        </is>
      </c>
      <c r="P9" s="8" t="n">
        <v>1</v>
      </c>
      <c r="Q9" s="8" t="n">
        <v>50</v>
      </c>
      <c r="R9" s="7" t="inlineStr">
        <is>
          <t>https://www.ande.gov.py/finanzas/2.%20COMPILACION%20ESTADISTICA%202003-2023/ANDE%20-%20Compilacion%20Estadistica%202003-2023.pdf</t>
        </is>
      </c>
      <c r="S9" s="6" t="inlineStr">
        <is>
          <t>ANDE-STAT-2003-2023</t>
        </is>
      </c>
      <c r="T9" s="6" t="inlineStr"/>
      <c r="U9" s="4" t="inlineStr">
        <is>
          <t>2026-09-10 23:00:00</t>
        </is>
      </c>
      <c r="V9" s="4" t="inlineStr"/>
    </row>
    <row r="10">
      <c r="A10" s="6" t="inlineStr">
        <is>
          <t>R0000009</t>
        </is>
      </c>
      <c r="B10" s="6" t="inlineStr">
        <is>
          <t>2007-01-01</t>
        </is>
      </c>
      <c r="C10" s="6" t="inlineStr">
        <is>
          <t>2007-12-31</t>
        </is>
      </c>
      <c r="D10" s="6" t="inlineStr">
        <is>
          <t>year</t>
        </is>
      </c>
      <c r="E10" s="6" t="inlineStr">
        <is>
          <t>PY_CONSUMPTION_ENERGY</t>
        </is>
      </c>
      <c r="F10" s="6" t="inlineStr">
        <is>
          <t>PY_SIN</t>
        </is>
      </c>
      <c r="G10" s="6" t="inlineStr">
        <is>
          <t>PY</t>
        </is>
      </c>
      <c r="H10" s="6" t="inlineStr">
        <is>
          <t>PY</t>
        </is>
      </c>
      <c r="I10" s="8" t="n">
        <v>8299000</v>
      </c>
      <c r="J10" s="6" t="inlineStr">
        <is>
          <t>MWh</t>
        </is>
      </c>
      <c r="K10" s="8" t="n">
        <v>8299000</v>
      </c>
      <c r="L10" s="6" t="inlineStr">
        <is>
          <t>MWh</t>
        </is>
      </c>
      <c r="M10" s="6" t="inlineStr">
        <is>
          <t>ANDE</t>
        </is>
      </c>
      <c r="N10" s="6" t="inlineStr">
        <is>
          <t>OFFICIAL_PRIMARY</t>
        </is>
      </c>
      <c r="O10" s="9" t="inlineStr">
        <is>
          <t>OFFICIAL_AGGREGATE</t>
        </is>
      </c>
      <c r="P10" s="8" t="n">
        <v>1</v>
      </c>
      <c r="Q10" s="8" t="n">
        <v>50</v>
      </c>
      <c r="R10" s="7" t="inlineStr">
        <is>
          <t>https://www.ande.gov.py/finanzas/2.%20COMPILACION%20ESTADISTICA%202003-2023/ANDE%20-%20Compilacion%20Estadistica%202003-2023.pdf</t>
        </is>
      </c>
      <c r="S10" s="6" t="inlineStr">
        <is>
          <t>ANDE-STAT-2003-2023</t>
        </is>
      </c>
      <c r="T10" s="6" t="inlineStr"/>
      <c r="U10" s="4" t="inlineStr">
        <is>
          <t>2026-09-10 23:00:00</t>
        </is>
      </c>
      <c r="V10" s="4" t="inlineStr"/>
    </row>
    <row r="11">
      <c r="A11" s="6" t="inlineStr">
        <is>
          <t>R0000010</t>
        </is>
      </c>
      <c r="B11" s="6" t="inlineStr">
        <is>
          <t>2007-01-01</t>
        </is>
      </c>
      <c r="C11" s="6" t="inlineStr">
        <is>
          <t>2007-12-31</t>
        </is>
      </c>
      <c r="D11" s="6" t="inlineStr">
        <is>
          <t>year</t>
        </is>
      </c>
      <c r="E11" s="6" t="inlineStr">
        <is>
          <t>PY_MAX_DEMAND</t>
        </is>
      </c>
      <c r="F11" s="6" t="inlineStr">
        <is>
          <t>PY_SIN</t>
        </is>
      </c>
      <c r="G11" s="6" t="inlineStr">
        <is>
          <t>PY</t>
        </is>
      </c>
      <c r="H11" s="6" t="inlineStr">
        <is>
          <t>PY</t>
        </is>
      </c>
      <c r="I11" s="8" t="n">
        <v>1521</v>
      </c>
      <c r="J11" s="6" t="inlineStr">
        <is>
          <t>MW</t>
        </is>
      </c>
      <c r="K11" s="8" t="n">
        <v>1521</v>
      </c>
      <c r="L11" s="6" t="inlineStr">
        <is>
          <t>MW</t>
        </is>
      </c>
      <c r="M11" s="6" t="inlineStr">
        <is>
          <t>ANDE</t>
        </is>
      </c>
      <c r="N11" s="6" t="inlineStr">
        <is>
          <t>OFFICIAL_PRIMARY</t>
        </is>
      </c>
      <c r="O11" s="9" t="inlineStr">
        <is>
          <t>OFFICIAL_AGGREGATE</t>
        </is>
      </c>
      <c r="P11" s="8" t="n">
        <v>1</v>
      </c>
      <c r="Q11" s="8" t="n">
        <v>50</v>
      </c>
      <c r="R11" s="7" t="inlineStr">
        <is>
          <t>https://www.ande.gov.py/finanzas/2.%20COMPILACION%20ESTADISTICA%202003-2023/ANDE%20-%20Compilacion%20Estadistica%202003-2023.pdf</t>
        </is>
      </c>
      <c r="S11" s="6" t="inlineStr">
        <is>
          <t>ANDE-STAT-2003-2023</t>
        </is>
      </c>
      <c r="T11" s="6" t="inlineStr"/>
      <c r="U11" s="4" t="inlineStr">
        <is>
          <t>2026-09-10 23:00:00</t>
        </is>
      </c>
      <c r="V11" s="4" t="inlineStr"/>
    </row>
    <row r="12">
      <c r="A12" s="6" t="inlineStr">
        <is>
          <t>R0000011</t>
        </is>
      </c>
      <c r="B12" s="6" t="inlineStr">
        <is>
          <t>2008-01-01</t>
        </is>
      </c>
      <c r="C12" s="6" t="inlineStr">
        <is>
          <t>2008-12-31</t>
        </is>
      </c>
      <c r="D12" s="6" t="inlineStr">
        <is>
          <t>year</t>
        </is>
      </c>
      <c r="E12" s="6" t="inlineStr">
        <is>
          <t>PY_CONSUMPTION_ENERGY</t>
        </is>
      </c>
      <c r="F12" s="6" t="inlineStr">
        <is>
          <t>PY_SIN</t>
        </is>
      </c>
      <c r="G12" s="6" t="inlineStr">
        <is>
          <t>PY</t>
        </is>
      </c>
      <c r="H12" s="6" t="inlineStr">
        <is>
          <t>PY</t>
        </is>
      </c>
      <c r="I12" s="8" t="n">
        <v>8888000</v>
      </c>
      <c r="J12" s="6" t="inlineStr">
        <is>
          <t>MWh</t>
        </is>
      </c>
      <c r="K12" s="8" t="n">
        <v>8888000</v>
      </c>
      <c r="L12" s="6" t="inlineStr">
        <is>
          <t>MWh</t>
        </is>
      </c>
      <c r="M12" s="6" t="inlineStr">
        <is>
          <t>ANDE</t>
        </is>
      </c>
      <c r="N12" s="6" t="inlineStr">
        <is>
          <t>OFFICIAL_PRIMARY</t>
        </is>
      </c>
      <c r="O12" s="9" t="inlineStr">
        <is>
          <t>OFFICIAL_AGGREGATE</t>
        </is>
      </c>
      <c r="P12" s="8" t="n">
        <v>1</v>
      </c>
      <c r="Q12" s="8" t="n">
        <v>50</v>
      </c>
      <c r="R12" s="7" t="inlineStr">
        <is>
          <t>https://www.ande.gov.py/finanzas/2.%20COMPILACION%20ESTADISTICA%202003-2023/ANDE%20-%20Compilacion%20Estadistica%202003-2023.pdf</t>
        </is>
      </c>
      <c r="S12" s="6" t="inlineStr">
        <is>
          <t>ANDE-STAT-2003-2023</t>
        </is>
      </c>
      <c r="T12" s="6" t="inlineStr"/>
      <c r="U12" s="4" t="inlineStr">
        <is>
          <t>2026-09-10 23:00:00</t>
        </is>
      </c>
      <c r="V12" s="4" t="inlineStr"/>
    </row>
    <row r="13">
      <c r="A13" s="6" t="inlineStr">
        <is>
          <t>R0000012</t>
        </is>
      </c>
      <c r="B13" s="6" t="inlineStr">
        <is>
          <t>2008-01-01</t>
        </is>
      </c>
      <c r="C13" s="6" t="inlineStr">
        <is>
          <t>2008-12-31</t>
        </is>
      </c>
      <c r="D13" s="6" t="inlineStr">
        <is>
          <t>year</t>
        </is>
      </c>
      <c r="E13" s="6" t="inlineStr">
        <is>
          <t>PY_MAX_DEMAND</t>
        </is>
      </c>
      <c r="F13" s="6" t="inlineStr">
        <is>
          <t>PY_SIN</t>
        </is>
      </c>
      <c r="G13" s="6" t="inlineStr">
        <is>
          <t>PY</t>
        </is>
      </c>
      <c r="H13" s="6" t="inlineStr">
        <is>
          <t>PY</t>
        </is>
      </c>
      <c r="I13" s="8" t="n">
        <v>1648</v>
      </c>
      <c r="J13" s="6" t="inlineStr">
        <is>
          <t>MW</t>
        </is>
      </c>
      <c r="K13" s="8" t="n">
        <v>1648</v>
      </c>
      <c r="L13" s="6" t="inlineStr">
        <is>
          <t>MW</t>
        </is>
      </c>
      <c r="M13" s="6" t="inlineStr">
        <is>
          <t>ANDE</t>
        </is>
      </c>
      <c r="N13" s="6" t="inlineStr">
        <is>
          <t>OFFICIAL_PRIMARY</t>
        </is>
      </c>
      <c r="O13" s="9" t="inlineStr">
        <is>
          <t>OFFICIAL_AGGREGATE</t>
        </is>
      </c>
      <c r="P13" s="8" t="n">
        <v>1</v>
      </c>
      <c r="Q13" s="8" t="n">
        <v>50</v>
      </c>
      <c r="R13" s="7" t="inlineStr">
        <is>
          <t>https://www.ande.gov.py/finanzas/2.%20COMPILACION%20ESTADISTICA%202003-2023/ANDE%20-%20Compilacion%20Estadistica%202003-2023.pdf</t>
        </is>
      </c>
      <c r="S13" s="6" t="inlineStr">
        <is>
          <t>ANDE-STAT-2003-2023</t>
        </is>
      </c>
      <c r="T13" s="6" t="inlineStr"/>
      <c r="U13" s="4" t="inlineStr">
        <is>
          <t>2026-09-10 23:00:00</t>
        </is>
      </c>
      <c r="V13" s="4" t="inlineStr"/>
    </row>
    <row r="14">
      <c r="A14" s="6" t="inlineStr">
        <is>
          <t>R0000013</t>
        </is>
      </c>
      <c r="B14" s="6" t="inlineStr">
        <is>
          <t>2009-01-01</t>
        </is>
      </c>
      <c r="C14" s="6" t="inlineStr">
        <is>
          <t>2009-12-31</t>
        </is>
      </c>
      <c r="D14" s="6" t="inlineStr">
        <is>
          <t>year</t>
        </is>
      </c>
      <c r="E14" s="6" t="inlineStr">
        <is>
          <t>PY_CONSUMPTION_ENERGY</t>
        </is>
      </c>
      <c r="F14" s="6" t="inlineStr">
        <is>
          <t>PY_SIN</t>
        </is>
      </c>
      <c r="G14" s="6" t="inlineStr">
        <is>
          <t>PY</t>
        </is>
      </c>
      <c r="H14" s="6" t="inlineStr">
        <is>
          <t>PY</t>
        </is>
      </c>
      <c r="I14" s="8" t="n">
        <v>9531000</v>
      </c>
      <c r="J14" s="6" t="inlineStr">
        <is>
          <t>MWh</t>
        </is>
      </c>
      <c r="K14" s="8" t="n">
        <v>9531000</v>
      </c>
      <c r="L14" s="6" t="inlineStr">
        <is>
          <t>MWh</t>
        </is>
      </c>
      <c r="M14" s="6" t="inlineStr">
        <is>
          <t>ANDE</t>
        </is>
      </c>
      <c r="N14" s="6" t="inlineStr">
        <is>
          <t>OFFICIAL_PRIMARY</t>
        </is>
      </c>
      <c r="O14" s="9" t="inlineStr">
        <is>
          <t>OFFICIAL_AGGREGATE</t>
        </is>
      </c>
      <c r="P14" s="8" t="n">
        <v>1</v>
      </c>
      <c r="Q14" s="8" t="n">
        <v>50</v>
      </c>
      <c r="R14" s="7" t="inlineStr">
        <is>
          <t>https://www.ande.gov.py/finanzas/2.%20COMPILACION%20ESTADISTICA%202003-2023/ANDE%20-%20Compilacion%20Estadistica%202003-2023.pdf</t>
        </is>
      </c>
      <c r="S14" s="6" t="inlineStr">
        <is>
          <t>ANDE-STAT-2003-2023</t>
        </is>
      </c>
      <c r="T14" s="6" t="inlineStr"/>
      <c r="U14" s="4" t="inlineStr">
        <is>
          <t>2026-09-10 23:00:00</t>
        </is>
      </c>
      <c r="V14" s="4" t="inlineStr"/>
    </row>
    <row r="15">
      <c r="A15" s="6" t="inlineStr">
        <is>
          <t>R0000014</t>
        </is>
      </c>
      <c r="B15" s="6" t="inlineStr">
        <is>
          <t>2009-01-01</t>
        </is>
      </c>
      <c r="C15" s="6" t="inlineStr">
        <is>
          <t>2009-12-31</t>
        </is>
      </c>
      <c r="D15" s="6" t="inlineStr">
        <is>
          <t>year</t>
        </is>
      </c>
      <c r="E15" s="6" t="inlineStr">
        <is>
          <t>PY_MAX_DEMAND</t>
        </is>
      </c>
      <c r="F15" s="6" t="inlineStr">
        <is>
          <t>PY_SIN</t>
        </is>
      </c>
      <c r="G15" s="6" t="inlineStr">
        <is>
          <t>PY</t>
        </is>
      </c>
      <c r="H15" s="6" t="inlineStr">
        <is>
          <t>PY</t>
        </is>
      </c>
      <c r="I15" s="8" t="n">
        <v>1810</v>
      </c>
      <c r="J15" s="6" t="inlineStr">
        <is>
          <t>MW</t>
        </is>
      </c>
      <c r="K15" s="8" t="n">
        <v>1810</v>
      </c>
      <c r="L15" s="6" t="inlineStr">
        <is>
          <t>MW</t>
        </is>
      </c>
      <c r="M15" s="6" t="inlineStr">
        <is>
          <t>ANDE</t>
        </is>
      </c>
      <c r="N15" s="6" t="inlineStr">
        <is>
          <t>OFFICIAL_PRIMARY</t>
        </is>
      </c>
      <c r="O15" s="9" t="inlineStr">
        <is>
          <t>OFFICIAL_AGGREGATE</t>
        </is>
      </c>
      <c r="P15" s="8" t="n">
        <v>1</v>
      </c>
      <c r="Q15" s="8" t="n">
        <v>50</v>
      </c>
      <c r="R15" s="7" t="inlineStr">
        <is>
          <t>https://www.ande.gov.py/finanzas/2.%20COMPILACION%20ESTADISTICA%202003-2023/ANDE%20-%20Compilacion%20Estadistica%202003-2023.pdf</t>
        </is>
      </c>
      <c r="S15" s="6" t="inlineStr">
        <is>
          <t>ANDE-STAT-2003-2023</t>
        </is>
      </c>
      <c r="T15" s="6" t="inlineStr"/>
      <c r="U15" s="4" t="inlineStr">
        <is>
          <t>2026-09-10 23:00:00</t>
        </is>
      </c>
      <c r="V15" s="4" t="inlineStr"/>
    </row>
    <row r="16">
      <c r="A16" s="6" t="inlineStr">
        <is>
          <t>R0000015</t>
        </is>
      </c>
      <c r="B16" s="6" t="inlineStr">
        <is>
          <t>2010-01-01</t>
        </is>
      </c>
      <c r="C16" s="6" t="inlineStr">
        <is>
          <t>2010-12-31</t>
        </is>
      </c>
      <c r="D16" s="6" t="inlineStr">
        <is>
          <t>year</t>
        </is>
      </c>
      <c r="E16" s="6" t="inlineStr">
        <is>
          <t>PY_CONSUMPTION_ENERGY</t>
        </is>
      </c>
      <c r="F16" s="6" t="inlineStr">
        <is>
          <t>PY_SIN</t>
        </is>
      </c>
      <c r="G16" s="6" t="inlineStr">
        <is>
          <t>PY</t>
        </is>
      </c>
      <c r="H16" s="6" t="inlineStr">
        <is>
          <t>PY</t>
        </is>
      </c>
      <c r="I16" s="8" t="n">
        <v>10198000</v>
      </c>
      <c r="J16" s="6" t="inlineStr">
        <is>
          <t>MWh</t>
        </is>
      </c>
      <c r="K16" s="8" t="n">
        <v>10198000</v>
      </c>
      <c r="L16" s="6" t="inlineStr">
        <is>
          <t>MWh</t>
        </is>
      </c>
      <c r="M16" s="6" t="inlineStr">
        <is>
          <t>ANDE</t>
        </is>
      </c>
      <c r="N16" s="6" t="inlineStr">
        <is>
          <t>OFFICIAL_PRIMARY</t>
        </is>
      </c>
      <c r="O16" s="9" t="inlineStr">
        <is>
          <t>OFFICIAL_AGGREGATE</t>
        </is>
      </c>
      <c r="P16" s="8" t="n">
        <v>1</v>
      </c>
      <c r="Q16" s="8" t="n">
        <v>50</v>
      </c>
      <c r="R16" s="7" t="inlineStr">
        <is>
          <t>https://www.ande.gov.py/finanzas/2.%20COMPILACION%20ESTADISTICA%202003-2023/ANDE%20-%20Compilacion%20Estadistica%202003-2023.pdf</t>
        </is>
      </c>
      <c r="S16" s="6" t="inlineStr">
        <is>
          <t>ANDE-STAT-2003-2023</t>
        </is>
      </c>
      <c r="T16" s="6" t="inlineStr"/>
      <c r="U16" s="4" t="inlineStr">
        <is>
          <t>2026-09-10 23:00:00</t>
        </is>
      </c>
      <c r="V16" s="4" t="inlineStr"/>
    </row>
    <row r="17">
      <c r="A17" s="6" t="inlineStr">
        <is>
          <t>R0000016</t>
        </is>
      </c>
      <c r="B17" s="6" t="inlineStr">
        <is>
          <t>2010-01-01</t>
        </is>
      </c>
      <c r="C17" s="6" t="inlineStr">
        <is>
          <t>2010-12-31</t>
        </is>
      </c>
      <c r="D17" s="6" t="inlineStr">
        <is>
          <t>year</t>
        </is>
      </c>
      <c r="E17" s="6" t="inlineStr">
        <is>
          <t>PY_MAX_DEMAND</t>
        </is>
      </c>
      <c r="F17" s="6" t="inlineStr">
        <is>
          <t>PY_SIN</t>
        </is>
      </c>
      <c r="G17" s="6" t="inlineStr">
        <is>
          <t>PY</t>
        </is>
      </c>
      <c r="H17" s="6" t="inlineStr">
        <is>
          <t>PY</t>
        </is>
      </c>
      <c r="I17" s="8" t="n">
        <v>1892</v>
      </c>
      <c r="J17" s="6" t="inlineStr">
        <is>
          <t>MW</t>
        </is>
      </c>
      <c r="K17" s="8" t="n">
        <v>1892</v>
      </c>
      <c r="L17" s="6" t="inlineStr">
        <is>
          <t>MW</t>
        </is>
      </c>
      <c r="M17" s="6" t="inlineStr">
        <is>
          <t>ANDE</t>
        </is>
      </c>
      <c r="N17" s="6" t="inlineStr">
        <is>
          <t>OFFICIAL_PRIMARY</t>
        </is>
      </c>
      <c r="O17" s="9" t="inlineStr">
        <is>
          <t>OFFICIAL_AGGREGATE</t>
        </is>
      </c>
      <c r="P17" s="8" t="n">
        <v>1</v>
      </c>
      <c r="Q17" s="8" t="n">
        <v>50</v>
      </c>
      <c r="R17" s="7" t="inlineStr">
        <is>
          <t>https://www.ande.gov.py/finanzas/2.%20COMPILACION%20ESTADISTICA%202003-2023/ANDE%20-%20Compilacion%20Estadistica%202003-2023.pdf</t>
        </is>
      </c>
      <c r="S17" s="6" t="inlineStr">
        <is>
          <t>ANDE-STAT-2003-2023</t>
        </is>
      </c>
      <c r="T17" s="6" t="inlineStr"/>
      <c r="U17" s="4" t="inlineStr">
        <is>
          <t>2026-09-10 23:00:00</t>
        </is>
      </c>
      <c r="V17" s="4" t="inlineStr"/>
    </row>
    <row r="18">
      <c r="A18" s="6" t="inlineStr">
        <is>
          <t>R0000017</t>
        </is>
      </c>
      <c r="B18" s="6" t="inlineStr">
        <is>
          <t>2011-01-01</t>
        </is>
      </c>
      <c r="C18" s="6" t="inlineStr">
        <is>
          <t>2011-12-31</t>
        </is>
      </c>
      <c r="D18" s="6" t="inlineStr">
        <is>
          <t>year</t>
        </is>
      </c>
      <c r="E18" s="6" t="inlineStr">
        <is>
          <t>PY_CONSUMPTION_ENERGY</t>
        </is>
      </c>
      <c r="F18" s="6" t="inlineStr">
        <is>
          <t>PY_SIN</t>
        </is>
      </c>
      <c r="G18" s="6" t="inlineStr">
        <is>
          <t>PY</t>
        </is>
      </c>
      <c r="H18" s="6" t="inlineStr">
        <is>
          <t>PY</t>
        </is>
      </c>
      <c r="I18" s="8" t="n">
        <v>11020000</v>
      </c>
      <c r="J18" s="6" t="inlineStr">
        <is>
          <t>MWh</t>
        </is>
      </c>
      <c r="K18" s="8" t="n">
        <v>11020000</v>
      </c>
      <c r="L18" s="6" t="inlineStr">
        <is>
          <t>MWh</t>
        </is>
      </c>
      <c r="M18" s="6" t="inlineStr">
        <is>
          <t>ANDE</t>
        </is>
      </c>
      <c r="N18" s="6" t="inlineStr">
        <is>
          <t>OFFICIAL_PRIMARY</t>
        </is>
      </c>
      <c r="O18" s="9" t="inlineStr">
        <is>
          <t>OFFICIAL_AGGREGATE</t>
        </is>
      </c>
      <c r="P18" s="8" t="n">
        <v>1</v>
      </c>
      <c r="Q18" s="8" t="n">
        <v>50</v>
      </c>
      <c r="R18" s="7" t="inlineStr">
        <is>
          <t>https://www.ande.gov.py/finanzas/2.%20COMPILACION%20ESTADISTICA%202003-2023/ANDE%20-%20Compilacion%20Estadistica%202003-2023.pdf</t>
        </is>
      </c>
      <c r="S18" s="6" t="inlineStr">
        <is>
          <t>ANDE-STAT-2003-2023</t>
        </is>
      </c>
      <c r="T18" s="6" t="inlineStr"/>
      <c r="U18" s="4" t="inlineStr">
        <is>
          <t>2026-09-10 23:00:00</t>
        </is>
      </c>
      <c r="V18" s="4" t="inlineStr"/>
    </row>
    <row r="19">
      <c r="A19" s="6" t="inlineStr">
        <is>
          <t>R0000018</t>
        </is>
      </c>
      <c r="B19" s="6" t="inlineStr">
        <is>
          <t>2011-01-01</t>
        </is>
      </c>
      <c r="C19" s="6" t="inlineStr">
        <is>
          <t>2011-12-31</t>
        </is>
      </c>
      <c r="D19" s="6" t="inlineStr">
        <is>
          <t>year</t>
        </is>
      </c>
      <c r="E19" s="6" t="inlineStr">
        <is>
          <t>PY_MAX_DEMAND</t>
        </is>
      </c>
      <c r="F19" s="6" t="inlineStr">
        <is>
          <t>PY_SIN</t>
        </is>
      </c>
      <c r="G19" s="6" t="inlineStr">
        <is>
          <t>PY</t>
        </is>
      </c>
      <c r="H19" s="6" t="inlineStr">
        <is>
          <t>PY</t>
        </is>
      </c>
      <c r="I19" s="8" t="n">
        <v>2137</v>
      </c>
      <c r="J19" s="6" t="inlineStr">
        <is>
          <t>MW</t>
        </is>
      </c>
      <c r="K19" s="8" t="n">
        <v>2137</v>
      </c>
      <c r="L19" s="6" t="inlineStr">
        <is>
          <t>MW</t>
        </is>
      </c>
      <c r="M19" s="6" t="inlineStr">
        <is>
          <t>ANDE</t>
        </is>
      </c>
      <c r="N19" s="6" t="inlineStr">
        <is>
          <t>OFFICIAL_PRIMARY</t>
        </is>
      </c>
      <c r="O19" s="9" t="inlineStr">
        <is>
          <t>OFFICIAL_AGGREGATE</t>
        </is>
      </c>
      <c r="P19" s="8" t="n">
        <v>1</v>
      </c>
      <c r="Q19" s="8" t="n">
        <v>50</v>
      </c>
      <c r="R19" s="7" t="inlineStr">
        <is>
          <t>https://www.ande.gov.py/finanzas/2.%20COMPILACION%20ESTADISTICA%202003-2023/ANDE%20-%20Compilacion%20Estadistica%202003-2023.pdf</t>
        </is>
      </c>
      <c r="S19" s="6" t="inlineStr">
        <is>
          <t>ANDE-STAT-2003-2023</t>
        </is>
      </c>
      <c r="T19" s="6" t="inlineStr"/>
      <c r="U19" s="4" t="inlineStr">
        <is>
          <t>2026-09-10 23:00:00</t>
        </is>
      </c>
      <c r="V19" s="4" t="inlineStr"/>
    </row>
    <row r="20">
      <c r="A20" s="6" t="inlineStr">
        <is>
          <t>R0000019</t>
        </is>
      </c>
      <c r="B20" s="6" t="inlineStr">
        <is>
          <t>2012-01-01</t>
        </is>
      </c>
      <c r="C20" s="6" t="inlineStr">
        <is>
          <t>2012-12-31</t>
        </is>
      </c>
      <c r="D20" s="6" t="inlineStr">
        <is>
          <t>year</t>
        </is>
      </c>
      <c r="E20" s="6" t="inlineStr">
        <is>
          <t>PY_CONSUMPTION_ENERGY</t>
        </is>
      </c>
      <c r="F20" s="6" t="inlineStr">
        <is>
          <t>PY_SIN</t>
        </is>
      </c>
      <c r="G20" s="6" t="inlineStr">
        <is>
          <t>PY</t>
        </is>
      </c>
      <c r="H20" s="6" t="inlineStr">
        <is>
          <t>PY</t>
        </is>
      </c>
      <c r="I20" s="8" t="n">
        <v>12077000</v>
      </c>
      <c r="J20" s="6" t="inlineStr">
        <is>
          <t>MWh</t>
        </is>
      </c>
      <c r="K20" s="8" t="n">
        <v>12077000</v>
      </c>
      <c r="L20" s="6" t="inlineStr">
        <is>
          <t>MWh</t>
        </is>
      </c>
      <c r="M20" s="6" t="inlineStr">
        <is>
          <t>ANDE</t>
        </is>
      </c>
      <c r="N20" s="6" t="inlineStr">
        <is>
          <t>OFFICIAL_PRIMARY</t>
        </is>
      </c>
      <c r="O20" s="9" t="inlineStr">
        <is>
          <t>OFFICIAL_AGGREGATE</t>
        </is>
      </c>
      <c r="P20" s="8" t="n">
        <v>1</v>
      </c>
      <c r="Q20" s="8" t="n">
        <v>50</v>
      </c>
      <c r="R20" s="7" t="inlineStr">
        <is>
          <t>https://www.ande.gov.py/finanzas/2.%20COMPILACION%20ESTADISTICA%202003-2023/ANDE%20-%20Compilacion%20Estadistica%202003-2023.pdf</t>
        </is>
      </c>
      <c r="S20" s="6" t="inlineStr">
        <is>
          <t>ANDE-STAT-2003-2023</t>
        </is>
      </c>
      <c r="T20" s="6" t="inlineStr"/>
      <c r="U20" s="4" t="inlineStr">
        <is>
          <t>2026-09-10 23:00:00</t>
        </is>
      </c>
      <c r="V20" s="4" t="inlineStr"/>
    </row>
    <row r="21">
      <c r="A21" s="6" t="inlineStr">
        <is>
          <t>R0000020</t>
        </is>
      </c>
      <c r="B21" s="6" t="inlineStr">
        <is>
          <t>2012-01-01</t>
        </is>
      </c>
      <c r="C21" s="6" t="inlineStr">
        <is>
          <t>2012-12-31</t>
        </is>
      </c>
      <c r="D21" s="6" t="inlineStr">
        <is>
          <t>year</t>
        </is>
      </c>
      <c r="E21" s="6" t="inlineStr">
        <is>
          <t>PY_MAX_DEMAND</t>
        </is>
      </c>
      <c r="F21" s="6" t="inlineStr">
        <is>
          <t>PY_SIN</t>
        </is>
      </c>
      <c r="G21" s="6" t="inlineStr">
        <is>
          <t>PY</t>
        </is>
      </c>
      <c r="H21" s="6" t="inlineStr">
        <is>
          <t>PY</t>
        </is>
      </c>
      <c r="I21" s="8" t="n">
        <v>2384</v>
      </c>
      <c r="J21" s="6" t="inlineStr">
        <is>
          <t>MW</t>
        </is>
      </c>
      <c r="K21" s="8" t="n">
        <v>2384</v>
      </c>
      <c r="L21" s="6" t="inlineStr">
        <is>
          <t>MW</t>
        </is>
      </c>
      <c r="M21" s="6" t="inlineStr">
        <is>
          <t>ANDE</t>
        </is>
      </c>
      <c r="N21" s="6" t="inlineStr">
        <is>
          <t>OFFICIAL_PRIMARY</t>
        </is>
      </c>
      <c r="O21" s="9" t="inlineStr">
        <is>
          <t>OFFICIAL_AGGREGATE</t>
        </is>
      </c>
      <c r="P21" s="8" t="n">
        <v>1</v>
      </c>
      <c r="Q21" s="8" t="n">
        <v>50</v>
      </c>
      <c r="R21" s="7" t="inlineStr">
        <is>
          <t>https://www.ande.gov.py/finanzas/2.%20COMPILACION%20ESTADISTICA%202003-2023/ANDE%20-%20Compilacion%20Estadistica%202003-2023.pdf</t>
        </is>
      </c>
      <c r="S21" s="6" t="inlineStr">
        <is>
          <t>ANDE-STAT-2003-2023</t>
        </is>
      </c>
      <c r="T21" s="6" t="inlineStr"/>
      <c r="U21" s="4" t="inlineStr">
        <is>
          <t>2026-09-10 23:00:00</t>
        </is>
      </c>
      <c r="V21" s="4" t="inlineStr"/>
    </row>
    <row r="22">
      <c r="A22" s="6" t="inlineStr">
        <is>
          <t>R0000021</t>
        </is>
      </c>
      <c r="B22" s="6" t="inlineStr">
        <is>
          <t>2013-01-01</t>
        </is>
      </c>
      <c r="C22" s="6" t="inlineStr">
        <is>
          <t>2013-12-31</t>
        </is>
      </c>
      <c r="D22" s="6" t="inlineStr">
        <is>
          <t>year</t>
        </is>
      </c>
      <c r="E22" s="6" t="inlineStr">
        <is>
          <t>PY_CONSUMPTION_ENERGY</t>
        </is>
      </c>
      <c r="F22" s="6" t="inlineStr">
        <is>
          <t>PY_SIN</t>
        </is>
      </c>
      <c r="G22" s="6" t="inlineStr">
        <is>
          <t>PY</t>
        </is>
      </c>
      <c r="H22" s="6" t="inlineStr">
        <is>
          <t>PY</t>
        </is>
      </c>
      <c r="I22" s="8" t="n">
        <v>12524000</v>
      </c>
      <c r="J22" s="6" t="inlineStr">
        <is>
          <t>MWh</t>
        </is>
      </c>
      <c r="K22" s="8" t="n">
        <v>12524000</v>
      </c>
      <c r="L22" s="6" t="inlineStr">
        <is>
          <t>MWh</t>
        </is>
      </c>
      <c r="M22" s="6" t="inlineStr">
        <is>
          <t>ANDE</t>
        </is>
      </c>
      <c r="N22" s="6" t="inlineStr">
        <is>
          <t>OFFICIAL_PRIMARY</t>
        </is>
      </c>
      <c r="O22" s="9" t="inlineStr">
        <is>
          <t>OFFICIAL_AGGREGATE</t>
        </is>
      </c>
      <c r="P22" s="8" t="n">
        <v>1</v>
      </c>
      <c r="Q22" s="8" t="n">
        <v>50</v>
      </c>
      <c r="R22" s="7" t="inlineStr">
        <is>
          <t>https://www.ande.gov.py/finanzas/2.%20COMPILACION%20ESTADISTICA%202003-2023/ANDE%20-%20Compilacion%20Estadistica%202003-2023.pdf</t>
        </is>
      </c>
      <c r="S22" s="6" t="inlineStr">
        <is>
          <t>ANDE-STAT-2003-2023</t>
        </is>
      </c>
      <c r="T22" s="6" t="inlineStr"/>
      <c r="U22" s="4" t="inlineStr">
        <is>
          <t>2026-09-10 23:00:00</t>
        </is>
      </c>
      <c r="V22" s="4" t="inlineStr"/>
    </row>
    <row r="23">
      <c r="A23" s="6" t="inlineStr">
        <is>
          <t>R0000022</t>
        </is>
      </c>
      <c r="B23" s="6" t="inlineStr">
        <is>
          <t>2013-01-01</t>
        </is>
      </c>
      <c r="C23" s="6" t="inlineStr">
        <is>
          <t>2013-12-31</t>
        </is>
      </c>
      <c r="D23" s="6" t="inlineStr">
        <is>
          <t>year</t>
        </is>
      </c>
      <c r="E23" s="6" t="inlineStr">
        <is>
          <t>PY_MAX_DEMAND</t>
        </is>
      </c>
      <c r="F23" s="6" t="inlineStr">
        <is>
          <t>PY_SIN</t>
        </is>
      </c>
      <c r="G23" s="6" t="inlineStr">
        <is>
          <t>PY</t>
        </is>
      </c>
      <c r="H23" s="6" t="inlineStr">
        <is>
          <t>PY</t>
        </is>
      </c>
      <c r="I23" s="8" t="n">
        <v>2425</v>
      </c>
      <c r="J23" s="6" t="inlineStr">
        <is>
          <t>MW</t>
        </is>
      </c>
      <c r="K23" s="8" t="n">
        <v>2425</v>
      </c>
      <c r="L23" s="6" t="inlineStr">
        <is>
          <t>MW</t>
        </is>
      </c>
      <c r="M23" s="6" t="inlineStr">
        <is>
          <t>ANDE</t>
        </is>
      </c>
      <c r="N23" s="6" t="inlineStr">
        <is>
          <t>OFFICIAL_PRIMARY</t>
        </is>
      </c>
      <c r="O23" s="9" t="inlineStr">
        <is>
          <t>OFFICIAL_AGGREGATE</t>
        </is>
      </c>
      <c r="P23" s="8" t="n">
        <v>1</v>
      </c>
      <c r="Q23" s="8" t="n">
        <v>50</v>
      </c>
      <c r="R23" s="7" t="inlineStr">
        <is>
          <t>https://www.ande.gov.py/finanzas/2.%20COMPILACION%20ESTADISTICA%202003-2023/ANDE%20-%20Compilacion%20Estadistica%202003-2023.pdf</t>
        </is>
      </c>
      <c r="S23" s="6" t="inlineStr">
        <is>
          <t>ANDE-STAT-2003-2023</t>
        </is>
      </c>
      <c r="T23" s="6" t="inlineStr"/>
      <c r="U23" s="4" t="inlineStr">
        <is>
          <t>2026-09-10 23:00:00</t>
        </is>
      </c>
      <c r="V23" s="4" t="inlineStr"/>
    </row>
    <row r="24">
      <c r="A24" s="6" t="inlineStr">
        <is>
          <t>R0000023</t>
        </is>
      </c>
      <c r="B24" s="6" t="inlineStr">
        <is>
          <t>2014-01-01</t>
        </is>
      </c>
      <c r="C24" s="6" t="inlineStr">
        <is>
          <t>2014-12-31</t>
        </is>
      </c>
      <c r="D24" s="6" t="inlineStr">
        <is>
          <t>year</t>
        </is>
      </c>
      <c r="E24" s="6" t="inlineStr">
        <is>
          <t>PY_CONSUMPTION_ENERGY</t>
        </is>
      </c>
      <c r="F24" s="6" t="inlineStr">
        <is>
          <t>PY_SIN</t>
        </is>
      </c>
      <c r="G24" s="6" t="inlineStr">
        <is>
          <t>PY</t>
        </is>
      </c>
      <c r="H24" s="6" t="inlineStr">
        <is>
          <t>PY</t>
        </is>
      </c>
      <c r="I24" s="8" t="n">
        <v>13450000</v>
      </c>
      <c r="J24" s="6" t="inlineStr">
        <is>
          <t>MWh</t>
        </is>
      </c>
      <c r="K24" s="8" t="n">
        <v>13450000</v>
      </c>
      <c r="L24" s="6" t="inlineStr">
        <is>
          <t>MWh</t>
        </is>
      </c>
      <c r="M24" s="6" t="inlineStr">
        <is>
          <t>ANDE</t>
        </is>
      </c>
      <c r="N24" s="6" t="inlineStr">
        <is>
          <t>OFFICIAL_PRIMARY</t>
        </is>
      </c>
      <c r="O24" s="9" t="inlineStr">
        <is>
          <t>OFFICIAL_AGGREGATE</t>
        </is>
      </c>
      <c r="P24" s="8" t="n">
        <v>1</v>
      </c>
      <c r="Q24" s="8" t="n">
        <v>50</v>
      </c>
      <c r="R24" s="7" t="inlineStr">
        <is>
          <t>https://www.ande.gov.py/finanzas/2.%20COMPILACION%20ESTADISTICA%202003-2023/ANDE%20-%20Compilacion%20Estadistica%202003-2023.pdf</t>
        </is>
      </c>
      <c r="S24" s="6" t="inlineStr">
        <is>
          <t>ANDE-STAT-2003-2023</t>
        </is>
      </c>
      <c r="T24" s="6" t="inlineStr"/>
      <c r="U24" s="4" t="inlineStr">
        <is>
          <t>2026-09-10 23:00:00</t>
        </is>
      </c>
      <c r="V24" s="4" t="inlineStr"/>
    </row>
    <row r="25">
      <c r="A25" s="6" t="inlineStr">
        <is>
          <t>R0000024</t>
        </is>
      </c>
      <c r="B25" s="6" t="inlineStr">
        <is>
          <t>2014-01-01</t>
        </is>
      </c>
      <c r="C25" s="6" t="inlineStr">
        <is>
          <t>2014-12-31</t>
        </is>
      </c>
      <c r="D25" s="6" t="inlineStr">
        <is>
          <t>year</t>
        </is>
      </c>
      <c r="E25" s="6" t="inlineStr">
        <is>
          <t>PY_MAX_DEMAND</t>
        </is>
      </c>
      <c r="F25" s="6" t="inlineStr">
        <is>
          <t>PY_SIN</t>
        </is>
      </c>
      <c r="G25" s="6" t="inlineStr">
        <is>
          <t>PY</t>
        </is>
      </c>
      <c r="H25" s="6" t="inlineStr">
        <is>
          <t>PY</t>
        </is>
      </c>
      <c r="I25" s="8" t="n">
        <v>2619</v>
      </c>
      <c r="J25" s="6" t="inlineStr">
        <is>
          <t>MW</t>
        </is>
      </c>
      <c r="K25" s="8" t="n">
        <v>2619</v>
      </c>
      <c r="L25" s="6" t="inlineStr">
        <is>
          <t>MW</t>
        </is>
      </c>
      <c r="M25" s="6" t="inlineStr">
        <is>
          <t>ANDE</t>
        </is>
      </c>
      <c r="N25" s="6" t="inlineStr">
        <is>
          <t>OFFICIAL_PRIMARY</t>
        </is>
      </c>
      <c r="O25" s="9" t="inlineStr">
        <is>
          <t>OFFICIAL_AGGREGATE</t>
        </is>
      </c>
      <c r="P25" s="8" t="n">
        <v>1</v>
      </c>
      <c r="Q25" s="8" t="n">
        <v>50</v>
      </c>
      <c r="R25" s="7" t="inlineStr">
        <is>
          <t>https://www.ande.gov.py/finanzas/2.%20COMPILACION%20ESTADISTICA%202003-2023/ANDE%20-%20Compilacion%20Estadistica%202003-2023.pdf</t>
        </is>
      </c>
      <c r="S25" s="6" t="inlineStr">
        <is>
          <t>ANDE-STAT-2003-2023</t>
        </is>
      </c>
      <c r="T25" s="6" t="inlineStr"/>
      <c r="U25" s="4" t="inlineStr">
        <is>
          <t>2026-09-10 23:00:00</t>
        </is>
      </c>
      <c r="V25" s="4" t="inlineStr"/>
    </row>
    <row r="26">
      <c r="A26" s="6" t="inlineStr">
        <is>
          <t>R0000025</t>
        </is>
      </c>
      <c r="B26" s="6" t="inlineStr">
        <is>
          <t>2015-01-01</t>
        </is>
      </c>
      <c r="C26" s="6" t="inlineStr">
        <is>
          <t>2015-12-31</t>
        </is>
      </c>
      <c r="D26" s="6" t="inlineStr">
        <is>
          <t>year</t>
        </is>
      </c>
      <c r="E26" s="6" t="inlineStr">
        <is>
          <t>PY_CONSUMPTION_ENERGY</t>
        </is>
      </c>
      <c r="F26" s="6" t="inlineStr">
        <is>
          <t>PY_SIN</t>
        </is>
      </c>
      <c r="G26" s="6" t="inlineStr">
        <is>
          <t>PY</t>
        </is>
      </c>
      <c r="H26" s="6" t="inlineStr">
        <is>
          <t>PY</t>
        </is>
      </c>
      <c r="I26" s="8" t="n">
        <v>14187000</v>
      </c>
      <c r="J26" s="6" t="inlineStr">
        <is>
          <t>MWh</t>
        </is>
      </c>
      <c r="K26" s="8" t="n">
        <v>14187000</v>
      </c>
      <c r="L26" s="6" t="inlineStr">
        <is>
          <t>MWh</t>
        </is>
      </c>
      <c r="M26" s="6" t="inlineStr">
        <is>
          <t>ANDE</t>
        </is>
      </c>
      <c r="N26" s="6" t="inlineStr">
        <is>
          <t>OFFICIAL_PRIMARY</t>
        </is>
      </c>
      <c r="O26" s="9" t="inlineStr">
        <is>
          <t>OFFICIAL_AGGREGATE</t>
        </is>
      </c>
      <c r="P26" s="8" t="n">
        <v>1</v>
      </c>
      <c r="Q26" s="8" t="n">
        <v>50</v>
      </c>
      <c r="R26" s="7" t="inlineStr">
        <is>
          <t>https://www.ande.gov.py/finanzas/2.%20COMPILACION%20ESTADISTICA%202003-2023/ANDE%20-%20Compilacion%20Estadistica%202003-2023.pdf</t>
        </is>
      </c>
      <c r="S26" s="6" t="inlineStr">
        <is>
          <t>ANDE-STAT-2003-2023</t>
        </is>
      </c>
      <c r="T26" s="6" t="inlineStr"/>
      <c r="U26" s="4" t="inlineStr">
        <is>
          <t>2026-09-10 23:00:00</t>
        </is>
      </c>
      <c r="V26" s="4" t="inlineStr"/>
    </row>
    <row r="27">
      <c r="A27" s="6" t="inlineStr">
        <is>
          <t>R0000026</t>
        </is>
      </c>
      <c r="B27" s="6" t="inlineStr">
        <is>
          <t>2015-01-01</t>
        </is>
      </c>
      <c r="C27" s="6" t="inlineStr">
        <is>
          <t>2015-12-31</t>
        </is>
      </c>
      <c r="D27" s="6" t="inlineStr">
        <is>
          <t>year</t>
        </is>
      </c>
      <c r="E27" s="6" t="inlineStr">
        <is>
          <t>PY_MAX_DEMAND</t>
        </is>
      </c>
      <c r="F27" s="6" t="inlineStr">
        <is>
          <t>PY_SIN</t>
        </is>
      </c>
      <c r="G27" s="6" t="inlineStr">
        <is>
          <t>PY</t>
        </is>
      </c>
      <c r="H27" s="6" t="inlineStr">
        <is>
          <t>PY</t>
        </is>
      </c>
      <c r="I27" s="8" t="n">
        <v>2656</v>
      </c>
      <c r="J27" s="6" t="inlineStr">
        <is>
          <t>MW</t>
        </is>
      </c>
      <c r="K27" s="8" t="n">
        <v>2656</v>
      </c>
      <c r="L27" s="6" t="inlineStr">
        <is>
          <t>MW</t>
        </is>
      </c>
      <c r="M27" s="6" t="inlineStr">
        <is>
          <t>ANDE</t>
        </is>
      </c>
      <c r="N27" s="6" t="inlineStr">
        <is>
          <t>OFFICIAL_PRIMARY</t>
        </is>
      </c>
      <c r="O27" s="9" t="inlineStr">
        <is>
          <t>OFFICIAL_AGGREGATE</t>
        </is>
      </c>
      <c r="P27" s="8" t="n">
        <v>1</v>
      </c>
      <c r="Q27" s="8" t="n">
        <v>50</v>
      </c>
      <c r="R27" s="7" t="inlineStr">
        <is>
          <t>https://www.ande.gov.py/finanzas/2.%20COMPILACION%20ESTADISTICA%202003-2023/ANDE%20-%20Compilacion%20Estadistica%202003-2023.pdf</t>
        </is>
      </c>
      <c r="S27" s="6" t="inlineStr">
        <is>
          <t>ANDE-STAT-2003-2023</t>
        </is>
      </c>
      <c r="T27" s="6" t="inlineStr"/>
      <c r="U27" s="4" t="inlineStr">
        <is>
          <t>2026-09-10 23:00:00</t>
        </is>
      </c>
      <c r="V27" s="4" t="inlineStr"/>
    </row>
    <row r="28">
      <c r="A28" s="6" t="inlineStr">
        <is>
          <t>R0000027</t>
        </is>
      </c>
      <c r="B28" s="6" t="inlineStr">
        <is>
          <t>2016-01-01</t>
        </is>
      </c>
      <c r="C28" s="6" t="inlineStr">
        <is>
          <t>2016-12-31</t>
        </is>
      </c>
      <c r="D28" s="6" t="inlineStr">
        <is>
          <t>year</t>
        </is>
      </c>
      <c r="E28" s="6" t="inlineStr">
        <is>
          <t>PY_CONSUMPTION_ENERGY</t>
        </is>
      </c>
      <c r="F28" s="6" t="inlineStr">
        <is>
          <t>PY_SIN</t>
        </is>
      </c>
      <c r="G28" s="6" t="inlineStr">
        <is>
          <t>PY</t>
        </is>
      </c>
      <c r="H28" s="6" t="inlineStr">
        <is>
          <t>PY</t>
        </is>
      </c>
      <c r="I28" s="8" t="n">
        <v>14848000</v>
      </c>
      <c r="J28" s="6" t="inlineStr">
        <is>
          <t>MWh</t>
        </is>
      </c>
      <c r="K28" s="8" t="n">
        <v>14848000</v>
      </c>
      <c r="L28" s="6" t="inlineStr">
        <is>
          <t>MWh</t>
        </is>
      </c>
      <c r="M28" s="6" t="inlineStr">
        <is>
          <t>ANDE</t>
        </is>
      </c>
      <c r="N28" s="6" t="inlineStr">
        <is>
          <t>OFFICIAL_PRIMARY</t>
        </is>
      </c>
      <c r="O28" s="9" t="inlineStr">
        <is>
          <t>OFFICIAL_AGGREGATE</t>
        </is>
      </c>
      <c r="P28" s="8" t="n">
        <v>1</v>
      </c>
      <c r="Q28" s="8" t="n">
        <v>50</v>
      </c>
      <c r="R28" s="7" t="inlineStr">
        <is>
          <t>https://www.ande.gov.py/finanzas/2.%20COMPILACION%20ESTADISTICA%202003-2023/ANDE%20-%20Compilacion%20Estadistica%202003-2023.pdf</t>
        </is>
      </c>
      <c r="S28" s="6" t="inlineStr">
        <is>
          <t>ANDE-STAT-2003-2023</t>
        </is>
      </c>
      <c r="T28" s="6" t="inlineStr"/>
      <c r="U28" s="4" t="inlineStr">
        <is>
          <t>2026-09-10 23:00:00</t>
        </is>
      </c>
      <c r="V28" s="4" t="inlineStr"/>
    </row>
    <row r="29">
      <c r="A29" s="6" t="inlineStr">
        <is>
          <t>R0000028</t>
        </is>
      </c>
      <c r="B29" s="6" t="inlineStr">
        <is>
          <t>2016-01-01</t>
        </is>
      </c>
      <c r="C29" s="6" t="inlineStr">
        <is>
          <t>2016-12-31</t>
        </is>
      </c>
      <c r="D29" s="6" t="inlineStr">
        <is>
          <t>year</t>
        </is>
      </c>
      <c r="E29" s="6" t="inlineStr">
        <is>
          <t>PY_MAX_DEMAND</t>
        </is>
      </c>
      <c r="F29" s="6" t="inlineStr">
        <is>
          <t>PY_SIN</t>
        </is>
      </c>
      <c r="G29" s="6" t="inlineStr">
        <is>
          <t>PY</t>
        </is>
      </c>
      <c r="H29" s="6" t="inlineStr">
        <is>
          <t>PY</t>
        </is>
      </c>
      <c r="I29" s="8" t="n">
        <v>2917</v>
      </c>
      <c r="J29" s="6" t="inlineStr">
        <is>
          <t>MW</t>
        </is>
      </c>
      <c r="K29" s="8" t="n">
        <v>2917</v>
      </c>
      <c r="L29" s="6" t="inlineStr">
        <is>
          <t>MW</t>
        </is>
      </c>
      <c r="M29" s="6" t="inlineStr">
        <is>
          <t>ANDE</t>
        </is>
      </c>
      <c r="N29" s="6" t="inlineStr">
        <is>
          <t>OFFICIAL_PRIMARY</t>
        </is>
      </c>
      <c r="O29" s="9" t="inlineStr">
        <is>
          <t>OFFICIAL_AGGREGATE</t>
        </is>
      </c>
      <c r="P29" s="8" t="n">
        <v>1</v>
      </c>
      <c r="Q29" s="8" t="n">
        <v>50</v>
      </c>
      <c r="R29" s="7" t="inlineStr">
        <is>
          <t>https://www.ande.gov.py/finanzas/2.%20COMPILACION%20ESTADISTICA%202003-2023/ANDE%20-%20Compilacion%20Estadistica%202003-2023.pdf</t>
        </is>
      </c>
      <c r="S29" s="6" t="inlineStr">
        <is>
          <t>ANDE-STAT-2003-2023</t>
        </is>
      </c>
      <c r="T29" s="6" t="inlineStr"/>
      <c r="U29" s="4" t="inlineStr">
        <is>
          <t>2026-09-10 23:00:00</t>
        </is>
      </c>
      <c r="V29" s="4" t="inlineStr"/>
    </row>
    <row r="30">
      <c r="A30" s="6" t="inlineStr">
        <is>
          <t>R0000029</t>
        </is>
      </c>
      <c r="B30" s="6" t="inlineStr">
        <is>
          <t>2017-01-01</t>
        </is>
      </c>
      <c r="C30" s="6" t="inlineStr">
        <is>
          <t>2017-12-31</t>
        </is>
      </c>
      <c r="D30" s="6" t="inlineStr">
        <is>
          <t>year</t>
        </is>
      </c>
      <c r="E30" s="6" t="inlineStr">
        <is>
          <t>PY_CONSUMPTION_ENERGY</t>
        </is>
      </c>
      <c r="F30" s="6" t="inlineStr">
        <is>
          <t>PY_SIN</t>
        </is>
      </c>
      <c r="G30" s="6" t="inlineStr">
        <is>
          <t>PY</t>
        </is>
      </c>
      <c r="H30" s="6" t="inlineStr">
        <is>
          <t>PY</t>
        </is>
      </c>
      <c r="I30" s="8" t="n">
        <v>15575000</v>
      </c>
      <c r="J30" s="6" t="inlineStr">
        <is>
          <t>MWh</t>
        </is>
      </c>
      <c r="K30" s="8" t="n">
        <v>15575000</v>
      </c>
      <c r="L30" s="6" t="inlineStr">
        <is>
          <t>MWh</t>
        </is>
      </c>
      <c r="M30" s="6" t="inlineStr">
        <is>
          <t>ANDE</t>
        </is>
      </c>
      <c r="N30" s="6" t="inlineStr">
        <is>
          <t>OFFICIAL_PRIMARY</t>
        </is>
      </c>
      <c r="O30" s="9" t="inlineStr">
        <is>
          <t>OFFICIAL_AGGREGATE</t>
        </is>
      </c>
      <c r="P30" s="8" t="n">
        <v>1</v>
      </c>
      <c r="Q30" s="8" t="n">
        <v>50</v>
      </c>
      <c r="R30" s="7" t="inlineStr">
        <is>
          <t>https://www.ande.gov.py/finanzas/2.%20COMPILACION%20ESTADISTICA%202003-2023/ANDE%20-%20Compilacion%20Estadistica%202003-2023.pdf</t>
        </is>
      </c>
      <c r="S30" s="6" t="inlineStr">
        <is>
          <t>ANDE-STAT-2003-2023</t>
        </is>
      </c>
      <c r="T30" s="6" t="inlineStr"/>
      <c r="U30" s="4" t="inlineStr">
        <is>
          <t>2026-09-10 23:00:00</t>
        </is>
      </c>
      <c r="V30" s="4" t="inlineStr"/>
    </row>
    <row r="31">
      <c r="A31" s="6" t="inlineStr">
        <is>
          <t>R0000030</t>
        </is>
      </c>
      <c r="B31" s="6" t="inlineStr">
        <is>
          <t>2017-01-01</t>
        </is>
      </c>
      <c r="C31" s="6" t="inlineStr">
        <is>
          <t>2017-12-31</t>
        </is>
      </c>
      <c r="D31" s="6" t="inlineStr">
        <is>
          <t>year</t>
        </is>
      </c>
      <c r="E31" s="6" t="inlineStr">
        <is>
          <t>PY_MAX_DEMAND</t>
        </is>
      </c>
      <c r="F31" s="6" t="inlineStr">
        <is>
          <t>PY_SIN</t>
        </is>
      </c>
      <c r="G31" s="6" t="inlineStr">
        <is>
          <t>PY</t>
        </is>
      </c>
      <c r="H31" s="6" t="inlineStr">
        <is>
          <t>PY</t>
        </is>
      </c>
      <c r="I31" s="8" t="n">
        <v>3135</v>
      </c>
      <c r="J31" s="6" t="inlineStr">
        <is>
          <t>MW</t>
        </is>
      </c>
      <c r="K31" s="8" t="n">
        <v>3135</v>
      </c>
      <c r="L31" s="6" t="inlineStr">
        <is>
          <t>MW</t>
        </is>
      </c>
      <c r="M31" s="6" t="inlineStr">
        <is>
          <t>ANDE</t>
        </is>
      </c>
      <c r="N31" s="6" t="inlineStr">
        <is>
          <t>OFFICIAL_PRIMARY</t>
        </is>
      </c>
      <c r="O31" s="9" t="inlineStr">
        <is>
          <t>OFFICIAL_AGGREGATE</t>
        </is>
      </c>
      <c r="P31" s="8" t="n">
        <v>1</v>
      </c>
      <c r="Q31" s="8" t="n">
        <v>50</v>
      </c>
      <c r="R31" s="7" t="inlineStr">
        <is>
          <t>https://www.ande.gov.py/finanzas/2.%20COMPILACION%20ESTADISTICA%202003-2023/ANDE%20-%20Compilacion%20Estadistica%202003-2023.pdf</t>
        </is>
      </c>
      <c r="S31" s="6" t="inlineStr">
        <is>
          <t>ANDE-STAT-2003-2023</t>
        </is>
      </c>
      <c r="T31" s="6" t="inlineStr"/>
      <c r="U31" s="4" t="inlineStr">
        <is>
          <t>2026-09-10 23:00:00</t>
        </is>
      </c>
      <c r="V31" s="4" t="inlineStr"/>
    </row>
    <row r="32">
      <c r="A32" s="6" t="inlineStr">
        <is>
          <t>R0000031</t>
        </is>
      </c>
      <c r="B32" s="6" t="inlineStr">
        <is>
          <t>2018-01-01</t>
        </is>
      </c>
      <c r="C32" s="6" t="inlineStr">
        <is>
          <t>2018-12-31</t>
        </is>
      </c>
      <c r="D32" s="6" t="inlineStr">
        <is>
          <t>year</t>
        </is>
      </c>
      <c r="E32" s="6" t="inlineStr">
        <is>
          <t>PY_CONSUMPTION_ENERGY</t>
        </is>
      </c>
      <c r="F32" s="6" t="inlineStr">
        <is>
          <t>PY_SIN</t>
        </is>
      </c>
      <c r="G32" s="6" t="inlineStr">
        <is>
          <t>PY</t>
        </is>
      </c>
      <c r="H32" s="6" t="inlineStr">
        <is>
          <t>PY</t>
        </is>
      </c>
      <c r="I32" s="8" t="n">
        <v>16577000</v>
      </c>
      <c r="J32" s="6" t="inlineStr">
        <is>
          <t>MWh</t>
        </is>
      </c>
      <c r="K32" s="8" t="n">
        <v>16577000</v>
      </c>
      <c r="L32" s="6" t="inlineStr">
        <is>
          <t>MWh</t>
        </is>
      </c>
      <c r="M32" s="6" t="inlineStr">
        <is>
          <t>ANDE</t>
        </is>
      </c>
      <c r="N32" s="6" t="inlineStr">
        <is>
          <t>OFFICIAL_PRIMARY</t>
        </is>
      </c>
      <c r="O32" s="9" t="inlineStr">
        <is>
          <t>OFFICIAL_AGGREGATE</t>
        </is>
      </c>
      <c r="P32" s="8" t="n">
        <v>1</v>
      </c>
      <c r="Q32" s="8" t="n">
        <v>50</v>
      </c>
      <c r="R32" s="7" t="inlineStr">
        <is>
          <t>https://www.ande.gov.py/finanzas/2.%20COMPILACION%20ESTADISTICA%202003-2023/ANDE%20-%20Compilacion%20Estadistica%202003-2023.pdf</t>
        </is>
      </c>
      <c r="S32" s="6" t="inlineStr">
        <is>
          <t>ANDE-STAT-2003-2023</t>
        </is>
      </c>
      <c r="T32" s="6" t="inlineStr"/>
      <c r="U32" s="4" t="inlineStr">
        <is>
          <t>2026-09-10 23:00:00</t>
        </is>
      </c>
      <c r="V32" s="4" t="inlineStr"/>
    </row>
    <row r="33">
      <c r="A33" s="6" t="inlineStr">
        <is>
          <t>R0000032</t>
        </is>
      </c>
      <c r="B33" s="6" t="inlineStr">
        <is>
          <t>2018-01-01</t>
        </is>
      </c>
      <c r="C33" s="6" t="inlineStr">
        <is>
          <t>2018-12-31</t>
        </is>
      </c>
      <c r="D33" s="6" t="inlineStr">
        <is>
          <t>year</t>
        </is>
      </c>
      <c r="E33" s="6" t="inlineStr">
        <is>
          <t>PY_MAX_DEMAND</t>
        </is>
      </c>
      <c r="F33" s="6" t="inlineStr">
        <is>
          <t>PY_SIN</t>
        </is>
      </c>
      <c r="G33" s="6" t="inlineStr">
        <is>
          <t>PY</t>
        </is>
      </c>
      <c r="H33" s="6" t="inlineStr">
        <is>
          <t>PY</t>
        </is>
      </c>
      <c r="I33" s="8" t="n">
        <v>3226</v>
      </c>
      <c r="J33" s="6" t="inlineStr">
        <is>
          <t>MW</t>
        </is>
      </c>
      <c r="K33" s="8" t="n">
        <v>3226</v>
      </c>
      <c r="L33" s="6" t="inlineStr">
        <is>
          <t>MW</t>
        </is>
      </c>
      <c r="M33" s="6" t="inlineStr">
        <is>
          <t>ANDE</t>
        </is>
      </c>
      <c r="N33" s="6" t="inlineStr">
        <is>
          <t>OFFICIAL_PRIMARY</t>
        </is>
      </c>
      <c r="O33" s="9" t="inlineStr">
        <is>
          <t>OFFICIAL_AGGREGATE</t>
        </is>
      </c>
      <c r="P33" s="8" t="n">
        <v>1</v>
      </c>
      <c r="Q33" s="8" t="n">
        <v>50</v>
      </c>
      <c r="R33" s="7" t="inlineStr">
        <is>
          <t>https://www.ande.gov.py/finanzas/2.%20COMPILACION%20ESTADISTICA%202003-2023/ANDE%20-%20Compilacion%20Estadistica%202003-2023.pdf</t>
        </is>
      </c>
      <c r="S33" s="6" t="inlineStr">
        <is>
          <t>ANDE-STAT-2003-2023</t>
        </is>
      </c>
      <c r="T33" s="6" t="inlineStr"/>
      <c r="U33" s="4" t="inlineStr">
        <is>
          <t>2026-09-10 23:00:00</t>
        </is>
      </c>
      <c r="V33" s="4" t="inlineStr"/>
    </row>
    <row r="34">
      <c r="A34" s="6" t="inlineStr">
        <is>
          <t>R0000033</t>
        </is>
      </c>
      <c r="B34" s="6" t="inlineStr">
        <is>
          <t>2019-01-01</t>
        </is>
      </c>
      <c r="C34" s="6" t="inlineStr">
        <is>
          <t>2019-12-31</t>
        </is>
      </c>
      <c r="D34" s="6" t="inlineStr">
        <is>
          <t>year</t>
        </is>
      </c>
      <c r="E34" s="6" t="inlineStr">
        <is>
          <t>PY_CONSUMPTION_ENERGY</t>
        </is>
      </c>
      <c r="F34" s="6" t="inlineStr">
        <is>
          <t>PY_SIN</t>
        </is>
      </c>
      <c r="G34" s="6" t="inlineStr">
        <is>
          <t>PY</t>
        </is>
      </c>
      <c r="H34" s="6" t="inlineStr">
        <is>
          <t>PY</t>
        </is>
      </c>
      <c r="I34" s="8" t="n">
        <v>17319000</v>
      </c>
      <c r="J34" s="6" t="inlineStr">
        <is>
          <t>MWh</t>
        </is>
      </c>
      <c r="K34" s="8" t="n">
        <v>17319000</v>
      </c>
      <c r="L34" s="6" t="inlineStr">
        <is>
          <t>MWh</t>
        </is>
      </c>
      <c r="M34" s="6" t="inlineStr">
        <is>
          <t>ANDE</t>
        </is>
      </c>
      <c r="N34" s="6" t="inlineStr">
        <is>
          <t>OFFICIAL_PRIMARY</t>
        </is>
      </c>
      <c r="O34" s="9" t="inlineStr">
        <is>
          <t>OFFICIAL_AGGREGATE</t>
        </is>
      </c>
      <c r="P34" s="8" t="n">
        <v>1</v>
      </c>
      <c r="Q34" s="8" t="n">
        <v>50</v>
      </c>
      <c r="R34" s="7" t="inlineStr">
        <is>
          <t>https://www.ande.gov.py/finanzas/2.%20COMPILACION%20ESTADISTICA%202003-2023/ANDE%20-%20Compilacion%20Estadistica%202003-2023.pdf</t>
        </is>
      </c>
      <c r="S34" s="6" t="inlineStr">
        <is>
          <t>ANDE-STAT-2003-2023</t>
        </is>
      </c>
      <c r="T34" s="6" t="inlineStr"/>
      <c r="U34" s="4" t="inlineStr">
        <is>
          <t>2026-09-10 23:00:00</t>
        </is>
      </c>
      <c r="V34" s="4" t="inlineStr"/>
    </row>
    <row r="35">
      <c r="A35" s="6" t="inlineStr">
        <is>
          <t>R0000034</t>
        </is>
      </c>
      <c r="B35" s="6" t="inlineStr">
        <is>
          <t>2019-01-01</t>
        </is>
      </c>
      <c r="C35" s="6" t="inlineStr">
        <is>
          <t>2019-12-31</t>
        </is>
      </c>
      <c r="D35" s="6" t="inlineStr">
        <is>
          <t>year</t>
        </is>
      </c>
      <c r="E35" s="6" t="inlineStr">
        <is>
          <t>PY_MAX_DEMAND</t>
        </is>
      </c>
      <c r="F35" s="6" t="inlineStr">
        <is>
          <t>PY_SIN</t>
        </is>
      </c>
      <c r="G35" s="6" t="inlineStr">
        <is>
          <t>PY</t>
        </is>
      </c>
      <c r="H35" s="6" t="inlineStr">
        <is>
          <t>PY</t>
        </is>
      </c>
      <c r="I35" s="8" t="n">
        <v>3553</v>
      </c>
      <c r="J35" s="6" t="inlineStr">
        <is>
          <t>MW</t>
        </is>
      </c>
      <c r="K35" s="8" t="n">
        <v>3553</v>
      </c>
      <c r="L35" s="6" t="inlineStr">
        <is>
          <t>MW</t>
        </is>
      </c>
      <c r="M35" s="6" t="inlineStr">
        <is>
          <t>ANDE</t>
        </is>
      </c>
      <c r="N35" s="6" t="inlineStr">
        <is>
          <t>OFFICIAL_PRIMARY</t>
        </is>
      </c>
      <c r="O35" s="9" t="inlineStr">
        <is>
          <t>OFFICIAL_AGGREGATE</t>
        </is>
      </c>
      <c r="P35" s="8" t="n">
        <v>1</v>
      </c>
      <c r="Q35" s="8" t="n">
        <v>50</v>
      </c>
      <c r="R35" s="7" t="inlineStr">
        <is>
          <t>https://www.ande.gov.py/finanzas/2.%20COMPILACION%20ESTADISTICA%202003-2023/ANDE%20-%20Compilacion%20Estadistica%202003-2023.pdf</t>
        </is>
      </c>
      <c r="S35" s="6" t="inlineStr">
        <is>
          <t>ANDE-STAT-2003-2023</t>
        </is>
      </c>
      <c r="T35" s="6" t="inlineStr"/>
      <c r="U35" s="4" t="inlineStr">
        <is>
          <t>2026-09-10 23:00:00</t>
        </is>
      </c>
      <c r="V35" s="4" t="inlineStr"/>
    </row>
    <row r="36">
      <c r="A36" s="6" t="inlineStr">
        <is>
          <t>R0000036</t>
        </is>
      </c>
      <c r="B36" s="6" t="inlineStr">
        <is>
          <t>2020-01-01</t>
        </is>
      </c>
      <c r="C36" s="6" t="inlineStr">
        <is>
          <t>2020-12-31</t>
        </is>
      </c>
      <c r="D36" s="6" t="inlineStr">
        <is>
          <t>year</t>
        </is>
      </c>
      <c r="E36" s="6" t="inlineStr">
        <is>
          <t>PY_MAX_DEMAND</t>
        </is>
      </c>
      <c r="F36" s="6" t="inlineStr">
        <is>
          <t>PY_SIN</t>
        </is>
      </c>
      <c r="G36" s="6" t="inlineStr">
        <is>
          <t>PY</t>
        </is>
      </c>
      <c r="H36" s="6" t="inlineStr">
        <is>
          <t>PY</t>
        </is>
      </c>
      <c r="I36" s="8" t="n">
        <v>3563</v>
      </c>
      <c r="J36" s="6" t="inlineStr">
        <is>
          <t>MW</t>
        </is>
      </c>
      <c r="K36" s="8" t="n">
        <v>3563</v>
      </c>
      <c r="L36" s="6" t="inlineStr">
        <is>
          <t>MW</t>
        </is>
      </c>
      <c r="M36" s="6" t="inlineStr">
        <is>
          <t>ANDE</t>
        </is>
      </c>
      <c r="N36" s="6" t="inlineStr">
        <is>
          <t>OFFICIAL_PRIMARY</t>
        </is>
      </c>
      <c r="O36" s="9" t="inlineStr">
        <is>
          <t>OFFICIAL_AGGREGATE</t>
        </is>
      </c>
      <c r="P36" s="8" t="n">
        <v>1</v>
      </c>
      <c r="Q36" s="8" t="n">
        <v>50</v>
      </c>
      <c r="R36" s="7" t="inlineStr">
        <is>
          <t>https://www.ande.gov.py/finanzas/2.%20COMPILACION%20ESTADISTICA%202003-2023/ANDE%20-%20Compilacion%20Estadistica%202003-2023.pdf</t>
        </is>
      </c>
      <c r="S36" s="6" t="inlineStr">
        <is>
          <t>ANDE-STAT-2003-2023</t>
        </is>
      </c>
      <c r="T36" s="6" t="inlineStr"/>
      <c r="U36" s="4" t="inlineStr">
        <is>
          <t>2026-09-10 23:00:00</t>
        </is>
      </c>
      <c r="V36" s="4" t="inlineStr"/>
    </row>
    <row r="37">
      <c r="A37" s="6" t="inlineStr">
        <is>
          <t>R0000037</t>
        </is>
      </c>
      <c r="B37" s="6" t="inlineStr">
        <is>
          <t>2020-01-01</t>
        </is>
      </c>
      <c r="C37" s="6" t="inlineStr">
        <is>
          <t>2020-12-31</t>
        </is>
      </c>
      <c r="D37" s="6" t="inlineStr">
        <is>
          <t>year</t>
        </is>
      </c>
      <c r="E37" s="6" t="inlineStr">
        <is>
          <t>PY_LOAD_FACTOR</t>
        </is>
      </c>
      <c r="F37" s="6" t="inlineStr">
        <is>
          <t>PY_SIN</t>
        </is>
      </c>
      <c r="G37" s="6" t="inlineStr">
        <is>
          <t>PY</t>
        </is>
      </c>
      <c r="H37" s="6" t="inlineStr">
        <is>
          <t>PY</t>
        </is>
      </c>
      <c r="I37" s="8" t="n">
        <v>57.5</v>
      </c>
      <c r="J37" s="6" t="inlineStr">
        <is>
          <t>percent</t>
        </is>
      </c>
      <c r="K37" s="8" t="n">
        <v>57.5</v>
      </c>
      <c r="L37" s="6" t="inlineStr">
        <is>
          <t>percent</t>
        </is>
      </c>
      <c r="M37" s="6" t="inlineStr">
        <is>
          <t>ANDE</t>
        </is>
      </c>
      <c r="N37" s="6" t="inlineStr">
        <is>
          <t>OFFICIAL_PRIMARY</t>
        </is>
      </c>
      <c r="O37" s="9" t="inlineStr">
        <is>
          <t>OFFICIAL_AGGREGATE</t>
        </is>
      </c>
      <c r="P37" s="8" t="n">
        <v>1</v>
      </c>
      <c r="Q37" s="8" t="n">
        <v>50</v>
      </c>
      <c r="R37" s="7" t="inlineStr">
        <is>
          <t>https://www.ande.gov.py/finanzas/2.%20COMPILACION%20ESTADISTICA%202003-2023/ANDE%20-%20Compilacion%20Estadistica%202003-2023.pdf</t>
        </is>
      </c>
      <c r="S37" s="6" t="inlineStr">
        <is>
          <t>ANDE-STAT-2003-2023</t>
        </is>
      </c>
      <c r="T37" s="6" t="inlineStr"/>
      <c r="U37" s="4" t="inlineStr">
        <is>
          <t>2026-09-10 23:00:00</t>
        </is>
      </c>
      <c r="V37" s="4" t="inlineStr">
        <is>
          <t>Factor de carga publicado.</t>
        </is>
      </c>
    </row>
    <row r="38">
      <c r="A38" s="6" t="inlineStr">
        <is>
          <t>R0000039</t>
        </is>
      </c>
      <c r="B38" s="6" t="inlineStr">
        <is>
          <t>2021-01-01</t>
        </is>
      </c>
      <c r="C38" s="6" t="inlineStr">
        <is>
          <t>2021-12-31</t>
        </is>
      </c>
      <c r="D38" s="6" t="inlineStr">
        <is>
          <t>year</t>
        </is>
      </c>
      <c r="E38" s="6" t="inlineStr">
        <is>
          <t>PY_MAX_DEMAND</t>
        </is>
      </c>
      <c r="F38" s="6" t="inlineStr">
        <is>
          <t>PY_SIN</t>
        </is>
      </c>
      <c r="G38" s="6" t="inlineStr">
        <is>
          <t>PY</t>
        </is>
      </c>
      <c r="H38" s="6" t="inlineStr">
        <is>
          <t>PY</t>
        </is>
      </c>
      <c r="I38" s="8" t="n">
        <v>3777</v>
      </c>
      <c r="J38" s="6" t="inlineStr">
        <is>
          <t>MW</t>
        </is>
      </c>
      <c r="K38" s="8" t="n">
        <v>3777</v>
      </c>
      <c r="L38" s="6" t="inlineStr">
        <is>
          <t>MW</t>
        </is>
      </c>
      <c r="M38" s="6" t="inlineStr">
        <is>
          <t>ANDE</t>
        </is>
      </c>
      <c r="N38" s="6" t="inlineStr">
        <is>
          <t>OFFICIAL_PRIMARY</t>
        </is>
      </c>
      <c r="O38" s="9" t="inlineStr">
        <is>
          <t>OFFICIAL_AGGREGATE</t>
        </is>
      </c>
      <c r="P38" s="8" t="n">
        <v>1</v>
      </c>
      <c r="Q38" s="8" t="n">
        <v>50</v>
      </c>
      <c r="R38" s="7" t="inlineStr">
        <is>
          <t>https://www.ande.gov.py/finanzas/2.%20COMPILACION%20ESTADISTICA%202003-2023/ANDE%20-%20Compilacion%20Estadistica%202003-2023.pdf</t>
        </is>
      </c>
      <c r="S38" s="6" t="inlineStr">
        <is>
          <t>ANDE-STAT-2003-2023</t>
        </is>
      </c>
      <c r="T38" s="6" t="inlineStr"/>
      <c r="U38" s="4" t="inlineStr">
        <is>
          <t>2026-09-10 23:00:00</t>
        </is>
      </c>
      <c r="V38" s="4" t="inlineStr"/>
    </row>
    <row r="39">
      <c r="A39" s="6" t="inlineStr">
        <is>
          <t>R0000040</t>
        </is>
      </c>
      <c r="B39" s="6" t="inlineStr">
        <is>
          <t>2021-01-01</t>
        </is>
      </c>
      <c r="C39" s="6" t="inlineStr">
        <is>
          <t>2021-12-31</t>
        </is>
      </c>
      <c r="D39" s="6" t="inlineStr">
        <is>
          <t>year</t>
        </is>
      </c>
      <c r="E39" s="6" t="inlineStr">
        <is>
          <t>PY_LOAD_FACTOR</t>
        </is>
      </c>
      <c r="F39" s="6" t="inlineStr">
        <is>
          <t>PY_SIN</t>
        </is>
      </c>
      <c r="G39" s="6" t="inlineStr">
        <is>
          <t>PY</t>
        </is>
      </c>
      <c r="H39" s="6" t="inlineStr">
        <is>
          <t>PY</t>
        </is>
      </c>
      <c r="I39" s="8" t="n">
        <v>56.2</v>
      </c>
      <c r="J39" s="6" t="inlineStr">
        <is>
          <t>percent</t>
        </is>
      </c>
      <c r="K39" s="8" t="n">
        <v>56.2</v>
      </c>
      <c r="L39" s="6" t="inlineStr">
        <is>
          <t>percent</t>
        </is>
      </c>
      <c r="M39" s="6" t="inlineStr">
        <is>
          <t>ANDE</t>
        </is>
      </c>
      <c r="N39" s="6" t="inlineStr">
        <is>
          <t>OFFICIAL_PRIMARY</t>
        </is>
      </c>
      <c r="O39" s="9" t="inlineStr">
        <is>
          <t>OFFICIAL_AGGREGATE</t>
        </is>
      </c>
      <c r="P39" s="8" t="n">
        <v>1</v>
      </c>
      <c r="Q39" s="8" t="n">
        <v>50</v>
      </c>
      <c r="R39" s="7" t="inlineStr">
        <is>
          <t>https://www.ande.gov.py/finanzas/2.%20COMPILACION%20ESTADISTICA%202003-2023/ANDE%20-%20Compilacion%20Estadistica%202003-2023.pdf</t>
        </is>
      </c>
      <c r="S39" s="6" t="inlineStr">
        <is>
          <t>ANDE-STAT-2003-2023</t>
        </is>
      </c>
      <c r="T39" s="6" t="inlineStr"/>
      <c r="U39" s="4" t="inlineStr">
        <is>
          <t>2026-09-10 23:00:00</t>
        </is>
      </c>
      <c r="V39" s="4" t="inlineStr">
        <is>
          <t>Factor de carga publicado.</t>
        </is>
      </c>
    </row>
    <row r="40">
      <c r="A40" s="6" t="inlineStr">
        <is>
          <t>R0000042</t>
        </is>
      </c>
      <c r="B40" s="6" t="inlineStr">
        <is>
          <t>2022-01-01</t>
        </is>
      </c>
      <c r="C40" s="6" t="inlineStr">
        <is>
          <t>2022-12-31</t>
        </is>
      </c>
      <c r="D40" s="6" t="inlineStr">
        <is>
          <t>year</t>
        </is>
      </c>
      <c r="E40" s="6" t="inlineStr">
        <is>
          <t>PY_MAX_DEMAND</t>
        </is>
      </c>
      <c r="F40" s="6" t="inlineStr">
        <is>
          <t>PY_SIN</t>
        </is>
      </c>
      <c r="G40" s="6" t="inlineStr">
        <is>
          <t>PY</t>
        </is>
      </c>
      <c r="H40" s="6" t="inlineStr">
        <is>
          <t>PY</t>
        </is>
      </c>
      <c r="I40" s="8" t="n">
        <v>4270</v>
      </c>
      <c r="J40" s="6" t="inlineStr">
        <is>
          <t>MW</t>
        </is>
      </c>
      <c r="K40" s="8" t="n">
        <v>4270</v>
      </c>
      <c r="L40" s="6" t="inlineStr">
        <is>
          <t>MW</t>
        </is>
      </c>
      <c r="M40" s="6" t="inlineStr">
        <is>
          <t>ANDE</t>
        </is>
      </c>
      <c r="N40" s="6" t="inlineStr">
        <is>
          <t>OFFICIAL_PRIMARY</t>
        </is>
      </c>
      <c r="O40" s="9" t="inlineStr">
        <is>
          <t>OFFICIAL_AGGREGATE</t>
        </is>
      </c>
      <c r="P40" s="8" t="n">
        <v>1</v>
      </c>
      <c r="Q40" s="8" t="n">
        <v>50</v>
      </c>
      <c r="R40" s="7" t="inlineStr">
        <is>
          <t>https://www.ande.gov.py/finanzas/2.%20COMPILACION%20ESTADISTICA%202003-2023/ANDE%20-%20Compilacion%20Estadistica%202003-2023.pdf</t>
        </is>
      </c>
      <c r="S40" s="6" t="inlineStr">
        <is>
          <t>ANDE-STAT-2003-2023</t>
        </is>
      </c>
      <c r="T40" s="6" t="inlineStr"/>
      <c r="U40" s="4" t="inlineStr">
        <is>
          <t>2026-09-10 23:00:00</t>
        </is>
      </c>
      <c r="V40" s="4" t="inlineStr"/>
    </row>
    <row r="41">
      <c r="A41" s="6" t="inlineStr">
        <is>
          <t>R0000043</t>
        </is>
      </c>
      <c r="B41" s="6" t="inlineStr">
        <is>
          <t>2022-01-01</t>
        </is>
      </c>
      <c r="C41" s="6" t="inlineStr">
        <is>
          <t>2022-12-31</t>
        </is>
      </c>
      <c r="D41" s="6" t="inlineStr">
        <is>
          <t>year</t>
        </is>
      </c>
      <c r="E41" s="6" t="inlineStr">
        <is>
          <t>PY_LOAD_FACTOR</t>
        </is>
      </c>
      <c r="F41" s="6" t="inlineStr">
        <is>
          <t>PY_SIN</t>
        </is>
      </c>
      <c r="G41" s="6" t="inlineStr">
        <is>
          <t>PY</t>
        </is>
      </c>
      <c r="H41" s="6" t="inlineStr">
        <is>
          <t>PY</t>
        </is>
      </c>
      <c r="I41" s="8" t="n">
        <v>52.5</v>
      </c>
      <c r="J41" s="6" t="inlineStr">
        <is>
          <t>percent</t>
        </is>
      </c>
      <c r="K41" s="8" t="n">
        <v>52.5</v>
      </c>
      <c r="L41" s="6" t="inlineStr">
        <is>
          <t>percent</t>
        </is>
      </c>
      <c r="M41" s="6" t="inlineStr">
        <is>
          <t>ANDE</t>
        </is>
      </c>
      <c r="N41" s="6" t="inlineStr">
        <is>
          <t>OFFICIAL_PRIMARY</t>
        </is>
      </c>
      <c r="O41" s="9" t="inlineStr">
        <is>
          <t>OFFICIAL_AGGREGATE</t>
        </is>
      </c>
      <c r="P41" s="8" t="n">
        <v>1</v>
      </c>
      <c r="Q41" s="8" t="n">
        <v>50</v>
      </c>
      <c r="R41" s="7" t="inlineStr">
        <is>
          <t>https://www.ande.gov.py/finanzas/2.%20COMPILACION%20ESTADISTICA%202003-2023/ANDE%20-%20Compilacion%20Estadistica%202003-2023.pdf</t>
        </is>
      </c>
      <c r="S41" s="6" t="inlineStr">
        <is>
          <t>ANDE-STAT-2003-2023</t>
        </is>
      </c>
      <c r="T41" s="6" t="inlineStr"/>
      <c r="U41" s="4" t="inlineStr">
        <is>
          <t>2026-09-10 23:00:00</t>
        </is>
      </c>
      <c r="V41" s="4" t="inlineStr">
        <is>
          <t>Factor de carga publicado.</t>
        </is>
      </c>
    </row>
    <row r="42">
      <c r="A42" s="6" t="inlineStr">
        <is>
          <t>R0000045</t>
        </is>
      </c>
      <c r="B42" s="6" t="inlineStr">
        <is>
          <t>2023-01-01</t>
        </is>
      </c>
      <c r="C42" s="6" t="inlineStr">
        <is>
          <t>2023-12-31</t>
        </is>
      </c>
      <c r="D42" s="6" t="inlineStr">
        <is>
          <t>year</t>
        </is>
      </c>
      <c r="E42" s="6" t="inlineStr">
        <is>
          <t>PY_MAX_DEMAND</t>
        </is>
      </c>
      <c r="F42" s="6" t="inlineStr">
        <is>
          <t>PY_SIN</t>
        </is>
      </c>
      <c r="G42" s="6" t="inlineStr">
        <is>
          <t>PY</t>
        </is>
      </c>
      <c r="H42" s="6" t="inlineStr">
        <is>
          <t>PY</t>
        </is>
      </c>
      <c r="I42" s="8" t="n">
        <v>4744</v>
      </c>
      <c r="J42" s="6" t="inlineStr">
        <is>
          <t>MW</t>
        </is>
      </c>
      <c r="K42" s="8" t="n">
        <v>4744</v>
      </c>
      <c r="L42" s="6" t="inlineStr">
        <is>
          <t>MW</t>
        </is>
      </c>
      <c r="M42" s="6" t="inlineStr">
        <is>
          <t>ANDE</t>
        </is>
      </c>
      <c r="N42" s="6" t="inlineStr">
        <is>
          <t>OFFICIAL_PRIMARY</t>
        </is>
      </c>
      <c r="O42" s="9" t="inlineStr">
        <is>
          <t>OFFICIAL_AGGREGATE</t>
        </is>
      </c>
      <c r="P42" s="8" t="n">
        <v>1</v>
      </c>
      <c r="Q42" s="8" t="n">
        <v>50</v>
      </c>
      <c r="R42" s="7" t="inlineStr">
        <is>
          <t>https://www.ande.gov.py/finanzas/2.%20COMPILACION%20ESTADISTICA%202003-2023/ANDE%20-%20Compilacion%20Estadistica%202003-2023.pdf</t>
        </is>
      </c>
      <c r="S42" s="6" t="inlineStr">
        <is>
          <t>ANDE-STAT-2003-2023</t>
        </is>
      </c>
      <c r="T42" s="6" t="inlineStr"/>
      <c r="U42" s="4" t="inlineStr">
        <is>
          <t>2026-09-10 23:00:00</t>
        </is>
      </c>
      <c r="V42" s="4" t="inlineStr"/>
    </row>
    <row r="43">
      <c r="A43" s="6" t="inlineStr">
        <is>
          <t>R0000046</t>
        </is>
      </c>
      <c r="B43" s="6" t="inlineStr">
        <is>
          <t>2023-01-01</t>
        </is>
      </c>
      <c r="C43" s="6" t="inlineStr">
        <is>
          <t>2023-12-31</t>
        </is>
      </c>
      <c r="D43" s="6" t="inlineStr">
        <is>
          <t>year</t>
        </is>
      </c>
      <c r="E43" s="6" t="inlineStr">
        <is>
          <t>PY_LOAD_FACTOR</t>
        </is>
      </c>
      <c r="F43" s="6" t="inlineStr">
        <is>
          <t>PY_SIN</t>
        </is>
      </c>
      <c r="G43" s="6" t="inlineStr">
        <is>
          <t>PY</t>
        </is>
      </c>
      <c r="H43" s="6" t="inlineStr">
        <is>
          <t>PY</t>
        </is>
      </c>
      <c r="I43" s="8" t="n">
        <v>53.1</v>
      </c>
      <c r="J43" s="6" t="inlineStr">
        <is>
          <t>percent</t>
        </is>
      </c>
      <c r="K43" s="8" t="n">
        <v>53.1</v>
      </c>
      <c r="L43" s="6" t="inlineStr">
        <is>
          <t>percent</t>
        </is>
      </c>
      <c r="M43" s="6" t="inlineStr">
        <is>
          <t>ANDE</t>
        </is>
      </c>
      <c r="N43" s="6" t="inlineStr">
        <is>
          <t>OFFICIAL_PRIMARY</t>
        </is>
      </c>
      <c r="O43" s="9" t="inlineStr">
        <is>
          <t>OFFICIAL_AGGREGATE</t>
        </is>
      </c>
      <c r="P43" s="8" t="n">
        <v>1</v>
      </c>
      <c r="Q43" s="8" t="n">
        <v>50</v>
      </c>
      <c r="R43" s="7" t="inlineStr">
        <is>
          <t>https://www.ande.gov.py/finanzas/2.%20COMPILACION%20ESTADISTICA%202003-2023/ANDE%20-%20Compilacion%20Estadistica%202003-2023.pdf</t>
        </is>
      </c>
      <c r="S43" s="6" t="inlineStr">
        <is>
          <t>ANDE-STAT-2003-2023</t>
        </is>
      </c>
      <c r="T43" s="6" t="inlineStr"/>
      <c r="U43" s="4" t="inlineStr">
        <is>
          <t>2026-09-10 23:00:00</t>
        </is>
      </c>
      <c r="V43" s="4" t="inlineStr">
        <is>
          <t>Factor de carga publicado.</t>
        </is>
      </c>
    </row>
    <row r="44">
      <c r="A44" s="6" t="inlineStr">
        <is>
          <t>R0000047</t>
        </is>
      </c>
      <c r="B44" s="6" t="inlineStr">
        <is>
          <t>2024-01-01</t>
        </is>
      </c>
      <c r="C44" s="6" t="inlineStr">
        <is>
          <t>2024-12-31</t>
        </is>
      </c>
      <c r="D44" s="6" t="inlineStr">
        <is>
          <t>year</t>
        </is>
      </c>
      <c r="E44" s="6" t="inlineStr">
        <is>
          <t>PY_CONSUMPTION_ENERGY</t>
        </is>
      </c>
      <c r="F44" s="6" t="inlineStr">
        <is>
          <t>PY_SIN</t>
        </is>
      </c>
      <c r="G44" s="6" t="inlineStr">
        <is>
          <t>PY</t>
        </is>
      </c>
      <c r="H44" s="6" t="inlineStr">
        <is>
          <t>PY</t>
        </is>
      </c>
      <c r="I44" s="8" t="n">
        <v>26154488</v>
      </c>
      <c r="J44" s="6" t="inlineStr">
        <is>
          <t>MWh</t>
        </is>
      </c>
      <c r="K44" s="8" t="n">
        <v>26154488</v>
      </c>
      <c r="L44" s="6" t="inlineStr">
        <is>
          <t>MWh</t>
        </is>
      </c>
      <c r="M44" s="6" t="inlineStr">
        <is>
          <t>ANDE</t>
        </is>
      </c>
      <c r="N44" s="6" t="inlineStr">
        <is>
          <t>OFFICIAL_PRIMARY</t>
        </is>
      </c>
      <c r="O44" s="9" t="inlineStr">
        <is>
          <t>OFFICIAL_AGGREGATE</t>
        </is>
      </c>
      <c r="P44" s="8" t="n">
        <v>1</v>
      </c>
      <c r="Q44" s="8" t="n">
        <v>50</v>
      </c>
      <c r="R44" s="7" t="inlineStr">
        <is>
          <t>https://www.ande.gov.py/finanzas/ANDE%20-%20Resumen%20Estad%C3%ADstico%202020%20-%202024.pdf</t>
        </is>
      </c>
      <c r="S44" s="6" t="inlineStr">
        <is>
          <t>ANDE-STAT-2020-2024</t>
        </is>
      </c>
      <c r="T44" s="6" t="inlineStr"/>
      <c r="U44" s="4" t="inlineStr">
        <is>
          <t>2026-09-10 23:00:00</t>
        </is>
      </c>
      <c r="V44" s="4" t="inlineStr"/>
    </row>
    <row r="45">
      <c r="A45" s="6" t="inlineStr">
        <is>
          <t>R0000048</t>
        </is>
      </c>
      <c r="B45" s="6" t="inlineStr">
        <is>
          <t>2024-01-01</t>
        </is>
      </c>
      <c r="C45" s="6" t="inlineStr">
        <is>
          <t>2024-12-31</t>
        </is>
      </c>
      <c r="D45" s="6" t="inlineStr">
        <is>
          <t>year</t>
        </is>
      </c>
      <c r="E45" s="6" t="inlineStr">
        <is>
          <t>PY_MAX_DEMAND</t>
        </is>
      </c>
      <c r="F45" s="6" t="inlineStr">
        <is>
          <t>PY_SIN</t>
        </is>
      </c>
      <c r="G45" s="6" t="inlineStr">
        <is>
          <t>PY</t>
        </is>
      </c>
      <c r="H45" s="6" t="inlineStr">
        <is>
          <t>PY</t>
        </is>
      </c>
      <c r="I45" s="8" t="n">
        <v>5027</v>
      </c>
      <c r="J45" s="6" t="inlineStr">
        <is>
          <t>MW</t>
        </is>
      </c>
      <c r="K45" s="8" t="n">
        <v>5027</v>
      </c>
      <c r="L45" s="6" t="inlineStr">
        <is>
          <t>MW</t>
        </is>
      </c>
      <c r="M45" s="6" t="inlineStr">
        <is>
          <t>ANDE</t>
        </is>
      </c>
      <c r="N45" s="6" t="inlineStr">
        <is>
          <t>OFFICIAL_PRIMARY</t>
        </is>
      </c>
      <c r="O45" s="9" t="inlineStr">
        <is>
          <t>OFFICIAL_AGGREGATE</t>
        </is>
      </c>
      <c r="P45" s="8" t="n">
        <v>1</v>
      </c>
      <c r="Q45" s="8" t="n">
        <v>50</v>
      </c>
      <c r="R45" s="7" t="inlineStr">
        <is>
          <t>https://www.ande.gov.py/finanzas/ANDE%20-%20Resumen%20Estad%C3%ADstico%202020%20-%202024.pdf</t>
        </is>
      </c>
      <c r="S45" s="6" t="inlineStr">
        <is>
          <t>ANDE-STAT-2020-2024</t>
        </is>
      </c>
      <c r="T45" s="6" t="inlineStr"/>
      <c r="U45" s="4" t="inlineStr">
        <is>
          <t>2026-09-10 23:00:00</t>
        </is>
      </c>
      <c r="V45" s="4" t="inlineStr"/>
    </row>
    <row r="46">
      <c r="A46" s="6" t="inlineStr">
        <is>
          <t>R0000049</t>
        </is>
      </c>
      <c r="B46" s="6" t="inlineStr">
        <is>
          <t>2024-01-01</t>
        </is>
      </c>
      <c r="C46" s="6" t="inlineStr">
        <is>
          <t>2024-12-31</t>
        </is>
      </c>
      <c r="D46" s="6" t="inlineStr">
        <is>
          <t>year</t>
        </is>
      </c>
      <c r="E46" s="6" t="inlineStr">
        <is>
          <t>PY_LOAD_FACTOR</t>
        </is>
      </c>
      <c r="F46" s="6" t="inlineStr">
        <is>
          <t>PY_SIN</t>
        </is>
      </c>
      <c r="G46" s="6" t="inlineStr">
        <is>
          <t>PY</t>
        </is>
      </c>
      <c r="H46" s="6" t="inlineStr">
        <is>
          <t>PY</t>
        </is>
      </c>
      <c r="I46" s="8" t="n">
        <v>59.39</v>
      </c>
      <c r="J46" s="6" t="inlineStr">
        <is>
          <t>percent</t>
        </is>
      </c>
      <c r="K46" s="8" t="n">
        <v>59.39</v>
      </c>
      <c r="L46" s="6" t="inlineStr">
        <is>
          <t>percent</t>
        </is>
      </c>
      <c r="M46" s="6" t="inlineStr">
        <is>
          <t>ANDE</t>
        </is>
      </c>
      <c r="N46" s="6" t="inlineStr">
        <is>
          <t>OFFICIAL_PRIMARY</t>
        </is>
      </c>
      <c r="O46" s="9" t="inlineStr">
        <is>
          <t>OFFICIAL_AGGREGATE</t>
        </is>
      </c>
      <c r="P46" s="8" t="n">
        <v>1</v>
      </c>
      <c r="Q46" s="8" t="n">
        <v>50</v>
      </c>
      <c r="R46" s="7" t="inlineStr">
        <is>
          <t>https://www.ande.gov.py/finanzas/ANDE%20-%20Resumen%20Estad%C3%ADstico%202020%20-%202024.pdf</t>
        </is>
      </c>
      <c r="S46" s="6" t="inlineStr">
        <is>
          <t>ANDE-STAT-2020-2024</t>
        </is>
      </c>
      <c r="T46" s="6" t="inlineStr"/>
      <c r="U46" s="4" t="inlineStr">
        <is>
          <t>2026-09-10 23:00:00</t>
        </is>
      </c>
      <c r="V46" s="4" t="inlineStr">
        <is>
          <t>Factor de carga publicado.</t>
        </is>
      </c>
    </row>
    <row r="47">
      <c r="A47" s="6" t="inlineStr">
        <is>
          <t>R0000050</t>
        </is>
      </c>
      <c r="B47" s="6" t="inlineStr">
        <is>
          <t>2025-01-01</t>
        </is>
      </c>
      <c r="C47" s="6" t="inlineStr">
        <is>
          <t>2025-12-31</t>
        </is>
      </c>
      <c r="D47" s="6" t="inlineStr">
        <is>
          <t>year</t>
        </is>
      </c>
      <c r="E47" s="6" t="inlineStr">
        <is>
          <t>PY_CONSUMPTION_ENERGY</t>
        </is>
      </c>
      <c r="F47" s="6" t="inlineStr">
        <is>
          <t>PY_SIN</t>
        </is>
      </c>
      <c r="G47" s="6" t="inlineStr">
        <is>
          <t>PY</t>
        </is>
      </c>
      <c r="H47" s="6" t="inlineStr">
        <is>
          <t>PY</t>
        </is>
      </c>
      <c r="I47" s="8" t="n">
        <v>29418538</v>
      </c>
      <c r="J47" s="6" t="inlineStr">
        <is>
          <t>MWh</t>
        </is>
      </c>
      <c r="K47" s="8" t="n">
        <v>29418538</v>
      </c>
      <c r="L47" s="6" t="inlineStr">
        <is>
          <t>MWh</t>
        </is>
      </c>
      <c r="M47" s="6" t="inlineStr">
        <is>
          <t>ANDE</t>
        </is>
      </c>
      <c r="N47" s="6" t="inlineStr">
        <is>
          <t>OFFICIAL_PRIMARY</t>
        </is>
      </c>
      <c r="O47" s="9" t="inlineStr">
        <is>
          <t>OFFICIAL_AGGREGATE</t>
        </is>
      </c>
      <c r="P47" s="8" t="n">
        <v>1</v>
      </c>
      <c r="Q47" s="8" t="n">
        <v>50</v>
      </c>
      <c r="R47" s="7" t="inlineStr">
        <is>
          <t>https://www.ande.gov.py/finanzas/BAGP%202025%20ANDE.pdf</t>
        </is>
      </c>
      <c r="S47" s="6" t="inlineStr">
        <is>
          <t>ANDE-BAGP-2025</t>
        </is>
      </c>
      <c r="T47" s="6" t="inlineStr"/>
      <c r="U47" s="4" t="inlineStr">
        <is>
          <t>2026-09-10 23:00:00</t>
        </is>
      </c>
      <c r="V47" s="4" t="inlineStr">
        <is>
          <t>2025: total exacto de BAGP; nota de prensa redondea a 29.419 GWh.</t>
        </is>
      </c>
    </row>
    <row r="48">
      <c r="A48" s="6" t="inlineStr">
        <is>
          <t>R0000051</t>
        </is>
      </c>
      <c r="B48" s="6" t="inlineStr">
        <is>
          <t>2025-01-01</t>
        </is>
      </c>
      <c r="C48" s="6" t="inlineStr">
        <is>
          <t>2025-12-31</t>
        </is>
      </c>
      <c r="D48" s="6" t="inlineStr">
        <is>
          <t>year</t>
        </is>
      </c>
      <c r="E48" s="6" t="inlineStr">
        <is>
          <t>PY_MAX_DEMAND</t>
        </is>
      </c>
      <c r="F48" s="6" t="inlineStr">
        <is>
          <t>PY_SIN</t>
        </is>
      </c>
      <c r="G48" s="6" t="inlineStr">
        <is>
          <t>PY</t>
        </is>
      </c>
      <c r="H48" s="6" t="inlineStr">
        <is>
          <t>PY</t>
        </is>
      </c>
      <c r="I48" s="8" t="n">
        <v>5280</v>
      </c>
      <c r="J48" s="6" t="inlineStr">
        <is>
          <t>MW</t>
        </is>
      </c>
      <c r="K48" s="8" t="n">
        <v>5280</v>
      </c>
      <c r="L48" s="6" t="inlineStr">
        <is>
          <t>MW</t>
        </is>
      </c>
      <c r="M48" s="6" t="inlineStr">
        <is>
          <t>ANDE</t>
        </is>
      </c>
      <c r="N48" s="6" t="inlineStr">
        <is>
          <t>OFFICIAL_PRIMARY</t>
        </is>
      </c>
      <c r="O48" s="9" t="inlineStr">
        <is>
          <t>OFFICIAL_AGGREGATE</t>
        </is>
      </c>
      <c r="P48" s="8" t="n">
        <v>1</v>
      </c>
      <c r="Q48" s="8" t="n">
        <v>50</v>
      </c>
      <c r="R48" s="7" t="inlineStr">
        <is>
          <t>https://www.ande.gov.py/finanzas/BAGP%202025%20ANDE.pdf</t>
        </is>
      </c>
      <c r="S48" s="6" t="inlineStr">
        <is>
          <t>ANDE-BAGP-2025</t>
        </is>
      </c>
      <c r="T48" s="6" t="inlineStr"/>
      <c r="U48" s="4" t="inlineStr">
        <is>
          <t>2026-09-10 23:00:00</t>
        </is>
      </c>
      <c r="V48" s="4" t="inlineStr">
        <is>
          <t>2025: total exacto de BAGP; nota de prensa redondea a 29.419 GWh.</t>
        </is>
      </c>
    </row>
    <row r="49">
      <c r="A49" s="6" t="inlineStr">
        <is>
          <t>R0000052</t>
        </is>
      </c>
      <c r="B49" s="6" t="inlineStr">
        <is>
          <t>2025-01-01</t>
        </is>
      </c>
      <c r="C49" s="6" t="inlineStr">
        <is>
          <t>2025-12-31</t>
        </is>
      </c>
      <c r="D49" s="6" t="inlineStr">
        <is>
          <t>year</t>
        </is>
      </c>
      <c r="E49" s="6" t="inlineStr">
        <is>
          <t>PY_LOAD_FACTOR</t>
        </is>
      </c>
      <c r="F49" s="6" t="inlineStr">
        <is>
          <t>PY_SIN</t>
        </is>
      </c>
      <c r="G49" s="6" t="inlineStr">
        <is>
          <t>PY</t>
        </is>
      </c>
      <c r="H49" s="6" t="inlineStr">
        <is>
          <t>PY</t>
        </is>
      </c>
      <c r="I49" s="8" t="n">
        <v>63.6</v>
      </c>
      <c r="J49" s="6" t="inlineStr">
        <is>
          <t>percent</t>
        </is>
      </c>
      <c r="K49" s="8" t="n">
        <v>63.6</v>
      </c>
      <c r="L49" s="6" t="inlineStr">
        <is>
          <t>percent</t>
        </is>
      </c>
      <c r="M49" s="6" t="inlineStr">
        <is>
          <t>ANDE</t>
        </is>
      </c>
      <c r="N49" s="6" t="inlineStr">
        <is>
          <t>OFFICIAL_PRIMARY</t>
        </is>
      </c>
      <c r="O49" s="9" t="inlineStr">
        <is>
          <t>OFFICIAL_AGGREGATE</t>
        </is>
      </c>
      <c r="P49" s="8" t="n">
        <v>1</v>
      </c>
      <c r="Q49" s="8" t="n">
        <v>50</v>
      </c>
      <c r="R49" s="7" t="inlineStr">
        <is>
          <t>https://www.ande.gov.py/finanzas/BAGP%202025%20ANDE.pdf</t>
        </is>
      </c>
      <c r="S49" s="6" t="inlineStr">
        <is>
          <t>ANDE-BAGP-2025</t>
        </is>
      </c>
      <c r="T49" s="6" t="inlineStr"/>
      <c r="U49" s="4" t="inlineStr">
        <is>
          <t>2026-09-10 23:00:00</t>
        </is>
      </c>
      <c r="V49" s="4" t="inlineStr">
        <is>
          <t>Factor de carga publicado.</t>
        </is>
      </c>
    </row>
    <row r="50">
      <c r="A50" s="6" t="inlineStr">
        <is>
          <t>R0000053</t>
        </is>
      </c>
      <c r="B50" s="6" t="inlineStr">
        <is>
          <t>2020-01-01</t>
        </is>
      </c>
      <c r="C50" s="6" t="inlineStr">
        <is>
          <t>2020-12-31</t>
        </is>
      </c>
      <c r="D50" s="6" t="inlineStr">
        <is>
          <t>year</t>
        </is>
      </c>
      <c r="E50" s="6" t="inlineStr">
        <is>
          <t>PY_REGION_ENERGY</t>
        </is>
      </c>
      <c r="F50" s="6" t="inlineStr">
        <is>
          <t>PY_REGION_METROPOLITANO</t>
        </is>
      </c>
      <c r="G50" s="6" t="inlineStr">
        <is>
          <t>PY</t>
        </is>
      </c>
      <c r="H50" s="6" t="inlineStr">
        <is>
          <t>PY</t>
        </is>
      </c>
      <c r="I50" s="8" t="n">
        <v>9312851</v>
      </c>
      <c r="J50" s="6" t="inlineStr">
        <is>
          <t>MWh</t>
        </is>
      </c>
      <c r="K50" s="8" t="n">
        <v>9312851</v>
      </c>
      <c r="L50" s="6" t="inlineStr">
        <is>
          <t>MWh</t>
        </is>
      </c>
      <c r="M50" s="6" t="inlineStr">
        <is>
          <t>ANDE</t>
        </is>
      </c>
      <c r="N50" s="6" t="inlineStr">
        <is>
          <t>OFFICIAL_PRIMARY</t>
        </is>
      </c>
      <c r="O50" s="9" t="inlineStr">
        <is>
          <t>OFFICIAL_AGGREGATE</t>
        </is>
      </c>
      <c r="P50" s="8" t="n">
        <v>1</v>
      </c>
      <c r="Q50" s="8" t="n">
        <v>50</v>
      </c>
      <c r="R50" s="7" t="inlineStr">
        <is>
          <t>https://www.ande.gov.py/finanzas/ANDE%20-%20Resumen%20Estad%C3%ADstico%202020%20-%202024.pdf</t>
        </is>
      </c>
      <c r="S50" s="6" t="inlineStr">
        <is>
          <t>ANDE-STAT-2020-2024</t>
        </is>
      </c>
      <c r="T50" s="6" t="inlineStr"/>
      <c r="U50" s="4" t="inlineStr">
        <is>
          <t>2026-09-10 23:00:00</t>
        </is>
      </c>
      <c r="V50" s="4" t="inlineStr">
        <is>
          <t>Sistema/region: Metropolitano.</t>
        </is>
      </c>
    </row>
    <row r="51">
      <c r="A51" s="6" t="inlineStr">
        <is>
          <t>R0000054</t>
        </is>
      </c>
      <c r="B51" s="6" t="inlineStr">
        <is>
          <t>2021-01-01</t>
        </is>
      </c>
      <c r="C51" s="6" t="inlineStr">
        <is>
          <t>2021-12-31</t>
        </is>
      </c>
      <c r="D51" s="6" t="inlineStr">
        <is>
          <t>year</t>
        </is>
      </c>
      <c r="E51" s="6" t="inlineStr">
        <is>
          <t>PY_REGION_ENERGY</t>
        </is>
      </c>
      <c r="F51" s="6" t="inlineStr">
        <is>
          <t>PY_REGION_METROPOLITANO</t>
        </is>
      </c>
      <c r="G51" s="6" t="inlineStr">
        <is>
          <t>PY</t>
        </is>
      </c>
      <c r="H51" s="6" t="inlineStr">
        <is>
          <t>PY</t>
        </is>
      </c>
      <c r="I51" s="8" t="n">
        <v>9543744</v>
      </c>
      <c r="J51" s="6" t="inlineStr">
        <is>
          <t>MWh</t>
        </is>
      </c>
      <c r="K51" s="8" t="n">
        <v>9543744</v>
      </c>
      <c r="L51" s="6" t="inlineStr">
        <is>
          <t>MWh</t>
        </is>
      </c>
      <c r="M51" s="6" t="inlineStr">
        <is>
          <t>ANDE</t>
        </is>
      </c>
      <c r="N51" s="6" t="inlineStr">
        <is>
          <t>OFFICIAL_PRIMARY</t>
        </is>
      </c>
      <c r="O51" s="9" t="inlineStr">
        <is>
          <t>OFFICIAL_AGGREGATE</t>
        </is>
      </c>
      <c r="P51" s="8" t="n">
        <v>1</v>
      </c>
      <c r="Q51" s="8" t="n">
        <v>50</v>
      </c>
      <c r="R51" s="7" t="inlineStr">
        <is>
          <t>https://www.ande.gov.py/finanzas/ANDE%20-%20Resumen%20Estad%C3%ADstico%202020%20-%202024.pdf</t>
        </is>
      </c>
      <c r="S51" s="6" t="inlineStr">
        <is>
          <t>ANDE-STAT-2020-2024</t>
        </is>
      </c>
      <c r="T51" s="6" t="inlineStr"/>
      <c r="U51" s="4" t="inlineStr">
        <is>
          <t>2026-09-10 23:00:00</t>
        </is>
      </c>
      <c r="V51" s="4" t="inlineStr">
        <is>
          <t>Sistema/region: Metropolitano.</t>
        </is>
      </c>
    </row>
    <row r="52">
      <c r="A52" s="6" t="inlineStr">
        <is>
          <t>R0000055</t>
        </is>
      </c>
      <c r="B52" s="6" t="inlineStr">
        <is>
          <t>2022-01-01</t>
        </is>
      </c>
      <c r="C52" s="6" t="inlineStr">
        <is>
          <t>2022-12-31</t>
        </is>
      </c>
      <c r="D52" s="6" t="inlineStr">
        <is>
          <t>year</t>
        </is>
      </c>
      <c r="E52" s="6" t="inlineStr">
        <is>
          <t>PY_REGION_ENERGY</t>
        </is>
      </c>
      <c r="F52" s="6" t="inlineStr">
        <is>
          <t>PY_REGION_METROPOLITANO</t>
        </is>
      </c>
      <c r="G52" s="6" t="inlineStr">
        <is>
          <t>PY</t>
        </is>
      </c>
      <c r="H52" s="6" t="inlineStr">
        <is>
          <t>PY</t>
        </is>
      </c>
      <c r="I52" s="8" t="n">
        <v>9964357</v>
      </c>
      <c r="J52" s="6" t="inlineStr">
        <is>
          <t>MWh</t>
        </is>
      </c>
      <c r="K52" s="8" t="n">
        <v>9964357</v>
      </c>
      <c r="L52" s="6" t="inlineStr">
        <is>
          <t>MWh</t>
        </is>
      </c>
      <c r="M52" s="6" t="inlineStr">
        <is>
          <t>ANDE</t>
        </is>
      </c>
      <c r="N52" s="6" t="inlineStr">
        <is>
          <t>OFFICIAL_PRIMARY</t>
        </is>
      </c>
      <c r="O52" s="9" t="inlineStr">
        <is>
          <t>OFFICIAL_AGGREGATE</t>
        </is>
      </c>
      <c r="P52" s="8" t="n">
        <v>1</v>
      </c>
      <c r="Q52" s="8" t="n">
        <v>50</v>
      </c>
      <c r="R52" s="7" t="inlineStr">
        <is>
          <t>https://www.ande.gov.py/finanzas/ANDE%20-%20Resumen%20Estad%C3%ADstico%202020%20-%202024.pdf</t>
        </is>
      </c>
      <c r="S52" s="6" t="inlineStr">
        <is>
          <t>ANDE-STAT-2020-2024</t>
        </is>
      </c>
      <c r="T52" s="6" t="inlineStr"/>
      <c r="U52" s="4" t="inlineStr">
        <is>
          <t>2026-09-10 23:00:00</t>
        </is>
      </c>
      <c r="V52" s="4" t="inlineStr">
        <is>
          <t>Sistema/region: Metropolitano.</t>
        </is>
      </c>
    </row>
    <row r="53">
      <c r="A53" s="6" t="inlineStr">
        <is>
          <t>R0000056</t>
        </is>
      </c>
      <c r="B53" s="6" t="inlineStr">
        <is>
          <t>2023-01-01</t>
        </is>
      </c>
      <c r="C53" s="6" t="inlineStr">
        <is>
          <t>2023-12-31</t>
        </is>
      </c>
      <c r="D53" s="6" t="inlineStr">
        <is>
          <t>year</t>
        </is>
      </c>
      <c r="E53" s="6" t="inlineStr">
        <is>
          <t>PY_REGION_ENERGY</t>
        </is>
      </c>
      <c r="F53" s="6" t="inlineStr">
        <is>
          <t>PY_REGION_METROPOLITANO</t>
        </is>
      </c>
      <c r="G53" s="6" t="inlineStr">
        <is>
          <t>PY</t>
        </is>
      </c>
      <c r="H53" s="6" t="inlineStr">
        <is>
          <t>PY</t>
        </is>
      </c>
      <c r="I53" s="8" t="n">
        <v>11174060</v>
      </c>
      <c r="J53" s="6" t="inlineStr">
        <is>
          <t>MWh</t>
        </is>
      </c>
      <c r="K53" s="8" t="n">
        <v>11174060</v>
      </c>
      <c r="L53" s="6" t="inlineStr">
        <is>
          <t>MWh</t>
        </is>
      </c>
      <c r="M53" s="6" t="inlineStr">
        <is>
          <t>ANDE</t>
        </is>
      </c>
      <c r="N53" s="6" t="inlineStr">
        <is>
          <t>OFFICIAL_PRIMARY</t>
        </is>
      </c>
      <c r="O53" s="9" t="inlineStr">
        <is>
          <t>OFFICIAL_AGGREGATE</t>
        </is>
      </c>
      <c r="P53" s="8" t="n">
        <v>1</v>
      </c>
      <c r="Q53" s="8" t="n">
        <v>50</v>
      </c>
      <c r="R53" s="7" t="inlineStr">
        <is>
          <t>https://www.ande.gov.py/finanzas/ANDE%20-%20Resumen%20Estad%C3%ADstico%202020%20-%202024.pdf</t>
        </is>
      </c>
      <c r="S53" s="6" t="inlineStr">
        <is>
          <t>ANDE-STAT-2020-2024</t>
        </is>
      </c>
      <c r="T53" s="6" t="inlineStr"/>
      <c r="U53" s="4" t="inlineStr">
        <is>
          <t>2026-09-10 23:00:00</t>
        </is>
      </c>
      <c r="V53" s="4" t="inlineStr">
        <is>
          <t>Sistema/region: Metropolitano.</t>
        </is>
      </c>
    </row>
    <row r="54">
      <c r="A54" s="6" t="inlineStr">
        <is>
          <t>R0000057</t>
        </is>
      </c>
      <c r="B54" s="6" t="inlineStr">
        <is>
          <t>2024-01-01</t>
        </is>
      </c>
      <c r="C54" s="6" t="inlineStr">
        <is>
          <t>2024-12-31</t>
        </is>
      </c>
      <c r="D54" s="6" t="inlineStr">
        <is>
          <t>year</t>
        </is>
      </c>
      <c r="E54" s="6" t="inlineStr">
        <is>
          <t>PY_REGION_ENERGY</t>
        </is>
      </c>
      <c r="F54" s="6" t="inlineStr">
        <is>
          <t>PY_REGION_METROPOLITANO</t>
        </is>
      </c>
      <c r="G54" s="6" t="inlineStr">
        <is>
          <t>PY</t>
        </is>
      </c>
      <c r="H54" s="6" t="inlineStr">
        <is>
          <t>PY</t>
        </is>
      </c>
      <c r="I54" s="8" t="n">
        <v>12291090</v>
      </c>
      <c r="J54" s="6" t="inlineStr">
        <is>
          <t>MWh</t>
        </is>
      </c>
      <c r="K54" s="8" t="n">
        <v>12291090</v>
      </c>
      <c r="L54" s="6" t="inlineStr">
        <is>
          <t>MWh</t>
        </is>
      </c>
      <c r="M54" s="6" t="inlineStr">
        <is>
          <t>ANDE</t>
        </is>
      </c>
      <c r="N54" s="6" t="inlineStr">
        <is>
          <t>OFFICIAL_PRIMARY</t>
        </is>
      </c>
      <c r="O54" s="9" t="inlineStr">
        <is>
          <t>OFFICIAL_AGGREGATE</t>
        </is>
      </c>
      <c r="P54" s="8" t="n">
        <v>1</v>
      </c>
      <c r="Q54" s="8" t="n">
        <v>50</v>
      </c>
      <c r="R54" s="7" t="inlineStr">
        <is>
          <t>https://www.ande.gov.py/finanzas/ANDE%20-%20Resumen%20Estad%C3%ADstico%202020%20-%202024.pdf</t>
        </is>
      </c>
      <c r="S54" s="6" t="inlineStr">
        <is>
          <t>ANDE-STAT-2020-2024</t>
        </is>
      </c>
      <c r="T54" s="6" t="inlineStr"/>
      <c r="U54" s="4" t="inlineStr">
        <is>
          <t>2026-09-10 23:00:00</t>
        </is>
      </c>
      <c r="V54" s="4" t="inlineStr">
        <is>
          <t>Sistema/region: Metropolitano.</t>
        </is>
      </c>
    </row>
    <row r="55">
      <c r="A55" s="6" t="inlineStr">
        <is>
          <t>R0000058</t>
        </is>
      </c>
      <c r="B55" s="6" t="inlineStr">
        <is>
          <t>2020-01-01</t>
        </is>
      </c>
      <c r="C55" s="6" t="inlineStr">
        <is>
          <t>2020-12-31</t>
        </is>
      </c>
      <c r="D55" s="6" t="inlineStr">
        <is>
          <t>year</t>
        </is>
      </c>
      <c r="E55" s="6" t="inlineStr">
        <is>
          <t>PY_REGION_ENERGY</t>
        </is>
      </c>
      <c r="F55" s="6" t="inlineStr">
        <is>
          <t>PY_REGION_CENTRAL</t>
        </is>
      </c>
      <c r="G55" s="6" t="inlineStr">
        <is>
          <t>PY</t>
        </is>
      </c>
      <c r="H55" s="6" t="inlineStr">
        <is>
          <t>PY</t>
        </is>
      </c>
      <c r="I55" s="8" t="n">
        <v>1833781</v>
      </c>
      <c r="J55" s="6" t="inlineStr">
        <is>
          <t>MWh</t>
        </is>
      </c>
      <c r="K55" s="8" t="n">
        <v>1833781</v>
      </c>
      <c r="L55" s="6" t="inlineStr">
        <is>
          <t>MWh</t>
        </is>
      </c>
      <c r="M55" s="6" t="inlineStr">
        <is>
          <t>ANDE</t>
        </is>
      </c>
      <c r="N55" s="6" t="inlineStr">
        <is>
          <t>OFFICIAL_PRIMARY</t>
        </is>
      </c>
      <c r="O55" s="9" t="inlineStr">
        <is>
          <t>OFFICIAL_AGGREGATE</t>
        </is>
      </c>
      <c r="P55" s="8" t="n">
        <v>1</v>
      </c>
      <c r="Q55" s="8" t="n">
        <v>50</v>
      </c>
      <c r="R55" s="7" t="inlineStr">
        <is>
          <t>https://www.ande.gov.py/finanzas/ANDE%20-%20Resumen%20Estad%C3%ADstico%202020%20-%202024.pdf</t>
        </is>
      </c>
      <c r="S55" s="6" t="inlineStr">
        <is>
          <t>ANDE-STAT-2020-2024</t>
        </is>
      </c>
      <c r="T55" s="6" t="inlineStr"/>
      <c r="U55" s="4" t="inlineStr">
        <is>
          <t>2026-09-10 23:00:00</t>
        </is>
      </c>
      <c r="V55" s="4" t="inlineStr">
        <is>
          <t>Sistema/region: Central.</t>
        </is>
      </c>
    </row>
    <row r="56">
      <c r="A56" s="6" t="inlineStr">
        <is>
          <t>R0000059</t>
        </is>
      </c>
      <c r="B56" s="6" t="inlineStr">
        <is>
          <t>2021-01-01</t>
        </is>
      </c>
      <c r="C56" s="6" t="inlineStr">
        <is>
          <t>2021-12-31</t>
        </is>
      </c>
      <c r="D56" s="6" t="inlineStr">
        <is>
          <t>year</t>
        </is>
      </c>
      <c r="E56" s="6" t="inlineStr">
        <is>
          <t>PY_REGION_ENERGY</t>
        </is>
      </c>
      <c r="F56" s="6" t="inlineStr">
        <is>
          <t>PY_REGION_CENTRAL</t>
        </is>
      </c>
      <c r="G56" s="6" t="inlineStr">
        <is>
          <t>PY</t>
        </is>
      </c>
      <c r="H56" s="6" t="inlineStr">
        <is>
          <t>PY</t>
        </is>
      </c>
      <c r="I56" s="8" t="n">
        <v>1985053</v>
      </c>
      <c r="J56" s="6" t="inlineStr">
        <is>
          <t>MWh</t>
        </is>
      </c>
      <c r="K56" s="8" t="n">
        <v>1985053</v>
      </c>
      <c r="L56" s="6" t="inlineStr">
        <is>
          <t>MWh</t>
        </is>
      </c>
      <c r="M56" s="6" t="inlineStr">
        <is>
          <t>ANDE</t>
        </is>
      </c>
      <c r="N56" s="6" t="inlineStr">
        <is>
          <t>OFFICIAL_PRIMARY</t>
        </is>
      </c>
      <c r="O56" s="9" t="inlineStr">
        <is>
          <t>OFFICIAL_AGGREGATE</t>
        </is>
      </c>
      <c r="P56" s="8" t="n">
        <v>1</v>
      </c>
      <c r="Q56" s="8" t="n">
        <v>50</v>
      </c>
      <c r="R56" s="7" t="inlineStr">
        <is>
          <t>https://www.ande.gov.py/finanzas/ANDE%20-%20Resumen%20Estad%C3%ADstico%202020%20-%202024.pdf</t>
        </is>
      </c>
      <c r="S56" s="6" t="inlineStr">
        <is>
          <t>ANDE-STAT-2020-2024</t>
        </is>
      </c>
      <c r="T56" s="6" t="inlineStr"/>
      <c r="U56" s="4" t="inlineStr">
        <is>
          <t>2026-09-10 23:00:00</t>
        </is>
      </c>
      <c r="V56" s="4" t="inlineStr">
        <is>
          <t>Sistema/region: Central.</t>
        </is>
      </c>
    </row>
    <row r="57">
      <c r="A57" s="6" t="inlineStr">
        <is>
          <t>R0000060</t>
        </is>
      </c>
      <c r="B57" s="6" t="inlineStr">
        <is>
          <t>2022-01-01</t>
        </is>
      </c>
      <c r="C57" s="6" t="inlineStr">
        <is>
          <t>2022-12-31</t>
        </is>
      </c>
      <c r="D57" s="6" t="inlineStr">
        <is>
          <t>year</t>
        </is>
      </c>
      <c r="E57" s="6" t="inlineStr">
        <is>
          <t>PY_REGION_ENERGY</t>
        </is>
      </c>
      <c r="F57" s="6" t="inlineStr">
        <is>
          <t>PY_REGION_CENTRAL</t>
        </is>
      </c>
      <c r="G57" s="6" t="inlineStr">
        <is>
          <t>PY</t>
        </is>
      </c>
      <c r="H57" s="6" t="inlineStr">
        <is>
          <t>PY</t>
        </is>
      </c>
      <c r="I57" s="8" t="n">
        <v>2373625</v>
      </c>
      <c r="J57" s="6" t="inlineStr">
        <is>
          <t>MWh</t>
        </is>
      </c>
      <c r="K57" s="8" t="n">
        <v>2373625</v>
      </c>
      <c r="L57" s="6" t="inlineStr">
        <is>
          <t>MWh</t>
        </is>
      </c>
      <c r="M57" s="6" t="inlineStr">
        <is>
          <t>ANDE</t>
        </is>
      </c>
      <c r="N57" s="6" t="inlineStr">
        <is>
          <t>OFFICIAL_PRIMARY</t>
        </is>
      </c>
      <c r="O57" s="9" t="inlineStr">
        <is>
          <t>OFFICIAL_AGGREGATE</t>
        </is>
      </c>
      <c r="P57" s="8" t="n">
        <v>1</v>
      </c>
      <c r="Q57" s="8" t="n">
        <v>50</v>
      </c>
      <c r="R57" s="7" t="inlineStr">
        <is>
          <t>https://www.ande.gov.py/finanzas/ANDE%20-%20Resumen%20Estad%C3%ADstico%202020%20-%202024.pdf</t>
        </is>
      </c>
      <c r="S57" s="6" t="inlineStr">
        <is>
          <t>ANDE-STAT-2020-2024</t>
        </is>
      </c>
      <c r="T57" s="6" t="inlineStr"/>
      <c r="U57" s="4" t="inlineStr">
        <is>
          <t>2026-09-10 23:00:00</t>
        </is>
      </c>
      <c r="V57" s="4" t="inlineStr">
        <is>
          <t>Sistema/region: Central.</t>
        </is>
      </c>
    </row>
    <row r="58">
      <c r="A58" s="6" t="inlineStr">
        <is>
          <t>R0000061</t>
        </is>
      </c>
      <c r="B58" s="6" t="inlineStr">
        <is>
          <t>2023-01-01</t>
        </is>
      </c>
      <c r="C58" s="6" t="inlineStr">
        <is>
          <t>2023-12-31</t>
        </is>
      </c>
      <c r="D58" s="6" t="inlineStr">
        <is>
          <t>year</t>
        </is>
      </c>
      <c r="E58" s="6" t="inlineStr">
        <is>
          <t>PY_REGION_ENERGY</t>
        </is>
      </c>
      <c r="F58" s="6" t="inlineStr">
        <is>
          <t>PY_REGION_CENTRAL</t>
        </is>
      </c>
      <c r="G58" s="6" t="inlineStr">
        <is>
          <t>PY</t>
        </is>
      </c>
      <c r="H58" s="6" t="inlineStr">
        <is>
          <t>PY</t>
        </is>
      </c>
      <c r="I58" s="8" t="n">
        <v>2713541</v>
      </c>
      <c r="J58" s="6" t="inlineStr">
        <is>
          <t>MWh</t>
        </is>
      </c>
      <c r="K58" s="8" t="n">
        <v>2713541</v>
      </c>
      <c r="L58" s="6" t="inlineStr">
        <is>
          <t>MWh</t>
        </is>
      </c>
      <c r="M58" s="6" t="inlineStr">
        <is>
          <t>ANDE</t>
        </is>
      </c>
      <c r="N58" s="6" t="inlineStr">
        <is>
          <t>OFFICIAL_PRIMARY</t>
        </is>
      </c>
      <c r="O58" s="9" t="inlineStr">
        <is>
          <t>OFFICIAL_AGGREGATE</t>
        </is>
      </c>
      <c r="P58" s="8" t="n">
        <v>1</v>
      </c>
      <c r="Q58" s="8" t="n">
        <v>50</v>
      </c>
      <c r="R58" s="7" t="inlineStr">
        <is>
          <t>https://www.ande.gov.py/finanzas/ANDE%20-%20Resumen%20Estad%C3%ADstico%202020%20-%202024.pdf</t>
        </is>
      </c>
      <c r="S58" s="6" t="inlineStr">
        <is>
          <t>ANDE-STAT-2020-2024</t>
        </is>
      </c>
      <c r="T58" s="6" t="inlineStr"/>
      <c r="U58" s="4" t="inlineStr">
        <is>
          <t>2026-09-10 23:00:00</t>
        </is>
      </c>
      <c r="V58" s="4" t="inlineStr">
        <is>
          <t>Sistema/region: Central.</t>
        </is>
      </c>
    </row>
    <row r="59">
      <c r="A59" s="6" t="inlineStr">
        <is>
          <t>R0000062</t>
        </is>
      </c>
      <c r="B59" s="6" t="inlineStr">
        <is>
          <t>2024-01-01</t>
        </is>
      </c>
      <c r="C59" s="6" t="inlineStr">
        <is>
          <t>2024-12-31</t>
        </is>
      </c>
      <c r="D59" s="6" t="inlineStr">
        <is>
          <t>year</t>
        </is>
      </c>
      <c r="E59" s="6" t="inlineStr">
        <is>
          <t>PY_REGION_ENERGY</t>
        </is>
      </c>
      <c r="F59" s="6" t="inlineStr">
        <is>
          <t>PY_REGION_CENTRAL</t>
        </is>
      </c>
      <c r="G59" s="6" t="inlineStr">
        <is>
          <t>PY</t>
        </is>
      </c>
      <c r="H59" s="6" t="inlineStr">
        <is>
          <t>PY</t>
        </is>
      </c>
      <c r="I59" s="8" t="n">
        <v>3332809</v>
      </c>
      <c r="J59" s="6" t="inlineStr">
        <is>
          <t>MWh</t>
        </is>
      </c>
      <c r="K59" s="8" t="n">
        <v>3332809</v>
      </c>
      <c r="L59" s="6" t="inlineStr">
        <is>
          <t>MWh</t>
        </is>
      </c>
      <c r="M59" s="6" t="inlineStr">
        <is>
          <t>ANDE</t>
        </is>
      </c>
      <c r="N59" s="6" t="inlineStr">
        <is>
          <t>OFFICIAL_PRIMARY</t>
        </is>
      </c>
      <c r="O59" s="9" t="inlineStr">
        <is>
          <t>OFFICIAL_AGGREGATE</t>
        </is>
      </c>
      <c r="P59" s="8" t="n">
        <v>1</v>
      </c>
      <c r="Q59" s="8" t="n">
        <v>50</v>
      </c>
      <c r="R59" s="7" t="inlineStr">
        <is>
          <t>https://www.ande.gov.py/finanzas/ANDE%20-%20Resumen%20Estad%C3%ADstico%202020%20-%202024.pdf</t>
        </is>
      </c>
      <c r="S59" s="6" t="inlineStr">
        <is>
          <t>ANDE-STAT-2020-2024</t>
        </is>
      </c>
      <c r="T59" s="6" t="inlineStr"/>
      <c r="U59" s="4" t="inlineStr">
        <is>
          <t>2026-09-10 23:00:00</t>
        </is>
      </c>
      <c r="V59" s="4" t="inlineStr">
        <is>
          <t>Sistema/region: Central.</t>
        </is>
      </c>
    </row>
    <row r="60">
      <c r="A60" s="6" t="inlineStr">
        <is>
          <t>R0000063</t>
        </is>
      </c>
      <c r="B60" s="6" t="inlineStr">
        <is>
          <t>2020-01-01</t>
        </is>
      </c>
      <c r="C60" s="6" t="inlineStr">
        <is>
          <t>2020-12-31</t>
        </is>
      </c>
      <c r="D60" s="6" t="inlineStr">
        <is>
          <t>year</t>
        </is>
      </c>
      <c r="E60" s="6" t="inlineStr">
        <is>
          <t>PY_REGION_ENERGY</t>
        </is>
      </c>
      <c r="F60" s="6" t="inlineStr">
        <is>
          <t>PY_REGION_SUR</t>
        </is>
      </c>
      <c r="G60" s="6" t="inlineStr">
        <is>
          <t>PY</t>
        </is>
      </c>
      <c r="H60" s="6" t="inlineStr">
        <is>
          <t>PY</t>
        </is>
      </c>
      <c r="I60" s="8" t="n">
        <v>1453292</v>
      </c>
      <c r="J60" s="6" t="inlineStr">
        <is>
          <t>MWh</t>
        </is>
      </c>
      <c r="K60" s="8" t="n">
        <v>1453292</v>
      </c>
      <c r="L60" s="6" t="inlineStr">
        <is>
          <t>MWh</t>
        </is>
      </c>
      <c r="M60" s="6" t="inlineStr">
        <is>
          <t>ANDE</t>
        </is>
      </c>
      <c r="N60" s="6" t="inlineStr">
        <is>
          <t>OFFICIAL_PRIMARY</t>
        </is>
      </c>
      <c r="O60" s="9" t="inlineStr">
        <is>
          <t>OFFICIAL_AGGREGATE</t>
        </is>
      </c>
      <c r="P60" s="8" t="n">
        <v>1</v>
      </c>
      <c r="Q60" s="8" t="n">
        <v>50</v>
      </c>
      <c r="R60" s="7" t="inlineStr">
        <is>
          <t>https://www.ande.gov.py/finanzas/ANDE%20-%20Resumen%20Estad%C3%ADstico%202020%20-%202024.pdf</t>
        </is>
      </c>
      <c r="S60" s="6" t="inlineStr">
        <is>
          <t>ANDE-STAT-2020-2024</t>
        </is>
      </c>
      <c r="T60" s="6" t="inlineStr"/>
      <c r="U60" s="4" t="inlineStr">
        <is>
          <t>2026-09-10 23:00:00</t>
        </is>
      </c>
      <c r="V60" s="4" t="inlineStr">
        <is>
          <t>Sistema/region: Sur.</t>
        </is>
      </c>
    </row>
    <row r="61">
      <c r="A61" s="6" t="inlineStr">
        <is>
          <t>R0000064</t>
        </is>
      </c>
      <c r="B61" s="6" t="inlineStr">
        <is>
          <t>2021-01-01</t>
        </is>
      </c>
      <c r="C61" s="6" t="inlineStr">
        <is>
          <t>2021-12-31</t>
        </is>
      </c>
      <c r="D61" s="6" t="inlineStr">
        <is>
          <t>year</t>
        </is>
      </c>
      <c r="E61" s="6" t="inlineStr">
        <is>
          <t>PY_REGION_ENERGY</t>
        </is>
      </c>
      <c r="F61" s="6" t="inlineStr">
        <is>
          <t>PY_REGION_SUR</t>
        </is>
      </c>
      <c r="G61" s="6" t="inlineStr">
        <is>
          <t>PY</t>
        </is>
      </c>
      <c r="H61" s="6" t="inlineStr">
        <is>
          <t>PY</t>
        </is>
      </c>
      <c r="I61" s="8" t="n">
        <v>1455028</v>
      </c>
      <c r="J61" s="6" t="inlineStr">
        <is>
          <t>MWh</t>
        </is>
      </c>
      <c r="K61" s="8" t="n">
        <v>1455028</v>
      </c>
      <c r="L61" s="6" t="inlineStr">
        <is>
          <t>MWh</t>
        </is>
      </c>
      <c r="M61" s="6" t="inlineStr">
        <is>
          <t>ANDE</t>
        </is>
      </c>
      <c r="N61" s="6" t="inlineStr">
        <is>
          <t>OFFICIAL_PRIMARY</t>
        </is>
      </c>
      <c r="O61" s="9" t="inlineStr">
        <is>
          <t>OFFICIAL_AGGREGATE</t>
        </is>
      </c>
      <c r="P61" s="8" t="n">
        <v>1</v>
      </c>
      <c r="Q61" s="8" t="n">
        <v>50</v>
      </c>
      <c r="R61" s="7" t="inlineStr">
        <is>
          <t>https://www.ande.gov.py/finanzas/ANDE%20-%20Resumen%20Estad%C3%ADstico%202020%20-%202024.pdf</t>
        </is>
      </c>
      <c r="S61" s="6" t="inlineStr">
        <is>
          <t>ANDE-STAT-2020-2024</t>
        </is>
      </c>
      <c r="T61" s="6" t="inlineStr"/>
      <c r="U61" s="4" t="inlineStr">
        <is>
          <t>2026-09-10 23:00:00</t>
        </is>
      </c>
      <c r="V61" s="4" t="inlineStr">
        <is>
          <t>Sistema/region: Sur.</t>
        </is>
      </c>
    </row>
    <row r="62">
      <c r="A62" s="6" t="inlineStr">
        <is>
          <t>R0000065</t>
        </is>
      </c>
      <c r="B62" s="6" t="inlineStr">
        <is>
          <t>2022-01-01</t>
        </is>
      </c>
      <c r="C62" s="6" t="inlineStr">
        <is>
          <t>2022-12-31</t>
        </is>
      </c>
      <c r="D62" s="6" t="inlineStr">
        <is>
          <t>year</t>
        </is>
      </c>
      <c r="E62" s="6" t="inlineStr">
        <is>
          <t>PY_REGION_ENERGY</t>
        </is>
      </c>
      <c r="F62" s="6" t="inlineStr">
        <is>
          <t>PY_REGION_SUR</t>
        </is>
      </c>
      <c r="G62" s="6" t="inlineStr">
        <is>
          <t>PY</t>
        </is>
      </c>
      <c r="H62" s="6" t="inlineStr">
        <is>
          <t>PY</t>
        </is>
      </c>
      <c r="I62" s="8" t="n">
        <v>1522615</v>
      </c>
      <c r="J62" s="6" t="inlineStr">
        <is>
          <t>MWh</t>
        </is>
      </c>
      <c r="K62" s="8" t="n">
        <v>1522615</v>
      </c>
      <c r="L62" s="6" t="inlineStr">
        <is>
          <t>MWh</t>
        </is>
      </c>
      <c r="M62" s="6" t="inlineStr">
        <is>
          <t>ANDE</t>
        </is>
      </c>
      <c r="N62" s="6" t="inlineStr">
        <is>
          <t>OFFICIAL_PRIMARY</t>
        </is>
      </c>
      <c r="O62" s="9" t="inlineStr">
        <is>
          <t>OFFICIAL_AGGREGATE</t>
        </is>
      </c>
      <c r="P62" s="8" t="n">
        <v>1</v>
      </c>
      <c r="Q62" s="8" t="n">
        <v>50</v>
      </c>
      <c r="R62" s="7" t="inlineStr">
        <is>
          <t>https://www.ande.gov.py/finanzas/ANDE%20-%20Resumen%20Estad%C3%ADstico%202020%20-%202024.pdf</t>
        </is>
      </c>
      <c r="S62" s="6" t="inlineStr">
        <is>
          <t>ANDE-STAT-2020-2024</t>
        </is>
      </c>
      <c r="T62" s="6" t="inlineStr"/>
      <c r="U62" s="4" t="inlineStr">
        <is>
          <t>2026-09-10 23:00:00</t>
        </is>
      </c>
      <c r="V62" s="4" t="inlineStr">
        <is>
          <t>Sistema/region: Sur.</t>
        </is>
      </c>
    </row>
    <row r="63">
      <c r="A63" s="6" t="inlineStr">
        <is>
          <t>R0000066</t>
        </is>
      </c>
      <c r="B63" s="6" t="inlineStr">
        <is>
          <t>2023-01-01</t>
        </is>
      </c>
      <c r="C63" s="6" t="inlineStr">
        <is>
          <t>2023-12-31</t>
        </is>
      </c>
      <c r="D63" s="6" t="inlineStr">
        <is>
          <t>year</t>
        </is>
      </c>
      <c r="E63" s="6" t="inlineStr">
        <is>
          <t>PY_REGION_ENERGY</t>
        </is>
      </c>
      <c r="F63" s="6" t="inlineStr">
        <is>
          <t>PY_REGION_SUR</t>
        </is>
      </c>
      <c r="G63" s="6" t="inlineStr">
        <is>
          <t>PY</t>
        </is>
      </c>
      <c r="H63" s="6" t="inlineStr">
        <is>
          <t>PY</t>
        </is>
      </c>
      <c r="I63" s="8" t="n">
        <v>1678188</v>
      </c>
      <c r="J63" s="6" t="inlineStr">
        <is>
          <t>MWh</t>
        </is>
      </c>
      <c r="K63" s="8" t="n">
        <v>1678188</v>
      </c>
      <c r="L63" s="6" t="inlineStr">
        <is>
          <t>MWh</t>
        </is>
      </c>
      <c r="M63" s="6" t="inlineStr">
        <is>
          <t>ANDE</t>
        </is>
      </c>
      <c r="N63" s="6" t="inlineStr">
        <is>
          <t>OFFICIAL_PRIMARY</t>
        </is>
      </c>
      <c r="O63" s="9" t="inlineStr">
        <is>
          <t>OFFICIAL_AGGREGATE</t>
        </is>
      </c>
      <c r="P63" s="8" t="n">
        <v>1</v>
      </c>
      <c r="Q63" s="8" t="n">
        <v>50</v>
      </c>
      <c r="R63" s="7" t="inlineStr">
        <is>
          <t>https://www.ande.gov.py/finanzas/ANDE%20-%20Resumen%20Estad%C3%ADstico%202020%20-%202024.pdf</t>
        </is>
      </c>
      <c r="S63" s="6" t="inlineStr">
        <is>
          <t>ANDE-STAT-2020-2024</t>
        </is>
      </c>
      <c r="T63" s="6" t="inlineStr"/>
      <c r="U63" s="4" t="inlineStr">
        <is>
          <t>2026-09-10 23:00:00</t>
        </is>
      </c>
      <c r="V63" s="4" t="inlineStr">
        <is>
          <t>Sistema/region: Sur.</t>
        </is>
      </c>
    </row>
    <row r="64">
      <c r="A64" s="6" t="inlineStr">
        <is>
          <t>R0000067</t>
        </is>
      </c>
      <c r="B64" s="6" t="inlineStr">
        <is>
          <t>2024-01-01</t>
        </is>
      </c>
      <c r="C64" s="6" t="inlineStr">
        <is>
          <t>2024-12-31</t>
        </is>
      </c>
      <c r="D64" s="6" t="inlineStr">
        <is>
          <t>year</t>
        </is>
      </c>
      <c r="E64" s="6" t="inlineStr">
        <is>
          <t>PY_REGION_ENERGY</t>
        </is>
      </c>
      <c r="F64" s="6" t="inlineStr">
        <is>
          <t>PY_REGION_SUR</t>
        </is>
      </c>
      <c r="G64" s="6" t="inlineStr">
        <is>
          <t>PY</t>
        </is>
      </c>
      <c r="H64" s="6" t="inlineStr">
        <is>
          <t>PY</t>
        </is>
      </c>
      <c r="I64" s="8" t="n">
        <v>1855203</v>
      </c>
      <c r="J64" s="6" t="inlineStr">
        <is>
          <t>MWh</t>
        </is>
      </c>
      <c r="K64" s="8" t="n">
        <v>1855203</v>
      </c>
      <c r="L64" s="6" t="inlineStr">
        <is>
          <t>MWh</t>
        </is>
      </c>
      <c r="M64" s="6" t="inlineStr">
        <is>
          <t>ANDE</t>
        </is>
      </c>
      <c r="N64" s="6" t="inlineStr">
        <is>
          <t>OFFICIAL_PRIMARY</t>
        </is>
      </c>
      <c r="O64" s="9" t="inlineStr">
        <is>
          <t>OFFICIAL_AGGREGATE</t>
        </is>
      </c>
      <c r="P64" s="8" t="n">
        <v>1</v>
      </c>
      <c r="Q64" s="8" t="n">
        <v>50</v>
      </c>
      <c r="R64" s="7" t="inlineStr">
        <is>
          <t>https://www.ande.gov.py/finanzas/ANDE%20-%20Resumen%20Estad%C3%ADstico%202020%20-%202024.pdf</t>
        </is>
      </c>
      <c r="S64" s="6" t="inlineStr">
        <is>
          <t>ANDE-STAT-2020-2024</t>
        </is>
      </c>
      <c r="T64" s="6" t="inlineStr"/>
      <c r="U64" s="4" t="inlineStr">
        <is>
          <t>2026-09-10 23:00:00</t>
        </is>
      </c>
      <c r="V64" s="4" t="inlineStr">
        <is>
          <t>Sistema/region: Sur.</t>
        </is>
      </c>
    </row>
    <row r="65">
      <c r="A65" s="6" t="inlineStr">
        <is>
          <t>R0000068</t>
        </is>
      </c>
      <c r="B65" s="6" t="inlineStr">
        <is>
          <t>2020-01-01</t>
        </is>
      </c>
      <c r="C65" s="6" t="inlineStr">
        <is>
          <t>2020-12-31</t>
        </is>
      </c>
      <c r="D65" s="6" t="inlineStr">
        <is>
          <t>year</t>
        </is>
      </c>
      <c r="E65" s="6" t="inlineStr">
        <is>
          <t>PY_REGION_ENERGY</t>
        </is>
      </c>
      <c r="F65" s="6" t="inlineStr">
        <is>
          <t>PY_REGION_NORTE</t>
        </is>
      </c>
      <c r="G65" s="6" t="inlineStr">
        <is>
          <t>PY</t>
        </is>
      </c>
      <c r="H65" s="6" t="inlineStr">
        <is>
          <t>PY</t>
        </is>
      </c>
      <c r="I65" s="8" t="n">
        <v>862484</v>
      </c>
      <c r="J65" s="6" t="inlineStr">
        <is>
          <t>MWh</t>
        </is>
      </c>
      <c r="K65" s="8" t="n">
        <v>862484</v>
      </c>
      <c r="L65" s="6" t="inlineStr">
        <is>
          <t>MWh</t>
        </is>
      </c>
      <c r="M65" s="6" t="inlineStr">
        <is>
          <t>ANDE</t>
        </is>
      </c>
      <c r="N65" s="6" t="inlineStr">
        <is>
          <t>OFFICIAL_PRIMARY</t>
        </is>
      </c>
      <c r="O65" s="9" t="inlineStr">
        <is>
          <t>OFFICIAL_AGGREGATE</t>
        </is>
      </c>
      <c r="P65" s="8" t="n">
        <v>1</v>
      </c>
      <c r="Q65" s="8" t="n">
        <v>50</v>
      </c>
      <c r="R65" s="7" t="inlineStr">
        <is>
          <t>https://www.ande.gov.py/finanzas/ANDE%20-%20Resumen%20Estad%C3%ADstico%202020%20-%202024.pdf</t>
        </is>
      </c>
      <c r="S65" s="6" t="inlineStr">
        <is>
          <t>ANDE-STAT-2020-2024</t>
        </is>
      </c>
      <c r="T65" s="6" t="inlineStr"/>
      <c r="U65" s="4" t="inlineStr">
        <is>
          <t>2026-09-10 23:00:00</t>
        </is>
      </c>
      <c r="V65" s="4" t="inlineStr">
        <is>
          <t>Sistema/region: Norte.</t>
        </is>
      </c>
    </row>
    <row r="66">
      <c r="A66" s="6" t="inlineStr">
        <is>
          <t>R0000069</t>
        </is>
      </c>
      <c r="B66" s="6" t="inlineStr">
        <is>
          <t>2021-01-01</t>
        </is>
      </c>
      <c r="C66" s="6" t="inlineStr">
        <is>
          <t>2021-12-31</t>
        </is>
      </c>
      <c r="D66" s="6" t="inlineStr">
        <is>
          <t>year</t>
        </is>
      </c>
      <c r="E66" s="6" t="inlineStr">
        <is>
          <t>PY_REGION_ENERGY</t>
        </is>
      </c>
      <c r="F66" s="6" t="inlineStr">
        <is>
          <t>PY_REGION_NORTE</t>
        </is>
      </c>
      <c r="G66" s="6" t="inlineStr">
        <is>
          <t>PY</t>
        </is>
      </c>
      <c r="H66" s="6" t="inlineStr">
        <is>
          <t>PY</t>
        </is>
      </c>
      <c r="I66" s="8" t="n">
        <v>943153</v>
      </c>
      <c r="J66" s="6" t="inlineStr">
        <is>
          <t>MWh</t>
        </is>
      </c>
      <c r="K66" s="8" t="n">
        <v>943153</v>
      </c>
      <c r="L66" s="6" t="inlineStr">
        <is>
          <t>MWh</t>
        </is>
      </c>
      <c r="M66" s="6" t="inlineStr">
        <is>
          <t>ANDE</t>
        </is>
      </c>
      <c r="N66" s="6" t="inlineStr">
        <is>
          <t>OFFICIAL_PRIMARY</t>
        </is>
      </c>
      <c r="O66" s="9" t="inlineStr">
        <is>
          <t>OFFICIAL_AGGREGATE</t>
        </is>
      </c>
      <c r="P66" s="8" t="n">
        <v>1</v>
      </c>
      <c r="Q66" s="8" t="n">
        <v>50</v>
      </c>
      <c r="R66" s="7" t="inlineStr">
        <is>
          <t>https://www.ande.gov.py/finanzas/ANDE%20-%20Resumen%20Estad%C3%ADstico%202020%20-%202024.pdf</t>
        </is>
      </c>
      <c r="S66" s="6" t="inlineStr">
        <is>
          <t>ANDE-STAT-2020-2024</t>
        </is>
      </c>
      <c r="T66" s="6" t="inlineStr"/>
      <c r="U66" s="4" t="inlineStr">
        <is>
          <t>2026-09-10 23:00:00</t>
        </is>
      </c>
      <c r="V66" s="4" t="inlineStr">
        <is>
          <t>Sistema/region: Norte.</t>
        </is>
      </c>
    </row>
    <row r="67">
      <c r="A67" s="6" t="inlineStr">
        <is>
          <t>R0000070</t>
        </is>
      </c>
      <c r="B67" s="6" t="inlineStr">
        <is>
          <t>2022-01-01</t>
        </is>
      </c>
      <c r="C67" s="6" t="inlineStr">
        <is>
          <t>2022-12-31</t>
        </is>
      </c>
      <c r="D67" s="6" t="inlineStr">
        <is>
          <t>year</t>
        </is>
      </c>
      <c r="E67" s="6" t="inlineStr">
        <is>
          <t>PY_REGION_ENERGY</t>
        </is>
      </c>
      <c r="F67" s="6" t="inlineStr">
        <is>
          <t>PY_REGION_NORTE</t>
        </is>
      </c>
      <c r="G67" s="6" t="inlineStr">
        <is>
          <t>PY</t>
        </is>
      </c>
      <c r="H67" s="6" t="inlineStr">
        <is>
          <t>PY</t>
        </is>
      </c>
      <c r="I67" s="8" t="n">
        <v>1005429</v>
      </c>
      <c r="J67" s="6" t="inlineStr">
        <is>
          <t>MWh</t>
        </is>
      </c>
      <c r="K67" s="8" t="n">
        <v>1005429</v>
      </c>
      <c r="L67" s="6" t="inlineStr">
        <is>
          <t>MWh</t>
        </is>
      </c>
      <c r="M67" s="6" t="inlineStr">
        <is>
          <t>ANDE</t>
        </is>
      </c>
      <c r="N67" s="6" t="inlineStr">
        <is>
          <t>OFFICIAL_PRIMARY</t>
        </is>
      </c>
      <c r="O67" s="9" t="inlineStr">
        <is>
          <t>OFFICIAL_AGGREGATE</t>
        </is>
      </c>
      <c r="P67" s="8" t="n">
        <v>1</v>
      </c>
      <c r="Q67" s="8" t="n">
        <v>50</v>
      </c>
      <c r="R67" s="7" t="inlineStr">
        <is>
          <t>https://www.ande.gov.py/finanzas/ANDE%20-%20Resumen%20Estad%C3%ADstico%202020%20-%202024.pdf</t>
        </is>
      </c>
      <c r="S67" s="6" t="inlineStr">
        <is>
          <t>ANDE-STAT-2020-2024</t>
        </is>
      </c>
      <c r="T67" s="6" t="inlineStr"/>
      <c r="U67" s="4" t="inlineStr">
        <is>
          <t>2026-09-10 23:00:00</t>
        </is>
      </c>
      <c r="V67" s="4" t="inlineStr">
        <is>
          <t>Sistema/region: Norte.</t>
        </is>
      </c>
    </row>
    <row r="68">
      <c r="A68" s="6" t="inlineStr">
        <is>
          <t>R0000071</t>
        </is>
      </c>
      <c r="B68" s="6" t="inlineStr">
        <is>
          <t>2023-01-01</t>
        </is>
      </c>
      <c r="C68" s="6" t="inlineStr">
        <is>
          <t>2023-12-31</t>
        </is>
      </c>
      <c r="D68" s="6" t="inlineStr">
        <is>
          <t>year</t>
        </is>
      </c>
      <c r="E68" s="6" t="inlineStr">
        <is>
          <t>PY_REGION_ENERGY</t>
        </is>
      </c>
      <c r="F68" s="6" t="inlineStr">
        <is>
          <t>PY_REGION_NORTE</t>
        </is>
      </c>
      <c r="G68" s="6" t="inlineStr">
        <is>
          <t>PY</t>
        </is>
      </c>
      <c r="H68" s="6" t="inlineStr">
        <is>
          <t>PY</t>
        </is>
      </c>
      <c r="I68" s="8" t="n">
        <v>1140476</v>
      </c>
      <c r="J68" s="6" t="inlineStr">
        <is>
          <t>MWh</t>
        </is>
      </c>
      <c r="K68" s="8" t="n">
        <v>1140476</v>
      </c>
      <c r="L68" s="6" t="inlineStr">
        <is>
          <t>MWh</t>
        </is>
      </c>
      <c r="M68" s="6" t="inlineStr">
        <is>
          <t>ANDE</t>
        </is>
      </c>
      <c r="N68" s="6" t="inlineStr">
        <is>
          <t>OFFICIAL_PRIMARY</t>
        </is>
      </c>
      <c r="O68" s="9" t="inlineStr">
        <is>
          <t>OFFICIAL_AGGREGATE</t>
        </is>
      </c>
      <c r="P68" s="8" t="n">
        <v>1</v>
      </c>
      <c r="Q68" s="8" t="n">
        <v>50</v>
      </c>
      <c r="R68" s="7" t="inlineStr">
        <is>
          <t>https://www.ande.gov.py/finanzas/ANDE%20-%20Resumen%20Estad%C3%ADstico%202020%20-%202024.pdf</t>
        </is>
      </c>
      <c r="S68" s="6" t="inlineStr">
        <is>
          <t>ANDE-STAT-2020-2024</t>
        </is>
      </c>
      <c r="T68" s="6" t="inlineStr"/>
      <c r="U68" s="4" t="inlineStr">
        <is>
          <t>2026-09-10 23:00:00</t>
        </is>
      </c>
      <c r="V68" s="4" t="inlineStr">
        <is>
          <t>Sistema/region: Norte.</t>
        </is>
      </c>
    </row>
    <row r="69">
      <c r="A69" s="6" t="inlineStr">
        <is>
          <t>R0000072</t>
        </is>
      </c>
      <c r="B69" s="6" t="inlineStr">
        <is>
          <t>2024-01-01</t>
        </is>
      </c>
      <c r="C69" s="6" t="inlineStr">
        <is>
          <t>2024-12-31</t>
        </is>
      </c>
      <c r="D69" s="6" t="inlineStr">
        <is>
          <t>year</t>
        </is>
      </c>
      <c r="E69" s="6" t="inlineStr">
        <is>
          <t>PY_REGION_ENERGY</t>
        </is>
      </c>
      <c r="F69" s="6" t="inlineStr">
        <is>
          <t>PY_REGION_NORTE</t>
        </is>
      </c>
      <c r="G69" s="6" t="inlineStr">
        <is>
          <t>PY</t>
        </is>
      </c>
      <c r="H69" s="6" t="inlineStr">
        <is>
          <t>PY</t>
        </is>
      </c>
      <c r="I69" s="8" t="n">
        <v>1288197</v>
      </c>
      <c r="J69" s="6" t="inlineStr">
        <is>
          <t>MWh</t>
        </is>
      </c>
      <c r="K69" s="8" t="n">
        <v>1288197</v>
      </c>
      <c r="L69" s="6" t="inlineStr">
        <is>
          <t>MWh</t>
        </is>
      </c>
      <c r="M69" s="6" t="inlineStr">
        <is>
          <t>ANDE</t>
        </is>
      </c>
      <c r="N69" s="6" t="inlineStr">
        <is>
          <t>OFFICIAL_PRIMARY</t>
        </is>
      </c>
      <c r="O69" s="9" t="inlineStr">
        <is>
          <t>OFFICIAL_AGGREGATE</t>
        </is>
      </c>
      <c r="P69" s="8" t="n">
        <v>1</v>
      </c>
      <c r="Q69" s="8" t="n">
        <v>50</v>
      </c>
      <c r="R69" s="7" t="inlineStr">
        <is>
          <t>https://www.ande.gov.py/finanzas/ANDE%20-%20Resumen%20Estad%C3%ADstico%202020%20-%202024.pdf</t>
        </is>
      </c>
      <c r="S69" s="6" t="inlineStr">
        <is>
          <t>ANDE-STAT-2020-2024</t>
        </is>
      </c>
      <c r="T69" s="6" t="inlineStr"/>
      <c r="U69" s="4" t="inlineStr">
        <is>
          <t>2026-09-10 23:00:00</t>
        </is>
      </c>
      <c r="V69" s="4" t="inlineStr">
        <is>
          <t>Sistema/region: Norte.</t>
        </is>
      </c>
    </row>
    <row r="70">
      <c r="A70" s="6" t="inlineStr">
        <is>
          <t>R0000073</t>
        </is>
      </c>
      <c r="B70" s="6" t="inlineStr">
        <is>
          <t>2020-01-01</t>
        </is>
      </c>
      <c r="C70" s="6" t="inlineStr">
        <is>
          <t>2020-12-31</t>
        </is>
      </c>
      <c r="D70" s="6" t="inlineStr">
        <is>
          <t>year</t>
        </is>
      </c>
      <c r="E70" s="6" t="inlineStr">
        <is>
          <t>PY_REGION_ENERGY</t>
        </is>
      </c>
      <c r="F70" s="6" t="inlineStr">
        <is>
          <t>PY_REGION_ESTE</t>
        </is>
      </c>
      <c r="G70" s="6" t="inlineStr">
        <is>
          <t>PY</t>
        </is>
      </c>
      <c r="H70" s="6" t="inlineStr">
        <is>
          <t>PY</t>
        </is>
      </c>
      <c r="I70" s="8" t="n">
        <v>3297053</v>
      </c>
      <c r="J70" s="6" t="inlineStr">
        <is>
          <t>MWh</t>
        </is>
      </c>
      <c r="K70" s="8" t="n">
        <v>3297053</v>
      </c>
      <c r="L70" s="6" t="inlineStr">
        <is>
          <t>MWh</t>
        </is>
      </c>
      <c r="M70" s="6" t="inlineStr">
        <is>
          <t>ANDE</t>
        </is>
      </c>
      <c r="N70" s="6" t="inlineStr">
        <is>
          <t>OFFICIAL_PRIMARY</t>
        </is>
      </c>
      <c r="O70" s="9" t="inlineStr">
        <is>
          <t>OFFICIAL_AGGREGATE</t>
        </is>
      </c>
      <c r="P70" s="8" t="n">
        <v>1</v>
      </c>
      <c r="Q70" s="8" t="n">
        <v>50</v>
      </c>
      <c r="R70" s="7" t="inlineStr">
        <is>
          <t>https://www.ande.gov.py/finanzas/ANDE%20-%20Resumen%20Estad%C3%ADstico%202020%20-%202024.pdf</t>
        </is>
      </c>
      <c r="S70" s="6" t="inlineStr">
        <is>
          <t>ANDE-STAT-2020-2024</t>
        </is>
      </c>
      <c r="T70" s="6" t="inlineStr"/>
      <c r="U70" s="4" t="inlineStr">
        <is>
          <t>2026-09-10 23:00:00</t>
        </is>
      </c>
      <c r="V70" s="4" t="inlineStr">
        <is>
          <t>Sistema/region: Este.</t>
        </is>
      </c>
    </row>
    <row r="71">
      <c r="A71" s="6" t="inlineStr">
        <is>
          <t>R0000074</t>
        </is>
      </c>
      <c r="B71" s="6" t="inlineStr">
        <is>
          <t>2021-01-01</t>
        </is>
      </c>
      <c r="C71" s="6" t="inlineStr">
        <is>
          <t>2021-12-31</t>
        </is>
      </c>
      <c r="D71" s="6" t="inlineStr">
        <is>
          <t>year</t>
        </is>
      </c>
      <c r="E71" s="6" t="inlineStr">
        <is>
          <t>PY_REGION_ENERGY</t>
        </is>
      </c>
      <c r="F71" s="6" t="inlineStr">
        <is>
          <t>PY_REGION_ESTE</t>
        </is>
      </c>
      <c r="G71" s="6" t="inlineStr">
        <is>
          <t>PY</t>
        </is>
      </c>
      <c r="H71" s="6" t="inlineStr">
        <is>
          <t>PY</t>
        </is>
      </c>
      <c r="I71" s="8" t="n">
        <v>3466103</v>
      </c>
      <c r="J71" s="6" t="inlineStr">
        <is>
          <t>MWh</t>
        </is>
      </c>
      <c r="K71" s="8" t="n">
        <v>3466103</v>
      </c>
      <c r="L71" s="6" t="inlineStr">
        <is>
          <t>MWh</t>
        </is>
      </c>
      <c r="M71" s="6" t="inlineStr">
        <is>
          <t>ANDE</t>
        </is>
      </c>
      <c r="N71" s="6" t="inlineStr">
        <is>
          <t>OFFICIAL_PRIMARY</t>
        </is>
      </c>
      <c r="O71" s="9" t="inlineStr">
        <is>
          <t>OFFICIAL_AGGREGATE</t>
        </is>
      </c>
      <c r="P71" s="8" t="n">
        <v>1</v>
      </c>
      <c r="Q71" s="8" t="n">
        <v>50</v>
      </c>
      <c r="R71" s="7" t="inlineStr">
        <is>
          <t>https://www.ande.gov.py/finanzas/ANDE%20-%20Resumen%20Estad%C3%ADstico%202020%20-%202024.pdf</t>
        </is>
      </c>
      <c r="S71" s="6" t="inlineStr">
        <is>
          <t>ANDE-STAT-2020-2024</t>
        </is>
      </c>
      <c r="T71" s="6" t="inlineStr"/>
      <c r="U71" s="4" t="inlineStr">
        <is>
          <t>2026-09-10 23:00:00</t>
        </is>
      </c>
      <c r="V71" s="4" t="inlineStr">
        <is>
          <t>Sistema/region: Este.</t>
        </is>
      </c>
    </row>
    <row r="72">
      <c r="A72" s="6" t="inlineStr">
        <is>
          <t>R0000075</t>
        </is>
      </c>
      <c r="B72" s="6" t="inlineStr">
        <is>
          <t>2022-01-01</t>
        </is>
      </c>
      <c r="C72" s="6" t="inlineStr">
        <is>
          <t>2022-12-31</t>
        </is>
      </c>
      <c r="D72" s="6" t="inlineStr">
        <is>
          <t>year</t>
        </is>
      </c>
      <c r="E72" s="6" t="inlineStr">
        <is>
          <t>PY_REGION_ENERGY</t>
        </is>
      </c>
      <c r="F72" s="6" t="inlineStr">
        <is>
          <t>PY_REGION_ESTE</t>
        </is>
      </c>
      <c r="G72" s="6" t="inlineStr">
        <is>
          <t>PY</t>
        </is>
      </c>
      <c r="H72" s="6" t="inlineStr">
        <is>
          <t>PY</t>
        </is>
      </c>
      <c r="I72" s="8" t="n">
        <v>3414894</v>
      </c>
      <c r="J72" s="6" t="inlineStr">
        <is>
          <t>MWh</t>
        </is>
      </c>
      <c r="K72" s="8" t="n">
        <v>3414894</v>
      </c>
      <c r="L72" s="6" t="inlineStr">
        <is>
          <t>MWh</t>
        </is>
      </c>
      <c r="M72" s="6" t="inlineStr">
        <is>
          <t>ANDE</t>
        </is>
      </c>
      <c r="N72" s="6" t="inlineStr">
        <is>
          <t>OFFICIAL_PRIMARY</t>
        </is>
      </c>
      <c r="O72" s="9" t="inlineStr">
        <is>
          <t>OFFICIAL_AGGREGATE</t>
        </is>
      </c>
      <c r="P72" s="8" t="n">
        <v>1</v>
      </c>
      <c r="Q72" s="8" t="n">
        <v>50</v>
      </c>
      <c r="R72" s="7" t="inlineStr">
        <is>
          <t>https://www.ande.gov.py/finanzas/ANDE%20-%20Resumen%20Estad%C3%ADstico%202020%20-%202024.pdf</t>
        </is>
      </c>
      <c r="S72" s="6" t="inlineStr">
        <is>
          <t>ANDE-STAT-2020-2024</t>
        </is>
      </c>
      <c r="T72" s="6" t="inlineStr"/>
      <c r="U72" s="4" t="inlineStr">
        <is>
          <t>2026-09-10 23:00:00</t>
        </is>
      </c>
      <c r="V72" s="4" t="inlineStr">
        <is>
          <t>Sistema/region: Este.</t>
        </is>
      </c>
    </row>
    <row r="73">
      <c r="A73" s="6" t="inlineStr">
        <is>
          <t>R0000076</t>
        </is>
      </c>
      <c r="B73" s="6" t="inlineStr">
        <is>
          <t>2023-01-01</t>
        </is>
      </c>
      <c r="C73" s="6" t="inlineStr">
        <is>
          <t>2023-12-31</t>
        </is>
      </c>
      <c r="D73" s="6" t="inlineStr">
        <is>
          <t>year</t>
        </is>
      </c>
      <c r="E73" s="6" t="inlineStr">
        <is>
          <t>PY_REGION_ENERGY</t>
        </is>
      </c>
      <c r="F73" s="6" t="inlineStr">
        <is>
          <t>PY_REGION_ESTE</t>
        </is>
      </c>
      <c r="G73" s="6" t="inlineStr">
        <is>
          <t>PY</t>
        </is>
      </c>
      <c r="H73" s="6" t="inlineStr">
        <is>
          <t>PY</t>
        </is>
      </c>
      <c r="I73" s="8" t="n">
        <v>3827806</v>
      </c>
      <c r="J73" s="6" t="inlineStr">
        <is>
          <t>MWh</t>
        </is>
      </c>
      <c r="K73" s="8" t="n">
        <v>3827806</v>
      </c>
      <c r="L73" s="6" t="inlineStr">
        <is>
          <t>MWh</t>
        </is>
      </c>
      <c r="M73" s="6" t="inlineStr">
        <is>
          <t>ANDE</t>
        </is>
      </c>
      <c r="N73" s="6" t="inlineStr">
        <is>
          <t>OFFICIAL_PRIMARY</t>
        </is>
      </c>
      <c r="O73" s="9" t="inlineStr">
        <is>
          <t>OFFICIAL_AGGREGATE</t>
        </is>
      </c>
      <c r="P73" s="8" t="n">
        <v>1</v>
      </c>
      <c r="Q73" s="8" t="n">
        <v>50</v>
      </c>
      <c r="R73" s="7" t="inlineStr">
        <is>
          <t>https://www.ande.gov.py/finanzas/ANDE%20-%20Resumen%20Estad%C3%ADstico%202020%20-%202024.pdf</t>
        </is>
      </c>
      <c r="S73" s="6" t="inlineStr">
        <is>
          <t>ANDE-STAT-2020-2024</t>
        </is>
      </c>
      <c r="T73" s="6" t="inlineStr"/>
      <c r="U73" s="4" t="inlineStr">
        <is>
          <t>2026-09-10 23:00:00</t>
        </is>
      </c>
      <c r="V73" s="4" t="inlineStr">
        <is>
          <t>Sistema/region: Este.</t>
        </is>
      </c>
    </row>
    <row r="74">
      <c r="A74" s="6" t="inlineStr">
        <is>
          <t>R0000077</t>
        </is>
      </c>
      <c r="B74" s="6" t="inlineStr">
        <is>
          <t>2024-01-01</t>
        </is>
      </c>
      <c r="C74" s="6" t="inlineStr">
        <is>
          <t>2024-12-31</t>
        </is>
      </c>
      <c r="D74" s="6" t="inlineStr">
        <is>
          <t>year</t>
        </is>
      </c>
      <c r="E74" s="6" t="inlineStr">
        <is>
          <t>PY_REGION_ENERGY</t>
        </is>
      </c>
      <c r="F74" s="6" t="inlineStr">
        <is>
          <t>PY_REGION_ESTE</t>
        </is>
      </c>
      <c r="G74" s="6" t="inlineStr">
        <is>
          <t>PY</t>
        </is>
      </c>
      <c r="H74" s="6" t="inlineStr">
        <is>
          <t>PY</t>
        </is>
      </c>
      <c r="I74" s="8" t="n">
        <v>5743596</v>
      </c>
      <c r="J74" s="6" t="inlineStr">
        <is>
          <t>MWh</t>
        </is>
      </c>
      <c r="K74" s="8" t="n">
        <v>5743596</v>
      </c>
      <c r="L74" s="6" t="inlineStr">
        <is>
          <t>MWh</t>
        </is>
      </c>
      <c r="M74" s="6" t="inlineStr">
        <is>
          <t>ANDE</t>
        </is>
      </c>
      <c r="N74" s="6" t="inlineStr">
        <is>
          <t>OFFICIAL_PRIMARY</t>
        </is>
      </c>
      <c r="O74" s="9" t="inlineStr">
        <is>
          <t>OFFICIAL_AGGREGATE</t>
        </is>
      </c>
      <c r="P74" s="8" t="n">
        <v>1</v>
      </c>
      <c r="Q74" s="8" t="n">
        <v>50</v>
      </c>
      <c r="R74" s="7" t="inlineStr">
        <is>
          <t>https://www.ande.gov.py/finanzas/ANDE%20-%20Resumen%20Estad%C3%ADstico%202020%20-%202024.pdf</t>
        </is>
      </c>
      <c r="S74" s="6" t="inlineStr">
        <is>
          <t>ANDE-STAT-2020-2024</t>
        </is>
      </c>
      <c r="T74" s="6" t="inlineStr"/>
      <c r="U74" s="4" t="inlineStr">
        <is>
          <t>2026-09-10 23:00:00</t>
        </is>
      </c>
      <c r="V74" s="4" t="inlineStr">
        <is>
          <t>Sistema/region: Este.</t>
        </is>
      </c>
    </row>
    <row r="75">
      <c r="A75" s="6" t="inlineStr">
        <is>
          <t>R0000078</t>
        </is>
      </c>
      <c r="B75" s="6" t="inlineStr">
        <is>
          <t>2020-01-01</t>
        </is>
      </c>
      <c r="C75" s="6" t="inlineStr">
        <is>
          <t>2020-12-31</t>
        </is>
      </c>
      <c r="D75" s="6" t="inlineStr">
        <is>
          <t>year</t>
        </is>
      </c>
      <c r="E75" s="6" t="inlineStr">
        <is>
          <t>PY_REGION_ENERGY</t>
        </is>
      </c>
      <c r="F75" s="6" t="inlineStr">
        <is>
          <t>PY_REGION_OESTE</t>
        </is>
      </c>
      <c r="G75" s="6" t="inlineStr">
        <is>
          <t>PY</t>
        </is>
      </c>
      <c r="H75" s="6" t="inlineStr">
        <is>
          <t>PY</t>
        </is>
      </c>
      <c r="I75" s="8" t="n">
        <v>284562</v>
      </c>
      <c r="J75" s="6" t="inlineStr">
        <is>
          <t>MWh</t>
        </is>
      </c>
      <c r="K75" s="8" t="n">
        <v>284562</v>
      </c>
      <c r="L75" s="6" t="inlineStr">
        <is>
          <t>MWh</t>
        </is>
      </c>
      <c r="M75" s="6" t="inlineStr">
        <is>
          <t>ANDE</t>
        </is>
      </c>
      <c r="N75" s="6" t="inlineStr">
        <is>
          <t>OFFICIAL_PRIMARY</t>
        </is>
      </c>
      <c r="O75" s="9" t="inlineStr">
        <is>
          <t>OFFICIAL_AGGREGATE</t>
        </is>
      </c>
      <c r="P75" s="8" t="n">
        <v>1</v>
      </c>
      <c r="Q75" s="8" t="n">
        <v>50</v>
      </c>
      <c r="R75" s="7" t="inlineStr">
        <is>
          <t>https://www.ande.gov.py/finanzas/ANDE%20-%20Resumen%20Estad%C3%ADstico%202020%20-%202024.pdf</t>
        </is>
      </c>
      <c r="S75" s="6" t="inlineStr">
        <is>
          <t>ANDE-STAT-2020-2024</t>
        </is>
      </c>
      <c r="T75" s="6" t="inlineStr"/>
      <c r="U75" s="4" t="inlineStr">
        <is>
          <t>2026-09-10 23:00:00</t>
        </is>
      </c>
      <c r="V75" s="4" t="inlineStr">
        <is>
          <t>Sistema/region: Oeste.</t>
        </is>
      </c>
    </row>
    <row r="76">
      <c r="A76" s="6" t="inlineStr">
        <is>
          <t>R0000079</t>
        </is>
      </c>
      <c r="B76" s="6" t="inlineStr">
        <is>
          <t>2021-01-01</t>
        </is>
      </c>
      <c r="C76" s="6" t="inlineStr">
        <is>
          <t>2021-12-31</t>
        </is>
      </c>
      <c r="D76" s="6" t="inlineStr">
        <is>
          <t>year</t>
        </is>
      </c>
      <c r="E76" s="6" t="inlineStr">
        <is>
          <t>PY_REGION_ENERGY</t>
        </is>
      </c>
      <c r="F76" s="6" t="inlineStr">
        <is>
          <t>PY_REGION_OESTE</t>
        </is>
      </c>
      <c r="G76" s="6" t="inlineStr">
        <is>
          <t>PY</t>
        </is>
      </c>
      <c r="H76" s="6" t="inlineStr">
        <is>
          <t>PY</t>
        </is>
      </c>
      <c r="I76" s="8" t="n">
        <v>302320</v>
      </c>
      <c r="J76" s="6" t="inlineStr">
        <is>
          <t>MWh</t>
        </is>
      </c>
      <c r="K76" s="8" t="n">
        <v>302320</v>
      </c>
      <c r="L76" s="6" t="inlineStr">
        <is>
          <t>MWh</t>
        </is>
      </c>
      <c r="M76" s="6" t="inlineStr">
        <is>
          <t>ANDE</t>
        </is>
      </c>
      <c r="N76" s="6" t="inlineStr">
        <is>
          <t>OFFICIAL_PRIMARY</t>
        </is>
      </c>
      <c r="O76" s="9" t="inlineStr">
        <is>
          <t>OFFICIAL_AGGREGATE</t>
        </is>
      </c>
      <c r="P76" s="8" t="n">
        <v>1</v>
      </c>
      <c r="Q76" s="8" t="n">
        <v>50</v>
      </c>
      <c r="R76" s="7" t="inlineStr">
        <is>
          <t>https://www.ande.gov.py/finanzas/ANDE%20-%20Resumen%20Estad%C3%ADstico%202020%20-%202024.pdf</t>
        </is>
      </c>
      <c r="S76" s="6" t="inlineStr">
        <is>
          <t>ANDE-STAT-2020-2024</t>
        </is>
      </c>
      <c r="T76" s="6" t="inlineStr"/>
      <c r="U76" s="4" t="inlineStr">
        <is>
          <t>2026-09-10 23:00:00</t>
        </is>
      </c>
      <c r="V76" s="4" t="inlineStr">
        <is>
          <t>Sistema/region: Oeste.</t>
        </is>
      </c>
    </row>
    <row r="77">
      <c r="A77" s="6" t="inlineStr">
        <is>
          <t>R0000080</t>
        </is>
      </c>
      <c r="B77" s="6" t="inlineStr">
        <is>
          <t>2022-01-01</t>
        </is>
      </c>
      <c r="C77" s="6" t="inlineStr">
        <is>
          <t>2022-12-31</t>
        </is>
      </c>
      <c r="D77" s="6" t="inlineStr">
        <is>
          <t>year</t>
        </is>
      </c>
      <c r="E77" s="6" t="inlineStr">
        <is>
          <t>PY_REGION_ENERGY</t>
        </is>
      </c>
      <c r="F77" s="6" t="inlineStr">
        <is>
          <t>PY_REGION_OESTE</t>
        </is>
      </c>
      <c r="G77" s="6" t="inlineStr">
        <is>
          <t>PY</t>
        </is>
      </c>
      <c r="H77" s="6" t="inlineStr">
        <is>
          <t>PY</t>
        </is>
      </c>
      <c r="I77" s="8" t="n">
        <v>330964</v>
      </c>
      <c r="J77" s="6" t="inlineStr">
        <is>
          <t>MWh</t>
        </is>
      </c>
      <c r="K77" s="8" t="n">
        <v>330964</v>
      </c>
      <c r="L77" s="6" t="inlineStr">
        <is>
          <t>MWh</t>
        </is>
      </c>
      <c r="M77" s="6" t="inlineStr">
        <is>
          <t>ANDE</t>
        </is>
      </c>
      <c r="N77" s="6" t="inlineStr">
        <is>
          <t>OFFICIAL_PRIMARY</t>
        </is>
      </c>
      <c r="O77" s="9" t="inlineStr">
        <is>
          <t>OFFICIAL_AGGREGATE</t>
        </is>
      </c>
      <c r="P77" s="8" t="n">
        <v>1</v>
      </c>
      <c r="Q77" s="8" t="n">
        <v>50</v>
      </c>
      <c r="R77" s="7" t="inlineStr">
        <is>
          <t>https://www.ande.gov.py/finanzas/ANDE%20-%20Resumen%20Estad%C3%ADstico%202020%20-%202024.pdf</t>
        </is>
      </c>
      <c r="S77" s="6" t="inlineStr">
        <is>
          <t>ANDE-STAT-2020-2024</t>
        </is>
      </c>
      <c r="T77" s="6" t="inlineStr"/>
      <c r="U77" s="4" t="inlineStr">
        <is>
          <t>2026-09-10 23:00:00</t>
        </is>
      </c>
      <c r="V77" s="4" t="inlineStr">
        <is>
          <t>Sistema/region: Oeste.</t>
        </is>
      </c>
    </row>
    <row r="78">
      <c r="A78" s="6" t="inlineStr">
        <is>
          <t>R0000081</t>
        </is>
      </c>
      <c r="B78" s="6" t="inlineStr">
        <is>
          <t>2023-01-01</t>
        </is>
      </c>
      <c r="C78" s="6" t="inlineStr">
        <is>
          <t>2023-12-31</t>
        </is>
      </c>
      <c r="D78" s="6" t="inlineStr">
        <is>
          <t>year</t>
        </is>
      </c>
      <c r="E78" s="6" t="inlineStr">
        <is>
          <t>PY_REGION_ENERGY</t>
        </is>
      </c>
      <c r="F78" s="6" t="inlineStr">
        <is>
          <t>PY_REGION_OESTE</t>
        </is>
      </c>
      <c r="G78" s="6" t="inlineStr">
        <is>
          <t>PY</t>
        </is>
      </c>
      <c r="H78" s="6" t="inlineStr">
        <is>
          <t>PY</t>
        </is>
      </c>
      <c r="I78" s="8" t="n">
        <v>400481</v>
      </c>
      <c r="J78" s="6" t="inlineStr">
        <is>
          <t>MWh</t>
        </is>
      </c>
      <c r="K78" s="8" t="n">
        <v>400481</v>
      </c>
      <c r="L78" s="6" t="inlineStr">
        <is>
          <t>MWh</t>
        </is>
      </c>
      <c r="M78" s="6" t="inlineStr">
        <is>
          <t>ANDE</t>
        </is>
      </c>
      <c r="N78" s="6" t="inlineStr">
        <is>
          <t>OFFICIAL_PRIMARY</t>
        </is>
      </c>
      <c r="O78" s="9" t="inlineStr">
        <is>
          <t>OFFICIAL_AGGREGATE</t>
        </is>
      </c>
      <c r="P78" s="8" t="n">
        <v>1</v>
      </c>
      <c r="Q78" s="8" t="n">
        <v>50</v>
      </c>
      <c r="R78" s="7" t="inlineStr">
        <is>
          <t>https://www.ande.gov.py/finanzas/ANDE%20-%20Resumen%20Estad%C3%ADstico%202020%20-%202024.pdf</t>
        </is>
      </c>
      <c r="S78" s="6" t="inlineStr">
        <is>
          <t>ANDE-STAT-2020-2024</t>
        </is>
      </c>
      <c r="T78" s="6" t="inlineStr"/>
      <c r="U78" s="4" t="inlineStr">
        <is>
          <t>2026-09-10 23:00:00</t>
        </is>
      </c>
      <c r="V78" s="4" t="inlineStr">
        <is>
          <t>Sistema/region: Oeste.</t>
        </is>
      </c>
    </row>
    <row r="79">
      <c r="A79" s="6" t="inlineStr">
        <is>
          <t>R0000082</t>
        </is>
      </c>
      <c r="B79" s="6" t="inlineStr">
        <is>
          <t>2024-01-01</t>
        </is>
      </c>
      <c r="C79" s="6" t="inlineStr">
        <is>
          <t>2024-12-31</t>
        </is>
      </c>
      <c r="D79" s="6" t="inlineStr">
        <is>
          <t>year</t>
        </is>
      </c>
      <c r="E79" s="6" t="inlineStr">
        <is>
          <t>PY_REGION_ENERGY</t>
        </is>
      </c>
      <c r="F79" s="6" t="inlineStr">
        <is>
          <t>PY_REGION_OESTE</t>
        </is>
      </c>
      <c r="G79" s="6" t="inlineStr">
        <is>
          <t>PY</t>
        </is>
      </c>
      <c r="H79" s="6" t="inlineStr">
        <is>
          <t>PY</t>
        </is>
      </c>
      <c r="I79" s="8" t="n">
        <v>419890</v>
      </c>
      <c r="J79" s="6" t="inlineStr">
        <is>
          <t>MWh</t>
        </is>
      </c>
      <c r="K79" s="8" t="n">
        <v>419890</v>
      </c>
      <c r="L79" s="6" t="inlineStr">
        <is>
          <t>MWh</t>
        </is>
      </c>
      <c r="M79" s="6" t="inlineStr">
        <is>
          <t>ANDE</t>
        </is>
      </c>
      <c r="N79" s="6" t="inlineStr">
        <is>
          <t>OFFICIAL_PRIMARY</t>
        </is>
      </c>
      <c r="O79" s="9" t="inlineStr">
        <is>
          <t>OFFICIAL_AGGREGATE</t>
        </is>
      </c>
      <c r="P79" s="8" t="n">
        <v>1</v>
      </c>
      <c r="Q79" s="8" t="n">
        <v>50</v>
      </c>
      <c r="R79" s="7" t="inlineStr">
        <is>
          <t>https://www.ande.gov.py/finanzas/ANDE%20-%20Resumen%20Estad%C3%ADstico%202020%20-%202024.pdf</t>
        </is>
      </c>
      <c r="S79" s="6" t="inlineStr">
        <is>
          <t>ANDE-STAT-2020-2024</t>
        </is>
      </c>
      <c r="T79" s="6" t="inlineStr"/>
      <c r="U79" s="4" t="inlineStr">
        <is>
          <t>2026-09-10 23:00:00</t>
        </is>
      </c>
      <c r="V79" s="4" t="inlineStr">
        <is>
          <t>Sistema/region: Oeste.</t>
        </is>
      </c>
    </row>
    <row r="80">
      <c r="A80" s="6" t="inlineStr">
        <is>
          <t>R0000083</t>
        </is>
      </c>
      <c r="B80" s="6" t="inlineStr">
        <is>
          <t>2020-01-01</t>
        </is>
      </c>
      <c r="C80" s="6" t="inlineStr">
        <is>
          <t>2020-12-31</t>
        </is>
      </c>
      <c r="D80" s="6" t="inlineStr">
        <is>
          <t>year</t>
        </is>
      </c>
      <c r="E80" s="6" t="inlineStr">
        <is>
          <t>PY_SYSTEMS_ENERGY</t>
        </is>
      </c>
      <c r="F80" s="6" t="inlineStr">
        <is>
          <t>PY_SIN</t>
        </is>
      </c>
      <c r="G80" s="6" t="inlineStr">
        <is>
          <t>PY</t>
        </is>
      </c>
      <c r="H80" s="6" t="inlineStr">
        <is>
          <t>PY</t>
        </is>
      </c>
      <c r="I80" s="8" t="n">
        <v>17044023</v>
      </c>
      <c r="J80" s="6" t="inlineStr">
        <is>
          <t>MWh</t>
        </is>
      </c>
      <c r="K80" s="8" t="n">
        <v>17044023</v>
      </c>
      <c r="L80" s="6" t="inlineStr">
        <is>
          <t>MWh</t>
        </is>
      </c>
      <c r="M80" s="6" t="inlineStr">
        <is>
          <t>ANDE</t>
        </is>
      </c>
      <c r="N80" s="6" t="inlineStr">
        <is>
          <t>OFFICIAL_PRIMARY</t>
        </is>
      </c>
      <c r="O80" s="9" t="inlineStr">
        <is>
          <t>OFFICIAL_AGGREGATE</t>
        </is>
      </c>
      <c r="P80" s="8" t="n">
        <v>1</v>
      </c>
      <c r="Q80" s="8" t="n">
        <v>50</v>
      </c>
      <c r="R80" s="7" t="inlineStr">
        <is>
          <t>https://www.ande.gov.py/finanzas/ANDE%20-%20Resumen%20Estad%C3%ADstico%202020%20-%202024.pdf</t>
        </is>
      </c>
      <c r="S80" s="6" t="inlineStr">
        <is>
          <t>ANDE-STAT-2020-2024</t>
        </is>
      </c>
      <c r="T80" s="6" t="inlineStr"/>
      <c r="U80" s="4" t="inlineStr">
        <is>
          <t>2026-09-10 23:00:00</t>
        </is>
      </c>
      <c r="V80" s="4" t="inlineStr">
        <is>
          <t>Sistema/region: Total Sistemas.</t>
        </is>
      </c>
    </row>
    <row r="81">
      <c r="A81" s="6" t="inlineStr">
        <is>
          <t>R0000084</t>
        </is>
      </c>
      <c r="B81" s="6" t="inlineStr">
        <is>
          <t>2021-01-01</t>
        </is>
      </c>
      <c r="C81" s="6" t="inlineStr">
        <is>
          <t>2021-12-31</t>
        </is>
      </c>
      <c r="D81" s="6" t="inlineStr">
        <is>
          <t>year</t>
        </is>
      </c>
      <c r="E81" s="6" t="inlineStr">
        <is>
          <t>PY_SYSTEMS_ENERGY</t>
        </is>
      </c>
      <c r="F81" s="6" t="inlineStr">
        <is>
          <t>PY_SIN</t>
        </is>
      </c>
      <c r="G81" s="6" t="inlineStr">
        <is>
          <t>PY</t>
        </is>
      </c>
      <c r="H81" s="6" t="inlineStr">
        <is>
          <t>PY</t>
        </is>
      </c>
      <c r="I81" s="8" t="n">
        <v>17695402</v>
      </c>
      <c r="J81" s="6" t="inlineStr">
        <is>
          <t>MWh</t>
        </is>
      </c>
      <c r="K81" s="8" t="n">
        <v>17695402</v>
      </c>
      <c r="L81" s="6" t="inlineStr">
        <is>
          <t>MWh</t>
        </is>
      </c>
      <c r="M81" s="6" t="inlineStr">
        <is>
          <t>ANDE</t>
        </is>
      </c>
      <c r="N81" s="6" t="inlineStr">
        <is>
          <t>OFFICIAL_PRIMARY</t>
        </is>
      </c>
      <c r="O81" s="9" t="inlineStr">
        <is>
          <t>OFFICIAL_AGGREGATE</t>
        </is>
      </c>
      <c r="P81" s="8" t="n">
        <v>1</v>
      </c>
      <c r="Q81" s="8" t="n">
        <v>50</v>
      </c>
      <c r="R81" s="7" t="inlineStr">
        <is>
          <t>https://www.ande.gov.py/finanzas/ANDE%20-%20Resumen%20Estad%C3%ADstico%202020%20-%202024.pdf</t>
        </is>
      </c>
      <c r="S81" s="6" t="inlineStr">
        <is>
          <t>ANDE-STAT-2020-2024</t>
        </is>
      </c>
      <c r="T81" s="6" t="inlineStr"/>
      <c r="U81" s="4" t="inlineStr">
        <is>
          <t>2026-09-10 23:00:00</t>
        </is>
      </c>
      <c r="V81" s="4" t="inlineStr">
        <is>
          <t>Sistema/region: Total Sistemas.</t>
        </is>
      </c>
    </row>
    <row r="82">
      <c r="A82" s="6" t="inlineStr">
        <is>
          <t>R0000085</t>
        </is>
      </c>
      <c r="B82" s="6" t="inlineStr">
        <is>
          <t>2022-01-01</t>
        </is>
      </c>
      <c r="C82" s="6" t="inlineStr">
        <is>
          <t>2022-12-31</t>
        </is>
      </c>
      <c r="D82" s="6" t="inlineStr">
        <is>
          <t>year</t>
        </is>
      </c>
      <c r="E82" s="6" t="inlineStr">
        <is>
          <t>PY_SYSTEMS_ENERGY</t>
        </is>
      </c>
      <c r="F82" s="6" t="inlineStr">
        <is>
          <t>PY_SIN</t>
        </is>
      </c>
      <c r="G82" s="6" t="inlineStr">
        <is>
          <t>PY</t>
        </is>
      </c>
      <c r="H82" s="6" t="inlineStr">
        <is>
          <t>PY</t>
        </is>
      </c>
      <c r="I82" s="8" t="n">
        <v>18611884</v>
      </c>
      <c r="J82" s="6" t="inlineStr">
        <is>
          <t>MWh</t>
        </is>
      </c>
      <c r="K82" s="8" t="n">
        <v>18611884</v>
      </c>
      <c r="L82" s="6" t="inlineStr">
        <is>
          <t>MWh</t>
        </is>
      </c>
      <c r="M82" s="6" t="inlineStr">
        <is>
          <t>ANDE</t>
        </is>
      </c>
      <c r="N82" s="6" t="inlineStr">
        <is>
          <t>OFFICIAL_PRIMARY</t>
        </is>
      </c>
      <c r="O82" s="9" t="inlineStr">
        <is>
          <t>OFFICIAL_AGGREGATE</t>
        </is>
      </c>
      <c r="P82" s="8" t="n">
        <v>1</v>
      </c>
      <c r="Q82" s="8" t="n">
        <v>50</v>
      </c>
      <c r="R82" s="7" t="inlineStr">
        <is>
          <t>https://www.ande.gov.py/finanzas/ANDE%20-%20Resumen%20Estad%C3%ADstico%202020%20-%202024.pdf</t>
        </is>
      </c>
      <c r="S82" s="6" t="inlineStr">
        <is>
          <t>ANDE-STAT-2020-2024</t>
        </is>
      </c>
      <c r="T82" s="6" t="inlineStr"/>
      <c r="U82" s="4" t="inlineStr">
        <is>
          <t>2026-09-10 23:00:00</t>
        </is>
      </c>
      <c r="V82" s="4" t="inlineStr">
        <is>
          <t>Sistema/region: Total Sistemas.</t>
        </is>
      </c>
    </row>
    <row r="83">
      <c r="A83" s="6" t="inlineStr">
        <is>
          <t>R0000086</t>
        </is>
      </c>
      <c r="B83" s="6" t="inlineStr">
        <is>
          <t>2023-01-01</t>
        </is>
      </c>
      <c r="C83" s="6" t="inlineStr">
        <is>
          <t>2023-12-31</t>
        </is>
      </c>
      <c r="D83" s="6" t="inlineStr">
        <is>
          <t>year</t>
        </is>
      </c>
      <c r="E83" s="6" t="inlineStr">
        <is>
          <t>PY_SYSTEMS_ENERGY</t>
        </is>
      </c>
      <c r="F83" s="6" t="inlineStr">
        <is>
          <t>PY_SIN</t>
        </is>
      </c>
      <c r="G83" s="6" t="inlineStr">
        <is>
          <t>PY</t>
        </is>
      </c>
      <c r="H83" s="6" t="inlineStr">
        <is>
          <t>PY</t>
        </is>
      </c>
      <c r="I83" s="8" t="n">
        <v>20934552</v>
      </c>
      <c r="J83" s="6" t="inlineStr">
        <is>
          <t>MWh</t>
        </is>
      </c>
      <c r="K83" s="8" t="n">
        <v>20934552</v>
      </c>
      <c r="L83" s="6" t="inlineStr">
        <is>
          <t>MWh</t>
        </is>
      </c>
      <c r="M83" s="6" t="inlineStr">
        <is>
          <t>ANDE</t>
        </is>
      </c>
      <c r="N83" s="6" t="inlineStr">
        <is>
          <t>OFFICIAL_PRIMARY</t>
        </is>
      </c>
      <c r="O83" s="9" t="inlineStr">
        <is>
          <t>OFFICIAL_AGGREGATE</t>
        </is>
      </c>
      <c r="P83" s="8" t="n">
        <v>1</v>
      </c>
      <c r="Q83" s="8" t="n">
        <v>50</v>
      </c>
      <c r="R83" s="7" t="inlineStr">
        <is>
          <t>https://www.ande.gov.py/finanzas/ANDE%20-%20Resumen%20Estad%C3%ADstico%202020%20-%202024.pdf</t>
        </is>
      </c>
      <c r="S83" s="6" t="inlineStr">
        <is>
          <t>ANDE-STAT-2020-2024</t>
        </is>
      </c>
      <c r="T83" s="6" t="inlineStr"/>
      <c r="U83" s="4" t="inlineStr">
        <is>
          <t>2026-09-10 23:00:00</t>
        </is>
      </c>
      <c r="V83" s="4" t="inlineStr">
        <is>
          <t>Sistema/region: Total Sistemas.</t>
        </is>
      </c>
    </row>
    <row r="84">
      <c r="A84" s="6" t="inlineStr">
        <is>
          <t>R0000087</t>
        </is>
      </c>
      <c r="B84" s="6" t="inlineStr">
        <is>
          <t>2024-01-01</t>
        </is>
      </c>
      <c r="C84" s="6" t="inlineStr">
        <is>
          <t>2024-12-31</t>
        </is>
      </c>
      <c r="D84" s="6" t="inlineStr">
        <is>
          <t>year</t>
        </is>
      </c>
      <c r="E84" s="6" t="inlineStr">
        <is>
          <t>PY_SYSTEMS_ENERGY</t>
        </is>
      </c>
      <c r="F84" s="6" t="inlineStr">
        <is>
          <t>PY_SIN</t>
        </is>
      </c>
      <c r="G84" s="6" t="inlineStr">
        <is>
          <t>PY</t>
        </is>
      </c>
      <c r="H84" s="6" t="inlineStr">
        <is>
          <t>PY</t>
        </is>
      </c>
      <c r="I84" s="8" t="n">
        <v>24930784</v>
      </c>
      <c r="J84" s="6" t="inlineStr">
        <is>
          <t>MWh</t>
        </is>
      </c>
      <c r="K84" s="8" t="n">
        <v>24930784</v>
      </c>
      <c r="L84" s="6" t="inlineStr">
        <is>
          <t>MWh</t>
        </is>
      </c>
      <c r="M84" s="6" t="inlineStr">
        <is>
          <t>ANDE</t>
        </is>
      </c>
      <c r="N84" s="6" t="inlineStr">
        <is>
          <t>OFFICIAL_PRIMARY</t>
        </is>
      </c>
      <c r="O84" s="9" t="inlineStr">
        <is>
          <t>OFFICIAL_AGGREGATE</t>
        </is>
      </c>
      <c r="P84" s="8" t="n">
        <v>1</v>
      </c>
      <c r="Q84" s="8" t="n">
        <v>50</v>
      </c>
      <c r="R84" s="7" t="inlineStr">
        <is>
          <t>https://www.ande.gov.py/finanzas/ANDE%20-%20Resumen%20Estad%C3%ADstico%202020%20-%202024.pdf</t>
        </is>
      </c>
      <c r="S84" s="6" t="inlineStr">
        <is>
          <t>ANDE-STAT-2020-2024</t>
        </is>
      </c>
      <c r="T84" s="6" t="inlineStr"/>
      <c r="U84" s="4" t="inlineStr">
        <is>
          <t>2026-09-10 23:00:00</t>
        </is>
      </c>
      <c r="V84" s="4" t="inlineStr">
        <is>
          <t>Sistema/region: Total Sistemas.</t>
        </is>
      </c>
    </row>
    <row r="85">
      <c r="A85" s="6" t="inlineStr">
        <is>
          <t>R0000088</t>
        </is>
      </c>
      <c r="B85" s="6" t="inlineStr">
        <is>
          <t>2020-01-01</t>
        </is>
      </c>
      <c r="C85" s="6" t="inlineStr">
        <is>
          <t>2020-12-31</t>
        </is>
      </c>
      <c r="D85" s="6" t="inlineStr">
        <is>
          <t>year</t>
        </is>
      </c>
      <c r="E85" s="6" t="inlineStr">
        <is>
          <t>PY_OWN_USE_GEN_TRANS</t>
        </is>
      </c>
      <c r="F85" s="6" t="inlineStr">
        <is>
          <t>PY_SIN</t>
        </is>
      </c>
      <c r="G85" s="6" t="inlineStr">
        <is>
          <t>PY</t>
        </is>
      </c>
      <c r="H85" s="6" t="inlineStr">
        <is>
          <t>PY</t>
        </is>
      </c>
      <c r="I85" s="8" t="n">
        <v>10977</v>
      </c>
      <c r="J85" s="6" t="inlineStr">
        <is>
          <t>MWh</t>
        </is>
      </c>
      <c r="K85" s="8" t="n">
        <v>10977</v>
      </c>
      <c r="L85" s="6" t="inlineStr">
        <is>
          <t>MWh</t>
        </is>
      </c>
      <c r="M85" s="6" t="inlineStr">
        <is>
          <t>ANDE</t>
        </is>
      </c>
      <c r="N85" s="6" t="inlineStr">
        <is>
          <t>OFFICIAL_PRIMARY</t>
        </is>
      </c>
      <c r="O85" s="9" t="inlineStr">
        <is>
          <t>OFFICIAL_AGGREGATE</t>
        </is>
      </c>
      <c r="P85" s="8" t="n">
        <v>1</v>
      </c>
      <c r="Q85" s="8" t="n">
        <v>50</v>
      </c>
      <c r="R85" s="7" t="inlineStr">
        <is>
          <t>https://www.ande.gov.py/finanzas/ANDE%20-%20Resumen%20Estad%C3%ADstico%202020%20-%202024.pdf</t>
        </is>
      </c>
      <c r="S85" s="6" t="inlineStr">
        <is>
          <t>ANDE-STAT-2020-2024</t>
        </is>
      </c>
      <c r="T85" s="6" t="inlineStr"/>
      <c r="U85" s="4" t="inlineStr">
        <is>
          <t>2026-09-10 23:00:00</t>
        </is>
      </c>
      <c r="V85" s="4" t="inlineStr">
        <is>
          <t>Sistema/region: Consumo propio Gen./Trans..</t>
        </is>
      </c>
    </row>
    <row r="86">
      <c r="A86" s="6" t="inlineStr">
        <is>
          <t>R0000089</t>
        </is>
      </c>
      <c r="B86" s="6" t="inlineStr">
        <is>
          <t>2021-01-01</t>
        </is>
      </c>
      <c r="C86" s="6" t="inlineStr">
        <is>
          <t>2021-12-31</t>
        </is>
      </c>
      <c r="D86" s="6" t="inlineStr">
        <is>
          <t>year</t>
        </is>
      </c>
      <c r="E86" s="6" t="inlineStr">
        <is>
          <t>PY_OWN_USE_GEN_TRANS</t>
        </is>
      </c>
      <c r="F86" s="6" t="inlineStr">
        <is>
          <t>PY_SIN</t>
        </is>
      </c>
      <c r="G86" s="6" t="inlineStr">
        <is>
          <t>PY</t>
        </is>
      </c>
      <c r="H86" s="6" t="inlineStr">
        <is>
          <t>PY</t>
        </is>
      </c>
      <c r="I86" s="8" t="n">
        <v>11364</v>
      </c>
      <c r="J86" s="6" t="inlineStr">
        <is>
          <t>MWh</t>
        </is>
      </c>
      <c r="K86" s="8" t="n">
        <v>11364</v>
      </c>
      <c r="L86" s="6" t="inlineStr">
        <is>
          <t>MWh</t>
        </is>
      </c>
      <c r="M86" s="6" t="inlineStr">
        <is>
          <t>ANDE</t>
        </is>
      </c>
      <c r="N86" s="6" t="inlineStr">
        <is>
          <t>OFFICIAL_PRIMARY</t>
        </is>
      </c>
      <c r="O86" s="9" t="inlineStr">
        <is>
          <t>OFFICIAL_AGGREGATE</t>
        </is>
      </c>
      <c r="P86" s="8" t="n">
        <v>1</v>
      </c>
      <c r="Q86" s="8" t="n">
        <v>50</v>
      </c>
      <c r="R86" s="7" t="inlineStr">
        <is>
          <t>https://www.ande.gov.py/finanzas/ANDE%20-%20Resumen%20Estad%C3%ADstico%202020%20-%202024.pdf</t>
        </is>
      </c>
      <c r="S86" s="6" t="inlineStr">
        <is>
          <t>ANDE-STAT-2020-2024</t>
        </is>
      </c>
      <c r="T86" s="6" t="inlineStr"/>
      <c r="U86" s="4" t="inlineStr">
        <is>
          <t>2026-09-10 23:00:00</t>
        </is>
      </c>
      <c r="V86" s="4" t="inlineStr">
        <is>
          <t>Sistema/region: Consumo propio Gen./Trans..</t>
        </is>
      </c>
    </row>
    <row r="87">
      <c r="A87" s="6" t="inlineStr">
        <is>
          <t>R0000090</t>
        </is>
      </c>
      <c r="B87" s="6" t="inlineStr">
        <is>
          <t>2022-01-01</t>
        </is>
      </c>
      <c r="C87" s="6" t="inlineStr">
        <is>
          <t>2022-12-31</t>
        </is>
      </c>
      <c r="D87" s="6" t="inlineStr">
        <is>
          <t>year</t>
        </is>
      </c>
      <c r="E87" s="6" t="inlineStr">
        <is>
          <t>PY_OWN_USE_GEN_TRANS</t>
        </is>
      </c>
      <c r="F87" s="6" t="inlineStr">
        <is>
          <t>PY_SIN</t>
        </is>
      </c>
      <c r="G87" s="6" t="inlineStr">
        <is>
          <t>PY</t>
        </is>
      </c>
      <c r="H87" s="6" t="inlineStr">
        <is>
          <t>PY</t>
        </is>
      </c>
      <c r="I87" s="8" t="n">
        <v>12696</v>
      </c>
      <c r="J87" s="6" t="inlineStr">
        <is>
          <t>MWh</t>
        </is>
      </c>
      <c r="K87" s="8" t="n">
        <v>12696</v>
      </c>
      <c r="L87" s="6" t="inlineStr">
        <is>
          <t>MWh</t>
        </is>
      </c>
      <c r="M87" s="6" t="inlineStr">
        <is>
          <t>ANDE</t>
        </is>
      </c>
      <c r="N87" s="6" t="inlineStr">
        <is>
          <t>OFFICIAL_PRIMARY</t>
        </is>
      </c>
      <c r="O87" s="9" t="inlineStr">
        <is>
          <t>OFFICIAL_AGGREGATE</t>
        </is>
      </c>
      <c r="P87" s="8" t="n">
        <v>1</v>
      </c>
      <c r="Q87" s="8" t="n">
        <v>50</v>
      </c>
      <c r="R87" s="7" t="inlineStr">
        <is>
          <t>https://www.ande.gov.py/finanzas/ANDE%20-%20Resumen%20Estad%C3%ADstico%202020%20-%202024.pdf</t>
        </is>
      </c>
      <c r="S87" s="6" t="inlineStr">
        <is>
          <t>ANDE-STAT-2020-2024</t>
        </is>
      </c>
      <c r="T87" s="6" t="inlineStr"/>
      <c r="U87" s="4" t="inlineStr">
        <is>
          <t>2026-09-10 23:00:00</t>
        </is>
      </c>
      <c r="V87" s="4" t="inlineStr">
        <is>
          <t>Sistema/region: Consumo propio Gen./Trans..</t>
        </is>
      </c>
    </row>
    <row r="88">
      <c r="A88" s="6" t="inlineStr">
        <is>
          <t>R0000091</t>
        </is>
      </c>
      <c r="B88" s="6" t="inlineStr">
        <is>
          <t>2023-01-01</t>
        </is>
      </c>
      <c r="C88" s="6" t="inlineStr">
        <is>
          <t>2023-12-31</t>
        </is>
      </c>
      <c r="D88" s="6" t="inlineStr">
        <is>
          <t>year</t>
        </is>
      </c>
      <c r="E88" s="6" t="inlineStr">
        <is>
          <t>PY_OWN_USE_GEN_TRANS</t>
        </is>
      </c>
      <c r="F88" s="6" t="inlineStr">
        <is>
          <t>PY_SIN</t>
        </is>
      </c>
      <c r="G88" s="6" t="inlineStr">
        <is>
          <t>PY</t>
        </is>
      </c>
      <c r="H88" s="6" t="inlineStr">
        <is>
          <t>PY</t>
        </is>
      </c>
      <c r="I88" s="8" t="n">
        <v>14978</v>
      </c>
      <c r="J88" s="6" t="inlineStr">
        <is>
          <t>MWh</t>
        </is>
      </c>
      <c r="K88" s="8" t="n">
        <v>14978</v>
      </c>
      <c r="L88" s="6" t="inlineStr">
        <is>
          <t>MWh</t>
        </is>
      </c>
      <c r="M88" s="6" t="inlineStr">
        <is>
          <t>ANDE</t>
        </is>
      </c>
      <c r="N88" s="6" t="inlineStr">
        <is>
          <t>OFFICIAL_PRIMARY</t>
        </is>
      </c>
      <c r="O88" s="9" t="inlineStr">
        <is>
          <t>OFFICIAL_AGGREGATE</t>
        </is>
      </c>
      <c r="P88" s="8" t="n">
        <v>1</v>
      </c>
      <c r="Q88" s="8" t="n">
        <v>50</v>
      </c>
      <c r="R88" s="7" t="inlineStr">
        <is>
          <t>https://www.ande.gov.py/finanzas/ANDE%20-%20Resumen%20Estad%C3%ADstico%202020%20-%202024.pdf</t>
        </is>
      </c>
      <c r="S88" s="6" t="inlineStr">
        <is>
          <t>ANDE-STAT-2020-2024</t>
        </is>
      </c>
      <c r="T88" s="6" t="inlineStr"/>
      <c r="U88" s="4" t="inlineStr">
        <is>
          <t>2026-09-10 23:00:00</t>
        </is>
      </c>
      <c r="V88" s="4" t="inlineStr">
        <is>
          <t>Sistema/region: Consumo propio Gen./Trans..</t>
        </is>
      </c>
    </row>
    <row r="89">
      <c r="A89" s="6" t="inlineStr">
        <is>
          <t>R0000092</t>
        </is>
      </c>
      <c r="B89" s="6" t="inlineStr">
        <is>
          <t>2024-01-01</t>
        </is>
      </c>
      <c r="C89" s="6" t="inlineStr">
        <is>
          <t>2024-12-31</t>
        </is>
      </c>
      <c r="D89" s="6" t="inlineStr">
        <is>
          <t>year</t>
        </is>
      </c>
      <c r="E89" s="6" t="inlineStr">
        <is>
          <t>PY_OWN_USE_GEN_TRANS</t>
        </is>
      </c>
      <c r="F89" s="6" t="inlineStr">
        <is>
          <t>PY_SIN</t>
        </is>
      </c>
      <c r="G89" s="6" t="inlineStr">
        <is>
          <t>PY</t>
        </is>
      </c>
      <c r="H89" s="6" t="inlineStr">
        <is>
          <t>PY</t>
        </is>
      </c>
      <c r="I89" s="8" t="n">
        <v>16005</v>
      </c>
      <c r="J89" s="6" t="inlineStr">
        <is>
          <t>MWh</t>
        </is>
      </c>
      <c r="K89" s="8" t="n">
        <v>16005</v>
      </c>
      <c r="L89" s="6" t="inlineStr">
        <is>
          <t>MWh</t>
        </is>
      </c>
      <c r="M89" s="6" t="inlineStr">
        <is>
          <t>ANDE</t>
        </is>
      </c>
      <c r="N89" s="6" t="inlineStr">
        <is>
          <t>OFFICIAL_PRIMARY</t>
        </is>
      </c>
      <c r="O89" s="9" t="inlineStr">
        <is>
          <t>OFFICIAL_AGGREGATE</t>
        </is>
      </c>
      <c r="P89" s="8" t="n">
        <v>1</v>
      </c>
      <c r="Q89" s="8" t="n">
        <v>50</v>
      </c>
      <c r="R89" s="7" t="inlineStr">
        <is>
          <t>https://www.ande.gov.py/finanzas/ANDE%20-%20Resumen%20Estad%C3%ADstico%202020%20-%202024.pdf</t>
        </is>
      </c>
      <c r="S89" s="6" t="inlineStr">
        <is>
          <t>ANDE-STAT-2020-2024</t>
        </is>
      </c>
      <c r="T89" s="6" t="inlineStr"/>
      <c r="U89" s="4" t="inlineStr">
        <is>
          <t>2026-09-10 23:00:00</t>
        </is>
      </c>
      <c r="V89" s="4" t="inlineStr">
        <is>
          <t>Sistema/region: Consumo propio Gen./Trans..</t>
        </is>
      </c>
    </row>
    <row r="90">
      <c r="A90" s="6" t="inlineStr">
        <is>
          <t>R0000093</t>
        </is>
      </c>
      <c r="B90" s="6" t="inlineStr">
        <is>
          <t>2020-01-01</t>
        </is>
      </c>
      <c r="C90" s="6" t="inlineStr">
        <is>
          <t>2020-12-31</t>
        </is>
      </c>
      <c r="D90" s="6" t="inlineStr">
        <is>
          <t>year</t>
        </is>
      </c>
      <c r="E90" s="6" t="inlineStr">
        <is>
          <t>PY_TRANSMISSION_LOSSES</t>
        </is>
      </c>
      <c r="F90" s="6" t="inlineStr">
        <is>
          <t>PY_SIN</t>
        </is>
      </c>
      <c r="G90" s="6" t="inlineStr">
        <is>
          <t>PY</t>
        </is>
      </c>
      <c r="H90" s="6" t="inlineStr">
        <is>
          <t>PY</t>
        </is>
      </c>
      <c r="I90" s="8" t="n">
        <v>900575</v>
      </c>
      <c r="J90" s="6" t="inlineStr">
        <is>
          <t>MWh</t>
        </is>
      </c>
      <c r="K90" s="8" t="n">
        <v>900575</v>
      </c>
      <c r="L90" s="6" t="inlineStr">
        <is>
          <t>MWh</t>
        </is>
      </c>
      <c r="M90" s="6" t="inlineStr">
        <is>
          <t>ANDE</t>
        </is>
      </c>
      <c r="N90" s="6" t="inlineStr">
        <is>
          <t>OFFICIAL_PRIMARY</t>
        </is>
      </c>
      <c r="O90" s="9" t="inlineStr">
        <is>
          <t>OFFICIAL_AGGREGATE</t>
        </is>
      </c>
      <c r="P90" s="8" t="n">
        <v>1</v>
      </c>
      <c r="Q90" s="8" t="n">
        <v>50</v>
      </c>
      <c r="R90" s="7" t="inlineStr">
        <is>
          <t>https://www.ande.gov.py/finanzas/ANDE%20-%20Resumen%20Estad%C3%ADstico%202020%20-%202024.pdf</t>
        </is>
      </c>
      <c r="S90" s="6" t="inlineStr">
        <is>
          <t>ANDE-STAT-2020-2024</t>
        </is>
      </c>
      <c r="T90" s="6" t="inlineStr"/>
      <c r="U90" s="4" t="inlineStr">
        <is>
          <t>2026-09-10 23:00:00</t>
        </is>
      </c>
      <c r="V90" s="4" t="inlineStr">
        <is>
          <t>Sistema/region: Pérdidas Transmisión.</t>
        </is>
      </c>
    </row>
    <row r="91">
      <c r="A91" s="6" t="inlineStr">
        <is>
          <t>R0000094</t>
        </is>
      </c>
      <c r="B91" s="6" t="inlineStr">
        <is>
          <t>2021-01-01</t>
        </is>
      </c>
      <c r="C91" s="6" t="inlineStr">
        <is>
          <t>2021-12-31</t>
        </is>
      </c>
      <c r="D91" s="6" t="inlineStr">
        <is>
          <t>year</t>
        </is>
      </c>
      <c r="E91" s="6" t="inlineStr">
        <is>
          <t>PY_TRANSMISSION_LOSSES</t>
        </is>
      </c>
      <c r="F91" s="6" t="inlineStr">
        <is>
          <t>PY_SIN</t>
        </is>
      </c>
      <c r="G91" s="6" t="inlineStr">
        <is>
          <t>PY</t>
        </is>
      </c>
      <c r="H91" s="6" t="inlineStr">
        <is>
          <t>PY</t>
        </is>
      </c>
      <c r="I91" s="8" t="n">
        <v>876556</v>
      </c>
      <c r="J91" s="6" t="inlineStr">
        <is>
          <t>MWh</t>
        </is>
      </c>
      <c r="K91" s="8" t="n">
        <v>876556</v>
      </c>
      <c r="L91" s="6" t="inlineStr">
        <is>
          <t>MWh</t>
        </is>
      </c>
      <c r="M91" s="6" t="inlineStr">
        <is>
          <t>ANDE</t>
        </is>
      </c>
      <c r="N91" s="6" t="inlineStr">
        <is>
          <t>OFFICIAL_PRIMARY</t>
        </is>
      </c>
      <c r="O91" s="9" t="inlineStr">
        <is>
          <t>OFFICIAL_AGGREGATE</t>
        </is>
      </c>
      <c r="P91" s="8" t="n">
        <v>1</v>
      </c>
      <c r="Q91" s="8" t="n">
        <v>50</v>
      </c>
      <c r="R91" s="7" t="inlineStr">
        <is>
          <t>https://www.ande.gov.py/finanzas/ANDE%20-%20Resumen%20Estad%C3%ADstico%202020%20-%202024.pdf</t>
        </is>
      </c>
      <c r="S91" s="6" t="inlineStr">
        <is>
          <t>ANDE-STAT-2020-2024</t>
        </is>
      </c>
      <c r="T91" s="6" t="inlineStr"/>
      <c r="U91" s="4" t="inlineStr">
        <is>
          <t>2026-09-10 23:00:00</t>
        </is>
      </c>
      <c r="V91" s="4" t="inlineStr">
        <is>
          <t>Sistema/region: Pérdidas Transmisión.</t>
        </is>
      </c>
    </row>
    <row r="92">
      <c r="A92" s="6" t="inlineStr">
        <is>
          <t>R0000095</t>
        </is>
      </c>
      <c r="B92" s="6" t="inlineStr">
        <is>
          <t>2022-01-01</t>
        </is>
      </c>
      <c r="C92" s="6" t="inlineStr">
        <is>
          <t>2022-12-31</t>
        </is>
      </c>
      <c r="D92" s="6" t="inlineStr">
        <is>
          <t>year</t>
        </is>
      </c>
      <c r="E92" s="6" t="inlineStr">
        <is>
          <t>PY_TRANSMISSION_LOSSES</t>
        </is>
      </c>
      <c r="F92" s="6" t="inlineStr">
        <is>
          <t>PY_SIN</t>
        </is>
      </c>
      <c r="G92" s="6" t="inlineStr">
        <is>
          <t>PY</t>
        </is>
      </c>
      <c r="H92" s="6" t="inlineStr">
        <is>
          <t>PY</t>
        </is>
      </c>
      <c r="I92" s="8" t="n">
        <v>1010034</v>
      </c>
      <c r="J92" s="6" t="inlineStr">
        <is>
          <t>MWh</t>
        </is>
      </c>
      <c r="K92" s="8" t="n">
        <v>1010034</v>
      </c>
      <c r="L92" s="6" t="inlineStr">
        <is>
          <t>MWh</t>
        </is>
      </c>
      <c r="M92" s="6" t="inlineStr">
        <is>
          <t>ANDE</t>
        </is>
      </c>
      <c r="N92" s="6" t="inlineStr">
        <is>
          <t>OFFICIAL_PRIMARY</t>
        </is>
      </c>
      <c r="O92" s="9" t="inlineStr">
        <is>
          <t>OFFICIAL_AGGREGATE</t>
        </is>
      </c>
      <c r="P92" s="8" t="n">
        <v>1</v>
      </c>
      <c r="Q92" s="8" t="n">
        <v>50</v>
      </c>
      <c r="R92" s="7" t="inlineStr">
        <is>
          <t>https://www.ande.gov.py/finanzas/ANDE%20-%20Resumen%20Estad%C3%ADstico%202020%20-%202024.pdf</t>
        </is>
      </c>
      <c r="S92" s="6" t="inlineStr">
        <is>
          <t>ANDE-STAT-2020-2024</t>
        </is>
      </c>
      <c r="T92" s="6" t="inlineStr"/>
      <c r="U92" s="4" t="inlineStr">
        <is>
          <t>2026-09-10 23:00:00</t>
        </is>
      </c>
      <c r="V92" s="4" t="inlineStr">
        <is>
          <t>Sistema/region: Pérdidas Transmisión.</t>
        </is>
      </c>
    </row>
    <row r="93">
      <c r="A93" s="6" t="inlineStr">
        <is>
          <t>R0000096</t>
        </is>
      </c>
      <c r="B93" s="6" t="inlineStr">
        <is>
          <t>2023-01-01</t>
        </is>
      </c>
      <c r="C93" s="6" t="inlineStr">
        <is>
          <t>2023-12-31</t>
        </is>
      </c>
      <c r="D93" s="6" t="inlineStr">
        <is>
          <t>year</t>
        </is>
      </c>
      <c r="E93" s="6" t="inlineStr">
        <is>
          <t>PY_TRANSMISSION_LOSSES</t>
        </is>
      </c>
      <c r="F93" s="6" t="inlineStr">
        <is>
          <t>PY_SIN</t>
        </is>
      </c>
      <c r="G93" s="6" t="inlineStr">
        <is>
          <t>PY</t>
        </is>
      </c>
      <c r="H93" s="6" t="inlineStr">
        <is>
          <t>PY</t>
        </is>
      </c>
      <c r="I93" s="8" t="n">
        <v>1129197</v>
      </c>
      <c r="J93" s="6" t="inlineStr">
        <is>
          <t>MWh</t>
        </is>
      </c>
      <c r="K93" s="8" t="n">
        <v>1129197</v>
      </c>
      <c r="L93" s="6" t="inlineStr">
        <is>
          <t>MWh</t>
        </is>
      </c>
      <c r="M93" s="6" t="inlineStr">
        <is>
          <t>ANDE</t>
        </is>
      </c>
      <c r="N93" s="6" t="inlineStr">
        <is>
          <t>OFFICIAL_PRIMARY</t>
        </is>
      </c>
      <c r="O93" s="9" t="inlineStr">
        <is>
          <t>OFFICIAL_AGGREGATE</t>
        </is>
      </c>
      <c r="P93" s="8" t="n">
        <v>1</v>
      </c>
      <c r="Q93" s="8" t="n">
        <v>50</v>
      </c>
      <c r="R93" s="7" t="inlineStr">
        <is>
          <t>https://www.ande.gov.py/finanzas/ANDE%20-%20Resumen%20Estad%C3%ADstico%202020%20-%202024.pdf</t>
        </is>
      </c>
      <c r="S93" s="6" t="inlineStr">
        <is>
          <t>ANDE-STAT-2020-2024</t>
        </is>
      </c>
      <c r="T93" s="6" t="inlineStr"/>
      <c r="U93" s="4" t="inlineStr">
        <is>
          <t>2026-09-10 23:00:00</t>
        </is>
      </c>
      <c r="V93" s="4" t="inlineStr">
        <is>
          <t>Sistema/region: Pérdidas Transmisión.</t>
        </is>
      </c>
    </row>
    <row r="94">
      <c r="A94" s="6" t="inlineStr">
        <is>
          <t>R0000097</t>
        </is>
      </c>
      <c r="B94" s="6" t="inlineStr">
        <is>
          <t>2024-01-01</t>
        </is>
      </c>
      <c r="C94" s="6" t="inlineStr">
        <is>
          <t>2024-12-31</t>
        </is>
      </c>
      <c r="D94" s="6" t="inlineStr">
        <is>
          <t>year</t>
        </is>
      </c>
      <c r="E94" s="6" t="inlineStr">
        <is>
          <t>PY_TRANSMISSION_LOSSES</t>
        </is>
      </c>
      <c r="F94" s="6" t="inlineStr">
        <is>
          <t>PY_SIN</t>
        </is>
      </c>
      <c r="G94" s="6" t="inlineStr">
        <is>
          <t>PY</t>
        </is>
      </c>
      <c r="H94" s="6" t="inlineStr">
        <is>
          <t>PY</t>
        </is>
      </c>
      <c r="I94" s="8" t="n">
        <v>1207698</v>
      </c>
      <c r="J94" s="6" t="inlineStr">
        <is>
          <t>MWh</t>
        </is>
      </c>
      <c r="K94" s="8" t="n">
        <v>1207698</v>
      </c>
      <c r="L94" s="6" t="inlineStr">
        <is>
          <t>MWh</t>
        </is>
      </c>
      <c r="M94" s="6" t="inlineStr">
        <is>
          <t>ANDE</t>
        </is>
      </c>
      <c r="N94" s="6" t="inlineStr">
        <is>
          <t>OFFICIAL_PRIMARY</t>
        </is>
      </c>
      <c r="O94" s="9" t="inlineStr">
        <is>
          <t>OFFICIAL_AGGREGATE</t>
        </is>
      </c>
      <c r="P94" s="8" t="n">
        <v>1</v>
      </c>
      <c r="Q94" s="8" t="n">
        <v>50</v>
      </c>
      <c r="R94" s="7" t="inlineStr">
        <is>
          <t>https://www.ande.gov.py/finanzas/ANDE%20-%20Resumen%20Estad%C3%ADstico%202020%20-%202024.pdf</t>
        </is>
      </c>
      <c r="S94" s="6" t="inlineStr">
        <is>
          <t>ANDE-STAT-2020-2024</t>
        </is>
      </c>
      <c r="T94" s="6" t="inlineStr"/>
      <c r="U94" s="4" t="inlineStr">
        <is>
          <t>2026-09-10 23:00:00</t>
        </is>
      </c>
      <c r="V94" s="4" t="inlineStr">
        <is>
          <t>Sistema/region: Pérdidas Transmisión.</t>
        </is>
      </c>
    </row>
    <row r="95">
      <c r="A95" s="6" t="inlineStr">
        <is>
          <t>R0000098</t>
        </is>
      </c>
      <c r="B95" s="6" t="inlineStr">
        <is>
          <t>2020-01-01</t>
        </is>
      </c>
      <c r="C95" s="6" t="inlineStr">
        <is>
          <t>2020-12-31</t>
        </is>
      </c>
      <c r="D95" s="6" t="inlineStr">
        <is>
          <t>year</t>
        </is>
      </c>
      <c r="E95" s="6" t="inlineStr">
        <is>
          <t>PY_CONSUMPTION_ENERGY</t>
        </is>
      </c>
      <c r="F95" s="6" t="inlineStr">
        <is>
          <t>PY_SIN</t>
        </is>
      </c>
      <c r="G95" s="6" t="inlineStr">
        <is>
          <t>PY</t>
        </is>
      </c>
      <c r="H95" s="6" t="inlineStr">
        <is>
          <t>PY</t>
        </is>
      </c>
      <c r="I95" s="8" t="n">
        <v>17955575</v>
      </c>
      <c r="J95" s="6" t="inlineStr">
        <is>
          <t>MWh</t>
        </is>
      </c>
      <c r="K95" s="8" t="n">
        <v>17955575</v>
      </c>
      <c r="L95" s="6" t="inlineStr">
        <is>
          <t>MWh</t>
        </is>
      </c>
      <c r="M95" s="6" t="inlineStr">
        <is>
          <t>ANDE</t>
        </is>
      </c>
      <c r="N95" s="6" t="inlineStr">
        <is>
          <t>OFFICIAL_PRIMARY</t>
        </is>
      </c>
      <c r="O95" s="9" t="inlineStr">
        <is>
          <t>OFFICIAL_AGGREGATE</t>
        </is>
      </c>
      <c r="P95" s="8" t="n">
        <v>1</v>
      </c>
      <c r="Q95" s="8" t="n">
        <v>50</v>
      </c>
      <c r="R95" s="7" t="inlineStr">
        <is>
          <t>https://www.ande.gov.py/finanzas/ANDE%20-%20Resumen%20Estad%C3%ADstico%202020%20-%202024.pdf</t>
        </is>
      </c>
      <c r="S95" s="6" t="inlineStr">
        <is>
          <t>ANDE-STAT-2020-2024</t>
        </is>
      </c>
      <c r="T95" s="6" t="inlineStr"/>
      <c r="U95" s="4" t="inlineStr">
        <is>
          <t>2026-09-10 23:00:00</t>
        </is>
      </c>
      <c r="V95" s="4" t="inlineStr">
        <is>
          <t>Sistema/region: Total Energía SIN.</t>
        </is>
      </c>
    </row>
    <row r="96">
      <c r="A96" s="6" t="inlineStr">
        <is>
          <t>R0000099</t>
        </is>
      </c>
      <c r="B96" s="6" t="inlineStr">
        <is>
          <t>2021-01-01</t>
        </is>
      </c>
      <c r="C96" s="6" t="inlineStr">
        <is>
          <t>2021-12-31</t>
        </is>
      </c>
      <c r="D96" s="6" t="inlineStr">
        <is>
          <t>year</t>
        </is>
      </c>
      <c r="E96" s="6" t="inlineStr">
        <is>
          <t>PY_CONSUMPTION_ENERGY</t>
        </is>
      </c>
      <c r="F96" s="6" t="inlineStr">
        <is>
          <t>PY_SIN</t>
        </is>
      </c>
      <c r="G96" s="6" t="inlineStr">
        <is>
          <t>PY</t>
        </is>
      </c>
      <c r="H96" s="6" t="inlineStr">
        <is>
          <t>PY</t>
        </is>
      </c>
      <c r="I96" s="8" t="n">
        <v>18583322</v>
      </c>
      <c r="J96" s="6" t="inlineStr">
        <is>
          <t>MWh</t>
        </is>
      </c>
      <c r="K96" s="8" t="n">
        <v>18583322</v>
      </c>
      <c r="L96" s="6" t="inlineStr">
        <is>
          <t>MWh</t>
        </is>
      </c>
      <c r="M96" s="6" t="inlineStr">
        <is>
          <t>ANDE</t>
        </is>
      </c>
      <c r="N96" s="6" t="inlineStr">
        <is>
          <t>OFFICIAL_PRIMARY</t>
        </is>
      </c>
      <c r="O96" s="9" t="inlineStr">
        <is>
          <t>OFFICIAL_AGGREGATE</t>
        </is>
      </c>
      <c r="P96" s="8" t="n">
        <v>1</v>
      </c>
      <c r="Q96" s="8" t="n">
        <v>50</v>
      </c>
      <c r="R96" s="7" t="inlineStr">
        <is>
          <t>https://www.ande.gov.py/finanzas/ANDE%20-%20Resumen%20Estad%C3%ADstico%202020%20-%202024.pdf</t>
        </is>
      </c>
      <c r="S96" s="6" t="inlineStr">
        <is>
          <t>ANDE-STAT-2020-2024</t>
        </is>
      </c>
      <c r="T96" s="6" t="inlineStr"/>
      <c r="U96" s="4" t="inlineStr">
        <is>
          <t>2026-09-10 23:00:00</t>
        </is>
      </c>
      <c r="V96" s="4" t="inlineStr">
        <is>
          <t>Sistema/region: Total Energía SIN.</t>
        </is>
      </c>
    </row>
    <row r="97">
      <c r="A97" s="6" t="inlineStr">
        <is>
          <t>R0000100</t>
        </is>
      </c>
      <c r="B97" s="6" t="inlineStr">
        <is>
          <t>2022-01-01</t>
        </is>
      </c>
      <c r="C97" s="6" t="inlineStr">
        <is>
          <t>2022-12-31</t>
        </is>
      </c>
      <c r="D97" s="6" t="inlineStr">
        <is>
          <t>year</t>
        </is>
      </c>
      <c r="E97" s="6" t="inlineStr">
        <is>
          <t>PY_CONSUMPTION_ENERGY</t>
        </is>
      </c>
      <c r="F97" s="6" t="inlineStr">
        <is>
          <t>PY_SIN</t>
        </is>
      </c>
      <c r="G97" s="6" t="inlineStr">
        <is>
          <t>PY</t>
        </is>
      </c>
      <c r="H97" s="6" t="inlineStr">
        <is>
          <t>PY</t>
        </is>
      </c>
      <c r="I97" s="8" t="n">
        <v>19634614</v>
      </c>
      <c r="J97" s="6" t="inlineStr">
        <is>
          <t>MWh</t>
        </is>
      </c>
      <c r="K97" s="8" t="n">
        <v>19634614</v>
      </c>
      <c r="L97" s="6" t="inlineStr">
        <is>
          <t>MWh</t>
        </is>
      </c>
      <c r="M97" s="6" t="inlineStr">
        <is>
          <t>ANDE</t>
        </is>
      </c>
      <c r="N97" s="6" t="inlineStr">
        <is>
          <t>OFFICIAL_PRIMARY</t>
        </is>
      </c>
      <c r="O97" s="9" t="inlineStr">
        <is>
          <t>OFFICIAL_AGGREGATE</t>
        </is>
      </c>
      <c r="P97" s="8" t="n">
        <v>1</v>
      </c>
      <c r="Q97" s="8" t="n">
        <v>50</v>
      </c>
      <c r="R97" s="7" t="inlineStr">
        <is>
          <t>https://www.ande.gov.py/finanzas/ANDE%20-%20Resumen%20Estad%C3%ADstico%202020%20-%202024.pdf</t>
        </is>
      </c>
      <c r="S97" s="6" t="inlineStr">
        <is>
          <t>ANDE-STAT-2020-2024</t>
        </is>
      </c>
      <c r="T97" s="6" t="inlineStr"/>
      <c r="U97" s="4" t="inlineStr">
        <is>
          <t>2026-09-10 23:00:00</t>
        </is>
      </c>
      <c r="V97" s="4" t="inlineStr">
        <is>
          <t>Sistema/region: Total Energía SIN.</t>
        </is>
      </c>
    </row>
    <row r="98">
      <c r="A98" s="6" t="inlineStr">
        <is>
          <t>R0000101</t>
        </is>
      </c>
      <c r="B98" s="6" t="inlineStr">
        <is>
          <t>2023-01-01</t>
        </is>
      </c>
      <c r="C98" s="6" t="inlineStr">
        <is>
          <t>2023-12-31</t>
        </is>
      </c>
      <c r="D98" s="6" t="inlineStr">
        <is>
          <t>year</t>
        </is>
      </c>
      <c r="E98" s="6" t="inlineStr">
        <is>
          <t>PY_CONSUMPTION_ENERGY</t>
        </is>
      </c>
      <c r="F98" s="6" t="inlineStr">
        <is>
          <t>PY_SIN</t>
        </is>
      </c>
      <c r="G98" s="6" t="inlineStr">
        <is>
          <t>PY</t>
        </is>
      </c>
      <c r="H98" s="6" t="inlineStr">
        <is>
          <t>PY</t>
        </is>
      </c>
      <c r="I98" s="8" t="n">
        <v>22078726</v>
      </c>
      <c r="J98" s="6" t="inlineStr">
        <is>
          <t>MWh</t>
        </is>
      </c>
      <c r="K98" s="8" t="n">
        <v>22078726</v>
      </c>
      <c r="L98" s="6" t="inlineStr">
        <is>
          <t>MWh</t>
        </is>
      </c>
      <c r="M98" s="6" t="inlineStr">
        <is>
          <t>ANDE</t>
        </is>
      </c>
      <c r="N98" s="6" t="inlineStr">
        <is>
          <t>OFFICIAL_PRIMARY</t>
        </is>
      </c>
      <c r="O98" s="9" t="inlineStr">
        <is>
          <t>OFFICIAL_AGGREGATE</t>
        </is>
      </c>
      <c r="P98" s="8" t="n">
        <v>1</v>
      </c>
      <c r="Q98" s="8" t="n">
        <v>50</v>
      </c>
      <c r="R98" s="7" t="inlineStr">
        <is>
          <t>https://www.ande.gov.py/finanzas/ANDE%20-%20Resumen%20Estad%C3%ADstico%202020%20-%202024.pdf</t>
        </is>
      </c>
      <c r="S98" s="6" t="inlineStr">
        <is>
          <t>ANDE-STAT-2020-2024</t>
        </is>
      </c>
      <c r="T98" s="6" t="inlineStr"/>
      <c r="U98" s="4" t="inlineStr">
        <is>
          <t>2026-09-10 23:00:00</t>
        </is>
      </c>
      <c r="V98" s="4" t="inlineStr">
        <is>
          <t>Sistema/region: Total Energía SIN.</t>
        </is>
      </c>
    </row>
    <row r="99">
      <c r="A99" s="6" t="inlineStr">
        <is>
          <t>R0000103</t>
        </is>
      </c>
      <c r="B99" s="6" t="inlineStr">
        <is>
          <t>2025-01-01</t>
        </is>
      </c>
      <c r="C99" s="6" t="inlineStr">
        <is>
          <t>2025-01-31</t>
        </is>
      </c>
      <c r="D99" s="6" t="inlineStr">
        <is>
          <t>month</t>
        </is>
      </c>
      <c r="E99" s="6" t="inlineStr">
        <is>
          <t>PY_MAX_DEMAND</t>
        </is>
      </c>
      <c r="F99" s="6" t="inlineStr">
        <is>
          <t>PY_SIN</t>
        </is>
      </c>
      <c r="G99" s="6" t="inlineStr">
        <is>
          <t>PY</t>
        </is>
      </c>
      <c r="H99" s="6" t="inlineStr">
        <is>
          <t>PY</t>
        </is>
      </c>
      <c r="I99" s="8" t="n">
        <v>4936</v>
      </c>
      <c r="J99" s="6" t="inlineStr">
        <is>
          <t>MW</t>
        </is>
      </c>
      <c r="K99" s="8" t="n">
        <v>4936</v>
      </c>
      <c r="L99" s="6" t="inlineStr">
        <is>
          <t>MW</t>
        </is>
      </c>
      <c r="M99" s="6" t="inlineStr">
        <is>
          <t>ANDE</t>
        </is>
      </c>
      <c r="N99" s="6" t="inlineStr">
        <is>
          <t>OFFICIAL_PRIMARY</t>
        </is>
      </c>
      <c r="O99" s="9" t="inlineStr">
        <is>
          <t>OFFICIAL_AGGREGATE</t>
        </is>
      </c>
      <c r="P99" s="8" t="n">
        <v>1</v>
      </c>
      <c r="Q99" s="8" t="n">
        <v>50</v>
      </c>
      <c r="R99" s="7" t="inlineStr">
        <is>
          <t>https://www.ande.gov.py/finanzas/BAGP%202025%20ANDE.pdf</t>
        </is>
      </c>
      <c r="S99" s="6" t="inlineStr">
        <is>
          <t>ANDE-BAGP-2025</t>
        </is>
      </c>
      <c r="T99" s="6" t="inlineStr"/>
      <c r="U99" s="4" t="inlineStr">
        <is>
          <t>2026-09-10 23:00:00</t>
        </is>
      </c>
      <c r="V99" s="4" t="inlineStr">
        <is>
          <t>Maximo mensual publicado.</t>
        </is>
      </c>
    </row>
    <row r="100">
      <c r="A100" s="6" t="inlineStr">
        <is>
          <t>R0000104</t>
        </is>
      </c>
      <c r="B100" s="6" t="inlineStr">
        <is>
          <t>2025-02-01</t>
        </is>
      </c>
      <c r="C100" s="6" t="inlineStr">
        <is>
          <t>2025-02-28</t>
        </is>
      </c>
      <c r="D100" s="6" t="inlineStr">
        <is>
          <t>month</t>
        </is>
      </c>
      <c r="E100" s="6" t="inlineStr">
        <is>
          <t>PY_MAX_DEMAND</t>
        </is>
      </c>
      <c r="F100" s="6" t="inlineStr">
        <is>
          <t>PY_SIN</t>
        </is>
      </c>
      <c r="G100" s="6" t="inlineStr">
        <is>
          <t>PY</t>
        </is>
      </c>
      <c r="H100" s="6" t="inlineStr">
        <is>
          <t>PY</t>
        </is>
      </c>
      <c r="I100" s="8" t="n">
        <v>5054</v>
      </c>
      <c r="J100" s="6" t="inlineStr">
        <is>
          <t>MW</t>
        </is>
      </c>
      <c r="K100" s="8" t="n">
        <v>5054</v>
      </c>
      <c r="L100" s="6" t="inlineStr">
        <is>
          <t>MW</t>
        </is>
      </c>
      <c r="M100" s="6" t="inlineStr">
        <is>
          <t>ANDE</t>
        </is>
      </c>
      <c r="N100" s="6" t="inlineStr">
        <is>
          <t>OFFICIAL_PRIMARY</t>
        </is>
      </c>
      <c r="O100" s="9" t="inlineStr">
        <is>
          <t>OFFICIAL_AGGREGATE</t>
        </is>
      </c>
      <c r="P100" s="8" t="n">
        <v>1</v>
      </c>
      <c r="Q100" s="8" t="n">
        <v>50</v>
      </c>
      <c r="R100" s="7" t="inlineStr">
        <is>
          <t>https://www.ande.gov.py/finanzas/BAGP%202025%20ANDE.pdf</t>
        </is>
      </c>
      <c r="S100" s="6" t="inlineStr">
        <is>
          <t>ANDE-BAGP-2025</t>
        </is>
      </c>
      <c r="T100" s="6" t="inlineStr"/>
      <c r="U100" s="4" t="inlineStr">
        <is>
          <t>2026-09-10 23:00:00</t>
        </is>
      </c>
      <c r="V100" s="4" t="inlineStr">
        <is>
          <t>Maximo mensual publicado.</t>
        </is>
      </c>
    </row>
    <row r="101">
      <c r="A101" s="6" t="inlineStr">
        <is>
          <t>R0000105</t>
        </is>
      </c>
      <c r="B101" s="6" t="inlineStr">
        <is>
          <t>2025-03-01</t>
        </is>
      </c>
      <c r="C101" s="6" t="inlineStr">
        <is>
          <t>2025-03-31</t>
        </is>
      </c>
      <c r="D101" s="6" t="inlineStr">
        <is>
          <t>month</t>
        </is>
      </c>
      <c r="E101" s="6" t="inlineStr">
        <is>
          <t>PY_MAX_DEMAND</t>
        </is>
      </c>
      <c r="F101" s="6" t="inlineStr">
        <is>
          <t>PY_SIN</t>
        </is>
      </c>
      <c r="G101" s="6" t="inlineStr">
        <is>
          <t>PY</t>
        </is>
      </c>
      <c r="H101" s="6" t="inlineStr">
        <is>
          <t>PY</t>
        </is>
      </c>
      <c r="I101" s="8" t="n">
        <v>5122</v>
      </c>
      <c r="J101" s="6" t="inlineStr">
        <is>
          <t>MW</t>
        </is>
      </c>
      <c r="K101" s="8" t="n">
        <v>5122</v>
      </c>
      <c r="L101" s="6" t="inlineStr">
        <is>
          <t>MW</t>
        </is>
      </c>
      <c r="M101" s="6" t="inlineStr">
        <is>
          <t>ANDE</t>
        </is>
      </c>
      <c r="N101" s="6" t="inlineStr">
        <is>
          <t>OFFICIAL_PRIMARY</t>
        </is>
      </c>
      <c r="O101" s="9" t="inlineStr">
        <is>
          <t>OFFICIAL_AGGREGATE</t>
        </is>
      </c>
      <c r="P101" s="8" t="n">
        <v>1</v>
      </c>
      <c r="Q101" s="8" t="n">
        <v>50</v>
      </c>
      <c r="R101" s="7" t="inlineStr">
        <is>
          <t>https://www.ande.gov.py/finanzas/BAGP%202025%20ANDE.pdf</t>
        </is>
      </c>
      <c r="S101" s="6" t="inlineStr">
        <is>
          <t>ANDE-BAGP-2025</t>
        </is>
      </c>
      <c r="T101" s="6" t="inlineStr"/>
      <c r="U101" s="4" t="inlineStr">
        <is>
          <t>2026-09-10 23:00:00</t>
        </is>
      </c>
      <c r="V101" s="4" t="inlineStr">
        <is>
          <t>Maximo mensual publicado.</t>
        </is>
      </c>
    </row>
    <row r="102">
      <c r="A102" s="6" t="inlineStr">
        <is>
          <t>R0000106</t>
        </is>
      </c>
      <c r="B102" s="6" t="inlineStr">
        <is>
          <t>2025-04-01</t>
        </is>
      </c>
      <c r="C102" s="6" t="inlineStr">
        <is>
          <t>2025-04-30</t>
        </is>
      </c>
      <c r="D102" s="6" t="inlineStr">
        <is>
          <t>month</t>
        </is>
      </c>
      <c r="E102" s="6" t="inlineStr">
        <is>
          <t>PY_MAX_DEMAND</t>
        </is>
      </c>
      <c r="F102" s="6" t="inlineStr">
        <is>
          <t>PY_SIN</t>
        </is>
      </c>
      <c r="G102" s="6" t="inlineStr">
        <is>
          <t>PY</t>
        </is>
      </c>
      <c r="H102" s="6" t="inlineStr">
        <is>
          <t>PY</t>
        </is>
      </c>
      <c r="I102" s="8" t="n">
        <v>3673</v>
      </c>
      <c r="J102" s="6" t="inlineStr">
        <is>
          <t>MW</t>
        </is>
      </c>
      <c r="K102" s="8" t="n">
        <v>3673</v>
      </c>
      <c r="L102" s="6" t="inlineStr">
        <is>
          <t>MW</t>
        </is>
      </c>
      <c r="M102" s="6" t="inlineStr">
        <is>
          <t>ANDE</t>
        </is>
      </c>
      <c r="N102" s="6" t="inlineStr">
        <is>
          <t>OFFICIAL_PRIMARY</t>
        </is>
      </c>
      <c r="O102" s="9" t="inlineStr">
        <is>
          <t>OFFICIAL_AGGREGATE</t>
        </is>
      </c>
      <c r="P102" s="8" t="n">
        <v>1</v>
      </c>
      <c r="Q102" s="8" t="n">
        <v>50</v>
      </c>
      <c r="R102" s="7" t="inlineStr">
        <is>
          <t>https://www.ande.gov.py/finanzas/BAGP%202025%20ANDE.pdf</t>
        </is>
      </c>
      <c r="S102" s="6" t="inlineStr">
        <is>
          <t>ANDE-BAGP-2025</t>
        </is>
      </c>
      <c r="T102" s="6" t="inlineStr"/>
      <c r="U102" s="4" t="inlineStr">
        <is>
          <t>2026-09-10 23:00:00</t>
        </is>
      </c>
      <c r="V102" s="4" t="inlineStr">
        <is>
          <t>Maximo mensual publicado.</t>
        </is>
      </c>
    </row>
    <row r="103">
      <c r="A103" s="6" t="inlineStr">
        <is>
          <t>R0000107</t>
        </is>
      </c>
      <c r="B103" s="6" t="inlineStr">
        <is>
          <t>2025-05-01</t>
        </is>
      </c>
      <c r="C103" s="6" t="inlineStr">
        <is>
          <t>2025-05-31</t>
        </is>
      </c>
      <c r="D103" s="6" t="inlineStr">
        <is>
          <t>month</t>
        </is>
      </c>
      <c r="E103" s="6" t="inlineStr">
        <is>
          <t>PY_MAX_DEMAND</t>
        </is>
      </c>
      <c r="F103" s="6" t="inlineStr">
        <is>
          <t>PY_SIN</t>
        </is>
      </c>
      <c r="G103" s="6" t="inlineStr">
        <is>
          <t>PY</t>
        </is>
      </c>
      <c r="H103" s="6" t="inlineStr">
        <is>
          <t>PY</t>
        </is>
      </c>
      <c r="I103" s="8" t="n">
        <v>4077</v>
      </c>
      <c r="J103" s="6" t="inlineStr">
        <is>
          <t>MW</t>
        </is>
      </c>
      <c r="K103" s="8" t="n">
        <v>4077</v>
      </c>
      <c r="L103" s="6" t="inlineStr">
        <is>
          <t>MW</t>
        </is>
      </c>
      <c r="M103" s="6" t="inlineStr">
        <is>
          <t>ANDE</t>
        </is>
      </c>
      <c r="N103" s="6" t="inlineStr">
        <is>
          <t>OFFICIAL_PRIMARY</t>
        </is>
      </c>
      <c r="O103" s="9" t="inlineStr">
        <is>
          <t>OFFICIAL_AGGREGATE</t>
        </is>
      </c>
      <c r="P103" s="8" t="n">
        <v>1</v>
      </c>
      <c r="Q103" s="8" t="n">
        <v>50</v>
      </c>
      <c r="R103" s="7" t="inlineStr">
        <is>
          <t>https://www.ande.gov.py/finanzas/BAGP%202025%20ANDE.pdf</t>
        </is>
      </c>
      <c r="S103" s="6" t="inlineStr">
        <is>
          <t>ANDE-BAGP-2025</t>
        </is>
      </c>
      <c r="T103" s="6" t="inlineStr"/>
      <c r="U103" s="4" t="inlineStr">
        <is>
          <t>2026-09-10 23:00:00</t>
        </is>
      </c>
      <c r="V103" s="4" t="inlineStr">
        <is>
          <t>Maximo mensual publicado.</t>
        </is>
      </c>
    </row>
    <row r="104">
      <c r="A104" s="6" t="inlineStr">
        <is>
          <t>R0000108</t>
        </is>
      </c>
      <c r="B104" s="6" t="inlineStr">
        <is>
          <t>2025-06-01</t>
        </is>
      </c>
      <c r="C104" s="6" t="inlineStr">
        <is>
          <t>2025-06-30</t>
        </is>
      </c>
      <c r="D104" s="6" t="inlineStr">
        <is>
          <t>month</t>
        </is>
      </c>
      <c r="E104" s="6" t="inlineStr">
        <is>
          <t>PY_MAX_DEMAND</t>
        </is>
      </c>
      <c r="F104" s="6" t="inlineStr">
        <is>
          <t>PY_SIN</t>
        </is>
      </c>
      <c r="G104" s="6" t="inlineStr">
        <is>
          <t>PY</t>
        </is>
      </c>
      <c r="H104" s="6" t="inlineStr">
        <is>
          <t>PY</t>
        </is>
      </c>
      <c r="I104" s="8" t="n">
        <v>3918</v>
      </c>
      <c r="J104" s="6" t="inlineStr">
        <is>
          <t>MW</t>
        </is>
      </c>
      <c r="K104" s="8" t="n">
        <v>3918</v>
      </c>
      <c r="L104" s="6" t="inlineStr">
        <is>
          <t>MW</t>
        </is>
      </c>
      <c r="M104" s="6" t="inlineStr">
        <is>
          <t>ANDE</t>
        </is>
      </c>
      <c r="N104" s="6" t="inlineStr">
        <is>
          <t>OFFICIAL_PRIMARY</t>
        </is>
      </c>
      <c r="O104" s="9" t="inlineStr">
        <is>
          <t>OFFICIAL_AGGREGATE</t>
        </is>
      </c>
      <c r="P104" s="8" t="n">
        <v>1</v>
      </c>
      <c r="Q104" s="8" t="n">
        <v>50</v>
      </c>
      <c r="R104" s="7" t="inlineStr">
        <is>
          <t>https://www.ande.gov.py/finanzas/BAGP%202025%20ANDE.pdf</t>
        </is>
      </c>
      <c r="S104" s="6" t="inlineStr">
        <is>
          <t>ANDE-BAGP-2025</t>
        </is>
      </c>
      <c r="T104" s="6" t="inlineStr"/>
      <c r="U104" s="4" t="inlineStr">
        <is>
          <t>2026-09-10 23:00:00</t>
        </is>
      </c>
      <c r="V104" s="4" t="inlineStr">
        <is>
          <t>Maximo mensual publicado.</t>
        </is>
      </c>
    </row>
    <row r="105">
      <c r="A105" s="6" t="inlineStr">
        <is>
          <t>R0000109</t>
        </is>
      </c>
      <c r="B105" s="6" t="inlineStr">
        <is>
          <t>2025-07-01</t>
        </is>
      </c>
      <c r="C105" s="6" t="inlineStr">
        <is>
          <t>2025-07-31</t>
        </is>
      </c>
      <c r="D105" s="6" t="inlineStr">
        <is>
          <t>month</t>
        </is>
      </c>
      <c r="E105" s="6" t="inlineStr">
        <is>
          <t>PY_MAX_DEMAND</t>
        </is>
      </c>
      <c r="F105" s="6" t="inlineStr">
        <is>
          <t>PY_SIN</t>
        </is>
      </c>
      <c r="G105" s="6" t="inlineStr">
        <is>
          <t>PY</t>
        </is>
      </c>
      <c r="H105" s="6" t="inlineStr">
        <is>
          <t>PY</t>
        </is>
      </c>
      <c r="I105" s="8" t="n">
        <v>4072</v>
      </c>
      <c r="J105" s="6" t="inlineStr">
        <is>
          <t>MW</t>
        </is>
      </c>
      <c r="K105" s="8" t="n">
        <v>4072</v>
      </c>
      <c r="L105" s="6" t="inlineStr">
        <is>
          <t>MW</t>
        </is>
      </c>
      <c r="M105" s="6" t="inlineStr">
        <is>
          <t>ANDE</t>
        </is>
      </c>
      <c r="N105" s="6" t="inlineStr">
        <is>
          <t>OFFICIAL_PRIMARY</t>
        </is>
      </c>
      <c r="O105" s="9" t="inlineStr">
        <is>
          <t>OFFICIAL_AGGREGATE</t>
        </is>
      </c>
      <c r="P105" s="8" t="n">
        <v>1</v>
      </c>
      <c r="Q105" s="8" t="n">
        <v>50</v>
      </c>
      <c r="R105" s="7" t="inlineStr">
        <is>
          <t>https://www.ande.gov.py/finanzas/BAGP%202025%20ANDE.pdf</t>
        </is>
      </c>
      <c r="S105" s="6" t="inlineStr">
        <is>
          <t>ANDE-BAGP-2025</t>
        </is>
      </c>
      <c r="T105" s="6" t="inlineStr"/>
      <c r="U105" s="4" t="inlineStr">
        <is>
          <t>2026-09-10 23:00:00</t>
        </is>
      </c>
      <c r="V105" s="4" t="inlineStr">
        <is>
          <t>Maximo mensual publicado.</t>
        </is>
      </c>
    </row>
    <row r="106">
      <c r="A106" s="6" t="inlineStr">
        <is>
          <t>R0000110</t>
        </is>
      </c>
      <c r="B106" s="6" t="inlineStr">
        <is>
          <t>2025-08-01</t>
        </is>
      </c>
      <c r="C106" s="6" t="inlineStr">
        <is>
          <t>2025-08-31</t>
        </is>
      </c>
      <c r="D106" s="6" t="inlineStr">
        <is>
          <t>month</t>
        </is>
      </c>
      <c r="E106" s="6" t="inlineStr">
        <is>
          <t>PY_MAX_DEMAND</t>
        </is>
      </c>
      <c r="F106" s="6" t="inlineStr">
        <is>
          <t>PY_SIN</t>
        </is>
      </c>
      <c r="G106" s="6" t="inlineStr">
        <is>
          <t>PY</t>
        </is>
      </c>
      <c r="H106" s="6" t="inlineStr">
        <is>
          <t>PY</t>
        </is>
      </c>
      <c r="I106" s="8" t="n">
        <v>4188</v>
      </c>
      <c r="J106" s="6" t="inlineStr">
        <is>
          <t>MW</t>
        </is>
      </c>
      <c r="K106" s="8" t="n">
        <v>4188</v>
      </c>
      <c r="L106" s="6" t="inlineStr">
        <is>
          <t>MW</t>
        </is>
      </c>
      <c r="M106" s="6" t="inlineStr">
        <is>
          <t>ANDE</t>
        </is>
      </c>
      <c r="N106" s="6" t="inlineStr">
        <is>
          <t>OFFICIAL_PRIMARY</t>
        </is>
      </c>
      <c r="O106" s="9" t="inlineStr">
        <is>
          <t>OFFICIAL_AGGREGATE</t>
        </is>
      </c>
      <c r="P106" s="8" t="n">
        <v>1</v>
      </c>
      <c r="Q106" s="8" t="n">
        <v>50</v>
      </c>
      <c r="R106" s="7" t="inlineStr">
        <is>
          <t>https://www.ande.gov.py/finanzas/BAGP%202025%20ANDE.pdf</t>
        </is>
      </c>
      <c r="S106" s="6" t="inlineStr">
        <is>
          <t>ANDE-BAGP-2025</t>
        </is>
      </c>
      <c r="T106" s="6" t="inlineStr"/>
      <c r="U106" s="4" t="inlineStr">
        <is>
          <t>2026-09-10 23:00:00</t>
        </is>
      </c>
      <c r="V106" s="4" t="inlineStr">
        <is>
          <t>Maximo mensual publicado.</t>
        </is>
      </c>
    </row>
    <row r="107">
      <c r="A107" s="6" t="inlineStr">
        <is>
          <t>R0000111</t>
        </is>
      </c>
      <c r="B107" s="6" t="inlineStr">
        <is>
          <t>2025-09-01</t>
        </is>
      </c>
      <c r="C107" s="6" t="inlineStr">
        <is>
          <t>2025-09-30</t>
        </is>
      </c>
      <c r="D107" s="6" t="inlineStr">
        <is>
          <t>month</t>
        </is>
      </c>
      <c r="E107" s="6" t="inlineStr">
        <is>
          <t>PY_MAX_DEMAND</t>
        </is>
      </c>
      <c r="F107" s="6" t="inlineStr">
        <is>
          <t>PY_SIN</t>
        </is>
      </c>
      <c r="G107" s="6" t="inlineStr">
        <is>
          <t>PY</t>
        </is>
      </c>
      <c r="H107" s="6" t="inlineStr">
        <is>
          <t>PY</t>
        </is>
      </c>
      <c r="I107" s="8" t="n">
        <v>4675</v>
      </c>
      <c r="J107" s="6" t="inlineStr">
        <is>
          <t>MW</t>
        </is>
      </c>
      <c r="K107" s="8" t="n">
        <v>4675</v>
      </c>
      <c r="L107" s="6" t="inlineStr">
        <is>
          <t>MW</t>
        </is>
      </c>
      <c r="M107" s="6" t="inlineStr">
        <is>
          <t>ANDE</t>
        </is>
      </c>
      <c r="N107" s="6" t="inlineStr">
        <is>
          <t>OFFICIAL_PRIMARY</t>
        </is>
      </c>
      <c r="O107" s="9" t="inlineStr">
        <is>
          <t>OFFICIAL_AGGREGATE</t>
        </is>
      </c>
      <c r="P107" s="8" t="n">
        <v>1</v>
      </c>
      <c r="Q107" s="8" t="n">
        <v>50</v>
      </c>
      <c r="R107" s="7" t="inlineStr">
        <is>
          <t>https://www.ande.gov.py/finanzas/BAGP%202025%20ANDE.pdf</t>
        </is>
      </c>
      <c r="S107" s="6" t="inlineStr">
        <is>
          <t>ANDE-BAGP-2025</t>
        </is>
      </c>
      <c r="T107" s="6" t="inlineStr"/>
      <c r="U107" s="4" t="inlineStr">
        <is>
          <t>2026-09-10 23:00:00</t>
        </is>
      </c>
      <c r="V107" s="4" t="inlineStr">
        <is>
          <t>Maximo mensual publicado.</t>
        </is>
      </c>
    </row>
    <row r="108">
      <c r="A108" s="6" t="inlineStr">
        <is>
          <t>R0000112</t>
        </is>
      </c>
      <c r="B108" s="6" t="inlineStr">
        <is>
          <t>2025-10-01</t>
        </is>
      </c>
      <c r="C108" s="6" t="inlineStr">
        <is>
          <t>2025-10-31</t>
        </is>
      </c>
      <c r="D108" s="6" t="inlineStr">
        <is>
          <t>month</t>
        </is>
      </c>
      <c r="E108" s="6" t="inlineStr">
        <is>
          <t>PY_MAX_DEMAND</t>
        </is>
      </c>
      <c r="F108" s="6" t="inlineStr">
        <is>
          <t>PY_SIN</t>
        </is>
      </c>
      <c r="G108" s="6" t="inlineStr">
        <is>
          <t>PY</t>
        </is>
      </c>
      <c r="H108" s="6" t="inlineStr">
        <is>
          <t>PY</t>
        </is>
      </c>
      <c r="I108" s="8" t="n">
        <v>4718</v>
      </c>
      <c r="J108" s="6" t="inlineStr">
        <is>
          <t>MW</t>
        </is>
      </c>
      <c r="K108" s="8" t="n">
        <v>4718</v>
      </c>
      <c r="L108" s="6" t="inlineStr">
        <is>
          <t>MW</t>
        </is>
      </c>
      <c r="M108" s="6" t="inlineStr">
        <is>
          <t>ANDE</t>
        </is>
      </c>
      <c r="N108" s="6" t="inlineStr">
        <is>
          <t>OFFICIAL_PRIMARY</t>
        </is>
      </c>
      <c r="O108" s="9" t="inlineStr">
        <is>
          <t>OFFICIAL_AGGREGATE</t>
        </is>
      </c>
      <c r="P108" s="8" t="n">
        <v>1</v>
      </c>
      <c r="Q108" s="8" t="n">
        <v>50</v>
      </c>
      <c r="R108" s="7" t="inlineStr">
        <is>
          <t>https://www.ande.gov.py/finanzas/BAGP%202025%20ANDE.pdf</t>
        </is>
      </c>
      <c r="S108" s="6" t="inlineStr">
        <is>
          <t>ANDE-BAGP-2025</t>
        </is>
      </c>
      <c r="T108" s="6" t="inlineStr"/>
      <c r="U108" s="4" t="inlineStr">
        <is>
          <t>2026-09-10 23:00:00</t>
        </is>
      </c>
      <c r="V108" s="4" t="inlineStr">
        <is>
          <t>Maximo mensual publicado.</t>
        </is>
      </c>
    </row>
    <row r="109">
      <c r="A109" s="6" t="inlineStr">
        <is>
          <t>R0000113</t>
        </is>
      </c>
      <c r="B109" s="6" t="inlineStr">
        <is>
          <t>2025-11-01</t>
        </is>
      </c>
      <c r="C109" s="6" t="inlineStr">
        <is>
          <t>2025-11-30</t>
        </is>
      </c>
      <c r="D109" s="6" t="inlineStr">
        <is>
          <t>month</t>
        </is>
      </c>
      <c r="E109" s="6" t="inlineStr">
        <is>
          <t>PY_MAX_DEMAND</t>
        </is>
      </c>
      <c r="F109" s="6" t="inlineStr">
        <is>
          <t>PY_SIN</t>
        </is>
      </c>
      <c r="G109" s="6" t="inlineStr">
        <is>
          <t>PY</t>
        </is>
      </c>
      <c r="H109" s="6" t="inlineStr">
        <is>
          <t>PY</t>
        </is>
      </c>
      <c r="I109" s="8" t="n">
        <v>5269</v>
      </c>
      <c r="J109" s="6" t="inlineStr">
        <is>
          <t>MW</t>
        </is>
      </c>
      <c r="K109" s="8" t="n">
        <v>5269</v>
      </c>
      <c r="L109" s="6" t="inlineStr">
        <is>
          <t>MW</t>
        </is>
      </c>
      <c r="M109" s="6" t="inlineStr">
        <is>
          <t>ANDE</t>
        </is>
      </c>
      <c r="N109" s="6" t="inlineStr">
        <is>
          <t>OFFICIAL_PRIMARY</t>
        </is>
      </c>
      <c r="O109" s="9" t="inlineStr">
        <is>
          <t>OFFICIAL_AGGREGATE</t>
        </is>
      </c>
      <c r="P109" s="8" t="n">
        <v>1</v>
      </c>
      <c r="Q109" s="8" t="n">
        <v>50</v>
      </c>
      <c r="R109" s="7" t="inlineStr">
        <is>
          <t>https://www.ande.gov.py/finanzas/BAGP%202025%20ANDE.pdf</t>
        </is>
      </c>
      <c r="S109" s="6" t="inlineStr">
        <is>
          <t>ANDE-BAGP-2025</t>
        </is>
      </c>
      <c r="T109" s="6" t="inlineStr"/>
      <c r="U109" s="4" t="inlineStr">
        <is>
          <t>2026-09-10 23:00:00</t>
        </is>
      </c>
      <c r="V109" s="4" t="inlineStr">
        <is>
          <t>Maximo mensual publicado.</t>
        </is>
      </c>
    </row>
    <row r="110">
      <c r="A110" s="6" t="inlineStr">
        <is>
          <t>R0000114</t>
        </is>
      </c>
      <c r="B110" s="6" t="inlineStr">
        <is>
          <t>2025-12-01</t>
        </is>
      </c>
      <c r="C110" s="6" t="inlineStr">
        <is>
          <t>2025-12-31</t>
        </is>
      </c>
      <c r="D110" s="6" t="inlineStr">
        <is>
          <t>month</t>
        </is>
      </c>
      <c r="E110" s="6" t="inlineStr">
        <is>
          <t>PY_MAX_DEMAND</t>
        </is>
      </c>
      <c r="F110" s="6" t="inlineStr">
        <is>
          <t>PY_SIN</t>
        </is>
      </c>
      <c r="G110" s="6" t="inlineStr">
        <is>
          <t>PY</t>
        </is>
      </c>
      <c r="H110" s="6" t="inlineStr">
        <is>
          <t>PY</t>
        </is>
      </c>
      <c r="I110" s="8" t="n">
        <v>5280</v>
      </c>
      <c r="J110" s="6" t="inlineStr">
        <is>
          <t>MW</t>
        </is>
      </c>
      <c r="K110" s="8" t="n">
        <v>5280</v>
      </c>
      <c r="L110" s="6" t="inlineStr">
        <is>
          <t>MW</t>
        </is>
      </c>
      <c r="M110" s="6" t="inlineStr">
        <is>
          <t>ANDE</t>
        </is>
      </c>
      <c r="N110" s="6" t="inlineStr">
        <is>
          <t>OFFICIAL_PRIMARY</t>
        </is>
      </c>
      <c r="O110" s="9" t="inlineStr">
        <is>
          <t>OFFICIAL_AGGREGATE</t>
        </is>
      </c>
      <c r="P110" s="8" t="n">
        <v>1</v>
      </c>
      <c r="Q110" s="8" t="n">
        <v>50</v>
      </c>
      <c r="R110" s="7" t="inlineStr">
        <is>
          <t>https://www.ande.gov.py/finanzas/BAGP%202025%20ANDE.pdf</t>
        </is>
      </c>
      <c r="S110" s="6" t="inlineStr">
        <is>
          <t>ANDE-BAGP-2025</t>
        </is>
      </c>
      <c r="T110" s="6" t="inlineStr"/>
      <c r="U110" s="4" t="inlineStr">
        <is>
          <t>2026-09-10 23:00:00</t>
        </is>
      </c>
      <c r="V110" s="4" t="inlineStr">
        <is>
          <t>Máximo anual: 5.280 MW; ANDE reportó el récord el 15/12/2025 a las 14:12.</t>
        </is>
      </c>
    </row>
    <row r="111">
      <c r="A111" s="6" t="inlineStr">
        <is>
          <t>R0000115</t>
        </is>
      </c>
      <c r="B111" s="6" t="inlineStr">
        <is>
          <t>2026-01-01</t>
        </is>
      </c>
      <c r="C111" s="6" t="inlineStr">
        <is>
          <t>2026-01-31</t>
        </is>
      </c>
      <c r="D111" s="6" t="inlineStr">
        <is>
          <t>month</t>
        </is>
      </c>
      <c r="E111" s="6" t="inlineStr">
        <is>
          <t>PY_CONSUMPTION_ENERGY</t>
        </is>
      </c>
      <c r="F111" s="6" t="inlineStr">
        <is>
          <t>PY_SIN</t>
        </is>
      </c>
      <c r="G111" s="6" t="inlineStr">
        <is>
          <t>PY</t>
        </is>
      </c>
      <c r="H111" s="6" t="inlineStr">
        <is>
          <t>PY</t>
        </is>
      </c>
      <c r="I111" s="8" t="n">
        <v>3223304</v>
      </c>
      <c r="J111" s="6" t="inlineStr">
        <is>
          <t>MWh</t>
        </is>
      </c>
      <c r="K111" s="8" t="n">
        <v>3223304</v>
      </c>
      <c r="L111" s="6" t="inlineStr">
        <is>
          <t>MWh</t>
        </is>
      </c>
      <c r="M111" s="6" t="inlineStr">
        <is>
          <t>ANDE</t>
        </is>
      </c>
      <c r="N111" s="6" t="inlineStr">
        <is>
          <t>OFFICIAL_PRIMARY</t>
        </is>
      </c>
      <c r="O111" s="9" t="inlineStr">
        <is>
          <t>OFFICIAL_AGGREGATE</t>
        </is>
      </c>
      <c r="P111" s="8" t="n">
        <v>1</v>
      </c>
      <c r="Q111" s="8" t="n">
        <v>50</v>
      </c>
      <c r="R111" s="7" t="inlineStr">
        <is>
          <t>https://www.ande.gov.py/interna.php?id=14950</t>
        </is>
      </c>
      <c r="S111" s="6" t="inlineStr">
        <is>
          <t>ANDE-ENE-2026</t>
        </is>
      </c>
      <c r="T111" s="6" t="inlineStr"/>
      <c r="U111" s="4" t="inlineStr">
        <is>
          <t>2026-09-10 23:00:00</t>
        </is>
      </c>
      <c r="V111" s="4" t="inlineStr">
        <is>
          <t>Consumo/energia abastecida publicada por ANDE.</t>
        </is>
      </c>
    </row>
    <row r="112">
      <c r="A112" s="6" t="inlineStr">
        <is>
          <t>R0000116</t>
        </is>
      </c>
      <c r="B112" s="6" t="inlineStr">
        <is>
          <t>2026-01-01</t>
        </is>
      </c>
      <c r="C112" s="6" t="inlineStr">
        <is>
          <t>2026-01-31</t>
        </is>
      </c>
      <c r="D112" s="6" t="inlineStr">
        <is>
          <t>month</t>
        </is>
      </c>
      <c r="E112" s="6" t="inlineStr">
        <is>
          <t>ENERGY_TO_PY</t>
        </is>
      </c>
      <c r="F112" s="6" t="inlineStr">
        <is>
          <t>ITAIPU</t>
        </is>
      </c>
      <c r="G112" s="6" t="inlineStr">
        <is>
          <t>ITAIPU</t>
        </is>
      </c>
      <c r="H112" s="6" t="inlineStr">
        <is>
          <t>PY</t>
        </is>
      </c>
      <c r="I112" s="8" t="n">
        <v>2619365</v>
      </c>
      <c r="J112" s="6" t="inlineStr">
        <is>
          <t>MWh</t>
        </is>
      </c>
      <c r="K112" s="8" t="n">
        <v>2619365</v>
      </c>
      <c r="L112" s="6" t="inlineStr">
        <is>
          <t>MWh</t>
        </is>
      </c>
      <c r="M112" s="6" t="inlineStr">
        <is>
          <t>ANDE</t>
        </is>
      </c>
      <c r="N112" s="6" t="inlineStr">
        <is>
          <t>OFFICIAL_PRIMARY</t>
        </is>
      </c>
      <c r="O112" s="9" t="inlineStr">
        <is>
          <t>OFFICIAL_AGGREGATE</t>
        </is>
      </c>
      <c r="P112" s="8" t="n">
        <v>1</v>
      </c>
      <c r="Q112" s="8" t="n">
        <v>50</v>
      </c>
      <c r="R112" s="7" t="inlineStr">
        <is>
          <t>https://www.ande.gov.py/interna.php?id=14950</t>
        </is>
      </c>
      <c r="S112" s="6" t="inlineStr">
        <is>
          <t>ANDE-ENE-2026</t>
        </is>
      </c>
      <c r="T112" s="6" t="inlineStr"/>
      <c r="U112" s="4" t="inlineStr">
        <is>
          <t>2026-09-10 23:00:00</t>
        </is>
      </c>
      <c r="V112" s="4" t="inlineStr">
        <is>
          <t>Aporte de Itaipu al SIN paraguayo.</t>
        </is>
      </c>
    </row>
    <row r="113">
      <c r="A113" s="6" t="inlineStr">
        <is>
          <t>R0000117</t>
        </is>
      </c>
      <c r="B113" s="6" t="inlineStr">
        <is>
          <t>2026-01-01</t>
        </is>
      </c>
      <c r="C113" s="6" t="inlineStr">
        <is>
          <t>2026-01-31</t>
        </is>
      </c>
      <c r="D113" s="6" t="inlineStr">
        <is>
          <t>month</t>
        </is>
      </c>
      <c r="E113" s="6" t="inlineStr">
        <is>
          <t>ENERGY_TO_PY</t>
        </is>
      </c>
      <c r="F113" s="6" t="inlineStr">
        <is>
          <t>YACYRETA</t>
        </is>
      </c>
      <c r="G113" s="6" t="inlineStr">
        <is>
          <t>YACYRETA</t>
        </is>
      </c>
      <c r="H113" s="6" t="inlineStr">
        <is>
          <t>PY</t>
        </is>
      </c>
      <c r="I113" s="8" t="n">
        <v>508366</v>
      </c>
      <c r="J113" s="6" t="inlineStr">
        <is>
          <t>MWh</t>
        </is>
      </c>
      <c r="K113" s="8" t="n">
        <v>508366</v>
      </c>
      <c r="L113" s="6" t="inlineStr">
        <is>
          <t>MWh</t>
        </is>
      </c>
      <c r="M113" s="6" t="inlineStr">
        <is>
          <t>ANDE</t>
        </is>
      </c>
      <c r="N113" s="6" t="inlineStr">
        <is>
          <t>OFFICIAL_PRIMARY</t>
        </is>
      </c>
      <c r="O113" s="9" t="inlineStr">
        <is>
          <t>OFFICIAL_AGGREGATE</t>
        </is>
      </c>
      <c r="P113" s="8" t="n">
        <v>1</v>
      </c>
      <c r="Q113" s="8" t="n">
        <v>50</v>
      </c>
      <c r="R113" s="7" t="inlineStr">
        <is>
          <t>https://www.ande.gov.py/interna.php?id=14950</t>
        </is>
      </c>
      <c r="S113" s="6" t="inlineStr">
        <is>
          <t>ANDE-ENE-2026</t>
        </is>
      </c>
      <c r="T113" s="6" t="inlineStr"/>
      <c r="U113" s="4" t="inlineStr">
        <is>
          <t>2026-09-10 23:00:00</t>
        </is>
      </c>
      <c r="V113" s="4" t="inlineStr">
        <is>
          <t>Aporte de Yacyreta al SIN paraguayo.</t>
        </is>
      </c>
    </row>
    <row r="114">
      <c r="A114" s="6" t="inlineStr">
        <is>
          <t>R0000118</t>
        </is>
      </c>
      <c r="B114" s="6" t="inlineStr">
        <is>
          <t>2026-01-01</t>
        </is>
      </c>
      <c r="C114" s="6" t="inlineStr">
        <is>
          <t>2026-01-31</t>
        </is>
      </c>
      <c r="D114" s="6" t="inlineStr">
        <is>
          <t>month</t>
        </is>
      </c>
      <c r="E114" s="6" t="inlineStr">
        <is>
          <t>ENERGY_TO_PY</t>
        </is>
      </c>
      <c r="F114" s="6" t="inlineStr">
        <is>
          <t>ACARAY</t>
        </is>
      </c>
      <c r="G114" s="6" t="inlineStr">
        <is>
          <t>ACARAY</t>
        </is>
      </c>
      <c r="H114" s="6" t="inlineStr">
        <is>
          <t>PY</t>
        </is>
      </c>
      <c r="I114" s="8" t="n">
        <v>95563</v>
      </c>
      <c r="J114" s="6" t="inlineStr">
        <is>
          <t>MWh</t>
        </is>
      </c>
      <c r="K114" s="8" t="n">
        <v>95563</v>
      </c>
      <c r="L114" s="6" t="inlineStr">
        <is>
          <t>MWh</t>
        </is>
      </c>
      <c r="M114" s="6" t="inlineStr">
        <is>
          <t>ANDE</t>
        </is>
      </c>
      <c r="N114" s="6" t="inlineStr">
        <is>
          <t>OFFICIAL_PRIMARY</t>
        </is>
      </c>
      <c r="O114" s="9" t="inlineStr">
        <is>
          <t>OFFICIAL_AGGREGATE</t>
        </is>
      </c>
      <c r="P114" s="8" t="n">
        <v>1</v>
      </c>
      <c r="Q114" s="8" t="n">
        <v>50</v>
      </c>
      <c r="R114" s="7" t="inlineStr">
        <is>
          <t>https://www.ande.gov.py/interna.php?id=14950</t>
        </is>
      </c>
      <c r="S114" s="6" t="inlineStr">
        <is>
          <t>ANDE-ENE-2026</t>
        </is>
      </c>
      <c r="T114" s="6" t="inlineStr"/>
      <c r="U114" s="4" t="inlineStr">
        <is>
          <t>2026-09-10 23:00:00</t>
        </is>
      </c>
      <c r="V114" s="4" t="inlineStr">
        <is>
          <t>Aporte de Acaray al SIN paraguayo.</t>
        </is>
      </c>
    </row>
    <row r="115">
      <c r="A115" s="6" t="inlineStr">
        <is>
          <t>R0000119</t>
        </is>
      </c>
      <c r="B115" s="6" t="inlineStr">
        <is>
          <t>2026-01-01</t>
        </is>
      </c>
      <c r="C115" s="6" t="inlineStr">
        <is>
          <t>2026-01-31</t>
        </is>
      </c>
      <c r="D115" s="6" t="inlineStr">
        <is>
          <t>month</t>
        </is>
      </c>
      <c r="E115" s="6" t="inlineStr">
        <is>
          <t>ENERGY_TO_PY</t>
        </is>
      </c>
      <c r="F115" s="6" t="inlineStr">
        <is>
          <t>SOLAR_PTO_ESPERANZA</t>
        </is>
      </c>
      <c r="G115" s="6" t="inlineStr">
        <is>
          <t>SOLAR_PTO_ESPERANZA</t>
        </is>
      </c>
      <c r="H115" s="6" t="inlineStr">
        <is>
          <t>PY</t>
        </is>
      </c>
      <c r="I115" s="8" t="n">
        <v>10</v>
      </c>
      <c r="J115" s="6" t="inlineStr">
        <is>
          <t>MWh</t>
        </is>
      </c>
      <c r="K115" s="8" t="n">
        <v>10</v>
      </c>
      <c r="L115" s="6" t="inlineStr">
        <is>
          <t>MWh</t>
        </is>
      </c>
      <c r="M115" s="6" t="inlineStr">
        <is>
          <t>ANDE</t>
        </is>
      </c>
      <c r="N115" s="6" t="inlineStr">
        <is>
          <t>OFFICIAL_PRIMARY</t>
        </is>
      </c>
      <c r="O115" s="9" t="inlineStr">
        <is>
          <t>OFFICIAL_AGGREGATE</t>
        </is>
      </c>
      <c r="P115" s="8" t="n">
        <v>1</v>
      </c>
      <c r="Q115" s="8" t="n">
        <v>50</v>
      </c>
      <c r="R115" s="7" t="inlineStr">
        <is>
          <t>https://www.ande.gov.py/interna.php?id=14950</t>
        </is>
      </c>
      <c r="S115" s="6" t="inlineStr">
        <is>
          <t>ANDE-ENE-2026</t>
        </is>
      </c>
      <c r="T115" s="6" t="inlineStr"/>
      <c r="U115" s="4" t="inlineStr">
        <is>
          <t>2026-09-10 23:00:00</t>
        </is>
      </c>
      <c r="V115" s="4" t="inlineStr">
        <is>
          <t>Aporte solar publicado.</t>
        </is>
      </c>
    </row>
    <row r="116">
      <c r="A116" s="6" t="inlineStr">
        <is>
          <t>R0000120</t>
        </is>
      </c>
      <c r="B116" s="6" t="inlineStr">
        <is>
          <t>2026-02-01</t>
        </is>
      </c>
      <c r="C116" s="6" t="inlineStr">
        <is>
          <t>2026-02-28</t>
        </is>
      </c>
      <c r="D116" s="6" t="inlineStr">
        <is>
          <t>month</t>
        </is>
      </c>
      <c r="E116" s="6" t="inlineStr">
        <is>
          <t>PY_CONSUMPTION_ENERGY</t>
        </is>
      </c>
      <c r="F116" s="6" t="inlineStr">
        <is>
          <t>PY_SIN</t>
        </is>
      </c>
      <c r="G116" s="6" t="inlineStr">
        <is>
          <t>PY</t>
        </is>
      </c>
      <c r="H116" s="6" t="inlineStr">
        <is>
          <t>PY</t>
        </is>
      </c>
      <c r="I116" s="8" t="n">
        <v>3087119</v>
      </c>
      <c r="J116" s="6" t="inlineStr">
        <is>
          <t>MWh</t>
        </is>
      </c>
      <c r="K116" s="8" t="n">
        <v>3087119</v>
      </c>
      <c r="L116" s="6" t="inlineStr">
        <is>
          <t>MWh</t>
        </is>
      </c>
      <c r="M116" s="6" t="inlineStr">
        <is>
          <t>ANDE</t>
        </is>
      </c>
      <c r="N116" s="6" t="inlineStr">
        <is>
          <t>OFFICIAL_PRIMARY</t>
        </is>
      </c>
      <c r="O116" s="9" t="inlineStr">
        <is>
          <t>OFFICIAL_AGGREGATE</t>
        </is>
      </c>
      <c r="P116" s="8" t="n">
        <v>1</v>
      </c>
      <c r="Q116" s="8" t="n">
        <v>50</v>
      </c>
      <c r="R116" s="7" t="inlineStr">
        <is>
          <t>https://www.ande.gov.py/interna.php?id=15049</t>
        </is>
      </c>
      <c r="S116" s="6" t="inlineStr">
        <is>
          <t>ANDE-FEB-2026</t>
        </is>
      </c>
      <c r="T116" s="6" t="inlineStr"/>
      <c r="U116" s="4" t="inlineStr">
        <is>
          <t>2026-09-10 23:00:00</t>
        </is>
      </c>
      <c r="V116" s="4" t="inlineStr">
        <is>
          <t>Consumo/energia abastecida publicada por ANDE.</t>
        </is>
      </c>
    </row>
    <row r="117">
      <c r="A117" s="6" t="inlineStr">
        <is>
          <t>R0000121</t>
        </is>
      </c>
      <c r="B117" s="6" t="inlineStr">
        <is>
          <t>2026-02-01</t>
        </is>
      </c>
      <c r="C117" s="6" t="inlineStr">
        <is>
          <t>2026-02-28</t>
        </is>
      </c>
      <c r="D117" s="6" t="inlineStr">
        <is>
          <t>month</t>
        </is>
      </c>
      <c r="E117" s="6" t="inlineStr">
        <is>
          <t>ENERGY_TO_PY</t>
        </is>
      </c>
      <c r="F117" s="6" t="inlineStr">
        <is>
          <t>ITAIPU</t>
        </is>
      </c>
      <c r="G117" s="6" t="inlineStr">
        <is>
          <t>ITAIPU</t>
        </is>
      </c>
      <c r="H117" s="6" t="inlineStr">
        <is>
          <t>PY</t>
        </is>
      </c>
      <c r="I117" s="8" t="n">
        <v>2476926</v>
      </c>
      <c r="J117" s="6" t="inlineStr">
        <is>
          <t>MWh</t>
        </is>
      </c>
      <c r="K117" s="8" t="n">
        <v>2476926</v>
      </c>
      <c r="L117" s="6" t="inlineStr">
        <is>
          <t>MWh</t>
        </is>
      </c>
      <c r="M117" s="6" t="inlineStr">
        <is>
          <t>ANDE</t>
        </is>
      </c>
      <c r="N117" s="6" t="inlineStr">
        <is>
          <t>OFFICIAL_PRIMARY</t>
        </is>
      </c>
      <c r="O117" s="9" t="inlineStr">
        <is>
          <t>OFFICIAL_AGGREGATE</t>
        </is>
      </c>
      <c r="P117" s="8" t="n">
        <v>1</v>
      </c>
      <c r="Q117" s="8" t="n">
        <v>50</v>
      </c>
      <c r="R117" s="7" t="inlineStr">
        <is>
          <t>https://www.ande.gov.py/interna.php?id=15049</t>
        </is>
      </c>
      <c r="S117" s="6" t="inlineStr">
        <is>
          <t>ANDE-FEB-2026</t>
        </is>
      </c>
      <c r="T117" s="6" t="inlineStr"/>
      <c r="U117" s="4" t="inlineStr">
        <is>
          <t>2026-09-10 23:00:00</t>
        </is>
      </c>
      <c r="V117" s="4" t="inlineStr">
        <is>
          <t>Aporte de Itaipu al SIN paraguayo.</t>
        </is>
      </c>
    </row>
    <row r="118">
      <c r="A118" s="6" t="inlineStr">
        <is>
          <t>R0000122</t>
        </is>
      </c>
      <c r="B118" s="6" t="inlineStr">
        <is>
          <t>2026-02-01</t>
        </is>
      </c>
      <c r="C118" s="6" t="inlineStr">
        <is>
          <t>2026-02-28</t>
        </is>
      </c>
      <c r="D118" s="6" t="inlineStr">
        <is>
          <t>month</t>
        </is>
      </c>
      <c r="E118" s="6" t="inlineStr">
        <is>
          <t>ENERGY_TO_PY</t>
        </is>
      </c>
      <c r="F118" s="6" t="inlineStr">
        <is>
          <t>YACYRETA</t>
        </is>
      </c>
      <c r="G118" s="6" t="inlineStr">
        <is>
          <t>YACYRETA</t>
        </is>
      </c>
      <c r="H118" s="6" t="inlineStr">
        <is>
          <t>PY</t>
        </is>
      </c>
      <c r="I118" s="8" t="n">
        <v>533159</v>
      </c>
      <c r="J118" s="6" t="inlineStr">
        <is>
          <t>MWh</t>
        </is>
      </c>
      <c r="K118" s="8" t="n">
        <v>533159</v>
      </c>
      <c r="L118" s="6" t="inlineStr">
        <is>
          <t>MWh</t>
        </is>
      </c>
      <c r="M118" s="6" t="inlineStr">
        <is>
          <t>ANDE</t>
        </is>
      </c>
      <c r="N118" s="6" t="inlineStr">
        <is>
          <t>OFFICIAL_PRIMARY</t>
        </is>
      </c>
      <c r="O118" s="9" t="inlineStr">
        <is>
          <t>OFFICIAL_AGGREGATE</t>
        </is>
      </c>
      <c r="P118" s="8" t="n">
        <v>1</v>
      </c>
      <c r="Q118" s="8" t="n">
        <v>50</v>
      </c>
      <c r="R118" s="7" t="inlineStr">
        <is>
          <t>https://www.ande.gov.py/interna.php?id=15049</t>
        </is>
      </c>
      <c r="S118" s="6" t="inlineStr">
        <is>
          <t>ANDE-FEB-2026</t>
        </is>
      </c>
      <c r="T118" s="6" t="inlineStr"/>
      <c r="U118" s="4" t="inlineStr">
        <is>
          <t>2026-09-10 23:00:00</t>
        </is>
      </c>
      <c r="V118" s="4" t="inlineStr">
        <is>
          <t>Aporte de Yacyreta al SIN paraguayo.</t>
        </is>
      </c>
    </row>
    <row r="119">
      <c r="A119" s="6" t="inlineStr">
        <is>
          <t>R0000123</t>
        </is>
      </c>
      <c r="B119" s="6" t="inlineStr">
        <is>
          <t>2026-02-01</t>
        </is>
      </c>
      <c r="C119" s="6" t="inlineStr">
        <is>
          <t>2026-02-28</t>
        </is>
      </c>
      <c r="D119" s="6" t="inlineStr">
        <is>
          <t>month</t>
        </is>
      </c>
      <c r="E119" s="6" t="inlineStr">
        <is>
          <t>ENERGY_TO_PY</t>
        </is>
      </c>
      <c r="F119" s="6" t="inlineStr">
        <is>
          <t>ACARAY</t>
        </is>
      </c>
      <c r="G119" s="6" t="inlineStr">
        <is>
          <t>ACARAY</t>
        </is>
      </c>
      <c r="H119" s="6" t="inlineStr">
        <is>
          <t>PY</t>
        </is>
      </c>
      <c r="I119" s="8" t="n">
        <v>78025</v>
      </c>
      <c r="J119" s="6" t="inlineStr">
        <is>
          <t>MWh</t>
        </is>
      </c>
      <c r="K119" s="8" t="n">
        <v>78025</v>
      </c>
      <c r="L119" s="6" t="inlineStr">
        <is>
          <t>MWh</t>
        </is>
      </c>
      <c r="M119" s="6" t="inlineStr">
        <is>
          <t>ANDE</t>
        </is>
      </c>
      <c r="N119" s="6" t="inlineStr">
        <is>
          <t>OFFICIAL_PRIMARY</t>
        </is>
      </c>
      <c r="O119" s="9" t="inlineStr">
        <is>
          <t>OFFICIAL_AGGREGATE</t>
        </is>
      </c>
      <c r="P119" s="8" t="n">
        <v>1</v>
      </c>
      <c r="Q119" s="8" t="n">
        <v>50</v>
      </c>
      <c r="R119" s="7" t="inlineStr">
        <is>
          <t>https://www.ande.gov.py/interna.php?id=15049</t>
        </is>
      </c>
      <c r="S119" s="6" t="inlineStr">
        <is>
          <t>ANDE-FEB-2026</t>
        </is>
      </c>
      <c r="T119" s="6" t="inlineStr"/>
      <c r="U119" s="4" t="inlineStr">
        <is>
          <t>2026-09-10 23:00:00</t>
        </is>
      </c>
      <c r="V119" s="4" t="inlineStr">
        <is>
          <t>Aporte de Acaray al SIN paraguayo.</t>
        </is>
      </c>
    </row>
    <row r="120">
      <c r="A120" s="6" t="inlineStr">
        <is>
          <t>R0000124</t>
        </is>
      </c>
      <c r="B120" s="6" t="inlineStr">
        <is>
          <t>2026-02-01</t>
        </is>
      </c>
      <c r="C120" s="6" t="inlineStr">
        <is>
          <t>2026-02-28</t>
        </is>
      </c>
      <c r="D120" s="6" t="inlineStr">
        <is>
          <t>month</t>
        </is>
      </c>
      <c r="E120" s="6" t="inlineStr">
        <is>
          <t>ENERGY_TO_PY</t>
        </is>
      </c>
      <c r="F120" s="6" t="inlineStr">
        <is>
          <t>SOLAR_PTO_ESPERANZA</t>
        </is>
      </c>
      <c r="G120" s="6" t="inlineStr">
        <is>
          <t>SOLAR_PTO_ESPERANZA</t>
        </is>
      </c>
      <c r="H120" s="6" t="inlineStr">
        <is>
          <t>PY</t>
        </is>
      </c>
      <c r="I120" s="8" t="n">
        <v>8.5</v>
      </c>
      <c r="J120" s="6" t="inlineStr">
        <is>
          <t>MWh</t>
        </is>
      </c>
      <c r="K120" s="8" t="n">
        <v>8.5</v>
      </c>
      <c r="L120" s="6" t="inlineStr">
        <is>
          <t>MWh</t>
        </is>
      </c>
      <c r="M120" s="6" t="inlineStr">
        <is>
          <t>ANDE</t>
        </is>
      </c>
      <c r="N120" s="6" t="inlineStr">
        <is>
          <t>OFFICIAL_PRIMARY</t>
        </is>
      </c>
      <c r="O120" s="9" t="inlineStr">
        <is>
          <t>OFFICIAL_AGGREGATE</t>
        </is>
      </c>
      <c r="P120" s="8" t="n">
        <v>1</v>
      </c>
      <c r="Q120" s="8" t="n">
        <v>50</v>
      </c>
      <c r="R120" s="7" t="inlineStr">
        <is>
          <t>https://www.ande.gov.py/interna.php?id=15049</t>
        </is>
      </c>
      <c r="S120" s="6" t="inlineStr">
        <is>
          <t>ANDE-FEB-2026</t>
        </is>
      </c>
      <c r="T120" s="6" t="inlineStr"/>
      <c r="U120" s="4" t="inlineStr">
        <is>
          <t>2026-09-10 23:00:00</t>
        </is>
      </c>
      <c r="V120" s="4" t="inlineStr">
        <is>
          <t>Aporte solar publicado.</t>
        </is>
      </c>
    </row>
    <row r="121">
      <c r="A121" s="6" t="inlineStr">
        <is>
          <t>R0000125</t>
        </is>
      </c>
      <c r="B121" s="6" t="inlineStr">
        <is>
          <t>2026-03-01</t>
        </is>
      </c>
      <c r="C121" s="6" t="inlineStr">
        <is>
          <t>2026-03-31</t>
        </is>
      </c>
      <c r="D121" s="6" t="inlineStr">
        <is>
          <t>month</t>
        </is>
      </c>
      <c r="E121" s="6" t="inlineStr">
        <is>
          <t>PY_CONSUMPTION_ENERGY</t>
        </is>
      </c>
      <c r="F121" s="6" t="inlineStr">
        <is>
          <t>PY_SIN</t>
        </is>
      </c>
      <c r="G121" s="6" t="inlineStr">
        <is>
          <t>PY</t>
        </is>
      </c>
      <c r="H121" s="6" t="inlineStr">
        <is>
          <t>PY</t>
        </is>
      </c>
      <c r="I121" s="8" t="n">
        <v>3271101</v>
      </c>
      <c r="J121" s="6" t="inlineStr">
        <is>
          <t>MWh</t>
        </is>
      </c>
      <c r="K121" s="8" t="n">
        <v>3271101</v>
      </c>
      <c r="L121" s="6" t="inlineStr">
        <is>
          <t>MWh</t>
        </is>
      </c>
      <c r="M121" s="6" t="inlineStr">
        <is>
          <t>ANDE</t>
        </is>
      </c>
      <c r="N121" s="6" t="inlineStr">
        <is>
          <t>OFFICIAL_PRIMARY</t>
        </is>
      </c>
      <c r="O121" s="9" t="inlineStr">
        <is>
          <t>OFFICIAL_AGGREGATE</t>
        </is>
      </c>
      <c r="P121" s="8" t="n">
        <v>1</v>
      </c>
      <c r="Q121" s="8" t="n">
        <v>50</v>
      </c>
      <c r="R121" s="7" t="inlineStr">
        <is>
          <t>https://www.ande.gov.py/interna.php?id=15210</t>
        </is>
      </c>
      <c r="S121" s="6" t="inlineStr">
        <is>
          <t>ANDE-MAR-2026</t>
        </is>
      </c>
      <c r="T121" s="6" t="inlineStr"/>
      <c r="U121" s="4" t="inlineStr">
        <is>
          <t>2026-09-10 23:00:00</t>
        </is>
      </c>
      <c r="V121" s="4" t="inlineStr">
        <is>
          <t>Consumo/energia abastecida publicada por ANDE.</t>
        </is>
      </c>
    </row>
    <row r="122">
      <c r="A122" s="6" t="inlineStr">
        <is>
          <t>R0000126</t>
        </is>
      </c>
      <c r="B122" s="6" t="inlineStr">
        <is>
          <t>2026-03-01</t>
        </is>
      </c>
      <c r="C122" s="6" t="inlineStr">
        <is>
          <t>2026-03-31</t>
        </is>
      </c>
      <c r="D122" s="6" t="inlineStr">
        <is>
          <t>month</t>
        </is>
      </c>
      <c r="E122" s="6" t="inlineStr">
        <is>
          <t>ENERGY_TO_PY</t>
        </is>
      </c>
      <c r="F122" s="6" t="inlineStr">
        <is>
          <t>ITAIPU</t>
        </is>
      </c>
      <c r="G122" s="6" t="inlineStr">
        <is>
          <t>ITAIPU</t>
        </is>
      </c>
      <c r="H122" s="6" t="inlineStr">
        <is>
          <t>PY</t>
        </is>
      </c>
      <c r="I122" s="8" t="n">
        <v>2671573</v>
      </c>
      <c r="J122" s="6" t="inlineStr">
        <is>
          <t>MWh</t>
        </is>
      </c>
      <c r="K122" s="8" t="n">
        <v>2671573</v>
      </c>
      <c r="L122" s="6" t="inlineStr">
        <is>
          <t>MWh</t>
        </is>
      </c>
      <c r="M122" s="6" t="inlineStr">
        <is>
          <t>ANDE</t>
        </is>
      </c>
      <c r="N122" s="6" t="inlineStr">
        <is>
          <t>OFFICIAL_PRIMARY</t>
        </is>
      </c>
      <c r="O122" s="9" t="inlineStr">
        <is>
          <t>OFFICIAL_AGGREGATE</t>
        </is>
      </c>
      <c r="P122" s="8" t="n">
        <v>1</v>
      </c>
      <c r="Q122" s="8" t="n">
        <v>50</v>
      </c>
      <c r="R122" s="7" t="inlineStr">
        <is>
          <t>https://www.ande.gov.py/interna.php?id=15210</t>
        </is>
      </c>
      <c r="S122" s="6" t="inlineStr">
        <is>
          <t>ANDE-MAR-2026</t>
        </is>
      </c>
      <c r="T122" s="6" t="inlineStr"/>
      <c r="U122" s="4" t="inlineStr">
        <is>
          <t>2026-09-10 23:00:00</t>
        </is>
      </c>
      <c r="V122" s="4" t="inlineStr">
        <is>
          <t>Aporte de Itaipu al SIN paraguayo.</t>
        </is>
      </c>
    </row>
    <row r="123">
      <c r="A123" s="6" t="inlineStr">
        <is>
          <t>R0000127</t>
        </is>
      </c>
      <c r="B123" s="6" t="inlineStr">
        <is>
          <t>2026-03-01</t>
        </is>
      </c>
      <c r="C123" s="6" t="inlineStr">
        <is>
          <t>2026-03-31</t>
        </is>
      </c>
      <c r="D123" s="6" t="inlineStr">
        <is>
          <t>month</t>
        </is>
      </c>
      <c r="E123" s="6" t="inlineStr">
        <is>
          <t>ENERGY_TO_PY</t>
        </is>
      </c>
      <c r="F123" s="6" t="inlineStr">
        <is>
          <t>YACYRETA</t>
        </is>
      </c>
      <c r="G123" s="6" t="inlineStr">
        <is>
          <t>YACYRETA</t>
        </is>
      </c>
      <c r="H123" s="6" t="inlineStr">
        <is>
          <t>PY</t>
        </is>
      </c>
      <c r="I123" s="8" t="n">
        <v>521091</v>
      </c>
      <c r="J123" s="6" t="inlineStr">
        <is>
          <t>MWh</t>
        </is>
      </c>
      <c r="K123" s="8" t="n">
        <v>521091</v>
      </c>
      <c r="L123" s="6" t="inlineStr">
        <is>
          <t>MWh</t>
        </is>
      </c>
      <c r="M123" s="6" t="inlineStr">
        <is>
          <t>ANDE</t>
        </is>
      </c>
      <c r="N123" s="6" t="inlineStr">
        <is>
          <t>OFFICIAL_PRIMARY</t>
        </is>
      </c>
      <c r="O123" s="9" t="inlineStr">
        <is>
          <t>OFFICIAL_AGGREGATE</t>
        </is>
      </c>
      <c r="P123" s="8" t="n">
        <v>1</v>
      </c>
      <c r="Q123" s="8" t="n">
        <v>50</v>
      </c>
      <c r="R123" s="7" t="inlineStr">
        <is>
          <t>https://www.ande.gov.py/interna.php?id=15210</t>
        </is>
      </c>
      <c r="S123" s="6" t="inlineStr">
        <is>
          <t>ANDE-MAR-2026</t>
        </is>
      </c>
      <c r="T123" s="6" t="inlineStr"/>
      <c r="U123" s="4" t="inlineStr">
        <is>
          <t>2026-09-10 23:00:00</t>
        </is>
      </c>
      <c r="V123" s="4" t="inlineStr">
        <is>
          <t>Aporte de Yacyreta al SIN paraguayo.</t>
        </is>
      </c>
    </row>
    <row r="124">
      <c r="A124" s="6" t="inlineStr">
        <is>
          <t>R0000128</t>
        </is>
      </c>
      <c r="B124" s="6" t="inlineStr">
        <is>
          <t>2026-03-01</t>
        </is>
      </c>
      <c r="C124" s="6" t="inlineStr">
        <is>
          <t>2026-03-31</t>
        </is>
      </c>
      <c r="D124" s="6" t="inlineStr">
        <is>
          <t>month</t>
        </is>
      </c>
      <c r="E124" s="6" t="inlineStr">
        <is>
          <t>ENERGY_TO_PY</t>
        </is>
      </c>
      <c r="F124" s="6" t="inlineStr">
        <is>
          <t>ACARAY</t>
        </is>
      </c>
      <c r="G124" s="6" t="inlineStr">
        <is>
          <t>ACARAY</t>
        </is>
      </c>
      <c r="H124" s="6" t="inlineStr">
        <is>
          <t>PY</t>
        </is>
      </c>
      <c r="I124" s="8" t="n">
        <v>78428</v>
      </c>
      <c r="J124" s="6" t="inlineStr">
        <is>
          <t>MWh</t>
        </is>
      </c>
      <c r="K124" s="8" t="n">
        <v>78428</v>
      </c>
      <c r="L124" s="6" t="inlineStr">
        <is>
          <t>MWh</t>
        </is>
      </c>
      <c r="M124" s="6" t="inlineStr">
        <is>
          <t>ANDE</t>
        </is>
      </c>
      <c r="N124" s="6" t="inlineStr">
        <is>
          <t>OFFICIAL_PRIMARY</t>
        </is>
      </c>
      <c r="O124" s="9" t="inlineStr">
        <is>
          <t>OFFICIAL_AGGREGATE</t>
        </is>
      </c>
      <c r="P124" s="8" t="n">
        <v>1</v>
      </c>
      <c r="Q124" s="8" t="n">
        <v>50</v>
      </c>
      <c r="R124" s="7" t="inlineStr">
        <is>
          <t>https://www.ande.gov.py/interna.php?id=15210</t>
        </is>
      </c>
      <c r="S124" s="6" t="inlineStr">
        <is>
          <t>ANDE-MAR-2026</t>
        </is>
      </c>
      <c r="T124" s="6" t="inlineStr"/>
      <c r="U124" s="4" t="inlineStr">
        <is>
          <t>2026-09-10 23:00:00</t>
        </is>
      </c>
      <c r="V124" s="4" t="inlineStr">
        <is>
          <t>Aporte de Acaray al SIN paraguayo.</t>
        </is>
      </c>
    </row>
    <row r="125">
      <c r="A125" s="6" t="inlineStr">
        <is>
          <t>R0000129</t>
        </is>
      </c>
      <c r="B125" s="6" t="inlineStr">
        <is>
          <t>2026-03-01</t>
        </is>
      </c>
      <c r="C125" s="6" t="inlineStr">
        <is>
          <t>2026-03-31</t>
        </is>
      </c>
      <c r="D125" s="6" t="inlineStr">
        <is>
          <t>month</t>
        </is>
      </c>
      <c r="E125" s="6" t="inlineStr">
        <is>
          <t>ENERGY_TO_PY</t>
        </is>
      </c>
      <c r="F125" s="6" t="inlineStr">
        <is>
          <t>SOLAR_PTO_ESPERANZA</t>
        </is>
      </c>
      <c r="G125" s="6" t="inlineStr">
        <is>
          <t>SOLAR_PTO_ESPERANZA</t>
        </is>
      </c>
      <c r="H125" s="6" t="inlineStr">
        <is>
          <t>PY</t>
        </is>
      </c>
      <c r="I125" s="8" t="n">
        <v>9</v>
      </c>
      <c r="J125" s="6" t="inlineStr">
        <is>
          <t>MWh</t>
        </is>
      </c>
      <c r="K125" s="8" t="n">
        <v>9</v>
      </c>
      <c r="L125" s="6" t="inlineStr">
        <is>
          <t>MWh</t>
        </is>
      </c>
      <c r="M125" s="6" t="inlineStr">
        <is>
          <t>ANDE</t>
        </is>
      </c>
      <c r="N125" s="6" t="inlineStr">
        <is>
          <t>OFFICIAL_PRIMARY</t>
        </is>
      </c>
      <c r="O125" s="9" t="inlineStr">
        <is>
          <t>OFFICIAL_AGGREGATE</t>
        </is>
      </c>
      <c r="P125" s="8" t="n">
        <v>1</v>
      </c>
      <c r="Q125" s="8" t="n">
        <v>50</v>
      </c>
      <c r="R125" s="7" t="inlineStr">
        <is>
          <t>https://www.ande.gov.py/interna.php?id=15210</t>
        </is>
      </c>
      <c r="S125" s="6" t="inlineStr">
        <is>
          <t>ANDE-MAR-2026</t>
        </is>
      </c>
      <c r="T125" s="6" t="inlineStr"/>
      <c r="U125" s="4" t="inlineStr">
        <is>
          <t>2026-09-10 23:00:00</t>
        </is>
      </c>
      <c r="V125" s="4" t="inlineStr">
        <is>
          <t>Aporte solar publicado.</t>
        </is>
      </c>
    </row>
    <row r="126">
      <c r="A126" s="6" t="inlineStr">
        <is>
          <t>R0000130</t>
        </is>
      </c>
      <c r="B126" s="6" t="inlineStr">
        <is>
          <t>2026-04-01</t>
        </is>
      </c>
      <c r="C126" s="6" t="inlineStr">
        <is>
          <t>2026-04-30</t>
        </is>
      </c>
      <c r="D126" s="6" t="inlineStr">
        <is>
          <t>month</t>
        </is>
      </c>
      <c r="E126" s="6" t="inlineStr">
        <is>
          <t>PY_CONSUMPTION_ENERGY</t>
        </is>
      </c>
      <c r="F126" s="6" t="inlineStr">
        <is>
          <t>PY_SIN</t>
        </is>
      </c>
      <c r="G126" s="6" t="inlineStr">
        <is>
          <t>PY</t>
        </is>
      </c>
      <c r="H126" s="6" t="inlineStr">
        <is>
          <t>PY</t>
        </is>
      </c>
      <c r="I126" s="8" t="n">
        <v>2643200</v>
      </c>
      <c r="J126" s="6" t="inlineStr">
        <is>
          <t>MWh</t>
        </is>
      </c>
      <c r="K126" s="8" t="n">
        <v>2643200</v>
      </c>
      <c r="L126" s="6" t="inlineStr">
        <is>
          <t>MWh</t>
        </is>
      </c>
      <c r="M126" s="6" t="inlineStr">
        <is>
          <t>ANDE</t>
        </is>
      </c>
      <c r="N126" s="6" t="inlineStr">
        <is>
          <t>OFFICIAL_PRIMARY</t>
        </is>
      </c>
      <c r="O126" s="9" t="inlineStr">
        <is>
          <t>OFFICIAL_AGGREGATE</t>
        </is>
      </c>
      <c r="P126" s="8" t="n">
        <v>1</v>
      </c>
      <c r="Q126" s="8" t="n">
        <v>50</v>
      </c>
      <c r="R126" s="7" t="inlineStr">
        <is>
          <t>https://www.ande.gov.py/interna.php?id=15297</t>
        </is>
      </c>
      <c r="S126" s="6" t="inlineStr">
        <is>
          <t>ANDE-ABR-2026</t>
        </is>
      </c>
      <c r="T126" s="6" t="inlineStr"/>
      <c r="U126" s="4" t="inlineStr">
        <is>
          <t>2026-09-10 23:00:00</t>
        </is>
      </c>
      <c r="V126" s="4" t="inlineStr">
        <is>
          <t>Consumo/energia abastecida publicada por ANDE.</t>
        </is>
      </c>
    </row>
    <row r="127">
      <c r="A127" s="6" t="inlineStr">
        <is>
          <t>R0000131</t>
        </is>
      </c>
      <c r="B127" s="6" t="inlineStr">
        <is>
          <t>2026-04-01</t>
        </is>
      </c>
      <c r="C127" s="6" t="inlineStr">
        <is>
          <t>2026-04-30</t>
        </is>
      </c>
      <c r="D127" s="6" t="inlineStr">
        <is>
          <t>month</t>
        </is>
      </c>
      <c r="E127" s="6" t="inlineStr">
        <is>
          <t>ENERGY_TO_PY</t>
        </is>
      </c>
      <c r="F127" s="6" t="inlineStr">
        <is>
          <t>ITAIPU</t>
        </is>
      </c>
      <c r="G127" s="6" t="inlineStr">
        <is>
          <t>ITAIPU</t>
        </is>
      </c>
      <c r="H127" s="6" t="inlineStr">
        <is>
          <t>PY</t>
        </is>
      </c>
      <c r="I127" s="8" t="n">
        <v>2403300</v>
      </c>
      <c r="J127" s="6" t="inlineStr">
        <is>
          <t>MWh</t>
        </is>
      </c>
      <c r="K127" s="8" t="n">
        <v>2403300</v>
      </c>
      <c r="L127" s="6" t="inlineStr">
        <is>
          <t>MWh</t>
        </is>
      </c>
      <c r="M127" s="6" t="inlineStr">
        <is>
          <t>ANDE</t>
        </is>
      </c>
      <c r="N127" s="6" t="inlineStr">
        <is>
          <t>OFFICIAL_PRIMARY</t>
        </is>
      </c>
      <c r="O127" s="9" t="inlineStr">
        <is>
          <t>OFFICIAL_AGGREGATE</t>
        </is>
      </c>
      <c r="P127" s="8" t="n">
        <v>1</v>
      </c>
      <c r="Q127" s="8" t="n">
        <v>50</v>
      </c>
      <c r="R127" s="7" t="inlineStr">
        <is>
          <t>https://www.ande.gov.py/interna.php?id=15297</t>
        </is>
      </c>
      <c r="S127" s="6" t="inlineStr">
        <is>
          <t>ANDE-ABR-2026</t>
        </is>
      </c>
      <c r="T127" s="6" t="inlineStr"/>
      <c r="U127" s="4" t="inlineStr">
        <is>
          <t>2026-09-10 23:00:00</t>
        </is>
      </c>
      <c r="V127" s="4" t="inlineStr">
        <is>
          <t>Aporte de Itaipu al SIN paraguayo.</t>
        </is>
      </c>
    </row>
    <row r="128">
      <c r="A128" s="6" t="inlineStr">
        <is>
          <t>R0000132</t>
        </is>
      </c>
      <c r="B128" s="6" t="inlineStr">
        <is>
          <t>2026-04-01</t>
        </is>
      </c>
      <c r="C128" s="6" t="inlineStr">
        <is>
          <t>2026-04-30</t>
        </is>
      </c>
      <c r="D128" s="6" t="inlineStr">
        <is>
          <t>month</t>
        </is>
      </c>
      <c r="E128" s="6" t="inlineStr">
        <is>
          <t>ENERGY_TO_PY</t>
        </is>
      </c>
      <c r="F128" s="6" t="inlineStr">
        <is>
          <t>YACYRETA</t>
        </is>
      </c>
      <c r="G128" s="6" t="inlineStr">
        <is>
          <t>YACYRETA</t>
        </is>
      </c>
      <c r="H128" s="6" t="inlineStr">
        <is>
          <t>PY</t>
        </is>
      </c>
      <c r="I128" s="8" t="n">
        <v>186100</v>
      </c>
      <c r="J128" s="6" t="inlineStr">
        <is>
          <t>MWh</t>
        </is>
      </c>
      <c r="K128" s="8" t="n">
        <v>186100</v>
      </c>
      <c r="L128" s="6" t="inlineStr">
        <is>
          <t>MWh</t>
        </is>
      </c>
      <c r="M128" s="6" t="inlineStr">
        <is>
          <t>ANDE</t>
        </is>
      </c>
      <c r="N128" s="6" t="inlineStr">
        <is>
          <t>OFFICIAL_PRIMARY</t>
        </is>
      </c>
      <c r="O128" s="9" t="inlineStr">
        <is>
          <t>OFFICIAL_AGGREGATE</t>
        </is>
      </c>
      <c r="P128" s="8" t="n">
        <v>1</v>
      </c>
      <c r="Q128" s="8" t="n">
        <v>50</v>
      </c>
      <c r="R128" s="7" t="inlineStr">
        <is>
          <t>https://www.ande.gov.py/interna.php?id=15297</t>
        </is>
      </c>
      <c r="S128" s="6" t="inlineStr">
        <is>
          <t>ANDE-ABR-2026</t>
        </is>
      </c>
      <c r="T128" s="6" t="inlineStr"/>
      <c r="U128" s="4" t="inlineStr">
        <is>
          <t>2026-09-10 23:00:00</t>
        </is>
      </c>
      <c r="V128" s="4" t="inlineStr">
        <is>
          <t>Aporte de Yacyreta al SIN paraguayo.</t>
        </is>
      </c>
    </row>
    <row r="129">
      <c r="A129" s="6" t="inlineStr">
        <is>
          <t>R0000133</t>
        </is>
      </c>
      <c r="B129" s="6" t="inlineStr">
        <is>
          <t>2026-04-01</t>
        </is>
      </c>
      <c r="C129" s="6" t="inlineStr">
        <is>
          <t>2026-04-30</t>
        </is>
      </c>
      <c r="D129" s="6" t="inlineStr">
        <is>
          <t>month</t>
        </is>
      </c>
      <c r="E129" s="6" t="inlineStr">
        <is>
          <t>ENERGY_TO_PY</t>
        </is>
      </c>
      <c r="F129" s="6" t="inlineStr">
        <is>
          <t>ACARAY</t>
        </is>
      </c>
      <c r="G129" s="6" t="inlineStr">
        <is>
          <t>ACARAY</t>
        </is>
      </c>
      <c r="H129" s="6" t="inlineStr">
        <is>
          <t>PY</t>
        </is>
      </c>
      <c r="I129" s="8" t="n">
        <v>53700</v>
      </c>
      <c r="J129" s="6" t="inlineStr">
        <is>
          <t>MWh</t>
        </is>
      </c>
      <c r="K129" s="8" t="n">
        <v>53700</v>
      </c>
      <c r="L129" s="6" t="inlineStr">
        <is>
          <t>MWh</t>
        </is>
      </c>
      <c r="M129" s="6" t="inlineStr">
        <is>
          <t>ANDE</t>
        </is>
      </c>
      <c r="N129" s="6" t="inlineStr">
        <is>
          <t>OFFICIAL_PRIMARY</t>
        </is>
      </c>
      <c r="O129" s="9" t="inlineStr">
        <is>
          <t>OFFICIAL_AGGREGATE</t>
        </is>
      </c>
      <c r="P129" s="8" t="n">
        <v>1</v>
      </c>
      <c r="Q129" s="8" t="n">
        <v>50</v>
      </c>
      <c r="R129" s="7" t="inlineStr">
        <is>
          <t>https://www.ande.gov.py/interna.php?id=15297</t>
        </is>
      </c>
      <c r="S129" s="6" t="inlineStr">
        <is>
          <t>ANDE-ABR-2026</t>
        </is>
      </c>
      <c r="T129" s="6" t="inlineStr"/>
      <c r="U129" s="4" t="inlineStr">
        <is>
          <t>2026-09-10 23:00:00</t>
        </is>
      </c>
      <c r="V129" s="4" t="inlineStr">
        <is>
          <t>Aporte de Acaray al SIN paraguayo.</t>
        </is>
      </c>
    </row>
    <row r="130">
      <c r="A130" s="6" t="inlineStr">
        <is>
          <t>R0000134</t>
        </is>
      </c>
      <c r="B130" s="6" t="inlineStr">
        <is>
          <t>2026-04-01</t>
        </is>
      </c>
      <c r="C130" s="6" t="inlineStr">
        <is>
          <t>2026-04-30</t>
        </is>
      </c>
      <c r="D130" s="6" t="inlineStr">
        <is>
          <t>month</t>
        </is>
      </c>
      <c r="E130" s="6" t="inlineStr">
        <is>
          <t>ENERGY_TO_PY</t>
        </is>
      </c>
      <c r="F130" s="6" t="inlineStr">
        <is>
          <t>SOLAR_PTO_ESPERANZA</t>
        </is>
      </c>
      <c r="G130" s="6" t="inlineStr">
        <is>
          <t>SOLAR_PTO_ESPERANZA</t>
        </is>
      </c>
      <c r="H130" s="6" t="inlineStr">
        <is>
          <t>PY</t>
        </is>
      </c>
      <c r="I130" s="8" t="n">
        <v>30</v>
      </c>
      <c r="J130" s="6" t="inlineStr">
        <is>
          <t>MWh</t>
        </is>
      </c>
      <c r="K130" s="8" t="n">
        <v>30</v>
      </c>
      <c r="L130" s="6" t="inlineStr">
        <is>
          <t>MWh</t>
        </is>
      </c>
      <c r="M130" s="6" t="inlineStr">
        <is>
          <t>ANDE</t>
        </is>
      </c>
      <c r="N130" s="6" t="inlineStr">
        <is>
          <t>OFFICIAL_PRIMARY</t>
        </is>
      </c>
      <c r="O130" s="9" t="inlineStr">
        <is>
          <t>OFFICIAL_AGGREGATE</t>
        </is>
      </c>
      <c r="P130" s="8" t="n">
        <v>1</v>
      </c>
      <c r="Q130" s="8" t="n">
        <v>50</v>
      </c>
      <c r="R130" s="7" t="inlineStr">
        <is>
          <t>https://www.ande.gov.py/interna.php?id=15297</t>
        </is>
      </c>
      <c r="S130" s="6" t="inlineStr">
        <is>
          <t>ANDE-ABR-2026</t>
        </is>
      </c>
      <c r="T130" s="6" t="inlineStr"/>
      <c r="U130" s="4" t="inlineStr">
        <is>
          <t>2026-09-10 23:00:00</t>
        </is>
      </c>
      <c r="V130" s="4" t="inlineStr">
        <is>
          <t>Aporte solar publicado.</t>
        </is>
      </c>
    </row>
    <row r="131">
      <c r="A131" s="6" t="inlineStr">
        <is>
          <t>R0000135</t>
        </is>
      </c>
      <c r="B131" s="6" t="inlineStr">
        <is>
          <t>2026-05-01</t>
        </is>
      </c>
      <c r="C131" s="6" t="inlineStr">
        <is>
          <t>2026-05-31</t>
        </is>
      </c>
      <c r="D131" s="6" t="inlineStr">
        <is>
          <t>month</t>
        </is>
      </c>
      <c r="E131" s="6" t="inlineStr">
        <is>
          <t>PY_CONSUMPTION_ENERGY</t>
        </is>
      </c>
      <c r="F131" s="6" t="inlineStr">
        <is>
          <t>PY_SIN</t>
        </is>
      </c>
      <c r="G131" s="6" t="inlineStr">
        <is>
          <t>PY</t>
        </is>
      </c>
      <c r="H131" s="6" t="inlineStr">
        <is>
          <t>PY</t>
        </is>
      </c>
      <c r="I131" s="8" t="n">
        <v>2382800</v>
      </c>
      <c r="J131" s="6" t="inlineStr">
        <is>
          <t>MWh</t>
        </is>
      </c>
      <c r="K131" s="8" t="n">
        <v>2382800</v>
      </c>
      <c r="L131" s="6" t="inlineStr">
        <is>
          <t>MWh</t>
        </is>
      </c>
      <c r="M131" s="6" t="inlineStr">
        <is>
          <t>ANDE</t>
        </is>
      </c>
      <c r="N131" s="6" t="inlineStr">
        <is>
          <t>OFFICIAL_PRIMARY</t>
        </is>
      </c>
      <c r="O131" s="9" t="inlineStr">
        <is>
          <t>OFFICIAL_AGGREGATE</t>
        </is>
      </c>
      <c r="P131" s="8" t="n">
        <v>1</v>
      </c>
      <c r="Q131" s="8" t="n">
        <v>50</v>
      </c>
      <c r="R131" s="7" t="inlineStr">
        <is>
          <t>https://www.ande.gov.py/interna.php?id=15361</t>
        </is>
      </c>
      <c r="S131" s="6" t="inlineStr">
        <is>
          <t>ANDE-MAY-2026</t>
        </is>
      </c>
      <c r="T131" s="6" t="inlineStr"/>
      <c r="U131" s="4" t="inlineStr">
        <is>
          <t>2026-09-10 23:00:00</t>
        </is>
      </c>
      <c r="V131" s="4" t="inlineStr">
        <is>
          <t>Consumo/energia abastecida publicada por ANDE.</t>
        </is>
      </c>
    </row>
    <row r="132">
      <c r="A132" s="6" t="inlineStr">
        <is>
          <t>R0000136</t>
        </is>
      </c>
      <c r="B132" s="6" t="inlineStr">
        <is>
          <t>2026-05-01</t>
        </is>
      </c>
      <c r="C132" s="6" t="inlineStr">
        <is>
          <t>2026-05-31</t>
        </is>
      </c>
      <c r="D132" s="6" t="inlineStr">
        <is>
          <t>month</t>
        </is>
      </c>
      <c r="E132" s="6" t="inlineStr">
        <is>
          <t>ENERGY_TO_PY</t>
        </is>
      </c>
      <c r="F132" s="6" t="inlineStr">
        <is>
          <t>ITAIPU</t>
        </is>
      </c>
      <c r="G132" s="6" t="inlineStr">
        <is>
          <t>ITAIPU</t>
        </is>
      </c>
      <c r="H132" s="6" t="inlineStr">
        <is>
          <t>PY</t>
        </is>
      </c>
      <c r="I132" s="8" t="n">
        <v>2262200</v>
      </c>
      <c r="J132" s="6" t="inlineStr">
        <is>
          <t>MWh</t>
        </is>
      </c>
      <c r="K132" s="8" t="n">
        <v>2262200</v>
      </c>
      <c r="L132" s="6" t="inlineStr">
        <is>
          <t>MWh</t>
        </is>
      </c>
      <c r="M132" s="6" t="inlineStr">
        <is>
          <t>ANDE</t>
        </is>
      </c>
      <c r="N132" s="6" t="inlineStr">
        <is>
          <t>OFFICIAL_PRIMARY</t>
        </is>
      </c>
      <c r="O132" s="9" t="inlineStr">
        <is>
          <t>OFFICIAL_AGGREGATE</t>
        </is>
      </c>
      <c r="P132" s="8" t="n">
        <v>1</v>
      </c>
      <c r="Q132" s="8" t="n">
        <v>50</v>
      </c>
      <c r="R132" s="7" t="inlineStr">
        <is>
          <t>https://www.ande.gov.py/interna.php?id=15361</t>
        </is>
      </c>
      <c r="S132" s="6" t="inlineStr">
        <is>
          <t>ANDE-MAY-2026</t>
        </is>
      </c>
      <c r="T132" s="6" t="inlineStr"/>
      <c r="U132" s="4" t="inlineStr">
        <is>
          <t>2026-09-10 23:00:00</t>
        </is>
      </c>
      <c r="V132" s="4" t="inlineStr">
        <is>
          <t>Aporte de Itaipu al SIN paraguayo.</t>
        </is>
      </c>
    </row>
    <row r="133">
      <c r="A133" s="6" t="inlineStr">
        <is>
          <t>R0000137</t>
        </is>
      </c>
      <c r="B133" s="6" t="inlineStr">
        <is>
          <t>2026-05-01</t>
        </is>
      </c>
      <c r="C133" s="6" t="inlineStr">
        <is>
          <t>2026-05-31</t>
        </is>
      </c>
      <c r="D133" s="6" t="inlineStr">
        <is>
          <t>month</t>
        </is>
      </c>
      <c r="E133" s="6" t="inlineStr">
        <is>
          <t>ENERGY_TO_PY</t>
        </is>
      </c>
      <c r="F133" s="6" t="inlineStr">
        <is>
          <t>YACYRETA</t>
        </is>
      </c>
      <c r="G133" s="6" t="inlineStr">
        <is>
          <t>YACYRETA</t>
        </is>
      </c>
      <c r="H133" s="6" t="inlineStr">
        <is>
          <t>PY</t>
        </is>
      </c>
      <c r="I133" s="8" t="n">
        <v>81100</v>
      </c>
      <c r="J133" s="6" t="inlineStr">
        <is>
          <t>MWh</t>
        </is>
      </c>
      <c r="K133" s="8" t="n">
        <v>81100</v>
      </c>
      <c r="L133" s="6" t="inlineStr">
        <is>
          <t>MWh</t>
        </is>
      </c>
      <c r="M133" s="6" t="inlineStr">
        <is>
          <t>ANDE</t>
        </is>
      </c>
      <c r="N133" s="6" t="inlineStr">
        <is>
          <t>OFFICIAL_PRIMARY</t>
        </is>
      </c>
      <c r="O133" s="9" t="inlineStr">
        <is>
          <t>OFFICIAL_AGGREGATE</t>
        </is>
      </c>
      <c r="P133" s="8" t="n">
        <v>1</v>
      </c>
      <c r="Q133" s="8" t="n">
        <v>50</v>
      </c>
      <c r="R133" s="7" t="inlineStr">
        <is>
          <t>https://www.ande.gov.py/interna.php?id=15361</t>
        </is>
      </c>
      <c r="S133" s="6" t="inlineStr">
        <is>
          <t>ANDE-MAY-2026</t>
        </is>
      </c>
      <c r="T133" s="6" t="inlineStr"/>
      <c r="U133" s="4" t="inlineStr">
        <is>
          <t>2026-09-10 23:00:00</t>
        </is>
      </c>
      <c r="V133" s="4" t="inlineStr">
        <is>
          <t>Aporte de Yacyreta al SIN paraguayo.</t>
        </is>
      </c>
    </row>
    <row r="134">
      <c r="A134" s="6" t="inlineStr">
        <is>
          <t>R0000138</t>
        </is>
      </c>
      <c r="B134" s="6" t="inlineStr">
        <is>
          <t>2026-05-01</t>
        </is>
      </c>
      <c r="C134" s="6" t="inlineStr">
        <is>
          <t>2026-05-31</t>
        </is>
      </c>
      <c r="D134" s="6" t="inlineStr">
        <is>
          <t>month</t>
        </is>
      </c>
      <c r="E134" s="6" t="inlineStr">
        <is>
          <t>ENERGY_TO_PY</t>
        </is>
      </c>
      <c r="F134" s="6" t="inlineStr">
        <is>
          <t>ACARAY</t>
        </is>
      </c>
      <c r="G134" s="6" t="inlineStr">
        <is>
          <t>ACARAY</t>
        </is>
      </c>
      <c r="H134" s="6" t="inlineStr">
        <is>
          <t>PY</t>
        </is>
      </c>
      <c r="I134" s="8" t="n">
        <v>39500</v>
      </c>
      <c r="J134" s="6" t="inlineStr">
        <is>
          <t>MWh</t>
        </is>
      </c>
      <c r="K134" s="8" t="n">
        <v>39500</v>
      </c>
      <c r="L134" s="6" t="inlineStr">
        <is>
          <t>MWh</t>
        </is>
      </c>
      <c r="M134" s="6" t="inlineStr">
        <is>
          <t>ANDE</t>
        </is>
      </c>
      <c r="N134" s="6" t="inlineStr">
        <is>
          <t>OFFICIAL_PRIMARY</t>
        </is>
      </c>
      <c r="O134" s="9" t="inlineStr">
        <is>
          <t>OFFICIAL_AGGREGATE</t>
        </is>
      </c>
      <c r="P134" s="8" t="n">
        <v>1</v>
      </c>
      <c r="Q134" s="8" t="n">
        <v>50</v>
      </c>
      <c r="R134" s="7" t="inlineStr">
        <is>
          <t>https://www.ande.gov.py/interna.php?id=15361</t>
        </is>
      </c>
      <c r="S134" s="6" t="inlineStr">
        <is>
          <t>ANDE-MAY-2026</t>
        </is>
      </c>
      <c r="T134" s="6" t="inlineStr"/>
      <c r="U134" s="4" t="inlineStr">
        <is>
          <t>2026-09-10 23:00:00</t>
        </is>
      </c>
      <c r="V134" s="4" t="inlineStr">
        <is>
          <t>Aporte de Acaray al SIN paraguayo.</t>
        </is>
      </c>
    </row>
    <row r="135">
      <c r="A135" s="6" t="inlineStr">
        <is>
          <t>R0000139</t>
        </is>
      </c>
      <c r="B135" s="6" t="inlineStr">
        <is>
          <t>2026-05-01</t>
        </is>
      </c>
      <c r="C135" s="6" t="inlineStr">
        <is>
          <t>2026-05-31</t>
        </is>
      </c>
      <c r="D135" s="6" t="inlineStr">
        <is>
          <t>month</t>
        </is>
      </c>
      <c r="E135" s="6" t="inlineStr">
        <is>
          <t>ENERGY_TO_PY</t>
        </is>
      </c>
      <c r="F135" s="6" t="inlineStr">
        <is>
          <t>SOLAR_PTO_ESPERANZA</t>
        </is>
      </c>
      <c r="G135" s="6" t="inlineStr">
        <is>
          <t>SOLAR_PTO_ESPERANZA</t>
        </is>
      </c>
      <c r="H135" s="6" t="inlineStr">
        <is>
          <t>PY</t>
        </is>
      </c>
      <c r="I135" s="8" t="n">
        <v>27.56</v>
      </c>
      <c r="J135" s="6" t="inlineStr">
        <is>
          <t>MWh</t>
        </is>
      </c>
      <c r="K135" s="8" t="n">
        <v>27.56</v>
      </c>
      <c r="L135" s="6" t="inlineStr">
        <is>
          <t>MWh</t>
        </is>
      </c>
      <c r="M135" s="6" t="inlineStr">
        <is>
          <t>ANDE</t>
        </is>
      </c>
      <c r="N135" s="6" t="inlineStr">
        <is>
          <t>OFFICIAL_PRIMARY</t>
        </is>
      </c>
      <c r="O135" s="9" t="inlineStr">
        <is>
          <t>OFFICIAL_AGGREGATE</t>
        </is>
      </c>
      <c r="P135" s="8" t="n">
        <v>1</v>
      </c>
      <c r="Q135" s="8" t="n">
        <v>50</v>
      </c>
      <c r="R135" s="7" t="inlineStr">
        <is>
          <t>https://www.ande.gov.py/interna.php?id=15361</t>
        </is>
      </c>
      <c r="S135" s="6" t="inlineStr">
        <is>
          <t>ANDE-MAY-2026</t>
        </is>
      </c>
      <c r="T135" s="6" t="inlineStr"/>
      <c r="U135" s="4" t="inlineStr">
        <is>
          <t>2026-09-10 23:00:00</t>
        </is>
      </c>
      <c r="V135" s="4" t="inlineStr">
        <is>
          <t>Aporte solar publicado.</t>
        </is>
      </c>
    </row>
    <row r="136">
      <c r="A136" s="6" t="inlineStr">
        <is>
          <t>R0000140</t>
        </is>
      </c>
      <c r="B136" s="6" t="inlineStr">
        <is>
          <t>2026-01-01</t>
        </is>
      </c>
      <c r="C136" s="6" t="inlineStr">
        <is>
          <t>2026-04-30</t>
        </is>
      </c>
      <c r="D136" s="6" t="inlineStr">
        <is>
          <t>period</t>
        </is>
      </c>
      <c r="E136" s="6" t="inlineStr">
        <is>
          <t>PY_CONSUMPTION_ENERGY_YTD</t>
        </is>
      </c>
      <c r="F136" s="6" t="inlineStr">
        <is>
          <t>PY_SIN</t>
        </is>
      </c>
      <c r="G136" s="6" t="inlineStr">
        <is>
          <t>PY</t>
        </is>
      </c>
      <c r="H136" s="6" t="inlineStr">
        <is>
          <t>PY</t>
        </is>
      </c>
      <c r="I136" s="8" t="n">
        <v>12204300</v>
      </c>
      <c r="J136" s="6" t="inlineStr">
        <is>
          <t>MWh</t>
        </is>
      </c>
      <c r="K136" s="8" t="n">
        <v>12204300</v>
      </c>
      <c r="L136" s="6" t="inlineStr">
        <is>
          <t>MWh</t>
        </is>
      </c>
      <c r="M136" s="6" t="inlineStr">
        <is>
          <t>ANDE</t>
        </is>
      </c>
      <c r="N136" s="6" t="inlineStr">
        <is>
          <t>OFFICIAL_PRIMARY</t>
        </is>
      </c>
      <c r="O136" s="9" t="inlineStr">
        <is>
          <t>OFFICIAL_AGGREGATE</t>
        </is>
      </c>
      <c r="P136" s="8" t="n">
        <v>1</v>
      </c>
      <c r="Q136" s="8" t="n">
        <v>50</v>
      </c>
      <c r="R136" s="7" t="inlineStr">
        <is>
          <t>https://www.ande.gov.py/interna.php?id=15297</t>
        </is>
      </c>
      <c r="S136" s="6" t="inlineStr">
        <is>
          <t>ANDE-ABR-2026</t>
        </is>
      </c>
      <c r="T136" s="6" t="inlineStr"/>
      <c r="U136" s="4" t="inlineStr">
        <is>
          <t>2026-09-10 23:00:00</t>
        </is>
      </c>
      <c r="V136" s="4" t="inlineStr">
        <is>
          <t>Acumulado enero-abril publicado por ANDE.</t>
        </is>
      </c>
    </row>
    <row r="137">
      <c r="A137" s="6" t="inlineStr">
        <is>
          <t>R0000141</t>
        </is>
      </c>
      <c r="B137" s="6" t="inlineStr">
        <is>
          <t>2026-01-01</t>
        </is>
      </c>
      <c r="C137" s="6" t="inlineStr">
        <is>
          <t>2026-05-31</t>
        </is>
      </c>
      <c r="D137" s="6" t="inlineStr">
        <is>
          <t>period</t>
        </is>
      </c>
      <c r="E137" s="6" t="inlineStr">
        <is>
          <t>PY_CONSUMPTION_ENERGY_YTD</t>
        </is>
      </c>
      <c r="F137" s="6" t="inlineStr">
        <is>
          <t>PY_SIN</t>
        </is>
      </c>
      <c r="G137" s="6" t="inlineStr">
        <is>
          <t>PY</t>
        </is>
      </c>
      <c r="H137" s="6" t="inlineStr">
        <is>
          <t>PY</t>
        </is>
      </c>
      <c r="I137" s="8" t="n">
        <v>14587100</v>
      </c>
      <c r="J137" s="6" t="inlineStr">
        <is>
          <t>MWh</t>
        </is>
      </c>
      <c r="K137" s="8" t="n">
        <v>14587100</v>
      </c>
      <c r="L137" s="6" t="inlineStr">
        <is>
          <t>MWh</t>
        </is>
      </c>
      <c r="M137" s="6" t="inlineStr">
        <is>
          <t>ANDE</t>
        </is>
      </c>
      <c r="N137" s="6" t="inlineStr">
        <is>
          <t>OFFICIAL_PRIMARY</t>
        </is>
      </c>
      <c r="O137" s="9" t="inlineStr">
        <is>
          <t>OFFICIAL_AGGREGATE</t>
        </is>
      </c>
      <c r="P137" s="8" t="n">
        <v>1</v>
      </c>
      <c r="Q137" s="8" t="n">
        <v>50</v>
      </c>
      <c r="R137" s="7" t="inlineStr">
        <is>
          <t>https://www.ande.gov.py/interna.php?id=15361</t>
        </is>
      </c>
      <c r="S137" s="6" t="inlineStr">
        <is>
          <t>ANDE-MAY-2026</t>
        </is>
      </c>
      <c r="T137" s="6" t="inlineStr"/>
      <c r="U137" s="4" t="inlineStr">
        <is>
          <t>2026-09-10 23:00:00</t>
        </is>
      </c>
      <c r="V137" s="4" t="inlineStr">
        <is>
          <t>Acumulado enero-mayo publicado por ANDE.</t>
        </is>
      </c>
    </row>
    <row r="138">
      <c r="A138" s="6" t="inlineStr">
        <is>
          <t>R0000142</t>
        </is>
      </c>
      <c r="B138" s="6" t="inlineStr">
        <is>
          <t>2025-08-14 06:23:00</t>
        </is>
      </c>
      <c r="C138" s="6" t="inlineStr">
        <is>
          <t>2025-08-14 06:23:00</t>
        </is>
      </c>
      <c r="D138" s="6" t="inlineStr">
        <is>
          <t>event</t>
        </is>
      </c>
      <c r="E138" s="6" t="inlineStr">
        <is>
          <t>PY_DEMAND</t>
        </is>
      </c>
      <c r="F138" s="6" t="inlineStr">
        <is>
          <t>PY_SIN</t>
        </is>
      </c>
      <c r="G138" s="6" t="inlineStr">
        <is>
          <t>PY</t>
        </is>
      </c>
      <c r="H138" s="6" t="inlineStr">
        <is>
          <t>PY</t>
        </is>
      </c>
      <c r="I138" s="8" t="n">
        <v>3070</v>
      </c>
      <c r="J138" s="6" t="inlineStr">
        <is>
          <t>MW</t>
        </is>
      </c>
      <c r="K138" s="8" t="n">
        <v>3070</v>
      </c>
      <c r="L138" s="6" t="inlineStr">
        <is>
          <t>MW</t>
        </is>
      </c>
      <c r="M138" s="6" t="inlineStr">
        <is>
          <t>ANDE</t>
        </is>
      </c>
      <c r="N138" s="6" t="inlineStr">
        <is>
          <t>OFFICIAL_PRIMARY</t>
        </is>
      </c>
      <c r="O138" s="9" t="inlineStr">
        <is>
          <t>OFFICIAL_MEASURED</t>
        </is>
      </c>
      <c r="P138" s="8" t="n">
        <v>1</v>
      </c>
      <c r="Q138" s="8" t="n">
        <v>50</v>
      </c>
      <c r="R138" s="7" t="inlineStr">
        <is>
          <t>https://www.ande.gov.py/interna.php?id=14173</t>
        </is>
      </c>
      <c r="S138" s="6" t="inlineStr"/>
      <c r="T138" s="6" t="inlineStr"/>
      <c r="U138" s="4" t="inlineStr">
        <is>
          <t>2026-09-10 23:00:00</t>
        </is>
      </c>
      <c r="V138" s="4" t="inlineStr">
        <is>
          <t>Evento: Avería en interruptor 220 kV de Acaray; demanda reportada al momento del inconveniente. ANDE indica abastecimiento principalmente por Itaipú; no desglosa MW por central.</t>
        </is>
      </c>
    </row>
    <row r="139">
      <c r="A139" s="6" t="inlineStr">
        <is>
          <t>R0000143</t>
        </is>
      </c>
      <c r="B139" s="6" t="inlineStr">
        <is>
          <t>2025-12-15 14:12:00</t>
        </is>
      </c>
      <c r="C139" s="6" t="inlineStr">
        <is>
          <t>2025-12-15 14:12:00</t>
        </is>
      </c>
      <c r="D139" s="6" t="inlineStr">
        <is>
          <t>event</t>
        </is>
      </c>
      <c r="E139" s="6" t="inlineStr">
        <is>
          <t>PY_DEMAND</t>
        </is>
      </c>
      <c r="F139" s="6" t="inlineStr">
        <is>
          <t>PY_SIN</t>
        </is>
      </c>
      <c r="G139" s="6" t="inlineStr">
        <is>
          <t>PY</t>
        </is>
      </c>
      <c r="H139" s="6" t="inlineStr">
        <is>
          <t>PY</t>
        </is>
      </c>
      <c r="I139" s="8" t="n">
        <v>5280</v>
      </c>
      <c r="J139" s="6" t="inlineStr">
        <is>
          <t>MW</t>
        </is>
      </c>
      <c r="K139" s="8" t="n">
        <v>5280</v>
      </c>
      <c r="L139" s="6" t="inlineStr">
        <is>
          <t>MW</t>
        </is>
      </c>
      <c r="M139" s="6" t="inlineStr">
        <is>
          <t>ANDE</t>
        </is>
      </c>
      <c r="N139" s="6" t="inlineStr">
        <is>
          <t>OFFICIAL_PRIMARY</t>
        </is>
      </c>
      <c r="O139" s="9" t="inlineStr">
        <is>
          <t>OFFICIAL_MEASURED</t>
        </is>
      </c>
      <c r="P139" s="8" t="n">
        <v>1</v>
      </c>
      <c r="Q139" s="8" t="n">
        <v>50</v>
      </c>
      <c r="R139" s="7" t="inlineStr">
        <is>
          <t>https://www.ande.gov.py/interna.php?id=14816</t>
        </is>
      </c>
      <c r="S139" s="6" t="inlineStr"/>
      <c r="T139" s="6" t="inlineStr"/>
      <c r="U139" s="4" t="inlineStr">
        <is>
          <t>2026-09-10 23:00:00</t>
        </is>
      </c>
      <c r="V139" s="4" t="inlineStr">
        <is>
          <t>Récord: Nuevo récord histórico de demanda instantánea 2025. La suma de aportes + exportación puede diferir conceptualmente de demanda según convención de signo/medición.</t>
        </is>
      </c>
    </row>
    <row r="140">
      <c r="A140" s="6" t="inlineStr">
        <is>
          <t>R0000144</t>
        </is>
      </c>
      <c r="B140" s="6" t="inlineStr">
        <is>
          <t>2025-12-15 14:12:00</t>
        </is>
      </c>
      <c r="C140" s="6" t="inlineStr">
        <is>
          <t>2025-12-15 14:12:00</t>
        </is>
      </c>
      <c r="D140" s="6" t="inlineStr">
        <is>
          <t>event</t>
        </is>
      </c>
      <c r="E140" s="6" t="inlineStr">
        <is>
          <t>POWER_TO_PY</t>
        </is>
      </c>
      <c r="F140" s="6" t="inlineStr">
        <is>
          <t>ITAIPU</t>
        </is>
      </c>
      <c r="G140" s="6" t="inlineStr">
        <is>
          <t>ITAIPU</t>
        </is>
      </c>
      <c r="H140" s="6" t="inlineStr">
        <is>
          <t>PY</t>
        </is>
      </c>
      <c r="I140" s="8" t="n">
        <v>3745</v>
      </c>
      <c r="J140" s="6" t="inlineStr">
        <is>
          <t>MW</t>
        </is>
      </c>
      <c r="K140" s="8" t="n">
        <v>3745</v>
      </c>
      <c r="L140" s="6" t="inlineStr">
        <is>
          <t>MW</t>
        </is>
      </c>
      <c r="M140" s="6" t="inlineStr">
        <is>
          <t>ANDE</t>
        </is>
      </c>
      <c r="N140" s="6" t="inlineStr">
        <is>
          <t>OFFICIAL_PRIMARY</t>
        </is>
      </c>
      <c r="O140" s="9" t="inlineStr">
        <is>
          <t>OFFICIAL_MEASURED</t>
        </is>
      </c>
      <c r="P140" s="8" t="n">
        <v>1</v>
      </c>
      <c r="Q140" s="8" t="n">
        <v>50</v>
      </c>
      <c r="R140" s="7" t="inlineStr">
        <is>
          <t>https://www.ande.gov.py/interna.php?id=14816</t>
        </is>
      </c>
      <c r="S140" s="6" t="inlineStr"/>
      <c r="T140" s="6" t="inlineStr"/>
      <c r="U140" s="4" t="inlineStr">
        <is>
          <t>2026-09-10 23:00:00</t>
        </is>
      </c>
      <c r="V140" s="4" t="inlineStr">
        <is>
          <t>Récord: Nuevo récord histórico de demanda instantánea 2025. La suma de aportes + exportación puede diferir conceptualmente de demanda según convención de signo/medición.</t>
        </is>
      </c>
    </row>
    <row r="141">
      <c r="A141" s="6" t="inlineStr">
        <is>
          <t>R0000145</t>
        </is>
      </c>
      <c r="B141" s="6" t="inlineStr">
        <is>
          <t>2025-12-15 14:12:00</t>
        </is>
      </c>
      <c r="C141" s="6" t="inlineStr">
        <is>
          <t>2025-12-15 14:12:00</t>
        </is>
      </c>
      <c r="D141" s="6" t="inlineStr">
        <is>
          <t>event</t>
        </is>
      </c>
      <c r="E141" s="6" t="inlineStr">
        <is>
          <t>POWER_TO_PY</t>
        </is>
      </c>
      <c r="F141" s="6" t="inlineStr">
        <is>
          <t>YACYRETA</t>
        </is>
      </c>
      <c r="G141" s="6" t="inlineStr">
        <is>
          <t>YACYRETA</t>
        </is>
      </c>
      <c r="H141" s="6" t="inlineStr">
        <is>
          <t>PY</t>
        </is>
      </c>
      <c r="I141" s="8" t="n">
        <v>1419</v>
      </c>
      <c r="J141" s="6" t="inlineStr">
        <is>
          <t>MW</t>
        </is>
      </c>
      <c r="K141" s="8" t="n">
        <v>1419</v>
      </c>
      <c r="L141" s="6" t="inlineStr">
        <is>
          <t>MW</t>
        </is>
      </c>
      <c r="M141" s="6" t="inlineStr">
        <is>
          <t>ANDE</t>
        </is>
      </c>
      <c r="N141" s="6" t="inlineStr">
        <is>
          <t>OFFICIAL_PRIMARY</t>
        </is>
      </c>
      <c r="O141" s="9" t="inlineStr">
        <is>
          <t>OFFICIAL_MEASURED</t>
        </is>
      </c>
      <c r="P141" s="8" t="n">
        <v>1</v>
      </c>
      <c r="Q141" s="8" t="n">
        <v>50</v>
      </c>
      <c r="R141" s="7" t="inlineStr">
        <is>
          <t>https://www.ande.gov.py/interna.php?id=14816</t>
        </is>
      </c>
      <c r="S141" s="6" t="inlineStr"/>
      <c r="T141" s="6" t="inlineStr"/>
      <c r="U141" s="4" t="inlineStr">
        <is>
          <t>2026-09-10 23:00:00</t>
        </is>
      </c>
      <c r="V141" s="4" t="inlineStr">
        <is>
          <t>Récord: Nuevo récord histórico de demanda instantánea 2025. La suma de aportes + exportación puede diferir conceptualmente de demanda según convención de signo/medición.</t>
        </is>
      </c>
    </row>
    <row r="142">
      <c r="A142" s="6" t="inlineStr">
        <is>
          <t>R0000146</t>
        </is>
      </c>
      <c r="B142" s="6" t="inlineStr">
        <is>
          <t>2025-12-15 14:12:00</t>
        </is>
      </c>
      <c r="C142" s="6" t="inlineStr">
        <is>
          <t>2025-12-15 14:12:00</t>
        </is>
      </c>
      <c r="D142" s="6" t="inlineStr">
        <is>
          <t>event</t>
        </is>
      </c>
      <c r="E142" s="6" t="inlineStr">
        <is>
          <t>POWER_TO_PY</t>
        </is>
      </c>
      <c r="F142" s="6" t="inlineStr">
        <is>
          <t>ACARAY</t>
        </is>
      </c>
      <c r="G142" s="6" t="inlineStr">
        <is>
          <t>ACARAY</t>
        </is>
      </c>
      <c r="H142" s="6" t="inlineStr">
        <is>
          <t>PY</t>
        </is>
      </c>
      <c r="I142" s="8" t="n">
        <v>132</v>
      </c>
      <c r="J142" s="6" t="inlineStr">
        <is>
          <t>MW</t>
        </is>
      </c>
      <c r="K142" s="8" t="n">
        <v>132</v>
      </c>
      <c r="L142" s="6" t="inlineStr">
        <is>
          <t>MW</t>
        </is>
      </c>
      <c r="M142" s="6" t="inlineStr">
        <is>
          <t>ANDE</t>
        </is>
      </c>
      <c r="N142" s="6" t="inlineStr">
        <is>
          <t>OFFICIAL_PRIMARY</t>
        </is>
      </c>
      <c r="O142" s="9" t="inlineStr">
        <is>
          <t>OFFICIAL_MEASURED</t>
        </is>
      </c>
      <c r="P142" s="8" t="n">
        <v>1</v>
      </c>
      <c r="Q142" s="8" t="n">
        <v>50</v>
      </c>
      <c r="R142" s="7" t="inlineStr">
        <is>
          <t>https://www.ande.gov.py/interna.php?id=14816</t>
        </is>
      </c>
      <c r="S142" s="6" t="inlineStr"/>
      <c r="T142" s="6" t="inlineStr"/>
      <c r="U142" s="4" t="inlineStr">
        <is>
          <t>2026-09-10 23:00:00</t>
        </is>
      </c>
      <c r="V142" s="4" t="inlineStr">
        <is>
          <t>Récord: Nuevo récord histórico de demanda instantánea 2025. La suma de aportes + exportación puede diferir conceptualmente de demanda según convención de signo/medición.</t>
        </is>
      </c>
    </row>
    <row r="143">
      <c r="A143" s="6" t="inlineStr">
        <is>
          <t>R0000147</t>
        </is>
      </c>
      <c r="B143" s="6" t="inlineStr">
        <is>
          <t>2025-12-15 14:12:00</t>
        </is>
      </c>
      <c r="C143" s="6" t="inlineStr">
        <is>
          <t>2025-12-15 14:12:00</t>
        </is>
      </c>
      <c r="D143" s="6" t="inlineStr">
        <is>
          <t>event</t>
        </is>
      </c>
      <c r="E143" s="6" t="inlineStr">
        <is>
          <t>PY_EXPORT_POWER</t>
        </is>
      </c>
      <c r="F143" s="6" t="inlineStr">
        <is>
          <t>PY_SIN</t>
        </is>
      </c>
      <c r="G143" s="6" t="inlineStr">
        <is>
          <t>PY</t>
        </is>
      </c>
      <c r="H143" s="6" t="inlineStr">
        <is>
          <t>EXTERNAL</t>
        </is>
      </c>
      <c r="I143" s="8" t="n">
        <v>16</v>
      </c>
      <c r="J143" s="6" t="inlineStr">
        <is>
          <t>MW</t>
        </is>
      </c>
      <c r="K143" s="8" t="n">
        <v>16</v>
      </c>
      <c r="L143" s="6" t="inlineStr">
        <is>
          <t>MW</t>
        </is>
      </c>
      <c r="M143" s="6" t="inlineStr">
        <is>
          <t>ANDE</t>
        </is>
      </c>
      <c r="N143" s="6" t="inlineStr">
        <is>
          <t>OFFICIAL_PRIMARY</t>
        </is>
      </c>
      <c r="O143" s="9" t="inlineStr">
        <is>
          <t>OFFICIAL_MEASURED</t>
        </is>
      </c>
      <c r="P143" s="8" t="n">
        <v>1</v>
      </c>
      <c r="Q143" s="8" t="n">
        <v>50</v>
      </c>
      <c r="R143" s="7" t="inlineStr">
        <is>
          <t>https://www.ande.gov.py/interna.php?id=14816</t>
        </is>
      </c>
      <c r="S143" s="6" t="inlineStr"/>
      <c r="T143" s="6" t="inlineStr"/>
      <c r="U143" s="4" t="inlineStr">
        <is>
          <t>2026-09-10 23:00:00</t>
        </is>
      </c>
      <c r="V143" s="4" t="inlineStr">
        <is>
          <t>Récord: Nuevo récord histórico de demanda instantánea 2025. La suma de aportes + exportación puede diferir conceptualmente de demanda según convención de signo/medición.</t>
        </is>
      </c>
    </row>
    <row r="144">
      <c r="A144" s="6" t="inlineStr">
        <is>
          <t>R0000148</t>
        </is>
      </c>
      <c r="B144" s="6" t="inlineStr">
        <is>
          <t>2026-01-26 00:00:00</t>
        </is>
      </c>
      <c r="C144" s="6" t="inlineStr">
        <is>
          <t>2026-01-26 00:00:00</t>
        </is>
      </c>
      <c r="D144" s="6" t="inlineStr">
        <is>
          <t>event</t>
        </is>
      </c>
      <c r="E144" s="6" t="inlineStr">
        <is>
          <t>PY_DEMAND</t>
        </is>
      </c>
      <c r="F144" s="6" t="inlineStr">
        <is>
          <t>PY_SIN</t>
        </is>
      </c>
      <c r="G144" s="6" t="inlineStr">
        <is>
          <t>PY</t>
        </is>
      </c>
      <c r="H144" s="6" t="inlineStr">
        <is>
          <t>PY</t>
        </is>
      </c>
      <c r="I144" s="8" t="n">
        <v>5752</v>
      </c>
      <c r="J144" s="6" t="inlineStr">
        <is>
          <t>MW</t>
        </is>
      </c>
      <c r="K144" s="8" t="n">
        <v>5752</v>
      </c>
      <c r="L144" s="6" t="inlineStr">
        <is>
          <t>MW</t>
        </is>
      </c>
      <c r="M144" s="6" t="inlineStr">
        <is>
          <t>ANDE</t>
        </is>
      </c>
      <c r="N144" s="6" t="inlineStr">
        <is>
          <t>OFFICIAL_PRIMARY</t>
        </is>
      </c>
      <c r="O144" s="9" t="inlineStr">
        <is>
          <t>OFFICIAL_MEASURED</t>
        </is>
      </c>
      <c r="P144" s="8" t="n">
        <v>1</v>
      </c>
      <c r="Q144" s="8" t="n">
        <v>50</v>
      </c>
      <c r="R144" s="7" t="inlineStr">
        <is>
          <t>https://www.ande.gov.py/interna.php?id=14950</t>
        </is>
      </c>
      <c r="S144" s="6" t="inlineStr"/>
      <c r="T144" s="6" t="inlineStr"/>
      <c r="U144" s="4" t="inlineStr">
        <is>
          <t>2026-09-10 23:00:00</t>
        </is>
      </c>
      <c r="V144" s="4" t="inlineStr">
        <is>
          <t>Récord: Récord histórico del SIN reportado por ANDE. No se publicó en esa nota el reparto instantáneo por central.</t>
        </is>
      </c>
    </row>
    <row r="145">
      <c r="A145" s="6" t="inlineStr">
        <is>
          <t>R0000149</t>
        </is>
      </c>
      <c r="B145" s="6" t="inlineStr">
        <is>
          <t>2026-02-18 14:05:00</t>
        </is>
      </c>
      <c r="C145" s="6" t="inlineStr">
        <is>
          <t>2026-02-18 14:05:00</t>
        </is>
      </c>
      <c r="D145" s="6" t="inlineStr">
        <is>
          <t>event</t>
        </is>
      </c>
      <c r="E145" s="6" t="inlineStr">
        <is>
          <t>PY_DEMAND</t>
        </is>
      </c>
      <c r="F145" s="6" t="inlineStr">
        <is>
          <t>PY_SIN</t>
        </is>
      </c>
      <c r="G145" s="6" t="inlineStr">
        <is>
          <t>PY</t>
        </is>
      </c>
      <c r="H145" s="6" t="inlineStr">
        <is>
          <t>PY</t>
        </is>
      </c>
      <c r="I145" s="8" t="n">
        <v>5690</v>
      </c>
      <c r="J145" s="6" t="inlineStr">
        <is>
          <t>MW</t>
        </is>
      </c>
      <c r="K145" s="8" t="n">
        <v>5690</v>
      </c>
      <c r="L145" s="6" t="inlineStr">
        <is>
          <t>MW</t>
        </is>
      </c>
      <c r="M145" s="6" t="inlineStr">
        <is>
          <t>ANDE</t>
        </is>
      </c>
      <c r="N145" s="6" t="inlineStr">
        <is>
          <t>OFFICIAL_PRIMARY</t>
        </is>
      </c>
      <c r="O145" s="9" t="inlineStr">
        <is>
          <t>OFFICIAL_MEASURED</t>
        </is>
      </c>
      <c r="P145" s="8" t="n">
        <v>1</v>
      </c>
      <c r="Q145" s="8" t="n">
        <v>50</v>
      </c>
      <c r="R145" s="7" t="inlineStr">
        <is>
          <t>https://www.ande.gov.py/interna.php?id=14999</t>
        </is>
      </c>
      <c r="S145" s="6" t="inlineStr"/>
      <c r="T145" s="6" t="inlineStr"/>
      <c r="U145" s="4" t="inlineStr">
        <is>
          <t>2026-09-10 23:00:00</t>
        </is>
      </c>
      <c r="V145" s="4" t="inlineStr">
        <is>
          <t>Pico diario: Máximo de consumo del día antes del incidente. Sistema sin perturbaciones.</t>
        </is>
      </c>
    </row>
    <row r="146">
      <c r="A146" s="6" t="inlineStr">
        <is>
          <t>R0000150</t>
        </is>
      </c>
      <c r="B146" s="6" t="inlineStr">
        <is>
          <t>2026-02-18 15:18:00</t>
        </is>
      </c>
      <c r="C146" s="6" t="inlineStr">
        <is>
          <t>2026-02-18 15:18:00</t>
        </is>
      </c>
      <c r="D146" s="6" t="inlineStr">
        <is>
          <t>event</t>
        </is>
      </c>
      <c r="E146" s="6" t="inlineStr">
        <is>
          <t>PY_DEMAND</t>
        </is>
      </c>
      <c r="F146" s="6" t="inlineStr">
        <is>
          <t>PY_SIN</t>
        </is>
      </c>
      <c r="G146" s="6" t="inlineStr">
        <is>
          <t>PY</t>
        </is>
      </c>
      <c r="H146" s="6" t="inlineStr">
        <is>
          <t>PY</t>
        </is>
      </c>
      <c r="I146" s="8" t="n">
        <v>5330</v>
      </c>
      <c r="J146" s="6" t="inlineStr">
        <is>
          <t>MW</t>
        </is>
      </c>
      <c r="K146" s="8" t="n">
        <v>5330</v>
      </c>
      <c r="L146" s="6" t="inlineStr">
        <is>
          <t>MW</t>
        </is>
      </c>
      <c r="M146" s="6" t="inlineStr">
        <is>
          <t>ANDE</t>
        </is>
      </c>
      <c r="N146" s="6" t="inlineStr">
        <is>
          <t>OFFICIAL_PRIMARY</t>
        </is>
      </c>
      <c r="O146" s="9" t="inlineStr">
        <is>
          <t>OFFICIAL_MEASURED</t>
        </is>
      </c>
      <c r="P146" s="8" t="n">
        <v>1</v>
      </c>
      <c r="Q146" s="8" t="n">
        <v>50</v>
      </c>
      <c r="R146" s="7" t="inlineStr">
        <is>
          <t>https://www.ande.gov.py/interna.php?id=14999</t>
        </is>
      </c>
      <c r="S146" s="6" t="inlineStr"/>
      <c r="T146" s="6" t="inlineStr"/>
      <c r="U146" s="4" t="inlineStr">
        <is>
          <t>2026-09-10 23:00:00</t>
        </is>
      </c>
      <c r="V146" s="4" t="inlineStr">
        <is>
          <t>Evento: Carga del sistema al inicio de la perturbación. Suma de las tres centrales = 5.330 MW, consistente con la carga reportada.</t>
        </is>
      </c>
    </row>
    <row r="147">
      <c r="A147" s="6" t="inlineStr">
        <is>
          <t>R0000151</t>
        </is>
      </c>
      <c r="B147" s="6" t="inlineStr">
        <is>
          <t>2026-02-18 15:18:00</t>
        </is>
      </c>
      <c r="C147" s="6" t="inlineStr">
        <is>
          <t>2026-02-18 15:18:00</t>
        </is>
      </c>
      <c r="D147" s="6" t="inlineStr">
        <is>
          <t>event</t>
        </is>
      </c>
      <c r="E147" s="6" t="inlineStr">
        <is>
          <t>POWER_TO_PY</t>
        </is>
      </c>
      <c r="F147" s="6" t="inlineStr">
        <is>
          <t>ITAIPU</t>
        </is>
      </c>
      <c r="G147" s="6" t="inlineStr">
        <is>
          <t>ITAIPU</t>
        </is>
      </c>
      <c r="H147" s="6" t="inlineStr">
        <is>
          <t>PY</t>
        </is>
      </c>
      <c r="I147" s="8" t="n">
        <v>3746</v>
      </c>
      <c r="J147" s="6" t="inlineStr">
        <is>
          <t>MW</t>
        </is>
      </c>
      <c r="K147" s="8" t="n">
        <v>3746</v>
      </c>
      <c r="L147" s="6" t="inlineStr">
        <is>
          <t>MW</t>
        </is>
      </c>
      <c r="M147" s="6" t="inlineStr">
        <is>
          <t>ANDE</t>
        </is>
      </c>
      <c r="N147" s="6" t="inlineStr">
        <is>
          <t>OFFICIAL_PRIMARY</t>
        </is>
      </c>
      <c r="O147" s="9" t="inlineStr">
        <is>
          <t>OFFICIAL_MEASURED</t>
        </is>
      </c>
      <c r="P147" s="8" t="n">
        <v>1</v>
      </c>
      <c r="Q147" s="8" t="n">
        <v>50</v>
      </c>
      <c r="R147" s="7" t="inlineStr">
        <is>
          <t>https://www.ande.gov.py/interna.php?id=14999</t>
        </is>
      </c>
      <c r="S147" s="6" t="inlineStr"/>
      <c r="T147" s="6" t="inlineStr"/>
      <c r="U147" s="4" t="inlineStr">
        <is>
          <t>2026-09-10 23:00:00</t>
        </is>
      </c>
      <c r="V147" s="4" t="inlineStr">
        <is>
          <t>Evento: Carga del sistema al inicio de la perturbación. Suma de las tres centrales = 5.330 MW, consistente con la carga reportada.</t>
        </is>
      </c>
    </row>
    <row r="148">
      <c r="A148" s="6" t="inlineStr">
        <is>
          <t>R0000152</t>
        </is>
      </c>
      <c r="B148" s="6" t="inlineStr">
        <is>
          <t>2026-02-18 15:18:00</t>
        </is>
      </c>
      <c r="C148" s="6" t="inlineStr">
        <is>
          <t>2026-02-18 15:18:00</t>
        </is>
      </c>
      <c r="D148" s="6" t="inlineStr">
        <is>
          <t>event</t>
        </is>
      </c>
      <c r="E148" s="6" t="inlineStr">
        <is>
          <t>POWER_TO_PY</t>
        </is>
      </c>
      <c r="F148" s="6" t="inlineStr">
        <is>
          <t>YACYRETA</t>
        </is>
      </c>
      <c r="G148" s="6" t="inlineStr">
        <is>
          <t>YACYRETA</t>
        </is>
      </c>
      <c r="H148" s="6" t="inlineStr">
        <is>
          <t>PY</t>
        </is>
      </c>
      <c r="I148" s="8" t="n">
        <v>1454</v>
      </c>
      <c r="J148" s="6" t="inlineStr">
        <is>
          <t>MW</t>
        </is>
      </c>
      <c r="K148" s="8" t="n">
        <v>1454</v>
      </c>
      <c r="L148" s="6" t="inlineStr">
        <is>
          <t>MW</t>
        </is>
      </c>
      <c r="M148" s="6" t="inlineStr">
        <is>
          <t>ANDE</t>
        </is>
      </c>
      <c r="N148" s="6" t="inlineStr">
        <is>
          <t>OFFICIAL_PRIMARY</t>
        </is>
      </c>
      <c r="O148" s="9" t="inlineStr">
        <is>
          <t>OFFICIAL_MEASURED</t>
        </is>
      </c>
      <c r="P148" s="8" t="n">
        <v>1</v>
      </c>
      <c r="Q148" s="8" t="n">
        <v>50</v>
      </c>
      <c r="R148" s="7" t="inlineStr">
        <is>
          <t>https://www.ande.gov.py/interna.php?id=14999</t>
        </is>
      </c>
      <c r="S148" s="6" t="inlineStr"/>
      <c r="T148" s="6" t="inlineStr"/>
      <c r="U148" s="4" t="inlineStr">
        <is>
          <t>2026-09-10 23:00:00</t>
        </is>
      </c>
      <c r="V148" s="4" t="inlineStr">
        <is>
          <t>Evento: Carga del sistema al inicio de la perturbación. Suma de las tres centrales = 5.330 MW, consistente con la carga reportada.</t>
        </is>
      </c>
    </row>
    <row r="149">
      <c r="A149" s="6" t="inlineStr">
        <is>
          <t>R0000153</t>
        </is>
      </c>
      <c r="B149" s="6" t="inlineStr">
        <is>
          <t>2026-02-18 15:18:00</t>
        </is>
      </c>
      <c r="C149" s="6" t="inlineStr">
        <is>
          <t>2026-02-18 15:18:00</t>
        </is>
      </c>
      <c r="D149" s="6" t="inlineStr">
        <is>
          <t>event</t>
        </is>
      </c>
      <c r="E149" s="6" t="inlineStr">
        <is>
          <t>POWER_TO_PY</t>
        </is>
      </c>
      <c r="F149" s="6" t="inlineStr">
        <is>
          <t>ACARAY</t>
        </is>
      </c>
      <c r="G149" s="6" t="inlineStr">
        <is>
          <t>ACARAY</t>
        </is>
      </c>
      <c r="H149" s="6" t="inlineStr">
        <is>
          <t>PY</t>
        </is>
      </c>
      <c r="I149" s="8" t="n">
        <v>130</v>
      </c>
      <c r="J149" s="6" t="inlineStr">
        <is>
          <t>MW</t>
        </is>
      </c>
      <c r="K149" s="8" t="n">
        <v>130</v>
      </c>
      <c r="L149" s="6" t="inlineStr">
        <is>
          <t>MW</t>
        </is>
      </c>
      <c r="M149" s="6" t="inlineStr">
        <is>
          <t>ANDE</t>
        </is>
      </c>
      <c r="N149" s="6" t="inlineStr">
        <is>
          <t>OFFICIAL_PRIMARY</t>
        </is>
      </c>
      <c r="O149" s="9" t="inlineStr">
        <is>
          <t>OFFICIAL_MEASURED</t>
        </is>
      </c>
      <c r="P149" s="8" t="n">
        <v>1</v>
      </c>
      <c r="Q149" s="8" t="n">
        <v>50</v>
      </c>
      <c r="R149" s="7" t="inlineStr">
        <is>
          <t>https://www.ande.gov.py/interna.php?id=14999</t>
        </is>
      </c>
      <c r="S149" s="6" t="inlineStr"/>
      <c r="T149" s="6" t="inlineStr"/>
      <c r="U149" s="4" t="inlineStr">
        <is>
          <t>2026-09-10 23:00:00</t>
        </is>
      </c>
      <c r="V149" s="4" t="inlineStr">
        <is>
          <t>Evento: Carga del sistema al inicio de la perturbación. Suma de las tres centrales = 5.330 MW, consistente con la carga reportada.</t>
        </is>
      </c>
    </row>
    <row r="150">
      <c r="A150" s="6" t="inlineStr">
        <is>
          <t>R0000154</t>
        </is>
      </c>
      <c r="B150" s="6" t="inlineStr">
        <is>
          <t>2022-01-01</t>
        </is>
      </c>
      <c r="C150" s="6" t="inlineStr">
        <is>
          <t>2022-07-31</t>
        </is>
      </c>
      <c r="D150" s="6" t="inlineStr">
        <is>
          <t>period</t>
        </is>
      </c>
      <c r="E150" s="6" t="inlineStr">
        <is>
          <t>ENERGY_TO_PY</t>
        </is>
      </c>
      <c r="F150" s="6" t="inlineStr">
        <is>
          <t>ITAIPU</t>
        </is>
      </c>
      <c r="G150" s="6" t="inlineStr">
        <is>
          <t>ITAIPU</t>
        </is>
      </c>
      <c r="H150" s="6" t="inlineStr">
        <is>
          <t>PY</t>
        </is>
      </c>
      <c r="I150" s="8" t="n">
        <v>9928180</v>
      </c>
      <c r="J150" s="6" t="inlineStr">
        <is>
          <t>MWh</t>
        </is>
      </c>
      <c r="K150" s="8" t="n">
        <v>9928180</v>
      </c>
      <c r="L150" s="6" t="inlineStr">
        <is>
          <t>MWh</t>
        </is>
      </c>
      <c r="M150" s="6" t="inlineStr">
        <is>
          <t>ANDE</t>
        </is>
      </c>
      <c r="N150" s="6" t="inlineStr">
        <is>
          <t>OFFICIAL_PRIMARY</t>
        </is>
      </c>
      <c r="O150" s="9" t="inlineStr">
        <is>
          <t>OFFICIAL_AGGREGATE</t>
        </is>
      </c>
      <c r="P150" s="8" t="n">
        <v>1</v>
      </c>
      <c r="Q150" s="8" t="n">
        <v>50</v>
      </c>
      <c r="R150" s="7" t="inlineStr">
        <is>
          <t>https://www.ande.gov.py/interna.php?id=10223</t>
        </is>
      </c>
      <c r="S150" s="6" t="inlineStr"/>
      <c r="T150" s="6" t="inlineStr"/>
      <c r="U150" s="4" t="inlineStr">
        <is>
          <t>2026-09-10 23:00:00</t>
        </is>
      </c>
      <c r="V150" s="4" t="inlineStr">
        <is>
          <t>Acumulado enero-julio 2022 publicado por ANDE.</t>
        </is>
      </c>
    </row>
    <row r="151">
      <c r="A151" s="6" t="inlineStr">
        <is>
          <t>R0000155</t>
        </is>
      </c>
      <c r="B151" s="6" t="inlineStr">
        <is>
          <t>2022-01-01</t>
        </is>
      </c>
      <c r="C151" s="6" t="inlineStr">
        <is>
          <t>2022-07-31</t>
        </is>
      </c>
      <c r="D151" s="6" t="inlineStr">
        <is>
          <t>period</t>
        </is>
      </c>
      <c r="E151" s="6" t="inlineStr">
        <is>
          <t>ENERGY_TO_PY</t>
        </is>
      </c>
      <c r="F151" s="6" t="inlineStr">
        <is>
          <t>YACYRETA</t>
        </is>
      </c>
      <c r="G151" s="6" t="inlineStr">
        <is>
          <t>YACYRETA</t>
        </is>
      </c>
      <c r="H151" s="6" t="inlineStr">
        <is>
          <t>PY</t>
        </is>
      </c>
      <c r="I151" s="8" t="n">
        <v>1410732</v>
      </c>
      <c r="J151" s="6" t="inlineStr">
        <is>
          <t>MWh</t>
        </is>
      </c>
      <c r="K151" s="8" t="n">
        <v>1410732</v>
      </c>
      <c r="L151" s="6" t="inlineStr">
        <is>
          <t>MWh</t>
        </is>
      </c>
      <c r="M151" s="6" t="inlineStr">
        <is>
          <t>ANDE</t>
        </is>
      </c>
      <c r="N151" s="6" t="inlineStr">
        <is>
          <t>OFFICIAL_PRIMARY</t>
        </is>
      </c>
      <c r="O151" s="9" t="inlineStr">
        <is>
          <t>OFFICIAL_AGGREGATE</t>
        </is>
      </c>
      <c r="P151" s="8" t="n">
        <v>1</v>
      </c>
      <c r="Q151" s="8" t="n">
        <v>50</v>
      </c>
      <c r="R151" s="7" t="inlineStr">
        <is>
          <t>https://www.ande.gov.py/interna.php?id=10223</t>
        </is>
      </c>
      <c r="S151" s="6" t="inlineStr"/>
      <c r="T151" s="6" t="inlineStr"/>
      <c r="U151" s="4" t="inlineStr">
        <is>
          <t>2026-09-10 23:00:00</t>
        </is>
      </c>
      <c r="V151" s="4" t="inlineStr">
        <is>
          <t>Acumulado enero-julio 2022 publicado por ANDE.</t>
        </is>
      </c>
    </row>
    <row r="152">
      <c r="A152" s="6" t="inlineStr">
        <is>
          <t>R0000156</t>
        </is>
      </c>
      <c r="B152" s="6" t="inlineStr">
        <is>
          <t>2022-01-01</t>
        </is>
      </c>
      <c r="C152" s="6" t="inlineStr">
        <is>
          <t>2022-07-31</t>
        </is>
      </c>
      <c r="D152" s="6" t="inlineStr">
        <is>
          <t>period</t>
        </is>
      </c>
      <c r="E152" s="6" t="inlineStr">
        <is>
          <t>ENERGY_TO_PY</t>
        </is>
      </c>
      <c r="F152" s="6" t="inlineStr">
        <is>
          <t>ACARAY</t>
        </is>
      </c>
      <c r="G152" s="6" t="inlineStr">
        <is>
          <t>ACARAY</t>
        </is>
      </c>
      <c r="H152" s="6" t="inlineStr">
        <is>
          <t>PY</t>
        </is>
      </c>
      <c r="I152" s="8" t="n">
        <v>244452</v>
      </c>
      <c r="J152" s="6" t="inlineStr">
        <is>
          <t>MWh</t>
        </is>
      </c>
      <c r="K152" s="8" t="n">
        <v>244452</v>
      </c>
      <c r="L152" s="6" t="inlineStr">
        <is>
          <t>MWh</t>
        </is>
      </c>
      <c r="M152" s="6" t="inlineStr">
        <is>
          <t>ANDE</t>
        </is>
      </c>
      <c r="N152" s="6" t="inlineStr">
        <is>
          <t>OFFICIAL_PRIMARY</t>
        </is>
      </c>
      <c r="O152" s="9" t="inlineStr">
        <is>
          <t>OFFICIAL_AGGREGATE</t>
        </is>
      </c>
      <c r="P152" s="8" t="n">
        <v>1</v>
      </c>
      <c r="Q152" s="8" t="n">
        <v>50</v>
      </c>
      <c r="R152" s="7" t="inlineStr">
        <is>
          <t>https://www.ande.gov.py/interna.php?id=10223</t>
        </is>
      </c>
      <c r="S152" s="6" t="inlineStr"/>
      <c r="T152" s="6" t="inlineStr"/>
      <c r="U152" s="4" t="inlineStr">
        <is>
          <t>2026-09-10 23:00:00</t>
        </is>
      </c>
      <c r="V152" s="4" t="inlineStr">
        <is>
          <t>Acumulado enero-julio 2022 publicado por ANDE.</t>
        </is>
      </c>
    </row>
    <row r="153">
      <c r="A153" s="6" t="inlineStr">
        <is>
          <t>R0000157</t>
        </is>
      </c>
      <c r="B153" s="6" t="inlineStr">
        <is>
          <t>2022-01-01</t>
        </is>
      </c>
      <c r="C153" s="6" t="inlineStr">
        <is>
          <t>2022-07-31</t>
        </is>
      </c>
      <c r="D153" s="6" t="inlineStr">
        <is>
          <t>period</t>
        </is>
      </c>
      <c r="E153" s="6" t="inlineStr">
        <is>
          <t>PY_CONSUMPTION_ENERGY</t>
        </is>
      </c>
      <c r="F153" s="6" t="inlineStr">
        <is>
          <t>PY_SIN</t>
        </is>
      </c>
      <c r="G153" s="6" t="inlineStr">
        <is>
          <t>PY</t>
        </is>
      </c>
      <c r="H153" s="6" t="inlineStr">
        <is>
          <t>PY</t>
        </is>
      </c>
      <c r="I153" s="8" t="n">
        <v>11583364</v>
      </c>
      <c r="J153" s="6" t="inlineStr">
        <is>
          <t>MWh</t>
        </is>
      </c>
      <c r="K153" s="8" t="n">
        <v>11583364</v>
      </c>
      <c r="L153" s="6" t="inlineStr">
        <is>
          <t>MWh</t>
        </is>
      </c>
      <c r="M153" s="6" t="inlineStr">
        <is>
          <t>ANDE</t>
        </is>
      </c>
      <c r="N153" s="6" t="inlineStr">
        <is>
          <t>OFFICIAL_PRIMARY</t>
        </is>
      </c>
      <c r="O153" s="9" t="inlineStr">
        <is>
          <t>OFFICIAL_AGGREGATE</t>
        </is>
      </c>
      <c r="P153" s="8" t="n">
        <v>1</v>
      </c>
      <c r="Q153" s="8" t="n">
        <v>50</v>
      </c>
      <c r="R153" s="7" t="inlineStr">
        <is>
          <t>https://www.ande.gov.py/interna.php?id=10223</t>
        </is>
      </c>
      <c r="S153" s="6" t="inlineStr"/>
      <c r="T153" s="6" t="inlineStr"/>
      <c r="U153" s="4" t="inlineStr">
        <is>
          <t>2026-09-10 23:00:00</t>
        </is>
      </c>
      <c r="V153" s="4" t="inlineStr">
        <is>
          <t>Acumulado enero-julio 2022 publicado por ANDE.</t>
        </is>
      </c>
    </row>
    <row r="154">
      <c r="A154" s="6" t="inlineStr">
        <is>
          <t>R0000158</t>
        </is>
      </c>
      <c r="B154" s="6" t="inlineStr">
        <is>
          <t>1994-08-01</t>
        </is>
      </c>
      <c r="C154" s="6" t="inlineStr">
        <is>
          <t>1994-08-31</t>
        </is>
      </c>
      <c r="D154" s="6" t="inlineStr">
        <is>
          <t>month</t>
        </is>
      </c>
      <c r="E154" s="6" t="inlineStr">
        <is>
          <t>YACYRETA_NET_ENERGY</t>
        </is>
      </c>
      <c r="F154" s="6" t="inlineStr">
        <is>
          <t>YACYRETA</t>
        </is>
      </c>
      <c r="G154" s="6" t="inlineStr">
        <is>
          <t>YACYRETA</t>
        </is>
      </c>
      <c r="H154" s="6" t="inlineStr">
        <is>
          <t>TOTAL</t>
        </is>
      </c>
      <c r="I154" s="8" t="n">
        <v>826</v>
      </c>
      <c r="J154" s="6" t="inlineStr">
        <is>
          <t>MWh</t>
        </is>
      </c>
      <c r="K154" s="8" t="n">
        <v>826</v>
      </c>
      <c r="L154" s="6" t="inlineStr">
        <is>
          <t>MWh</t>
        </is>
      </c>
      <c r="M154" s="6" t="inlineStr">
        <is>
          <t>EBY</t>
        </is>
      </c>
      <c r="N154" s="6" t="inlineStr">
        <is>
          <t>OFFICIAL_PRIMARY</t>
        </is>
      </c>
      <c r="O154" s="9" t="inlineStr">
        <is>
          <t>OFFICIAL_AGGREGATE</t>
        </is>
      </c>
      <c r="P154" s="8" t="n">
        <v>1</v>
      </c>
      <c r="Q154" s="8" t="n">
        <v>50</v>
      </c>
      <c r="R154" s="7" t="inlineStr">
        <is>
          <t>https://www.eby.gov.py/wp-content/uploads/2019/12/YacyretaEnergiasMensualesDesdePuestaenMarcha.pdf</t>
        </is>
      </c>
      <c r="S154" s="6" t="inlineStr">
        <is>
          <t>EBY-MONTHLY-1994-2012</t>
        </is>
      </c>
      <c r="T154" s="6" t="inlineStr"/>
      <c r="U154" s="4" t="inlineStr">
        <is>
          <t>2026-09-10 23:00:00</t>
        </is>
      </c>
      <c r="V154" s="4" t="inlineStr">
        <is>
          <t>Energia mensual Yacyreta desde puesta en marcha.</t>
        </is>
      </c>
    </row>
    <row r="155">
      <c r="A155" s="6" t="inlineStr">
        <is>
          <t>R0000159</t>
        </is>
      </c>
      <c r="B155" s="6" t="inlineStr">
        <is>
          <t>1994-08-01</t>
        </is>
      </c>
      <c r="C155" s="6" t="inlineStr">
        <is>
          <t>1994-08-31</t>
        </is>
      </c>
      <c r="D155" s="6" t="inlineStr">
        <is>
          <t>month</t>
        </is>
      </c>
      <c r="E155" s="6" t="inlineStr">
        <is>
          <t>ENERGY_TO_ARGENTINA</t>
        </is>
      </c>
      <c r="F155" s="6" t="inlineStr">
        <is>
          <t>YACYRETA</t>
        </is>
      </c>
      <c r="G155" s="6" t="inlineStr">
        <is>
          <t>YACYRETA</t>
        </is>
      </c>
      <c r="H155" s="6" t="inlineStr">
        <is>
          <t>SADI</t>
        </is>
      </c>
      <c r="I155" s="8" t="n">
        <v>826</v>
      </c>
      <c r="J155" s="6" t="inlineStr">
        <is>
          <t>MWh</t>
        </is>
      </c>
      <c r="K155" s="8" t="n">
        <v>826</v>
      </c>
      <c r="L155" s="6" t="inlineStr">
        <is>
          <t>MWh</t>
        </is>
      </c>
      <c r="M155" s="6" t="inlineStr">
        <is>
          <t>EBY</t>
        </is>
      </c>
      <c r="N155" s="6" t="inlineStr">
        <is>
          <t>OFFICIAL_PRIMARY</t>
        </is>
      </c>
      <c r="O155" s="9" t="inlineStr">
        <is>
          <t>OFFICIAL_AGGREGATE</t>
        </is>
      </c>
      <c r="P155" s="8" t="n">
        <v>1</v>
      </c>
      <c r="Q155" s="8" t="n">
        <v>50</v>
      </c>
      <c r="R155" s="7" t="inlineStr">
        <is>
          <t>https://www.eby.gov.py/wp-content/uploads/2019/12/YacyretaEnergiasMensualesDesdePuestaenMarcha.pdf</t>
        </is>
      </c>
      <c r="S155" s="6" t="inlineStr">
        <is>
          <t>EBY-MONTHLY-1994-2012</t>
        </is>
      </c>
      <c r="T155" s="6" t="inlineStr"/>
      <c r="U155" s="4" t="inlineStr">
        <is>
          <t>2026-09-10 23:00:00</t>
        </is>
      </c>
      <c r="V155" s="4" t="inlineStr">
        <is>
          <t>Energia mensual entregada al SADI.</t>
        </is>
      </c>
    </row>
    <row r="156">
      <c r="A156" s="6" t="inlineStr">
        <is>
          <t>R0000160</t>
        </is>
      </c>
      <c r="B156" s="6" t="inlineStr">
        <is>
          <t>1994-08-01</t>
        </is>
      </c>
      <c r="C156" s="6" t="inlineStr">
        <is>
          <t>1994-08-31</t>
        </is>
      </c>
      <c r="D156" s="6" t="inlineStr">
        <is>
          <t>month</t>
        </is>
      </c>
      <c r="E156" s="6" t="inlineStr">
        <is>
          <t>ENERGY_TO_PY</t>
        </is>
      </c>
      <c r="F156" s="6" t="inlineStr">
        <is>
          <t>YACYRETA</t>
        </is>
      </c>
      <c r="G156" s="6" t="inlineStr">
        <is>
          <t>YACYRETA</t>
        </is>
      </c>
      <c r="H156" s="6" t="inlineStr">
        <is>
          <t>SINP</t>
        </is>
      </c>
      <c r="I156" s="8" t="n">
        <v>0</v>
      </c>
      <c r="J156" s="6" t="inlineStr">
        <is>
          <t>MWh</t>
        </is>
      </c>
      <c r="K156" s="8" t="n">
        <v>0</v>
      </c>
      <c r="L156" s="6" t="inlineStr">
        <is>
          <t>MWh</t>
        </is>
      </c>
      <c r="M156" s="6" t="inlineStr">
        <is>
          <t>EBY</t>
        </is>
      </c>
      <c r="N156" s="6" t="inlineStr">
        <is>
          <t>OFFICIAL_PRIMARY</t>
        </is>
      </c>
      <c r="O156" s="9" t="inlineStr">
        <is>
          <t>OFFICIAL_AGGREGATE</t>
        </is>
      </c>
      <c r="P156" s="8" t="n">
        <v>1</v>
      </c>
      <c r="Q156" s="8" t="n">
        <v>50</v>
      </c>
      <c r="R156" s="7" t="inlineStr">
        <is>
          <t>https://www.eby.gov.py/wp-content/uploads/2019/12/YacyretaEnergiasMensualesDesdePuestaenMarcha.pdf</t>
        </is>
      </c>
      <c r="S156" s="6" t="inlineStr">
        <is>
          <t>EBY-MONTHLY-1994-2012</t>
        </is>
      </c>
      <c r="T156" s="6" t="inlineStr"/>
      <c r="U156" s="4" t="inlineStr">
        <is>
          <t>2026-09-10 23:00:00</t>
        </is>
      </c>
      <c r="V156" s="4" t="inlineStr">
        <is>
          <t>Energia mensual entregada al SINP.</t>
        </is>
      </c>
    </row>
    <row r="157">
      <c r="A157" s="6" t="inlineStr">
        <is>
          <t>R0000161</t>
        </is>
      </c>
      <c r="B157" s="6" t="inlineStr">
        <is>
          <t>1994-09-01</t>
        </is>
      </c>
      <c r="C157" s="6" t="inlineStr">
        <is>
          <t>1994-09-30</t>
        </is>
      </c>
      <c r="D157" s="6" t="inlineStr">
        <is>
          <t>month</t>
        </is>
      </c>
      <c r="E157" s="6" t="inlineStr">
        <is>
          <t>YACYRETA_NET_ENERGY</t>
        </is>
      </c>
      <c r="F157" s="6" t="inlineStr">
        <is>
          <t>YACYRETA</t>
        </is>
      </c>
      <c r="G157" s="6" t="inlineStr">
        <is>
          <t>YACYRETA</t>
        </is>
      </c>
      <c r="H157" s="6" t="inlineStr">
        <is>
          <t>TOTAL</t>
        </is>
      </c>
      <c r="I157" s="8" t="n">
        <v>55808</v>
      </c>
      <c r="J157" s="6" t="inlineStr">
        <is>
          <t>MWh</t>
        </is>
      </c>
      <c r="K157" s="8" t="n">
        <v>55808</v>
      </c>
      <c r="L157" s="6" t="inlineStr">
        <is>
          <t>MWh</t>
        </is>
      </c>
      <c r="M157" s="6" t="inlineStr">
        <is>
          <t>EBY</t>
        </is>
      </c>
      <c r="N157" s="6" t="inlineStr">
        <is>
          <t>OFFICIAL_PRIMARY</t>
        </is>
      </c>
      <c r="O157" s="9" t="inlineStr">
        <is>
          <t>OFFICIAL_AGGREGATE</t>
        </is>
      </c>
      <c r="P157" s="8" t="n">
        <v>1</v>
      </c>
      <c r="Q157" s="8" t="n">
        <v>50</v>
      </c>
      <c r="R157" s="7" t="inlineStr">
        <is>
          <t>https://www.eby.gov.py/wp-content/uploads/2019/12/YacyretaEnergiasMensualesDesdePuestaenMarcha.pdf</t>
        </is>
      </c>
      <c r="S157" s="6" t="inlineStr">
        <is>
          <t>EBY-MONTHLY-1994-2012</t>
        </is>
      </c>
      <c r="T157" s="6" t="inlineStr"/>
      <c r="U157" s="4" t="inlineStr">
        <is>
          <t>2026-09-10 23:00:00</t>
        </is>
      </c>
      <c r="V157" s="4" t="inlineStr">
        <is>
          <t>Energia mensual Yacyreta desde puesta en marcha.</t>
        </is>
      </c>
    </row>
    <row r="158">
      <c r="A158" s="6" t="inlineStr">
        <is>
          <t>R0000162</t>
        </is>
      </c>
      <c r="B158" s="6" t="inlineStr">
        <is>
          <t>1994-09-01</t>
        </is>
      </c>
      <c r="C158" s="6" t="inlineStr">
        <is>
          <t>1994-09-30</t>
        </is>
      </c>
      <c r="D158" s="6" t="inlineStr">
        <is>
          <t>month</t>
        </is>
      </c>
      <c r="E158" s="6" t="inlineStr">
        <is>
          <t>ENERGY_TO_ARGENTINA</t>
        </is>
      </c>
      <c r="F158" s="6" t="inlineStr">
        <is>
          <t>YACYRETA</t>
        </is>
      </c>
      <c r="G158" s="6" t="inlineStr">
        <is>
          <t>YACYRETA</t>
        </is>
      </c>
      <c r="H158" s="6" t="inlineStr">
        <is>
          <t>SADI</t>
        </is>
      </c>
      <c r="I158" s="8" t="n">
        <v>55808</v>
      </c>
      <c r="J158" s="6" t="inlineStr">
        <is>
          <t>MWh</t>
        </is>
      </c>
      <c r="K158" s="8" t="n">
        <v>55808</v>
      </c>
      <c r="L158" s="6" t="inlineStr">
        <is>
          <t>MWh</t>
        </is>
      </c>
      <c r="M158" s="6" t="inlineStr">
        <is>
          <t>EBY</t>
        </is>
      </c>
      <c r="N158" s="6" t="inlineStr">
        <is>
          <t>OFFICIAL_PRIMARY</t>
        </is>
      </c>
      <c r="O158" s="9" t="inlineStr">
        <is>
          <t>OFFICIAL_AGGREGATE</t>
        </is>
      </c>
      <c r="P158" s="8" t="n">
        <v>1</v>
      </c>
      <c r="Q158" s="8" t="n">
        <v>50</v>
      </c>
      <c r="R158" s="7" t="inlineStr">
        <is>
          <t>https://www.eby.gov.py/wp-content/uploads/2019/12/YacyretaEnergiasMensualesDesdePuestaenMarcha.pdf</t>
        </is>
      </c>
      <c r="S158" s="6" t="inlineStr">
        <is>
          <t>EBY-MONTHLY-1994-2012</t>
        </is>
      </c>
      <c r="T158" s="6" t="inlineStr"/>
      <c r="U158" s="4" t="inlineStr">
        <is>
          <t>2026-09-10 23:00:00</t>
        </is>
      </c>
      <c r="V158" s="4" t="inlineStr">
        <is>
          <t>Energia mensual entregada al SADI.</t>
        </is>
      </c>
    </row>
    <row r="159">
      <c r="A159" s="6" t="inlineStr">
        <is>
          <t>R0000163</t>
        </is>
      </c>
      <c r="B159" s="6" t="inlineStr">
        <is>
          <t>1994-09-01</t>
        </is>
      </c>
      <c r="C159" s="6" t="inlineStr">
        <is>
          <t>1994-09-30</t>
        </is>
      </c>
      <c r="D159" s="6" t="inlineStr">
        <is>
          <t>month</t>
        </is>
      </c>
      <c r="E159" s="6" t="inlineStr">
        <is>
          <t>ENERGY_TO_PY</t>
        </is>
      </c>
      <c r="F159" s="6" t="inlineStr">
        <is>
          <t>YACYRETA</t>
        </is>
      </c>
      <c r="G159" s="6" t="inlineStr">
        <is>
          <t>YACYRETA</t>
        </is>
      </c>
      <c r="H159" s="6" t="inlineStr">
        <is>
          <t>SINP</t>
        </is>
      </c>
      <c r="I159" s="8" t="n">
        <v>0</v>
      </c>
      <c r="J159" s="6" t="inlineStr">
        <is>
          <t>MWh</t>
        </is>
      </c>
      <c r="K159" s="8" t="n">
        <v>0</v>
      </c>
      <c r="L159" s="6" t="inlineStr">
        <is>
          <t>MWh</t>
        </is>
      </c>
      <c r="M159" s="6" t="inlineStr">
        <is>
          <t>EBY</t>
        </is>
      </c>
      <c r="N159" s="6" t="inlineStr">
        <is>
          <t>OFFICIAL_PRIMARY</t>
        </is>
      </c>
      <c r="O159" s="9" t="inlineStr">
        <is>
          <t>OFFICIAL_AGGREGATE</t>
        </is>
      </c>
      <c r="P159" s="8" t="n">
        <v>1</v>
      </c>
      <c r="Q159" s="8" t="n">
        <v>50</v>
      </c>
      <c r="R159" s="7" t="inlineStr">
        <is>
          <t>https://www.eby.gov.py/wp-content/uploads/2019/12/YacyretaEnergiasMensualesDesdePuestaenMarcha.pdf</t>
        </is>
      </c>
      <c r="S159" s="6" t="inlineStr">
        <is>
          <t>EBY-MONTHLY-1994-2012</t>
        </is>
      </c>
      <c r="T159" s="6" t="inlineStr"/>
      <c r="U159" s="4" t="inlineStr">
        <is>
          <t>2026-09-10 23:00:00</t>
        </is>
      </c>
      <c r="V159" s="4" t="inlineStr">
        <is>
          <t>Energia mensual entregada al SINP.</t>
        </is>
      </c>
    </row>
    <row r="160">
      <c r="A160" s="6" t="inlineStr">
        <is>
          <t>R0000164</t>
        </is>
      </c>
      <c r="B160" s="6" t="inlineStr">
        <is>
          <t>1994-10-01</t>
        </is>
      </c>
      <c r="C160" s="6" t="inlineStr">
        <is>
          <t>1994-10-31</t>
        </is>
      </c>
      <c r="D160" s="6" t="inlineStr">
        <is>
          <t>month</t>
        </is>
      </c>
      <c r="E160" s="6" t="inlineStr">
        <is>
          <t>YACYRETA_NET_ENERGY</t>
        </is>
      </c>
      <c r="F160" s="6" t="inlineStr">
        <is>
          <t>YACYRETA</t>
        </is>
      </c>
      <c r="G160" s="6" t="inlineStr">
        <is>
          <t>YACYRETA</t>
        </is>
      </c>
      <c r="H160" s="6" t="inlineStr">
        <is>
          <t>TOTAL</t>
        </is>
      </c>
      <c r="I160" s="8" t="n">
        <v>62043</v>
      </c>
      <c r="J160" s="6" t="inlineStr">
        <is>
          <t>MWh</t>
        </is>
      </c>
      <c r="K160" s="8" t="n">
        <v>62043</v>
      </c>
      <c r="L160" s="6" t="inlineStr">
        <is>
          <t>MWh</t>
        </is>
      </c>
      <c r="M160" s="6" t="inlineStr">
        <is>
          <t>EBY</t>
        </is>
      </c>
      <c r="N160" s="6" t="inlineStr">
        <is>
          <t>OFFICIAL_PRIMARY</t>
        </is>
      </c>
      <c r="O160" s="9" t="inlineStr">
        <is>
          <t>OFFICIAL_AGGREGATE</t>
        </is>
      </c>
      <c r="P160" s="8" t="n">
        <v>1</v>
      </c>
      <c r="Q160" s="8" t="n">
        <v>50</v>
      </c>
      <c r="R160" s="7" t="inlineStr">
        <is>
          <t>https://www.eby.gov.py/wp-content/uploads/2019/12/YacyretaEnergiasMensualesDesdePuestaenMarcha.pdf</t>
        </is>
      </c>
      <c r="S160" s="6" t="inlineStr">
        <is>
          <t>EBY-MONTHLY-1994-2012</t>
        </is>
      </c>
      <c r="T160" s="6" t="inlineStr"/>
      <c r="U160" s="4" t="inlineStr">
        <is>
          <t>2026-09-10 23:00:00</t>
        </is>
      </c>
      <c r="V160" s="4" t="inlineStr">
        <is>
          <t>Energia mensual Yacyreta desde puesta en marcha.</t>
        </is>
      </c>
    </row>
    <row r="161">
      <c r="A161" s="6" t="inlineStr">
        <is>
          <t>R0000165</t>
        </is>
      </c>
      <c r="B161" s="6" t="inlineStr">
        <is>
          <t>1994-10-01</t>
        </is>
      </c>
      <c r="C161" s="6" t="inlineStr">
        <is>
          <t>1994-10-31</t>
        </is>
      </c>
      <c r="D161" s="6" t="inlineStr">
        <is>
          <t>month</t>
        </is>
      </c>
      <c r="E161" s="6" t="inlineStr">
        <is>
          <t>ENERGY_TO_ARGENTINA</t>
        </is>
      </c>
      <c r="F161" s="6" t="inlineStr">
        <is>
          <t>YACYRETA</t>
        </is>
      </c>
      <c r="G161" s="6" t="inlineStr">
        <is>
          <t>YACYRETA</t>
        </is>
      </c>
      <c r="H161" s="6" t="inlineStr">
        <is>
          <t>SADI</t>
        </is>
      </c>
      <c r="I161" s="8" t="n">
        <v>62043</v>
      </c>
      <c r="J161" s="6" t="inlineStr">
        <is>
          <t>MWh</t>
        </is>
      </c>
      <c r="K161" s="8" t="n">
        <v>62043</v>
      </c>
      <c r="L161" s="6" t="inlineStr">
        <is>
          <t>MWh</t>
        </is>
      </c>
      <c r="M161" s="6" t="inlineStr">
        <is>
          <t>EBY</t>
        </is>
      </c>
      <c r="N161" s="6" t="inlineStr">
        <is>
          <t>OFFICIAL_PRIMARY</t>
        </is>
      </c>
      <c r="O161" s="9" t="inlineStr">
        <is>
          <t>OFFICIAL_AGGREGATE</t>
        </is>
      </c>
      <c r="P161" s="8" t="n">
        <v>1</v>
      </c>
      <c r="Q161" s="8" t="n">
        <v>50</v>
      </c>
      <c r="R161" s="7" t="inlineStr">
        <is>
          <t>https://www.eby.gov.py/wp-content/uploads/2019/12/YacyretaEnergiasMensualesDesdePuestaenMarcha.pdf</t>
        </is>
      </c>
      <c r="S161" s="6" t="inlineStr">
        <is>
          <t>EBY-MONTHLY-1994-2012</t>
        </is>
      </c>
      <c r="T161" s="6" t="inlineStr"/>
      <c r="U161" s="4" t="inlineStr">
        <is>
          <t>2026-09-10 23:00:00</t>
        </is>
      </c>
      <c r="V161" s="4" t="inlineStr">
        <is>
          <t>Energia mensual entregada al SADI.</t>
        </is>
      </c>
    </row>
    <row r="162">
      <c r="A162" s="6" t="inlineStr">
        <is>
          <t>R0000166</t>
        </is>
      </c>
      <c r="B162" s="6" t="inlineStr">
        <is>
          <t>1994-10-01</t>
        </is>
      </c>
      <c r="C162" s="6" t="inlineStr">
        <is>
          <t>1994-10-31</t>
        </is>
      </c>
      <c r="D162" s="6" t="inlineStr">
        <is>
          <t>month</t>
        </is>
      </c>
      <c r="E162" s="6" t="inlineStr">
        <is>
          <t>ENERGY_TO_PY</t>
        </is>
      </c>
      <c r="F162" s="6" t="inlineStr">
        <is>
          <t>YACYRETA</t>
        </is>
      </c>
      <c r="G162" s="6" t="inlineStr">
        <is>
          <t>YACYRETA</t>
        </is>
      </c>
      <c r="H162" s="6" t="inlineStr">
        <is>
          <t>SINP</t>
        </is>
      </c>
      <c r="I162" s="8" t="n">
        <v>0</v>
      </c>
      <c r="J162" s="6" t="inlineStr">
        <is>
          <t>MWh</t>
        </is>
      </c>
      <c r="K162" s="8" t="n">
        <v>0</v>
      </c>
      <c r="L162" s="6" t="inlineStr">
        <is>
          <t>MWh</t>
        </is>
      </c>
      <c r="M162" s="6" t="inlineStr">
        <is>
          <t>EBY</t>
        </is>
      </c>
      <c r="N162" s="6" t="inlineStr">
        <is>
          <t>OFFICIAL_PRIMARY</t>
        </is>
      </c>
      <c r="O162" s="9" t="inlineStr">
        <is>
          <t>OFFICIAL_AGGREGATE</t>
        </is>
      </c>
      <c r="P162" s="8" t="n">
        <v>1</v>
      </c>
      <c r="Q162" s="8" t="n">
        <v>50</v>
      </c>
      <c r="R162" s="7" t="inlineStr">
        <is>
          <t>https://www.eby.gov.py/wp-content/uploads/2019/12/YacyretaEnergiasMensualesDesdePuestaenMarcha.pdf</t>
        </is>
      </c>
      <c r="S162" s="6" t="inlineStr">
        <is>
          <t>EBY-MONTHLY-1994-2012</t>
        </is>
      </c>
      <c r="T162" s="6" t="inlineStr"/>
      <c r="U162" s="4" t="inlineStr">
        <is>
          <t>2026-09-10 23:00:00</t>
        </is>
      </c>
      <c r="V162" s="4" t="inlineStr">
        <is>
          <t>Energia mensual entregada al SINP.</t>
        </is>
      </c>
    </row>
    <row r="163">
      <c r="A163" s="6" t="inlineStr">
        <is>
          <t>R0000167</t>
        </is>
      </c>
      <c r="B163" s="6" t="inlineStr">
        <is>
          <t>1994-11-01</t>
        </is>
      </c>
      <c r="C163" s="6" t="inlineStr">
        <is>
          <t>1994-11-30</t>
        </is>
      </c>
      <c r="D163" s="6" t="inlineStr">
        <is>
          <t>month</t>
        </is>
      </c>
      <c r="E163" s="6" t="inlineStr">
        <is>
          <t>YACYRETA_NET_ENERGY</t>
        </is>
      </c>
      <c r="F163" s="6" t="inlineStr">
        <is>
          <t>YACYRETA</t>
        </is>
      </c>
      <c r="G163" s="6" t="inlineStr">
        <is>
          <t>YACYRETA</t>
        </is>
      </c>
      <c r="H163" s="6" t="inlineStr">
        <is>
          <t>TOTAL</t>
        </is>
      </c>
      <c r="I163" s="8" t="n">
        <v>105254</v>
      </c>
      <c r="J163" s="6" t="inlineStr">
        <is>
          <t>MWh</t>
        </is>
      </c>
      <c r="K163" s="8" t="n">
        <v>105254</v>
      </c>
      <c r="L163" s="6" t="inlineStr">
        <is>
          <t>MWh</t>
        </is>
      </c>
      <c r="M163" s="6" t="inlineStr">
        <is>
          <t>EBY</t>
        </is>
      </c>
      <c r="N163" s="6" t="inlineStr">
        <is>
          <t>OFFICIAL_PRIMARY</t>
        </is>
      </c>
      <c r="O163" s="9" t="inlineStr">
        <is>
          <t>OFFICIAL_AGGREGATE</t>
        </is>
      </c>
      <c r="P163" s="8" t="n">
        <v>1</v>
      </c>
      <c r="Q163" s="8" t="n">
        <v>50</v>
      </c>
      <c r="R163" s="7" t="inlineStr">
        <is>
          <t>https://www.eby.gov.py/wp-content/uploads/2019/12/YacyretaEnergiasMensualesDesdePuestaenMarcha.pdf</t>
        </is>
      </c>
      <c r="S163" s="6" t="inlineStr">
        <is>
          <t>EBY-MONTHLY-1994-2012</t>
        </is>
      </c>
      <c r="T163" s="6" t="inlineStr"/>
      <c r="U163" s="4" t="inlineStr">
        <is>
          <t>2026-09-10 23:00:00</t>
        </is>
      </c>
      <c r="V163" s="4" t="inlineStr">
        <is>
          <t>Energia mensual Yacyreta desde puesta en marcha.</t>
        </is>
      </c>
    </row>
    <row r="164">
      <c r="A164" s="6" t="inlineStr">
        <is>
          <t>R0000168</t>
        </is>
      </c>
      <c r="B164" s="6" t="inlineStr">
        <is>
          <t>1994-11-01</t>
        </is>
      </c>
      <c r="C164" s="6" t="inlineStr">
        <is>
          <t>1994-11-30</t>
        </is>
      </c>
      <c r="D164" s="6" t="inlineStr">
        <is>
          <t>month</t>
        </is>
      </c>
      <c r="E164" s="6" t="inlineStr">
        <is>
          <t>ENERGY_TO_ARGENTINA</t>
        </is>
      </c>
      <c r="F164" s="6" t="inlineStr">
        <is>
          <t>YACYRETA</t>
        </is>
      </c>
      <c r="G164" s="6" t="inlineStr">
        <is>
          <t>YACYRETA</t>
        </is>
      </c>
      <c r="H164" s="6" t="inlineStr">
        <is>
          <t>SADI</t>
        </is>
      </c>
      <c r="I164" s="8" t="n">
        <v>105254</v>
      </c>
      <c r="J164" s="6" t="inlineStr">
        <is>
          <t>MWh</t>
        </is>
      </c>
      <c r="K164" s="8" t="n">
        <v>105254</v>
      </c>
      <c r="L164" s="6" t="inlineStr">
        <is>
          <t>MWh</t>
        </is>
      </c>
      <c r="M164" s="6" t="inlineStr">
        <is>
          <t>EBY</t>
        </is>
      </c>
      <c r="N164" s="6" t="inlineStr">
        <is>
          <t>OFFICIAL_PRIMARY</t>
        </is>
      </c>
      <c r="O164" s="9" t="inlineStr">
        <is>
          <t>OFFICIAL_AGGREGATE</t>
        </is>
      </c>
      <c r="P164" s="8" t="n">
        <v>1</v>
      </c>
      <c r="Q164" s="8" t="n">
        <v>50</v>
      </c>
      <c r="R164" s="7" t="inlineStr">
        <is>
          <t>https://www.eby.gov.py/wp-content/uploads/2019/12/YacyretaEnergiasMensualesDesdePuestaenMarcha.pdf</t>
        </is>
      </c>
      <c r="S164" s="6" t="inlineStr">
        <is>
          <t>EBY-MONTHLY-1994-2012</t>
        </is>
      </c>
      <c r="T164" s="6" t="inlineStr"/>
      <c r="U164" s="4" t="inlineStr">
        <is>
          <t>2026-09-10 23:00:00</t>
        </is>
      </c>
      <c r="V164" s="4" t="inlineStr">
        <is>
          <t>Energia mensual entregada al SADI.</t>
        </is>
      </c>
    </row>
    <row r="165">
      <c r="A165" s="6" t="inlineStr">
        <is>
          <t>R0000169</t>
        </is>
      </c>
      <c r="B165" s="6" t="inlineStr">
        <is>
          <t>1994-11-01</t>
        </is>
      </c>
      <c r="C165" s="6" t="inlineStr">
        <is>
          <t>1994-11-30</t>
        </is>
      </c>
      <c r="D165" s="6" t="inlineStr">
        <is>
          <t>month</t>
        </is>
      </c>
      <c r="E165" s="6" t="inlineStr">
        <is>
          <t>ENERGY_TO_PY</t>
        </is>
      </c>
      <c r="F165" s="6" t="inlineStr">
        <is>
          <t>YACYRETA</t>
        </is>
      </c>
      <c r="G165" s="6" t="inlineStr">
        <is>
          <t>YACYRETA</t>
        </is>
      </c>
      <c r="H165" s="6" t="inlineStr">
        <is>
          <t>SINP</t>
        </is>
      </c>
      <c r="I165" s="8" t="n">
        <v>0</v>
      </c>
      <c r="J165" s="6" t="inlineStr">
        <is>
          <t>MWh</t>
        </is>
      </c>
      <c r="K165" s="8" t="n">
        <v>0</v>
      </c>
      <c r="L165" s="6" t="inlineStr">
        <is>
          <t>MWh</t>
        </is>
      </c>
      <c r="M165" s="6" t="inlineStr">
        <is>
          <t>EBY</t>
        </is>
      </c>
      <c r="N165" s="6" t="inlineStr">
        <is>
          <t>OFFICIAL_PRIMARY</t>
        </is>
      </c>
      <c r="O165" s="9" t="inlineStr">
        <is>
          <t>OFFICIAL_AGGREGATE</t>
        </is>
      </c>
      <c r="P165" s="8" t="n">
        <v>1</v>
      </c>
      <c r="Q165" s="8" t="n">
        <v>50</v>
      </c>
      <c r="R165" s="7" t="inlineStr">
        <is>
          <t>https://www.eby.gov.py/wp-content/uploads/2019/12/YacyretaEnergiasMensualesDesdePuestaenMarcha.pdf</t>
        </is>
      </c>
      <c r="S165" s="6" t="inlineStr">
        <is>
          <t>EBY-MONTHLY-1994-2012</t>
        </is>
      </c>
      <c r="T165" s="6" t="inlineStr"/>
      <c r="U165" s="4" t="inlineStr">
        <is>
          <t>2026-09-10 23:00:00</t>
        </is>
      </c>
      <c r="V165" s="4" t="inlineStr">
        <is>
          <t>Energia mensual entregada al SINP.</t>
        </is>
      </c>
    </row>
    <row r="166">
      <c r="A166" s="6" t="inlineStr">
        <is>
          <t>R0000170</t>
        </is>
      </c>
      <c r="B166" s="6" t="inlineStr">
        <is>
          <t>1994-12-01</t>
        </is>
      </c>
      <c r="C166" s="6" t="inlineStr">
        <is>
          <t>1994-12-31</t>
        </is>
      </c>
      <c r="D166" s="6" t="inlineStr">
        <is>
          <t>month</t>
        </is>
      </c>
      <c r="E166" s="6" t="inlineStr">
        <is>
          <t>YACYRETA_NET_ENERGY</t>
        </is>
      </c>
      <c r="F166" s="6" t="inlineStr">
        <is>
          <t>YACYRETA</t>
        </is>
      </c>
      <c r="G166" s="6" t="inlineStr">
        <is>
          <t>YACYRETA</t>
        </is>
      </c>
      <c r="H166" s="6" t="inlineStr">
        <is>
          <t>TOTAL</t>
        </is>
      </c>
      <c r="I166" s="8" t="n">
        <v>131430</v>
      </c>
      <c r="J166" s="6" t="inlineStr">
        <is>
          <t>MWh</t>
        </is>
      </c>
      <c r="K166" s="8" t="n">
        <v>131430</v>
      </c>
      <c r="L166" s="6" t="inlineStr">
        <is>
          <t>MWh</t>
        </is>
      </c>
      <c r="M166" s="6" t="inlineStr">
        <is>
          <t>EBY</t>
        </is>
      </c>
      <c r="N166" s="6" t="inlineStr">
        <is>
          <t>OFFICIAL_PRIMARY</t>
        </is>
      </c>
      <c r="O166" s="9" t="inlineStr">
        <is>
          <t>OFFICIAL_AGGREGATE</t>
        </is>
      </c>
      <c r="P166" s="8" t="n">
        <v>1</v>
      </c>
      <c r="Q166" s="8" t="n">
        <v>50</v>
      </c>
      <c r="R166" s="7" t="inlineStr">
        <is>
          <t>https://www.eby.gov.py/wp-content/uploads/2019/12/YacyretaEnergiasMensualesDesdePuestaenMarcha.pdf</t>
        </is>
      </c>
      <c r="S166" s="6" t="inlineStr">
        <is>
          <t>EBY-MONTHLY-1994-2012</t>
        </is>
      </c>
      <c r="T166" s="6" t="inlineStr"/>
      <c r="U166" s="4" t="inlineStr">
        <is>
          <t>2026-09-10 23:00:00</t>
        </is>
      </c>
      <c r="V166" s="4" t="inlineStr">
        <is>
          <t>Energia mensual Yacyreta desde puesta en marcha.</t>
        </is>
      </c>
    </row>
    <row r="167">
      <c r="A167" s="6" t="inlineStr">
        <is>
          <t>R0000171</t>
        </is>
      </c>
      <c r="B167" s="6" t="inlineStr">
        <is>
          <t>1994-12-01</t>
        </is>
      </c>
      <c r="C167" s="6" t="inlineStr">
        <is>
          <t>1994-12-31</t>
        </is>
      </c>
      <c r="D167" s="6" t="inlineStr">
        <is>
          <t>month</t>
        </is>
      </c>
      <c r="E167" s="6" t="inlineStr">
        <is>
          <t>ENERGY_TO_ARGENTINA</t>
        </is>
      </c>
      <c r="F167" s="6" t="inlineStr">
        <is>
          <t>YACYRETA</t>
        </is>
      </c>
      <c r="G167" s="6" t="inlineStr">
        <is>
          <t>YACYRETA</t>
        </is>
      </c>
      <c r="H167" s="6" t="inlineStr">
        <is>
          <t>SADI</t>
        </is>
      </c>
      <c r="I167" s="8" t="n">
        <v>131430</v>
      </c>
      <c r="J167" s="6" t="inlineStr">
        <is>
          <t>MWh</t>
        </is>
      </c>
      <c r="K167" s="8" t="n">
        <v>131430</v>
      </c>
      <c r="L167" s="6" t="inlineStr">
        <is>
          <t>MWh</t>
        </is>
      </c>
      <c r="M167" s="6" t="inlineStr">
        <is>
          <t>EBY</t>
        </is>
      </c>
      <c r="N167" s="6" t="inlineStr">
        <is>
          <t>OFFICIAL_PRIMARY</t>
        </is>
      </c>
      <c r="O167" s="9" t="inlineStr">
        <is>
          <t>OFFICIAL_AGGREGATE</t>
        </is>
      </c>
      <c r="P167" s="8" t="n">
        <v>1</v>
      </c>
      <c r="Q167" s="8" t="n">
        <v>50</v>
      </c>
      <c r="R167" s="7" t="inlineStr">
        <is>
          <t>https://www.eby.gov.py/wp-content/uploads/2019/12/YacyretaEnergiasMensualesDesdePuestaenMarcha.pdf</t>
        </is>
      </c>
      <c r="S167" s="6" t="inlineStr">
        <is>
          <t>EBY-MONTHLY-1994-2012</t>
        </is>
      </c>
      <c r="T167" s="6" t="inlineStr"/>
      <c r="U167" s="4" t="inlineStr">
        <is>
          <t>2026-09-10 23:00:00</t>
        </is>
      </c>
      <c r="V167" s="4" t="inlineStr">
        <is>
          <t>Energia mensual entregada al SADI.</t>
        </is>
      </c>
    </row>
    <row r="168">
      <c r="A168" s="6" t="inlineStr">
        <is>
          <t>R0000172</t>
        </is>
      </c>
      <c r="B168" s="6" t="inlineStr">
        <is>
          <t>1994-12-01</t>
        </is>
      </c>
      <c r="C168" s="6" t="inlineStr">
        <is>
          <t>1994-12-31</t>
        </is>
      </c>
      <c r="D168" s="6" t="inlineStr">
        <is>
          <t>month</t>
        </is>
      </c>
      <c r="E168" s="6" t="inlineStr">
        <is>
          <t>ENERGY_TO_PY</t>
        </is>
      </c>
      <c r="F168" s="6" t="inlineStr">
        <is>
          <t>YACYRETA</t>
        </is>
      </c>
      <c r="G168" s="6" t="inlineStr">
        <is>
          <t>YACYRETA</t>
        </is>
      </c>
      <c r="H168" s="6" t="inlineStr">
        <is>
          <t>SINP</t>
        </is>
      </c>
      <c r="I168" s="8" t="n">
        <v>0</v>
      </c>
      <c r="J168" s="6" t="inlineStr">
        <is>
          <t>MWh</t>
        </is>
      </c>
      <c r="K168" s="8" t="n">
        <v>0</v>
      </c>
      <c r="L168" s="6" t="inlineStr">
        <is>
          <t>MWh</t>
        </is>
      </c>
      <c r="M168" s="6" t="inlineStr">
        <is>
          <t>EBY</t>
        </is>
      </c>
      <c r="N168" s="6" t="inlineStr">
        <is>
          <t>OFFICIAL_PRIMARY</t>
        </is>
      </c>
      <c r="O168" s="9" t="inlineStr">
        <is>
          <t>OFFICIAL_AGGREGATE</t>
        </is>
      </c>
      <c r="P168" s="8" t="n">
        <v>1</v>
      </c>
      <c r="Q168" s="8" t="n">
        <v>50</v>
      </c>
      <c r="R168" s="7" t="inlineStr">
        <is>
          <t>https://www.eby.gov.py/wp-content/uploads/2019/12/YacyretaEnergiasMensualesDesdePuestaenMarcha.pdf</t>
        </is>
      </c>
      <c r="S168" s="6" t="inlineStr">
        <is>
          <t>EBY-MONTHLY-1994-2012</t>
        </is>
      </c>
      <c r="T168" s="6" t="inlineStr"/>
      <c r="U168" s="4" t="inlineStr">
        <is>
          <t>2026-09-10 23:00:00</t>
        </is>
      </c>
      <c r="V168" s="4" t="inlineStr">
        <is>
          <t>Energia mensual entregada al SINP.</t>
        </is>
      </c>
    </row>
    <row r="169">
      <c r="A169" s="6" t="inlineStr">
        <is>
          <t>R0000173</t>
        </is>
      </c>
      <c r="B169" s="6" t="inlineStr">
        <is>
          <t>1995-01-01</t>
        </is>
      </c>
      <c r="C169" s="6" t="inlineStr">
        <is>
          <t>1995-01-31</t>
        </is>
      </c>
      <c r="D169" s="6" t="inlineStr">
        <is>
          <t>month</t>
        </is>
      </c>
      <c r="E169" s="6" t="inlineStr">
        <is>
          <t>YACYRETA_NET_ENERGY</t>
        </is>
      </c>
      <c r="F169" s="6" t="inlineStr">
        <is>
          <t>YACYRETA</t>
        </is>
      </c>
      <c r="G169" s="6" t="inlineStr">
        <is>
          <t>YACYRETA</t>
        </is>
      </c>
      <c r="H169" s="6" t="inlineStr">
        <is>
          <t>TOTAL</t>
        </is>
      </c>
      <c r="I169" s="8" t="n">
        <v>82725</v>
      </c>
      <c r="J169" s="6" t="inlineStr">
        <is>
          <t>MWh</t>
        </is>
      </c>
      <c r="K169" s="8" t="n">
        <v>82725</v>
      </c>
      <c r="L169" s="6" t="inlineStr">
        <is>
          <t>MWh</t>
        </is>
      </c>
      <c r="M169" s="6" t="inlineStr">
        <is>
          <t>EBY</t>
        </is>
      </c>
      <c r="N169" s="6" t="inlineStr">
        <is>
          <t>OFFICIAL_PRIMARY</t>
        </is>
      </c>
      <c r="O169" s="9" t="inlineStr">
        <is>
          <t>OFFICIAL_AGGREGATE</t>
        </is>
      </c>
      <c r="P169" s="8" t="n">
        <v>1</v>
      </c>
      <c r="Q169" s="8" t="n">
        <v>50</v>
      </c>
      <c r="R169" s="7" t="inlineStr">
        <is>
          <t>https://www.eby.gov.py/wp-content/uploads/2019/12/YacyretaEnergiasMensualesDesdePuestaenMarcha.pdf</t>
        </is>
      </c>
      <c r="S169" s="6" t="inlineStr">
        <is>
          <t>EBY-MONTHLY-1994-2012</t>
        </is>
      </c>
      <c r="T169" s="6" t="inlineStr"/>
      <c r="U169" s="4" t="inlineStr">
        <is>
          <t>2026-09-10 23:00:00</t>
        </is>
      </c>
      <c r="V169" s="4" t="inlineStr">
        <is>
          <t>Energia mensual Yacyreta desde puesta en marcha.</t>
        </is>
      </c>
    </row>
    <row r="170">
      <c r="A170" s="6" t="inlineStr">
        <is>
          <t>R0000174</t>
        </is>
      </c>
      <c r="B170" s="6" t="inlineStr">
        <is>
          <t>1995-01-01</t>
        </is>
      </c>
      <c r="C170" s="6" t="inlineStr">
        <is>
          <t>1995-01-31</t>
        </is>
      </c>
      <c r="D170" s="6" t="inlineStr">
        <is>
          <t>month</t>
        </is>
      </c>
      <c r="E170" s="6" t="inlineStr">
        <is>
          <t>ENERGY_TO_ARGENTINA</t>
        </is>
      </c>
      <c r="F170" s="6" t="inlineStr">
        <is>
          <t>YACYRETA</t>
        </is>
      </c>
      <c r="G170" s="6" t="inlineStr">
        <is>
          <t>YACYRETA</t>
        </is>
      </c>
      <c r="H170" s="6" t="inlineStr">
        <is>
          <t>SADI</t>
        </is>
      </c>
      <c r="I170" s="8" t="n">
        <v>82725</v>
      </c>
      <c r="J170" s="6" t="inlineStr">
        <is>
          <t>MWh</t>
        </is>
      </c>
      <c r="K170" s="8" t="n">
        <v>82725</v>
      </c>
      <c r="L170" s="6" t="inlineStr">
        <is>
          <t>MWh</t>
        </is>
      </c>
      <c r="M170" s="6" t="inlineStr">
        <is>
          <t>EBY</t>
        </is>
      </c>
      <c r="N170" s="6" t="inlineStr">
        <is>
          <t>OFFICIAL_PRIMARY</t>
        </is>
      </c>
      <c r="O170" s="9" t="inlineStr">
        <is>
          <t>OFFICIAL_AGGREGATE</t>
        </is>
      </c>
      <c r="P170" s="8" t="n">
        <v>1</v>
      </c>
      <c r="Q170" s="8" t="n">
        <v>50</v>
      </c>
      <c r="R170" s="7" t="inlineStr">
        <is>
          <t>https://www.eby.gov.py/wp-content/uploads/2019/12/YacyretaEnergiasMensualesDesdePuestaenMarcha.pdf</t>
        </is>
      </c>
      <c r="S170" s="6" t="inlineStr">
        <is>
          <t>EBY-MONTHLY-1994-2012</t>
        </is>
      </c>
      <c r="T170" s="6" t="inlineStr"/>
      <c r="U170" s="4" t="inlineStr">
        <is>
          <t>2026-09-10 23:00:00</t>
        </is>
      </c>
      <c r="V170" s="4" t="inlineStr">
        <is>
          <t>Energia mensual entregada al SADI.</t>
        </is>
      </c>
    </row>
    <row r="171">
      <c r="A171" s="6" t="inlineStr">
        <is>
          <t>R0000175</t>
        </is>
      </c>
      <c r="B171" s="6" t="inlineStr">
        <is>
          <t>1995-01-01</t>
        </is>
      </c>
      <c r="C171" s="6" t="inlineStr">
        <is>
          <t>1995-01-31</t>
        </is>
      </c>
      <c r="D171" s="6" t="inlineStr">
        <is>
          <t>month</t>
        </is>
      </c>
      <c r="E171" s="6" t="inlineStr">
        <is>
          <t>ENERGY_TO_PY</t>
        </is>
      </c>
      <c r="F171" s="6" t="inlineStr">
        <is>
          <t>YACYRETA</t>
        </is>
      </c>
      <c r="G171" s="6" t="inlineStr">
        <is>
          <t>YACYRETA</t>
        </is>
      </c>
      <c r="H171" s="6" t="inlineStr">
        <is>
          <t>SINP</t>
        </is>
      </c>
      <c r="I171" s="8" t="n">
        <v>0</v>
      </c>
      <c r="J171" s="6" t="inlineStr">
        <is>
          <t>MWh</t>
        </is>
      </c>
      <c r="K171" s="8" t="n">
        <v>0</v>
      </c>
      <c r="L171" s="6" t="inlineStr">
        <is>
          <t>MWh</t>
        </is>
      </c>
      <c r="M171" s="6" t="inlineStr">
        <is>
          <t>EBY</t>
        </is>
      </c>
      <c r="N171" s="6" t="inlineStr">
        <is>
          <t>OFFICIAL_PRIMARY</t>
        </is>
      </c>
      <c r="O171" s="9" t="inlineStr">
        <is>
          <t>OFFICIAL_AGGREGATE</t>
        </is>
      </c>
      <c r="P171" s="8" t="n">
        <v>1</v>
      </c>
      <c r="Q171" s="8" t="n">
        <v>50</v>
      </c>
      <c r="R171" s="7" t="inlineStr">
        <is>
          <t>https://www.eby.gov.py/wp-content/uploads/2019/12/YacyretaEnergiasMensualesDesdePuestaenMarcha.pdf</t>
        </is>
      </c>
      <c r="S171" s="6" t="inlineStr">
        <is>
          <t>EBY-MONTHLY-1994-2012</t>
        </is>
      </c>
      <c r="T171" s="6" t="inlineStr"/>
      <c r="U171" s="4" t="inlineStr">
        <is>
          <t>2026-09-10 23:00:00</t>
        </is>
      </c>
      <c r="V171" s="4" t="inlineStr">
        <is>
          <t>Energia mensual entregada al SINP.</t>
        </is>
      </c>
    </row>
    <row r="172">
      <c r="A172" s="6" t="inlineStr">
        <is>
          <t>R0000176</t>
        </is>
      </c>
      <c r="B172" s="6" t="inlineStr">
        <is>
          <t>1995-02-01</t>
        </is>
      </c>
      <c r="C172" s="6" t="inlineStr">
        <is>
          <t>1995-02-28</t>
        </is>
      </c>
      <c r="D172" s="6" t="inlineStr">
        <is>
          <t>month</t>
        </is>
      </c>
      <c r="E172" s="6" t="inlineStr">
        <is>
          <t>YACYRETA_NET_ENERGY</t>
        </is>
      </c>
      <c r="F172" s="6" t="inlineStr">
        <is>
          <t>YACYRETA</t>
        </is>
      </c>
      <c r="G172" s="6" t="inlineStr">
        <is>
          <t>YACYRETA</t>
        </is>
      </c>
      <c r="H172" s="6" t="inlineStr">
        <is>
          <t>TOTAL</t>
        </is>
      </c>
      <c r="I172" s="8" t="n">
        <v>153902</v>
      </c>
      <c r="J172" s="6" t="inlineStr">
        <is>
          <t>MWh</t>
        </is>
      </c>
      <c r="K172" s="8" t="n">
        <v>153902</v>
      </c>
      <c r="L172" s="6" t="inlineStr">
        <is>
          <t>MWh</t>
        </is>
      </c>
      <c r="M172" s="6" t="inlineStr">
        <is>
          <t>EBY</t>
        </is>
      </c>
      <c r="N172" s="6" t="inlineStr">
        <is>
          <t>OFFICIAL_PRIMARY</t>
        </is>
      </c>
      <c r="O172" s="9" t="inlineStr">
        <is>
          <t>OFFICIAL_AGGREGATE</t>
        </is>
      </c>
      <c r="P172" s="8" t="n">
        <v>1</v>
      </c>
      <c r="Q172" s="8" t="n">
        <v>50</v>
      </c>
      <c r="R172" s="7" t="inlineStr">
        <is>
          <t>https://www.eby.gov.py/wp-content/uploads/2019/12/YacyretaEnergiasMensualesDesdePuestaenMarcha.pdf</t>
        </is>
      </c>
      <c r="S172" s="6" t="inlineStr">
        <is>
          <t>EBY-MONTHLY-1994-2012</t>
        </is>
      </c>
      <c r="T172" s="6" t="inlineStr"/>
      <c r="U172" s="4" t="inlineStr">
        <is>
          <t>2026-09-10 23:00:00</t>
        </is>
      </c>
      <c r="V172" s="4" t="inlineStr">
        <is>
          <t>Energia mensual Yacyreta desde puesta en marcha.</t>
        </is>
      </c>
    </row>
    <row r="173">
      <c r="A173" s="6" t="inlineStr">
        <is>
          <t>R0000177</t>
        </is>
      </c>
      <c r="B173" s="6" t="inlineStr">
        <is>
          <t>1995-02-01</t>
        </is>
      </c>
      <c r="C173" s="6" t="inlineStr">
        <is>
          <t>1995-02-28</t>
        </is>
      </c>
      <c r="D173" s="6" t="inlineStr">
        <is>
          <t>month</t>
        </is>
      </c>
      <c r="E173" s="6" t="inlineStr">
        <is>
          <t>ENERGY_TO_ARGENTINA</t>
        </is>
      </c>
      <c r="F173" s="6" t="inlineStr">
        <is>
          <t>YACYRETA</t>
        </is>
      </c>
      <c r="G173" s="6" t="inlineStr">
        <is>
          <t>YACYRETA</t>
        </is>
      </c>
      <c r="H173" s="6" t="inlineStr">
        <is>
          <t>SADI</t>
        </is>
      </c>
      <c r="I173" s="8" t="n">
        <v>153902</v>
      </c>
      <c r="J173" s="6" t="inlineStr">
        <is>
          <t>MWh</t>
        </is>
      </c>
      <c r="K173" s="8" t="n">
        <v>153902</v>
      </c>
      <c r="L173" s="6" t="inlineStr">
        <is>
          <t>MWh</t>
        </is>
      </c>
      <c r="M173" s="6" t="inlineStr">
        <is>
          <t>EBY</t>
        </is>
      </c>
      <c r="N173" s="6" t="inlineStr">
        <is>
          <t>OFFICIAL_PRIMARY</t>
        </is>
      </c>
      <c r="O173" s="9" t="inlineStr">
        <is>
          <t>OFFICIAL_AGGREGATE</t>
        </is>
      </c>
      <c r="P173" s="8" t="n">
        <v>1</v>
      </c>
      <c r="Q173" s="8" t="n">
        <v>50</v>
      </c>
      <c r="R173" s="7" t="inlineStr">
        <is>
          <t>https://www.eby.gov.py/wp-content/uploads/2019/12/YacyretaEnergiasMensualesDesdePuestaenMarcha.pdf</t>
        </is>
      </c>
      <c r="S173" s="6" t="inlineStr">
        <is>
          <t>EBY-MONTHLY-1994-2012</t>
        </is>
      </c>
      <c r="T173" s="6" t="inlineStr"/>
      <c r="U173" s="4" t="inlineStr">
        <is>
          <t>2026-09-10 23:00:00</t>
        </is>
      </c>
      <c r="V173" s="4" t="inlineStr">
        <is>
          <t>Energia mensual entregada al SADI.</t>
        </is>
      </c>
    </row>
    <row r="174">
      <c r="A174" s="6" t="inlineStr">
        <is>
          <t>R0000178</t>
        </is>
      </c>
      <c r="B174" s="6" t="inlineStr">
        <is>
          <t>1995-02-01</t>
        </is>
      </c>
      <c r="C174" s="6" t="inlineStr">
        <is>
          <t>1995-02-28</t>
        </is>
      </c>
      <c r="D174" s="6" t="inlineStr">
        <is>
          <t>month</t>
        </is>
      </c>
      <c r="E174" s="6" t="inlineStr">
        <is>
          <t>ENERGY_TO_PY</t>
        </is>
      </c>
      <c r="F174" s="6" t="inlineStr">
        <is>
          <t>YACYRETA</t>
        </is>
      </c>
      <c r="G174" s="6" t="inlineStr">
        <is>
          <t>YACYRETA</t>
        </is>
      </c>
      <c r="H174" s="6" t="inlineStr">
        <is>
          <t>SINP</t>
        </is>
      </c>
      <c r="I174" s="8" t="n">
        <v>0</v>
      </c>
      <c r="J174" s="6" t="inlineStr">
        <is>
          <t>MWh</t>
        </is>
      </c>
      <c r="K174" s="8" t="n">
        <v>0</v>
      </c>
      <c r="L174" s="6" t="inlineStr">
        <is>
          <t>MWh</t>
        </is>
      </c>
      <c r="M174" s="6" t="inlineStr">
        <is>
          <t>EBY</t>
        </is>
      </c>
      <c r="N174" s="6" t="inlineStr">
        <is>
          <t>OFFICIAL_PRIMARY</t>
        </is>
      </c>
      <c r="O174" s="9" t="inlineStr">
        <is>
          <t>OFFICIAL_AGGREGATE</t>
        </is>
      </c>
      <c r="P174" s="8" t="n">
        <v>1</v>
      </c>
      <c r="Q174" s="8" t="n">
        <v>50</v>
      </c>
      <c r="R174" s="7" t="inlineStr">
        <is>
          <t>https://www.eby.gov.py/wp-content/uploads/2019/12/YacyretaEnergiasMensualesDesdePuestaenMarcha.pdf</t>
        </is>
      </c>
      <c r="S174" s="6" t="inlineStr">
        <is>
          <t>EBY-MONTHLY-1994-2012</t>
        </is>
      </c>
      <c r="T174" s="6" t="inlineStr"/>
      <c r="U174" s="4" t="inlineStr">
        <is>
          <t>2026-09-10 23:00:00</t>
        </is>
      </c>
      <c r="V174" s="4" t="inlineStr">
        <is>
          <t>Energia mensual entregada al SINP.</t>
        </is>
      </c>
    </row>
    <row r="175">
      <c r="A175" s="6" t="inlineStr">
        <is>
          <t>R0000179</t>
        </is>
      </c>
      <c r="B175" s="6" t="inlineStr">
        <is>
          <t>1995-03-01</t>
        </is>
      </c>
      <c r="C175" s="6" t="inlineStr">
        <is>
          <t>1995-03-31</t>
        </is>
      </c>
      <c r="D175" s="6" t="inlineStr">
        <is>
          <t>month</t>
        </is>
      </c>
      <c r="E175" s="6" t="inlineStr">
        <is>
          <t>YACYRETA_NET_ENERGY</t>
        </is>
      </c>
      <c r="F175" s="6" t="inlineStr">
        <is>
          <t>YACYRETA</t>
        </is>
      </c>
      <c r="G175" s="6" t="inlineStr">
        <is>
          <t>YACYRETA</t>
        </is>
      </c>
      <c r="H175" s="6" t="inlineStr">
        <is>
          <t>TOTAL</t>
        </is>
      </c>
      <c r="I175" s="8" t="n">
        <v>239598</v>
      </c>
      <c r="J175" s="6" t="inlineStr">
        <is>
          <t>MWh</t>
        </is>
      </c>
      <c r="K175" s="8" t="n">
        <v>239598</v>
      </c>
      <c r="L175" s="6" t="inlineStr">
        <is>
          <t>MWh</t>
        </is>
      </c>
      <c r="M175" s="6" t="inlineStr">
        <is>
          <t>EBY</t>
        </is>
      </c>
      <c r="N175" s="6" t="inlineStr">
        <is>
          <t>OFFICIAL_PRIMARY</t>
        </is>
      </c>
      <c r="O175" s="9" t="inlineStr">
        <is>
          <t>OFFICIAL_AGGREGATE</t>
        </is>
      </c>
      <c r="P175" s="8" t="n">
        <v>1</v>
      </c>
      <c r="Q175" s="8" t="n">
        <v>50</v>
      </c>
      <c r="R175" s="7" t="inlineStr">
        <is>
          <t>https://www.eby.gov.py/wp-content/uploads/2019/12/YacyretaEnergiasMensualesDesdePuestaenMarcha.pdf</t>
        </is>
      </c>
      <c r="S175" s="6" t="inlineStr">
        <is>
          <t>EBY-MONTHLY-1994-2012</t>
        </is>
      </c>
      <c r="T175" s="6" t="inlineStr"/>
      <c r="U175" s="4" t="inlineStr">
        <is>
          <t>2026-09-10 23:00:00</t>
        </is>
      </c>
      <c r="V175" s="4" t="inlineStr">
        <is>
          <t>Energia mensual Yacyreta desde puesta en marcha.</t>
        </is>
      </c>
    </row>
    <row r="176">
      <c r="A176" s="6" t="inlineStr">
        <is>
          <t>R0000180</t>
        </is>
      </c>
      <c r="B176" s="6" t="inlineStr">
        <is>
          <t>1995-03-01</t>
        </is>
      </c>
      <c r="C176" s="6" t="inlineStr">
        <is>
          <t>1995-03-31</t>
        </is>
      </c>
      <c r="D176" s="6" t="inlineStr">
        <is>
          <t>month</t>
        </is>
      </c>
      <c r="E176" s="6" t="inlineStr">
        <is>
          <t>ENERGY_TO_ARGENTINA</t>
        </is>
      </c>
      <c r="F176" s="6" t="inlineStr">
        <is>
          <t>YACYRETA</t>
        </is>
      </c>
      <c r="G176" s="6" t="inlineStr">
        <is>
          <t>YACYRETA</t>
        </is>
      </c>
      <c r="H176" s="6" t="inlineStr">
        <is>
          <t>SADI</t>
        </is>
      </c>
      <c r="I176" s="8" t="n">
        <v>239598</v>
      </c>
      <c r="J176" s="6" t="inlineStr">
        <is>
          <t>MWh</t>
        </is>
      </c>
      <c r="K176" s="8" t="n">
        <v>239598</v>
      </c>
      <c r="L176" s="6" t="inlineStr">
        <is>
          <t>MWh</t>
        </is>
      </c>
      <c r="M176" s="6" t="inlineStr">
        <is>
          <t>EBY</t>
        </is>
      </c>
      <c r="N176" s="6" t="inlineStr">
        <is>
          <t>OFFICIAL_PRIMARY</t>
        </is>
      </c>
      <c r="O176" s="9" t="inlineStr">
        <is>
          <t>OFFICIAL_AGGREGATE</t>
        </is>
      </c>
      <c r="P176" s="8" t="n">
        <v>1</v>
      </c>
      <c r="Q176" s="8" t="n">
        <v>50</v>
      </c>
      <c r="R176" s="7" t="inlineStr">
        <is>
          <t>https://www.eby.gov.py/wp-content/uploads/2019/12/YacyretaEnergiasMensualesDesdePuestaenMarcha.pdf</t>
        </is>
      </c>
      <c r="S176" s="6" t="inlineStr">
        <is>
          <t>EBY-MONTHLY-1994-2012</t>
        </is>
      </c>
      <c r="T176" s="6" t="inlineStr"/>
      <c r="U176" s="4" t="inlineStr">
        <is>
          <t>2026-09-10 23:00:00</t>
        </is>
      </c>
      <c r="V176" s="4" t="inlineStr">
        <is>
          <t>Energia mensual entregada al SADI.</t>
        </is>
      </c>
    </row>
    <row r="177">
      <c r="A177" s="6" t="inlineStr">
        <is>
          <t>R0000181</t>
        </is>
      </c>
      <c r="B177" s="6" t="inlineStr">
        <is>
          <t>1995-03-01</t>
        </is>
      </c>
      <c r="C177" s="6" t="inlineStr">
        <is>
          <t>1995-03-31</t>
        </is>
      </c>
      <c r="D177" s="6" t="inlineStr">
        <is>
          <t>month</t>
        </is>
      </c>
      <c r="E177" s="6" t="inlineStr">
        <is>
          <t>ENERGY_TO_PY</t>
        </is>
      </c>
      <c r="F177" s="6" t="inlineStr">
        <is>
          <t>YACYRETA</t>
        </is>
      </c>
      <c r="G177" s="6" t="inlineStr">
        <is>
          <t>YACYRETA</t>
        </is>
      </c>
      <c r="H177" s="6" t="inlineStr">
        <is>
          <t>SINP</t>
        </is>
      </c>
      <c r="I177" s="8" t="n">
        <v>0</v>
      </c>
      <c r="J177" s="6" t="inlineStr">
        <is>
          <t>MWh</t>
        </is>
      </c>
      <c r="K177" s="8" t="n">
        <v>0</v>
      </c>
      <c r="L177" s="6" t="inlineStr">
        <is>
          <t>MWh</t>
        </is>
      </c>
      <c r="M177" s="6" t="inlineStr">
        <is>
          <t>EBY</t>
        </is>
      </c>
      <c r="N177" s="6" t="inlineStr">
        <is>
          <t>OFFICIAL_PRIMARY</t>
        </is>
      </c>
      <c r="O177" s="9" t="inlineStr">
        <is>
          <t>OFFICIAL_AGGREGATE</t>
        </is>
      </c>
      <c r="P177" s="8" t="n">
        <v>1</v>
      </c>
      <c r="Q177" s="8" t="n">
        <v>50</v>
      </c>
      <c r="R177" s="7" t="inlineStr">
        <is>
          <t>https://www.eby.gov.py/wp-content/uploads/2019/12/YacyretaEnergiasMensualesDesdePuestaenMarcha.pdf</t>
        </is>
      </c>
      <c r="S177" s="6" t="inlineStr">
        <is>
          <t>EBY-MONTHLY-1994-2012</t>
        </is>
      </c>
      <c r="T177" s="6" t="inlineStr"/>
      <c r="U177" s="4" t="inlineStr">
        <is>
          <t>2026-09-10 23:00:00</t>
        </is>
      </c>
      <c r="V177" s="4" t="inlineStr">
        <is>
          <t>Energia mensual entregada al SINP.</t>
        </is>
      </c>
    </row>
    <row r="178">
      <c r="A178" s="6" t="inlineStr">
        <is>
          <t>R0000182</t>
        </is>
      </c>
      <c r="B178" s="6" t="inlineStr">
        <is>
          <t>1995-04-01</t>
        </is>
      </c>
      <c r="C178" s="6" t="inlineStr">
        <is>
          <t>1995-04-30</t>
        </is>
      </c>
      <c r="D178" s="6" t="inlineStr">
        <is>
          <t>month</t>
        </is>
      </c>
      <c r="E178" s="6" t="inlineStr">
        <is>
          <t>YACYRETA_NET_ENERGY</t>
        </is>
      </c>
      <c r="F178" s="6" t="inlineStr">
        <is>
          <t>YACYRETA</t>
        </is>
      </c>
      <c r="G178" s="6" t="inlineStr">
        <is>
          <t>YACYRETA</t>
        </is>
      </c>
      <c r="H178" s="6" t="inlineStr">
        <is>
          <t>TOTAL</t>
        </is>
      </c>
      <c r="I178" s="8" t="n">
        <v>248286</v>
      </c>
      <c r="J178" s="6" t="inlineStr">
        <is>
          <t>MWh</t>
        </is>
      </c>
      <c r="K178" s="8" t="n">
        <v>248286</v>
      </c>
      <c r="L178" s="6" t="inlineStr">
        <is>
          <t>MWh</t>
        </is>
      </c>
      <c r="M178" s="6" t="inlineStr">
        <is>
          <t>EBY</t>
        </is>
      </c>
      <c r="N178" s="6" t="inlineStr">
        <is>
          <t>OFFICIAL_PRIMARY</t>
        </is>
      </c>
      <c r="O178" s="9" t="inlineStr">
        <is>
          <t>OFFICIAL_AGGREGATE</t>
        </is>
      </c>
      <c r="P178" s="8" t="n">
        <v>1</v>
      </c>
      <c r="Q178" s="8" t="n">
        <v>50</v>
      </c>
      <c r="R178" s="7" t="inlineStr">
        <is>
          <t>https://www.eby.gov.py/wp-content/uploads/2019/12/YacyretaEnergiasMensualesDesdePuestaenMarcha.pdf</t>
        </is>
      </c>
      <c r="S178" s="6" t="inlineStr">
        <is>
          <t>EBY-MONTHLY-1994-2012</t>
        </is>
      </c>
      <c r="T178" s="6" t="inlineStr"/>
      <c r="U178" s="4" t="inlineStr">
        <is>
          <t>2026-09-10 23:00:00</t>
        </is>
      </c>
      <c r="V178" s="4" t="inlineStr">
        <is>
          <t>Energia mensual Yacyreta desde puesta en marcha.</t>
        </is>
      </c>
    </row>
    <row r="179">
      <c r="A179" s="6" t="inlineStr">
        <is>
          <t>R0000183</t>
        </is>
      </c>
      <c r="B179" s="6" t="inlineStr">
        <is>
          <t>1995-04-01</t>
        </is>
      </c>
      <c r="C179" s="6" t="inlineStr">
        <is>
          <t>1995-04-30</t>
        </is>
      </c>
      <c r="D179" s="6" t="inlineStr">
        <is>
          <t>month</t>
        </is>
      </c>
      <c r="E179" s="6" t="inlineStr">
        <is>
          <t>ENERGY_TO_ARGENTINA</t>
        </is>
      </c>
      <c r="F179" s="6" t="inlineStr">
        <is>
          <t>YACYRETA</t>
        </is>
      </c>
      <c r="G179" s="6" t="inlineStr">
        <is>
          <t>YACYRETA</t>
        </is>
      </c>
      <c r="H179" s="6" t="inlineStr">
        <is>
          <t>SADI</t>
        </is>
      </c>
      <c r="I179" s="8" t="n">
        <v>248286</v>
      </c>
      <c r="J179" s="6" t="inlineStr">
        <is>
          <t>MWh</t>
        </is>
      </c>
      <c r="K179" s="8" t="n">
        <v>248286</v>
      </c>
      <c r="L179" s="6" t="inlineStr">
        <is>
          <t>MWh</t>
        </is>
      </c>
      <c r="M179" s="6" t="inlineStr">
        <is>
          <t>EBY</t>
        </is>
      </c>
      <c r="N179" s="6" t="inlineStr">
        <is>
          <t>OFFICIAL_PRIMARY</t>
        </is>
      </c>
      <c r="O179" s="9" t="inlineStr">
        <is>
          <t>OFFICIAL_AGGREGATE</t>
        </is>
      </c>
      <c r="P179" s="8" t="n">
        <v>1</v>
      </c>
      <c r="Q179" s="8" t="n">
        <v>50</v>
      </c>
      <c r="R179" s="7" t="inlineStr">
        <is>
          <t>https://www.eby.gov.py/wp-content/uploads/2019/12/YacyretaEnergiasMensualesDesdePuestaenMarcha.pdf</t>
        </is>
      </c>
      <c r="S179" s="6" t="inlineStr">
        <is>
          <t>EBY-MONTHLY-1994-2012</t>
        </is>
      </c>
      <c r="T179" s="6" t="inlineStr"/>
      <c r="U179" s="4" t="inlineStr">
        <is>
          <t>2026-09-10 23:00:00</t>
        </is>
      </c>
      <c r="V179" s="4" t="inlineStr">
        <is>
          <t>Energia mensual entregada al SADI.</t>
        </is>
      </c>
    </row>
    <row r="180">
      <c r="A180" s="6" t="inlineStr">
        <is>
          <t>R0000184</t>
        </is>
      </c>
      <c r="B180" s="6" t="inlineStr">
        <is>
          <t>1995-04-01</t>
        </is>
      </c>
      <c r="C180" s="6" t="inlineStr">
        <is>
          <t>1995-04-30</t>
        </is>
      </c>
      <c r="D180" s="6" t="inlineStr">
        <is>
          <t>month</t>
        </is>
      </c>
      <c r="E180" s="6" t="inlineStr">
        <is>
          <t>ENERGY_TO_PY</t>
        </is>
      </c>
      <c r="F180" s="6" t="inlineStr">
        <is>
          <t>YACYRETA</t>
        </is>
      </c>
      <c r="G180" s="6" t="inlineStr">
        <is>
          <t>YACYRETA</t>
        </is>
      </c>
      <c r="H180" s="6" t="inlineStr">
        <is>
          <t>SINP</t>
        </is>
      </c>
      <c r="I180" s="8" t="n">
        <v>0</v>
      </c>
      <c r="J180" s="6" t="inlineStr">
        <is>
          <t>MWh</t>
        </is>
      </c>
      <c r="K180" s="8" t="n">
        <v>0</v>
      </c>
      <c r="L180" s="6" t="inlineStr">
        <is>
          <t>MWh</t>
        </is>
      </c>
      <c r="M180" s="6" t="inlineStr">
        <is>
          <t>EBY</t>
        </is>
      </c>
      <c r="N180" s="6" t="inlineStr">
        <is>
          <t>OFFICIAL_PRIMARY</t>
        </is>
      </c>
      <c r="O180" s="9" t="inlineStr">
        <is>
          <t>OFFICIAL_AGGREGATE</t>
        </is>
      </c>
      <c r="P180" s="8" t="n">
        <v>1</v>
      </c>
      <c r="Q180" s="8" t="n">
        <v>50</v>
      </c>
      <c r="R180" s="7" t="inlineStr">
        <is>
          <t>https://www.eby.gov.py/wp-content/uploads/2019/12/YacyretaEnergiasMensualesDesdePuestaenMarcha.pdf</t>
        </is>
      </c>
      <c r="S180" s="6" t="inlineStr">
        <is>
          <t>EBY-MONTHLY-1994-2012</t>
        </is>
      </c>
      <c r="T180" s="6" t="inlineStr"/>
      <c r="U180" s="4" t="inlineStr">
        <is>
          <t>2026-09-10 23:00:00</t>
        </is>
      </c>
      <c r="V180" s="4" t="inlineStr">
        <is>
          <t>Energia mensual entregada al SINP.</t>
        </is>
      </c>
    </row>
    <row r="181">
      <c r="A181" s="6" t="inlineStr">
        <is>
          <t>R0000185</t>
        </is>
      </c>
      <c r="B181" s="6" t="inlineStr">
        <is>
          <t>1995-05-01</t>
        </is>
      </c>
      <c r="C181" s="6" t="inlineStr">
        <is>
          <t>1995-05-31</t>
        </is>
      </c>
      <c r="D181" s="6" t="inlineStr">
        <is>
          <t>month</t>
        </is>
      </c>
      <c r="E181" s="6" t="inlineStr">
        <is>
          <t>YACYRETA_NET_ENERGY</t>
        </is>
      </c>
      <c r="F181" s="6" t="inlineStr">
        <is>
          <t>YACYRETA</t>
        </is>
      </c>
      <c r="G181" s="6" t="inlineStr">
        <is>
          <t>YACYRETA</t>
        </is>
      </c>
      <c r="H181" s="6" t="inlineStr">
        <is>
          <t>TOTAL</t>
        </is>
      </c>
      <c r="I181" s="8" t="n">
        <v>340198</v>
      </c>
      <c r="J181" s="6" t="inlineStr">
        <is>
          <t>MWh</t>
        </is>
      </c>
      <c r="K181" s="8" t="n">
        <v>340198</v>
      </c>
      <c r="L181" s="6" t="inlineStr">
        <is>
          <t>MWh</t>
        </is>
      </c>
      <c r="M181" s="6" t="inlineStr">
        <is>
          <t>EBY</t>
        </is>
      </c>
      <c r="N181" s="6" t="inlineStr">
        <is>
          <t>OFFICIAL_PRIMARY</t>
        </is>
      </c>
      <c r="O181" s="9" t="inlineStr">
        <is>
          <t>OFFICIAL_AGGREGATE</t>
        </is>
      </c>
      <c r="P181" s="8" t="n">
        <v>1</v>
      </c>
      <c r="Q181" s="8" t="n">
        <v>50</v>
      </c>
      <c r="R181" s="7" t="inlineStr">
        <is>
          <t>https://www.eby.gov.py/wp-content/uploads/2019/12/YacyretaEnergiasMensualesDesdePuestaenMarcha.pdf</t>
        </is>
      </c>
      <c r="S181" s="6" t="inlineStr">
        <is>
          <t>EBY-MONTHLY-1994-2012</t>
        </is>
      </c>
      <c r="T181" s="6" t="inlineStr"/>
      <c r="U181" s="4" t="inlineStr">
        <is>
          <t>2026-09-10 23:00:00</t>
        </is>
      </c>
      <c r="V181" s="4" t="inlineStr">
        <is>
          <t>Energia mensual Yacyreta desde puesta en marcha.</t>
        </is>
      </c>
    </row>
    <row r="182">
      <c r="A182" s="6" t="inlineStr">
        <is>
          <t>R0000186</t>
        </is>
      </c>
      <c r="B182" s="6" t="inlineStr">
        <is>
          <t>1995-05-01</t>
        </is>
      </c>
      <c r="C182" s="6" t="inlineStr">
        <is>
          <t>1995-05-31</t>
        </is>
      </c>
      <c r="D182" s="6" t="inlineStr">
        <is>
          <t>month</t>
        </is>
      </c>
      <c r="E182" s="6" t="inlineStr">
        <is>
          <t>ENERGY_TO_ARGENTINA</t>
        </is>
      </c>
      <c r="F182" s="6" t="inlineStr">
        <is>
          <t>YACYRETA</t>
        </is>
      </c>
      <c r="G182" s="6" t="inlineStr">
        <is>
          <t>YACYRETA</t>
        </is>
      </c>
      <c r="H182" s="6" t="inlineStr">
        <is>
          <t>SADI</t>
        </is>
      </c>
      <c r="I182" s="8" t="n">
        <v>340198</v>
      </c>
      <c r="J182" s="6" t="inlineStr">
        <is>
          <t>MWh</t>
        </is>
      </c>
      <c r="K182" s="8" t="n">
        <v>340198</v>
      </c>
      <c r="L182" s="6" t="inlineStr">
        <is>
          <t>MWh</t>
        </is>
      </c>
      <c r="M182" s="6" t="inlineStr">
        <is>
          <t>EBY</t>
        </is>
      </c>
      <c r="N182" s="6" t="inlineStr">
        <is>
          <t>OFFICIAL_PRIMARY</t>
        </is>
      </c>
      <c r="O182" s="9" t="inlineStr">
        <is>
          <t>OFFICIAL_AGGREGATE</t>
        </is>
      </c>
      <c r="P182" s="8" t="n">
        <v>1</v>
      </c>
      <c r="Q182" s="8" t="n">
        <v>50</v>
      </c>
      <c r="R182" s="7" t="inlineStr">
        <is>
          <t>https://www.eby.gov.py/wp-content/uploads/2019/12/YacyretaEnergiasMensualesDesdePuestaenMarcha.pdf</t>
        </is>
      </c>
      <c r="S182" s="6" t="inlineStr">
        <is>
          <t>EBY-MONTHLY-1994-2012</t>
        </is>
      </c>
      <c r="T182" s="6" t="inlineStr"/>
      <c r="U182" s="4" t="inlineStr">
        <is>
          <t>2026-09-10 23:00:00</t>
        </is>
      </c>
      <c r="V182" s="4" t="inlineStr">
        <is>
          <t>Energia mensual entregada al SADI.</t>
        </is>
      </c>
    </row>
    <row r="183">
      <c r="A183" s="6" t="inlineStr">
        <is>
          <t>R0000187</t>
        </is>
      </c>
      <c r="B183" s="6" t="inlineStr">
        <is>
          <t>1995-05-01</t>
        </is>
      </c>
      <c r="C183" s="6" t="inlineStr">
        <is>
          <t>1995-05-31</t>
        </is>
      </c>
      <c r="D183" s="6" t="inlineStr">
        <is>
          <t>month</t>
        </is>
      </c>
      <c r="E183" s="6" t="inlineStr">
        <is>
          <t>ENERGY_TO_PY</t>
        </is>
      </c>
      <c r="F183" s="6" t="inlineStr">
        <is>
          <t>YACYRETA</t>
        </is>
      </c>
      <c r="G183" s="6" t="inlineStr">
        <is>
          <t>YACYRETA</t>
        </is>
      </c>
      <c r="H183" s="6" t="inlineStr">
        <is>
          <t>SINP</t>
        </is>
      </c>
      <c r="I183" s="8" t="n">
        <v>0</v>
      </c>
      <c r="J183" s="6" t="inlineStr">
        <is>
          <t>MWh</t>
        </is>
      </c>
      <c r="K183" s="8" t="n">
        <v>0</v>
      </c>
      <c r="L183" s="6" t="inlineStr">
        <is>
          <t>MWh</t>
        </is>
      </c>
      <c r="M183" s="6" t="inlineStr">
        <is>
          <t>EBY</t>
        </is>
      </c>
      <c r="N183" s="6" t="inlineStr">
        <is>
          <t>OFFICIAL_PRIMARY</t>
        </is>
      </c>
      <c r="O183" s="9" t="inlineStr">
        <is>
          <t>OFFICIAL_AGGREGATE</t>
        </is>
      </c>
      <c r="P183" s="8" t="n">
        <v>1</v>
      </c>
      <c r="Q183" s="8" t="n">
        <v>50</v>
      </c>
      <c r="R183" s="7" t="inlineStr">
        <is>
          <t>https://www.eby.gov.py/wp-content/uploads/2019/12/YacyretaEnergiasMensualesDesdePuestaenMarcha.pdf</t>
        </is>
      </c>
      <c r="S183" s="6" t="inlineStr">
        <is>
          <t>EBY-MONTHLY-1994-2012</t>
        </is>
      </c>
      <c r="T183" s="6" t="inlineStr"/>
      <c r="U183" s="4" t="inlineStr">
        <is>
          <t>2026-09-10 23:00:00</t>
        </is>
      </c>
      <c r="V183" s="4" t="inlineStr">
        <is>
          <t>Energia mensual entregada al SINP.</t>
        </is>
      </c>
    </row>
    <row r="184">
      <c r="A184" s="6" t="inlineStr">
        <is>
          <t>R0000188</t>
        </is>
      </c>
      <c r="B184" s="6" t="inlineStr">
        <is>
          <t>1995-06-01</t>
        </is>
      </c>
      <c r="C184" s="6" t="inlineStr">
        <is>
          <t>1995-06-30</t>
        </is>
      </c>
      <c r="D184" s="6" t="inlineStr">
        <is>
          <t>month</t>
        </is>
      </c>
      <c r="E184" s="6" t="inlineStr">
        <is>
          <t>YACYRETA_NET_ENERGY</t>
        </is>
      </c>
      <c r="F184" s="6" t="inlineStr">
        <is>
          <t>YACYRETA</t>
        </is>
      </c>
      <c r="G184" s="6" t="inlineStr">
        <is>
          <t>YACYRETA</t>
        </is>
      </c>
      <c r="H184" s="6" t="inlineStr">
        <is>
          <t>TOTAL</t>
        </is>
      </c>
      <c r="I184" s="8" t="n">
        <v>323527</v>
      </c>
      <c r="J184" s="6" t="inlineStr">
        <is>
          <t>MWh</t>
        </is>
      </c>
      <c r="K184" s="8" t="n">
        <v>323527</v>
      </c>
      <c r="L184" s="6" t="inlineStr">
        <is>
          <t>MWh</t>
        </is>
      </c>
      <c r="M184" s="6" t="inlineStr">
        <is>
          <t>EBY</t>
        </is>
      </c>
      <c r="N184" s="6" t="inlineStr">
        <is>
          <t>OFFICIAL_PRIMARY</t>
        </is>
      </c>
      <c r="O184" s="9" t="inlineStr">
        <is>
          <t>OFFICIAL_AGGREGATE</t>
        </is>
      </c>
      <c r="P184" s="8" t="n">
        <v>1</v>
      </c>
      <c r="Q184" s="8" t="n">
        <v>50</v>
      </c>
      <c r="R184" s="7" t="inlineStr">
        <is>
          <t>https://www.eby.gov.py/wp-content/uploads/2019/12/YacyretaEnergiasMensualesDesdePuestaenMarcha.pdf</t>
        </is>
      </c>
      <c r="S184" s="6" t="inlineStr">
        <is>
          <t>EBY-MONTHLY-1994-2012</t>
        </is>
      </c>
      <c r="T184" s="6" t="inlineStr"/>
      <c r="U184" s="4" t="inlineStr">
        <is>
          <t>2026-09-10 23:00:00</t>
        </is>
      </c>
      <c r="V184" s="4" t="inlineStr">
        <is>
          <t>Energia mensual Yacyreta desde puesta en marcha.</t>
        </is>
      </c>
    </row>
    <row r="185">
      <c r="A185" s="6" t="inlineStr">
        <is>
          <t>R0000189</t>
        </is>
      </c>
      <c r="B185" s="6" t="inlineStr">
        <is>
          <t>1995-06-01</t>
        </is>
      </c>
      <c r="C185" s="6" t="inlineStr">
        <is>
          <t>1995-06-30</t>
        </is>
      </c>
      <c r="D185" s="6" t="inlineStr">
        <is>
          <t>month</t>
        </is>
      </c>
      <c r="E185" s="6" t="inlineStr">
        <is>
          <t>ENERGY_TO_ARGENTINA</t>
        </is>
      </c>
      <c r="F185" s="6" t="inlineStr">
        <is>
          <t>YACYRETA</t>
        </is>
      </c>
      <c r="G185" s="6" t="inlineStr">
        <is>
          <t>YACYRETA</t>
        </is>
      </c>
      <c r="H185" s="6" t="inlineStr">
        <is>
          <t>SADI</t>
        </is>
      </c>
      <c r="I185" s="8" t="n">
        <v>323527</v>
      </c>
      <c r="J185" s="6" t="inlineStr">
        <is>
          <t>MWh</t>
        </is>
      </c>
      <c r="K185" s="8" t="n">
        <v>323527</v>
      </c>
      <c r="L185" s="6" t="inlineStr">
        <is>
          <t>MWh</t>
        </is>
      </c>
      <c r="M185" s="6" t="inlineStr">
        <is>
          <t>EBY</t>
        </is>
      </c>
      <c r="N185" s="6" t="inlineStr">
        <is>
          <t>OFFICIAL_PRIMARY</t>
        </is>
      </c>
      <c r="O185" s="9" t="inlineStr">
        <is>
          <t>OFFICIAL_AGGREGATE</t>
        </is>
      </c>
      <c r="P185" s="8" t="n">
        <v>1</v>
      </c>
      <c r="Q185" s="8" t="n">
        <v>50</v>
      </c>
      <c r="R185" s="7" t="inlineStr">
        <is>
          <t>https://www.eby.gov.py/wp-content/uploads/2019/12/YacyretaEnergiasMensualesDesdePuestaenMarcha.pdf</t>
        </is>
      </c>
      <c r="S185" s="6" t="inlineStr">
        <is>
          <t>EBY-MONTHLY-1994-2012</t>
        </is>
      </c>
      <c r="T185" s="6" t="inlineStr"/>
      <c r="U185" s="4" t="inlineStr">
        <is>
          <t>2026-09-10 23:00:00</t>
        </is>
      </c>
      <c r="V185" s="4" t="inlineStr">
        <is>
          <t>Energia mensual entregada al SADI.</t>
        </is>
      </c>
    </row>
    <row r="186">
      <c r="A186" s="6" t="inlineStr">
        <is>
          <t>R0000190</t>
        </is>
      </c>
      <c r="B186" s="6" t="inlineStr">
        <is>
          <t>1995-06-01</t>
        </is>
      </c>
      <c r="C186" s="6" t="inlineStr">
        <is>
          <t>1995-06-30</t>
        </is>
      </c>
      <c r="D186" s="6" t="inlineStr">
        <is>
          <t>month</t>
        </is>
      </c>
      <c r="E186" s="6" t="inlineStr">
        <is>
          <t>ENERGY_TO_PY</t>
        </is>
      </c>
      <c r="F186" s="6" t="inlineStr">
        <is>
          <t>YACYRETA</t>
        </is>
      </c>
      <c r="G186" s="6" t="inlineStr">
        <is>
          <t>YACYRETA</t>
        </is>
      </c>
      <c r="H186" s="6" t="inlineStr">
        <is>
          <t>SINP</t>
        </is>
      </c>
      <c r="I186" s="8" t="n">
        <v>0</v>
      </c>
      <c r="J186" s="6" t="inlineStr">
        <is>
          <t>MWh</t>
        </is>
      </c>
      <c r="K186" s="8" t="n">
        <v>0</v>
      </c>
      <c r="L186" s="6" t="inlineStr">
        <is>
          <t>MWh</t>
        </is>
      </c>
      <c r="M186" s="6" t="inlineStr">
        <is>
          <t>EBY</t>
        </is>
      </c>
      <c r="N186" s="6" t="inlineStr">
        <is>
          <t>OFFICIAL_PRIMARY</t>
        </is>
      </c>
      <c r="O186" s="9" t="inlineStr">
        <is>
          <t>OFFICIAL_AGGREGATE</t>
        </is>
      </c>
      <c r="P186" s="8" t="n">
        <v>1</v>
      </c>
      <c r="Q186" s="8" t="n">
        <v>50</v>
      </c>
      <c r="R186" s="7" t="inlineStr">
        <is>
          <t>https://www.eby.gov.py/wp-content/uploads/2019/12/YacyretaEnergiasMensualesDesdePuestaenMarcha.pdf</t>
        </is>
      </c>
      <c r="S186" s="6" t="inlineStr">
        <is>
          <t>EBY-MONTHLY-1994-2012</t>
        </is>
      </c>
      <c r="T186" s="6" t="inlineStr"/>
      <c r="U186" s="4" t="inlineStr">
        <is>
          <t>2026-09-10 23:00:00</t>
        </is>
      </c>
      <c r="V186" s="4" t="inlineStr">
        <is>
          <t>Energia mensual entregada al SINP.</t>
        </is>
      </c>
    </row>
    <row r="187">
      <c r="A187" s="6" t="inlineStr">
        <is>
          <t>R0000191</t>
        </is>
      </c>
      <c r="B187" s="6" t="inlineStr">
        <is>
          <t>1995-07-01</t>
        </is>
      </c>
      <c r="C187" s="6" t="inlineStr">
        <is>
          <t>1995-07-31</t>
        </is>
      </c>
      <c r="D187" s="6" t="inlineStr">
        <is>
          <t>month</t>
        </is>
      </c>
      <c r="E187" s="6" t="inlineStr">
        <is>
          <t>YACYRETA_NET_ENERGY</t>
        </is>
      </c>
      <c r="F187" s="6" t="inlineStr">
        <is>
          <t>YACYRETA</t>
        </is>
      </c>
      <c r="G187" s="6" t="inlineStr">
        <is>
          <t>YACYRETA</t>
        </is>
      </c>
      <c r="H187" s="6" t="inlineStr">
        <is>
          <t>TOTAL</t>
        </is>
      </c>
      <c r="I187" s="8" t="n">
        <v>351549</v>
      </c>
      <c r="J187" s="6" t="inlineStr">
        <is>
          <t>MWh</t>
        </is>
      </c>
      <c r="K187" s="8" t="n">
        <v>351549</v>
      </c>
      <c r="L187" s="6" t="inlineStr">
        <is>
          <t>MWh</t>
        </is>
      </c>
      <c r="M187" s="6" t="inlineStr">
        <is>
          <t>EBY</t>
        </is>
      </c>
      <c r="N187" s="6" t="inlineStr">
        <is>
          <t>OFFICIAL_PRIMARY</t>
        </is>
      </c>
      <c r="O187" s="9" t="inlineStr">
        <is>
          <t>OFFICIAL_AGGREGATE</t>
        </is>
      </c>
      <c r="P187" s="8" t="n">
        <v>1</v>
      </c>
      <c r="Q187" s="8" t="n">
        <v>50</v>
      </c>
      <c r="R187" s="7" t="inlineStr">
        <is>
          <t>https://www.eby.gov.py/wp-content/uploads/2019/12/YacyretaEnergiasMensualesDesdePuestaenMarcha.pdf</t>
        </is>
      </c>
      <c r="S187" s="6" t="inlineStr">
        <is>
          <t>EBY-MONTHLY-1994-2012</t>
        </is>
      </c>
      <c r="T187" s="6" t="inlineStr"/>
      <c r="U187" s="4" t="inlineStr">
        <is>
          <t>2026-09-10 23:00:00</t>
        </is>
      </c>
      <c r="V187" s="4" t="inlineStr">
        <is>
          <t>Energia mensual Yacyreta desde puesta en marcha.</t>
        </is>
      </c>
    </row>
    <row r="188">
      <c r="A188" s="6" t="inlineStr">
        <is>
          <t>R0000192</t>
        </is>
      </c>
      <c r="B188" s="6" t="inlineStr">
        <is>
          <t>1995-07-01</t>
        </is>
      </c>
      <c r="C188" s="6" t="inlineStr">
        <is>
          <t>1995-07-31</t>
        </is>
      </c>
      <c r="D188" s="6" t="inlineStr">
        <is>
          <t>month</t>
        </is>
      </c>
      <c r="E188" s="6" t="inlineStr">
        <is>
          <t>ENERGY_TO_ARGENTINA</t>
        </is>
      </c>
      <c r="F188" s="6" t="inlineStr">
        <is>
          <t>YACYRETA</t>
        </is>
      </c>
      <c r="G188" s="6" t="inlineStr">
        <is>
          <t>YACYRETA</t>
        </is>
      </c>
      <c r="H188" s="6" t="inlineStr">
        <is>
          <t>SADI</t>
        </is>
      </c>
      <c r="I188" s="8" t="n">
        <v>351549</v>
      </c>
      <c r="J188" s="6" t="inlineStr">
        <is>
          <t>MWh</t>
        </is>
      </c>
      <c r="K188" s="8" t="n">
        <v>351549</v>
      </c>
      <c r="L188" s="6" t="inlineStr">
        <is>
          <t>MWh</t>
        </is>
      </c>
      <c r="M188" s="6" t="inlineStr">
        <is>
          <t>EBY</t>
        </is>
      </c>
      <c r="N188" s="6" t="inlineStr">
        <is>
          <t>OFFICIAL_PRIMARY</t>
        </is>
      </c>
      <c r="O188" s="9" t="inlineStr">
        <is>
          <t>OFFICIAL_AGGREGATE</t>
        </is>
      </c>
      <c r="P188" s="8" t="n">
        <v>1</v>
      </c>
      <c r="Q188" s="8" t="n">
        <v>50</v>
      </c>
      <c r="R188" s="7" t="inlineStr">
        <is>
          <t>https://www.eby.gov.py/wp-content/uploads/2019/12/YacyretaEnergiasMensualesDesdePuestaenMarcha.pdf</t>
        </is>
      </c>
      <c r="S188" s="6" t="inlineStr">
        <is>
          <t>EBY-MONTHLY-1994-2012</t>
        </is>
      </c>
      <c r="T188" s="6" t="inlineStr"/>
      <c r="U188" s="4" t="inlineStr">
        <is>
          <t>2026-09-10 23:00:00</t>
        </is>
      </c>
      <c r="V188" s="4" t="inlineStr">
        <is>
          <t>Energia mensual entregada al SADI.</t>
        </is>
      </c>
    </row>
    <row r="189">
      <c r="A189" s="6" t="inlineStr">
        <is>
          <t>R0000193</t>
        </is>
      </c>
      <c r="B189" s="6" t="inlineStr">
        <is>
          <t>1995-07-01</t>
        </is>
      </c>
      <c r="C189" s="6" t="inlineStr">
        <is>
          <t>1995-07-31</t>
        </is>
      </c>
      <c r="D189" s="6" t="inlineStr">
        <is>
          <t>month</t>
        </is>
      </c>
      <c r="E189" s="6" t="inlineStr">
        <is>
          <t>ENERGY_TO_PY</t>
        </is>
      </c>
      <c r="F189" s="6" t="inlineStr">
        <is>
          <t>YACYRETA</t>
        </is>
      </c>
      <c r="G189" s="6" t="inlineStr">
        <is>
          <t>YACYRETA</t>
        </is>
      </c>
      <c r="H189" s="6" t="inlineStr">
        <is>
          <t>SINP</t>
        </is>
      </c>
      <c r="I189" s="8" t="n">
        <v>0</v>
      </c>
      <c r="J189" s="6" t="inlineStr">
        <is>
          <t>MWh</t>
        </is>
      </c>
      <c r="K189" s="8" t="n">
        <v>0</v>
      </c>
      <c r="L189" s="6" t="inlineStr">
        <is>
          <t>MWh</t>
        </is>
      </c>
      <c r="M189" s="6" t="inlineStr">
        <is>
          <t>EBY</t>
        </is>
      </c>
      <c r="N189" s="6" t="inlineStr">
        <is>
          <t>OFFICIAL_PRIMARY</t>
        </is>
      </c>
      <c r="O189" s="9" t="inlineStr">
        <is>
          <t>OFFICIAL_AGGREGATE</t>
        </is>
      </c>
      <c r="P189" s="8" t="n">
        <v>1</v>
      </c>
      <c r="Q189" s="8" t="n">
        <v>50</v>
      </c>
      <c r="R189" s="7" t="inlineStr">
        <is>
          <t>https://www.eby.gov.py/wp-content/uploads/2019/12/YacyretaEnergiasMensualesDesdePuestaenMarcha.pdf</t>
        </is>
      </c>
      <c r="S189" s="6" t="inlineStr">
        <is>
          <t>EBY-MONTHLY-1994-2012</t>
        </is>
      </c>
      <c r="T189" s="6" t="inlineStr"/>
      <c r="U189" s="4" t="inlineStr">
        <is>
          <t>2026-09-10 23:00:00</t>
        </is>
      </c>
      <c r="V189" s="4" t="inlineStr">
        <is>
          <t>Energia mensual entregada al SINP.</t>
        </is>
      </c>
    </row>
    <row r="190">
      <c r="A190" s="6" t="inlineStr">
        <is>
          <t>R0000194</t>
        </is>
      </c>
      <c r="B190" s="6" t="inlineStr">
        <is>
          <t>1995-08-01</t>
        </is>
      </c>
      <c r="C190" s="6" t="inlineStr">
        <is>
          <t>1995-08-31</t>
        </is>
      </c>
      <c r="D190" s="6" t="inlineStr">
        <is>
          <t>month</t>
        </is>
      </c>
      <c r="E190" s="6" t="inlineStr">
        <is>
          <t>YACYRETA_NET_ENERGY</t>
        </is>
      </c>
      <c r="F190" s="6" t="inlineStr">
        <is>
          <t>YACYRETA</t>
        </is>
      </c>
      <c r="G190" s="6" t="inlineStr">
        <is>
          <t>YACYRETA</t>
        </is>
      </c>
      <c r="H190" s="6" t="inlineStr">
        <is>
          <t>TOTAL</t>
        </is>
      </c>
      <c r="I190" s="8" t="n">
        <v>372443</v>
      </c>
      <c r="J190" s="6" t="inlineStr">
        <is>
          <t>MWh</t>
        </is>
      </c>
      <c r="K190" s="8" t="n">
        <v>372443</v>
      </c>
      <c r="L190" s="6" t="inlineStr">
        <is>
          <t>MWh</t>
        </is>
      </c>
      <c r="M190" s="6" t="inlineStr">
        <is>
          <t>EBY</t>
        </is>
      </c>
      <c r="N190" s="6" t="inlineStr">
        <is>
          <t>OFFICIAL_PRIMARY</t>
        </is>
      </c>
      <c r="O190" s="9" t="inlineStr">
        <is>
          <t>OFFICIAL_AGGREGATE</t>
        </is>
      </c>
      <c r="P190" s="8" t="n">
        <v>1</v>
      </c>
      <c r="Q190" s="8" t="n">
        <v>50</v>
      </c>
      <c r="R190" s="7" t="inlineStr">
        <is>
          <t>https://www.eby.gov.py/wp-content/uploads/2019/12/YacyretaEnergiasMensualesDesdePuestaenMarcha.pdf</t>
        </is>
      </c>
      <c r="S190" s="6" t="inlineStr">
        <is>
          <t>EBY-MONTHLY-1994-2012</t>
        </is>
      </c>
      <c r="T190" s="6" t="inlineStr"/>
      <c r="U190" s="4" t="inlineStr">
        <is>
          <t>2026-09-10 23:00:00</t>
        </is>
      </c>
      <c r="V190" s="4" t="inlineStr">
        <is>
          <t>Energia mensual Yacyreta desde puesta en marcha.</t>
        </is>
      </c>
    </row>
    <row r="191">
      <c r="A191" s="6" t="inlineStr">
        <is>
          <t>R0000195</t>
        </is>
      </c>
      <c r="B191" s="6" t="inlineStr">
        <is>
          <t>1995-08-01</t>
        </is>
      </c>
      <c r="C191" s="6" t="inlineStr">
        <is>
          <t>1995-08-31</t>
        </is>
      </c>
      <c r="D191" s="6" t="inlineStr">
        <is>
          <t>month</t>
        </is>
      </c>
      <c r="E191" s="6" t="inlineStr">
        <is>
          <t>ENERGY_TO_ARGENTINA</t>
        </is>
      </c>
      <c r="F191" s="6" t="inlineStr">
        <is>
          <t>YACYRETA</t>
        </is>
      </c>
      <c r="G191" s="6" t="inlineStr">
        <is>
          <t>YACYRETA</t>
        </is>
      </c>
      <c r="H191" s="6" t="inlineStr">
        <is>
          <t>SADI</t>
        </is>
      </c>
      <c r="I191" s="8" t="n">
        <v>372443</v>
      </c>
      <c r="J191" s="6" t="inlineStr">
        <is>
          <t>MWh</t>
        </is>
      </c>
      <c r="K191" s="8" t="n">
        <v>372443</v>
      </c>
      <c r="L191" s="6" t="inlineStr">
        <is>
          <t>MWh</t>
        </is>
      </c>
      <c r="M191" s="6" t="inlineStr">
        <is>
          <t>EBY</t>
        </is>
      </c>
      <c r="N191" s="6" t="inlineStr">
        <is>
          <t>OFFICIAL_PRIMARY</t>
        </is>
      </c>
      <c r="O191" s="9" t="inlineStr">
        <is>
          <t>OFFICIAL_AGGREGATE</t>
        </is>
      </c>
      <c r="P191" s="8" t="n">
        <v>1</v>
      </c>
      <c r="Q191" s="8" t="n">
        <v>50</v>
      </c>
      <c r="R191" s="7" t="inlineStr">
        <is>
          <t>https://www.eby.gov.py/wp-content/uploads/2019/12/YacyretaEnergiasMensualesDesdePuestaenMarcha.pdf</t>
        </is>
      </c>
      <c r="S191" s="6" t="inlineStr">
        <is>
          <t>EBY-MONTHLY-1994-2012</t>
        </is>
      </c>
      <c r="T191" s="6" t="inlineStr"/>
      <c r="U191" s="4" t="inlineStr">
        <is>
          <t>2026-09-10 23:00:00</t>
        </is>
      </c>
      <c r="V191" s="4" t="inlineStr">
        <is>
          <t>Energia mensual entregada al SADI.</t>
        </is>
      </c>
    </row>
    <row r="192">
      <c r="A192" s="6" t="inlineStr">
        <is>
          <t>R0000196</t>
        </is>
      </c>
      <c r="B192" s="6" t="inlineStr">
        <is>
          <t>1995-08-01</t>
        </is>
      </c>
      <c r="C192" s="6" t="inlineStr">
        <is>
          <t>1995-08-31</t>
        </is>
      </c>
      <c r="D192" s="6" t="inlineStr">
        <is>
          <t>month</t>
        </is>
      </c>
      <c r="E192" s="6" t="inlineStr">
        <is>
          <t>ENERGY_TO_PY</t>
        </is>
      </c>
      <c r="F192" s="6" t="inlineStr">
        <is>
          <t>YACYRETA</t>
        </is>
      </c>
      <c r="G192" s="6" t="inlineStr">
        <is>
          <t>YACYRETA</t>
        </is>
      </c>
      <c r="H192" s="6" t="inlineStr">
        <is>
          <t>SINP</t>
        </is>
      </c>
      <c r="I192" s="8" t="n">
        <v>0</v>
      </c>
      <c r="J192" s="6" t="inlineStr">
        <is>
          <t>MWh</t>
        </is>
      </c>
      <c r="K192" s="8" t="n">
        <v>0</v>
      </c>
      <c r="L192" s="6" t="inlineStr">
        <is>
          <t>MWh</t>
        </is>
      </c>
      <c r="M192" s="6" t="inlineStr">
        <is>
          <t>EBY</t>
        </is>
      </c>
      <c r="N192" s="6" t="inlineStr">
        <is>
          <t>OFFICIAL_PRIMARY</t>
        </is>
      </c>
      <c r="O192" s="9" t="inlineStr">
        <is>
          <t>OFFICIAL_AGGREGATE</t>
        </is>
      </c>
      <c r="P192" s="8" t="n">
        <v>1</v>
      </c>
      <c r="Q192" s="8" t="n">
        <v>50</v>
      </c>
      <c r="R192" s="7" t="inlineStr">
        <is>
          <t>https://www.eby.gov.py/wp-content/uploads/2019/12/YacyretaEnergiasMensualesDesdePuestaenMarcha.pdf</t>
        </is>
      </c>
      <c r="S192" s="6" t="inlineStr">
        <is>
          <t>EBY-MONTHLY-1994-2012</t>
        </is>
      </c>
      <c r="T192" s="6" t="inlineStr"/>
      <c r="U192" s="4" t="inlineStr">
        <is>
          <t>2026-09-10 23:00:00</t>
        </is>
      </c>
      <c r="V192" s="4" t="inlineStr">
        <is>
          <t>Energia mensual entregada al SINP.</t>
        </is>
      </c>
    </row>
    <row r="193">
      <c r="A193" s="6" t="inlineStr">
        <is>
          <t>R0000197</t>
        </is>
      </c>
      <c r="B193" s="6" t="inlineStr">
        <is>
          <t>1995-09-01</t>
        </is>
      </c>
      <c r="C193" s="6" t="inlineStr">
        <is>
          <t>1995-09-30</t>
        </is>
      </c>
      <c r="D193" s="6" t="inlineStr">
        <is>
          <t>month</t>
        </is>
      </c>
      <c r="E193" s="6" t="inlineStr">
        <is>
          <t>YACYRETA_NET_ENERGY</t>
        </is>
      </c>
      <c r="F193" s="6" t="inlineStr">
        <is>
          <t>YACYRETA</t>
        </is>
      </c>
      <c r="G193" s="6" t="inlineStr">
        <is>
          <t>YACYRETA</t>
        </is>
      </c>
      <c r="H193" s="6" t="inlineStr">
        <is>
          <t>TOTAL</t>
        </is>
      </c>
      <c r="I193" s="8" t="n">
        <v>395580</v>
      </c>
      <c r="J193" s="6" t="inlineStr">
        <is>
          <t>MWh</t>
        </is>
      </c>
      <c r="K193" s="8" t="n">
        <v>395580</v>
      </c>
      <c r="L193" s="6" t="inlineStr">
        <is>
          <t>MWh</t>
        </is>
      </c>
      <c r="M193" s="6" t="inlineStr">
        <is>
          <t>EBY</t>
        </is>
      </c>
      <c r="N193" s="6" t="inlineStr">
        <is>
          <t>OFFICIAL_PRIMARY</t>
        </is>
      </c>
      <c r="O193" s="9" t="inlineStr">
        <is>
          <t>OFFICIAL_AGGREGATE</t>
        </is>
      </c>
      <c r="P193" s="8" t="n">
        <v>1</v>
      </c>
      <c r="Q193" s="8" t="n">
        <v>50</v>
      </c>
      <c r="R193" s="7" t="inlineStr">
        <is>
          <t>https://www.eby.gov.py/wp-content/uploads/2019/12/YacyretaEnergiasMensualesDesdePuestaenMarcha.pdf</t>
        </is>
      </c>
      <c r="S193" s="6" t="inlineStr">
        <is>
          <t>EBY-MONTHLY-1994-2012</t>
        </is>
      </c>
      <c r="T193" s="6" t="inlineStr"/>
      <c r="U193" s="4" t="inlineStr">
        <is>
          <t>2026-09-10 23:00:00</t>
        </is>
      </c>
      <c r="V193" s="4" t="inlineStr">
        <is>
          <t>Energia mensual Yacyreta desde puesta en marcha.</t>
        </is>
      </c>
    </row>
    <row r="194">
      <c r="A194" s="6" t="inlineStr">
        <is>
          <t>R0000198</t>
        </is>
      </c>
      <c r="B194" s="6" t="inlineStr">
        <is>
          <t>1995-09-01</t>
        </is>
      </c>
      <c r="C194" s="6" t="inlineStr">
        <is>
          <t>1995-09-30</t>
        </is>
      </c>
      <c r="D194" s="6" t="inlineStr">
        <is>
          <t>month</t>
        </is>
      </c>
      <c r="E194" s="6" t="inlineStr">
        <is>
          <t>ENERGY_TO_ARGENTINA</t>
        </is>
      </c>
      <c r="F194" s="6" t="inlineStr">
        <is>
          <t>YACYRETA</t>
        </is>
      </c>
      <c r="G194" s="6" t="inlineStr">
        <is>
          <t>YACYRETA</t>
        </is>
      </c>
      <c r="H194" s="6" t="inlineStr">
        <is>
          <t>SADI</t>
        </is>
      </c>
      <c r="I194" s="8" t="n">
        <v>395580</v>
      </c>
      <c r="J194" s="6" t="inlineStr">
        <is>
          <t>MWh</t>
        </is>
      </c>
      <c r="K194" s="8" t="n">
        <v>395580</v>
      </c>
      <c r="L194" s="6" t="inlineStr">
        <is>
          <t>MWh</t>
        </is>
      </c>
      <c r="M194" s="6" t="inlineStr">
        <is>
          <t>EBY</t>
        </is>
      </c>
      <c r="N194" s="6" t="inlineStr">
        <is>
          <t>OFFICIAL_PRIMARY</t>
        </is>
      </c>
      <c r="O194" s="9" t="inlineStr">
        <is>
          <t>OFFICIAL_AGGREGATE</t>
        </is>
      </c>
      <c r="P194" s="8" t="n">
        <v>1</v>
      </c>
      <c r="Q194" s="8" t="n">
        <v>50</v>
      </c>
      <c r="R194" s="7" t="inlineStr">
        <is>
          <t>https://www.eby.gov.py/wp-content/uploads/2019/12/YacyretaEnergiasMensualesDesdePuestaenMarcha.pdf</t>
        </is>
      </c>
      <c r="S194" s="6" t="inlineStr">
        <is>
          <t>EBY-MONTHLY-1994-2012</t>
        </is>
      </c>
      <c r="T194" s="6" t="inlineStr"/>
      <c r="U194" s="4" t="inlineStr">
        <is>
          <t>2026-09-10 23:00:00</t>
        </is>
      </c>
      <c r="V194" s="4" t="inlineStr">
        <is>
          <t>Energia mensual entregada al SADI.</t>
        </is>
      </c>
    </row>
    <row r="195">
      <c r="A195" s="6" t="inlineStr">
        <is>
          <t>R0000199</t>
        </is>
      </c>
      <c r="B195" s="6" t="inlineStr">
        <is>
          <t>1995-09-01</t>
        </is>
      </c>
      <c r="C195" s="6" t="inlineStr">
        <is>
          <t>1995-09-30</t>
        </is>
      </c>
      <c r="D195" s="6" t="inlineStr">
        <is>
          <t>month</t>
        </is>
      </c>
      <c r="E195" s="6" t="inlineStr">
        <is>
          <t>ENERGY_TO_PY</t>
        </is>
      </c>
      <c r="F195" s="6" t="inlineStr">
        <is>
          <t>YACYRETA</t>
        </is>
      </c>
      <c r="G195" s="6" t="inlineStr">
        <is>
          <t>YACYRETA</t>
        </is>
      </c>
      <c r="H195" s="6" t="inlineStr">
        <is>
          <t>SINP</t>
        </is>
      </c>
      <c r="I195" s="8" t="n">
        <v>0</v>
      </c>
      <c r="J195" s="6" t="inlineStr">
        <is>
          <t>MWh</t>
        </is>
      </c>
      <c r="K195" s="8" t="n">
        <v>0</v>
      </c>
      <c r="L195" s="6" t="inlineStr">
        <is>
          <t>MWh</t>
        </is>
      </c>
      <c r="M195" s="6" t="inlineStr">
        <is>
          <t>EBY</t>
        </is>
      </c>
      <c r="N195" s="6" t="inlineStr">
        <is>
          <t>OFFICIAL_PRIMARY</t>
        </is>
      </c>
      <c r="O195" s="9" t="inlineStr">
        <is>
          <t>OFFICIAL_AGGREGATE</t>
        </is>
      </c>
      <c r="P195" s="8" t="n">
        <v>1</v>
      </c>
      <c r="Q195" s="8" t="n">
        <v>50</v>
      </c>
      <c r="R195" s="7" t="inlineStr">
        <is>
          <t>https://www.eby.gov.py/wp-content/uploads/2019/12/YacyretaEnergiasMensualesDesdePuestaenMarcha.pdf</t>
        </is>
      </c>
      <c r="S195" s="6" t="inlineStr">
        <is>
          <t>EBY-MONTHLY-1994-2012</t>
        </is>
      </c>
      <c r="T195" s="6" t="inlineStr"/>
      <c r="U195" s="4" t="inlineStr">
        <is>
          <t>2026-09-10 23:00:00</t>
        </is>
      </c>
      <c r="V195" s="4" t="inlineStr">
        <is>
          <t>Energia mensual entregada al SINP.</t>
        </is>
      </c>
    </row>
    <row r="196">
      <c r="A196" s="6" t="inlineStr">
        <is>
          <t>R0000200</t>
        </is>
      </c>
      <c r="B196" s="6" t="inlineStr">
        <is>
          <t>1995-10-01</t>
        </is>
      </c>
      <c r="C196" s="6" t="inlineStr">
        <is>
          <t>1995-10-31</t>
        </is>
      </c>
      <c r="D196" s="6" t="inlineStr">
        <is>
          <t>month</t>
        </is>
      </c>
      <c r="E196" s="6" t="inlineStr">
        <is>
          <t>YACYRETA_NET_ENERGY</t>
        </is>
      </c>
      <c r="F196" s="6" t="inlineStr">
        <is>
          <t>YACYRETA</t>
        </is>
      </c>
      <c r="G196" s="6" t="inlineStr">
        <is>
          <t>YACYRETA</t>
        </is>
      </c>
      <c r="H196" s="6" t="inlineStr">
        <is>
          <t>TOTAL</t>
        </is>
      </c>
      <c r="I196" s="8" t="n">
        <v>419897</v>
      </c>
      <c r="J196" s="6" t="inlineStr">
        <is>
          <t>MWh</t>
        </is>
      </c>
      <c r="K196" s="8" t="n">
        <v>419897</v>
      </c>
      <c r="L196" s="6" t="inlineStr">
        <is>
          <t>MWh</t>
        </is>
      </c>
      <c r="M196" s="6" t="inlineStr">
        <is>
          <t>EBY</t>
        </is>
      </c>
      <c r="N196" s="6" t="inlineStr">
        <is>
          <t>OFFICIAL_PRIMARY</t>
        </is>
      </c>
      <c r="O196" s="9" t="inlineStr">
        <is>
          <t>OFFICIAL_AGGREGATE</t>
        </is>
      </c>
      <c r="P196" s="8" t="n">
        <v>1</v>
      </c>
      <c r="Q196" s="8" t="n">
        <v>50</v>
      </c>
      <c r="R196" s="7" t="inlineStr">
        <is>
          <t>https://www.eby.gov.py/wp-content/uploads/2019/12/YacyretaEnergiasMensualesDesdePuestaenMarcha.pdf</t>
        </is>
      </c>
      <c r="S196" s="6" t="inlineStr">
        <is>
          <t>EBY-MONTHLY-1994-2012</t>
        </is>
      </c>
      <c r="T196" s="6" t="inlineStr"/>
      <c r="U196" s="4" t="inlineStr">
        <is>
          <t>2026-09-10 23:00:00</t>
        </is>
      </c>
      <c r="V196" s="4" t="inlineStr">
        <is>
          <t>Energia mensual Yacyreta desde puesta en marcha.</t>
        </is>
      </c>
    </row>
    <row r="197">
      <c r="A197" s="6" t="inlineStr">
        <is>
          <t>R0000201</t>
        </is>
      </c>
      <c r="B197" s="6" t="inlineStr">
        <is>
          <t>1995-10-01</t>
        </is>
      </c>
      <c r="C197" s="6" t="inlineStr">
        <is>
          <t>1995-10-31</t>
        </is>
      </c>
      <c r="D197" s="6" t="inlineStr">
        <is>
          <t>month</t>
        </is>
      </c>
      <c r="E197" s="6" t="inlineStr">
        <is>
          <t>ENERGY_TO_ARGENTINA</t>
        </is>
      </c>
      <c r="F197" s="6" t="inlineStr">
        <is>
          <t>YACYRETA</t>
        </is>
      </c>
      <c r="G197" s="6" t="inlineStr">
        <is>
          <t>YACYRETA</t>
        </is>
      </c>
      <c r="H197" s="6" t="inlineStr">
        <is>
          <t>SADI</t>
        </is>
      </c>
      <c r="I197" s="8" t="n">
        <v>419897</v>
      </c>
      <c r="J197" s="6" t="inlineStr">
        <is>
          <t>MWh</t>
        </is>
      </c>
      <c r="K197" s="8" t="n">
        <v>419897</v>
      </c>
      <c r="L197" s="6" t="inlineStr">
        <is>
          <t>MWh</t>
        </is>
      </c>
      <c r="M197" s="6" t="inlineStr">
        <is>
          <t>EBY</t>
        </is>
      </c>
      <c r="N197" s="6" t="inlineStr">
        <is>
          <t>OFFICIAL_PRIMARY</t>
        </is>
      </c>
      <c r="O197" s="9" t="inlineStr">
        <is>
          <t>OFFICIAL_AGGREGATE</t>
        </is>
      </c>
      <c r="P197" s="8" t="n">
        <v>1</v>
      </c>
      <c r="Q197" s="8" t="n">
        <v>50</v>
      </c>
      <c r="R197" s="7" t="inlineStr">
        <is>
          <t>https://www.eby.gov.py/wp-content/uploads/2019/12/YacyretaEnergiasMensualesDesdePuestaenMarcha.pdf</t>
        </is>
      </c>
      <c r="S197" s="6" t="inlineStr">
        <is>
          <t>EBY-MONTHLY-1994-2012</t>
        </is>
      </c>
      <c r="T197" s="6" t="inlineStr"/>
      <c r="U197" s="4" t="inlineStr">
        <is>
          <t>2026-09-10 23:00:00</t>
        </is>
      </c>
      <c r="V197" s="4" t="inlineStr">
        <is>
          <t>Energia mensual entregada al SADI.</t>
        </is>
      </c>
    </row>
    <row r="198">
      <c r="A198" s="6" t="inlineStr">
        <is>
          <t>R0000202</t>
        </is>
      </c>
      <c r="B198" s="6" t="inlineStr">
        <is>
          <t>1995-10-01</t>
        </is>
      </c>
      <c r="C198" s="6" t="inlineStr">
        <is>
          <t>1995-10-31</t>
        </is>
      </c>
      <c r="D198" s="6" t="inlineStr">
        <is>
          <t>month</t>
        </is>
      </c>
      <c r="E198" s="6" t="inlineStr">
        <is>
          <t>ENERGY_TO_PY</t>
        </is>
      </c>
      <c r="F198" s="6" t="inlineStr">
        <is>
          <t>YACYRETA</t>
        </is>
      </c>
      <c r="G198" s="6" t="inlineStr">
        <is>
          <t>YACYRETA</t>
        </is>
      </c>
      <c r="H198" s="6" t="inlineStr">
        <is>
          <t>SINP</t>
        </is>
      </c>
      <c r="I198" s="8" t="n">
        <v>0</v>
      </c>
      <c r="J198" s="6" t="inlineStr">
        <is>
          <t>MWh</t>
        </is>
      </c>
      <c r="K198" s="8" t="n">
        <v>0</v>
      </c>
      <c r="L198" s="6" t="inlineStr">
        <is>
          <t>MWh</t>
        </is>
      </c>
      <c r="M198" s="6" t="inlineStr">
        <is>
          <t>EBY</t>
        </is>
      </c>
      <c r="N198" s="6" t="inlineStr">
        <is>
          <t>OFFICIAL_PRIMARY</t>
        </is>
      </c>
      <c r="O198" s="9" t="inlineStr">
        <is>
          <t>OFFICIAL_AGGREGATE</t>
        </is>
      </c>
      <c r="P198" s="8" t="n">
        <v>1</v>
      </c>
      <c r="Q198" s="8" t="n">
        <v>50</v>
      </c>
      <c r="R198" s="7" t="inlineStr">
        <is>
          <t>https://www.eby.gov.py/wp-content/uploads/2019/12/YacyretaEnergiasMensualesDesdePuestaenMarcha.pdf</t>
        </is>
      </c>
      <c r="S198" s="6" t="inlineStr">
        <is>
          <t>EBY-MONTHLY-1994-2012</t>
        </is>
      </c>
      <c r="T198" s="6" t="inlineStr"/>
      <c r="U198" s="4" t="inlineStr">
        <is>
          <t>2026-09-10 23:00:00</t>
        </is>
      </c>
      <c r="V198" s="4" t="inlineStr">
        <is>
          <t>Energia mensual entregada al SINP.</t>
        </is>
      </c>
    </row>
    <row r="199">
      <c r="A199" s="6" t="inlineStr">
        <is>
          <t>R0000203</t>
        </is>
      </c>
      <c r="B199" s="6" t="inlineStr">
        <is>
          <t>1995-11-01</t>
        </is>
      </c>
      <c r="C199" s="6" t="inlineStr">
        <is>
          <t>1995-11-30</t>
        </is>
      </c>
      <c r="D199" s="6" t="inlineStr">
        <is>
          <t>month</t>
        </is>
      </c>
      <c r="E199" s="6" t="inlineStr">
        <is>
          <t>YACYRETA_NET_ENERGY</t>
        </is>
      </c>
      <c r="F199" s="6" t="inlineStr">
        <is>
          <t>YACYRETA</t>
        </is>
      </c>
      <c r="G199" s="6" t="inlineStr">
        <is>
          <t>YACYRETA</t>
        </is>
      </c>
      <c r="H199" s="6" t="inlineStr">
        <is>
          <t>TOTAL</t>
        </is>
      </c>
      <c r="I199" s="8" t="n">
        <v>423745</v>
      </c>
      <c r="J199" s="6" t="inlineStr">
        <is>
          <t>MWh</t>
        </is>
      </c>
      <c r="K199" s="8" t="n">
        <v>423745</v>
      </c>
      <c r="L199" s="6" t="inlineStr">
        <is>
          <t>MWh</t>
        </is>
      </c>
      <c r="M199" s="6" t="inlineStr">
        <is>
          <t>EBY</t>
        </is>
      </c>
      <c r="N199" s="6" t="inlineStr">
        <is>
          <t>OFFICIAL_PRIMARY</t>
        </is>
      </c>
      <c r="O199" s="9" t="inlineStr">
        <is>
          <t>OFFICIAL_AGGREGATE</t>
        </is>
      </c>
      <c r="P199" s="8" t="n">
        <v>1</v>
      </c>
      <c r="Q199" s="8" t="n">
        <v>50</v>
      </c>
      <c r="R199" s="7" t="inlineStr">
        <is>
          <t>https://www.eby.gov.py/wp-content/uploads/2019/12/YacyretaEnergiasMensualesDesdePuestaenMarcha.pdf</t>
        </is>
      </c>
      <c r="S199" s="6" t="inlineStr">
        <is>
          <t>EBY-MONTHLY-1994-2012</t>
        </is>
      </c>
      <c r="T199" s="6" t="inlineStr"/>
      <c r="U199" s="4" t="inlineStr">
        <is>
          <t>2026-09-10 23:00:00</t>
        </is>
      </c>
      <c r="V199" s="4" t="inlineStr">
        <is>
          <t>Energia mensual Yacyreta desde puesta en marcha.</t>
        </is>
      </c>
    </row>
    <row r="200">
      <c r="A200" s="6" t="inlineStr">
        <is>
          <t>R0000204</t>
        </is>
      </c>
      <c r="B200" s="6" t="inlineStr">
        <is>
          <t>1995-11-01</t>
        </is>
      </c>
      <c r="C200" s="6" t="inlineStr">
        <is>
          <t>1995-11-30</t>
        </is>
      </c>
      <c r="D200" s="6" t="inlineStr">
        <is>
          <t>month</t>
        </is>
      </c>
      <c r="E200" s="6" t="inlineStr">
        <is>
          <t>ENERGY_TO_ARGENTINA</t>
        </is>
      </c>
      <c r="F200" s="6" t="inlineStr">
        <is>
          <t>YACYRETA</t>
        </is>
      </c>
      <c r="G200" s="6" t="inlineStr">
        <is>
          <t>YACYRETA</t>
        </is>
      </c>
      <c r="H200" s="6" t="inlineStr">
        <is>
          <t>SADI</t>
        </is>
      </c>
      <c r="I200" s="8" t="n">
        <v>423745</v>
      </c>
      <c r="J200" s="6" t="inlineStr">
        <is>
          <t>MWh</t>
        </is>
      </c>
      <c r="K200" s="8" t="n">
        <v>423745</v>
      </c>
      <c r="L200" s="6" t="inlineStr">
        <is>
          <t>MWh</t>
        </is>
      </c>
      <c r="M200" s="6" t="inlineStr">
        <is>
          <t>EBY</t>
        </is>
      </c>
      <c r="N200" s="6" t="inlineStr">
        <is>
          <t>OFFICIAL_PRIMARY</t>
        </is>
      </c>
      <c r="O200" s="9" t="inlineStr">
        <is>
          <t>OFFICIAL_AGGREGATE</t>
        </is>
      </c>
      <c r="P200" s="8" t="n">
        <v>1</v>
      </c>
      <c r="Q200" s="8" t="n">
        <v>50</v>
      </c>
      <c r="R200" s="7" t="inlineStr">
        <is>
          <t>https://www.eby.gov.py/wp-content/uploads/2019/12/YacyretaEnergiasMensualesDesdePuestaenMarcha.pdf</t>
        </is>
      </c>
      <c r="S200" s="6" t="inlineStr">
        <is>
          <t>EBY-MONTHLY-1994-2012</t>
        </is>
      </c>
      <c r="T200" s="6" t="inlineStr"/>
      <c r="U200" s="4" t="inlineStr">
        <is>
          <t>2026-09-10 23:00:00</t>
        </is>
      </c>
      <c r="V200" s="4" t="inlineStr">
        <is>
          <t>Energia mensual entregada al SADI.</t>
        </is>
      </c>
    </row>
    <row r="201">
      <c r="A201" s="6" t="inlineStr">
        <is>
          <t>R0000205</t>
        </is>
      </c>
      <c r="B201" s="6" t="inlineStr">
        <is>
          <t>1995-11-01</t>
        </is>
      </c>
      <c r="C201" s="6" t="inlineStr">
        <is>
          <t>1995-11-30</t>
        </is>
      </c>
      <c r="D201" s="6" t="inlineStr">
        <is>
          <t>month</t>
        </is>
      </c>
      <c r="E201" s="6" t="inlineStr">
        <is>
          <t>ENERGY_TO_PY</t>
        </is>
      </c>
      <c r="F201" s="6" t="inlineStr">
        <is>
          <t>YACYRETA</t>
        </is>
      </c>
      <c r="G201" s="6" t="inlineStr">
        <is>
          <t>YACYRETA</t>
        </is>
      </c>
      <c r="H201" s="6" t="inlineStr">
        <is>
          <t>SINP</t>
        </is>
      </c>
      <c r="I201" s="8" t="n">
        <v>0</v>
      </c>
      <c r="J201" s="6" t="inlineStr">
        <is>
          <t>MWh</t>
        </is>
      </c>
      <c r="K201" s="8" t="n">
        <v>0</v>
      </c>
      <c r="L201" s="6" t="inlineStr">
        <is>
          <t>MWh</t>
        </is>
      </c>
      <c r="M201" s="6" t="inlineStr">
        <is>
          <t>EBY</t>
        </is>
      </c>
      <c r="N201" s="6" t="inlineStr">
        <is>
          <t>OFFICIAL_PRIMARY</t>
        </is>
      </c>
      <c r="O201" s="9" t="inlineStr">
        <is>
          <t>OFFICIAL_AGGREGATE</t>
        </is>
      </c>
      <c r="P201" s="8" t="n">
        <v>1</v>
      </c>
      <c r="Q201" s="8" t="n">
        <v>50</v>
      </c>
      <c r="R201" s="7" t="inlineStr">
        <is>
          <t>https://www.eby.gov.py/wp-content/uploads/2019/12/YacyretaEnergiasMensualesDesdePuestaenMarcha.pdf</t>
        </is>
      </c>
      <c r="S201" s="6" t="inlineStr">
        <is>
          <t>EBY-MONTHLY-1994-2012</t>
        </is>
      </c>
      <c r="T201" s="6" t="inlineStr"/>
      <c r="U201" s="4" t="inlineStr">
        <is>
          <t>2026-09-10 23:00:00</t>
        </is>
      </c>
      <c r="V201" s="4" t="inlineStr">
        <is>
          <t>Energia mensual entregada al SINP.</t>
        </is>
      </c>
    </row>
    <row r="202">
      <c r="A202" s="6" t="inlineStr">
        <is>
          <t>R0000206</t>
        </is>
      </c>
      <c r="B202" s="6" t="inlineStr">
        <is>
          <t>1995-12-01</t>
        </is>
      </c>
      <c r="C202" s="6" t="inlineStr">
        <is>
          <t>1995-12-31</t>
        </is>
      </c>
      <c r="D202" s="6" t="inlineStr">
        <is>
          <t>month</t>
        </is>
      </c>
      <c r="E202" s="6" t="inlineStr">
        <is>
          <t>YACYRETA_NET_ENERGY</t>
        </is>
      </c>
      <c r="F202" s="6" t="inlineStr">
        <is>
          <t>YACYRETA</t>
        </is>
      </c>
      <c r="G202" s="6" t="inlineStr">
        <is>
          <t>YACYRETA</t>
        </is>
      </c>
      <c r="H202" s="6" t="inlineStr">
        <is>
          <t>TOTAL</t>
        </is>
      </c>
      <c r="I202" s="8" t="n">
        <v>440895</v>
      </c>
      <c r="J202" s="6" t="inlineStr">
        <is>
          <t>MWh</t>
        </is>
      </c>
      <c r="K202" s="8" t="n">
        <v>440895</v>
      </c>
      <c r="L202" s="6" t="inlineStr">
        <is>
          <t>MWh</t>
        </is>
      </c>
      <c r="M202" s="6" t="inlineStr">
        <is>
          <t>EBY</t>
        </is>
      </c>
      <c r="N202" s="6" t="inlineStr">
        <is>
          <t>OFFICIAL_PRIMARY</t>
        </is>
      </c>
      <c r="O202" s="9" t="inlineStr">
        <is>
          <t>OFFICIAL_AGGREGATE</t>
        </is>
      </c>
      <c r="P202" s="8" t="n">
        <v>1</v>
      </c>
      <c r="Q202" s="8" t="n">
        <v>50</v>
      </c>
      <c r="R202" s="7" t="inlineStr">
        <is>
          <t>https://www.eby.gov.py/wp-content/uploads/2019/12/YacyretaEnergiasMensualesDesdePuestaenMarcha.pdf</t>
        </is>
      </c>
      <c r="S202" s="6" t="inlineStr">
        <is>
          <t>EBY-MONTHLY-1994-2012</t>
        </is>
      </c>
      <c r="T202" s="6" t="inlineStr"/>
      <c r="U202" s="4" t="inlineStr">
        <is>
          <t>2026-09-10 23:00:00</t>
        </is>
      </c>
      <c r="V202" s="4" t="inlineStr">
        <is>
          <t>Energia mensual Yacyreta desde puesta en marcha.</t>
        </is>
      </c>
    </row>
    <row r="203">
      <c r="A203" s="6" t="inlineStr">
        <is>
          <t>R0000207</t>
        </is>
      </c>
      <c r="B203" s="6" t="inlineStr">
        <is>
          <t>1995-12-01</t>
        </is>
      </c>
      <c r="C203" s="6" t="inlineStr">
        <is>
          <t>1995-12-31</t>
        </is>
      </c>
      <c r="D203" s="6" t="inlineStr">
        <is>
          <t>month</t>
        </is>
      </c>
      <c r="E203" s="6" t="inlineStr">
        <is>
          <t>ENERGY_TO_ARGENTINA</t>
        </is>
      </c>
      <c r="F203" s="6" t="inlineStr">
        <is>
          <t>YACYRETA</t>
        </is>
      </c>
      <c r="G203" s="6" t="inlineStr">
        <is>
          <t>YACYRETA</t>
        </is>
      </c>
      <c r="H203" s="6" t="inlineStr">
        <is>
          <t>SADI</t>
        </is>
      </c>
      <c r="I203" s="8" t="n">
        <v>440895</v>
      </c>
      <c r="J203" s="6" t="inlineStr">
        <is>
          <t>MWh</t>
        </is>
      </c>
      <c r="K203" s="8" t="n">
        <v>440895</v>
      </c>
      <c r="L203" s="6" t="inlineStr">
        <is>
          <t>MWh</t>
        </is>
      </c>
      <c r="M203" s="6" t="inlineStr">
        <is>
          <t>EBY</t>
        </is>
      </c>
      <c r="N203" s="6" t="inlineStr">
        <is>
          <t>OFFICIAL_PRIMARY</t>
        </is>
      </c>
      <c r="O203" s="9" t="inlineStr">
        <is>
          <t>OFFICIAL_AGGREGATE</t>
        </is>
      </c>
      <c r="P203" s="8" t="n">
        <v>1</v>
      </c>
      <c r="Q203" s="8" t="n">
        <v>50</v>
      </c>
      <c r="R203" s="7" t="inlineStr">
        <is>
          <t>https://www.eby.gov.py/wp-content/uploads/2019/12/YacyretaEnergiasMensualesDesdePuestaenMarcha.pdf</t>
        </is>
      </c>
      <c r="S203" s="6" t="inlineStr">
        <is>
          <t>EBY-MONTHLY-1994-2012</t>
        </is>
      </c>
      <c r="T203" s="6" t="inlineStr"/>
      <c r="U203" s="4" t="inlineStr">
        <is>
          <t>2026-09-10 23:00:00</t>
        </is>
      </c>
      <c r="V203" s="4" t="inlineStr">
        <is>
          <t>Energia mensual entregada al SADI.</t>
        </is>
      </c>
    </row>
    <row r="204">
      <c r="A204" s="6" t="inlineStr">
        <is>
          <t>R0000208</t>
        </is>
      </c>
      <c r="B204" s="6" t="inlineStr">
        <is>
          <t>1995-12-01</t>
        </is>
      </c>
      <c r="C204" s="6" t="inlineStr">
        <is>
          <t>1995-12-31</t>
        </is>
      </c>
      <c r="D204" s="6" t="inlineStr">
        <is>
          <t>month</t>
        </is>
      </c>
      <c r="E204" s="6" t="inlineStr">
        <is>
          <t>ENERGY_TO_PY</t>
        </is>
      </c>
      <c r="F204" s="6" t="inlineStr">
        <is>
          <t>YACYRETA</t>
        </is>
      </c>
      <c r="G204" s="6" t="inlineStr">
        <is>
          <t>YACYRETA</t>
        </is>
      </c>
      <c r="H204" s="6" t="inlineStr">
        <is>
          <t>SINP</t>
        </is>
      </c>
      <c r="I204" s="8" t="n">
        <v>0</v>
      </c>
      <c r="J204" s="6" t="inlineStr">
        <is>
          <t>MWh</t>
        </is>
      </c>
      <c r="K204" s="8" t="n">
        <v>0</v>
      </c>
      <c r="L204" s="6" t="inlineStr">
        <is>
          <t>MWh</t>
        </is>
      </c>
      <c r="M204" s="6" t="inlineStr">
        <is>
          <t>EBY</t>
        </is>
      </c>
      <c r="N204" s="6" t="inlineStr">
        <is>
          <t>OFFICIAL_PRIMARY</t>
        </is>
      </c>
      <c r="O204" s="9" t="inlineStr">
        <is>
          <t>OFFICIAL_AGGREGATE</t>
        </is>
      </c>
      <c r="P204" s="8" t="n">
        <v>1</v>
      </c>
      <c r="Q204" s="8" t="n">
        <v>50</v>
      </c>
      <c r="R204" s="7" t="inlineStr">
        <is>
          <t>https://www.eby.gov.py/wp-content/uploads/2019/12/YacyretaEnergiasMensualesDesdePuestaenMarcha.pdf</t>
        </is>
      </c>
      <c r="S204" s="6" t="inlineStr">
        <is>
          <t>EBY-MONTHLY-1994-2012</t>
        </is>
      </c>
      <c r="T204" s="6" t="inlineStr"/>
      <c r="U204" s="4" t="inlineStr">
        <is>
          <t>2026-09-10 23:00:00</t>
        </is>
      </c>
      <c r="V204" s="4" t="inlineStr">
        <is>
          <t>Energia mensual entregada al SINP.</t>
        </is>
      </c>
    </row>
    <row r="205">
      <c r="A205" s="6" t="inlineStr">
        <is>
          <t>R0000209</t>
        </is>
      </c>
      <c r="B205" s="6" t="inlineStr">
        <is>
          <t>1996-01-01</t>
        </is>
      </c>
      <c r="C205" s="6" t="inlineStr">
        <is>
          <t>1996-01-31</t>
        </is>
      </c>
      <c r="D205" s="6" t="inlineStr">
        <is>
          <t>month</t>
        </is>
      </c>
      <c r="E205" s="6" t="inlineStr">
        <is>
          <t>YACYRETA_NET_ENERGY</t>
        </is>
      </c>
      <c r="F205" s="6" t="inlineStr">
        <is>
          <t>YACYRETA</t>
        </is>
      </c>
      <c r="G205" s="6" t="inlineStr">
        <is>
          <t>YACYRETA</t>
        </is>
      </c>
      <c r="H205" s="6" t="inlineStr">
        <is>
          <t>TOTAL</t>
        </is>
      </c>
      <c r="I205" s="8" t="n">
        <v>432826</v>
      </c>
      <c r="J205" s="6" t="inlineStr">
        <is>
          <t>MWh</t>
        </is>
      </c>
      <c r="K205" s="8" t="n">
        <v>432826</v>
      </c>
      <c r="L205" s="6" t="inlineStr">
        <is>
          <t>MWh</t>
        </is>
      </c>
      <c r="M205" s="6" t="inlineStr">
        <is>
          <t>EBY</t>
        </is>
      </c>
      <c r="N205" s="6" t="inlineStr">
        <is>
          <t>OFFICIAL_PRIMARY</t>
        </is>
      </c>
      <c r="O205" s="9" t="inlineStr">
        <is>
          <t>OFFICIAL_AGGREGATE</t>
        </is>
      </c>
      <c r="P205" s="8" t="n">
        <v>1</v>
      </c>
      <c r="Q205" s="8" t="n">
        <v>50</v>
      </c>
      <c r="R205" s="7" t="inlineStr">
        <is>
          <t>https://www.eby.gov.py/wp-content/uploads/2019/12/YacyretaEnergiasMensualesDesdePuestaenMarcha.pdf</t>
        </is>
      </c>
      <c r="S205" s="6" t="inlineStr">
        <is>
          <t>EBY-MONTHLY-1994-2012</t>
        </is>
      </c>
      <c r="T205" s="6" t="inlineStr"/>
      <c r="U205" s="4" t="inlineStr">
        <is>
          <t>2026-09-10 23:00:00</t>
        </is>
      </c>
      <c r="V205" s="4" t="inlineStr">
        <is>
          <t>Energia mensual Yacyreta desde puesta en marcha.</t>
        </is>
      </c>
    </row>
    <row r="206">
      <c r="A206" s="6" t="inlineStr">
        <is>
          <t>R0000210</t>
        </is>
      </c>
      <c r="B206" s="6" t="inlineStr">
        <is>
          <t>1996-01-01</t>
        </is>
      </c>
      <c r="C206" s="6" t="inlineStr">
        <is>
          <t>1996-01-31</t>
        </is>
      </c>
      <c r="D206" s="6" t="inlineStr">
        <is>
          <t>month</t>
        </is>
      </c>
      <c r="E206" s="6" t="inlineStr">
        <is>
          <t>ENERGY_TO_ARGENTINA</t>
        </is>
      </c>
      <c r="F206" s="6" t="inlineStr">
        <is>
          <t>YACYRETA</t>
        </is>
      </c>
      <c r="G206" s="6" t="inlineStr">
        <is>
          <t>YACYRETA</t>
        </is>
      </c>
      <c r="H206" s="6" t="inlineStr">
        <is>
          <t>SADI</t>
        </is>
      </c>
      <c r="I206" s="8" t="n">
        <v>432826</v>
      </c>
      <c r="J206" s="6" t="inlineStr">
        <is>
          <t>MWh</t>
        </is>
      </c>
      <c r="K206" s="8" t="n">
        <v>432826</v>
      </c>
      <c r="L206" s="6" t="inlineStr">
        <is>
          <t>MWh</t>
        </is>
      </c>
      <c r="M206" s="6" t="inlineStr">
        <is>
          <t>EBY</t>
        </is>
      </c>
      <c r="N206" s="6" t="inlineStr">
        <is>
          <t>OFFICIAL_PRIMARY</t>
        </is>
      </c>
      <c r="O206" s="9" t="inlineStr">
        <is>
          <t>OFFICIAL_AGGREGATE</t>
        </is>
      </c>
      <c r="P206" s="8" t="n">
        <v>1</v>
      </c>
      <c r="Q206" s="8" t="n">
        <v>50</v>
      </c>
      <c r="R206" s="7" t="inlineStr">
        <is>
          <t>https://www.eby.gov.py/wp-content/uploads/2019/12/YacyretaEnergiasMensualesDesdePuestaenMarcha.pdf</t>
        </is>
      </c>
      <c r="S206" s="6" t="inlineStr">
        <is>
          <t>EBY-MONTHLY-1994-2012</t>
        </is>
      </c>
      <c r="T206" s="6" t="inlineStr"/>
      <c r="U206" s="4" t="inlineStr">
        <is>
          <t>2026-09-10 23:00:00</t>
        </is>
      </c>
      <c r="V206" s="4" t="inlineStr">
        <is>
          <t>Energia mensual entregada al SADI.</t>
        </is>
      </c>
    </row>
    <row r="207">
      <c r="A207" s="6" t="inlineStr">
        <is>
          <t>R0000211</t>
        </is>
      </c>
      <c r="B207" s="6" t="inlineStr">
        <is>
          <t>1996-01-01</t>
        </is>
      </c>
      <c r="C207" s="6" t="inlineStr">
        <is>
          <t>1996-01-31</t>
        </is>
      </c>
      <c r="D207" s="6" t="inlineStr">
        <is>
          <t>month</t>
        </is>
      </c>
      <c r="E207" s="6" t="inlineStr">
        <is>
          <t>ENERGY_TO_PY</t>
        </is>
      </c>
      <c r="F207" s="6" t="inlineStr">
        <is>
          <t>YACYRETA</t>
        </is>
      </c>
      <c r="G207" s="6" t="inlineStr">
        <is>
          <t>YACYRETA</t>
        </is>
      </c>
      <c r="H207" s="6" t="inlineStr">
        <is>
          <t>SINP</t>
        </is>
      </c>
      <c r="I207" s="8" t="n">
        <v>0</v>
      </c>
      <c r="J207" s="6" t="inlineStr">
        <is>
          <t>MWh</t>
        </is>
      </c>
      <c r="K207" s="8" t="n">
        <v>0</v>
      </c>
      <c r="L207" s="6" t="inlineStr">
        <is>
          <t>MWh</t>
        </is>
      </c>
      <c r="M207" s="6" t="inlineStr">
        <is>
          <t>EBY</t>
        </is>
      </c>
      <c r="N207" s="6" t="inlineStr">
        <is>
          <t>OFFICIAL_PRIMARY</t>
        </is>
      </c>
      <c r="O207" s="9" t="inlineStr">
        <is>
          <t>OFFICIAL_AGGREGATE</t>
        </is>
      </c>
      <c r="P207" s="8" t="n">
        <v>1</v>
      </c>
      <c r="Q207" s="8" t="n">
        <v>50</v>
      </c>
      <c r="R207" s="7" t="inlineStr">
        <is>
          <t>https://www.eby.gov.py/wp-content/uploads/2019/12/YacyretaEnergiasMensualesDesdePuestaenMarcha.pdf</t>
        </is>
      </c>
      <c r="S207" s="6" t="inlineStr">
        <is>
          <t>EBY-MONTHLY-1994-2012</t>
        </is>
      </c>
      <c r="T207" s="6" t="inlineStr"/>
      <c r="U207" s="4" t="inlineStr">
        <is>
          <t>2026-09-10 23:00:00</t>
        </is>
      </c>
      <c r="V207" s="4" t="inlineStr">
        <is>
          <t>Energia mensual entregada al SINP.</t>
        </is>
      </c>
    </row>
    <row r="208">
      <c r="A208" s="6" t="inlineStr">
        <is>
          <t>R0000212</t>
        </is>
      </c>
      <c r="B208" s="6" t="inlineStr">
        <is>
          <t>1996-02-01</t>
        </is>
      </c>
      <c r="C208" s="6" t="inlineStr">
        <is>
          <t>1996-02-29</t>
        </is>
      </c>
      <c r="D208" s="6" t="inlineStr">
        <is>
          <t>month</t>
        </is>
      </c>
      <c r="E208" s="6" t="inlineStr">
        <is>
          <t>YACYRETA_NET_ENERGY</t>
        </is>
      </c>
      <c r="F208" s="6" t="inlineStr">
        <is>
          <t>YACYRETA</t>
        </is>
      </c>
      <c r="G208" s="6" t="inlineStr">
        <is>
          <t>YACYRETA</t>
        </is>
      </c>
      <c r="H208" s="6" t="inlineStr">
        <is>
          <t>TOTAL</t>
        </is>
      </c>
      <c r="I208" s="8" t="n">
        <v>406332</v>
      </c>
      <c r="J208" s="6" t="inlineStr">
        <is>
          <t>MWh</t>
        </is>
      </c>
      <c r="K208" s="8" t="n">
        <v>406332</v>
      </c>
      <c r="L208" s="6" t="inlineStr">
        <is>
          <t>MWh</t>
        </is>
      </c>
      <c r="M208" s="6" t="inlineStr">
        <is>
          <t>EBY</t>
        </is>
      </c>
      <c r="N208" s="6" t="inlineStr">
        <is>
          <t>OFFICIAL_PRIMARY</t>
        </is>
      </c>
      <c r="O208" s="9" t="inlineStr">
        <is>
          <t>OFFICIAL_AGGREGATE</t>
        </is>
      </c>
      <c r="P208" s="8" t="n">
        <v>1</v>
      </c>
      <c r="Q208" s="8" t="n">
        <v>50</v>
      </c>
      <c r="R208" s="7" t="inlineStr">
        <is>
          <t>https://www.eby.gov.py/wp-content/uploads/2019/12/YacyretaEnergiasMensualesDesdePuestaenMarcha.pdf</t>
        </is>
      </c>
      <c r="S208" s="6" t="inlineStr">
        <is>
          <t>EBY-MONTHLY-1994-2012</t>
        </is>
      </c>
      <c r="T208" s="6" t="inlineStr"/>
      <c r="U208" s="4" t="inlineStr">
        <is>
          <t>2026-09-10 23:00:00</t>
        </is>
      </c>
      <c r="V208" s="4" t="inlineStr">
        <is>
          <t>Energia mensual Yacyreta desde puesta en marcha.</t>
        </is>
      </c>
    </row>
    <row r="209">
      <c r="A209" s="6" t="inlineStr">
        <is>
          <t>R0000213</t>
        </is>
      </c>
      <c r="B209" s="6" t="inlineStr">
        <is>
          <t>1996-02-01</t>
        </is>
      </c>
      <c r="C209" s="6" t="inlineStr">
        <is>
          <t>1996-02-29</t>
        </is>
      </c>
      <c r="D209" s="6" t="inlineStr">
        <is>
          <t>month</t>
        </is>
      </c>
      <c r="E209" s="6" t="inlineStr">
        <is>
          <t>ENERGY_TO_ARGENTINA</t>
        </is>
      </c>
      <c r="F209" s="6" t="inlineStr">
        <is>
          <t>YACYRETA</t>
        </is>
      </c>
      <c r="G209" s="6" t="inlineStr">
        <is>
          <t>YACYRETA</t>
        </is>
      </c>
      <c r="H209" s="6" t="inlineStr">
        <is>
          <t>SADI</t>
        </is>
      </c>
      <c r="I209" s="8" t="n">
        <v>406332</v>
      </c>
      <c r="J209" s="6" t="inlineStr">
        <is>
          <t>MWh</t>
        </is>
      </c>
      <c r="K209" s="8" t="n">
        <v>406332</v>
      </c>
      <c r="L209" s="6" t="inlineStr">
        <is>
          <t>MWh</t>
        </is>
      </c>
      <c r="M209" s="6" t="inlineStr">
        <is>
          <t>EBY</t>
        </is>
      </c>
      <c r="N209" s="6" t="inlineStr">
        <is>
          <t>OFFICIAL_PRIMARY</t>
        </is>
      </c>
      <c r="O209" s="9" t="inlineStr">
        <is>
          <t>OFFICIAL_AGGREGATE</t>
        </is>
      </c>
      <c r="P209" s="8" t="n">
        <v>1</v>
      </c>
      <c r="Q209" s="8" t="n">
        <v>50</v>
      </c>
      <c r="R209" s="7" t="inlineStr">
        <is>
          <t>https://www.eby.gov.py/wp-content/uploads/2019/12/YacyretaEnergiasMensualesDesdePuestaenMarcha.pdf</t>
        </is>
      </c>
      <c r="S209" s="6" t="inlineStr">
        <is>
          <t>EBY-MONTHLY-1994-2012</t>
        </is>
      </c>
      <c r="T209" s="6" t="inlineStr"/>
      <c r="U209" s="4" t="inlineStr">
        <is>
          <t>2026-09-10 23:00:00</t>
        </is>
      </c>
      <c r="V209" s="4" t="inlineStr">
        <is>
          <t>Energia mensual entregada al SADI.</t>
        </is>
      </c>
    </row>
    <row r="210">
      <c r="A210" s="6" t="inlineStr">
        <is>
          <t>R0000214</t>
        </is>
      </c>
      <c r="B210" s="6" t="inlineStr">
        <is>
          <t>1996-02-01</t>
        </is>
      </c>
      <c r="C210" s="6" t="inlineStr">
        <is>
          <t>1996-02-29</t>
        </is>
      </c>
      <c r="D210" s="6" t="inlineStr">
        <is>
          <t>month</t>
        </is>
      </c>
      <c r="E210" s="6" t="inlineStr">
        <is>
          <t>ENERGY_TO_PY</t>
        </is>
      </c>
      <c r="F210" s="6" t="inlineStr">
        <is>
          <t>YACYRETA</t>
        </is>
      </c>
      <c r="G210" s="6" t="inlineStr">
        <is>
          <t>YACYRETA</t>
        </is>
      </c>
      <c r="H210" s="6" t="inlineStr">
        <is>
          <t>SINP</t>
        </is>
      </c>
      <c r="I210" s="8" t="n">
        <v>0</v>
      </c>
      <c r="J210" s="6" t="inlineStr">
        <is>
          <t>MWh</t>
        </is>
      </c>
      <c r="K210" s="8" t="n">
        <v>0</v>
      </c>
      <c r="L210" s="6" t="inlineStr">
        <is>
          <t>MWh</t>
        </is>
      </c>
      <c r="M210" s="6" t="inlineStr">
        <is>
          <t>EBY</t>
        </is>
      </c>
      <c r="N210" s="6" t="inlineStr">
        <is>
          <t>OFFICIAL_PRIMARY</t>
        </is>
      </c>
      <c r="O210" s="9" t="inlineStr">
        <is>
          <t>OFFICIAL_AGGREGATE</t>
        </is>
      </c>
      <c r="P210" s="8" t="n">
        <v>1</v>
      </c>
      <c r="Q210" s="8" t="n">
        <v>50</v>
      </c>
      <c r="R210" s="7" t="inlineStr">
        <is>
          <t>https://www.eby.gov.py/wp-content/uploads/2019/12/YacyretaEnergiasMensualesDesdePuestaenMarcha.pdf</t>
        </is>
      </c>
      <c r="S210" s="6" t="inlineStr">
        <is>
          <t>EBY-MONTHLY-1994-2012</t>
        </is>
      </c>
      <c r="T210" s="6" t="inlineStr"/>
      <c r="U210" s="4" t="inlineStr">
        <is>
          <t>2026-09-10 23:00:00</t>
        </is>
      </c>
      <c r="V210" s="4" t="inlineStr">
        <is>
          <t>Energia mensual entregada al SINP.</t>
        </is>
      </c>
    </row>
    <row r="211">
      <c r="A211" s="6" t="inlineStr">
        <is>
          <t>R0000215</t>
        </is>
      </c>
      <c r="B211" s="6" t="inlineStr">
        <is>
          <t>1996-03-01</t>
        </is>
      </c>
      <c r="C211" s="6" t="inlineStr">
        <is>
          <t>1996-03-31</t>
        </is>
      </c>
      <c r="D211" s="6" t="inlineStr">
        <is>
          <t>month</t>
        </is>
      </c>
      <c r="E211" s="6" t="inlineStr">
        <is>
          <t>YACYRETA_NET_ENERGY</t>
        </is>
      </c>
      <c r="F211" s="6" t="inlineStr">
        <is>
          <t>YACYRETA</t>
        </is>
      </c>
      <c r="G211" s="6" t="inlineStr">
        <is>
          <t>YACYRETA</t>
        </is>
      </c>
      <c r="H211" s="6" t="inlineStr">
        <is>
          <t>TOTAL</t>
        </is>
      </c>
      <c r="I211" s="8" t="n">
        <v>434687</v>
      </c>
      <c r="J211" s="6" t="inlineStr">
        <is>
          <t>MWh</t>
        </is>
      </c>
      <c r="K211" s="8" t="n">
        <v>434687</v>
      </c>
      <c r="L211" s="6" t="inlineStr">
        <is>
          <t>MWh</t>
        </is>
      </c>
      <c r="M211" s="6" t="inlineStr">
        <is>
          <t>EBY</t>
        </is>
      </c>
      <c r="N211" s="6" t="inlineStr">
        <is>
          <t>OFFICIAL_PRIMARY</t>
        </is>
      </c>
      <c r="O211" s="9" t="inlineStr">
        <is>
          <t>OFFICIAL_AGGREGATE</t>
        </is>
      </c>
      <c r="P211" s="8" t="n">
        <v>1</v>
      </c>
      <c r="Q211" s="8" t="n">
        <v>50</v>
      </c>
      <c r="R211" s="7" t="inlineStr">
        <is>
          <t>https://www.eby.gov.py/wp-content/uploads/2019/12/YacyretaEnergiasMensualesDesdePuestaenMarcha.pdf</t>
        </is>
      </c>
      <c r="S211" s="6" t="inlineStr">
        <is>
          <t>EBY-MONTHLY-1994-2012</t>
        </is>
      </c>
      <c r="T211" s="6" t="inlineStr"/>
      <c r="U211" s="4" t="inlineStr">
        <is>
          <t>2026-09-10 23:00:00</t>
        </is>
      </c>
      <c r="V211" s="4" t="inlineStr">
        <is>
          <t>Energia mensual Yacyreta desde puesta en marcha.</t>
        </is>
      </c>
    </row>
    <row r="212">
      <c r="A212" s="6" t="inlineStr">
        <is>
          <t>R0000216</t>
        </is>
      </c>
      <c r="B212" s="6" t="inlineStr">
        <is>
          <t>1996-03-01</t>
        </is>
      </c>
      <c r="C212" s="6" t="inlineStr">
        <is>
          <t>1996-03-31</t>
        </is>
      </c>
      <c r="D212" s="6" t="inlineStr">
        <is>
          <t>month</t>
        </is>
      </c>
      <c r="E212" s="6" t="inlineStr">
        <is>
          <t>ENERGY_TO_ARGENTINA</t>
        </is>
      </c>
      <c r="F212" s="6" t="inlineStr">
        <is>
          <t>YACYRETA</t>
        </is>
      </c>
      <c r="G212" s="6" t="inlineStr">
        <is>
          <t>YACYRETA</t>
        </is>
      </c>
      <c r="H212" s="6" t="inlineStr">
        <is>
          <t>SADI</t>
        </is>
      </c>
      <c r="I212" s="8" t="n">
        <v>434687</v>
      </c>
      <c r="J212" s="6" t="inlineStr">
        <is>
          <t>MWh</t>
        </is>
      </c>
      <c r="K212" s="8" t="n">
        <v>434687</v>
      </c>
      <c r="L212" s="6" t="inlineStr">
        <is>
          <t>MWh</t>
        </is>
      </c>
      <c r="M212" s="6" t="inlineStr">
        <is>
          <t>EBY</t>
        </is>
      </c>
      <c r="N212" s="6" t="inlineStr">
        <is>
          <t>OFFICIAL_PRIMARY</t>
        </is>
      </c>
      <c r="O212" s="9" t="inlineStr">
        <is>
          <t>OFFICIAL_AGGREGATE</t>
        </is>
      </c>
      <c r="P212" s="8" t="n">
        <v>1</v>
      </c>
      <c r="Q212" s="8" t="n">
        <v>50</v>
      </c>
      <c r="R212" s="7" t="inlineStr">
        <is>
          <t>https://www.eby.gov.py/wp-content/uploads/2019/12/YacyretaEnergiasMensualesDesdePuestaenMarcha.pdf</t>
        </is>
      </c>
      <c r="S212" s="6" t="inlineStr">
        <is>
          <t>EBY-MONTHLY-1994-2012</t>
        </is>
      </c>
      <c r="T212" s="6" t="inlineStr"/>
      <c r="U212" s="4" t="inlineStr">
        <is>
          <t>2026-09-10 23:00:00</t>
        </is>
      </c>
      <c r="V212" s="4" t="inlineStr">
        <is>
          <t>Energia mensual entregada al SADI.</t>
        </is>
      </c>
    </row>
    <row r="213">
      <c r="A213" s="6" t="inlineStr">
        <is>
          <t>R0000217</t>
        </is>
      </c>
      <c r="B213" s="6" t="inlineStr">
        <is>
          <t>1996-03-01</t>
        </is>
      </c>
      <c r="C213" s="6" t="inlineStr">
        <is>
          <t>1996-03-31</t>
        </is>
      </c>
      <c r="D213" s="6" t="inlineStr">
        <is>
          <t>month</t>
        </is>
      </c>
      <c r="E213" s="6" t="inlineStr">
        <is>
          <t>ENERGY_TO_PY</t>
        </is>
      </c>
      <c r="F213" s="6" t="inlineStr">
        <is>
          <t>YACYRETA</t>
        </is>
      </c>
      <c r="G213" s="6" t="inlineStr">
        <is>
          <t>YACYRETA</t>
        </is>
      </c>
      <c r="H213" s="6" t="inlineStr">
        <is>
          <t>SINP</t>
        </is>
      </c>
      <c r="I213" s="8" t="n">
        <v>0</v>
      </c>
      <c r="J213" s="6" t="inlineStr">
        <is>
          <t>MWh</t>
        </is>
      </c>
      <c r="K213" s="8" t="n">
        <v>0</v>
      </c>
      <c r="L213" s="6" t="inlineStr">
        <is>
          <t>MWh</t>
        </is>
      </c>
      <c r="M213" s="6" t="inlineStr">
        <is>
          <t>EBY</t>
        </is>
      </c>
      <c r="N213" s="6" t="inlineStr">
        <is>
          <t>OFFICIAL_PRIMARY</t>
        </is>
      </c>
      <c r="O213" s="9" t="inlineStr">
        <is>
          <t>OFFICIAL_AGGREGATE</t>
        </is>
      </c>
      <c r="P213" s="8" t="n">
        <v>1</v>
      </c>
      <c r="Q213" s="8" t="n">
        <v>50</v>
      </c>
      <c r="R213" s="7" t="inlineStr">
        <is>
          <t>https://www.eby.gov.py/wp-content/uploads/2019/12/YacyretaEnergiasMensualesDesdePuestaenMarcha.pdf</t>
        </is>
      </c>
      <c r="S213" s="6" t="inlineStr">
        <is>
          <t>EBY-MONTHLY-1994-2012</t>
        </is>
      </c>
      <c r="T213" s="6" t="inlineStr"/>
      <c r="U213" s="4" t="inlineStr">
        <is>
          <t>2026-09-10 23:00:00</t>
        </is>
      </c>
      <c r="V213" s="4" t="inlineStr">
        <is>
          <t>Energia mensual entregada al SINP.</t>
        </is>
      </c>
    </row>
    <row r="214">
      <c r="A214" s="6" t="inlineStr">
        <is>
          <t>R0000218</t>
        </is>
      </c>
      <c r="B214" s="6" t="inlineStr">
        <is>
          <t>1996-04-01</t>
        </is>
      </c>
      <c r="C214" s="6" t="inlineStr">
        <is>
          <t>1996-04-30</t>
        </is>
      </c>
      <c r="D214" s="6" t="inlineStr">
        <is>
          <t>month</t>
        </is>
      </c>
      <c r="E214" s="6" t="inlineStr">
        <is>
          <t>YACYRETA_NET_ENERGY</t>
        </is>
      </c>
      <c r="F214" s="6" t="inlineStr">
        <is>
          <t>YACYRETA</t>
        </is>
      </c>
      <c r="G214" s="6" t="inlineStr">
        <is>
          <t>YACYRETA</t>
        </is>
      </c>
      <c r="H214" s="6" t="inlineStr">
        <is>
          <t>TOTAL</t>
        </is>
      </c>
      <c r="I214" s="8" t="n">
        <v>428430</v>
      </c>
      <c r="J214" s="6" t="inlineStr">
        <is>
          <t>MWh</t>
        </is>
      </c>
      <c r="K214" s="8" t="n">
        <v>428430</v>
      </c>
      <c r="L214" s="6" t="inlineStr">
        <is>
          <t>MWh</t>
        </is>
      </c>
      <c r="M214" s="6" t="inlineStr">
        <is>
          <t>EBY</t>
        </is>
      </c>
      <c r="N214" s="6" t="inlineStr">
        <is>
          <t>OFFICIAL_PRIMARY</t>
        </is>
      </c>
      <c r="O214" s="9" t="inlineStr">
        <is>
          <t>OFFICIAL_AGGREGATE</t>
        </is>
      </c>
      <c r="P214" s="8" t="n">
        <v>1</v>
      </c>
      <c r="Q214" s="8" t="n">
        <v>50</v>
      </c>
      <c r="R214" s="7" t="inlineStr">
        <is>
          <t>https://www.eby.gov.py/wp-content/uploads/2019/12/YacyretaEnergiasMensualesDesdePuestaenMarcha.pdf</t>
        </is>
      </c>
      <c r="S214" s="6" t="inlineStr">
        <is>
          <t>EBY-MONTHLY-1994-2012</t>
        </is>
      </c>
      <c r="T214" s="6" t="inlineStr"/>
      <c r="U214" s="4" t="inlineStr">
        <is>
          <t>2026-09-10 23:00:00</t>
        </is>
      </c>
      <c r="V214" s="4" t="inlineStr">
        <is>
          <t>Energia mensual Yacyreta desde puesta en marcha.</t>
        </is>
      </c>
    </row>
    <row r="215">
      <c r="A215" s="6" t="inlineStr">
        <is>
          <t>R0000219</t>
        </is>
      </c>
      <c r="B215" s="6" t="inlineStr">
        <is>
          <t>1996-04-01</t>
        </is>
      </c>
      <c r="C215" s="6" t="inlineStr">
        <is>
          <t>1996-04-30</t>
        </is>
      </c>
      <c r="D215" s="6" t="inlineStr">
        <is>
          <t>month</t>
        </is>
      </c>
      <c r="E215" s="6" t="inlineStr">
        <is>
          <t>ENERGY_TO_ARGENTINA</t>
        </is>
      </c>
      <c r="F215" s="6" t="inlineStr">
        <is>
          <t>YACYRETA</t>
        </is>
      </c>
      <c r="G215" s="6" t="inlineStr">
        <is>
          <t>YACYRETA</t>
        </is>
      </c>
      <c r="H215" s="6" t="inlineStr">
        <is>
          <t>SADI</t>
        </is>
      </c>
      <c r="I215" s="8" t="n">
        <v>428430</v>
      </c>
      <c r="J215" s="6" t="inlineStr">
        <is>
          <t>MWh</t>
        </is>
      </c>
      <c r="K215" s="8" t="n">
        <v>428430</v>
      </c>
      <c r="L215" s="6" t="inlineStr">
        <is>
          <t>MWh</t>
        </is>
      </c>
      <c r="M215" s="6" t="inlineStr">
        <is>
          <t>EBY</t>
        </is>
      </c>
      <c r="N215" s="6" t="inlineStr">
        <is>
          <t>OFFICIAL_PRIMARY</t>
        </is>
      </c>
      <c r="O215" s="9" t="inlineStr">
        <is>
          <t>OFFICIAL_AGGREGATE</t>
        </is>
      </c>
      <c r="P215" s="8" t="n">
        <v>1</v>
      </c>
      <c r="Q215" s="8" t="n">
        <v>50</v>
      </c>
      <c r="R215" s="7" t="inlineStr">
        <is>
          <t>https://www.eby.gov.py/wp-content/uploads/2019/12/YacyretaEnergiasMensualesDesdePuestaenMarcha.pdf</t>
        </is>
      </c>
      <c r="S215" s="6" t="inlineStr">
        <is>
          <t>EBY-MONTHLY-1994-2012</t>
        </is>
      </c>
      <c r="T215" s="6" t="inlineStr"/>
      <c r="U215" s="4" t="inlineStr">
        <is>
          <t>2026-09-10 23:00:00</t>
        </is>
      </c>
      <c r="V215" s="4" t="inlineStr">
        <is>
          <t>Energia mensual entregada al SADI.</t>
        </is>
      </c>
    </row>
    <row r="216">
      <c r="A216" s="6" t="inlineStr">
        <is>
          <t>R0000220</t>
        </is>
      </c>
      <c r="B216" s="6" t="inlineStr">
        <is>
          <t>1996-04-01</t>
        </is>
      </c>
      <c r="C216" s="6" t="inlineStr">
        <is>
          <t>1996-04-30</t>
        </is>
      </c>
      <c r="D216" s="6" t="inlineStr">
        <is>
          <t>month</t>
        </is>
      </c>
      <c r="E216" s="6" t="inlineStr">
        <is>
          <t>ENERGY_TO_PY</t>
        </is>
      </c>
      <c r="F216" s="6" t="inlineStr">
        <is>
          <t>YACYRETA</t>
        </is>
      </c>
      <c r="G216" s="6" t="inlineStr">
        <is>
          <t>YACYRETA</t>
        </is>
      </c>
      <c r="H216" s="6" t="inlineStr">
        <is>
          <t>SINP</t>
        </is>
      </c>
      <c r="I216" s="8" t="n">
        <v>0</v>
      </c>
      <c r="J216" s="6" t="inlineStr">
        <is>
          <t>MWh</t>
        </is>
      </c>
      <c r="K216" s="8" t="n">
        <v>0</v>
      </c>
      <c r="L216" s="6" t="inlineStr">
        <is>
          <t>MWh</t>
        </is>
      </c>
      <c r="M216" s="6" t="inlineStr">
        <is>
          <t>EBY</t>
        </is>
      </c>
      <c r="N216" s="6" t="inlineStr">
        <is>
          <t>OFFICIAL_PRIMARY</t>
        </is>
      </c>
      <c r="O216" s="9" t="inlineStr">
        <is>
          <t>OFFICIAL_AGGREGATE</t>
        </is>
      </c>
      <c r="P216" s="8" t="n">
        <v>1</v>
      </c>
      <c r="Q216" s="8" t="n">
        <v>50</v>
      </c>
      <c r="R216" s="7" t="inlineStr">
        <is>
          <t>https://www.eby.gov.py/wp-content/uploads/2019/12/YacyretaEnergiasMensualesDesdePuestaenMarcha.pdf</t>
        </is>
      </c>
      <c r="S216" s="6" t="inlineStr">
        <is>
          <t>EBY-MONTHLY-1994-2012</t>
        </is>
      </c>
      <c r="T216" s="6" t="inlineStr"/>
      <c r="U216" s="4" t="inlineStr">
        <is>
          <t>2026-09-10 23:00:00</t>
        </is>
      </c>
      <c r="V216" s="4" t="inlineStr">
        <is>
          <t>Energia mensual entregada al SINP.</t>
        </is>
      </c>
    </row>
    <row r="217">
      <c r="A217" s="6" t="inlineStr">
        <is>
          <t>R0000221</t>
        </is>
      </c>
      <c r="B217" s="6" t="inlineStr">
        <is>
          <t>1996-05-01</t>
        </is>
      </c>
      <c r="C217" s="6" t="inlineStr">
        <is>
          <t>1996-05-31</t>
        </is>
      </c>
      <c r="D217" s="6" t="inlineStr">
        <is>
          <t>month</t>
        </is>
      </c>
      <c r="E217" s="6" t="inlineStr">
        <is>
          <t>YACYRETA_NET_ENERGY</t>
        </is>
      </c>
      <c r="F217" s="6" t="inlineStr">
        <is>
          <t>YACYRETA</t>
        </is>
      </c>
      <c r="G217" s="6" t="inlineStr">
        <is>
          <t>YACYRETA</t>
        </is>
      </c>
      <c r="H217" s="6" t="inlineStr">
        <is>
          <t>TOTAL</t>
        </is>
      </c>
      <c r="I217" s="8" t="n">
        <v>443845</v>
      </c>
      <c r="J217" s="6" t="inlineStr">
        <is>
          <t>MWh</t>
        </is>
      </c>
      <c r="K217" s="8" t="n">
        <v>443845</v>
      </c>
      <c r="L217" s="6" t="inlineStr">
        <is>
          <t>MWh</t>
        </is>
      </c>
      <c r="M217" s="6" t="inlineStr">
        <is>
          <t>EBY</t>
        </is>
      </c>
      <c r="N217" s="6" t="inlineStr">
        <is>
          <t>OFFICIAL_PRIMARY</t>
        </is>
      </c>
      <c r="O217" s="9" t="inlineStr">
        <is>
          <t>OFFICIAL_AGGREGATE</t>
        </is>
      </c>
      <c r="P217" s="8" t="n">
        <v>1</v>
      </c>
      <c r="Q217" s="8" t="n">
        <v>50</v>
      </c>
      <c r="R217" s="7" t="inlineStr">
        <is>
          <t>https://www.eby.gov.py/wp-content/uploads/2019/12/YacyretaEnergiasMensualesDesdePuestaenMarcha.pdf</t>
        </is>
      </c>
      <c r="S217" s="6" t="inlineStr">
        <is>
          <t>EBY-MONTHLY-1994-2012</t>
        </is>
      </c>
      <c r="T217" s="6" t="inlineStr"/>
      <c r="U217" s="4" t="inlineStr">
        <is>
          <t>2026-09-10 23:00:00</t>
        </is>
      </c>
      <c r="V217" s="4" t="inlineStr">
        <is>
          <t>Energia mensual Yacyreta desde puesta en marcha.</t>
        </is>
      </c>
    </row>
    <row r="218">
      <c r="A218" s="6" t="inlineStr">
        <is>
          <t>R0000222</t>
        </is>
      </c>
      <c r="B218" s="6" t="inlineStr">
        <is>
          <t>1996-05-01</t>
        </is>
      </c>
      <c r="C218" s="6" t="inlineStr">
        <is>
          <t>1996-05-31</t>
        </is>
      </c>
      <c r="D218" s="6" t="inlineStr">
        <is>
          <t>month</t>
        </is>
      </c>
      <c r="E218" s="6" t="inlineStr">
        <is>
          <t>ENERGY_TO_ARGENTINA</t>
        </is>
      </c>
      <c r="F218" s="6" t="inlineStr">
        <is>
          <t>YACYRETA</t>
        </is>
      </c>
      <c r="G218" s="6" t="inlineStr">
        <is>
          <t>YACYRETA</t>
        </is>
      </c>
      <c r="H218" s="6" t="inlineStr">
        <is>
          <t>SADI</t>
        </is>
      </c>
      <c r="I218" s="8" t="n">
        <v>443845</v>
      </c>
      <c r="J218" s="6" t="inlineStr">
        <is>
          <t>MWh</t>
        </is>
      </c>
      <c r="K218" s="8" t="n">
        <v>443845</v>
      </c>
      <c r="L218" s="6" t="inlineStr">
        <is>
          <t>MWh</t>
        </is>
      </c>
      <c r="M218" s="6" t="inlineStr">
        <is>
          <t>EBY</t>
        </is>
      </c>
      <c r="N218" s="6" t="inlineStr">
        <is>
          <t>OFFICIAL_PRIMARY</t>
        </is>
      </c>
      <c r="O218" s="9" t="inlineStr">
        <is>
          <t>OFFICIAL_AGGREGATE</t>
        </is>
      </c>
      <c r="P218" s="8" t="n">
        <v>1</v>
      </c>
      <c r="Q218" s="8" t="n">
        <v>50</v>
      </c>
      <c r="R218" s="7" t="inlineStr">
        <is>
          <t>https://www.eby.gov.py/wp-content/uploads/2019/12/YacyretaEnergiasMensualesDesdePuestaenMarcha.pdf</t>
        </is>
      </c>
      <c r="S218" s="6" t="inlineStr">
        <is>
          <t>EBY-MONTHLY-1994-2012</t>
        </is>
      </c>
      <c r="T218" s="6" t="inlineStr"/>
      <c r="U218" s="4" t="inlineStr">
        <is>
          <t>2026-09-10 23:00:00</t>
        </is>
      </c>
      <c r="V218" s="4" t="inlineStr">
        <is>
          <t>Energia mensual entregada al SADI.</t>
        </is>
      </c>
    </row>
    <row r="219">
      <c r="A219" s="6" t="inlineStr">
        <is>
          <t>R0000223</t>
        </is>
      </c>
      <c r="B219" s="6" t="inlineStr">
        <is>
          <t>1996-05-01</t>
        </is>
      </c>
      <c r="C219" s="6" t="inlineStr">
        <is>
          <t>1996-05-31</t>
        </is>
      </c>
      <c r="D219" s="6" t="inlineStr">
        <is>
          <t>month</t>
        </is>
      </c>
      <c r="E219" s="6" t="inlineStr">
        <is>
          <t>ENERGY_TO_PY</t>
        </is>
      </c>
      <c r="F219" s="6" t="inlineStr">
        <is>
          <t>YACYRETA</t>
        </is>
      </c>
      <c r="G219" s="6" t="inlineStr">
        <is>
          <t>YACYRETA</t>
        </is>
      </c>
      <c r="H219" s="6" t="inlineStr">
        <is>
          <t>SINP</t>
        </is>
      </c>
      <c r="I219" s="8" t="n">
        <v>0</v>
      </c>
      <c r="J219" s="6" t="inlineStr">
        <is>
          <t>MWh</t>
        </is>
      </c>
      <c r="K219" s="8" t="n">
        <v>0</v>
      </c>
      <c r="L219" s="6" t="inlineStr">
        <is>
          <t>MWh</t>
        </is>
      </c>
      <c r="M219" s="6" t="inlineStr">
        <is>
          <t>EBY</t>
        </is>
      </c>
      <c r="N219" s="6" t="inlineStr">
        <is>
          <t>OFFICIAL_PRIMARY</t>
        </is>
      </c>
      <c r="O219" s="9" t="inlineStr">
        <is>
          <t>OFFICIAL_AGGREGATE</t>
        </is>
      </c>
      <c r="P219" s="8" t="n">
        <v>1</v>
      </c>
      <c r="Q219" s="8" t="n">
        <v>50</v>
      </c>
      <c r="R219" s="7" t="inlineStr">
        <is>
          <t>https://www.eby.gov.py/wp-content/uploads/2019/12/YacyretaEnergiasMensualesDesdePuestaenMarcha.pdf</t>
        </is>
      </c>
      <c r="S219" s="6" t="inlineStr">
        <is>
          <t>EBY-MONTHLY-1994-2012</t>
        </is>
      </c>
      <c r="T219" s="6" t="inlineStr"/>
      <c r="U219" s="4" t="inlineStr">
        <is>
          <t>2026-09-10 23:00:00</t>
        </is>
      </c>
      <c r="V219" s="4" t="inlineStr">
        <is>
          <t>Energia mensual entregada al SINP.</t>
        </is>
      </c>
    </row>
    <row r="220">
      <c r="A220" s="6" t="inlineStr">
        <is>
          <t>R0000224</t>
        </is>
      </c>
      <c r="B220" s="6" t="inlineStr">
        <is>
          <t>1996-06-01</t>
        </is>
      </c>
      <c r="C220" s="6" t="inlineStr">
        <is>
          <t>1996-06-30</t>
        </is>
      </c>
      <c r="D220" s="6" t="inlineStr">
        <is>
          <t>month</t>
        </is>
      </c>
      <c r="E220" s="6" t="inlineStr">
        <is>
          <t>YACYRETA_NET_ENERGY</t>
        </is>
      </c>
      <c r="F220" s="6" t="inlineStr">
        <is>
          <t>YACYRETA</t>
        </is>
      </c>
      <c r="G220" s="6" t="inlineStr">
        <is>
          <t>YACYRETA</t>
        </is>
      </c>
      <c r="H220" s="6" t="inlineStr">
        <is>
          <t>TOTAL</t>
        </is>
      </c>
      <c r="I220" s="8" t="n">
        <v>431606</v>
      </c>
      <c r="J220" s="6" t="inlineStr">
        <is>
          <t>MWh</t>
        </is>
      </c>
      <c r="K220" s="8" t="n">
        <v>431606</v>
      </c>
      <c r="L220" s="6" t="inlineStr">
        <is>
          <t>MWh</t>
        </is>
      </c>
      <c r="M220" s="6" t="inlineStr">
        <is>
          <t>EBY</t>
        </is>
      </c>
      <c r="N220" s="6" t="inlineStr">
        <is>
          <t>OFFICIAL_PRIMARY</t>
        </is>
      </c>
      <c r="O220" s="9" t="inlineStr">
        <is>
          <t>OFFICIAL_AGGREGATE</t>
        </is>
      </c>
      <c r="P220" s="8" t="n">
        <v>1</v>
      </c>
      <c r="Q220" s="8" t="n">
        <v>50</v>
      </c>
      <c r="R220" s="7" t="inlineStr">
        <is>
          <t>https://www.eby.gov.py/wp-content/uploads/2019/12/YacyretaEnergiasMensualesDesdePuestaenMarcha.pdf</t>
        </is>
      </c>
      <c r="S220" s="6" t="inlineStr">
        <is>
          <t>EBY-MONTHLY-1994-2012</t>
        </is>
      </c>
      <c r="T220" s="6" t="inlineStr"/>
      <c r="U220" s="4" t="inlineStr">
        <is>
          <t>2026-09-10 23:00:00</t>
        </is>
      </c>
      <c r="V220" s="4" t="inlineStr">
        <is>
          <t>Energia mensual Yacyreta desde puesta en marcha.</t>
        </is>
      </c>
    </row>
    <row r="221">
      <c r="A221" s="6" t="inlineStr">
        <is>
          <t>R0000225</t>
        </is>
      </c>
      <c r="B221" s="6" t="inlineStr">
        <is>
          <t>1996-06-01</t>
        </is>
      </c>
      <c r="C221" s="6" t="inlineStr">
        <is>
          <t>1996-06-30</t>
        </is>
      </c>
      <c r="D221" s="6" t="inlineStr">
        <is>
          <t>month</t>
        </is>
      </c>
      <c r="E221" s="6" t="inlineStr">
        <is>
          <t>ENERGY_TO_ARGENTINA</t>
        </is>
      </c>
      <c r="F221" s="6" t="inlineStr">
        <is>
          <t>YACYRETA</t>
        </is>
      </c>
      <c r="G221" s="6" t="inlineStr">
        <is>
          <t>YACYRETA</t>
        </is>
      </c>
      <c r="H221" s="6" t="inlineStr">
        <is>
          <t>SADI</t>
        </is>
      </c>
      <c r="I221" s="8" t="n">
        <v>431606</v>
      </c>
      <c r="J221" s="6" t="inlineStr">
        <is>
          <t>MWh</t>
        </is>
      </c>
      <c r="K221" s="8" t="n">
        <v>431606</v>
      </c>
      <c r="L221" s="6" t="inlineStr">
        <is>
          <t>MWh</t>
        </is>
      </c>
      <c r="M221" s="6" t="inlineStr">
        <is>
          <t>EBY</t>
        </is>
      </c>
      <c r="N221" s="6" t="inlineStr">
        <is>
          <t>OFFICIAL_PRIMARY</t>
        </is>
      </c>
      <c r="O221" s="9" t="inlineStr">
        <is>
          <t>OFFICIAL_AGGREGATE</t>
        </is>
      </c>
      <c r="P221" s="8" t="n">
        <v>1</v>
      </c>
      <c r="Q221" s="8" t="n">
        <v>50</v>
      </c>
      <c r="R221" s="7" t="inlineStr">
        <is>
          <t>https://www.eby.gov.py/wp-content/uploads/2019/12/YacyretaEnergiasMensualesDesdePuestaenMarcha.pdf</t>
        </is>
      </c>
      <c r="S221" s="6" t="inlineStr">
        <is>
          <t>EBY-MONTHLY-1994-2012</t>
        </is>
      </c>
      <c r="T221" s="6" t="inlineStr"/>
      <c r="U221" s="4" t="inlineStr">
        <is>
          <t>2026-09-10 23:00:00</t>
        </is>
      </c>
      <c r="V221" s="4" t="inlineStr">
        <is>
          <t>Energia mensual entregada al SADI.</t>
        </is>
      </c>
    </row>
    <row r="222">
      <c r="A222" s="6" t="inlineStr">
        <is>
          <t>R0000226</t>
        </is>
      </c>
      <c r="B222" s="6" t="inlineStr">
        <is>
          <t>1996-06-01</t>
        </is>
      </c>
      <c r="C222" s="6" t="inlineStr">
        <is>
          <t>1996-06-30</t>
        </is>
      </c>
      <c r="D222" s="6" t="inlineStr">
        <is>
          <t>month</t>
        </is>
      </c>
      <c r="E222" s="6" t="inlineStr">
        <is>
          <t>ENERGY_TO_PY</t>
        </is>
      </c>
      <c r="F222" s="6" t="inlineStr">
        <is>
          <t>YACYRETA</t>
        </is>
      </c>
      <c r="G222" s="6" t="inlineStr">
        <is>
          <t>YACYRETA</t>
        </is>
      </c>
      <c r="H222" s="6" t="inlineStr">
        <is>
          <t>SINP</t>
        </is>
      </c>
      <c r="I222" s="8" t="n">
        <v>0</v>
      </c>
      <c r="J222" s="6" t="inlineStr">
        <is>
          <t>MWh</t>
        </is>
      </c>
      <c r="K222" s="8" t="n">
        <v>0</v>
      </c>
      <c r="L222" s="6" t="inlineStr">
        <is>
          <t>MWh</t>
        </is>
      </c>
      <c r="M222" s="6" t="inlineStr">
        <is>
          <t>EBY</t>
        </is>
      </c>
      <c r="N222" s="6" t="inlineStr">
        <is>
          <t>OFFICIAL_PRIMARY</t>
        </is>
      </c>
      <c r="O222" s="9" t="inlineStr">
        <is>
          <t>OFFICIAL_AGGREGATE</t>
        </is>
      </c>
      <c r="P222" s="8" t="n">
        <v>1</v>
      </c>
      <c r="Q222" s="8" t="n">
        <v>50</v>
      </c>
      <c r="R222" s="7" t="inlineStr">
        <is>
          <t>https://www.eby.gov.py/wp-content/uploads/2019/12/YacyretaEnergiasMensualesDesdePuestaenMarcha.pdf</t>
        </is>
      </c>
      <c r="S222" s="6" t="inlineStr">
        <is>
          <t>EBY-MONTHLY-1994-2012</t>
        </is>
      </c>
      <c r="T222" s="6" t="inlineStr"/>
      <c r="U222" s="4" t="inlineStr">
        <is>
          <t>2026-09-10 23:00:00</t>
        </is>
      </c>
      <c r="V222" s="4" t="inlineStr">
        <is>
          <t>Energia mensual entregada al SINP.</t>
        </is>
      </c>
    </row>
    <row r="223">
      <c r="A223" s="6" t="inlineStr">
        <is>
          <t>R0000227</t>
        </is>
      </c>
      <c r="B223" s="6" t="inlineStr">
        <is>
          <t>1996-07-01</t>
        </is>
      </c>
      <c r="C223" s="6" t="inlineStr">
        <is>
          <t>1996-07-31</t>
        </is>
      </c>
      <c r="D223" s="6" t="inlineStr">
        <is>
          <t>month</t>
        </is>
      </c>
      <c r="E223" s="6" t="inlineStr">
        <is>
          <t>YACYRETA_NET_ENERGY</t>
        </is>
      </c>
      <c r="F223" s="6" t="inlineStr">
        <is>
          <t>YACYRETA</t>
        </is>
      </c>
      <c r="G223" s="6" t="inlineStr">
        <is>
          <t>YACYRETA</t>
        </is>
      </c>
      <c r="H223" s="6" t="inlineStr">
        <is>
          <t>TOTAL</t>
        </is>
      </c>
      <c r="I223" s="8" t="n">
        <v>465285</v>
      </c>
      <c r="J223" s="6" t="inlineStr">
        <is>
          <t>MWh</t>
        </is>
      </c>
      <c r="K223" s="8" t="n">
        <v>465285</v>
      </c>
      <c r="L223" s="6" t="inlineStr">
        <is>
          <t>MWh</t>
        </is>
      </c>
      <c r="M223" s="6" t="inlineStr">
        <is>
          <t>EBY</t>
        </is>
      </c>
      <c r="N223" s="6" t="inlineStr">
        <is>
          <t>OFFICIAL_PRIMARY</t>
        </is>
      </c>
      <c r="O223" s="9" t="inlineStr">
        <is>
          <t>OFFICIAL_AGGREGATE</t>
        </is>
      </c>
      <c r="P223" s="8" t="n">
        <v>1</v>
      </c>
      <c r="Q223" s="8" t="n">
        <v>50</v>
      </c>
      <c r="R223" s="7" t="inlineStr">
        <is>
          <t>https://www.eby.gov.py/wp-content/uploads/2019/12/YacyretaEnergiasMensualesDesdePuestaenMarcha.pdf</t>
        </is>
      </c>
      <c r="S223" s="6" t="inlineStr">
        <is>
          <t>EBY-MONTHLY-1994-2012</t>
        </is>
      </c>
      <c r="T223" s="6" t="inlineStr"/>
      <c r="U223" s="4" t="inlineStr">
        <is>
          <t>2026-09-10 23:00:00</t>
        </is>
      </c>
      <c r="V223" s="4" t="inlineStr">
        <is>
          <t>Energia mensual Yacyreta desde puesta en marcha.</t>
        </is>
      </c>
    </row>
    <row r="224">
      <c r="A224" s="6" t="inlineStr">
        <is>
          <t>R0000228</t>
        </is>
      </c>
      <c r="B224" s="6" t="inlineStr">
        <is>
          <t>1996-07-01</t>
        </is>
      </c>
      <c r="C224" s="6" t="inlineStr">
        <is>
          <t>1996-07-31</t>
        </is>
      </c>
      <c r="D224" s="6" t="inlineStr">
        <is>
          <t>month</t>
        </is>
      </c>
      <c r="E224" s="6" t="inlineStr">
        <is>
          <t>ENERGY_TO_ARGENTINA</t>
        </is>
      </c>
      <c r="F224" s="6" t="inlineStr">
        <is>
          <t>YACYRETA</t>
        </is>
      </c>
      <c r="G224" s="6" t="inlineStr">
        <is>
          <t>YACYRETA</t>
        </is>
      </c>
      <c r="H224" s="6" t="inlineStr">
        <is>
          <t>SADI</t>
        </is>
      </c>
      <c r="I224" s="8" t="n">
        <v>465285</v>
      </c>
      <c r="J224" s="6" t="inlineStr">
        <is>
          <t>MWh</t>
        </is>
      </c>
      <c r="K224" s="8" t="n">
        <v>465285</v>
      </c>
      <c r="L224" s="6" t="inlineStr">
        <is>
          <t>MWh</t>
        </is>
      </c>
      <c r="M224" s="6" t="inlineStr">
        <is>
          <t>EBY</t>
        </is>
      </c>
      <c r="N224" s="6" t="inlineStr">
        <is>
          <t>OFFICIAL_PRIMARY</t>
        </is>
      </c>
      <c r="O224" s="9" t="inlineStr">
        <is>
          <t>OFFICIAL_AGGREGATE</t>
        </is>
      </c>
      <c r="P224" s="8" t="n">
        <v>1</v>
      </c>
      <c r="Q224" s="8" t="n">
        <v>50</v>
      </c>
      <c r="R224" s="7" t="inlineStr">
        <is>
          <t>https://www.eby.gov.py/wp-content/uploads/2019/12/YacyretaEnergiasMensualesDesdePuestaenMarcha.pdf</t>
        </is>
      </c>
      <c r="S224" s="6" t="inlineStr">
        <is>
          <t>EBY-MONTHLY-1994-2012</t>
        </is>
      </c>
      <c r="T224" s="6" t="inlineStr"/>
      <c r="U224" s="4" t="inlineStr">
        <is>
          <t>2026-09-10 23:00:00</t>
        </is>
      </c>
      <c r="V224" s="4" t="inlineStr">
        <is>
          <t>Energia mensual entregada al SADI.</t>
        </is>
      </c>
    </row>
    <row r="225">
      <c r="A225" s="6" t="inlineStr">
        <is>
          <t>R0000229</t>
        </is>
      </c>
      <c r="B225" s="6" t="inlineStr">
        <is>
          <t>1996-07-01</t>
        </is>
      </c>
      <c r="C225" s="6" t="inlineStr">
        <is>
          <t>1996-07-31</t>
        </is>
      </c>
      <c r="D225" s="6" t="inlineStr">
        <is>
          <t>month</t>
        </is>
      </c>
      <c r="E225" s="6" t="inlineStr">
        <is>
          <t>ENERGY_TO_PY</t>
        </is>
      </c>
      <c r="F225" s="6" t="inlineStr">
        <is>
          <t>YACYRETA</t>
        </is>
      </c>
      <c r="G225" s="6" t="inlineStr">
        <is>
          <t>YACYRETA</t>
        </is>
      </c>
      <c r="H225" s="6" t="inlineStr">
        <is>
          <t>SINP</t>
        </is>
      </c>
      <c r="I225" s="8" t="n">
        <v>0</v>
      </c>
      <c r="J225" s="6" t="inlineStr">
        <is>
          <t>MWh</t>
        </is>
      </c>
      <c r="K225" s="8" t="n">
        <v>0</v>
      </c>
      <c r="L225" s="6" t="inlineStr">
        <is>
          <t>MWh</t>
        </is>
      </c>
      <c r="M225" s="6" t="inlineStr">
        <is>
          <t>EBY</t>
        </is>
      </c>
      <c r="N225" s="6" t="inlineStr">
        <is>
          <t>OFFICIAL_PRIMARY</t>
        </is>
      </c>
      <c r="O225" s="9" t="inlineStr">
        <is>
          <t>OFFICIAL_AGGREGATE</t>
        </is>
      </c>
      <c r="P225" s="8" t="n">
        <v>1</v>
      </c>
      <c r="Q225" s="8" t="n">
        <v>50</v>
      </c>
      <c r="R225" s="7" t="inlineStr">
        <is>
          <t>https://www.eby.gov.py/wp-content/uploads/2019/12/YacyretaEnergiasMensualesDesdePuestaenMarcha.pdf</t>
        </is>
      </c>
      <c r="S225" s="6" t="inlineStr">
        <is>
          <t>EBY-MONTHLY-1994-2012</t>
        </is>
      </c>
      <c r="T225" s="6" t="inlineStr"/>
      <c r="U225" s="4" t="inlineStr">
        <is>
          <t>2026-09-10 23:00:00</t>
        </is>
      </c>
      <c r="V225" s="4" t="inlineStr">
        <is>
          <t>Energia mensual entregada al SINP.</t>
        </is>
      </c>
    </row>
    <row r="226">
      <c r="A226" s="6" t="inlineStr">
        <is>
          <t>R0000230</t>
        </is>
      </c>
      <c r="B226" s="6" t="inlineStr">
        <is>
          <t>1996-08-01</t>
        </is>
      </c>
      <c r="C226" s="6" t="inlineStr">
        <is>
          <t>1996-08-31</t>
        </is>
      </c>
      <c r="D226" s="6" t="inlineStr">
        <is>
          <t>month</t>
        </is>
      </c>
      <c r="E226" s="6" t="inlineStr">
        <is>
          <t>YACYRETA_NET_ENERGY</t>
        </is>
      </c>
      <c r="F226" s="6" t="inlineStr">
        <is>
          <t>YACYRETA</t>
        </is>
      </c>
      <c r="G226" s="6" t="inlineStr">
        <is>
          <t>YACYRETA</t>
        </is>
      </c>
      <c r="H226" s="6" t="inlineStr">
        <is>
          <t>TOTAL</t>
        </is>
      </c>
      <c r="I226" s="8" t="n">
        <v>630482</v>
      </c>
      <c r="J226" s="6" t="inlineStr">
        <is>
          <t>MWh</t>
        </is>
      </c>
      <c r="K226" s="8" t="n">
        <v>630482</v>
      </c>
      <c r="L226" s="6" t="inlineStr">
        <is>
          <t>MWh</t>
        </is>
      </c>
      <c r="M226" s="6" t="inlineStr">
        <is>
          <t>EBY</t>
        </is>
      </c>
      <c r="N226" s="6" t="inlineStr">
        <is>
          <t>OFFICIAL_PRIMARY</t>
        </is>
      </c>
      <c r="O226" s="9" t="inlineStr">
        <is>
          <t>OFFICIAL_AGGREGATE</t>
        </is>
      </c>
      <c r="P226" s="8" t="n">
        <v>1</v>
      </c>
      <c r="Q226" s="8" t="n">
        <v>50</v>
      </c>
      <c r="R226" s="7" t="inlineStr">
        <is>
          <t>https://www.eby.gov.py/wp-content/uploads/2019/12/YacyretaEnergiasMensualesDesdePuestaenMarcha.pdf</t>
        </is>
      </c>
      <c r="S226" s="6" t="inlineStr">
        <is>
          <t>EBY-MONTHLY-1994-2012</t>
        </is>
      </c>
      <c r="T226" s="6" t="inlineStr"/>
      <c r="U226" s="4" t="inlineStr">
        <is>
          <t>2026-09-10 23:00:00</t>
        </is>
      </c>
      <c r="V226" s="4" t="inlineStr">
        <is>
          <t>Energia mensual Yacyreta desde puesta en marcha.</t>
        </is>
      </c>
    </row>
    <row r="227">
      <c r="A227" s="6" t="inlineStr">
        <is>
          <t>R0000231</t>
        </is>
      </c>
      <c r="B227" s="6" t="inlineStr">
        <is>
          <t>1996-08-01</t>
        </is>
      </c>
      <c r="C227" s="6" t="inlineStr">
        <is>
          <t>1996-08-31</t>
        </is>
      </c>
      <c r="D227" s="6" t="inlineStr">
        <is>
          <t>month</t>
        </is>
      </c>
      <c r="E227" s="6" t="inlineStr">
        <is>
          <t>ENERGY_TO_ARGENTINA</t>
        </is>
      </c>
      <c r="F227" s="6" t="inlineStr">
        <is>
          <t>YACYRETA</t>
        </is>
      </c>
      <c r="G227" s="6" t="inlineStr">
        <is>
          <t>YACYRETA</t>
        </is>
      </c>
      <c r="H227" s="6" t="inlineStr">
        <is>
          <t>SADI</t>
        </is>
      </c>
      <c r="I227" s="8" t="n">
        <v>630198</v>
      </c>
      <c r="J227" s="6" t="inlineStr">
        <is>
          <t>MWh</t>
        </is>
      </c>
      <c r="K227" s="8" t="n">
        <v>630198</v>
      </c>
      <c r="L227" s="6" t="inlineStr">
        <is>
          <t>MWh</t>
        </is>
      </c>
      <c r="M227" s="6" t="inlineStr">
        <is>
          <t>EBY</t>
        </is>
      </c>
      <c r="N227" s="6" t="inlineStr">
        <is>
          <t>OFFICIAL_PRIMARY</t>
        </is>
      </c>
      <c r="O227" s="9" t="inlineStr">
        <is>
          <t>OFFICIAL_AGGREGATE</t>
        </is>
      </c>
      <c r="P227" s="8" t="n">
        <v>1</v>
      </c>
      <c r="Q227" s="8" t="n">
        <v>50</v>
      </c>
      <c r="R227" s="7" t="inlineStr">
        <is>
          <t>https://www.eby.gov.py/wp-content/uploads/2019/12/YacyretaEnergiasMensualesDesdePuestaenMarcha.pdf</t>
        </is>
      </c>
      <c r="S227" s="6" t="inlineStr">
        <is>
          <t>EBY-MONTHLY-1994-2012</t>
        </is>
      </c>
      <c r="T227" s="6" t="inlineStr"/>
      <c r="U227" s="4" t="inlineStr">
        <is>
          <t>2026-09-10 23:00:00</t>
        </is>
      </c>
      <c r="V227" s="4" t="inlineStr">
        <is>
          <t>Energia mensual entregada al SADI.</t>
        </is>
      </c>
    </row>
    <row r="228">
      <c r="A228" s="6" t="inlineStr">
        <is>
          <t>R0000232</t>
        </is>
      </c>
      <c r="B228" s="6" t="inlineStr">
        <is>
          <t>1996-08-01</t>
        </is>
      </c>
      <c r="C228" s="6" t="inlineStr">
        <is>
          <t>1996-08-31</t>
        </is>
      </c>
      <c r="D228" s="6" t="inlineStr">
        <is>
          <t>month</t>
        </is>
      </c>
      <c r="E228" s="6" t="inlineStr">
        <is>
          <t>ENERGY_TO_PY</t>
        </is>
      </c>
      <c r="F228" s="6" t="inlineStr">
        <is>
          <t>YACYRETA</t>
        </is>
      </c>
      <c r="G228" s="6" t="inlineStr">
        <is>
          <t>YACYRETA</t>
        </is>
      </c>
      <c r="H228" s="6" t="inlineStr">
        <is>
          <t>SINP</t>
        </is>
      </c>
      <c r="I228" s="8" t="n">
        <v>284</v>
      </c>
      <c r="J228" s="6" t="inlineStr">
        <is>
          <t>MWh</t>
        </is>
      </c>
      <c r="K228" s="8" t="n">
        <v>284</v>
      </c>
      <c r="L228" s="6" t="inlineStr">
        <is>
          <t>MWh</t>
        </is>
      </c>
      <c r="M228" s="6" t="inlineStr">
        <is>
          <t>EBY</t>
        </is>
      </c>
      <c r="N228" s="6" t="inlineStr">
        <is>
          <t>OFFICIAL_PRIMARY</t>
        </is>
      </c>
      <c r="O228" s="9" t="inlineStr">
        <is>
          <t>OFFICIAL_AGGREGATE</t>
        </is>
      </c>
      <c r="P228" s="8" t="n">
        <v>1</v>
      </c>
      <c r="Q228" s="8" t="n">
        <v>50</v>
      </c>
      <c r="R228" s="7" t="inlineStr">
        <is>
          <t>https://www.eby.gov.py/wp-content/uploads/2019/12/YacyretaEnergiasMensualesDesdePuestaenMarcha.pdf</t>
        </is>
      </c>
      <c r="S228" s="6" t="inlineStr">
        <is>
          <t>EBY-MONTHLY-1994-2012</t>
        </is>
      </c>
      <c r="T228" s="6" t="inlineStr"/>
      <c r="U228" s="4" t="inlineStr">
        <is>
          <t>2026-09-10 23:00:00</t>
        </is>
      </c>
      <c r="V228" s="4" t="inlineStr">
        <is>
          <t>Energia mensual entregada al SINP.</t>
        </is>
      </c>
    </row>
    <row r="229">
      <c r="A229" s="6" t="inlineStr">
        <is>
          <t>R0000233</t>
        </is>
      </c>
      <c r="B229" s="6" t="inlineStr">
        <is>
          <t>1996-09-01</t>
        </is>
      </c>
      <c r="C229" s="6" t="inlineStr">
        <is>
          <t>1996-09-30</t>
        </is>
      </c>
      <c r="D229" s="6" t="inlineStr">
        <is>
          <t>month</t>
        </is>
      </c>
      <c r="E229" s="6" t="inlineStr">
        <is>
          <t>YACYRETA_NET_ENERGY</t>
        </is>
      </c>
      <c r="F229" s="6" t="inlineStr">
        <is>
          <t>YACYRETA</t>
        </is>
      </c>
      <c r="G229" s="6" t="inlineStr">
        <is>
          <t>YACYRETA</t>
        </is>
      </c>
      <c r="H229" s="6" t="inlineStr">
        <is>
          <t>TOTAL</t>
        </is>
      </c>
      <c r="I229" s="8" t="n">
        <v>625808</v>
      </c>
      <c r="J229" s="6" t="inlineStr">
        <is>
          <t>MWh</t>
        </is>
      </c>
      <c r="K229" s="8" t="n">
        <v>625808</v>
      </c>
      <c r="L229" s="6" t="inlineStr">
        <is>
          <t>MWh</t>
        </is>
      </c>
      <c r="M229" s="6" t="inlineStr">
        <is>
          <t>EBY</t>
        </is>
      </c>
      <c r="N229" s="6" t="inlineStr">
        <is>
          <t>OFFICIAL_PRIMARY</t>
        </is>
      </c>
      <c r="O229" s="9" t="inlineStr">
        <is>
          <t>OFFICIAL_AGGREGATE</t>
        </is>
      </c>
      <c r="P229" s="8" t="n">
        <v>1</v>
      </c>
      <c r="Q229" s="8" t="n">
        <v>50</v>
      </c>
      <c r="R229" s="7" t="inlineStr">
        <is>
          <t>https://www.eby.gov.py/wp-content/uploads/2019/12/YacyretaEnergiasMensualesDesdePuestaenMarcha.pdf</t>
        </is>
      </c>
      <c r="S229" s="6" t="inlineStr">
        <is>
          <t>EBY-MONTHLY-1994-2012</t>
        </is>
      </c>
      <c r="T229" s="6" t="inlineStr"/>
      <c r="U229" s="4" t="inlineStr">
        <is>
          <t>2026-09-10 23:00:00</t>
        </is>
      </c>
      <c r="V229" s="4" t="inlineStr">
        <is>
          <t>Energia mensual Yacyreta desde puesta en marcha.</t>
        </is>
      </c>
    </row>
    <row r="230">
      <c r="A230" s="6" t="inlineStr">
        <is>
          <t>R0000234</t>
        </is>
      </c>
      <c r="B230" s="6" t="inlineStr">
        <is>
          <t>1996-09-01</t>
        </is>
      </c>
      <c r="C230" s="6" t="inlineStr">
        <is>
          <t>1996-09-30</t>
        </is>
      </c>
      <c r="D230" s="6" t="inlineStr">
        <is>
          <t>month</t>
        </is>
      </c>
      <c r="E230" s="6" t="inlineStr">
        <is>
          <t>ENERGY_TO_ARGENTINA</t>
        </is>
      </c>
      <c r="F230" s="6" t="inlineStr">
        <is>
          <t>YACYRETA</t>
        </is>
      </c>
      <c r="G230" s="6" t="inlineStr">
        <is>
          <t>YACYRETA</t>
        </is>
      </c>
      <c r="H230" s="6" t="inlineStr">
        <is>
          <t>SADI</t>
        </is>
      </c>
      <c r="I230" s="8" t="n">
        <v>625808</v>
      </c>
      <c r="J230" s="6" t="inlineStr">
        <is>
          <t>MWh</t>
        </is>
      </c>
      <c r="K230" s="8" t="n">
        <v>625808</v>
      </c>
      <c r="L230" s="6" t="inlineStr">
        <is>
          <t>MWh</t>
        </is>
      </c>
      <c r="M230" s="6" t="inlineStr">
        <is>
          <t>EBY</t>
        </is>
      </c>
      <c r="N230" s="6" t="inlineStr">
        <is>
          <t>OFFICIAL_PRIMARY</t>
        </is>
      </c>
      <c r="O230" s="9" t="inlineStr">
        <is>
          <t>OFFICIAL_AGGREGATE</t>
        </is>
      </c>
      <c r="P230" s="8" t="n">
        <v>1</v>
      </c>
      <c r="Q230" s="8" t="n">
        <v>50</v>
      </c>
      <c r="R230" s="7" t="inlineStr">
        <is>
          <t>https://www.eby.gov.py/wp-content/uploads/2019/12/YacyretaEnergiasMensualesDesdePuestaenMarcha.pdf</t>
        </is>
      </c>
      <c r="S230" s="6" t="inlineStr">
        <is>
          <t>EBY-MONTHLY-1994-2012</t>
        </is>
      </c>
      <c r="T230" s="6" t="inlineStr"/>
      <c r="U230" s="4" t="inlineStr">
        <is>
          <t>2026-09-10 23:00:00</t>
        </is>
      </c>
      <c r="V230" s="4" t="inlineStr">
        <is>
          <t>Energia mensual entregada al SADI.</t>
        </is>
      </c>
    </row>
    <row r="231">
      <c r="A231" s="6" t="inlineStr">
        <is>
          <t>R0000235</t>
        </is>
      </c>
      <c r="B231" s="6" t="inlineStr">
        <is>
          <t>1996-09-01</t>
        </is>
      </c>
      <c r="C231" s="6" t="inlineStr">
        <is>
          <t>1996-09-30</t>
        </is>
      </c>
      <c r="D231" s="6" t="inlineStr">
        <is>
          <t>month</t>
        </is>
      </c>
      <c r="E231" s="6" t="inlineStr">
        <is>
          <t>ENERGY_TO_PY</t>
        </is>
      </c>
      <c r="F231" s="6" t="inlineStr">
        <is>
          <t>YACYRETA</t>
        </is>
      </c>
      <c r="G231" s="6" t="inlineStr">
        <is>
          <t>YACYRETA</t>
        </is>
      </c>
      <c r="H231" s="6" t="inlineStr">
        <is>
          <t>SINP</t>
        </is>
      </c>
      <c r="I231" s="8" t="n">
        <v>0</v>
      </c>
      <c r="J231" s="6" t="inlineStr">
        <is>
          <t>MWh</t>
        </is>
      </c>
      <c r="K231" s="8" t="n">
        <v>0</v>
      </c>
      <c r="L231" s="6" t="inlineStr">
        <is>
          <t>MWh</t>
        </is>
      </c>
      <c r="M231" s="6" t="inlineStr">
        <is>
          <t>EBY</t>
        </is>
      </c>
      <c r="N231" s="6" t="inlineStr">
        <is>
          <t>OFFICIAL_PRIMARY</t>
        </is>
      </c>
      <c r="O231" s="9" t="inlineStr">
        <is>
          <t>OFFICIAL_AGGREGATE</t>
        </is>
      </c>
      <c r="P231" s="8" t="n">
        <v>1</v>
      </c>
      <c r="Q231" s="8" t="n">
        <v>50</v>
      </c>
      <c r="R231" s="7" t="inlineStr">
        <is>
          <t>https://www.eby.gov.py/wp-content/uploads/2019/12/YacyretaEnergiasMensualesDesdePuestaenMarcha.pdf</t>
        </is>
      </c>
      <c r="S231" s="6" t="inlineStr">
        <is>
          <t>EBY-MONTHLY-1994-2012</t>
        </is>
      </c>
      <c r="T231" s="6" t="inlineStr"/>
      <c r="U231" s="4" t="inlineStr">
        <is>
          <t>2026-09-10 23:00:00</t>
        </is>
      </c>
      <c r="V231" s="4" t="inlineStr">
        <is>
          <t>Energia mensual entregada al SINP.</t>
        </is>
      </c>
    </row>
    <row r="232">
      <c r="A232" s="6" t="inlineStr">
        <is>
          <t>R0000236</t>
        </is>
      </c>
      <c r="B232" s="6" t="inlineStr">
        <is>
          <t>1996-10-01</t>
        </is>
      </c>
      <c r="C232" s="6" t="inlineStr">
        <is>
          <t>1996-10-31</t>
        </is>
      </c>
      <c r="D232" s="6" t="inlineStr">
        <is>
          <t>month</t>
        </is>
      </c>
      <c r="E232" s="6" t="inlineStr">
        <is>
          <t>YACYRETA_NET_ENERGY</t>
        </is>
      </c>
      <c r="F232" s="6" t="inlineStr">
        <is>
          <t>YACYRETA</t>
        </is>
      </c>
      <c r="G232" s="6" t="inlineStr">
        <is>
          <t>YACYRETA</t>
        </is>
      </c>
      <c r="H232" s="6" t="inlineStr">
        <is>
          <t>TOTAL</t>
        </is>
      </c>
      <c r="I232" s="8" t="n">
        <v>634449</v>
      </c>
      <c r="J232" s="6" t="inlineStr">
        <is>
          <t>MWh</t>
        </is>
      </c>
      <c r="K232" s="8" t="n">
        <v>634449</v>
      </c>
      <c r="L232" s="6" t="inlineStr">
        <is>
          <t>MWh</t>
        </is>
      </c>
      <c r="M232" s="6" t="inlineStr">
        <is>
          <t>EBY</t>
        </is>
      </c>
      <c r="N232" s="6" t="inlineStr">
        <is>
          <t>OFFICIAL_PRIMARY</t>
        </is>
      </c>
      <c r="O232" s="9" t="inlineStr">
        <is>
          <t>OFFICIAL_AGGREGATE</t>
        </is>
      </c>
      <c r="P232" s="8" t="n">
        <v>1</v>
      </c>
      <c r="Q232" s="8" t="n">
        <v>50</v>
      </c>
      <c r="R232" s="7" t="inlineStr">
        <is>
          <t>https://www.eby.gov.py/wp-content/uploads/2019/12/YacyretaEnergiasMensualesDesdePuestaenMarcha.pdf</t>
        </is>
      </c>
      <c r="S232" s="6" t="inlineStr">
        <is>
          <t>EBY-MONTHLY-1994-2012</t>
        </is>
      </c>
      <c r="T232" s="6" t="inlineStr"/>
      <c r="U232" s="4" t="inlineStr">
        <is>
          <t>2026-09-10 23:00:00</t>
        </is>
      </c>
      <c r="V232" s="4" t="inlineStr">
        <is>
          <t>Energia mensual Yacyreta desde puesta en marcha.</t>
        </is>
      </c>
    </row>
    <row r="233">
      <c r="A233" s="6" t="inlineStr">
        <is>
          <t>R0000237</t>
        </is>
      </c>
      <c r="B233" s="6" t="inlineStr">
        <is>
          <t>1996-10-01</t>
        </is>
      </c>
      <c r="C233" s="6" t="inlineStr">
        <is>
          <t>1996-10-31</t>
        </is>
      </c>
      <c r="D233" s="6" t="inlineStr">
        <is>
          <t>month</t>
        </is>
      </c>
      <c r="E233" s="6" t="inlineStr">
        <is>
          <t>ENERGY_TO_ARGENTINA</t>
        </is>
      </c>
      <c r="F233" s="6" t="inlineStr">
        <is>
          <t>YACYRETA</t>
        </is>
      </c>
      <c r="G233" s="6" t="inlineStr">
        <is>
          <t>YACYRETA</t>
        </is>
      </c>
      <c r="H233" s="6" t="inlineStr">
        <is>
          <t>SADI</t>
        </is>
      </c>
      <c r="I233" s="8" t="n">
        <v>629717</v>
      </c>
      <c r="J233" s="6" t="inlineStr">
        <is>
          <t>MWh</t>
        </is>
      </c>
      <c r="K233" s="8" t="n">
        <v>629717</v>
      </c>
      <c r="L233" s="6" t="inlineStr">
        <is>
          <t>MWh</t>
        </is>
      </c>
      <c r="M233" s="6" t="inlineStr">
        <is>
          <t>EBY</t>
        </is>
      </c>
      <c r="N233" s="6" t="inlineStr">
        <is>
          <t>OFFICIAL_PRIMARY</t>
        </is>
      </c>
      <c r="O233" s="9" t="inlineStr">
        <is>
          <t>OFFICIAL_AGGREGATE</t>
        </is>
      </c>
      <c r="P233" s="8" t="n">
        <v>1</v>
      </c>
      <c r="Q233" s="8" t="n">
        <v>50</v>
      </c>
      <c r="R233" s="7" t="inlineStr">
        <is>
          <t>https://www.eby.gov.py/wp-content/uploads/2019/12/YacyretaEnergiasMensualesDesdePuestaenMarcha.pdf</t>
        </is>
      </c>
      <c r="S233" s="6" t="inlineStr">
        <is>
          <t>EBY-MONTHLY-1994-2012</t>
        </is>
      </c>
      <c r="T233" s="6" t="inlineStr"/>
      <c r="U233" s="4" t="inlineStr">
        <is>
          <t>2026-09-10 23:00:00</t>
        </is>
      </c>
      <c r="V233" s="4" t="inlineStr">
        <is>
          <t>Energia mensual entregada al SADI.</t>
        </is>
      </c>
    </row>
    <row r="234">
      <c r="A234" s="6" t="inlineStr">
        <is>
          <t>R0000238</t>
        </is>
      </c>
      <c r="B234" s="6" t="inlineStr">
        <is>
          <t>1996-10-01</t>
        </is>
      </c>
      <c r="C234" s="6" t="inlineStr">
        <is>
          <t>1996-10-31</t>
        </is>
      </c>
      <c r="D234" s="6" t="inlineStr">
        <is>
          <t>month</t>
        </is>
      </c>
      <c r="E234" s="6" t="inlineStr">
        <is>
          <t>ENERGY_TO_PY</t>
        </is>
      </c>
      <c r="F234" s="6" t="inlineStr">
        <is>
          <t>YACYRETA</t>
        </is>
      </c>
      <c r="G234" s="6" t="inlineStr">
        <is>
          <t>YACYRETA</t>
        </is>
      </c>
      <c r="H234" s="6" t="inlineStr">
        <is>
          <t>SINP</t>
        </is>
      </c>
      <c r="I234" s="8" t="n">
        <v>4732</v>
      </c>
      <c r="J234" s="6" t="inlineStr">
        <is>
          <t>MWh</t>
        </is>
      </c>
      <c r="K234" s="8" t="n">
        <v>4732</v>
      </c>
      <c r="L234" s="6" t="inlineStr">
        <is>
          <t>MWh</t>
        </is>
      </c>
      <c r="M234" s="6" t="inlineStr">
        <is>
          <t>EBY</t>
        </is>
      </c>
      <c r="N234" s="6" t="inlineStr">
        <is>
          <t>OFFICIAL_PRIMARY</t>
        </is>
      </c>
      <c r="O234" s="9" t="inlineStr">
        <is>
          <t>OFFICIAL_AGGREGATE</t>
        </is>
      </c>
      <c r="P234" s="8" t="n">
        <v>1</v>
      </c>
      <c r="Q234" s="8" t="n">
        <v>50</v>
      </c>
      <c r="R234" s="7" t="inlineStr">
        <is>
          <t>https://www.eby.gov.py/wp-content/uploads/2019/12/YacyretaEnergiasMensualesDesdePuestaenMarcha.pdf</t>
        </is>
      </c>
      <c r="S234" s="6" t="inlineStr">
        <is>
          <t>EBY-MONTHLY-1994-2012</t>
        </is>
      </c>
      <c r="T234" s="6" t="inlineStr"/>
      <c r="U234" s="4" t="inlineStr">
        <is>
          <t>2026-09-10 23:00:00</t>
        </is>
      </c>
      <c r="V234" s="4" t="inlineStr">
        <is>
          <t>Energia mensual entregada al SINP.</t>
        </is>
      </c>
    </row>
    <row r="235">
      <c r="A235" s="6" t="inlineStr">
        <is>
          <t>R0000239</t>
        </is>
      </c>
      <c r="B235" s="6" t="inlineStr">
        <is>
          <t>1996-11-01</t>
        </is>
      </c>
      <c r="C235" s="6" t="inlineStr">
        <is>
          <t>1996-11-30</t>
        </is>
      </c>
      <c r="D235" s="6" t="inlineStr">
        <is>
          <t>month</t>
        </is>
      </c>
      <c r="E235" s="6" t="inlineStr">
        <is>
          <t>YACYRETA_NET_ENERGY</t>
        </is>
      </c>
      <c r="F235" s="6" t="inlineStr">
        <is>
          <t>YACYRETA</t>
        </is>
      </c>
      <c r="G235" s="6" t="inlineStr">
        <is>
          <t>YACYRETA</t>
        </is>
      </c>
      <c r="H235" s="6" t="inlineStr">
        <is>
          <t>TOTAL</t>
        </is>
      </c>
      <c r="I235" s="8" t="n">
        <v>684778</v>
      </c>
      <c r="J235" s="6" t="inlineStr">
        <is>
          <t>MWh</t>
        </is>
      </c>
      <c r="K235" s="8" t="n">
        <v>684778</v>
      </c>
      <c r="L235" s="6" t="inlineStr">
        <is>
          <t>MWh</t>
        </is>
      </c>
      <c r="M235" s="6" t="inlineStr">
        <is>
          <t>EBY</t>
        </is>
      </c>
      <c r="N235" s="6" t="inlineStr">
        <is>
          <t>OFFICIAL_PRIMARY</t>
        </is>
      </c>
      <c r="O235" s="9" t="inlineStr">
        <is>
          <t>OFFICIAL_AGGREGATE</t>
        </is>
      </c>
      <c r="P235" s="8" t="n">
        <v>1</v>
      </c>
      <c r="Q235" s="8" t="n">
        <v>50</v>
      </c>
      <c r="R235" s="7" t="inlineStr">
        <is>
          <t>https://www.eby.gov.py/wp-content/uploads/2019/12/YacyretaEnergiasMensualesDesdePuestaenMarcha.pdf</t>
        </is>
      </c>
      <c r="S235" s="6" t="inlineStr">
        <is>
          <t>EBY-MONTHLY-1994-2012</t>
        </is>
      </c>
      <c r="T235" s="6" t="inlineStr"/>
      <c r="U235" s="4" t="inlineStr">
        <is>
          <t>2026-09-10 23:00:00</t>
        </is>
      </c>
      <c r="V235" s="4" t="inlineStr">
        <is>
          <t>Energia mensual Yacyreta desde puesta en marcha.</t>
        </is>
      </c>
    </row>
    <row r="236">
      <c r="A236" s="6" t="inlineStr">
        <is>
          <t>R0000240</t>
        </is>
      </c>
      <c r="B236" s="6" t="inlineStr">
        <is>
          <t>1996-11-01</t>
        </is>
      </c>
      <c r="C236" s="6" t="inlineStr">
        <is>
          <t>1996-11-30</t>
        </is>
      </c>
      <c r="D236" s="6" t="inlineStr">
        <is>
          <t>month</t>
        </is>
      </c>
      <c r="E236" s="6" t="inlineStr">
        <is>
          <t>ENERGY_TO_ARGENTINA</t>
        </is>
      </c>
      <c r="F236" s="6" t="inlineStr">
        <is>
          <t>YACYRETA</t>
        </is>
      </c>
      <c r="G236" s="6" t="inlineStr">
        <is>
          <t>YACYRETA</t>
        </is>
      </c>
      <c r="H236" s="6" t="inlineStr">
        <is>
          <t>SADI</t>
        </is>
      </c>
      <c r="I236" s="8" t="n">
        <v>683510</v>
      </c>
      <c r="J236" s="6" t="inlineStr">
        <is>
          <t>MWh</t>
        </is>
      </c>
      <c r="K236" s="8" t="n">
        <v>683510</v>
      </c>
      <c r="L236" s="6" t="inlineStr">
        <is>
          <t>MWh</t>
        </is>
      </c>
      <c r="M236" s="6" t="inlineStr">
        <is>
          <t>EBY</t>
        </is>
      </c>
      <c r="N236" s="6" t="inlineStr">
        <is>
          <t>OFFICIAL_PRIMARY</t>
        </is>
      </c>
      <c r="O236" s="9" t="inlineStr">
        <is>
          <t>OFFICIAL_AGGREGATE</t>
        </is>
      </c>
      <c r="P236" s="8" t="n">
        <v>1</v>
      </c>
      <c r="Q236" s="8" t="n">
        <v>50</v>
      </c>
      <c r="R236" s="7" t="inlineStr">
        <is>
          <t>https://www.eby.gov.py/wp-content/uploads/2019/12/YacyretaEnergiasMensualesDesdePuestaenMarcha.pdf</t>
        </is>
      </c>
      <c r="S236" s="6" t="inlineStr">
        <is>
          <t>EBY-MONTHLY-1994-2012</t>
        </is>
      </c>
      <c r="T236" s="6" t="inlineStr"/>
      <c r="U236" s="4" t="inlineStr">
        <is>
          <t>2026-09-10 23:00:00</t>
        </is>
      </c>
      <c r="V236" s="4" t="inlineStr">
        <is>
          <t>Energia mensual entregada al SADI.</t>
        </is>
      </c>
    </row>
    <row r="237">
      <c r="A237" s="6" t="inlineStr">
        <is>
          <t>R0000241</t>
        </is>
      </c>
      <c r="B237" s="6" t="inlineStr">
        <is>
          <t>1996-11-01</t>
        </is>
      </c>
      <c r="C237" s="6" t="inlineStr">
        <is>
          <t>1996-11-30</t>
        </is>
      </c>
      <c r="D237" s="6" t="inlineStr">
        <is>
          <t>month</t>
        </is>
      </c>
      <c r="E237" s="6" t="inlineStr">
        <is>
          <t>ENERGY_TO_PY</t>
        </is>
      </c>
      <c r="F237" s="6" t="inlineStr">
        <is>
          <t>YACYRETA</t>
        </is>
      </c>
      <c r="G237" s="6" t="inlineStr">
        <is>
          <t>YACYRETA</t>
        </is>
      </c>
      <c r="H237" s="6" t="inlineStr">
        <is>
          <t>SINP</t>
        </is>
      </c>
      <c r="I237" s="8" t="n">
        <v>1269</v>
      </c>
      <c r="J237" s="6" t="inlineStr">
        <is>
          <t>MWh</t>
        </is>
      </c>
      <c r="K237" s="8" t="n">
        <v>1269</v>
      </c>
      <c r="L237" s="6" t="inlineStr">
        <is>
          <t>MWh</t>
        </is>
      </c>
      <c r="M237" s="6" t="inlineStr">
        <is>
          <t>EBY</t>
        </is>
      </c>
      <c r="N237" s="6" t="inlineStr">
        <is>
          <t>OFFICIAL_PRIMARY</t>
        </is>
      </c>
      <c r="O237" s="9" t="inlineStr">
        <is>
          <t>OFFICIAL_AGGREGATE</t>
        </is>
      </c>
      <c r="P237" s="8" t="n">
        <v>1</v>
      </c>
      <c r="Q237" s="8" t="n">
        <v>50</v>
      </c>
      <c r="R237" s="7" t="inlineStr">
        <is>
          <t>https://www.eby.gov.py/wp-content/uploads/2019/12/YacyretaEnergiasMensualesDesdePuestaenMarcha.pdf</t>
        </is>
      </c>
      <c r="S237" s="6" t="inlineStr">
        <is>
          <t>EBY-MONTHLY-1994-2012</t>
        </is>
      </c>
      <c r="T237" s="6" t="inlineStr"/>
      <c r="U237" s="4" t="inlineStr">
        <is>
          <t>2026-09-10 23:00:00</t>
        </is>
      </c>
      <c r="V237" s="4" t="inlineStr">
        <is>
          <t>Energia mensual entregada al SINP.</t>
        </is>
      </c>
    </row>
    <row r="238">
      <c r="A238" s="6" t="inlineStr">
        <is>
          <t>R0000242</t>
        </is>
      </c>
      <c r="B238" s="6" t="inlineStr">
        <is>
          <t>1996-12-01</t>
        </is>
      </c>
      <c r="C238" s="6" t="inlineStr">
        <is>
          <t>1996-12-31</t>
        </is>
      </c>
      <c r="D238" s="6" t="inlineStr">
        <is>
          <t>month</t>
        </is>
      </c>
      <c r="E238" s="6" t="inlineStr">
        <is>
          <t>YACYRETA_NET_ENERGY</t>
        </is>
      </c>
      <c r="F238" s="6" t="inlineStr">
        <is>
          <t>YACYRETA</t>
        </is>
      </c>
      <c r="G238" s="6" t="inlineStr">
        <is>
          <t>YACYRETA</t>
        </is>
      </c>
      <c r="H238" s="6" t="inlineStr">
        <is>
          <t>TOTAL</t>
        </is>
      </c>
      <c r="I238" s="8" t="n">
        <v>719896</v>
      </c>
      <c r="J238" s="6" t="inlineStr">
        <is>
          <t>MWh</t>
        </is>
      </c>
      <c r="K238" s="8" t="n">
        <v>719896</v>
      </c>
      <c r="L238" s="6" t="inlineStr">
        <is>
          <t>MWh</t>
        </is>
      </c>
      <c r="M238" s="6" t="inlineStr">
        <is>
          <t>EBY</t>
        </is>
      </c>
      <c r="N238" s="6" t="inlineStr">
        <is>
          <t>OFFICIAL_PRIMARY</t>
        </is>
      </c>
      <c r="O238" s="9" t="inlineStr">
        <is>
          <t>OFFICIAL_AGGREGATE</t>
        </is>
      </c>
      <c r="P238" s="8" t="n">
        <v>1</v>
      </c>
      <c r="Q238" s="8" t="n">
        <v>50</v>
      </c>
      <c r="R238" s="7" t="inlineStr">
        <is>
          <t>https://www.eby.gov.py/wp-content/uploads/2019/12/YacyretaEnergiasMensualesDesdePuestaenMarcha.pdf</t>
        </is>
      </c>
      <c r="S238" s="6" t="inlineStr">
        <is>
          <t>EBY-MONTHLY-1994-2012</t>
        </is>
      </c>
      <c r="T238" s="6" t="inlineStr"/>
      <c r="U238" s="4" t="inlineStr">
        <is>
          <t>2026-09-10 23:00:00</t>
        </is>
      </c>
      <c r="V238" s="4" t="inlineStr">
        <is>
          <t>Energia mensual Yacyreta desde puesta en marcha.</t>
        </is>
      </c>
    </row>
    <row r="239">
      <c r="A239" s="6" t="inlineStr">
        <is>
          <t>R0000243</t>
        </is>
      </c>
      <c r="B239" s="6" t="inlineStr">
        <is>
          <t>1996-12-01</t>
        </is>
      </c>
      <c r="C239" s="6" t="inlineStr">
        <is>
          <t>1996-12-31</t>
        </is>
      </c>
      <c r="D239" s="6" t="inlineStr">
        <is>
          <t>month</t>
        </is>
      </c>
      <c r="E239" s="6" t="inlineStr">
        <is>
          <t>ENERGY_TO_ARGENTINA</t>
        </is>
      </c>
      <c r="F239" s="6" t="inlineStr">
        <is>
          <t>YACYRETA</t>
        </is>
      </c>
      <c r="G239" s="6" t="inlineStr">
        <is>
          <t>YACYRETA</t>
        </is>
      </c>
      <c r="H239" s="6" t="inlineStr">
        <is>
          <t>SADI</t>
        </is>
      </c>
      <c r="I239" s="8" t="n">
        <v>719896</v>
      </c>
      <c r="J239" s="6" t="inlineStr">
        <is>
          <t>MWh</t>
        </is>
      </c>
      <c r="K239" s="8" t="n">
        <v>719896</v>
      </c>
      <c r="L239" s="6" t="inlineStr">
        <is>
          <t>MWh</t>
        </is>
      </c>
      <c r="M239" s="6" t="inlineStr">
        <is>
          <t>EBY</t>
        </is>
      </c>
      <c r="N239" s="6" t="inlineStr">
        <is>
          <t>OFFICIAL_PRIMARY</t>
        </is>
      </c>
      <c r="O239" s="9" t="inlineStr">
        <is>
          <t>OFFICIAL_AGGREGATE</t>
        </is>
      </c>
      <c r="P239" s="8" t="n">
        <v>1</v>
      </c>
      <c r="Q239" s="8" t="n">
        <v>50</v>
      </c>
      <c r="R239" s="7" t="inlineStr">
        <is>
          <t>https://www.eby.gov.py/wp-content/uploads/2019/12/YacyretaEnergiasMensualesDesdePuestaenMarcha.pdf</t>
        </is>
      </c>
      <c r="S239" s="6" t="inlineStr">
        <is>
          <t>EBY-MONTHLY-1994-2012</t>
        </is>
      </c>
      <c r="T239" s="6" t="inlineStr"/>
      <c r="U239" s="4" t="inlineStr">
        <is>
          <t>2026-09-10 23:00:00</t>
        </is>
      </c>
      <c r="V239" s="4" t="inlineStr">
        <is>
          <t>Energia mensual entregada al SADI.</t>
        </is>
      </c>
    </row>
    <row r="240">
      <c r="A240" s="6" t="inlineStr">
        <is>
          <t>R0000244</t>
        </is>
      </c>
      <c r="B240" s="6" t="inlineStr">
        <is>
          <t>1996-12-01</t>
        </is>
      </c>
      <c r="C240" s="6" t="inlineStr">
        <is>
          <t>1996-12-31</t>
        </is>
      </c>
      <c r="D240" s="6" t="inlineStr">
        <is>
          <t>month</t>
        </is>
      </c>
      <c r="E240" s="6" t="inlineStr">
        <is>
          <t>ENERGY_TO_PY</t>
        </is>
      </c>
      <c r="F240" s="6" t="inlineStr">
        <is>
          <t>YACYRETA</t>
        </is>
      </c>
      <c r="G240" s="6" t="inlineStr">
        <is>
          <t>YACYRETA</t>
        </is>
      </c>
      <c r="H240" s="6" t="inlineStr">
        <is>
          <t>SINP</t>
        </is>
      </c>
      <c r="I240" s="8" t="n">
        <v>0</v>
      </c>
      <c r="J240" s="6" t="inlineStr">
        <is>
          <t>MWh</t>
        </is>
      </c>
      <c r="K240" s="8" t="n">
        <v>0</v>
      </c>
      <c r="L240" s="6" t="inlineStr">
        <is>
          <t>MWh</t>
        </is>
      </c>
      <c r="M240" s="6" t="inlineStr">
        <is>
          <t>EBY</t>
        </is>
      </c>
      <c r="N240" s="6" t="inlineStr">
        <is>
          <t>OFFICIAL_PRIMARY</t>
        </is>
      </c>
      <c r="O240" s="9" t="inlineStr">
        <is>
          <t>OFFICIAL_AGGREGATE</t>
        </is>
      </c>
      <c r="P240" s="8" t="n">
        <v>1</v>
      </c>
      <c r="Q240" s="8" t="n">
        <v>50</v>
      </c>
      <c r="R240" s="7" t="inlineStr">
        <is>
          <t>https://www.eby.gov.py/wp-content/uploads/2019/12/YacyretaEnergiasMensualesDesdePuestaenMarcha.pdf</t>
        </is>
      </c>
      <c r="S240" s="6" t="inlineStr">
        <is>
          <t>EBY-MONTHLY-1994-2012</t>
        </is>
      </c>
      <c r="T240" s="6" t="inlineStr"/>
      <c r="U240" s="4" t="inlineStr">
        <is>
          <t>2026-09-10 23:00:00</t>
        </is>
      </c>
      <c r="V240" s="4" t="inlineStr">
        <is>
          <t>Energia mensual entregada al SINP.</t>
        </is>
      </c>
    </row>
    <row r="241">
      <c r="A241" s="6" t="inlineStr">
        <is>
          <t>R0000245</t>
        </is>
      </c>
      <c r="B241" s="6" t="inlineStr">
        <is>
          <t>1997-01-01</t>
        </is>
      </c>
      <c r="C241" s="6" t="inlineStr">
        <is>
          <t>1997-01-31</t>
        </is>
      </c>
      <c r="D241" s="6" t="inlineStr">
        <is>
          <t>month</t>
        </is>
      </c>
      <c r="E241" s="6" t="inlineStr">
        <is>
          <t>YACYRETA_NET_ENERGY</t>
        </is>
      </c>
      <c r="F241" s="6" t="inlineStr">
        <is>
          <t>YACYRETA</t>
        </is>
      </c>
      <c r="G241" s="6" t="inlineStr">
        <is>
          <t>YACYRETA</t>
        </is>
      </c>
      <c r="H241" s="6" t="inlineStr">
        <is>
          <t>TOTAL</t>
        </is>
      </c>
      <c r="I241" s="8" t="n">
        <v>695640</v>
      </c>
      <c r="J241" s="6" t="inlineStr">
        <is>
          <t>MWh</t>
        </is>
      </c>
      <c r="K241" s="8" t="n">
        <v>695640</v>
      </c>
      <c r="L241" s="6" t="inlineStr">
        <is>
          <t>MWh</t>
        </is>
      </c>
      <c r="M241" s="6" t="inlineStr">
        <is>
          <t>EBY</t>
        </is>
      </c>
      <c r="N241" s="6" t="inlineStr">
        <is>
          <t>OFFICIAL_PRIMARY</t>
        </is>
      </c>
      <c r="O241" s="9" t="inlineStr">
        <is>
          <t>OFFICIAL_AGGREGATE</t>
        </is>
      </c>
      <c r="P241" s="8" t="n">
        <v>1</v>
      </c>
      <c r="Q241" s="8" t="n">
        <v>50</v>
      </c>
      <c r="R241" s="7" t="inlineStr">
        <is>
          <t>https://www.eby.gov.py/wp-content/uploads/2019/12/YacyretaEnergiasMensualesDesdePuestaenMarcha.pdf</t>
        </is>
      </c>
      <c r="S241" s="6" t="inlineStr">
        <is>
          <t>EBY-MONTHLY-1994-2012</t>
        </is>
      </c>
      <c r="T241" s="6" t="inlineStr"/>
      <c r="U241" s="4" t="inlineStr">
        <is>
          <t>2026-09-10 23:00:00</t>
        </is>
      </c>
      <c r="V241" s="4" t="inlineStr">
        <is>
          <t>Energia mensual Yacyreta desde puesta en marcha.</t>
        </is>
      </c>
    </row>
    <row r="242">
      <c r="A242" s="6" t="inlineStr">
        <is>
          <t>R0000246</t>
        </is>
      </c>
      <c r="B242" s="6" t="inlineStr">
        <is>
          <t>1997-01-01</t>
        </is>
      </c>
      <c r="C242" s="6" t="inlineStr">
        <is>
          <t>1997-01-31</t>
        </is>
      </c>
      <c r="D242" s="6" t="inlineStr">
        <is>
          <t>month</t>
        </is>
      </c>
      <c r="E242" s="6" t="inlineStr">
        <is>
          <t>ENERGY_TO_ARGENTINA</t>
        </is>
      </c>
      <c r="F242" s="6" t="inlineStr">
        <is>
          <t>YACYRETA</t>
        </is>
      </c>
      <c r="G242" s="6" t="inlineStr">
        <is>
          <t>YACYRETA</t>
        </is>
      </c>
      <c r="H242" s="6" t="inlineStr">
        <is>
          <t>SADI</t>
        </is>
      </c>
      <c r="I242" s="8" t="n">
        <v>660696</v>
      </c>
      <c r="J242" s="6" t="inlineStr">
        <is>
          <t>MWh</t>
        </is>
      </c>
      <c r="K242" s="8" t="n">
        <v>660696</v>
      </c>
      <c r="L242" s="6" t="inlineStr">
        <is>
          <t>MWh</t>
        </is>
      </c>
      <c r="M242" s="6" t="inlineStr">
        <is>
          <t>EBY</t>
        </is>
      </c>
      <c r="N242" s="6" t="inlineStr">
        <is>
          <t>OFFICIAL_PRIMARY</t>
        </is>
      </c>
      <c r="O242" s="9" t="inlineStr">
        <is>
          <t>OFFICIAL_AGGREGATE</t>
        </is>
      </c>
      <c r="P242" s="8" t="n">
        <v>1</v>
      </c>
      <c r="Q242" s="8" t="n">
        <v>50</v>
      </c>
      <c r="R242" s="7" t="inlineStr">
        <is>
          <t>https://www.eby.gov.py/wp-content/uploads/2019/12/YacyretaEnergiasMensualesDesdePuestaenMarcha.pdf</t>
        </is>
      </c>
      <c r="S242" s="6" t="inlineStr">
        <is>
          <t>EBY-MONTHLY-1994-2012</t>
        </is>
      </c>
      <c r="T242" s="6" t="inlineStr"/>
      <c r="U242" s="4" t="inlineStr">
        <is>
          <t>2026-09-10 23:00:00</t>
        </is>
      </c>
      <c r="V242" s="4" t="inlineStr">
        <is>
          <t>Energia mensual entregada al SADI.</t>
        </is>
      </c>
    </row>
    <row r="243">
      <c r="A243" s="6" t="inlineStr">
        <is>
          <t>R0000247</t>
        </is>
      </c>
      <c r="B243" s="6" t="inlineStr">
        <is>
          <t>1997-01-01</t>
        </is>
      </c>
      <c r="C243" s="6" t="inlineStr">
        <is>
          <t>1997-01-31</t>
        </is>
      </c>
      <c r="D243" s="6" t="inlineStr">
        <is>
          <t>month</t>
        </is>
      </c>
      <c r="E243" s="6" t="inlineStr">
        <is>
          <t>ENERGY_TO_PY</t>
        </is>
      </c>
      <c r="F243" s="6" t="inlineStr">
        <is>
          <t>YACYRETA</t>
        </is>
      </c>
      <c r="G243" s="6" t="inlineStr">
        <is>
          <t>YACYRETA</t>
        </is>
      </c>
      <c r="H243" s="6" t="inlineStr">
        <is>
          <t>SINP</t>
        </is>
      </c>
      <c r="I243" s="8" t="n">
        <v>34944</v>
      </c>
      <c r="J243" s="6" t="inlineStr">
        <is>
          <t>MWh</t>
        </is>
      </c>
      <c r="K243" s="8" t="n">
        <v>34944</v>
      </c>
      <c r="L243" s="6" t="inlineStr">
        <is>
          <t>MWh</t>
        </is>
      </c>
      <c r="M243" s="6" t="inlineStr">
        <is>
          <t>EBY</t>
        </is>
      </c>
      <c r="N243" s="6" t="inlineStr">
        <is>
          <t>OFFICIAL_PRIMARY</t>
        </is>
      </c>
      <c r="O243" s="9" t="inlineStr">
        <is>
          <t>OFFICIAL_AGGREGATE</t>
        </is>
      </c>
      <c r="P243" s="8" t="n">
        <v>1</v>
      </c>
      <c r="Q243" s="8" t="n">
        <v>50</v>
      </c>
      <c r="R243" s="7" t="inlineStr">
        <is>
          <t>https://www.eby.gov.py/wp-content/uploads/2019/12/YacyretaEnergiasMensualesDesdePuestaenMarcha.pdf</t>
        </is>
      </c>
      <c r="S243" s="6" t="inlineStr">
        <is>
          <t>EBY-MONTHLY-1994-2012</t>
        </is>
      </c>
      <c r="T243" s="6" t="inlineStr"/>
      <c r="U243" s="4" t="inlineStr">
        <is>
          <t>2026-09-10 23:00:00</t>
        </is>
      </c>
      <c r="V243" s="4" t="inlineStr">
        <is>
          <t>Energia mensual entregada al SINP.</t>
        </is>
      </c>
    </row>
    <row r="244">
      <c r="A244" s="6" t="inlineStr">
        <is>
          <t>R0000248</t>
        </is>
      </c>
      <c r="B244" s="6" t="inlineStr">
        <is>
          <t>1997-02-01</t>
        </is>
      </c>
      <c r="C244" s="6" t="inlineStr">
        <is>
          <t>1997-02-28</t>
        </is>
      </c>
      <c r="D244" s="6" t="inlineStr">
        <is>
          <t>month</t>
        </is>
      </c>
      <c r="E244" s="6" t="inlineStr">
        <is>
          <t>YACYRETA_NET_ENERGY</t>
        </is>
      </c>
      <c r="F244" s="6" t="inlineStr">
        <is>
          <t>YACYRETA</t>
        </is>
      </c>
      <c r="G244" s="6" t="inlineStr">
        <is>
          <t>YACYRETA</t>
        </is>
      </c>
      <c r="H244" s="6" t="inlineStr">
        <is>
          <t>TOTAL</t>
        </is>
      </c>
      <c r="I244" s="8" t="n">
        <v>478448</v>
      </c>
      <c r="J244" s="6" t="inlineStr">
        <is>
          <t>MWh</t>
        </is>
      </c>
      <c r="K244" s="8" t="n">
        <v>478448</v>
      </c>
      <c r="L244" s="6" t="inlineStr">
        <is>
          <t>MWh</t>
        </is>
      </c>
      <c r="M244" s="6" t="inlineStr">
        <is>
          <t>EBY</t>
        </is>
      </c>
      <c r="N244" s="6" t="inlineStr">
        <is>
          <t>OFFICIAL_PRIMARY</t>
        </is>
      </c>
      <c r="O244" s="9" t="inlineStr">
        <is>
          <t>OFFICIAL_AGGREGATE</t>
        </is>
      </c>
      <c r="P244" s="8" t="n">
        <v>1</v>
      </c>
      <c r="Q244" s="8" t="n">
        <v>50</v>
      </c>
      <c r="R244" s="7" t="inlineStr">
        <is>
          <t>https://www.eby.gov.py/wp-content/uploads/2019/12/YacyretaEnergiasMensualesDesdePuestaenMarcha.pdf</t>
        </is>
      </c>
      <c r="S244" s="6" t="inlineStr">
        <is>
          <t>EBY-MONTHLY-1994-2012</t>
        </is>
      </c>
      <c r="T244" s="6" t="inlineStr"/>
      <c r="U244" s="4" t="inlineStr">
        <is>
          <t>2026-09-10 23:00:00</t>
        </is>
      </c>
      <c r="V244" s="4" t="inlineStr">
        <is>
          <t>Energia mensual Yacyreta desde puesta en marcha.</t>
        </is>
      </c>
    </row>
    <row r="245">
      <c r="A245" s="6" t="inlineStr">
        <is>
          <t>R0000249</t>
        </is>
      </c>
      <c r="B245" s="6" t="inlineStr">
        <is>
          <t>1997-02-01</t>
        </is>
      </c>
      <c r="C245" s="6" t="inlineStr">
        <is>
          <t>1997-02-28</t>
        </is>
      </c>
      <c r="D245" s="6" t="inlineStr">
        <is>
          <t>month</t>
        </is>
      </c>
      <c r="E245" s="6" t="inlineStr">
        <is>
          <t>ENERGY_TO_ARGENTINA</t>
        </is>
      </c>
      <c r="F245" s="6" t="inlineStr">
        <is>
          <t>YACYRETA</t>
        </is>
      </c>
      <c r="G245" s="6" t="inlineStr">
        <is>
          <t>YACYRETA</t>
        </is>
      </c>
      <c r="H245" s="6" t="inlineStr">
        <is>
          <t>SADI</t>
        </is>
      </c>
      <c r="I245" s="8" t="n">
        <v>452618</v>
      </c>
      <c r="J245" s="6" t="inlineStr">
        <is>
          <t>MWh</t>
        </is>
      </c>
      <c r="K245" s="8" t="n">
        <v>452618</v>
      </c>
      <c r="L245" s="6" t="inlineStr">
        <is>
          <t>MWh</t>
        </is>
      </c>
      <c r="M245" s="6" t="inlineStr">
        <is>
          <t>EBY</t>
        </is>
      </c>
      <c r="N245" s="6" t="inlineStr">
        <is>
          <t>OFFICIAL_PRIMARY</t>
        </is>
      </c>
      <c r="O245" s="9" t="inlineStr">
        <is>
          <t>OFFICIAL_AGGREGATE</t>
        </is>
      </c>
      <c r="P245" s="8" t="n">
        <v>1</v>
      </c>
      <c r="Q245" s="8" t="n">
        <v>50</v>
      </c>
      <c r="R245" s="7" t="inlineStr">
        <is>
          <t>https://www.eby.gov.py/wp-content/uploads/2019/12/YacyretaEnergiasMensualesDesdePuestaenMarcha.pdf</t>
        </is>
      </c>
      <c r="S245" s="6" t="inlineStr">
        <is>
          <t>EBY-MONTHLY-1994-2012</t>
        </is>
      </c>
      <c r="T245" s="6" t="inlineStr"/>
      <c r="U245" s="4" t="inlineStr">
        <is>
          <t>2026-09-10 23:00:00</t>
        </is>
      </c>
      <c r="V245" s="4" t="inlineStr">
        <is>
          <t>Energia mensual entregada al SADI.</t>
        </is>
      </c>
    </row>
    <row r="246">
      <c r="A246" s="6" t="inlineStr">
        <is>
          <t>R0000250</t>
        </is>
      </c>
      <c r="B246" s="6" t="inlineStr">
        <is>
          <t>1997-02-01</t>
        </is>
      </c>
      <c r="C246" s="6" t="inlineStr">
        <is>
          <t>1997-02-28</t>
        </is>
      </c>
      <c r="D246" s="6" t="inlineStr">
        <is>
          <t>month</t>
        </is>
      </c>
      <c r="E246" s="6" t="inlineStr">
        <is>
          <t>ENERGY_TO_PY</t>
        </is>
      </c>
      <c r="F246" s="6" t="inlineStr">
        <is>
          <t>YACYRETA</t>
        </is>
      </c>
      <c r="G246" s="6" t="inlineStr">
        <is>
          <t>YACYRETA</t>
        </is>
      </c>
      <c r="H246" s="6" t="inlineStr">
        <is>
          <t>SINP</t>
        </is>
      </c>
      <c r="I246" s="8" t="n">
        <v>25830</v>
      </c>
      <c r="J246" s="6" t="inlineStr">
        <is>
          <t>MWh</t>
        </is>
      </c>
      <c r="K246" s="8" t="n">
        <v>25830</v>
      </c>
      <c r="L246" s="6" t="inlineStr">
        <is>
          <t>MWh</t>
        </is>
      </c>
      <c r="M246" s="6" t="inlineStr">
        <is>
          <t>EBY</t>
        </is>
      </c>
      <c r="N246" s="6" t="inlineStr">
        <is>
          <t>OFFICIAL_PRIMARY</t>
        </is>
      </c>
      <c r="O246" s="9" t="inlineStr">
        <is>
          <t>OFFICIAL_AGGREGATE</t>
        </is>
      </c>
      <c r="P246" s="8" t="n">
        <v>1</v>
      </c>
      <c r="Q246" s="8" t="n">
        <v>50</v>
      </c>
      <c r="R246" s="7" t="inlineStr">
        <is>
          <t>https://www.eby.gov.py/wp-content/uploads/2019/12/YacyretaEnergiasMensualesDesdePuestaenMarcha.pdf</t>
        </is>
      </c>
      <c r="S246" s="6" t="inlineStr">
        <is>
          <t>EBY-MONTHLY-1994-2012</t>
        </is>
      </c>
      <c r="T246" s="6" t="inlineStr"/>
      <c r="U246" s="4" t="inlineStr">
        <is>
          <t>2026-09-10 23:00:00</t>
        </is>
      </c>
      <c r="V246" s="4" t="inlineStr">
        <is>
          <t>Energia mensual entregada al SINP.</t>
        </is>
      </c>
    </row>
    <row r="247">
      <c r="A247" s="6" t="inlineStr">
        <is>
          <t>R0000251</t>
        </is>
      </c>
      <c r="B247" s="6" t="inlineStr">
        <is>
          <t>1997-03-01</t>
        </is>
      </c>
      <c r="C247" s="6" t="inlineStr">
        <is>
          <t>1997-03-31</t>
        </is>
      </c>
      <c r="D247" s="6" t="inlineStr">
        <is>
          <t>month</t>
        </is>
      </c>
      <c r="E247" s="6" t="inlineStr">
        <is>
          <t>YACYRETA_NET_ENERGY</t>
        </is>
      </c>
      <c r="F247" s="6" t="inlineStr">
        <is>
          <t>YACYRETA</t>
        </is>
      </c>
      <c r="G247" s="6" t="inlineStr">
        <is>
          <t>YACYRETA</t>
        </is>
      </c>
      <c r="H247" s="6" t="inlineStr">
        <is>
          <t>TOTAL</t>
        </is>
      </c>
      <c r="I247" s="8" t="n">
        <v>853970</v>
      </c>
      <c r="J247" s="6" t="inlineStr">
        <is>
          <t>MWh</t>
        </is>
      </c>
      <c r="K247" s="8" t="n">
        <v>853970</v>
      </c>
      <c r="L247" s="6" t="inlineStr">
        <is>
          <t>MWh</t>
        </is>
      </c>
      <c r="M247" s="6" t="inlineStr">
        <is>
          <t>EBY</t>
        </is>
      </c>
      <c r="N247" s="6" t="inlineStr">
        <is>
          <t>OFFICIAL_PRIMARY</t>
        </is>
      </c>
      <c r="O247" s="9" t="inlineStr">
        <is>
          <t>OFFICIAL_AGGREGATE</t>
        </is>
      </c>
      <c r="P247" s="8" t="n">
        <v>1</v>
      </c>
      <c r="Q247" s="8" t="n">
        <v>50</v>
      </c>
      <c r="R247" s="7" t="inlineStr">
        <is>
          <t>https://www.eby.gov.py/wp-content/uploads/2019/12/YacyretaEnergiasMensualesDesdePuestaenMarcha.pdf</t>
        </is>
      </c>
      <c r="S247" s="6" t="inlineStr">
        <is>
          <t>EBY-MONTHLY-1994-2012</t>
        </is>
      </c>
      <c r="T247" s="6" t="inlineStr"/>
      <c r="U247" s="4" t="inlineStr">
        <is>
          <t>2026-09-10 23:00:00</t>
        </is>
      </c>
      <c r="V247" s="4" t="inlineStr">
        <is>
          <t>Energia mensual Yacyreta desde puesta en marcha.</t>
        </is>
      </c>
    </row>
    <row r="248">
      <c r="A248" s="6" t="inlineStr">
        <is>
          <t>R0000252</t>
        </is>
      </c>
      <c r="B248" s="6" t="inlineStr">
        <is>
          <t>1997-03-01</t>
        </is>
      </c>
      <c r="C248" s="6" t="inlineStr">
        <is>
          <t>1997-03-31</t>
        </is>
      </c>
      <c r="D248" s="6" t="inlineStr">
        <is>
          <t>month</t>
        </is>
      </c>
      <c r="E248" s="6" t="inlineStr">
        <is>
          <t>ENERGY_TO_ARGENTINA</t>
        </is>
      </c>
      <c r="F248" s="6" t="inlineStr">
        <is>
          <t>YACYRETA</t>
        </is>
      </c>
      <c r="G248" s="6" t="inlineStr">
        <is>
          <t>YACYRETA</t>
        </is>
      </c>
      <c r="H248" s="6" t="inlineStr">
        <is>
          <t>SADI</t>
        </is>
      </c>
      <c r="I248" s="8" t="n">
        <v>834124</v>
      </c>
      <c r="J248" s="6" t="inlineStr">
        <is>
          <t>MWh</t>
        </is>
      </c>
      <c r="K248" s="8" t="n">
        <v>834124</v>
      </c>
      <c r="L248" s="6" t="inlineStr">
        <is>
          <t>MWh</t>
        </is>
      </c>
      <c r="M248" s="6" t="inlineStr">
        <is>
          <t>EBY</t>
        </is>
      </c>
      <c r="N248" s="6" t="inlineStr">
        <is>
          <t>OFFICIAL_PRIMARY</t>
        </is>
      </c>
      <c r="O248" s="9" t="inlineStr">
        <is>
          <t>OFFICIAL_AGGREGATE</t>
        </is>
      </c>
      <c r="P248" s="8" t="n">
        <v>1</v>
      </c>
      <c r="Q248" s="8" t="n">
        <v>50</v>
      </c>
      <c r="R248" s="7" t="inlineStr">
        <is>
          <t>https://www.eby.gov.py/wp-content/uploads/2019/12/YacyretaEnergiasMensualesDesdePuestaenMarcha.pdf</t>
        </is>
      </c>
      <c r="S248" s="6" t="inlineStr">
        <is>
          <t>EBY-MONTHLY-1994-2012</t>
        </is>
      </c>
      <c r="T248" s="6" t="inlineStr"/>
      <c r="U248" s="4" t="inlineStr">
        <is>
          <t>2026-09-10 23:00:00</t>
        </is>
      </c>
      <c r="V248" s="4" t="inlineStr">
        <is>
          <t>Energia mensual entregada al SADI.</t>
        </is>
      </c>
    </row>
    <row r="249">
      <c r="A249" s="6" t="inlineStr">
        <is>
          <t>R0000253</t>
        </is>
      </c>
      <c r="B249" s="6" t="inlineStr">
        <is>
          <t>1997-03-01</t>
        </is>
      </c>
      <c r="C249" s="6" t="inlineStr">
        <is>
          <t>1997-03-31</t>
        </is>
      </c>
      <c r="D249" s="6" t="inlineStr">
        <is>
          <t>month</t>
        </is>
      </c>
      <c r="E249" s="6" t="inlineStr">
        <is>
          <t>ENERGY_TO_PY</t>
        </is>
      </c>
      <c r="F249" s="6" t="inlineStr">
        <is>
          <t>YACYRETA</t>
        </is>
      </c>
      <c r="G249" s="6" t="inlineStr">
        <is>
          <t>YACYRETA</t>
        </is>
      </c>
      <c r="H249" s="6" t="inlineStr">
        <is>
          <t>SINP</t>
        </is>
      </c>
      <c r="I249" s="8" t="n">
        <v>19846</v>
      </c>
      <c r="J249" s="6" t="inlineStr">
        <is>
          <t>MWh</t>
        </is>
      </c>
      <c r="K249" s="8" t="n">
        <v>19846</v>
      </c>
      <c r="L249" s="6" t="inlineStr">
        <is>
          <t>MWh</t>
        </is>
      </c>
      <c r="M249" s="6" t="inlineStr">
        <is>
          <t>EBY</t>
        </is>
      </c>
      <c r="N249" s="6" t="inlineStr">
        <is>
          <t>OFFICIAL_PRIMARY</t>
        </is>
      </c>
      <c r="O249" s="9" t="inlineStr">
        <is>
          <t>OFFICIAL_AGGREGATE</t>
        </is>
      </c>
      <c r="P249" s="8" t="n">
        <v>1</v>
      </c>
      <c r="Q249" s="8" t="n">
        <v>50</v>
      </c>
      <c r="R249" s="7" t="inlineStr">
        <is>
          <t>https://www.eby.gov.py/wp-content/uploads/2019/12/YacyretaEnergiasMensualesDesdePuestaenMarcha.pdf</t>
        </is>
      </c>
      <c r="S249" s="6" t="inlineStr">
        <is>
          <t>EBY-MONTHLY-1994-2012</t>
        </is>
      </c>
      <c r="T249" s="6" t="inlineStr"/>
      <c r="U249" s="4" t="inlineStr">
        <is>
          <t>2026-09-10 23:00:00</t>
        </is>
      </c>
      <c r="V249" s="4" t="inlineStr">
        <is>
          <t>Energia mensual entregada al SINP.</t>
        </is>
      </c>
    </row>
    <row r="250">
      <c r="A250" s="6" t="inlineStr">
        <is>
          <t>R0000254</t>
        </is>
      </c>
      <c r="B250" s="6" t="inlineStr">
        <is>
          <t>1997-04-01</t>
        </is>
      </c>
      <c r="C250" s="6" t="inlineStr">
        <is>
          <t>1997-04-30</t>
        </is>
      </c>
      <c r="D250" s="6" t="inlineStr">
        <is>
          <t>month</t>
        </is>
      </c>
      <c r="E250" s="6" t="inlineStr">
        <is>
          <t>YACYRETA_NET_ENERGY</t>
        </is>
      </c>
      <c r="F250" s="6" t="inlineStr">
        <is>
          <t>YACYRETA</t>
        </is>
      </c>
      <c r="G250" s="6" t="inlineStr">
        <is>
          <t>YACYRETA</t>
        </is>
      </c>
      <c r="H250" s="6" t="inlineStr">
        <is>
          <t>TOTAL</t>
        </is>
      </c>
      <c r="I250" s="8" t="n">
        <v>849365</v>
      </c>
      <c r="J250" s="6" t="inlineStr">
        <is>
          <t>MWh</t>
        </is>
      </c>
      <c r="K250" s="8" t="n">
        <v>849365</v>
      </c>
      <c r="L250" s="6" t="inlineStr">
        <is>
          <t>MWh</t>
        </is>
      </c>
      <c r="M250" s="6" t="inlineStr">
        <is>
          <t>EBY</t>
        </is>
      </c>
      <c r="N250" s="6" t="inlineStr">
        <is>
          <t>OFFICIAL_PRIMARY</t>
        </is>
      </c>
      <c r="O250" s="9" t="inlineStr">
        <is>
          <t>OFFICIAL_AGGREGATE</t>
        </is>
      </c>
      <c r="P250" s="8" t="n">
        <v>1</v>
      </c>
      <c r="Q250" s="8" t="n">
        <v>50</v>
      </c>
      <c r="R250" s="7" t="inlineStr">
        <is>
          <t>https://www.eby.gov.py/wp-content/uploads/2019/12/YacyretaEnergiasMensualesDesdePuestaenMarcha.pdf</t>
        </is>
      </c>
      <c r="S250" s="6" t="inlineStr">
        <is>
          <t>EBY-MONTHLY-1994-2012</t>
        </is>
      </c>
      <c r="T250" s="6" t="inlineStr"/>
      <c r="U250" s="4" t="inlineStr">
        <is>
          <t>2026-09-10 23:00:00</t>
        </is>
      </c>
      <c r="V250" s="4" t="inlineStr">
        <is>
          <t>Energia mensual Yacyreta desde puesta en marcha.</t>
        </is>
      </c>
    </row>
    <row r="251">
      <c r="A251" s="6" t="inlineStr">
        <is>
          <t>R0000255</t>
        </is>
      </c>
      <c r="B251" s="6" t="inlineStr">
        <is>
          <t>1997-04-01</t>
        </is>
      </c>
      <c r="C251" s="6" t="inlineStr">
        <is>
          <t>1997-04-30</t>
        </is>
      </c>
      <c r="D251" s="6" t="inlineStr">
        <is>
          <t>month</t>
        </is>
      </c>
      <c r="E251" s="6" t="inlineStr">
        <is>
          <t>ENERGY_TO_ARGENTINA</t>
        </is>
      </c>
      <c r="F251" s="6" t="inlineStr">
        <is>
          <t>YACYRETA</t>
        </is>
      </c>
      <c r="G251" s="6" t="inlineStr">
        <is>
          <t>YACYRETA</t>
        </is>
      </c>
      <c r="H251" s="6" t="inlineStr">
        <is>
          <t>SADI</t>
        </is>
      </c>
      <c r="I251" s="8" t="n">
        <v>823118</v>
      </c>
      <c r="J251" s="6" t="inlineStr">
        <is>
          <t>MWh</t>
        </is>
      </c>
      <c r="K251" s="8" t="n">
        <v>823118</v>
      </c>
      <c r="L251" s="6" t="inlineStr">
        <is>
          <t>MWh</t>
        </is>
      </c>
      <c r="M251" s="6" t="inlineStr">
        <is>
          <t>EBY</t>
        </is>
      </c>
      <c r="N251" s="6" t="inlineStr">
        <is>
          <t>OFFICIAL_PRIMARY</t>
        </is>
      </c>
      <c r="O251" s="9" t="inlineStr">
        <is>
          <t>OFFICIAL_AGGREGATE</t>
        </is>
      </c>
      <c r="P251" s="8" t="n">
        <v>1</v>
      </c>
      <c r="Q251" s="8" t="n">
        <v>50</v>
      </c>
      <c r="R251" s="7" t="inlineStr">
        <is>
          <t>https://www.eby.gov.py/wp-content/uploads/2019/12/YacyretaEnergiasMensualesDesdePuestaenMarcha.pdf</t>
        </is>
      </c>
      <c r="S251" s="6" t="inlineStr">
        <is>
          <t>EBY-MONTHLY-1994-2012</t>
        </is>
      </c>
      <c r="T251" s="6" t="inlineStr"/>
      <c r="U251" s="4" t="inlineStr">
        <is>
          <t>2026-09-10 23:00:00</t>
        </is>
      </c>
      <c r="V251" s="4" t="inlineStr">
        <is>
          <t>Energia mensual entregada al SADI.</t>
        </is>
      </c>
    </row>
    <row r="252">
      <c r="A252" s="6" t="inlineStr">
        <is>
          <t>R0000256</t>
        </is>
      </c>
      <c r="B252" s="6" t="inlineStr">
        <is>
          <t>1997-04-01</t>
        </is>
      </c>
      <c r="C252" s="6" t="inlineStr">
        <is>
          <t>1997-04-30</t>
        </is>
      </c>
      <c r="D252" s="6" t="inlineStr">
        <is>
          <t>month</t>
        </is>
      </c>
      <c r="E252" s="6" t="inlineStr">
        <is>
          <t>ENERGY_TO_PY</t>
        </is>
      </c>
      <c r="F252" s="6" t="inlineStr">
        <is>
          <t>YACYRETA</t>
        </is>
      </c>
      <c r="G252" s="6" t="inlineStr">
        <is>
          <t>YACYRETA</t>
        </is>
      </c>
      <c r="H252" s="6" t="inlineStr">
        <is>
          <t>SINP</t>
        </is>
      </c>
      <c r="I252" s="8" t="n">
        <v>26247</v>
      </c>
      <c r="J252" s="6" t="inlineStr">
        <is>
          <t>MWh</t>
        </is>
      </c>
      <c r="K252" s="8" t="n">
        <v>26247</v>
      </c>
      <c r="L252" s="6" t="inlineStr">
        <is>
          <t>MWh</t>
        </is>
      </c>
      <c r="M252" s="6" t="inlineStr">
        <is>
          <t>EBY</t>
        </is>
      </c>
      <c r="N252" s="6" t="inlineStr">
        <is>
          <t>OFFICIAL_PRIMARY</t>
        </is>
      </c>
      <c r="O252" s="9" t="inlineStr">
        <is>
          <t>OFFICIAL_AGGREGATE</t>
        </is>
      </c>
      <c r="P252" s="8" t="n">
        <v>1</v>
      </c>
      <c r="Q252" s="8" t="n">
        <v>50</v>
      </c>
      <c r="R252" s="7" t="inlineStr">
        <is>
          <t>https://www.eby.gov.py/wp-content/uploads/2019/12/YacyretaEnergiasMensualesDesdePuestaenMarcha.pdf</t>
        </is>
      </c>
      <c r="S252" s="6" t="inlineStr">
        <is>
          <t>EBY-MONTHLY-1994-2012</t>
        </is>
      </c>
      <c r="T252" s="6" t="inlineStr"/>
      <c r="U252" s="4" t="inlineStr">
        <is>
          <t>2026-09-10 23:00:00</t>
        </is>
      </c>
      <c r="V252" s="4" t="inlineStr">
        <is>
          <t>Energia mensual entregada al SINP.</t>
        </is>
      </c>
    </row>
    <row r="253">
      <c r="A253" s="6" t="inlineStr">
        <is>
          <t>R0000257</t>
        </is>
      </c>
      <c r="B253" s="6" t="inlineStr">
        <is>
          <t>1997-05-01</t>
        </is>
      </c>
      <c r="C253" s="6" t="inlineStr">
        <is>
          <t>1997-05-31</t>
        </is>
      </c>
      <c r="D253" s="6" t="inlineStr">
        <is>
          <t>month</t>
        </is>
      </c>
      <c r="E253" s="6" t="inlineStr">
        <is>
          <t>YACYRETA_NET_ENERGY</t>
        </is>
      </c>
      <c r="F253" s="6" t="inlineStr">
        <is>
          <t>YACYRETA</t>
        </is>
      </c>
      <c r="G253" s="6" t="inlineStr">
        <is>
          <t>YACYRETA</t>
        </is>
      </c>
      <c r="H253" s="6" t="inlineStr">
        <is>
          <t>TOTAL</t>
        </is>
      </c>
      <c r="I253" s="8" t="n">
        <v>906280</v>
      </c>
      <c r="J253" s="6" t="inlineStr">
        <is>
          <t>MWh</t>
        </is>
      </c>
      <c r="K253" s="8" t="n">
        <v>906280</v>
      </c>
      <c r="L253" s="6" t="inlineStr">
        <is>
          <t>MWh</t>
        </is>
      </c>
      <c r="M253" s="6" t="inlineStr">
        <is>
          <t>EBY</t>
        </is>
      </c>
      <c r="N253" s="6" t="inlineStr">
        <is>
          <t>OFFICIAL_PRIMARY</t>
        </is>
      </c>
      <c r="O253" s="9" t="inlineStr">
        <is>
          <t>OFFICIAL_AGGREGATE</t>
        </is>
      </c>
      <c r="P253" s="8" t="n">
        <v>1</v>
      </c>
      <c r="Q253" s="8" t="n">
        <v>50</v>
      </c>
      <c r="R253" s="7" t="inlineStr">
        <is>
          <t>https://www.eby.gov.py/wp-content/uploads/2019/12/YacyretaEnergiasMensualesDesdePuestaenMarcha.pdf</t>
        </is>
      </c>
      <c r="S253" s="6" t="inlineStr">
        <is>
          <t>EBY-MONTHLY-1994-2012</t>
        </is>
      </c>
      <c r="T253" s="6" t="inlineStr"/>
      <c r="U253" s="4" t="inlineStr">
        <is>
          <t>2026-09-10 23:00:00</t>
        </is>
      </c>
      <c r="V253" s="4" t="inlineStr">
        <is>
          <t>Energia mensual Yacyreta desde puesta en marcha.</t>
        </is>
      </c>
    </row>
    <row r="254">
      <c r="A254" s="6" t="inlineStr">
        <is>
          <t>R0000258</t>
        </is>
      </c>
      <c r="B254" s="6" t="inlineStr">
        <is>
          <t>1997-05-01</t>
        </is>
      </c>
      <c r="C254" s="6" t="inlineStr">
        <is>
          <t>1997-05-31</t>
        </is>
      </c>
      <c r="D254" s="6" t="inlineStr">
        <is>
          <t>month</t>
        </is>
      </c>
      <c r="E254" s="6" t="inlineStr">
        <is>
          <t>ENERGY_TO_ARGENTINA</t>
        </is>
      </c>
      <c r="F254" s="6" t="inlineStr">
        <is>
          <t>YACYRETA</t>
        </is>
      </c>
      <c r="G254" s="6" t="inlineStr">
        <is>
          <t>YACYRETA</t>
        </is>
      </c>
      <c r="H254" s="6" t="inlineStr">
        <is>
          <t>SADI</t>
        </is>
      </c>
      <c r="I254" s="8" t="n">
        <v>889830</v>
      </c>
      <c r="J254" s="6" t="inlineStr">
        <is>
          <t>MWh</t>
        </is>
      </c>
      <c r="K254" s="8" t="n">
        <v>889830</v>
      </c>
      <c r="L254" s="6" t="inlineStr">
        <is>
          <t>MWh</t>
        </is>
      </c>
      <c r="M254" s="6" t="inlineStr">
        <is>
          <t>EBY</t>
        </is>
      </c>
      <c r="N254" s="6" t="inlineStr">
        <is>
          <t>OFFICIAL_PRIMARY</t>
        </is>
      </c>
      <c r="O254" s="9" t="inlineStr">
        <is>
          <t>OFFICIAL_AGGREGATE</t>
        </is>
      </c>
      <c r="P254" s="8" t="n">
        <v>1</v>
      </c>
      <c r="Q254" s="8" t="n">
        <v>50</v>
      </c>
      <c r="R254" s="7" t="inlineStr">
        <is>
          <t>https://www.eby.gov.py/wp-content/uploads/2019/12/YacyretaEnergiasMensualesDesdePuestaenMarcha.pdf</t>
        </is>
      </c>
      <c r="S254" s="6" t="inlineStr">
        <is>
          <t>EBY-MONTHLY-1994-2012</t>
        </is>
      </c>
      <c r="T254" s="6" t="inlineStr"/>
      <c r="U254" s="4" t="inlineStr">
        <is>
          <t>2026-09-10 23:00:00</t>
        </is>
      </c>
      <c r="V254" s="4" t="inlineStr">
        <is>
          <t>Energia mensual entregada al SADI.</t>
        </is>
      </c>
    </row>
    <row r="255">
      <c r="A255" s="6" t="inlineStr">
        <is>
          <t>R0000259</t>
        </is>
      </c>
      <c r="B255" s="6" t="inlineStr">
        <is>
          <t>1997-05-01</t>
        </is>
      </c>
      <c r="C255" s="6" t="inlineStr">
        <is>
          <t>1997-05-31</t>
        </is>
      </c>
      <c r="D255" s="6" t="inlineStr">
        <is>
          <t>month</t>
        </is>
      </c>
      <c r="E255" s="6" t="inlineStr">
        <is>
          <t>ENERGY_TO_PY</t>
        </is>
      </c>
      <c r="F255" s="6" t="inlineStr">
        <is>
          <t>YACYRETA</t>
        </is>
      </c>
      <c r="G255" s="6" t="inlineStr">
        <is>
          <t>YACYRETA</t>
        </is>
      </c>
      <c r="H255" s="6" t="inlineStr">
        <is>
          <t>SINP</t>
        </is>
      </c>
      <c r="I255" s="8" t="n">
        <v>16450</v>
      </c>
      <c r="J255" s="6" t="inlineStr">
        <is>
          <t>MWh</t>
        </is>
      </c>
      <c r="K255" s="8" t="n">
        <v>16450</v>
      </c>
      <c r="L255" s="6" t="inlineStr">
        <is>
          <t>MWh</t>
        </is>
      </c>
      <c r="M255" s="6" t="inlineStr">
        <is>
          <t>EBY</t>
        </is>
      </c>
      <c r="N255" s="6" t="inlineStr">
        <is>
          <t>OFFICIAL_PRIMARY</t>
        </is>
      </c>
      <c r="O255" s="9" t="inlineStr">
        <is>
          <t>OFFICIAL_AGGREGATE</t>
        </is>
      </c>
      <c r="P255" s="8" t="n">
        <v>1</v>
      </c>
      <c r="Q255" s="8" t="n">
        <v>50</v>
      </c>
      <c r="R255" s="7" t="inlineStr">
        <is>
          <t>https://www.eby.gov.py/wp-content/uploads/2019/12/YacyretaEnergiasMensualesDesdePuestaenMarcha.pdf</t>
        </is>
      </c>
      <c r="S255" s="6" t="inlineStr">
        <is>
          <t>EBY-MONTHLY-1994-2012</t>
        </is>
      </c>
      <c r="T255" s="6" t="inlineStr"/>
      <c r="U255" s="4" t="inlineStr">
        <is>
          <t>2026-09-10 23:00:00</t>
        </is>
      </c>
      <c r="V255" s="4" t="inlineStr">
        <is>
          <t>Energia mensual entregada al SINP.</t>
        </is>
      </c>
    </row>
    <row r="256">
      <c r="A256" s="6" t="inlineStr">
        <is>
          <t>R0000260</t>
        </is>
      </c>
      <c r="B256" s="6" t="inlineStr">
        <is>
          <t>1997-06-01</t>
        </is>
      </c>
      <c r="C256" s="6" t="inlineStr">
        <is>
          <t>1997-06-30</t>
        </is>
      </c>
      <c r="D256" s="6" t="inlineStr">
        <is>
          <t>month</t>
        </is>
      </c>
      <c r="E256" s="6" t="inlineStr">
        <is>
          <t>YACYRETA_NET_ENERGY</t>
        </is>
      </c>
      <c r="F256" s="6" t="inlineStr">
        <is>
          <t>YACYRETA</t>
        </is>
      </c>
      <c r="G256" s="6" t="inlineStr">
        <is>
          <t>YACYRETA</t>
        </is>
      </c>
      <c r="H256" s="6" t="inlineStr">
        <is>
          <t>TOTAL</t>
        </is>
      </c>
      <c r="I256" s="8" t="n">
        <v>924734</v>
      </c>
      <c r="J256" s="6" t="inlineStr">
        <is>
          <t>MWh</t>
        </is>
      </c>
      <c r="K256" s="8" t="n">
        <v>924734</v>
      </c>
      <c r="L256" s="6" t="inlineStr">
        <is>
          <t>MWh</t>
        </is>
      </c>
      <c r="M256" s="6" t="inlineStr">
        <is>
          <t>EBY</t>
        </is>
      </c>
      <c r="N256" s="6" t="inlineStr">
        <is>
          <t>OFFICIAL_PRIMARY</t>
        </is>
      </c>
      <c r="O256" s="9" t="inlineStr">
        <is>
          <t>OFFICIAL_AGGREGATE</t>
        </is>
      </c>
      <c r="P256" s="8" t="n">
        <v>1</v>
      </c>
      <c r="Q256" s="8" t="n">
        <v>50</v>
      </c>
      <c r="R256" s="7" t="inlineStr">
        <is>
          <t>https://www.eby.gov.py/wp-content/uploads/2019/12/YacyretaEnergiasMensualesDesdePuestaenMarcha.pdf</t>
        </is>
      </c>
      <c r="S256" s="6" t="inlineStr">
        <is>
          <t>EBY-MONTHLY-1994-2012</t>
        </is>
      </c>
      <c r="T256" s="6" t="inlineStr"/>
      <c r="U256" s="4" t="inlineStr">
        <is>
          <t>2026-09-10 23:00:00</t>
        </is>
      </c>
      <c r="V256" s="4" t="inlineStr">
        <is>
          <t>Energia mensual Yacyreta desde puesta en marcha.</t>
        </is>
      </c>
    </row>
    <row r="257">
      <c r="A257" s="6" t="inlineStr">
        <is>
          <t>R0000261</t>
        </is>
      </c>
      <c r="B257" s="6" t="inlineStr">
        <is>
          <t>1997-06-01</t>
        </is>
      </c>
      <c r="C257" s="6" t="inlineStr">
        <is>
          <t>1997-06-30</t>
        </is>
      </c>
      <c r="D257" s="6" t="inlineStr">
        <is>
          <t>month</t>
        </is>
      </c>
      <c r="E257" s="6" t="inlineStr">
        <is>
          <t>ENERGY_TO_ARGENTINA</t>
        </is>
      </c>
      <c r="F257" s="6" t="inlineStr">
        <is>
          <t>YACYRETA</t>
        </is>
      </c>
      <c r="G257" s="6" t="inlineStr">
        <is>
          <t>YACYRETA</t>
        </is>
      </c>
      <c r="H257" s="6" t="inlineStr">
        <is>
          <t>SADI</t>
        </is>
      </c>
      <c r="I257" s="8" t="n">
        <v>915508</v>
      </c>
      <c r="J257" s="6" t="inlineStr">
        <is>
          <t>MWh</t>
        </is>
      </c>
      <c r="K257" s="8" t="n">
        <v>915508</v>
      </c>
      <c r="L257" s="6" t="inlineStr">
        <is>
          <t>MWh</t>
        </is>
      </c>
      <c r="M257" s="6" t="inlineStr">
        <is>
          <t>EBY</t>
        </is>
      </c>
      <c r="N257" s="6" t="inlineStr">
        <is>
          <t>OFFICIAL_PRIMARY</t>
        </is>
      </c>
      <c r="O257" s="9" t="inlineStr">
        <is>
          <t>OFFICIAL_AGGREGATE</t>
        </is>
      </c>
      <c r="P257" s="8" t="n">
        <v>1</v>
      </c>
      <c r="Q257" s="8" t="n">
        <v>50</v>
      </c>
      <c r="R257" s="7" t="inlineStr">
        <is>
          <t>https://www.eby.gov.py/wp-content/uploads/2019/12/YacyretaEnergiasMensualesDesdePuestaenMarcha.pdf</t>
        </is>
      </c>
      <c r="S257" s="6" t="inlineStr">
        <is>
          <t>EBY-MONTHLY-1994-2012</t>
        </is>
      </c>
      <c r="T257" s="6" t="inlineStr"/>
      <c r="U257" s="4" t="inlineStr">
        <is>
          <t>2026-09-10 23:00:00</t>
        </is>
      </c>
      <c r="V257" s="4" t="inlineStr">
        <is>
          <t>Energia mensual entregada al SADI.</t>
        </is>
      </c>
    </row>
    <row r="258">
      <c r="A258" s="6" t="inlineStr">
        <is>
          <t>R0000262</t>
        </is>
      </c>
      <c r="B258" s="6" t="inlineStr">
        <is>
          <t>1997-06-01</t>
        </is>
      </c>
      <c r="C258" s="6" t="inlineStr">
        <is>
          <t>1997-06-30</t>
        </is>
      </c>
      <c r="D258" s="6" t="inlineStr">
        <is>
          <t>month</t>
        </is>
      </c>
      <c r="E258" s="6" t="inlineStr">
        <is>
          <t>ENERGY_TO_PY</t>
        </is>
      </c>
      <c r="F258" s="6" t="inlineStr">
        <is>
          <t>YACYRETA</t>
        </is>
      </c>
      <c r="G258" s="6" t="inlineStr">
        <is>
          <t>YACYRETA</t>
        </is>
      </c>
      <c r="H258" s="6" t="inlineStr">
        <is>
          <t>SINP</t>
        </is>
      </c>
      <c r="I258" s="8" t="n">
        <v>9226</v>
      </c>
      <c r="J258" s="6" t="inlineStr">
        <is>
          <t>MWh</t>
        </is>
      </c>
      <c r="K258" s="8" t="n">
        <v>9226</v>
      </c>
      <c r="L258" s="6" t="inlineStr">
        <is>
          <t>MWh</t>
        </is>
      </c>
      <c r="M258" s="6" t="inlineStr">
        <is>
          <t>EBY</t>
        </is>
      </c>
      <c r="N258" s="6" t="inlineStr">
        <is>
          <t>OFFICIAL_PRIMARY</t>
        </is>
      </c>
      <c r="O258" s="9" t="inlineStr">
        <is>
          <t>OFFICIAL_AGGREGATE</t>
        </is>
      </c>
      <c r="P258" s="8" t="n">
        <v>1</v>
      </c>
      <c r="Q258" s="8" t="n">
        <v>50</v>
      </c>
      <c r="R258" s="7" t="inlineStr">
        <is>
          <t>https://www.eby.gov.py/wp-content/uploads/2019/12/YacyretaEnergiasMensualesDesdePuestaenMarcha.pdf</t>
        </is>
      </c>
      <c r="S258" s="6" t="inlineStr">
        <is>
          <t>EBY-MONTHLY-1994-2012</t>
        </is>
      </c>
      <c r="T258" s="6" t="inlineStr"/>
      <c r="U258" s="4" t="inlineStr">
        <is>
          <t>2026-09-10 23:00:00</t>
        </is>
      </c>
      <c r="V258" s="4" t="inlineStr">
        <is>
          <t>Energia mensual entregada al SINP.</t>
        </is>
      </c>
    </row>
    <row r="259">
      <c r="A259" s="6" t="inlineStr">
        <is>
          <t>R0000263</t>
        </is>
      </c>
      <c r="B259" s="6" t="inlineStr">
        <is>
          <t>1997-07-01</t>
        </is>
      </c>
      <c r="C259" s="6" t="inlineStr">
        <is>
          <t>1997-07-31</t>
        </is>
      </c>
      <c r="D259" s="6" t="inlineStr">
        <is>
          <t>month</t>
        </is>
      </c>
      <c r="E259" s="6" t="inlineStr">
        <is>
          <t>YACYRETA_NET_ENERGY</t>
        </is>
      </c>
      <c r="F259" s="6" t="inlineStr">
        <is>
          <t>YACYRETA</t>
        </is>
      </c>
      <c r="G259" s="6" t="inlineStr">
        <is>
          <t>YACYRETA</t>
        </is>
      </c>
      <c r="H259" s="6" t="inlineStr">
        <is>
          <t>TOTAL</t>
        </is>
      </c>
      <c r="I259" s="8" t="n">
        <v>924942</v>
      </c>
      <c r="J259" s="6" t="inlineStr">
        <is>
          <t>MWh</t>
        </is>
      </c>
      <c r="K259" s="8" t="n">
        <v>924942</v>
      </c>
      <c r="L259" s="6" t="inlineStr">
        <is>
          <t>MWh</t>
        </is>
      </c>
      <c r="M259" s="6" t="inlineStr">
        <is>
          <t>EBY</t>
        </is>
      </c>
      <c r="N259" s="6" t="inlineStr">
        <is>
          <t>OFFICIAL_PRIMARY</t>
        </is>
      </c>
      <c r="O259" s="9" t="inlineStr">
        <is>
          <t>OFFICIAL_AGGREGATE</t>
        </is>
      </c>
      <c r="P259" s="8" t="n">
        <v>1</v>
      </c>
      <c r="Q259" s="8" t="n">
        <v>50</v>
      </c>
      <c r="R259" s="7" t="inlineStr">
        <is>
          <t>https://www.eby.gov.py/wp-content/uploads/2019/12/YacyretaEnergiasMensualesDesdePuestaenMarcha.pdf</t>
        </is>
      </c>
      <c r="S259" s="6" t="inlineStr">
        <is>
          <t>EBY-MONTHLY-1994-2012</t>
        </is>
      </c>
      <c r="T259" s="6" t="inlineStr"/>
      <c r="U259" s="4" t="inlineStr">
        <is>
          <t>2026-09-10 23:00:00</t>
        </is>
      </c>
      <c r="V259" s="4" t="inlineStr">
        <is>
          <t>Energia mensual Yacyreta desde puesta en marcha.</t>
        </is>
      </c>
    </row>
    <row r="260">
      <c r="A260" s="6" t="inlineStr">
        <is>
          <t>R0000264</t>
        </is>
      </c>
      <c r="B260" s="6" t="inlineStr">
        <is>
          <t>1997-07-01</t>
        </is>
      </c>
      <c r="C260" s="6" t="inlineStr">
        <is>
          <t>1997-07-31</t>
        </is>
      </c>
      <c r="D260" s="6" t="inlineStr">
        <is>
          <t>month</t>
        </is>
      </c>
      <c r="E260" s="6" t="inlineStr">
        <is>
          <t>ENERGY_TO_ARGENTINA</t>
        </is>
      </c>
      <c r="F260" s="6" t="inlineStr">
        <is>
          <t>YACYRETA</t>
        </is>
      </c>
      <c r="G260" s="6" t="inlineStr">
        <is>
          <t>YACYRETA</t>
        </is>
      </c>
      <c r="H260" s="6" t="inlineStr">
        <is>
          <t>SADI</t>
        </is>
      </c>
      <c r="I260" s="8" t="n">
        <v>914578</v>
      </c>
      <c r="J260" s="6" t="inlineStr">
        <is>
          <t>MWh</t>
        </is>
      </c>
      <c r="K260" s="8" t="n">
        <v>914578</v>
      </c>
      <c r="L260" s="6" t="inlineStr">
        <is>
          <t>MWh</t>
        </is>
      </c>
      <c r="M260" s="6" t="inlineStr">
        <is>
          <t>EBY</t>
        </is>
      </c>
      <c r="N260" s="6" t="inlineStr">
        <is>
          <t>OFFICIAL_PRIMARY</t>
        </is>
      </c>
      <c r="O260" s="9" t="inlineStr">
        <is>
          <t>OFFICIAL_AGGREGATE</t>
        </is>
      </c>
      <c r="P260" s="8" t="n">
        <v>1</v>
      </c>
      <c r="Q260" s="8" t="n">
        <v>50</v>
      </c>
      <c r="R260" s="7" t="inlineStr">
        <is>
          <t>https://www.eby.gov.py/wp-content/uploads/2019/12/YacyretaEnergiasMensualesDesdePuestaenMarcha.pdf</t>
        </is>
      </c>
      <c r="S260" s="6" t="inlineStr">
        <is>
          <t>EBY-MONTHLY-1994-2012</t>
        </is>
      </c>
      <c r="T260" s="6" t="inlineStr"/>
      <c r="U260" s="4" t="inlineStr">
        <is>
          <t>2026-09-10 23:00:00</t>
        </is>
      </c>
      <c r="V260" s="4" t="inlineStr">
        <is>
          <t>Energia mensual entregada al SADI.</t>
        </is>
      </c>
    </row>
    <row r="261">
      <c r="A261" s="6" t="inlineStr">
        <is>
          <t>R0000265</t>
        </is>
      </c>
      <c r="B261" s="6" t="inlineStr">
        <is>
          <t>1997-07-01</t>
        </is>
      </c>
      <c r="C261" s="6" t="inlineStr">
        <is>
          <t>1997-07-31</t>
        </is>
      </c>
      <c r="D261" s="6" t="inlineStr">
        <is>
          <t>month</t>
        </is>
      </c>
      <c r="E261" s="6" t="inlineStr">
        <is>
          <t>ENERGY_TO_PY</t>
        </is>
      </c>
      <c r="F261" s="6" t="inlineStr">
        <is>
          <t>YACYRETA</t>
        </is>
      </c>
      <c r="G261" s="6" t="inlineStr">
        <is>
          <t>YACYRETA</t>
        </is>
      </c>
      <c r="H261" s="6" t="inlineStr">
        <is>
          <t>SINP</t>
        </is>
      </c>
      <c r="I261" s="8" t="n">
        <v>10364</v>
      </c>
      <c r="J261" s="6" t="inlineStr">
        <is>
          <t>MWh</t>
        </is>
      </c>
      <c r="K261" s="8" t="n">
        <v>10364</v>
      </c>
      <c r="L261" s="6" t="inlineStr">
        <is>
          <t>MWh</t>
        </is>
      </c>
      <c r="M261" s="6" t="inlineStr">
        <is>
          <t>EBY</t>
        </is>
      </c>
      <c r="N261" s="6" t="inlineStr">
        <is>
          <t>OFFICIAL_PRIMARY</t>
        </is>
      </c>
      <c r="O261" s="9" t="inlineStr">
        <is>
          <t>OFFICIAL_AGGREGATE</t>
        </is>
      </c>
      <c r="P261" s="8" t="n">
        <v>1</v>
      </c>
      <c r="Q261" s="8" t="n">
        <v>50</v>
      </c>
      <c r="R261" s="7" t="inlineStr">
        <is>
          <t>https://www.eby.gov.py/wp-content/uploads/2019/12/YacyretaEnergiasMensualesDesdePuestaenMarcha.pdf</t>
        </is>
      </c>
      <c r="S261" s="6" t="inlineStr">
        <is>
          <t>EBY-MONTHLY-1994-2012</t>
        </is>
      </c>
      <c r="T261" s="6" t="inlineStr"/>
      <c r="U261" s="4" t="inlineStr">
        <is>
          <t>2026-09-10 23:00:00</t>
        </is>
      </c>
      <c r="V261" s="4" t="inlineStr">
        <is>
          <t>Energia mensual entregada al SINP.</t>
        </is>
      </c>
    </row>
    <row r="262">
      <c r="A262" s="6" t="inlineStr">
        <is>
          <t>R0000266</t>
        </is>
      </c>
      <c r="B262" s="6" t="inlineStr">
        <is>
          <t>1997-08-01</t>
        </is>
      </c>
      <c r="C262" s="6" t="inlineStr">
        <is>
          <t>1997-08-31</t>
        </is>
      </c>
      <c r="D262" s="6" t="inlineStr">
        <is>
          <t>month</t>
        </is>
      </c>
      <c r="E262" s="6" t="inlineStr">
        <is>
          <t>YACYRETA_NET_ENERGY</t>
        </is>
      </c>
      <c r="F262" s="6" t="inlineStr">
        <is>
          <t>YACYRETA</t>
        </is>
      </c>
      <c r="G262" s="6" t="inlineStr">
        <is>
          <t>YACYRETA</t>
        </is>
      </c>
      <c r="H262" s="6" t="inlineStr">
        <is>
          <t>TOTAL</t>
        </is>
      </c>
      <c r="I262" s="8" t="n">
        <v>922860</v>
      </c>
      <c r="J262" s="6" t="inlineStr">
        <is>
          <t>MWh</t>
        </is>
      </c>
      <c r="K262" s="8" t="n">
        <v>922860</v>
      </c>
      <c r="L262" s="6" t="inlineStr">
        <is>
          <t>MWh</t>
        </is>
      </c>
      <c r="M262" s="6" t="inlineStr">
        <is>
          <t>EBY</t>
        </is>
      </c>
      <c r="N262" s="6" t="inlineStr">
        <is>
          <t>OFFICIAL_PRIMARY</t>
        </is>
      </c>
      <c r="O262" s="9" t="inlineStr">
        <is>
          <t>OFFICIAL_AGGREGATE</t>
        </is>
      </c>
      <c r="P262" s="8" t="n">
        <v>1</v>
      </c>
      <c r="Q262" s="8" t="n">
        <v>50</v>
      </c>
      <c r="R262" s="7" t="inlineStr">
        <is>
          <t>https://www.eby.gov.py/wp-content/uploads/2019/12/YacyretaEnergiasMensualesDesdePuestaenMarcha.pdf</t>
        </is>
      </c>
      <c r="S262" s="6" t="inlineStr">
        <is>
          <t>EBY-MONTHLY-1994-2012</t>
        </is>
      </c>
      <c r="T262" s="6" t="inlineStr"/>
      <c r="U262" s="4" t="inlineStr">
        <is>
          <t>2026-09-10 23:00:00</t>
        </is>
      </c>
      <c r="V262" s="4" t="inlineStr">
        <is>
          <t>Energia mensual Yacyreta desde puesta en marcha.</t>
        </is>
      </c>
    </row>
    <row r="263">
      <c r="A263" s="6" t="inlineStr">
        <is>
          <t>R0000267</t>
        </is>
      </c>
      <c r="B263" s="6" t="inlineStr">
        <is>
          <t>1997-08-01</t>
        </is>
      </c>
      <c r="C263" s="6" t="inlineStr">
        <is>
          <t>1997-08-31</t>
        </is>
      </c>
      <c r="D263" s="6" t="inlineStr">
        <is>
          <t>month</t>
        </is>
      </c>
      <c r="E263" s="6" t="inlineStr">
        <is>
          <t>ENERGY_TO_ARGENTINA</t>
        </is>
      </c>
      <c r="F263" s="6" t="inlineStr">
        <is>
          <t>YACYRETA</t>
        </is>
      </c>
      <c r="G263" s="6" t="inlineStr">
        <is>
          <t>YACYRETA</t>
        </is>
      </c>
      <c r="H263" s="6" t="inlineStr">
        <is>
          <t>SADI</t>
        </is>
      </c>
      <c r="I263" s="8" t="n">
        <v>914902</v>
      </c>
      <c r="J263" s="6" t="inlineStr">
        <is>
          <t>MWh</t>
        </is>
      </c>
      <c r="K263" s="8" t="n">
        <v>914902</v>
      </c>
      <c r="L263" s="6" t="inlineStr">
        <is>
          <t>MWh</t>
        </is>
      </c>
      <c r="M263" s="6" t="inlineStr">
        <is>
          <t>EBY</t>
        </is>
      </c>
      <c r="N263" s="6" t="inlineStr">
        <is>
          <t>OFFICIAL_PRIMARY</t>
        </is>
      </c>
      <c r="O263" s="9" t="inlineStr">
        <is>
          <t>OFFICIAL_AGGREGATE</t>
        </is>
      </c>
      <c r="P263" s="8" t="n">
        <v>1</v>
      </c>
      <c r="Q263" s="8" t="n">
        <v>50</v>
      </c>
      <c r="R263" s="7" t="inlineStr">
        <is>
          <t>https://www.eby.gov.py/wp-content/uploads/2019/12/YacyretaEnergiasMensualesDesdePuestaenMarcha.pdf</t>
        </is>
      </c>
      <c r="S263" s="6" t="inlineStr">
        <is>
          <t>EBY-MONTHLY-1994-2012</t>
        </is>
      </c>
      <c r="T263" s="6" t="inlineStr"/>
      <c r="U263" s="4" t="inlineStr">
        <is>
          <t>2026-09-10 23:00:00</t>
        </is>
      </c>
      <c r="V263" s="4" t="inlineStr">
        <is>
          <t>Energia mensual entregada al SADI.</t>
        </is>
      </c>
    </row>
    <row r="264">
      <c r="A264" s="6" t="inlineStr">
        <is>
          <t>R0000268</t>
        </is>
      </c>
      <c r="B264" s="6" t="inlineStr">
        <is>
          <t>1997-08-01</t>
        </is>
      </c>
      <c r="C264" s="6" t="inlineStr">
        <is>
          <t>1997-08-31</t>
        </is>
      </c>
      <c r="D264" s="6" t="inlineStr">
        <is>
          <t>month</t>
        </is>
      </c>
      <c r="E264" s="6" t="inlineStr">
        <is>
          <t>ENERGY_TO_PY</t>
        </is>
      </c>
      <c r="F264" s="6" t="inlineStr">
        <is>
          <t>YACYRETA</t>
        </is>
      </c>
      <c r="G264" s="6" t="inlineStr">
        <is>
          <t>YACYRETA</t>
        </is>
      </c>
      <c r="H264" s="6" t="inlineStr">
        <is>
          <t>SINP</t>
        </is>
      </c>
      <c r="I264" s="8" t="n">
        <v>7958</v>
      </c>
      <c r="J264" s="6" t="inlineStr">
        <is>
          <t>MWh</t>
        </is>
      </c>
      <c r="K264" s="8" t="n">
        <v>7958</v>
      </c>
      <c r="L264" s="6" t="inlineStr">
        <is>
          <t>MWh</t>
        </is>
      </c>
      <c r="M264" s="6" t="inlineStr">
        <is>
          <t>EBY</t>
        </is>
      </c>
      <c r="N264" s="6" t="inlineStr">
        <is>
          <t>OFFICIAL_PRIMARY</t>
        </is>
      </c>
      <c r="O264" s="9" t="inlineStr">
        <is>
          <t>OFFICIAL_AGGREGATE</t>
        </is>
      </c>
      <c r="P264" s="8" t="n">
        <v>1</v>
      </c>
      <c r="Q264" s="8" t="n">
        <v>50</v>
      </c>
      <c r="R264" s="7" t="inlineStr">
        <is>
          <t>https://www.eby.gov.py/wp-content/uploads/2019/12/YacyretaEnergiasMensualesDesdePuestaenMarcha.pdf</t>
        </is>
      </c>
      <c r="S264" s="6" t="inlineStr">
        <is>
          <t>EBY-MONTHLY-1994-2012</t>
        </is>
      </c>
      <c r="T264" s="6" t="inlineStr"/>
      <c r="U264" s="4" t="inlineStr">
        <is>
          <t>2026-09-10 23:00:00</t>
        </is>
      </c>
      <c r="V264" s="4" t="inlineStr">
        <is>
          <t>Energia mensual entregada al SINP.</t>
        </is>
      </c>
    </row>
    <row r="265">
      <c r="A265" s="6" t="inlineStr">
        <is>
          <t>R0000269</t>
        </is>
      </c>
      <c r="B265" s="6" t="inlineStr">
        <is>
          <t>1997-09-01</t>
        </is>
      </c>
      <c r="C265" s="6" t="inlineStr">
        <is>
          <t>1997-09-30</t>
        </is>
      </c>
      <c r="D265" s="6" t="inlineStr">
        <is>
          <t>month</t>
        </is>
      </c>
      <c r="E265" s="6" t="inlineStr">
        <is>
          <t>YACYRETA_NET_ENERGY</t>
        </is>
      </c>
      <c r="F265" s="6" t="inlineStr">
        <is>
          <t>YACYRETA</t>
        </is>
      </c>
      <c r="G265" s="6" t="inlineStr">
        <is>
          <t>YACYRETA</t>
        </is>
      </c>
      <c r="H265" s="6" t="inlineStr">
        <is>
          <t>TOTAL</t>
        </is>
      </c>
      <c r="I265" s="8" t="n">
        <v>874894</v>
      </c>
      <c r="J265" s="6" t="inlineStr">
        <is>
          <t>MWh</t>
        </is>
      </c>
      <c r="K265" s="8" t="n">
        <v>874894</v>
      </c>
      <c r="L265" s="6" t="inlineStr">
        <is>
          <t>MWh</t>
        </is>
      </c>
      <c r="M265" s="6" t="inlineStr">
        <is>
          <t>EBY</t>
        </is>
      </c>
      <c r="N265" s="6" t="inlineStr">
        <is>
          <t>OFFICIAL_PRIMARY</t>
        </is>
      </c>
      <c r="O265" s="9" t="inlineStr">
        <is>
          <t>OFFICIAL_AGGREGATE</t>
        </is>
      </c>
      <c r="P265" s="8" t="n">
        <v>1</v>
      </c>
      <c r="Q265" s="8" t="n">
        <v>50</v>
      </c>
      <c r="R265" s="7" t="inlineStr">
        <is>
          <t>https://www.eby.gov.py/wp-content/uploads/2019/12/YacyretaEnergiasMensualesDesdePuestaenMarcha.pdf</t>
        </is>
      </c>
      <c r="S265" s="6" t="inlineStr">
        <is>
          <t>EBY-MONTHLY-1994-2012</t>
        </is>
      </c>
      <c r="T265" s="6" t="inlineStr"/>
      <c r="U265" s="4" t="inlineStr">
        <is>
          <t>2026-09-10 23:00:00</t>
        </is>
      </c>
      <c r="V265" s="4" t="inlineStr">
        <is>
          <t>Energia mensual Yacyreta desde puesta en marcha.</t>
        </is>
      </c>
    </row>
    <row r="266">
      <c r="A266" s="6" t="inlineStr">
        <is>
          <t>R0000270</t>
        </is>
      </c>
      <c r="B266" s="6" t="inlineStr">
        <is>
          <t>1997-09-01</t>
        </is>
      </c>
      <c r="C266" s="6" t="inlineStr">
        <is>
          <t>1997-09-30</t>
        </is>
      </c>
      <c r="D266" s="6" t="inlineStr">
        <is>
          <t>month</t>
        </is>
      </c>
      <c r="E266" s="6" t="inlineStr">
        <is>
          <t>ENERGY_TO_ARGENTINA</t>
        </is>
      </c>
      <c r="F266" s="6" t="inlineStr">
        <is>
          <t>YACYRETA</t>
        </is>
      </c>
      <c r="G266" s="6" t="inlineStr">
        <is>
          <t>YACYRETA</t>
        </is>
      </c>
      <c r="H266" s="6" t="inlineStr">
        <is>
          <t>SADI</t>
        </is>
      </c>
      <c r="I266" s="8" t="n">
        <v>866096</v>
      </c>
      <c r="J266" s="6" t="inlineStr">
        <is>
          <t>MWh</t>
        </is>
      </c>
      <c r="K266" s="8" t="n">
        <v>866096</v>
      </c>
      <c r="L266" s="6" t="inlineStr">
        <is>
          <t>MWh</t>
        </is>
      </c>
      <c r="M266" s="6" t="inlineStr">
        <is>
          <t>EBY</t>
        </is>
      </c>
      <c r="N266" s="6" t="inlineStr">
        <is>
          <t>OFFICIAL_PRIMARY</t>
        </is>
      </c>
      <c r="O266" s="9" t="inlineStr">
        <is>
          <t>OFFICIAL_AGGREGATE</t>
        </is>
      </c>
      <c r="P266" s="8" t="n">
        <v>1</v>
      </c>
      <c r="Q266" s="8" t="n">
        <v>50</v>
      </c>
      <c r="R266" s="7" t="inlineStr">
        <is>
          <t>https://www.eby.gov.py/wp-content/uploads/2019/12/YacyretaEnergiasMensualesDesdePuestaenMarcha.pdf</t>
        </is>
      </c>
      <c r="S266" s="6" t="inlineStr">
        <is>
          <t>EBY-MONTHLY-1994-2012</t>
        </is>
      </c>
      <c r="T266" s="6" t="inlineStr"/>
      <c r="U266" s="4" t="inlineStr">
        <is>
          <t>2026-09-10 23:00:00</t>
        </is>
      </c>
      <c r="V266" s="4" t="inlineStr">
        <is>
          <t>Energia mensual entregada al SADI.</t>
        </is>
      </c>
    </row>
    <row r="267">
      <c r="A267" s="6" t="inlineStr">
        <is>
          <t>R0000271</t>
        </is>
      </c>
      <c r="B267" s="6" t="inlineStr">
        <is>
          <t>1997-09-01</t>
        </is>
      </c>
      <c r="C267" s="6" t="inlineStr">
        <is>
          <t>1997-09-30</t>
        </is>
      </c>
      <c r="D267" s="6" t="inlineStr">
        <is>
          <t>month</t>
        </is>
      </c>
      <c r="E267" s="6" t="inlineStr">
        <is>
          <t>ENERGY_TO_PY</t>
        </is>
      </c>
      <c r="F267" s="6" t="inlineStr">
        <is>
          <t>YACYRETA</t>
        </is>
      </c>
      <c r="G267" s="6" t="inlineStr">
        <is>
          <t>YACYRETA</t>
        </is>
      </c>
      <c r="H267" s="6" t="inlineStr">
        <is>
          <t>SINP</t>
        </is>
      </c>
      <c r="I267" s="8" t="n">
        <v>8798</v>
      </c>
      <c r="J267" s="6" t="inlineStr">
        <is>
          <t>MWh</t>
        </is>
      </c>
      <c r="K267" s="8" t="n">
        <v>8798</v>
      </c>
      <c r="L267" s="6" t="inlineStr">
        <is>
          <t>MWh</t>
        </is>
      </c>
      <c r="M267" s="6" t="inlineStr">
        <is>
          <t>EBY</t>
        </is>
      </c>
      <c r="N267" s="6" t="inlineStr">
        <is>
          <t>OFFICIAL_PRIMARY</t>
        </is>
      </c>
      <c r="O267" s="9" t="inlineStr">
        <is>
          <t>OFFICIAL_AGGREGATE</t>
        </is>
      </c>
      <c r="P267" s="8" t="n">
        <v>1</v>
      </c>
      <c r="Q267" s="8" t="n">
        <v>50</v>
      </c>
      <c r="R267" s="7" t="inlineStr">
        <is>
          <t>https://www.eby.gov.py/wp-content/uploads/2019/12/YacyretaEnergiasMensualesDesdePuestaenMarcha.pdf</t>
        </is>
      </c>
      <c r="S267" s="6" t="inlineStr">
        <is>
          <t>EBY-MONTHLY-1994-2012</t>
        </is>
      </c>
      <c r="T267" s="6" t="inlineStr"/>
      <c r="U267" s="4" t="inlineStr">
        <is>
          <t>2026-09-10 23:00:00</t>
        </is>
      </c>
      <c r="V267" s="4" t="inlineStr">
        <is>
          <t>Energia mensual entregada al SINP.</t>
        </is>
      </c>
    </row>
    <row r="268">
      <c r="A268" s="6" t="inlineStr">
        <is>
          <t>R0000272</t>
        </is>
      </c>
      <c r="B268" s="6" t="inlineStr">
        <is>
          <t>1997-10-01</t>
        </is>
      </c>
      <c r="C268" s="6" t="inlineStr">
        <is>
          <t>1997-10-31</t>
        </is>
      </c>
      <c r="D268" s="6" t="inlineStr">
        <is>
          <t>month</t>
        </is>
      </c>
      <c r="E268" s="6" t="inlineStr">
        <is>
          <t>YACYRETA_NET_ENERGY</t>
        </is>
      </c>
      <c r="F268" s="6" t="inlineStr">
        <is>
          <t>YACYRETA</t>
        </is>
      </c>
      <c r="G268" s="6" t="inlineStr">
        <is>
          <t>YACYRETA</t>
        </is>
      </c>
      <c r="H268" s="6" t="inlineStr">
        <is>
          <t>TOTAL</t>
        </is>
      </c>
      <c r="I268" s="8" t="n">
        <v>863159</v>
      </c>
      <c r="J268" s="6" t="inlineStr">
        <is>
          <t>MWh</t>
        </is>
      </c>
      <c r="K268" s="8" t="n">
        <v>863159</v>
      </c>
      <c r="L268" s="6" t="inlineStr">
        <is>
          <t>MWh</t>
        </is>
      </c>
      <c r="M268" s="6" t="inlineStr">
        <is>
          <t>EBY</t>
        </is>
      </c>
      <c r="N268" s="6" t="inlineStr">
        <is>
          <t>OFFICIAL_PRIMARY</t>
        </is>
      </c>
      <c r="O268" s="9" t="inlineStr">
        <is>
          <t>OFFICIAL_AGGREGATE</t>
        </is>
      </c>
      <c r="P268" s="8" t="n">
        <v>1</v>
      </c>
      <c r="Q268" s="8" t="n">
        <v>50</v>
      </c>
      <c r="R268" s="7" t="inlineStr">
        <is>
          <t>https://www.eby.gov.py/wp-content/uploads/2019/12/YacyretaEnergiasMensualesDesdePuestaenMarcha.pdf</t>
        </is>
      </c>
      <c r="S268" s="6" t="inlineStr">
        <is>
          <t>EBY-MONTHLY-1994-2012</t>
        </is>
      </c>
      <c r="T268" s="6" t="inlineStr"/>
      <c r="U268" s="4" t="inlineStr">
        <is>
          <t>2026-09-10 23:00:00</t>
        </is>
      </c>
      <c r="V268" s="4" t="inlineStr">
        <is>
          <t>Energia mensual Yacyreta desde puesta en marcha.</t>
        </is>
      </c>
    </row>
    <row r="269">
      <c r="A269" s="6" t="inlineStr">
        <is>
          <t>R0000273</t>
        </is>
      </c>
      <c r="B269" s="6" t="inlineStr">
        <is>
          <t>1997-10-01</t>
        </is>
      </c>
      <c r="C269" s="6" t="inlineStr">
        <is>
          <t>1997-10-31</t>
        </is>
      </c>
      <c r="D269" s="6" t="inlineStr">
        <is>
          <t>month</t>
        </is>
      </c>
      <c r="E269" s="6" t="inlineStr">
        <is>
          <t>ENERGY_TO_ARGENTINA</t>
        </is>
      </c>
      <c r="F269" s="6" t="inlineStr">
        <is>
          <t>YACYRETA</t>
        </is>
      </c>
      <c r="G269" s="6" t="inlineStr">
        <is>
          <t>YACYRETA</t>
        </is>
      </c>
      <c r="H269" s="6" t="inlineStr">
        <is>
          <t>SADI</t>
        </is>
      </c>
      <c r="I269" s="8" t="n">
        <v>857272</v>
      </c>
      <c r="J269" s="6" t="inlineStr">
        <is>
          <t>MWh</t>
        </is>
      </c>
      <c r="K269" s="8" t="n">
        <v>857272</v>
      </c>
      <c r="L269" s="6" t="inlineStr">
        <is>
          <t>MWh</t>
        </is>
      </c>
      <c r="M269" s="6" t="inlineStr">
        <is>
          <t>EBY</t>
        </is>
      </c>
      <c r="N269" s="6" t="inlineStr">
        <is>
          <t>OFFICIAL_PRIMARY</t>
        </is>
      </c>
      <c r="O269" s="9" t="inlineStr">
        <is>
          <t>OFFICIAL_AGGREGATE</t>
        </is>
      </c>
      <c r="P269" s="8" t="n">
        <v>1</v>
      </c>
      <c r="Q269" s="8" t="n">
        <v>50</v>
      </c>
      <c r="R269" s="7" t="inlineStr">
        <is>
          <t>https://www.eby.gov.py/wp-content/uploads/2019/12/YacyretaEnergiasMensualesDesdePuestaenMarcha.pdf</t>
        </is>
      </c>
      <c r="S269" s="6" t="inlineStr">
        <is>
          <t>EBY-MONTHLY-1994-2012</t>
        </is>
      </c>
      <c r="T269" s="6" t="inlineStr"/>
      <c r="U269" s="4" t="inlineStr">
        <is>
          <t>2026-09-10 23:00:00</t>
        </is>
      </c>
      <c r="V269" s="4" t="inlineStr">
        <is>
          <t>Energia mensual entregada al SADI.</t>
        </is>
      </c>
    </row>
    <row r="270">
      <c r="A270" s="6" t="inlineStr">
        <is>
          <t>R0000274</t>
        </is>
      </c>
      <c r="B270" s="6" t="inlineStr">
        <is>
          <t>1997-10-01</t>
        </is>
      </c>
      <c r="C270" s="6" t="inlineStr">
        <is>
          <t>1997-10-31</t>
        </is>
      </c>
      <c r="D270" s="6" t="inlineStr">
        <is>
          <t>month</t>
        </is>
      </c>
      <c r="E270" s="6" t="inlineStr">
        <is>
          <t>ENERGY_TO_PY</t>
        </is>
      </c>
      <c r="F270" s="6" t="inlineStr">
        <is>
          <t>YACYRETA</t>
        </is>
      </c>
      <c r="G270" s="6" t="inlineStr">
        <is>
          <t>YACYRETA</t>
        </is>
      </c>
      <c r="H270" s="6" t="inlineStr">
        <is>
          <t>SINP</t>
        </is>
      </c>
      <c r="I270" s="8" t="n">
        <v>5887</v>
      </c>
      <c r="J270" s="6" t="inlineStr">
        <is>
          <t>MWh</t>
        </is>
      </c>
      <c r="K270" s="8" t="n">
        <v>5887</v>
      </c>
      <c r="L270" s="6" t="inlineStr">
        <is>
          <t>MWh</t>
        </is>
      </c>
      <c r="M270" s="6" t="inlineStr">
        <is>
          <t>EBY</t>
        </is>
      </c>
      <c r="N270" s="6" t="inlineStr">
        <is>
          <t>OFFICIAL_PRIMARY</t>
        </is>
      </c>
      <c r="O270" s="9" t="inlineStr">
        <is>
          <t>OFFICIAL_AGGREGATE</t>
        </is>
      </c>
      <c r="P270" s="8" t="n">
        <v>1</v>
      </c>
      <c r="Q270" s="8" t="n">
        <v>50</v>
      </c>
      <c r="R270" s="7" t="inlineStr">
        <is>
          <t>https://www.eby.gov.py/wp-content/uploads/2019/12/YacyretaEnergiasMensualesDesdePuestaenMarcha.pdf</t>
        </is>
      </c>
      <c r="S270" s="6" t="inlineStr">
        <is>
          <t>EBY-MONTHLY-1994-2012</t>
        </is>
      </c>
      <c r="T270" s="6" t="inlineStr"/>
      <c r="U270" s="4" t="inlineStr">
        <is>
          <t>2026-09-10 23:00:00</t>
        </is>
      </c>
      <c r="V270" s="4" t="inlineStr">
        <is>
          <t>Energia mensual entregada al SINP.</t>
        </is>
      </c>
    </row>
    <row r="271">
      <c r="A271" s="6" t="inlineStr">
        <is>
          <t>R0000275</t>
        </is>
      </c>
      <c r="B271" s="6" t="inlineStr">
        <is>
          <t>1997-11-01</t>
        </is>
      </c>
      <c r="C271" s="6" t="inlineStr">
        <is>
          <t>1997-11-30</t>
        </is>
      </c>
      <c r="D271" s="6" t="inlineStr">
        <is>
          <t>month</t>
        </is>
      </c>
      <c r="E271" s="6" t="inlineStr">
        <is>
          <t>YACYRETA_NET_ENERGY</t>
        </is>
      </c>
      <c r="F271" s="6" t="inlineStr">
        <is>
          <t>YACYRETA</t>
        </is>
      </c>
      <c r="G271" s="6" t="inlineStr">
        <is>
          <t>YACYRETA</t>
        </is>
      </c>
      <c r="H271" s="6" t="inlineStr">
        <is>
          <t>TOTAL</t>
        </is>
      </c>
      <c r="I271" s="8" t="n">
        <v>892706</v>
      </c>
      <c r="J271" s="6" t="inlineStr">
        <is>
          <t>MWh</t>
        </is>
      </c>
      <c r="K271" s="8" t="n">
        <v>892706</v>
      </c>
      <c r="L271" s="6" t="inlineStr">
        <is>
          <t>MWh</t>
        </is>
      </c>
      <c r="M271" s="6" t="inlineStr">
        <is>
          <t>EBY</t>
        </is>
      </c>
      <c r="N271" s="6" t="inlineStr">
        <is>
          <t>OFFICIAL_PRIMARY</t>
        </is>
      </c>
      <c r="O271" s="9" t="inlineStr">
        <is>
          <t>OFFICIAL_AGGREGATE</t>
        </is>
      </c>
      <c r="P271" s="8" t="n">
        <v>1</v>
      </c>
      <c r="Q271" s="8" t="n">
        <v>50</v>
      </c>
      <c r="R271" s="7" t="inlineStr">
        <is>
          <t>https://www.eby.gov.py/wp-content/uploads/2019/12/YacyretaEnergiasMensualesDesdePuestaenMarcha.pdf</t>
        </is>
      </c>
      <c r="S271" s="6" t="inlineStr">
        <is>
          <t>EBY-MONTHLY-1994-2012</t>
        </is>
      </c>
      <c r="T271" s="6" t="inlineStr"/>
      <c r="U271" s="4" t="inlineStr">
        <is>
          <t>2026-09-10 23:00:00</t>
        </is>
      </c>
      <c r="V271" s="4" t="inlineStr">
        <is>
          <t>Energia mensual Yacyreta desde puesta en marcha.</t>
        </is>
      </c>
    </row>
    <row r="272">
      <c r="A272" s="6" t="inlineStr">
        <is>
          <t>R0000276</t>
        </is>
      </c>
      <c r="B272" s="6" t="inlineStr">
        <is>
          <t>1997-11-01</t>
        </is>
      </c>
      <c r="C272" s="6" t="inlineStr">
        <is>
          <t>1997-11-30</t>
        </is>
      </c>
      <c r="D272" s="6" t="inlineStr">
        <is>
          <t>month</t>
        </is>
      </c>
      <c r="E272" s="6" t="inlineStr">
        <is>
          <t>ENERGY_TO_ARGENTINA</t>
        </is>
      </c>
      <c r="F272" s="6" t="inlineStr">
        <is>
          <t>YACYRETA</t>
        </is>
      </c>
      <c r="G272" s="6" t="inlineStr">
        <is>
          <t>YACYRETA</t>
        </is>
      </c>
      <c r="H272" s="6" t="inlineStr">
        <is>
          <t>SADI</t>
        </is>
      </c>
      <c r="I272" s="8" t="n">
        <v>880936</v>
      </c>
      <c r="J272" s="6" t="inlineStr">
        <is>
          <t>MWh</t>
        </is>
      </c>
      <c r="K272" s="8" t="n">
        <v>880936</v>
      </c>
      <c r="L272" s="6" t="inlineStr">
        <is>
          <t>MWh</t>
        </is>
      </c>
      <c r="M272" s="6" t="inlineStr">
        <is>
          <t>EBY</t>
        </is>
      </c>
      <c r="N272" s="6" t="inlineStr">
        <is>
          <t>OFFICIAL_PRIMARY</t>
        </is>
      </c>
      <c r="O272" s="9" t="inlineStr">
        <is>
          <t>OFFICIAL_AGGREGATE</t>
        </is>
      </c>
      <c r="P272" s="8" t="n">
        <v>1</v>
      </c>
      <c r="Q272" s="8" t="n">
        <v>50</v>
      </c>
      <c r="R272" s="7" t="inlineStr">
        <is>
          <t>https://www.eby.gov.py/wp-content/uploads/2019/12/YacyretaEnergiasMensualesDesdePuestaenMarcha.pdf</t>
        </is>
      </c>
      <c r="S272" s="6" t="inlineStr">
        <is>
          <t>EBY-MONTHLY-1994-2012</t>
        </is>
      </c>
      <c r="T272" s="6" t="inlineStr"/>
      <c r="U272" s="4" t="inlineStr">
        <is>
          <t>2026-09-10 23:00:00</t>
        </is>
      </c>
      <c r="V272" s="4" t="inlineStr">
        <is>
          <t>Energia mensual entregada al SADI.</t>
        </is>
      </c>
    </row>
    <row r="273">
      <c r="A273" s="6" t="inlineStr">
        <is>
          <t>R0000277</t>
        </is>
      </c>
      <c r="B273" s="6" t="inlineStr">
        <is>
          <t>1997-11-01</t>
        </is>
      </c>
      <c r="C273" s="6" t="inlineStr">
        <is>
          <t>1997-11-30</t>
        </is>
      </c>
      <c r="D273" s="6" t="inlineStr">
        <is>
          <t>month</t>
        </is>
      </c>
      <c r="E273" s="6" t="inlineStr">
        <is>
          <t>ENERGY_TO_PY</t>
        </is>
      </c>
      <c r="F273" s="6" t="inlineStr">
        <is>
          <t>YACYRETA</t>
        </is>
      </c>
      <c r="G273" s="6" t="inlineStr">
        <is>
          <t>YACYRETA</t>
        </is>
      </c>
      <c r="H273" s="6" t="inlineStr">
        <is>
          <t>SINP</t>
        </is>
      </c>
      <c r="I273" s="8" t="n">
        <v>11770</v>
      </c>
      <c r="J273" s="6" t="inlineStr">
        <is>
          <t>MWh</t>
        </is>
      </c>
      <c r="K273" s="8" t="n">
        <v>11770</v>
      </c>
      <c r="L273" s="6" t="inlineStr">
        <is>
          <t>MWh</t>
        </is>
      </c>
      <c r="M273" s="6" t="inlineStr">
        <is>
          <t>EBY</t>
        </is>
      </c>
      <c r="N273" s="6" t="inlineStr">
        <is>
          <t>OFFICIAL_PRIMARY</t>
        </is>
      </c>
      <c r="O273" s="9" t="inlineStr">
        <is>
          <t>OFFICIAL_AGGREGATE</t>
        </is>
      </c>
      <c r="P273" s="8" t="n">
        <v>1</v>
      </c>
      <c r="Q273" s="8" t="n">
        <v>50</v>
      </c>
      <c r="R273" s="7" t="inlineStr">
        <is>
          <t>https://www.eby.gov.py/wp-content/uploads/2019/12/YacyretaEnergiasMensualesDesdePuestaenMarcha.pdf</t>
        </is>
      </c>
      <c r="S273" s="6" t="inlineStr">
        <is>
          <t>EBY-MONTHLY-1994-2012</t>
        </is>
      </c>
      <c r="T273" s="6" t="inlineStr"/>
      <c r="U273" s="4" t="inlineStr">
        <is>
          <t>2026-09-10 23:00:00</t>
        </is>
      </c>
      <c r="V273" s="4" t="inlineStr">
        <is>
          <t>Energia mensual entregada al SINP.</t>
        </is>
      </c>
    </row>
    <row r="274">
      <c r="A274" s="6" t="inlineStr">
        <is>
          <t>R0000278</t>
        </is>
      </c>
      <c r="B274" s="6" t="inlineStr">
        <is>
          <t>1997-12-01</t>
        </is>
      </c>
      <c r="C274" s="6" t="inlineStr">
        <is>
          <t>1997-12-31</t>
        </is>
      </c>
      <c r="D274" s="6" t="inlineStr">
        <is>
          <t>month</t>
        </is>
      </c>
      <c r="E274" s="6" t="inlineStr">
        <is>
          <t>YACYRETA_NET_ENERGY</t>
        </is>
      </c>
      <c r="F274" s="6" t="inlineStr">
        <is>
          <t>YACYRETA</t>
        </is>
      </c>
      <c r="G274" s="6" t="inlineStr">
        <is>
          <t>YACYRETA</t>
        </is>
      </c>
      <c r="H274" s="6" t="inlineStr">
        <is>
          <t>TOTAL</t>
        </is>
      </c>
      <c r="I274" s="8" t="n">
        <v>1055293</v>
      </c>
      <c r="J274" s="6" t="inlineStr">
        <is>
          <t>MWh</t>
        </is>
      </c>
      <c r="K274" s="8" t="n">
        <v>1055293</v>
      </c>
      <c r="L274" s="6" t="inlineStr">
        <is>
          <t>MWh</t>
        </is>
      </c>
      <c r="M274" s="6" t="inlineStr">
        <is>
          <t>EBY</t>
        </is>
      </c>
      <c r="N274" s="6" t="inlineStr">
        <is>
          <t>OFFICIAL_PRIMARY</t>
        </is>
      </c>
      <c r="O274" s="9" t="inlineStr">
        <is>
          <t>OFFICIAL_AGGREGATE</t>
        </is>
      </c>
      <c r="P274" s="8" t="n">
        <v>1</v>
      </c>
      <c r="Q274" s="8" t="n">
        <v>50</v>
      </c>
      <c r="R274" s="7" t="inlineStr">
        <is>
          <t>https://www.eby.gov.py/wp-content/uploads/2019/12/YacyretaEnergiasMensualesDesdePuestaenMarcha.pdf</t>
        </is>
      </c>
      <c r="S274" s="6" t="inlineStr">
        <is>
          <t>EBY-MONTHLY-1994-2012</t>
        </is>
      </c>
      <c r="T274" s="6" t="inlineStr"/>
      <c r="U274" s="4" t="inlineStr">
        <is>
          <t>2026-09-10 23:00:00</t>
        </is>
      </c>
      <c r="V274" s="4" t="inlineStr">
        <is>
          <t>Energia mensual Yacyreta desde puesta en marcha.</t>
        </is>
      </c>
    </row>
    <row r="275">
      <c r="A275" s="6" t="inlineStr">
        <is>
          <t>R0000279</t>
        </is>
      </c>
      <c r="B275" s="6" t="inlineStr">
        <is>
          <t>1997-12-01</t>
        </is>
      </c>
      <c r="C275" s="6" t="inlineStr">
        <is>
          <t>1997-12-31</t>
        </is>
      </c>
      <c r="D275" s="6" t="inlineStr">
        <is>
          <t>month</t>
        </is>
      </c>
      <c r="E275" s="6" t="inlineStr">
        <is>
          <t>ENERGY_TO_ARGENTINA</t>
        </is>
      </c>
      <c r="F275" s="6" t="inlineStr">
        <is>
          <t>YACYRETA</t>
        </is>
      </c>
      <c r="G275" s="6" t="inlineStr">
        <is>
          <t>YACYRETA</t>
        </is>
      </c>
      <c r="H275" s="6" t="inlineStr">
        <is>
          <t>SADI</t>
        </is>
      </c>
      <c r="I275" s="8" t="n">
        <v>1047310</v>
      </c>
      <c r="J275" s="6" t="inlineStr">
        <is>
          <t>MWh</t>
        </is>
      </c>
      <c r="K275" s="8" t="n">
        <v>1047310</v>
      </c>
      <c r="L275" s="6" t="inlineStr">
        <is>
          <t>MWh</t>
        </is>
      </c>
      <c r="M275" s="6" t="inlineStr">
        <is>
          <t>EBY</t>
        </is>
      </c>
      <c r="N275" s="6" t="inlineStr">
        <is>
          <t>OFFICIAL_PRIMARY</t>
        </is>
      </c>
      <c r="O275" s="9" t="inlineStr">
        <is>
          <t>OFFICIAL_AGGREGATE</t>
        </is>
      </c>
      <c r="P275" s="8" t="n">
        <v>1</v>
      </c>
      <c r="Q275" s="8" t="n">
        <v>50</v>
      </c>
      <c r="R275" s="7" t="inlineStr">
        <is>
          <t>https://www.eby.gov.py/wp-content/uploads/2019/12/YacyretaEnergiasMensualesDesdePuestaenMarcha.pdf</t>
        </is>
      </c>
      <c r="S275" s="6" t="inlineStr">
        <is>
          <t>EBY-MONTHLY-1994-2012</t>
        </is>
      </c>
      <c r="T275" s="6" t="inlineStr"/>
      <c r="U275" s="4" t="inlineStr">
        <is>
          <t>2026-09-10 23:00:00</t>
        </is>
      </c>
      <c r="V275" s="4" t="inlineStr">
        <is>
          <t>Energia mensual entregada al SADI.</t>
        </is>
      </c>
    </row>
    <row r="276">
      <c r="A276" s="6" t="inlineStr">
        <is>
          <t>R0000280</t>
        </is>
      </c>
      <c r="B276" s="6" t="inlineStr">
        <is>
          <t>1997-12-01</t>
        </is>
      </c>
      <c r="C276" s="6" t="inlineStr">
        <is>
          <t>1997-12-31</t>
        </is>
      </c>
      <c r="D276" s="6" t="inlineStr">
        <is>
          <t>month</t>
        </is>
      </c>
      <c r="E276" s="6" t="inlineStr">
        <is>
          <t>ENERGY_TO_PY</t>
        </is>
      </c>
      <c r="F276" s="6" t="inlineStr">
        <is>
          <t>YACYRETA</t>
        </is>
      </c>
      <c r="G276" s="6" t="inlineStr">
        <is>
          <t>YACYRETA</t>
        </is>
      </c>
      <c r="H276" s="6" t="inlineStr">
        <is>
          <t>SINP</t>
        </is>
      </c>
      <c r="I276" s="8" t="n">
        <v>7983</v>
      </c>
      <c r="J276" s="6" t="inlineStr">
        <is>
          <t>MWh</t>
        </is>
      </c>
      <c r="K276" s="8" t="n">
        <v>7983</v>
      </c>
      <c r="L276" s="6" t="inlineStr">
        <is>
          <t>MWh</t>
        </is>
      </c>
      <c r="M276" s="6" t="inlineStr">
        <is>
          <t>EBY</t>
        </is>
      </c>
      <c r="N276" s="6" t="inlineStr">
        <is>
          <t>OFFICIAL_PRIMARY</t>
        </is>
      </c>
      <c r="O276" s="9" t="inlineStr">
        <is>
          <t>OFFICIAL_AGGREGATE</t>
        </is>
      </c>
      <c r="P276" s="8" t="n">
        <v>1</v>
      </c>
      <c r="Q276" s="8" t="n">
        <v>50</v>
      </c>
      <c r="R276" s="7" t="inlineStr">
        <is>
          <t>https://www.eby.gov.py/wp-content/uploads/2019/12/YacyretaEnergiasMensualesDesdePuestaenMarcha.pdf</t>
        </is>
      </c>
      <c r="S276" s="6" t="inlineStr">
        <is>
          <t>EBY-MONTHLY-1994-2012</t>
        </is>
      </c>
      <c r="T276" s="6" t="inlineStr"/>
      <c r="U276" s="4" t="inlineStr">
        <is>
          <t>2026-09-10 23:00:00</t>
        </is>
      </c>
      <c r="V276" s="4" t="inlineStr">
        <is>
          <t>Energia mensual entregada al SINP.</t>
        </is>
      </c>
    </row>
    <row r="277">
      <c r="A277" s="6" t="inlineStr">
        <is>
          <t>R0000281</t>
        </is>
      </c>
      <c r="B277" s="6" t="inlineStr">
        <is>
          <t>1998-01-01</t>
        </is>
      </c>
      <c r="C277" s="6" t="inlineStr">
        <is>
          <t>1998-01-31</t>
        </is>
      </c>
      <c r="D277" s="6" t="inlineStr">
        <is>
          <t>month</t>
        </is>
      </c>
      <c r="E277" s="6" t="inlineStr">
        <is>
          <t>YACYRETA_NET_ENERGY</t>
        </is>
      </c>
      <c r="F277" s="6" t="inlineStr">
        <is>
          <t>YACYRETA</t>
        </is>
      </c>
      <c r="G277" s="6" t="inlineStr">
        <is>
          <t>YACYRETA</t>
        </is>
      </c>
      <c r="H277" s="6" t="inlineStr">
        <is>
          <t>TOTAL</t>
        </is>
      </c>
      <c r="I277" s="8" t="n">
        <v>1026100</v>
      </c>
      <c r="J277" s="6" t="inlineStr">
        <is>
          <t>MWh</t>
        </is>
      </c>
      <c r="K277" s="8" t="n">
        <v>1026100</v>
      </c>
      <c r="L277" s="6" t="inlineStr">
        <is>
          <t>MWh</t>
        </is>
      </c>
      <c r="M277" s="6" t="inlineStr">
        <is>
          <t>EBY</t>
        </is>
      </c>
      <c r="N277" s="6" t="inlineStr">
        <is>
          <t>OFFICIAL_PRIMARY</t>
        </is>
      </c>
      <c r="O277" s="9" t="inlineStr">
        <is>
          <t>OFFICIAL_AGGREGATE</t>
        </is>
      </c>
      <c r="P277" s="8" t="n">
        <v>1</v>
      </c>
      <c r="Q277" s="8" t="n">
        <v>50</v>
      </c>
      <c r="R277" s="7" t="inlineStr">
        <is>
          <t>https://www.eby.gov.py/wp-content/uploads/2019/12/YacyretaEnergiasMensualesDesdePuestaenMarcha.pdf</t>
        </is>
      </c>
      <c r="S277" s="6" t="inlineStr">
        <is>
          <t>EBY-MONTHLY-1994-2012</t>
        </is>
      </c>
      <c r="T277" s="6" t="inlineStr"/>
      <c r="U277" s="4" t="inlineStr">
        <is>
          <t>2026-09-10 23:00:00</t>
        </is>
      </c>
      <c r="V277" s="4" t="inlineStr">
        <is>
          <t>Energia mensual Yacyreta desde puesta en marcha.</t>
        </is>
      </c>
    </row>
    <row r="278">
      <c r="A278" s="6" t="inlineStr">
        <is>
          <t>R0000282</t>
        </is>
      </c>
      <c r="B278" s="6" t="inlineStr">
        <is>
          <t>1998-01-01</t>
        </is>
      </c>
      <c r="C278" s="6" t="inlineStr">
        <is>
          <t>1998-01-31</t>
        </is>
      </c>
      <c r="D278" s="6" t="inlineStr">
        <is>
          <t>month</t>
        </is>
      </c>
      <c r="E278" s="6" t="inlineStr">
        <is>
          <t>ENERGY_TO_ARGENTINA</t>
        </is>
      </c>
      <c r="F278" s="6" t="inlineStr">
        <is>
          <t>YACYRETA</t>
        </is>
      </c>
      <c r="G278" s="6" t="inlineStr">
        <is>
          <t>YACYRETA</t>
        </is>
      </c>
      <c r="H278" s="6" t="inlineStr">
        <is>
          <t>SADI</t>
        </is>
      </c>
      <c r="I278" s="8" t="n">
        <v>1015768</v>
      </c>
      <c r="J278" s="6" t="inlineStr">
        <is>
          <t>MWh</t>
        </is>
      </c>
      <c r="K278" s="8" t="n">
        <v>1015768</v>
      </c>
      <c r="L278" s="6" t="inlineStr">
        <is>
          <t>MWh</t>
        </is>
      </c>
      <c r="M278" s="6" t="inlineStr">
        <is>
          <t>EBY</t>
        </is>
      </c>
      <c r="N278" s="6" t="inlineStr">
        <is>
          <t>OFFICIAL_PRIMARY</t>
        </is>
      </c>
      <c r="O278" s="9" t="inlineStr">
        <is>
          <t>OFFICIAL_AGGREGATE</t>
        </is>
      </c>
      <c r="P278" s="8" t="n">
        <v>1</v>
      </c>
      <c r="Q278" s="8" t="n">
        <v>50</v>
      </c>
      <c r="R278" s="7" t="inlineStr">
        <is>
          <t>https://www.eby.gov.py/wp-content/uploads/2019/12/YacyretaEnergiasMensualesDesdePuestaenMarcha.pdf</t>
        </is>
      </c>
      <c r="S278" s="6" t="inlineStr">
        <is>
          <t>EBY-MONTHLY-1994-2012</t>
        </is>
      </c>
      <c r="T278" s="6" t="inlineStr"/>
      <c r="U278" s="4" t="inlineStr">
        <is>
          <t>2026-09-10 23:00:00</t>
        </is>
      </c>
      <c r="V278" s="4" t="inlineStr">
        <is>
          <t>Energia mensual entregada al SADI.</t>
        </is>
      </c>
    </row>
    <row r="279">
      <c r="A279" s="6" t="inlineStr">
        <is>
          <t>R0000283</t>
        </is>
      </c>
      <c r="B279" s="6" t="inlineStr">
        <is>
          <t>1998-01-01</t>
        </is>
      </c>
      <c r="C279" s="6" t="inlineStr">
        <is>
          <t>1998-01-31</t>
        </is>
      </c>
      <c r="D279" s="6" t="inlineStr">
        <is>
          <t>month</t>
        </is>
      </c>
      <c r="E279" s="6" t="inlineStr">
        <is>
          <t>ENERGY_TO_PY</t>
        </is>
      </c>
      <c r="F279" s="6" t="inlineStr">
        <is>
          <t>YACYRETA</t>
        </is>
      </c>
      <c r="G279" s="6" t="inlineStr">
        <is>
          <t>YACYRETA</t>
        </is>
      </c>
      <c r="H279" s="6" t="inlineStr">
        <is>
          <t>SINP</t>
        </is>
      </c>
      <c r="I279" s="8" t="n">
        <v>10332</v>
      </c>
      <c r="J279" s="6" t="inlineStr">
        <is>
          <t>MWh</t>
        </is>
      </c>
      <c r="K279" s="8" t="n">
        <v>10332</v>
      </c>
      <c r="L279" s="6" t="inlineStr">
        <is>
          <t>MWh</t>
        </is>
      </c>
      <c r="M279" s="6" t="inlineStr">
        <is>
          <t>EBY</t>
        </is>
      </c>
      <c r="N279" s="6" t="inlineStr">
        <is>
          <t>OFFICIAL_PRIMARY</t>
        </is>
      </c>
      <c r="O279" s="9" t="inlineStr">
        <is>
          <t>OFFICIAL_AGGREGATE</t>
        </is>
      </c>
      <c r="P279" s="8" t="n">
        <v>1</v>
      </c>
      <c r="Q279" s="8" t="n">
        <v>50</v>
      </c>
      <c r="R279" s="7" t="inlineStr">
        <is>
          <t>https://www.eby.gov.py/wp-content/uploads/2019/12/YacyretaEnergiasMensualesDesdePuestaenMarcha.pdf</t>
        </is>
      </c>
      <c r="S279" s="6" t="inlineStr">
        <is>
          <t>EBY-MONTHLY-1994-2012</t>
        </is>
      </c>
      <c r="T279" s="6" t="inlineStr"/>
      <c r="U279" s="4" t="inlineStr">
        <is>
          <t>2026-09-10 23:00:00</t>
        </is>
      </c>
      <c r="V279" s="4" t="inlineStr">
        <is>
          <t>Energia mensual entregada al SINP.</t>
        </is>
      </c>
    </row>
    <row r="280">
      <c r="A280" s="6" t="inlineStr">
        <is>
          <t>R0000284</t>
        </is>
      </c>
      <c r="B280" s="6" t="inlineStr">
        <is>
          <t>1998-02-01</t>
        </is>
      </c>
      <c r="C280" s="6" t="inlineStr">
        <is>
          <t>1998-02-28</t>
        </is>
      </c>
      <c r="D280" s="6" t="inlineStr">
        <is>
          <t>month</t>
        </is>
      </c>
      <c r="E280" s="6" t="inlineStr">
        <is>
          <t>YACYRETA_NET_ENERGY</t>
        </is>
      </c>
      <c r="F280" s="6" t="inlineStr">
        <is>
          <t>YACYRETA</t>
        </is>
      </c>
      <c r="G280" s="6" t="inlineStr">
        <is>
          <t>YACYRETA</t>
        </is>
      </c>
      <c r="H280" s="6" t="inlineStr">
        <is>
          <t>TOTAL</t>
        </is>
      </c>
      <c r="I280" s="8" t="n">
        <v>879220</v>
      </c>
      <c r="J280" s="6" t="inlineStr">
        <is>
          <t>MWh</t>
        </is>
      </c>
      <c r="K280" s="8" t="n">
        <v>879220</v>
      </c>
      <c r="L280" s="6" t="inlineStr">
        <is>
          <t>MWh</t>
        </is>
      </c>
      <c r="M280" s="6" t="inlineStr">
        <is>
          <t>EBY</t>
        </is>
      </c>
      <c r="N280" s="6" t="inlineStr">
        <is>
          <t>OFFICIAL_PRIMARY</t>
        </is>
      </c>
      <c r="O280" s="9" t="inlineStr">
        <is>
          <t>OFFICIAL_AGGREGATE</t>
        </is>
      </c>
      <c r="P280" s="8" t="n">
        <v>1</v>
      </c>
      <c r="Q280" s="8" t="n">
        <v>50</v>
      </c>
      <c r="R280" s="7" t="inlineStr">
        <is>
          <t>https://www.eby.gov.py/wp-content/uploads/2019/12/YacyretaEnergiasMensualesDesdePuestaenMarcha.pdf</t>
        </is>
      </c>
      <c r="S280" s="6" t="inlineStr">
        <is>
          <t>EBY-MONTHLY-1994-2012</t>
        </is>
      </c>
      <c r="T280" s="6" t="inlineStr"/>
      <c r="U280" s="4" t="inlineStr">
        <is>
          <t>2026-09-10 23:00:00</t>
        </is>
      </c>
      <c r="V280" s="4" t="inlineStr">
        <is>
          <t>Energia mensual Yacyreta desde puesta en marcha.</t>
        </is>
      </c>
    </row>
    <row r="281">
      <c r="A281" s="6" t="inlineStr">
        <is>
          <t>R0000285</t>
        </is>
      </c>
      <c r="B281" s="6" t="inlineStr">
        <is>
          <t>1998-02-01</t>
        </is>
      </c>
      <c r="C281" s="6" t="inlineStr">
        <is>
          <t>1998-02-28</t>
        </is>
      </c>
      <c r="D281" s="6" t="inlineStr">
        <is>
          <t>month</t>
        </is>
      </c>
      <c r="E281" s="6" t="inlineStr">
        <is>
          <t>ENERGY_TO_ARGENTINA</t>
        </is>
      </c>
      <c r="F281" s="6" t="inlineStr">
        <is>
          <t>YACYRETA</t>
        </is>
      </c>
      <c r="G281" s="6" t="inlineStr">
        <is>
          <t>YACYRETA</t>
        </is>
      </c>
      <c r="H281" s="6" t="inlineStr">
        <is>
          <t>SADI</t>
        </is>
      </c>
      <c r="I281" s="8" t="n">
        <v>872082</v>
      </c>
      <c r="J281" s="6" t="inlineStr">
        <is>
          <t>MWh</t>
        </is>
      </c>
      <c r="K281" s="8" t="n">
        <v>872082</v>
      </c>
      <c r="L281" s="6" t="inlineStr">
        <is>
          <t>MWh</t>
        </is>
      </c>
      <c r="M281" s="6" t="inlineStr">
        <is>
          <t>EBY</t>
        </is>
      </c>
      <c r="N281" s="6" t="inlineStr">
        <is>
          <t>OFFICIAL_PRIMARY</t>
        </is>
      </c>
      <c r="O281" s="9" t="inlineStr">
        <is>
          <t>OFFICIAL_AGGREGATE</t>
        </is>
      </c>
      <c r="P281" s="8" t="n">
        <v>1</v>
      </c>
      <c r="Q281" s="8" t="n">
        <v>50</v>
      </c>
      <c r="R281" s="7" t="inlineStr">
        <is>
          <t>https://www.eby.gov.py/wp-content/uploads/2019/12/YacyretaEnergiasMensualesDesdePuestaenMarcha.pdf</t>
        </is>
      </c>
      <c r="S281" s="6" t="inlineStr">
        <is>
          <t>EBY-MONTHLY-1994-2012</t>
        </is>
      </c>
      <c r="T281" s="6" t="inlineStr"/>
      <c r="U281" s="4" t="inlineStr">
        <is>
          <t>2026-09-10 23:00:00</t>
        </is>
      </c>
      <c r="V281" s="4" t="inlineStr">
        <is>
          <t>Energia mensual entregada al SADI.</t>
        </is>
      </c>
    </row>
    <row r="282">
      <c r="A282" s="6" t="inlineStr">
        <is>
          <t>R0000286</t>
        </is>
      </c>
      <c r="B282" s="6" t="inlineStr">
        <is>
          <t>1998-02-01</t>
        </is>
      </c>
      <c r="C282" s="6" t="inlineStr">
        <is>
          <t>1998-02-28</t>
        </is>
      </c>
      <c r="D282" s="6" t="inlineStr">
        <is>
          <t>month</t>
        </is>
      </c>
      <c r="E282" s="6" t="inlineStr">
        <is>
          <t>ENERGY_TO_PY</t>
        </is>
      </c>
      <c r="F282" s="6" t="inlineStr">
        <is>
          <t>YACYRETA</t>
        </is>
      </c>
      <c r="G282" s="6" t="inlineStr">
        <is>
          <t>YACYRETA</t>
        </is>
      </c>
      <c r="H282" s="6" t="inlineStr">
        <is>
          <t>SINP</t>
        </is>
      </c>
      <c r="I282" s="8" t="n">
        <v>7139</v>
      </c>
      <c r="J282" s="6" t="inlineStr">
        <is>
          <t>MWh</t>
        </is>
      </c>
      <c r="K282" s="8" t="n">
        <v>7139</v>
      </c>
      <c r="L282" s="6" t="inlineStr">
        <is>
          <t>MWh</t>
        </is>
      </c>
      <c r="M282" s="6" t="inlineStr">
        <is>
          <t>EBY</t>
        </is>
      </c>
      <c r="N282" s="6" t="inlineStr">
        <is>
          <t>OFFICIAL_PRIMARY</t>
        </is>
      </c>
      <c r="O282" s="9" t="inlineStr">
        <is>
          <t>OFFICIAL_AGGREGATE</t>
        </is>
      </c>
      <c r="P282" s="8" t="n">
        <v>1</v>
      </c>
      <c r="Q282" s="8" t="n">
        <v>50</v>
      </c>
      <c r="R282" s="7" t="inlineStr">
        <is>
          <t>https://www.eby.gov.py/wp-content/uploads/2019/12/YacyretaEnergiasMensualesDesdePuestaenMarcha.pdf</t>
        </is>
      </c>
      <c r="S282" s="6" t="inlineStr">
        <is>
          <t>EBY-MONTHLY-1994-2012</t>
        </is>
      </c>
      <c r="T282" s="6" t="inlineStr"/>
      <c r="U282" s="4" t="inlineStr">
        <is>
          <t>2026-09-10 23:00:00</t>
        </is>
      </c>
      <c r="V282" s="4" t="inlineStr">
        <is>
          <t>Energia mensual entregada al SINP.</t>
        </is>
      </c>
    </row>
    <row r="283">
      <c r="A283" s="6" t="inlineStr">
        <is>
          <t>R0000287</t>
        </is>
      </c>
      <c r="B283" s="6" t="inlineStr">
        <is>
          <t>1998-03-01</t>
        </is>
      </c>
      <c r="C283" s="6" t="inlineStr">
        <is>
          <t>1998-03-31</t>
        </is>
      </c>
      <c r="D283" s="6" t="inlineStr">
        <is>
          <t>month</t>
        </is>
      </c>
      <c r="E283" s="6" t="inlineStr">
        <is>
          <t>YACYRETA_NET_ENERGY</t>
        </is>
      </c>
      <c r="F283" s="6" t="inlineStr">
        <is>
          <t>YACYRETA</t>
        </is>
      </c>
      <c r="G283" s="6" t="inlineStr">
        <is>
          <t>YACYRETA</t>
        </is>
      </c>
      <c r="H283" s="6" t="inlineStr">
        <is>
          <t>TOTAL</t>
        </is>
      </c>
      <c r="I283" s="8" t="n">
        <v>997980</v>
      </c>
      <c r="J283" s="6" t="inlineStr">
        <is>
          <t>MWh</t>
        </is>
      </c>
      <c r="K283" s="8" t="n">
        <v>997980</v>
      </c>
      <c r="L283" s="6" t="inlineStr">
        <is>
          <t>MWh</t>
        </is>
      </c>
      <c r="M283" s="6" t="inlineStr">
        <is>
          <t>EBY</t>
        </is>
      </c>
      <c r="N283" s="6" t="inlineStr">
        <is>
          <t>OFFICIAL_PRIMARY</t>
        </is>
      </c>
      <c r="O283" s="9" t="inlineStr">
        <is>
          <t>OFFICIAL_AGGREGATE</t>
        </is>
      </c>
      <c r="P283" s="8" t="n">
        <v>1</v>
      </c>
      <c r="Q283" s="8" t="n">
        <v>50</v>
      </c>
      <c r="R283" s="7" t="inlineStr">
        <is>
          <t>https://www.eby.gov.py/wp-content/uploads/2019/12/YacyretaEnergiasMensualesDesdePuestaenMarcha.pdf</t>
        </is>
      </c>
      <c r="S283" s="6" t="inlineStr">
        <is>
          <t>EBY-MONTHLY-1994-2012</t>
        </is>
      </c>
      <c r="T283" s="6" t="inlineStr"/>
      <c r="U283" s="4" t="inlineStr">
        <is>
          <t>2026-09-10 23:00:00</t>
        </is>
      </c>
      <c r="V283" s="4" t="inlineStr">
        <is>
          <t>Energia mensual Yacyreta desde puesta en marcha.</t>
        </is>
      </c>
    </row>
    <row r="284">
      <c r="A284" s="6" t="inlineStr">
        <is>
          <t>R0000288</t>
        </is>
      </c>
      <c r="B284" s="6" t="inlineStr">
        <is>
          <t>1998-03-01</t>
        </is>
      </c>
      <c r="C284" s="6" t="inlineStr">
        <is>
          <t>1998-03-31</t>
        </is>
      </c>
      <c r="D284" s="6" t="inlineStr">
        <is>
          <t>month</t>
        </is>
      </c>
      <c r="E284" s="6" t="inlineStr">
        <is>
          <t>ENERGY_TO_ARGENTINA</t>
        </is>
      </c>
      <c r="F284" s="6" t="inlineStr">
        <is>
          <t>YACYRETA</t>
        </is>
      </c>
      <c r="G284" s="6" t="inlineStr">
        <is>
          <t>YACYRETA</t>
        </is>
      </c>
      <c r="H284" s="6" t="inlineStr">
        <is>
          <t>SADI</t>
        </is>
      </c>
      <c r="I284" s="8" t="n">
        <v>989198</v>
      </c>
      <c r="J284" s="6" t="inlineStr">
        <is>
          <t>MWh</t>
        </is>
      </c>
      <c r="K284" s="8" t="n">
        <v>989198</v>
      </c>
      <c r="L284" s="6" t="inlineStr">
        <is>
          <t>MWh</t>
        </is>
      </c>
      <c r="M284" s="6" t="inlineStr">
        <is>
          <t>EBY</t>
        </is>
      </c>
      <c r="N284" s="6" t="inlineStr">
        <is>
          <t>OFFICIAL_PRIMARY</t>
        </is>
      </c>
      <c r="O284" s="9" t="inlineStr">
        <is>
          <t>OFFICIAL_AGGREGATE</t>
        </is>
      </c>
      <c r="P284" s="8" t="n">
        <v>1</v>
      </c>
      <c r="Q284" s="8" t="n">
        <v>50</v>
      </c>
      <c r="R284" s="7" t="inlineStr">
        <is>
          <t>https://www.eby.gov.py/wp-content/uploads/2019/12/YacyretaEnergiasMensualesDesdePuestaenMarcha.pdf</t>
        </is>
      </c>
      <c r="S284" s="6" t="inlineStr">
        <is>
          <t>EBY-MONTHLY-1994-2012</t>
        </is>
      </c>
      <c r="T284" s="6" t="inlineStr"/>
      <c r="U284" s="4" t="inlineStr">
        <is>
          <t>2026-09-10 23:00:00</t>
        </is>
      </c>
      <c r="V284" s="4" t="inlineStr">
        <is>
          <t>Energia mensual entregada al SADI.</t>
        </is>
      </c>
    </row>
    <row r="285">
      <c r="A285" s="6" t="inlineStr">
        <is>
          <t>R0000289</t>
        </is>
      </c>
      <c r="B285" s="6" t="inlineStr">
        <is>
          <t>1998-03-01</t>
        </is>
      </c>
      <c r="C285" s="6" t="inlineStr">
        <is>
          <t>1998-03-31</t>
        </is>
      </c>
      <c r="D285" s="6" t="inlineStr">
        <is>
          <t>month</t>
        </is>
      </c>
      <c r="E285" s="6" t="inlineStr">
        <is>
          <t>ENERGY_TO_PY</t>
        </is>
      </c>
      <c r="F285" s="6" t="inlineStr">
        <is>
          <t>YACYRETA</t>
        </is>
      </c>
      <c r="G285" s="6" t="inlineStr">
        <is>
          <t>YACYRETA</t>
        </is>
      </c>
      <c r="H285" s="6" t="inlineStr">
        <is>
          <t>SINP</t>
        </is>
      </c>
      <c r="I285" s="8" t="n">
        <v>8782</v>
      </c>
      <c r="J285" s="6" t="inlineStr">
        <is>
          <t>MWh</t>
        </is>
      </c>
      <c r="K285" s="8" t="n">
        <v>8782</v>
      </c>
      <c r="L285" s="6" t="inlineStr">
        <is>
          <t>MWh</t>
        </is>
      </c>
      <c r="M285" s="6" t="inlineStr">
        <is>
          <t>EBY</t>
        </is>
      </c>
      <c r="N285" s="6" t="inlineStr">
        <is>
          <t>OFFICIAL_PRIMARY</t>
        </is>
      </c>
      <c r="O285" s="9" t="inlineStr">
        <is>
          <t>OFFICIAL_AGGREGATE</t>
        </is>
      </c>
      <c r="P285" s="8" t="n">
        <v>1</v>
      </c>
      <c r="Q285" s="8" t="n">
        <v>50</v>
      </c>
      <c r="R285" s="7" t="inlineStr">
        <is>
          <t>https://www.eby.gov.py/wp-content/uploads/2019/12/YacyretaEnergiasMensualesDesdePuestaenMarcha.pdf</t>
        </is>
      </c>
      <c r="S285" s="6" t="inlineStr">
        <is>
          <t>EBY-MONTHLY-1994-2012</t>
        </is>
      </c>
      <c r="T285" s="6" t="inlineStr"/>
      <c r="U285" s="4" t="inlineStr">
        <is>
          <t>2026-09-10 23:00:00</t>
        </is>
      </c>
      <c r="V285" s="4" t="inlineStr">
        <is>
          <t>Energia mensual entregada al SINP.</t>
        </is>
      </c>
    </row>
    <row r="286">
      <c r="A286" s="6" t="inlineStr">
        <is>
          <t>R0000290</t>
        </is>
      </c>
      <c r="B286" s="6" t="inlineStr">
        <is>
          <t>1998-04-01</t>
        </is>
      </c>
      <c r="C286" s="6" t="inlineStr">
        <is>
          <t>1998-04-30</t>
        </is>
      </c>
      <c r="D286" s="6" t="inlineStr">
        <is>
          <t>month</t>
        </is>
      </c>
      <c r="E286" s="6" t="inlineStr">
        <is>
          <t>YACYRETA_NET_ENERGY</t>
        </is>
      </c>
      <c r="F286" s="6" t="inlineStr">
        <is>
          <t>YACYRETA</t>
        </is>
      </c>
      <c r="G286" s="6" t="inlineStr">
        <is>
          <t>YACYRETA</t>
        </is>
      </c>
      <c r="H286" s="6" t="inlineStr">
        <is>
          <t>TOTAL</t>
        </is>
      </c>
      <c r="I286" s="8" t="n">
        <v>853028</v>
      </c>
      <c r="J286" s="6" t="inlineStr">
        <is>
          <t>MWh</t>
        </is>
      </c>
      <c r="K286" s="8" t="n">
        <v>853028</v>
      </c>
      <c r="L286" s="6" t="inlineStr">
        <is>
          <t>MWh</t>
        </is>
      </c>
      <c r="M286" s="6" t="inlineStr">
        <is>
          <t>EBY</t>
        </is>
      </c>
      <c r="N286" s="6" t="inlineStr">
        <is>
          <t>OFFICIAL_PRIMARY</t>
        </is>
      </c>
      <c r="O286" s="9" t="inlineStr">
        <is>
          <t>OFFICIAL_AGGREGATE</t>
        </is>
      </c>
      <c r="P286" s="8" t="n">
        <v>1</v>
      </c>
      <c r="Q286" s="8" t="n">
        <v>50</v>
      </c>
      <c r="R286" s="7" t="inlineStr">
        <is>
          <t>https://www.eby.gov.py/wp-content/uploads/2019/12/YacyretaEnergiasMensualesDesdePuestaenMarcha.pdf</t>
        </is>
      </c>
      <c r="S286" s="6" t="inlineStr">
        <is>
          <t>EBY-MONTHLY-1994-2012</t>
        </is>
      </c>
      <c r="T286" s="6" t="inlineStr"/>
      <c r="U286" s="4" t="inlineStr">
        <is>
          <t>2026-09-10 23:00:00</t>
        </is>
      </c>
      <c r="V286" s="4" t="inlineStr">
        <is>
          <t>Energia mensual Yacyreta desde puesta en marcha.</t>
        </is>
      </c>
    </row>
    <row r="287">
      <c r="A287" s="6" t="inlineStr">
        <is>
          <t>R0000291</t>
        </is>
      </c>
      <c r="B287" s="6" t="inlineStr">
        <is>
          <t>1998-04-01</t>
        </is>
      </c>
      <c r="C287" s="6" t="inlineStr">
        <is>
          <t>1998-04-30</t>
        </is>
      </c>
      <c r="D287" s="6" t="inlineStr">
        <is>
          <t>month</t>
        </is>
      </c>
      <c r="E287" s="6" t="inlineStr">
        <is>
          <t>ENERGY_TO_ARGENTINA</t>
        </is>
      </c>
      <c r="F287" s="6" t="inlineStr">
        <is>
          <t>YACYRETA</t>
        </is>
      </c>
      <c r="G287" s="6" t="inlineStr">
        <is>
          <t>YACYRETA</t>
        </is>
      </c>
      <c r="H287" s="6" t="inlineStr">
        <is>
          <t>SADI</t>
        </is>
      </c>
      <c r="I287" s="8" t="n">
        <v>833977</v>
      </c>
      <c r="J287" s="6" t="inlineStr">
        <is>
          <t>MWh</t>
        </is>
      </c>
      <c r="K287" s="8" t="n">
        <v>833977</v>
      </c>
      <c r="L287" s="6" t="inlineStr">
        <is>
          <t>MWh</t>
        </is>
      </c>
      <c r="M287" s="6" t="inlineStr">
        <is>
          <t>EBY</t>
        </is>
      </c>
      <c r="N287" s="6" t="inlineStr">
        <is>
          <t>OFFICIAL_PRIMARY</t>
        </is>
      </c>
      <c r="O287" s="9" t="inlineStr">
        <is>
          <t>OFFICIAL_AGGREGATE</t>
        </is>
      </c>
      <c r="P287" s="8" t="n">
        <v>1</v>
      </c>
      <c r="Q287" s="8" t="n">
        <v>50</v>
      </c>
      <c r="R287" s="7" t="inlineStr">
        <is>
          <t>https://www.eby.gov.py/wp-content/uploads/2019/12/YacyretaEnergiasMensualesDesdePuestaenMarcha.pdf</t>
        </is>
      </c>
      <c r="S287" s="6" t="inlineStr">
        <is>
          <t>EBY-MONTHLY-1994-2012</t>
        </is>
      </c>
      <c r="T287" s="6" t="inlineStr"/>
      <c r="U287" s="4" t="inlineStr">
        <is>
          <t>2026-09-10 23:00:00</t>
        </is>
      </c>
      <c r="V287" s="4" t="inlineStr">
        <is>
          <t>Energia mensual entregada al SADI.</t>
        </is>
      </c>
    </row>
    <row r="288">
      <c r="A288" s="6" t="inlineStr">
        <is>
          <t>R0000292</t>
        </is>
      </c>
      <c r="B288" s="6" t="inlineStr">
        <is>
          <t>1998-04-01</t>
        </is>
      </c>
      <c r="C288" s="6" t="inlineStr">
        <is>
          <t>1998-04-30</t>
        </is>
      </c>
      <c r="D288" s="6" t="inlineStr">
        <is>
          <t>month</t>
        </is>
      </c>
      <c r="E288" s="6" t="inlineStr">
        <is>
          <t>ENERGY_TO_PY</t>
        </is>
      </c>
      <c r="F288" s="6" t="inlineStr">
        <is>
          <t>YACYRETA</t>
        </is>
      </c>
      <c r="G288" s="6" t="inlineStr">
        <is>
          <t>YACYRETA</t>
        </is>
      </c>
      <c r="H288" s="6" t="inlineStr">
        <is>
          <t>SINP</t>
        </is>
      </c>
      <c r="I288" s="8" t="n">
        <v>19051</v>
      </c>
      <c r="J288" s="6" t="inlineStr">
        <is>
          <t>MWh</t>
        </is>
      </c>
      <c r="K288" s="8" t="n">
        <v>19051</v>
      </c>
      <c r="L288" s="6" t="inlineStr">
        <is>
          <t>MWh</t>
        </is>
      </c>
      <c r="M288" s="6" t="inlineStr">
        <is>
          <t>EBY</t>
        </is>
      </c>
      <c r="N288" s="6" t="inlineStr">
        <is>
          <t>OFFICIAL_PRIMARY</t>
        </is>
      </c>
      <c r="O288" s="9" t="inlineStr">
        <is>
          <t>OFFICIAL_AGGREGATE</t>
        </is>
      </c>
      <c r="P288" s="8" t="n">
        <v>1</v>
      </c>
      <c r="Q288" s="8" t="n">
        <v>50</v>
      </c>
      <c r="R288" s="7" t="inlineStr">
        <is>
          <t>https://www.eby.gov.py/wp-content/uploads/2019/12/YacyretaEnergiasMensualesDesdePuestaenMarcha.pdf</t>
        </is>
      </c>
      <c r="S288" s="6" t="inlineStr">
        <is>
          <t>EBY-MONTHLY-1994-2012</t>
        </is>
      </c>
      <c r="T288" s="6" t="inlineStr"/>
      <c r="U288" s="4" t="inlineStr">
        <is>
          <t>2026-09-10 23:00:00</t>
        </is>
      </c>
      <c r="V288" s="4" t="inlineStr">
        <is>
          <t>Energia mensual entregada al SINP.</t>
        </is>
      </c>
    </row>
    <row r="289">
      <c r="A289" s="6" t="inlineStr">
        <is>
          <t>R0000293</t>
        </is>
      </c>
      <c r="B289" s="6" t="inlineStr">
        <is>
          <t>1998-05-01</t>
        </is>
      </c>
      <c r="C289" s="6" t="inlineStr">
        <is>
          <t>1998-05-31</t>
        </is>
      </c>
      <c r="D289" s="6" t="inlineStr">
        <is>
          <t>month</t>
        </is>
      </c>
      <c r="E289" s="6" t="inlineStr">
        <is>
          <t>YACYRETA_NET_ENERGY</t>
        </is>
      </c>
      <c r="F289" s="6" t="inlineStr">
        <is>
          <t>YACYRETA</t>
        </is>
      </c>
      <c r="G289" s="6" t="inlineStr">
        <is>
          <t>YACYRETA</t>
        </is>
      </c>
      <c r="H289" s="6" t="inlineStr">
        <is>
          <t>TOTAL</t>
        </is>
      </c>
      <c r="I289" s="8" t="n">
        <v>988412</v>
      </c>
      <c r="J289" s="6" t="inlineStr">
        <is>
          <t>MWh</t>
        </is>
      </c>
      <c r="K289" s="8" t="n">
        <v>988412</v>
      </c>
      <c r="L289" s="6" t="inlineStr">
        <is>
          <t>MWh</t>
        </is>
      </c>
      <c r="M289" s="6" t="inlineStr">
        <is>
          <t>EBY</t>
        </is>
      </c>
      <c r="N289" s="6" t="inlineStr">
        <is>
          <t>OFFICIAL_PRIMARY</t>
        </is>
      </c>
      <c r="O289" s="9" t="inlineStr">
        <is>
          <t>OFFICIAL_AGGREGATE</t>
        </is>
      </c>
      <c r="P289" s="8" t="n">
        <v>1</v>
      </c>
      <c r="Q289" s="8" t="n">
        <v>50</v>
      </c>
      <c r="R289" s="7" t="inlineStr">
        <is>
          <t>https://www.eby.gov.py/wp-content/uploads/2019/12/YacyretaEnergiasMensualesDesdePuestaenMarcha.pdf</t>
        </is>
      </c>
      <c r="S289" s="6" t="inlineStr">
        <is>
          <t>EBY-MONTHLY-1994-2012</t>
        </is>
      </c>
      <c r="T289" s="6" t="inlineStr"/>
      <c r="U289" s="4" t="inlineStr">
        <is>
          <t>2026-09-10 23:00:00</t>
        </is>
      </c>
      <c r="V289" s="4" t="inlineStr">
        <is>
          <t>Energia mensual Yacyreta desde puesta en marcha.</t>
        </is>
      </c>
    </row>
    <row r="290">
      <c r="A290" s="6" t="inlineStr">
        <is>
          <t>R0000294</t>
        </is>
      </c>
      <c r="B290" s="6" t="inlineStr">
        <is>
          <t>1998-05-01</t>
        </is>
      </c>
      <c r="C290" s="6" t="inlineStr">
        <is>
          <t>1998-05-31</t>
        </is>
      </c>
      <c r="D290" s="6" t="inlineStr">
        <is>
          <t>month</t>
        </is>
      </c>
      <c r="E290" s="6" t="inlineStr">
        <is>
          <t>ENERGY_TO_ARGENTINA</t>
        </is>
      </c>
      <c r="F290" s="6" t="inlineStr">
        <is>
          <t>YACYRETA</t>
        </is>
      </c>
      <c r="G290" s="6" t="inlineStr">
        <is>
          <t>YACYRETA</t>
        </is>
      </c>
      <c r="H290" s="6" t="inlineStr">
        <is>
          <t>SADI</t>
        </is>
      </c>
      <c r="I290" s="8" t="n">
        <v>979854</v>
      </c>
      <c r="J290" s="6" t="inlineStr">
        <is>
          <t>MWh</t>
        </is>
      </c>
      <c r="K290" s="8" t="n">
        <v>979854</v>
      </c>
      <c r="L290" s="6" t="inlineStr">
        <is>
          <t>MWh</t>
        </is>
      </c>
      <c r="M290" s="6" t="inlineStr">
        <is>
          <t>EBY</t>
        </is>
      </c>
      <c r="N290" s="6" t="inlineStr">
        <is>
          <t>OFFICIAL_PRIMARY</t>
        </is>
      </c>
      <c r="O290" s="9" t="inlineStr">
        <is>
          <t>OFFICIAL_AGGREGATE</t>
        </is>
      </c>
      <c r="P290" s="8" t="n">
        <v>1</v>
      </c>
      <c r="Q290" s="8" t="n">
        <v>50</v>
      </c>
      <c r="R290" s="7" t="inlineStr">
        <is>
          <t>https://www.eby.gov.py/wp-content/uploads/2019/12/YacyretaEnergiasMensualesDesdePuestaenMarcha.pdf</t>
        </is>
      </c>
      <c r="S290" s="6" t="inlineStr">
        <is>
          <t>EBY-MONTHLY-1994-2012</t>
        </is>
      </c>
      <c r="T290" s="6" t="inlineStr"/>
      <c r="U290" s="4" t="inlineStr">
        <is>
          <t>2026-09-10 23:00:00</t>
        </is>
      </c>
      <c r="V290" s="4" t="inlineStr">
        <is>
          <t>Energia mensual entregada al SADI.</t>
        </is>
      </c>
    </row>
    <row r="291">
      <c r="A291" s="6" t="inlineStr">
        <is>
          <t>R0000295</t>
        </is>
      </c>
      <c r="B291" s="6" t="inlineStr">
        <is>
          <t>1998-05-01</t>
        </is>
      </c>
      <c r="C291" s="6" t="inlineStr">
        <is>
          <t>1998-05-31</t>
        </is>
      </c>
      <c r="D291" s="6" t="inlineStr">
        <is>
          <t>month</t>
        </is>
      </c>
      <c r="E291" s="6" t="inlineStr">
        <is>
          <t>ENERGY_TO_PY</t>
        </is>
      </c>
      <c r="F291" s="6" t="inlineStr">
        <is>
          <t>YACYRETA</t>
        </is>
      </c>
      <c r="G291" s="6" t="inlineStr">
        <is>
          <t>YACYRETA</t>
        </is>
      </c>
      <c r="H291" s="6" t="inlineStr">
        <is>
          <t>SINP</t>
        </is>
      </c>
      <c r="I291" s="8" t="n">
        <v>8558</v>
      </c>
      <c r="J291" s="6" t="inlineStr">
        <is>
          <t>MWh</t>
        </is>
      </c>
      <c r="K291" s="8" t="n">
        <v>8558</v>
      </c>
      <c r="L291" s="6" t="inlineStr">
        <is>
          <t>MWh</t>
        </is>
      </c>
      <c r="M291" s="6" t="inlineStr">
        <is>
          <t>EBY</t>
        </is>
      </c>
      <c r="N291" s="6" t="inlineStr">
        <is>
          <t>OFFICIAL_PRIMARY</t>
        </is>
      </c>
      <c r="O291" s="9" t="inlineStr">
        <is>
          <t>OFFICIAL_AGGREGATE</t>
        </is>
      </c>
      <c r="P291" s="8" t="n">
        <v>1</v>
      </c>
      <c r="Q291" s="8" t="n">
        <v>50</v>
      </c>
      <c r="R291" s="7" t="inlineStr">
        <is>
          <t>https://www.eby.gov.py/wp-content/uploads/2019/12/YacyretaEnergiasMensualesDesdePuestaenMarcha.pdf</t>
        </is>
      </c>
      <c r="S291" s="6" t="inlineStr">
        <is>
          <t>EBY-MONTHLY-1994-2012</t>
        </is>
      </c>
      <c r="T291" s="6" t="inlineStr"/>
      <c r="U291" s="4" t="inlineStr">
        <is>
          <t>2026-09-10 23:00:00</t>
        </is>
      </c>
      <c r="V291" s="4" t="inlineStr">
        <is>
          <t>Energia mensual entregada al SINP.</t>
        </is>
      </c>
    </row>
    <row r="292">
      <c r="A292" s="6" t="inlineStr">
        <is>
          <t>R0000296</t>
        </is>
      </c>
      <c r="B292" s="6" t="inlineStr">
        <is>
          <t>1998-06-01</t>
        </is>
      </c>
      <c r="C292" s="6" t="inlineStr">
        <is>
          <t>1998-06-30</t>
        </is>
      </c>
      <c r="D292" s="6" t="inlineStr">
        <is>
          <t>month</t>
        </is>
      </c>
      <c r="E292" s="6" t="inlineStr">
        <is>
          <t>YACYRETA_NET_ENERGY</t>
        </is>
      </c>
      <c r="F292" s="6" t="inlineStr">
        <is>
          <t>YACYRETA</t>
        </is>
      </c>
      <c r="G292" s="6" t="inlineStr">
        <is>
          <t>YACYRETA</t>
        </is>
      </c>
      <c r="H292" s="6" t="inlineStr">
        <is>
          <t>TOTAL</t>
        </is>
      </c>
      <c r="I292" s="8" t="n">
        <v>1069650</v>
      </c>
      <c r="J292" s="6" t="inlineStr">
        <is>
          <t>MWh</t>
        </is>
      </c>
      <c r="K292" s="8" t="n">
        <v>1069650</v>
      </c>
      <c r="L292" s="6" t="inlineStr">
        <is>
          <t>MWh</t>
        </is>
      </c>
      <c r="M292" s="6" t="inlineStr">
        <is>
          <t>EBY</t>
        </is>
      </c>
      <c r="N292" s="6" t="inlineStr">
        <is>
          <t>OFFICIAL_PRIMARY</t>
        </is>
      </c>
      <c r="O292" s="9" t="inlineStr">
        <is>
          <t>OFFICIAL_AGGREGATE</t>
        </is>
      </c>
      <c r="P292" s="8" t="n">
        <v>1</v>
      </c>
      <c r="Q292" s="8" t="n">
        <v>50</v>
      </c>
      <c r="R292" s="7" t="inlineStr">
        <is>
          <t>https://www.eby.gov.py/wp-content/uploads/2019/12/YacyretaEnergiasMensualesDesdePuestaenMarcha.pdf</t>
        </is>
      </c>
      <c r="S292" s="6" t="inlineStr">
        <is>
          <t>EBY-MONTHLY-1994-2012</t>
        </is>
      </c>
      <c r="T292" s="6" t="inlineStr"/>
      <c r="U292" s="4" t="inlineStr">
        <is>
          <t>2026-09-10 23:00:00</t>
        </is>
      </c>
      <c r="V292" s="4" t="inlineStr">
        <is>
          <t>Energia mensual Yacyreta desde puesta en marcha.</t>
        </is>
      </c>
    </row>
    <row r="293">
      <c r="A293" s="6" t="inlineStr">
        <is>
          <t>R0000297</t>
        </is>
      </c>
      <c r="B293" s="6" t="inlineStr">
        <is>
          <t>1998-06-01</t>
        </is>
      </c>
      <c r="C293" s="6" t="inlineStr">
        <is>
          <t>1998-06-30</t>
        </is>
      </c>
      <c r="D293" s="6" t="inlineStr">
        <is>
          <t>month</t>
        </is>
      </c>
      <c r="E293" s="6" t="inlineStr">
        <is>
          <t>ENERGY_TO_ARGENTINA</t>
        </is>
      </c>
      <c r="F293" s="6" t="inlineStr">
        <is>
          <t>YACYRETA</t>
        </is>
      </c>
      <c r="G293" s="6" t="inlineStr">
        <is>
          <t>YACYRETA</t>
        </is>
      </c>
      <c r="H293" s="6" t="inlineStr">
        <is>
          <t>SADI</t>
        </is>
      </c>
      <c r="I293" s="8" t="n">
        <v>1058430</v>
      </c>
      <c r="J293" s="6" t="inlineStr">
        <is>
          <t>MWh</t>
        </is>
      </c>
      <c r="K293" s="8" t="n">
        <v>1058430</v>
      </c>
      <c r="L293" s="6" t="inlineStr">
        <is>
          <t>MWh</t>
        </is>
      </c>
      <c r="M293" s="6" t="inlineStr">
        <is>
          <t>EBY</t>
        </is>
      </c>
      <c r="N293" s="6" t="inlineStr">
        <is>
          <t>OFFICIAL_PRIMARY</t>
        </is>
      </c>
      <c r="O293" s="9" t="inlineStr">
        <is>
          <t>OFFICIAL_AGGREGATE</t>
        </is>
      </c>
      <c r="P293" s="8" t="n">
        <v>1</v>
      </c>
      <c r="Q293" s="8" t="n">
        <v>50</v>
      </c>
      <c r="R293" s="7" t="inlineStr">
        <is>
          <t>https://www.eby.gov.py/wp-content/uploads/2019/12/YacyretaEnergiasMensualesDesdePuestaenMarcha.pdf</t>
        </is>
      </c>
      <c r="S293" s="6" t="inlineStr">
        <is>
          <t>EBY-MONTHLY-1994-2012</t>
        </is>
      </c>
      <c r="T293" s="6" t="inlineStr"/>
      <c r="U293" s="4" t="inlineStr">
        <is>
          <t>2026-09-10 23:00:00</t>
        </is>
      </c>
      <c r="V293" s="4" t="inlineStr">
        <is>
          <t>Energia mensual entregada al SADI.</t>
        </is>
      </c>
    </row>
    <row r="294">
      <c r="A294" s="6" t="inlineStr">
        <is>
          <t>R0000298</t>
        </is>
      </c>
      <c r="B294" s="6" t="inlineStr">
        <is>
          <t>1998-06-01</t>
        </is>
      </c>
      <c r="C294" s="6" t="inlineStr">
        <is>
          <t>1998-06-30</t>
        </is>
      </c>
      <c r="D294" s="6" t="inlineStr">
        <is>
          <t>month</t>
        </is>
      </c>
      <c r="E294" s="6" t="inlineStr">
        <is>
          <t>ENERGY_TO_PY</t>
        </is>
      </c>
      <c r="F294" s="6" t="inlineStr">
        <is>
          <t>YACYRETA</t>
        </is>
      </c>
      <c r="G294" s="6" t="inlineStr">
        <is>
          <t>YACYRETA</t>
        </is>
      </c>
      <c r="H294" s="6" t="inlineStr">
        <is>
          <t>SINP</t>
        </is>
      </c>
      <c r="I294" s="8" t="n">
        <v>11220</v>
      </c>
      <c r="J294" s="6" t="inlineStr">
        <is>
          <t>MWh</t>
        </is>
      </c>
      <c r="K294" s="8" t="n">
        <v>11220</v>
      </c>
      <c r="L294" s="6" t="inlineStr">
        <is>
          <t>MWh</t>
        </is>
      </c>
      <c r="M294" s="6" t="inlineStr">
        <is>
          <t>EBY</t>
        </is>
      </c>
      <c r="N294" s="6" t="inlineStr">
        <is>
          <t>OFFICIAL_PRIMARY</t>
        </is>
      </c>
      <c r="O294" s="9" t="inlineStr">
        <is>
          <t>OFFICIAL_AGGREGATE</t>
        </is>
      </c>
      <c r="P294" s="8" t="n">
        <v>1</v>
      </c>
      <c r="Q294" s="8" t="n">
        <v>50</v>
      </c>
      <c r="R294" s="7" t="inlineStr">
        <is>
          <t>https://www.eby.gov.py/wp-content/uploads/2019/12/YacyretaEnergiasMensualesDesdePuestaenMarcha.pdf</t>
        </is>
      </c>
      <c r="S294" s="6" t="inlineStr">
        <is>
          <t>EBY-MONTHLY-1994-2012</t>
        </is>
      </c>
      <c r="T294" s="6" t="inlineStr"/>
      <c r="U294" s="4" t="inlineStr">
        <is>
          <t>2026-09-10 23:00:00</t>
        </is>
      </c>
      <c r="V294" s="4" t="inlineStr">
        <is>
          <t>Energia mensual entregada al SINP.</t>
        </is>
      </c>
    </row>
    <row r="295">
      <c r="A295" s="6" t="inlineStr">
        <is>
          <t>R0000299</t>
        </is>
      </c>
      <c r="B295" s="6" t="inlineStr">
        <is>
          <t>1998-07-01</t>
        </is>
      </c>
      <c r="C295" s="6" t="inlineStr">
        <is>
          <t>1998-07-31</t>
        </is>
      </c>
      <c r="D295" s="6" t="inlineStr">
        <is>
          <t>month</t>
        </is>
      </c>
      <c r="E295" s="6" t="inlineStr">
        <is>
          <t>YACYRETA_NET_ENERGY</t>
        </is>
      </c>
      <c r="F295" s="6" t="inlineStr">
        <is>
          <t>YACYRETA</t>
        </is>
      </c>
      <c r="G295" s="6" t="inlineStr">
        <is>
          <t>YACYRETA</t>
        </is>
      </c>
      <c r="H295" s="6" t="inlineStr">
        <is>
          <t>TOTAL</t>
        </is>
      </c>
      <c r="I295" s="8" t="n">
        <v>1102135</v>
      </c>
      <c r="J295" s="6" t="inlineStr">
        <is>
          <t>MWh</t>
        </is>
      </c>
      <c r="K295" s="8" t="n">
        <v>1102135</v>
      </c>
      <c r="L295" s="6" t="inlineStr">
        <is>
          <t>MWh</t>
        </is>
      </c>
      <c r="M295" s="6" t="inlineStr">
        <is>
          <t>EBY</t>
        </is>
      </c>
      <c r="N295" s="6" t="inlineStr">
        <is>
          <t>OFFICIAL_PRIMARY</t>
        </is>
      </c>
      <c r="O295" s="9" t="inlineStr">
        <is>
          <t>OFFICIAL_AGGREGATE</t>
        </is>
      </c>
      <c r="P295" s="8" t="n">
        <v>1</v>
      </c>
      <c r="Q295" s="8" t="n">
        <v>50</v>
      </c>
      <c r="R295" s="7" t="inlineStr">
        <is>
          <t>https://www.eby.gov.py/wp-content/uploads/2019/12/YacyretaEnergiasMensualesDesdePuestaenMarcha.pdf</t>
        </is>
      </c>
      <c r="S295" s="6" t="inlineStr">
        <is>
          <t>EBY-MONTHLY-1994-2012</t>
        </is>
      </c>
      <c r="T295" s="6" t="inlineStr"/>
      <c r="U295" s="4" t="inlineStr">
        <is>
          <t>2026-09-10 23:00:00</t>
        </is>
      </c>
      <c r="V295" s="4" t="inlineStr">
        <is>
          <t>Energia mensual Yacyreta desde puesta en marcha.</t>
        </is>
      </c>
    </row>
    <row r="296">
      <c r="A296" s="6" t="inlineStr">
        <is>
          <t>R0000300</t>
        </is>
      </c>
      <c r="B296" s="6" t="inlineStr">
        <is>
          <t>1998-07-01</t>
        </is>
      </c>
      <c r="C296" s="6" t="inlineStr">
        <is>
          <t>1998-07-31</t>
        </is>
      </c>
      <c r="D296" s="6" t="inlineStr">
        <is>
          <t>month</t>
        </is>
      </c>
      <c r="E296" s="6" t="inlineStr">
        <is>
          <t>ENERGY_TO_ARGENTINA</t>
        </is>
      </c>
      <c r="F296" s="6" t="inlineStr">
        <is>
          <t>YACYRETA</t>
        </is>
      </c>
      <c r="G296" s="6" t="inlineStr">
        <is>
          <t>YACYRETA</t>
        </is>
      </c>
      <c r="H296" s="6" t="inlineStr">
        <is>
          <t>SADI</t>
        </is>
      </c>
      <c r="I296" s="8" t="n">
        <v>1094334</v>
      </c>
      <c r="J296" s="6" t="inlineStr">
        <is>
          <t>MWh</t>
        </is>
      </c>
      <c r="K296" s="8" t="n">
        <v>1094334</v>
      </c>
      <c r="L296" s="6" t="inlineStr">
        <is>
          <t>MWh</t>
        </is>
      </c>
      <c r="M296" s="6" t="inlineStr">
        <is>
          <t>EBY</t>
        </is>
      </c>
      <c r="N296" s="6" t="inlineStr">
        <is>
          <t>OFFICIAL_PRIMARY</t>
        </is>
      </c>
      <c r="O296" s="9" t="inlineStr">
        <is>
          <t>OFFICIAL_AGGREGATE</t>
        </is>
      </c>
      <c r="P296" s="8" t="n">
        <v>1</v>
      </c>
      <c r="Q296" s="8" t="n">
        <v>50</v>
      </c>
      <c r="R296" s="7" t="inlineStr">
        <is>
          <t>https://www.eby.gov.py/wp-content/uploads/2019/12/YacyretaEnergiasMensualesDesdePuestaenMarcha.pdf</t>
        </is>
      </c>
      <c r="S296" s="6" t="inlineStr">
        <is>
          <t>EBY-MONTHLY-1994-2012</t>
        </is>
      </c>
      <c r="T296" s="6" t="inlineStr"/>
      <c r="U296" s="4" t="inlineStr">
        <is>
          <t>2026-09-10 23:00:00</t>
        </is>
      </c>
      <c r="V296" s="4" t="inlineStr">
        <is>
          <t>Energia mensual entregada al SADI.</t>
        </is>
      </c>
    </row>
    <row r="297">
      <c r="A297" s="6" t="inlineStr">
        <is>
          <t>R0000301</t>
        </is>
      </c>
      <c r="B297" s="6" t="inlineStr">
        <is>
          <t>1998-07-01</t>
        </is>
      </c>
      <c r="C297" s="6" t="inlineStr">
        <is>
          <t>1998-07-31</t>
        </is>
      </c>
      <c r="D297" s="6" t="inlineStr">
        <is>
          <t>month</t>
        </is>
      </c>
      <c r="E297" s="6" t="inlineStr">
        <is>
          <t>ENERGY_TO_PY</t>
        </is>
      </c>
      <c r="F297" s="6" t="inlineStr">
        <is>
          <t>YACYRETA</t>
        </is>
      </c>
      <c r="G297" s="6" t="inlineStr">
        <is>
          <t>YACYRETA</t>
        </is>
      </c>
      <c r="H297" s="6" t="inlineStr">
        <is>
          <t>SINP</t>
        </is>
      </c>
      <c r="I297" s="8" t="n">
        <v>7801</v>
      </c>
      <c r="J297" s="6" t="inlineStr">
        <is>
          <t>MWh</t>
        </is>
      </c>
      <c r="K297" s="8" t="n">
        <v>7801</v>
      </c>
      <c r="L297" s="6" t="inlineStr">
        <is>
          <t>MWh</t>
        </is>
      </c>
      <c r="M297" s="6" t="inlineStr">
        <is>
          <t>EBY</t>
        </is>
      </c>
      <c r="N297" s="6" t="inlineStr">
        <is>
          <t>OFFICIAL_PRIMARY</t>
        </is>
      </c>
      <c r="O297" s="9" t="inlineStr">
        <is>
          <t>OFFICIAL_AGGREGATE</t>
        </is>
      </c>
      <c r="P297" s="8" t="n">
        <v>1</v>
      </c>
      <c r="Q297" s="8" t="n">
        <v>50</v>
      </c>
      <c r="R297" s="7" t="inlineStr">
        <is>
          <t>https://www.eby.gov.py/wp-content/uploads/2019/12/YacyretaEnergiasMensualesDesdePuestaenMarcha.pdf</t>
        </is>
      </c>
      <c r="S297" s="6" t="inlineStr">
        <is>
          <t>EBY-MONTHLY-1994-2012</t>
        </is>
      </c>
      <c r="T297" s="6" t="inlineStr"/>
      <c r="U297" s="4" t="inlineStr">
        <is>
          <t>2026-09-10 23:00:00</t>
        </is>
      </c>
      <c r="V297" s="4" t="inlineStr">
        <is>
          <t>Energia mensual entregada al SINP.</t>
        </is>
      </c>
    </row>
    <row r="298">
      <c r="A298" s="6" t="inlineStr">
        <is>
          <t>R0000302</t>
        </is>
      </c>
      <c r="B298" s="6" t="inlineStr">
        <is>
          <t>1998-08-01</t>
        </is>
      </c>
      <c r="C298" s="6" t="inlineStr">
        <is>
          <t>1998-08-31</t>
        </is>
      </c>
      <c r="D298" s="6" t="inlineStr">
        <is>
          <t>month</t>
        </is>
      </c>
      <c r="E298" s="6" t="inlineStr">
        <is>
          <t>YACYRETA_NET_ENERGY</t>
        </is>
      </c>
      <c r="F298" s="6" t="inlineStr">
        <is>
          <t>YACYRETA</t>
        </is>
      </c>
      <c r="G298" s="6" t="inlineStr">
        <is>
          <t>YACYRETA</t>
        </is>
      </c>
      <c r="H298" s="6" t="inlineStr">
        <is>
          <t>TOTAL</t>
        </is>
      </c>
      <c r="I298" s="8" t="n">
        <v>1039960</v>
      </c>
      <c r="J298" s="6" t="inlineStr">
        <is>
          <t>MWh</t>
        </is>
      </c>
      <c r="K298" s="8" t="n">
        <v>1039960</v>
      </c>
      <c r="L298" s="6" t="inlineStr">
        <is>
          <t>MWh</t>
        </is>
      </c>
      <c r="M298" s="6" t="inlineStr">
        <is>
          <t>EBY</t>
        </is>
      </c>
      <c r="N298" s="6" t="inlineStr">
        <is>
          <t>OFFICIAL_PRIMARY</t>
        </is>
      </c>
      <c r="O298" s="9" t="inlineStr">
        <is>
          <t>OFFICIAL_AGGREGATE</t>
        </is>
      </c>
      <c r="P298" s="8" t="n">
        <v>1</v>
      </c>
      <c r="Q298" s="8" t="n">
        <v>50</v>
      </c>
      <c r="R298" s="7" t="inlineStr">
        <is>
          <t>https://www.eby.gov.py/wp-content/uploads/2019/12/YacyretaEnergiasMensualesDesdePuestaenMarcha.pdf</t>
        </is>
      </c>
      <c r="S298" s="6" t="inlineStr">
        <is>
          <t>EBY-MONTHLY-1994-2012</t>
        </is>
      </c>
      <c r="T298" s="6" t="inlineStr"/>
      <c r="U298" s="4" t="inlineStr">
        <is>
          <t>2026-09-10 23:00:00</t>
        </is>
      </c>
      <c r="V298" s="4" t="inlineStr">
        <is>
          <t>Energia mensual Yacyreta desde puesta en marcha.</t>
        </is>
      </c>
    </row>
    <row r="299">
      <c r="A299" s="6" t="inlineStr">
        <is>
          <t>R0000303</t>
        </is>
      </c>
      <c r="B299" s="6" t="inlineStr">
        <is>
          <t>1998-08-01</t>
        </is>
      </c>
      <c r="C299" s="6" t="inlineStr">
        <is>
          <t>1998-08-31</t>
        </is>
      </c>
      <c r="D299" s="6" t="inlineStr">
        <is>
          <t>month</t>
        </is>
      </c>
      <c r="E299" s="6" t="inlineStr">
        <is>
          <t>ENERGY_TO_ARGENTINA</t>
        </is>
      </c>
      <c r="F299" s="6" t="inlineStr">
        <is>
          <t>YACYRETA</t>
        </is>
      </c>
      <c r="G299" s="6" t="inlineStr">
        <is>
          <t>YACYRETA</t>
        </is>
      </c>
      <c r="H299" s="6" t="inlineStr">
        <is>
          <t>SADI</t>
        </is>
      </c>
      <c r="I299" s="8" t="n">
        <v>1033611</v>
      </c>
      <c r="J299" s="6" t="inlineStr">
        <is>
          <t>MWh</t>
        </is>
      </c>
      <c r="K299" s="8" t="n">
        <v>1033611</v>
      </c>
      <c r="L299" s="6" t="inlineStr">
        <is>
          <t>MWh</t>
        </is>
      </c>
      <c r="M299" s="6" t="inlineStr">
        <is>
          <t>EBY</t>
        </is>
      </c>
      <c r="N299" s="6" t="inlineStr">
        <is>
          <t>OFFICIAL_PRIMARY</t>
        </is>
      </c>
      <c r="O299" s="9" t="inlineStr">
        <is>
          <t>OFFICIAL_AGGREGATE</t>
        </is>
      </c>
      <c r="P299" s="8" t="n">
        <v>1</v>
      </c>
      <c r="Q299" s="8" t="n">
        <v>50</v>
      </c>
      <c r="R299" s="7" t="inlineStr">
        <is>
          <t>https://www.eby.gov.py/wp-content/uploads/2019/12/YacyretaEnergiasMensualesDesdePuestaenMarcha.pdf</t>
        </is>
      </c>
      <c r="S299" s="6" t="inlineStr">
        <is>
          <t>EBY-MONTHLY-1994-2012</t>
        </is>
      </c>
      <c r="T299" s="6" t="inlineStr"/>
      <c r="U299" s="4" t="inlineStr">
        <is>
          <t>2026-09-10 23:00:00</t>
        </is>
      </c>
      <c r="V299" s="4" t="inlineStr">
        <is>
          <t>Energia mensual entregada al SADI.</t>
        </is>
      </c>
    </row>
    <row r="300">
      <c r="A300" s="6" t="inlineStr">
        <is>
          <t>R0000304</t>
        </is>
      </c>
      <c r="B300" s="6" t="inlineStr">
        <is>
          <t>1998-08-01</t>
        </is>
      </c>
      <c r="C300" s="6" t="inlineStr">
        <is>
          <t>1998-08-31</t>
        </is>
      </c>
      <c r="D300" s="6" t="inlineStr">
        <is>
          <t>month</t>
        </is>
      </c>
      <c r="E300" s="6" t="inlineStr">
        <is>
          <t>ENERGY_TO_PY</t>
        </is>
      </c>
      <c r="F300" s="6" t="inlineStr">
        <is>
          <t>YACYRETA</t>
        </is>
      </c>
      <c r="G300" s="6" t="inlineStr">
        <is>
          <t>YACYRETA</t>
        </is>
      </c>
      <c r="H300" s="6" t="inlineStr">
        <is>
          <t>SINP</t>
        </is>
      </c>
      <c r="I300" s="8" t="n">
        <v>6350</v>
      </c>
      <c r="J300" s="6" t="inlineStr">
        <is>
          <t>MWh</t>
        </is>
      </c>
      <c r="K300" s="8" t="n">
        <v>6350</v>
      </c>
      <c r="L300" s="6" t="inlineStr">
        <is>
          <t>MWh</t>
        </is>
      </c>
      <c r="M300" s="6" t="inlineStr">
        <is>
          <t>EBY</t>
        </is>
      </c>
      <c r="N300" s="6" t="inlineStr">
        <is>
          <t>OFFICIAL_PRIMARY</t>
        </is>
      </c>
      <c r="O300" s="9" t="inlineStr">
        <is>
          <t>OFFICIAL_AGGREGATE</t>
        </is>
      </c>
      <c r="P300" s="8" t="n">
        <v>1</v>
      </c>
      <c r="Q300" s="8" t="n">
        <v>50</v>
      </c>
      <c r="R300" s="7" t="inlineStr">
        <is>
          <t>https://www.eby.gov.py/wp-content/uploads/2019/12/YacyretaEnergiasMensualesDesdePuestaenMarcha.pdf</t>
        </is>
      </c>
      <c r="S300" s="6" t="inlineStr">
        <is>
          <t>EBY-MONTHLY-1994-2012</t>
        </is>
      </c>
      <c r="T300" s="6" t="inlineStr"/>
      <c r="U300" s="4" t="inlineStr">
        <is>
          <t>2026-09-10 23:00:00</t>
        </is>
      </c>
      <c r="V300" s="4" t="inlineStr">
        <is>
          <t>Energia mensual entregada al SINP.</t>
        </is>
      </c>
    </row>
    <row r="301">
      <c r="A301" s="6" t="inlineStr">
        <is>
          <t>R0000305</t>
        </is>
      </c>
      <c r="B301" s="6" t="inlineStr">
        <is>
          <t>1998-09-01</t>
        </is>
      </c>
      <c r="C301" s="6" t="inlineStr">
        <is>
          <t>1998-09-30</t>
        </is>
      </c>
      <c r="D301" s="6" t="inlineStr">
        <is>
          <t>month</t>
        </is>
      </c>
      <c r="E301" s="6" t="inlineStr">
        <is>
          <t>YACYRETA_NET_ENERGY</t>
        </is>
      </c>
      <c r="F301" s="6" t="inlineStr">
        <is>
          <t>YACYRETA</t>
        </is>
      </c>
      <c r="G301" s="6" t="inlineStr">
        <is>
          <t>YACYRETA</t>
        </is>
      </c>
      <c r="H301" s="6" t="inlineStr">
        <is>
          <t>TOTAL</t>
        </is>
      </c>
      <c r="I301" s="8" t="n">
        <v>993949</v>
      </c>
      <c r="J301" s="6" t="inlineStr">
        <is>
          <t>MWh</t>
        </is>
      </c>
      <c r="K301" s="8" t="n">
        <v>993949</v>
      </c>
      <c r="L301" s="6" t="inlineStr">
        <is>
          <t>MWh</t>
        </is>
      </c>
      <c r="M301" s="6" t="inlineStr">
        <is>
          <t>EBY</t>
        </is>
      </c>
      <c r="N301" s="6" t="inlineStr">
        <is>
          <t>OFFICIAL_PRIMARY</t>
        </is>
      </c>
      <c r="O301" s="9" t="inlineStr">
        <is>
          <t>OFFICIAL_AGGREGATE</t>
        </is>
      </c>
      <c r="P301" s="8" t="n">
        <v>1</v>
      </c>
      <c r="Q301" s="8" t="n">
        <v>50</v>
      </c>
      <c r="R301" s="7" t="inlineStr">
        <is>
          <t>https://www.eby.gov.py/wp-content/uploads/2019/12/YacyretaEnergiasMensualesDesdePuestaenMarcha.pdf</t>
        </is>
      </c>
      <c r="S301" s="6" t="inlineStr">
        <is>
          <t>EBY-MONTHLY-1994-2012</t>
        </is>
      </c>
      <c r="T301" s="6" t="inlineStr"/>
      <c r="U301" s="4" t="inlineStr">
        <is>
          <t>2026-09-10 23:00:00</t>
        </is>
      </c>
      <c r="V301" s="4" t="inlineStr">
        <is>
          <t>Energia mensual Yacyreta desde puesta en marcha.</t>
        </is>
      </c>
    </row>
    <row r="302">
      <c r="A302" s="6" t="inlineStr">
        <is>
          <t>R0000306</t>
        </is>
      </c>
      <c r="B302" s="6" t="inlineStr">
        <is>
          <t>1998-09-01</t>
        </is>
      </c>
      <c r="C302" s="6" t="inlineStr">
        <is>
          <t>1998-09-30</t>
        </is>
      </c>
      <c r="D302" s="6" t="inlineStr">
        <is>
          <t>month</t>
        </is>
      </c>
      <c r="E302" s="6" t="inlineStr">
        <is>
          <t>ENERGY_TO_ARGENTINA</t>
        </is>
      </c>
      <c r="F302" s="6" t="inlineStr">
        <is>
          <t>YACYRETA</t>
        </is>
      </c>
      <c r="G302" s="6" t="inlineStr">
        <is>
          <t>YACYRETA</t>
        </is>
      </c>
      <c r="H302" s="6" t="inlineStr">
        <is>
          <t>SADI</t>
        </is>
      </c>
      <c r="I302" s="8" t="n">
        <v>987876</v>
      </c>
      <c r="J302" s="6" t="inlineStr">
        <is>
          <t>MWh</t>
        </is>
      </c>
      <c r="K302" s="8" t="n">
        <v>987876</v>
      </c>
      <c r="L302" s="6" t="inlineStr">
        <is>
          <t>MWh</t>
        </is>
      </c>
      <c r="M302" s="6" t="inlineStr">
        <is>
          <t>EBY</t>
        </is>
      </c>
      <c r="N302" s="6" t="inlineStr">
        <is>
          <t>OFFICIAL_PRIMARY</t>
        </is>
      </c>
      <c r="O302" s="9" t="inlineStr">
        <is>
          <t>OFFICIAL_AGGREGATE</t>
        </is>
      </c>
      <c r="P302" s="8" t="n">
        <v>1</v>
      </c>
      <c r="Q302" s="8" t="n">
        <v>50</v>
      </c>
      <c r="R302" s="7" t="inlineStr">
        <is>
          <t>https://www.eby.gov.py/wp-content/uploads/2019/12/YacyretaEnergiasMensualesDesdePuestaenMarcha.pdf</t>
        </is>
      </c>
      <c r="S302" s="6" t="inlineStr">
        <is>
          <t>EBY-MONTHLY-1994-2012</t>
        </is>
      </c>
      <c r="T302" s="6" t="inlineStr"/>
      <c r="U302" s="4" t="inlineStr">
        <is>
          <t>2026-09-10 23:00:00</t>
        </is>
      </c>
      <c r="V302" s="4" t="inlineStr">
        <is>
          <t>Energia mensual entregada al SADI.</t>
        </is>
      </c>
    </row>
    <row r="303">
      <c r="A303" s="6" t="inlineStr">
        <is>
          <t>R0000307</t>
        </is>
      </c>
      <c r="B303" s="6" t="inlineStr">
        <is>
          <t>1998-09-01</t>
        </is>
      </c>
      <c r="C303" s="6" t="inlineStr">
        <is>
          <t>1998-09-30</t>
        </is>
      </c>
      <c r="D303" s="6" t="inlineStr">
        <is>
          <t>month</t>
        </is>
      </c>
      <c r="E303" s="6" t="inlineStr">
        <is>
          <t>ENERGY_TO_PY</t>
        </is>
      </c>
      <c r="F303" s="6" t="inlineStr">
        <is>
          <t>YACYRETA</t>
        </is>
      </c>
      <c r="G303" s="6" t="inlineStr">
        <is>
          <t>YACYRETA</t>
        </is>
      </c>
      <c r="H303" s="6" t="inlineStr">
        <is>
          <t>SINP</t>
        </is>
      </c>
      <c r="I303" s="8" t="n">
        <v>6073</v>
      </c>
      <c r="J303" s="6" t="inlineStr">
        <is>
          <t>MWh</t>
        </is>
      </c>
      <c r="K303" s="8" t="n">
        <v>6073</v>
      </c>
      <c r="L303" s="6" t="inlineStr">
        <is>
          <t>MWh</t>
        </is>
      </c>
      <c r="M303" s="6" t="inlineStr">
        <is>
          <t>EBY</t>
        </is>
      </c>
      <c r="N303" s="6" t="inlineStr">
        <is>
          <t>OFFICIAL_PRIMARY</t>
        </is>
      </c>
      <c r="O303" s="9" t="inlineStr">
        <is>
          <t>OFFICIAL_AGGREGATE</t>
        </is>
      </c>
      <c r="P303" s="8" t="n">
        <v>1</v>
      </c>
      <c r="Q303" s="8" t="n">
        <v>50</v>
      </c>
      <c r="R303" s="7" t="inlineStr">
        <is>
          <t>https://www.eby.gov.py/wp-content/uploads/2019/12/YacyretaEnergiasMensualesDesdePuestaenMarcha.pdf</t>
        </is>
      </c>
      <c r="S303" s="6" t="inlineStr">
        <is>
          <t>EBY-MONTHLY-1994-2012</t>
        </is>
      </c>
      <c r="T303" s="6" t="inlineStr"/>
      <c r="U303" s="4" t="inlineStr">
        <is>
          <t>2026-09-10 23:00:00</t>
        </is>
      </c>
      <c r="V303" s="4" t="inlineStr">
        <is>
          <t>Energia mensual entregada al SINP.</t>
        </is>
      </c>
    </row>
    <row r="304">
      <c r="A304" s="6" t="inlineStr">
        <is>
          <t>R0000308</t>
        </is>
      </c>
      <c r="B304" s="6" t="inlineStr">
        <is>
          <t>1998-10-01</t>
        </is>
      </c>
      <c r="C304" s="6" t="inlineStr">
        <is>
          <t>1998-10-31</t>
        </is>
      </c>
      <c r="D304" s="6" t="inlineStr">
        <is>
          <t>month</t>
        </is>
      </c>
      <c r="E304" s="6" t="inlineStr">
        <is>
          <t>YACYRETA_NET_ENERGY</t>
        </is>
      </c>
      <c r="F304" s="6" t="inlineStr">
        <is>
          <t>YACYRETA</t>
        </is>
      </c>
      <c r="G304" s="6" t="inlineStr">
        <is>
          <t>YACYRETA</t>
        </is>
      </c>
      <c r="H304" s="6" t="inlineStr">
        <is>
          <t>TOTAL</t>
        </is>
      </c>
      <c r="I304" s="8" t="n">
        <v>833916</v>
      </c>
      <c r="J304" s="6" t="inlineStr">
        <is>
          <t>MWh</t>
        </is>
      </c>
      <c r="K304" s="8" t="n">
        <v>833916</v>
      </c>
      <c r="L304" s="6" t="inlineStr">
        <is>
          <t>MWh</t>
        </is>
      </c>
      <c r="M304" s="6" t="inlineStr">
        <is>
          <t>EBY</t>
        </is>
      </c>
      <c r="N304" s="6" t="inlineStr">
        <is>
          <t>OFFICIAL_PRIMARY</t>
        </is>
      </c>
      <c r="O304" s="9" t="inlineStr">
        <is>
          <t>OFFICIAL_AGGREGATE</t>
        </is>
      </c>
      <c r="P304" s="8" t="n">
        <v>1</v>
      </c>
      <c r="Q304" s="8" t="n">
        <v>50</v>
      </c>
      <c r="R304" s="7" t="inlineStr">
        <is>
          <t>https://www.eby.gov.py/wp-content/uploads/2019/12/YacyretaEnergiasMensualesDesdePuestaenMarcha.pdf</t>
        </is>
      </c>
      <c r="S304" s="6" t="inlineStr">
        <is>
          <t>EBY-MONTHLY-1994-2012</t>
        </is>
      </c>
      <c r="T304" s="6" t="inlineStr"/>
      <c r="U304" s="4" t="inlineStr">
        <is>
          <t>2026-09-10 23:00:00</t>
        </is>
      </c>
      <c r="V304" s="4" t="inlineStr">
        <is>
          <t>Energia mensual Yacyreta desde puesta en marcha.</t>
        </is>
      </c>
    </row>
    <row r="305">
      <c r="A305" s="6" t="inlineStr">
        <is>
          <t>R0000309</t>
        </is>
      </c>
      <c r="B305" s="6" t="inlineStr">
        <is>
          <t>1998-10-01</t>
        </is>
      </c>
      <c r="C305" s="6" t="inlineStr">
        <is>
          <t>1998-10-31</t>
        </is>
      </c>
      <c r="D305" s="6" t="inlineStr">
        <is>
          <t>month</t>
        </is>
      </c>
      <c r="E305" s="6" t="inlineStr">
        <is>
          <t>ENERGY_TO_ARGENTINA</t>
        </is>
      </c>
      <c r="F305" s="6" t="inlineStr">
        <is>
          <t>YACYRETA</t>
        </is>
      </c>
      <c r="G305" s="6" t="inlineStr">
        <is>
          <t>YACYRETA</t>
        </is>
      </c>
      <c r="H305" s="6" t="inlineStr">
        <is>
          <t>SADI</t>
        </is>
      </c>
      <c r="I305" s="8" t="n">
        <v>830070</v>
      </c>
      <c r="J305" s="6" t="inlineStr">
        <is>
          <t>MWh</t>
        </is>
      </c>
      <c r="K305" s="8" t="n">
        <v>830070</v>
      </c>
      <c r="L305" s="6" t="inlineStr">
        <is>
          <t>MWh</t>
        </is>
      </c>
      <c r="M305" s="6" t="inlineStr">
        <is>
          <t>EBY</t>
        </is>
      </c>
      <c r="N305" s="6" t="inlineStr">
        <is>
          <t>OFFICIAL_PRIMARY</t>
        </is>
      </c>
      <c r="O305" s="9" t="inlineStr">
        <is>
          <t>OFFICIAL_AGGREGATE</t>
        </is>
      </c>
      <c r="P305" s="8" t="n">
        <v>1</v>
      </c>
      <c r="Q305" s="8" t="n">
        <v>50</v>
      </c>
      <c r="R305" s="7" t="inlineStr">
        <is>
          <t>https://www.eby.gov.py/wp-content/uploads/2019/12/YacyretaEnergiasMensualesDesdePuestaenMarcha.pdf</t>
        </is>
      </c>
      <c r="S305" s="6" t="inlineStr">
        <is>
          <t>EBY-MONTHLY-1994-2012</t>
        </is>
      </c>
      <c r="T305" s="6" t="inlineStr"/>
      <c r="U305" s="4" t="inlineStr">
        <is>
          <t>2026-09-10 23:00:00</t>
        </is>
      </c>
      <c r="V305" s="4" t="inlineStr">
        <is>
          <t>Energia mensual entregada al SADI.</t>
        </is>
      </c>
    </row>
    <row r="306">
      <c r="A306" s="6" t="inlineStr">
        <is>
          <t>R0000310</t>
        </is>
      </c>
      <c r="B306" s="6" t="inlineStr">
        <is>
          <t>1998-10-01</t>
        </is>
      </c>
      <c r="C306" s="6" t="inlineStr">
        <is>
          <t>1998-10-31</t>
        </is>
      </c>
      <c r="D306" s="6" t="inlineStr">
        <is>
          <t>month</t>
        </is>
      </c>
      <c r="E306" s="6" t="inlineStr">
        <is>
          <t>ENERGY_TO_PY</t>
        </is>
      </c>
      <c r="F306" s="6" t="inlineStr">
        <is>
          <t>YACYRETA</t>
        </is>
      </c>
      <c r="G306" s="6" t="inlineStr">
        <is>
          <t>YACYRETA</t>
        </is>
      </c>
      <c r="H306" s="6" t="inlineStr">
        <is>
          <t>SINP</t>
        </is>
      </c>
      <c r="I306" s="8" t="n">
        <v>3846</v>
      </c>
      <c r="J306" s="6" t="inlineStr">
        <is>
          <t>MWh</t>
        </is>
      </c>
      <c r="K306" s="8" t="n">
        <v>3846</v>
      </c>
      <c r="L306" s="6" t="inlineStr">
        <is>
          <t>MWh</t>
        </is>
      </c>
      <c r="M306" s="6" t="inlineStr">
        <is>
          <t>EBY</t>
        </is>
      </c>
      <c r="N306" s="6" t="inlineStr">
        <is>
          <t>OFFICIAL_PRIMARY</t>
        </is>
      </c>
      <c r="O306" s="9" t="inlineStr">
        <is>
          <t>OFFICIAL_AGGREGATE</t>
        </is>
      </c>
      <c r="P306" s="8" t="n">
        <v>1</v>
      </c>
      <c r="Q306" s="8" t="n">
        <v>50</v>
      </c>
      <c r="R306" s="7" t="inlineStr">
        <is>
          <t>https://www.eby.gov.py/wp-content/uploads/2019/12/YacyretaEnergiasMensualesDesdePuestaenMarcha.pdf</t>
        </is>
      </c>
      <c r="S306" s="6" t="inlineStr">
        <is>
          <t>EBY-MONTHLY-1994-2012</t>
        </is>
      </c>
      <c r="T306" s="6" t="inlineStr"/>
      <c r="U306" s="4" t="inlineStr">
        <is>
          <t>2026-09-10 23:00:00</t>
        </is>
      </c>
      <c r="V306" s="4" t="inlineStr">
        <is>
          <t>Energia mensual entregada al SINP.</t>
        </is>
      </c>
    </row>
    <row r="307">
      <c r="A307" s="6" t="inlineStr">
        <is>
          <t>R0000311</t>
        </is>
      </c>
      <c r="B307" s="6" t="inlineStr">
        <is>
          <t>1998-11-01</t>
        </is>
      </c>
      <c r="C307" s="6" t="inlineStr">
        <is>
          <t>1998-11-30</t>
        </is>
      </c>
      <c r="D307" s="6" t="inlineStr">
        <is>
          <t>month</t>
        </is>
      </c>
      <c r="E307" s="6" t="inlineStr">
        <is>
          <t>YACYRETA_NET_ENERGY</t>
        </is>
      </c>
      <c r="F307" s="6" t="inlineStr">
        <is>
          <t>YACYRETA</t>
        </is>
      </c>
      <c r="G307" s="6" t="inlineStr">
        <is>
          <t>YACYRETA</t>
        </is>
      </c>
      <c r="H307" s="6" t="inlineStr">
        <is>
          <t>TOTAL</t>
        </is>
      </c>
      <c r="I307" s="8" t="n">
        <v>994867</v>
      </c>
      <c r="J307" s="6" t="inlineStr">
        <is>
          <t>MWh</t>
        </is>
      </c>
      <c r="K307" s="8" t="n">
        <v>994867</v>
      </c>
      <c r="L307" s="6" t="inlineStr">
        <is>
          <t>MWh</t>
        </is>
      </c>
      <c r="M307" s="6" t="inlineStr">
        <is>
          <t>EBY</t>
        </is>
      </c>
      <c r="N307" s="6" t="inlineStr">
        <is>
          <t>OFFICIAL_PRIMARY</t>
        </is>
      </c>
      <c r="O307" s="9" t="inlineStr">
        <is>
          <t>OFFICIAL_AGGREGATE</t>
        </is>
      </c>
      <c r="P307" s="8" t="n">
        <v>1</v>
      </c>
      <c r="Q307" s="8" t="n">
        <v>50</v>
      </c>
      <c r="R307" s="7" t="inlineStr">
        <is>
          <t>https://www.eby.gov.py/wp-content/uploads/2019/12/YacyretaEnergiasMensualesDesdePuestaenMarcha.pdf</t>
        </is>
      </c>
      <c r="S307" s="6" t="inlineStr">
        <is>
          <t>EBY-MONTHLY-1994-2012</t>
        </is>
      </c>
      <c r="T307" s="6" t="inlineStr"/>
      <c r="U307" s="4" t="inlineStr">
        <is>
          <t>2026-09-10 23:00:00</t>
        </is>
      </c>
      <c r="V307" s="4" t="inlineStr">
        <is>
          <t>Energia mensual Yacyreta desde puesta en marcha.</t>
        </is>
      </c>
    </row>
    <row r="308">
      <c r="A308" s="6" t="inlineStr">
        <is>
          <t>R0000312</t>
        </is>
      </c>
      <c r="B308" s="6" t="inlineStr">
        <is>
          <t>1998-11-01</t>
        </is>
      </c>
      <c r="C308" s="6" t="inlineStr">
        <is>
          <t>1998-11-30</t>
        </is>
      </c>
      <c r="D308" s="6" t="inlineStr">
        <is>
          <t>month</t>
        </is>
      </c>
      <c r="E308" s="6" t="inlineStr">
        <is>
          <t>ENERGY_TO_ARGENTINA</t>
        </is>
      </c>
      <c r="F308" s="6" t="inlineStr">
        <is>
          <t>YACYRETA</t>
        </is>
      </c>
      <c r="G308" s="6" t="inlineStr">
        <is>
          <t>YACYRETA</t>
        </is>
      </c>
      <c r="H308" s="6" t="inlineStr">
        <is>
          <t>SADI</t>
        </is>
      </c>
      <c r="I308" s="8" t="n">
        <v>980785</v>
      </c>
      <c r="J308" s="6" t="inlineStr">
        <is>
          <t>MWh</t>
        </is>
      </c>
      <c r="K308" s="8" t="n">
        <v>980785</v>
      </c>
      <c r="L308" s="6" t="inlineStr">
        <is>
          <t>MWh</t>
        </is>
      </c>
      <c r="M308" s="6" t="inlineStr">
        <is>
          <t>EBY</t>
        </is>
      </c>
      <c r="N308" s="6" t="inlineStr">
        <is>
          <t>OFFICIAL_PRIMARY</t>
        </is>
      </c>
      <c r="O308" s="9" t="inlineStr">
        <is>
          <t>OFFICIAL_AGGREGATE</t>
        </is>
      </c>
      <c r="P308" s="8" t="n">
        <v>1</v>
      </c>
      <c r="Q308" s="8" t="n">
        <v>50</v>
      </c>
      <c r="R308" s="7" t="inlineStr">
        <is>
          <t>https://www.eby.gov.py/wp-content/uploads/2019/12/YacyretaEnergiasMensualesDesdePuestaenMarcha.pdf</t>
        </is>
      </c>
      <c r="S308" s="6" t="inlineStr">
        <is>
          <t>EBY-MONTHLY-1994-2012</t>
        </is>
      </c>
      <c r="T308" s="6" t="inlineStr"/>
      <c r="U308" s="4" t="inlineStr">
        <is>
          <t>2026-09-10 23:00:00</t>
        </is>
      </c>
      <c r="V308" s="4" t="inlineStr">
        <is>
          <t>Energia mensual entregada al SADI.</t>
        </is>
      </c>
    </row>
    <row r="309">
      <c r="A309" s="6" t="inlineStr">
        <is>
          <t>R0000313</t>
        </is>
      </c>
      <c r="B309" s="6" t="inlineStr">
        <is>
          <t>1998-11-01</t>
        </is>
      </c>
      <c r="C309" s="6" t="inlineStr">
        <is>
          <t>1998-11-30</t>
        </is>
      </c>
      <c r="D309" s="6" t="inlineStr">
        <is>
          <t>month</t>
        </is>
      </c>
      <c r="E309" s="6" t="inlineStr">
        <is>
          <t>ENERGY_TO_PY</t>
        </is>
      </c>
      <c r="F309" s="6" t="inlineStr">
        <is>
          <t>YACYRETA</t>
        </is>
      </c>
      <c r="G309" s="6" t="inlineStr">
        <is>
          <t>YACYRETA</t>
        </is>
      </c>
      <c r="H309" s="6" t="inlineStr">
        <is>
          <t>SINP</t>
        </is>
      </c>
      <c r="I309" s="8" t="n">
        <v>14082</v>
      </c>
      <c r="J309" s="6" t="inlineStr">
        <is>
          <t>MWh</t>
        </is>
      </c>
      <c r="K309" s="8" t="n">
        <v>14082</v>
      </c>
      <c r="L309" s="6" t="inlineStr">
        <is>
          <t>MWh</t>
        </is>
      </c>
      <c r="M309" s="6" t="inlineStr">
        <is>
          <t>EBY</t>
        </is>
      </c>
      <c r="N309" s="6" t="inlineStr">
        <is>
          <t>OFFICIAL_PRIMARY</t>
        </is>
      </c>
      <c r="O309" s="9" t="inlineStr">
        <is>
          <t>OFFICIAL_AGGREGATE</t>
        </is>
      </c>
      <c r="P309" s="8" t="n">
        <v>1</v>
      </c>
      <c r="Q309" s="8" t="n">
        <v>50</v>
      </c>
      <c r="R309" s="7" t="inlineStr">
        <is>
          <t>https://www.eby.gov.py/wp-content/uploads/2019/12/YacyretaEnergiasMensualesDesdePuestaenMarcha.pdf</t>
        </is>
      </c>
      <c r="S309" s="6" t="inlineStr">
        <is>
          <t>EBY-MONTHLY-1994-2012</t>
        </is>
      </c>
      <c r="T309" s="6" t="inlineStr"/>
      <c r="U309" s="4" t="inlineStr">
        <is>
          <t>2026-09-10 23:00:00</t>
        </is>
      </c>
      <c r="V309" s="4" t="inlineStr">
        <is>
          <t>Energia mensual entregada al SINP.</t>
        </is>
      </c>
    </row>
    <row r="310">
      <c r="A310" s="6" t="inlineStr">
        <is>
          <t>R0000314</t>
        </is>
      </c>
      <c r="B310" s="6" t="inlineStr">
        <is>
          <t>1998-12-01</t>
        </is>
      </c>
      <c r="C310" s="6" t="inlineStr">
        <is>
          <t>1998-12-31</t>
        </is>
      </c>
      <c r="D310" s="6" t="inlineStr">
        <is>
          <t>month</t>
        </is>
      </c>
      <c r="E310" s="6" t="inlineStr">
        <is>
          <t>YACYRETA_NET_ENERGY</t>
        </is>
      </c>
      <c r="F310" s="6" t="inlineStr">
        <is>
          <t>YACYRETA</t>
        </is>
      </c>
      <c r="G310" s="6" t="inlineStr">
        <is>
          <t>YACYRETA</t>
        </is>
      </c>
      <c r="H310" s="6" t="inlineStr">
        <is>
          <t>TOTAL</t>
        </is>
      </c>
      <c r="I310" s="8" t="n">
        <v>954498</v>
      </c>
      <c r="J310" s="6" t="inlineStr">
        <is>
          <t>MWh</t>
        </is>
      </c>
      <c r="K310" s="8" t="n">
        <v>954498</v>
      </c>
      <c r="L310" s="6" t="inlineStr">
        <is>
          <t>MWh</t>
        </is>
      </c>
      <c r="M310" s="6" t="inlineStr">
        <is>
          <t>EBY</t>
        </is>
      </c>
      <c r="N310" s="6" t="inlineStr">
        <is>
          <t>OFFICIAL_PRIMARY</t>
        </is>
      </c>
      <c r="O310" s="9" t="inlineStr">
        <is>
          <t>OFFICIAL_AGGREGATE</t>
        </is>
      </c>
      <c r="P310" s="8" t="n">
        <v>1</v>
      </c>
      <c r="Q310" s="8" t="n">
        <v>50</v>
      </c>
      <c r="R310" s="7" t="inlineStr">
        <is>
          <t>https://www.eby.gov.py/wp-content/uploads/2019/12/YacyretaEnergiasMensualesDesdePuestaenMarcha.pdf</t>
        </is>
      </c>
      <c r="S310" s="6" t="inlineStr">
        <is>
          <t>EBY-MONTHLY-1994-2012</t>
        </is>
      </c>
      <c r="T310" s="6" t="inlineStr"/>
      <c r="U310" s="4" t="inlineStr">
        <is>
          <t>2026-09-10 23:00:00</t>
        </is>
      </c>
      <c r="V310" s="4" t="inlineStr">
        <is>
          <t>Energia mensual Yacyreta desde puesta en marcha.</t>
        </is>
      </c>
    </row>
    <row r="311">
      <c r="A311" s="6" t="inlineStr">
        <is>
          <t>R0000315</t>
        </is>
      </c>
      <c r="B311" s="6" t="inlineStr">
        <is>
          <t>1998-12-01</t>
        </is>
      </c>
      <c r="C311" s="6" t="inlineStr">
        <is>
          <t>1998-12-31</t>
        </is>
      </c>
      <c r="D311" s="6" t="inlineStr">
        <is>
          <t>month</t>
        </is>
      </c>
      <c r="E311" s="6" t="inlineStr">
        <is>
          <t>ENERGY_TO_ARGENTINA</t>
        </is>
      </c>
      <c r="F311" s="6" t="inlineStr">
        <is>
          <t>YACYRETA</t>
        </is>
      </c>
      <c r="G311" s="6" t="inlineStr">
        <is>
          <t>YACYRETA</t>
        </is>
      </c>
      <c r="H311" s="6" t="inlineStr">
        <is>
          <t>SADI</t>
        </is>
      </c>
      <c r="I311" s="8" t="n">
        <v>941325</v>
      </c>
      <c r="J311" s="6" t="inlineStr">
        <is>
          <t>MWh</t>
        </is>
      </c>
      <c r="K311" s="8" t="n">
        <v>941325</v>
      </c>
      <c r="L311" s="6" t="inlineStr">
        <is>
          <t>MWh</t>
        </is>
      </c>
      <c r="M311" s="6" t="inlineStr">
        <is>
          <t>EBY</t>
        </is>
      </c>
      <c r="N311" s="6" t="inlineStr">
        <is>
          <t>OFFICIAL_PRIMARY</t>
        </is>
      </c>
      <c r="O311" s="9" t="inlineStr">
        <is>
          <t>OFFICIAL_AGGREGATE</t>
        </is>
      </c>
      <c r="P311" s="8" t="n">
        <v>1</v>
      </c>
      <c r="Q311" s="8" t="n">
        <v>50</v>
      </c>
      <c r="R311" s="7" t="inlineStr">
        <is>
          <t>https://www.eby.gov.py/wp-content/uploads/2019/12/YacyretaEnergiasMensualesDesdePuestaenMarcha.pdf</t>
        </is>
      </c>
      <c r="S311" s="6" t="inlineStr">
        <is>
          <t>EBY-MONTHLY-1994-2012</t>
        </is>
      </c>
      <c r="T311" s="6" t="inlineStr"/>
      <c r="U311" s="4" t="inlineStr">
        <is>
          <t>2026-09-10 23:00:00</t>
        </is>
      </c>
      <c r="V311" s="4" t="inlineStr">
        <is>
          <t>Energia mensual entregada al SADI.</t>
        </is>
      </c>
    </row>
    <row r="312">
      <c r="A312" s="6" t="inlineStr">
        <is>
          <t>R0000316</t>
        </is>
      </c>
      <c r="B312" s="6" t="inlineStr">
        <is>
          <t>1998-12-01</t>
        </is>
      </c>
      <c r="C312" s="6" t="inlineStr">
        <is>
          <t>1998-12-31</t>
        </is>
      </c>
      <c r="D312" s="6" t="inlineStr">
        <is>
          <t>month</t>
        </is>
      </c>
      <c r="E312" s="6" t="inlineStr">
        <is>
          <t>ENERGY_TO_PY</t>
        </is>
      </c>
      <c r="F312" s="6" t="inlineStr">
        <is>
          <t>YACYRETA</t>
        </is>
      </c>
      <c r="G312" s="6" t="inlineStr">
        <is>
          <t>YACYRETA</t>
        </is>
      </c>
      <c r="H312" s="6" t="inlineStr">
        <is>
          <t>SINP</t>
        </is>
      </c>
      <c r="I312" s="8" t="n">
        <v>13173</v>
      </c>
      <c r="J312" s="6" t="inlineStr">
        <is>
          <t>MWh</t>
        </is>
      </c>
      <c r="K312" s="8" t="n">
        <v>13173</v>
      </c>
      <c r="L312" s="6" t="inlineStr">
        <is>
          <t>MWh</t>
        </is>
      </c>
      <c r="M312" s="6" t="inlineStr">
        <is>
          <t>EBY</t>
        </is>
      </c>
      <c r="N312" s="6" t="inlineStr">
        <is>
          <t>OFFICIAL_PRIMARY</t>
        </is>
      </c>
      <c r="O312" s="9" t="inlineStr">
        <is>
          <t>OFFICIAL_AGGREGATE</t>
        </is>
      </c>
      <c r="P312" s="8" t="n">
        <v>1</v>
      </c>
      <c r="Q312" s="8" t="n">
        <v>50</v>
      </c>
      <c r="R312" s="7" t="inlineStr">
        <is>
          <t>https://www.eby.gov.py/wp-content/uploads/2019/12/YacyretaEnergiasMensualesDesdePuestaenMarcha.pdf</t>
        </is>
      </c>
      <c r="S312" s="6" t="inlineStr">
        <is>
          <t>EBY-MONTHLY-1994-2012</t>
        </is>
      </c>
      <c r="T312" s="6" t="inlineStr"/>
      <c r="U312" s="4" t="inlineStr">
        <is>
          <t>2026-09-10 23:00:00</t>
        </is>
      </c>
      <c r="V312" s="4" t="inlineStr">
        <is>
          <t>Energia mensual entregada al SINP.</t>
        </is>
      </c>
    </row>
    <row r="313">
      <c r="A313" s="6" t="inlineStr">
        <is>
          <t>R0000317</t>
        </is>
      </c>
      <c r="B313" s="6" t="inlineStr">
        <is>
          <t>1999-01-01</t>
        </is>
      </c>
      <c r="C313" s="6" t="inlineStr">
        <is>
          <t>1999-01-31</t>
        </is>
      </c>
      <c r="D313" s="6" t="inlineStr">
        <is>
          <t>month</t>
        </is>
      </c>
      <c r="E313" s="6" t="inlineStr">
        <is>
          <t>YACYRETA_NET_ENERGY</t>
        </is>
      </c>
      <c r="F313" s="6" t="inlineStr">
        <is>
          <t>YACYRETA</t>
        </is>
      </c>
      <c r="G313" s="6" t="inlineStr">
        <is>
          <t>YACYRETA</t>
        </is>
      </c>
      <c r="H313" s="6" t="inlineStr">
        <is>
          <t>TOTAL</t>
        </is>
      </c>
      <c r="I313" s="8" t="n">
        <v>1069093</v>
      </c>
      <c r="J313" s="6" t="inlineStr">
        <is>
          <t>MWh</t>
        </is>
      </c>
      <c r="K313" s="8" t="n">
        <v>1069093</v>
      </c>
      <c r="L313" s="6" t="inlineStr">
        <is>
          <t>MWh</t>
        </is>
      </c>
      <c r="M313" s="6" t="inlineStr">
        <is>
          <t>EBY</t>
        </is>
      </c>
      <c r="N313" s="6" t="inlineStr">
        <is>
          <t>OFFICIAL_PRIMARY</t>
        </is>
      </c>
      <c r="O313" s="9" t="inlineStr">
        <is>
          <t>OFFICIAL_AGGREGATE</t>
        </is>
      </c>
      <c r="P313" s="8" t="n">
        <v>1</v>
      </c>
      <c r="Q313" s="8" t="n">
        <v>50</v>
      </c>
      <c r="R313" s="7" t="inlineStr">
        <is>
          <t>https://www.eby.gov.py/wp-content/uploads/2019/12/YacyretaEnergiasMensualesDesdePuestaenMarcha.pdf</t>
        </is>
      </c>
      <c r="S313" s="6" t="inlineStr">
        <is>
          <t>EBY-MONTHLY-1994-2012</t>
        </is>
      </c>
      <c r="T313" s="6" t="inlineStr"/>
      <c r="U313" s="4" t="inlineStr">
        <is>
          <t>2026-09-10 23:00:00</t>
        </is>
      </c>
      <c r="V313" s="4" t="inlineStr">
        <is>
          <t>Energia mensual Yacyreta desde puesta en marcha.</t>
        </is>
      </c>
    </row>
    <row r="314">
      <c r="A314" s="6" t="inlineStr">
        <is>
          <t>R0000318</t>
        </is>
      </c>
      <c r="B314" s="6" t="inlineStr">
        <is>
          <t>1999-01-01</t>
        </is>
      </c>
      <c r="C314" s="6" t="inlineStr">
        <is>
          <t>1999-01-31</t>
        </is>
      </c>
      <c r="D314" s="6" t="inlineStr">
        <is>
          <t>month</t>
        </is>
      </c>
      <c r="E314" s="6" t="inlineStr">
        <is>
          <t>ENERGY_TO_ARGENTINA</t>
        </is>
      </c>
      <c r="F314" s="6" t="inlineStr">
        <is>
          <t>YACYRETA</t>
        </is>
      </c>
      <c r="G314" s="6" t="inlineStr">
        <is>
          <t>YACYRETA</t>
        </is>
      </c>
      <c r="H314" s="6" t="inlineStr">
        <is>
          <t>SADI</t>
        </is>
      </c>
      <c r="I314" s="8" t="n">
        <v>1063419</v>
      </c>
      <c r="J314" s="6" t="inlineStr">
        <is>
          <t>MWh</t>
        </is>
      </c>
      <c r="K314" s="8" t="n">
        <v>1063419</v>
      </c>
      <c r="L314" s="6" t="inlineStr">
        <is>
          <t>MWh</t>
        </is>
      </c>
      <c r="M314" s="6" t="inlineStr">
        <is>
          <t>EBY</t>
        </is>
      </c>
      <c r="N314" s="6" t="inlineStr">
        <is>
          <t>OFFICIAL_PRIMARY</t>
        </is>
      </c>
      <c r="O314" s="9" t="inlineStr">
        <is>
          <t>OFFICIAL_AGGREGATE</t>
        </is>
      </c>
      <c r="P314" s="8" t="n">
        <v>1</v>
      </c>
      <c r="Q314" s="8" t="n">
        <v>50</v>
      </c>
      <c r="R314" s="7" t="inlineStr">
        <is>
          <t>https://www.eby.gov.py/wp-content/uploads/2019/12/YacyretaEnergiasMensualesDesdePuestaenMarcha.pdf</t>
        </is>
      </c>
      <c r="S314" s="6" t="inlineStr">
        <is>
          <t>EBY-MONTHLY-1994-2012</t>
        </is>
      </c>
      <c r="T314" s="6" t="inlineStr"/>
      <c r="U314" s="4" t="inlineStr">
        <is>
          <t>2026-09-10 23:00:00</t>
        </is>
      </c>
      <c r="V314" s="4" t="inlineStr">
        <is>
          <t>Energia mensual entregada al SADI.</t>
        </is>
      </c>
    </row>
    <row r="315">
      <c r="A315" s="6" t="inlineStr">
        <is>
          <t>R0000319</t>
        </is>
      </c>
      <c r="B315" s="6" t="inlineStr">
        <is>
          <t>1999-01-01</t>
        </is>
      </c>
      <c r="C315" s="6" t="inlineStr">
        <is>
          <t>1999-01-31</t>
        </is>
      </c>
      <c r="D315" s="6" t="inlineStr">
        <is>
          <t>month</t>
        </is>
      </c>
      <c r="E315" s="6" t="inlineStr">
        <is>
          <t>ENERGY_TO_PY</t>
        </is>
      </c>
      <c r="F315" s="6" t="inlineStr">
        <is>
          <t>YACYRETA</t>
        </is>
      </c>
      <c r="G315" s="6" t="inlineStr">
        <is>
          <t>YACYRETA</t>
        </is>
      </c>
      <c r="H315" s="6" t="inlineStr">
        <is>
          <t>SINP</t>
        </is>
      </c>
      <c r="I315" s="8" t="n">
        <v>5674</v>
      </c>
      <c r="J315" s="6" t="inlineStr">
        <is>
          <t>MWh</t>
        </is>
      </c>
      <c r="K315" s="8" t="n">
        <v>5674</v>
      </c>
      <c r="L315" s="6" t="inlineStr">
        <is>
          <t>MWh</t>
        </is>
      </c>
      <c r="M315" s="6" t="inlineStr">
        <is>
          <t>EBY</t>
        </is>
      </c>
      <c r="N315" s="6" t="inlineStr">
        <is>
          <t>OFFICIAL_PRIMARY</t>
        </is>
      </c>
      <c r="O315" s="9" t="inlineStr">
        <is>
          <t>OFFICIAL_AGGREGATE</t>
        </is>
      </c>
      <c r="P315" s="8" t="n">
        <v>1</v>
      </c>
      <c r="Q315" s="8" t="n">
        <v>50</v>
      </c>
      <c r="R315" s="7" t="inlineStr">
        <is>
          <t>https://www.eby.gov.py/wp-content/uploads/2019/12/YacyretaEnergiasMensualesDesdePuestaenMarcha.pdf</t>
        </is>
      </c>
      <c r="S315" s="6" t="inlineStr">
        <is>
          <t>EBY-MONTHLY-1994-2012</t>
        </is>
      </c>
      <c r="T315" s="6" t="inlineStr"/>
      <c r="U315" s="4" t="inlineStr">
        <is>
          <t>2026-09-10 23:00:00</t>
        </is>
      </c>
      <c r="V315" s="4" t="inlineStr">
        <is>
          <t>Energia mensual entregada al SINP.</t>
        </is>
      </c>
    </row>
    <row r="316">
      <c r="A316" s="6" t="inlineStr">
        <is>
          <t>R0000320</t>
        </is>
      </c>
      <c r="B316" s="6" t="inlineStr">
        <is>
          <t>1999-02-01</t>
        </is>
      </c>
      <c r="C316" s="6" t="inlineStr">
        <is>
          <t>1999-02-28</t>
        </is>
      </c>
      <c r="D316" s="6" t="inlineStr">
        <is>
          <t>month</t>
        </is>
      </c>
      <c r="E316" s="6" t="inlineStr">
        <is>
          <t>YACYRETA_NET_ENERGY</t>
        </is>
      </c>
      <c r="F316" s="6" t="inlineStr">
        <is>
          <t>YACYRETA</t>
        </is>
      </c>
      <c r="G316" s="6" t="inlineStr">
        <is>
          <t>YACYRETA</t>
        </is>
      </c>
      <c r="H316" s="6" t="inlineStr">
        <is>
          <t>TOTAL</t>
        </is>
      </c>
      <c r="I316" s="8" t="n">
        <v>938959</v>
      </c>
      <c r="J316" s="6" t="inlineStr">
        <is>
          <t>MWh</t>
        </is>
      </c>
      <c r="K316" s="8" t="n">
        <v>938959</v>
      </c>
      <c r="L316" s="6" t="inlineStr">
        <is>
          <t>MWh</t>
        </is>
      </c>
      <c r="M316" s="6" t="inlineStr">
        <is>
          <t>EBY</t>
        </is>
      </c>
      <c r="N316" s="6" t="inlineStr">
        <is>
          <t>OFFICIAL_PRIMARY</t>
        </is>
      </c>
      <c r="O316" s="9" t="inlineStr">
        <is>
          <t>OFFICIAL_AGGREGATE</t>
        </is>
      </c>
      <c r="P316" s="8" t="n">
        <v>1</v>
      </c>
      <c r="Q316" s="8" t="n">
        <v>50</v>
      </c>
      <c r="R316" s="7" t="inlineStr">
        <is>
          <t>https://www.eby.gov.py/wp-content/uploads/2019/12/YacyretaEnergiasMensualesDesdePuestaenMarcha.pdf</t>
        </is>
      </c>
      <c r="S316" s="6" t="inlineStr">
        <is>
          <t>EBY-MONTHLY-1994-2012</t>
        </is>
      </c>
      <c r="T316" s="6" t="inlineStr"/>
      <c r="U316" s="4" t="inlineStr">
        <is>
          <t>2026-09-10 23:00:00</t>
        </is>
      </c>
      <c r="V316" s="4" t="inlineStr">
        <is>
          <t>Energia mensual Yacyreta desde puesta en marcha.</t>
        </is>
      </c>
    </row>
    <row r="317">
      <c r="A317" s="6" t="inlineStr">
        <is>
          <t>R0000321</t>
        </is>
      </c>
      <c r="B317" s="6" t="inlineStr">
        <is>
          <t>1999-02-01</t>
        </is>
      </c>
      <c r="C317" s="6" t="inlineStr">
        <is>
          <t>1999-02-28</t>
        </is>
      </c>
      <c r="D317" s="6" t="inlineStr">
        <is>
          <t>month</t>
        </is>
      </c>
      <c r="E317" s="6" t="inlineStr">
        <is>
          <t>ENERGY_TO_ARGENTINA</t>
        </is>
      </c>
      <c r="F317" s="6" t="inlineStr">
        <is>
          <t>YACYRETA</t>
        </is>
      </c>
      <c r="G317" s="6" t="inlineStr">
        <is>
          <t>YACYRETA</t>
        </is>
      </c>
      <c r="H317" s="6" t="inlineStr">
        <is>
          <t>SADI</t>
        </is>
      </c>
      <c r="I317" s="8" t="n">
        <v>933865</v>
      </c>
      <c r="J317" s="6" t="inlineStr">
        <is>
          <t>MWh</t>
        </is>
      </c>
      <c r="K317" s="8" t="n">
        <v>933865</v>
      </c>
      <c r="L317" s="6" t="inlineStr">
        <is>
          <t>MWh</t>
        </is>
      </c>
      <c r="M317" s="6" t="inlineStr">
        <is>
          <t>EBY</t>
        </is>
      </c>
      <c r="N317" s="6" t="inlineStr">
        <is>
          <t>OFFICIAL_PRIMARY</t>
        </is>
      </c>
      <c r="O317" s="9" t="inlineStr">
        <is>
          <t>OFFICIAL_AGGREGATE</t>
        </is>
      </c>
      <c r="P317" s="8" t="n">
        <v>1</v>
      </c>
      <c r="Q317" s="8" t="n">
        <v>50</v>
      </c>
      <c r="R317" s="7" t="inlineStr">
        <is>
          <t>https://www.eby.gov.py/wp-content/uploads/2019/12/YacyretaEnergiasMensualesDesdePuestaenMarcha.pdf</t>
        </is>
      </c>
      <c r="S317" s="6" t="inlineStr">
        <is>
          <t>EBY-MONTHLY-1994-2012</t>
        </is>
      </c>
      <c r="T317" s="6" t="inlineStr"/>
      <c r="U317" s="4" t="inlineStr">
        <is>
          <t>2026-09-10 23:00:00</t>
        </is>
      </c>
      <c r="V317" s="4" t="inlineStr">
        <is>
          <t>Energia mensual entregada al SADI.</t>
        </is>
      </c>
    </row>
    <row r="318">
      <c r="A318" s="6" t="inlineStr">
        <is>
          <t>R0000322</t>
        </is>
      </c>
      <c r="B318" s="6" t="inlineStr">
        <is>
          <t>1999-02-01</t>
        </is>
      </c>
      <c r="C318" s="6" t="inlineStr">
        <is>
          <t>1999-02-28</t>
        </is>
      </c>
      <c r="D318" s="6" t="inlineStr">
        <is>
          <t>month</t>
        </is>
      </c>
      <c r="E318" s="6" t="inlineStr">
        <is>
          <t>ENERGY_TO_PY</t>
        </is>
      </c>
      <c r="F318" s="6" t="inlineStr">
        <is>
          <t>YACYRETA</t>
        </is>
      </c>
      <c r="G318" s="6" t="inlineStr">
        <is>
          <t>YACYRETA</t>
        </is>
      </c>
      <c r="H318" s="6" t="inlineStr">
        <is>
          <t>SINP</t>
        </is>
      </c>
      <c r="I318" s="8" t="n">
        <v>5094</v>
      </c>
      <c r="J318" s="6" t="inlineStr">
        <is>
          <t>MWh</t>
        </is>
      </c>
      <c r="K318" s="8" t="n">
        <v>5094</v>
      </c>
      <c r="L318" s="6" t="inlineStr">
        <is>
          <t>MWh</t>
        </is>
      </c>
      <c r="M318" s="6" t="inlineStr">
        <is>
          <t>EBY</t>
        </is>
      </c>
      <c r="N318" s="6" t="inlineStr">
        <is>
          <t>OFFICIAL_PRIMARY</t>
        </is>
      </c>
      <c r="O318" s="9" t="inlineStr">
        <is>
          <t>OFFICIAL_AGGREGATE</t>
        </is>
      </c>
      <c r="P318" s="8" t="n">
        <v>1</v>
      </c>
      <c r="Q318" s="8" t="n">
        <v>50</v>
      </c>
      <c r="R318" s="7" t="inlineStr">
        <is>
          <t>https://www.eby.gov.py/wp-content/uploads/2019/12/YacyretaEnergiasMensualesDesdePuestaenMarcha.pdf</t>
        </is>
      </c>
      <c r="S318" s="6" t="inlineStr">
        <is>
          <t>EBY-MONTHLY-1994-2012</t>
        </is>
      </c>
      <c r="T318" s="6" t="inlineStr"/>
      <c r="U318" s="4" t="inlineStr">
        <is>
          <t>2026-09-10 23:00:00</t>
        </is>
      </c>
      <c r="V318" s="4" t="inlineStr">
        <is>
          <t>Energia mensual entregada al SINP.</t>
        </is>
      </c>
    </row>
    <row r="319">
      <c r="A319" s="6" t="inlineStr">
        <is>
          <t>R0000323</t>
        </is>
      </c>
      <c r="B319" s="6" t="inlineStr">
        <is>
          <t>1999-03-01</t>
        </is>
      </c>
      <c r="C319" s="6" t="inlineStr">
        <is>
          <t>1999-03-31</t>
        </is>
      </c>
      <c r="D319" s="6" t="inlineStr">
        <is>
          <t>month</t>
        </is>
      </c>
      <c r="E319" s="6" t="inlineStr">
        <is>
          <t>YACYRETA_NET_ENERGY</t>
        </is>
      </c>
      <c r="F319" s="6" t="inlineStr">
        <is>
          <t>YACYRETA</t>
        </is>
      </c>
      <c r="G319" s="6" t="inlineStr">
        <is>
          <t>YACYRETA</t>
        </is>
      </c>
      <c r="H319" s="6" t="inlineStr">
        <is>
          <t>TOTAL</t>
        </is>
      </c>
      <c r="I319" s="8" t="n">
        <v>993182</v>
      </c>
      <c r="J319" s="6" t="inlineStr">
        <is>
          <t>MWh</t>
        </is>
      </c>
      <c r="K319" s="8" t="n">
        <v>993182</v>
      </c>
      <c r="L319" s="6" t="inlineStr">
        <is>
          <t>MWh</t>
        </is>
      </c>
      <c r="M319" s="6" t="inlineStr">
        <is>
          <t>EBY</t>
        </is>
      </c>
      <c r="N319" s="6" t="inlineStr">
        <is>
          <t>OFFICIAL_PRIMARY</t>
        </is>
      </c>
      <c r="O319" s="9" t="inlineStr">
        <is>
          <t>OFFICIAL_AGGREGATE</t>
        </is>
      </c>
      <c r="P319" s="8" t="n">
        <v>1</v>
      </c>
      <c r="Q319" s="8" t="n">
        <v>50</v>
      </c>
      <c r="R319" s="7" t="inlineStr">
        <is>
          <t>https://www.eby.gov.py/wp-content/uploads/2019/12/YacyretaEnergiasMensualesDesdePuestaenMarcha.pdf</t>
        </is>
      </c>
      <c r="S319" s="6" t="inlineStr">
        <is>
          <t>EBY-MONTHLY-1994-2012</t>
        </is>
      </c>
      <c r="T319" s="6" t="inlineStr"/>
      <c r="U319" s="4" t="inlineStr">
        <is>
          <t>2026-09-10 23:00:00</t>
        </is>
      </c>
      <c r="V319" s="4" t="inlineStr">
        <is>
          <t>Energia mensual Yacyreta desde puesta en marcha.</t>
        </is>
      </c>
    </row>
    <row r="320">
      <c r="A320" s="6" t="inlineStr">
        <is>
          <t>R0000324</t>
        </is>
      </c>
      <c r="B320" s="6" t="inlineStr">
        <is>
          <t>1999-03-01</t>
        </is>
      </c>
      <c r="C320" s="6" t="inlineStr">
        <is>
          <t>1999-03-31</t>
        </is>
      </c>
      <c r="D320" s="6" t="inlineStr">
        <is>
          <t>month</t>
        </is>
      </c>
      <c r="E320" s="6" t="inlineStr">
        <is>
          <t>ENERGY_TO_ARGENTINA</t>
        </is>
      </c>
      <c r="F320" s="6" t="inlineStr">
        <is>
          <t>YACYRETA</t>
        </is>
      </c>
      <c r="G320" s="6" t="inlineStr">
        <is>
          <t>YACYRETA</t>
        </is>
      </c>
      <c r="H320" s="6" t="inlineStr">
        <is>
          <t>SADI</t>
        </is>
      </c>
      <c r="I320" s="8" t="n">
        <v>985801</v>
      </c>
      <c r="J320" s="6" t="inlineStr">
        <is>
          <t>MWh</t>
        </is>
      </c>
      <c r="K320" s="8" t="n">
        <v>985801</v>
      </c>
      <c r="L320" s="6" t="inlineStr">
        <is>
          <t>MWh</t>
        </is>
      </c>
      <c r="M320" s="6" t="inlineStr">
        <is>
          <t>EBY</t>
        </is>
      </c>
      <c r="N320" s="6" t="inlineStr">
        <is>
          <t>OFFICIAL_PRIMARY</t>
        </is>
      </c>
      <c r="O320" s="9" t="inlineStr">
        <is>
          <t>OFFICIAL_AGGREGATE</t>
        </is>
      </c>
      <c r="P320" s="8" t="n">
        <v>1</v>
      </c>
      <c r="Q320" s="8" t="n">
        <v>50</v>
      </c>
      <c r="R320" s="7" t="inlineStr">
        <is>
          <t>https://www.eby.gov.py/wp-content/uploads/2019/12/YacyretaEnergiasMensualesDesdePuestaenMarcha.pdf</t>
        </is>
      </c>
      <c r="S320" s="6" t="inlineStr">
        <is>
          <t>EBY-MONTHLY-1994-2012</t>
        </is>
      </c>
      <c r="T320" s="6" t="inlineStr"/>
      <c r="U320" s="4" t="inlineStr">
        <is>
          <t>2026-09-10 23:00:00</t>
        </is>
      </c>
      <c r="V320" s="4" t="inlineStr">
        <is>
          <t>Energia mensual entregada al SADI.</t>
        </is>
      </c>
    </row>
    <row r="321">
      <c r="A321" s="6" t="inlineStr">
        <is>
          <t>R0000325</t>
        </is>
      </c>
      <c r="B321" s="6" t="inlineStr">
        <is>
          <t>1999-03-01</t>
        </is>
      </c>
      <c r="C321" s="6" t="inlineStr">
        <is>
          <t>1999-03-31</t>
        </is>
      </c>
      <c r="D321" s="6" t="inlineStr">
        <is>
          <t>month</t>
        </is>
      </c>
      <c r="E321" s="6" t="inlineStr">
        <is>
          <t>ENERGY_TO_PY</t>
        </is>
      </c>
      <c r="F321" s="6" t="inlineStr">
        <is>
          <t>YACYRETA</t>
        </is>
      </c>
      <c r="G321" s="6" t="inlineStr">
        <is>
          <t>YACYRETA</t>
        </is>
      </c>
      <c r="H321" s="6" t="inlineStr">
        <is>
          <t>SINP</t>
        </is>
      </c>
      <c r="I321" s="8" t="n">
        <v>7381</v>
      </c>
      <c r="J321" s="6" t="inlineStr">
        <is>
          <t>MWh</t>
        </is>
      </c>
      <c r="K321" s="8" t="n">
        <v>7381</v>
      </c>
      <c r="L321" s="6" t="inlineStr">
        <is>
          <t>MWh</t>
        </is>
      </c>
      <c r="M321" s="6" t="inlineStr">
        <is>
          <t>EBY</t>
        </is>
      </c>
      <c r="N321" s="6" t="inlineStr">
        <is>
          <t>OFFICIAL_PRIMARY</t>
        </is>
      </c>
      <c r="O321" s="9" t="inlineStr">
        <is>
          <t>OFFICIAL_AGGREGATE</t>
        </is>
      </c>
      <c r="P321" s="8" t="n">
        <v>1</v>
      </c>
      <c r="Q321" s="8" t="n">
        <v>50</v>
      </c>
      <c r="R321" s="7" t="inlineStr">
        <is>
          <t>https://www.eby.gov.py/wp-content/uploads/2019/12/YacyretaEnergiasMensualesDesdePuestaenMarcha.pdf</t>
        </is>
      </c>
      <c r="S321" s="6" t="inlineStr">
        <is>
          <t>EBY-MONTHLY-1994-2012</t>
        </is>
      </c>
      <c r="T321" s="6" t="inlineStr"/>
      <c r="U321" s="4" t="inlineStr">
        <is>
          <t>2026-09-10 23:00:00</t>
        </is>
      </c>
      <c r="V321" s="4" t="inlineStr">
        <is>
          <t>Energia mensual entregada al SINP.</t>
        </is>
      </c>
    </row>
    <row r="322">
      <c r="A322" s="6" t="inlineStr">
        <is>
          <t>R0000326</t>
        </is>
      </c>
      <c r="B322" s="6" t="inlineStr">
        <is>
          <t>1999-04-01</t>
        </is>
      </c>
      <c r="C322" s="6" t="inlineStr">
        <is>
          <t>1999-04-30</t>
        </is>
      </c>
      <c r="D322" s="6" t="inlineStr">
        <is>
          <t>month</t>
        </is>
      </c>
      <c r="E322" s="6" t="inlineStr">
        <is>
          <t>YACYRETA_NET_ENERGY</t>
        </is>
      </c>
      <c r="F322" s="6" t="inlineStr">
        <is>
          <t>YACYRETA</t>
        </is>
      </c>
      <c r="G322" s="6" t="inlineStr">
        <is>
          <t>YACYRETA</t>
        </is>
      </c>
      <c r="H322" s="6" t="inlineStr">
        <is>
          <t>TOTAL</t>
        </is>
      </c>
      <c r="I322" s="8" t="n">
        <v>1067994</v>
      </c>
      <c r="J322" s="6" t="inlineStr">
        <is>
          <t>MWh</t>
        </is>
      </c>
      <c r="K322" s="8" t="n">
        <v>1067994</v>
      </c>
      <c r="L322" s="6" t="inlineStr">
        <is>
          <t>MWh</t>
        </is>
      </c>
      <c r="M322" s="6" t="inlineStr">
        <is>
          <t>EBY</t>
        </is>
      </c>
      <c r="N322" s="6" t="inlineStr">
        <is>
          <t>OFFICIAL_PRIMARY</t>
        </is>
      </c>
      <c r="O322" s="9" t="inlineStr">
        <is>
          <t>OFFICIAL_AGGREGATE</t>
        </is>
      </c>
      <c r="P322" s="8" t="n">
        <v>1</v>
      </c>
      <c r="Q322" s="8" t="n">
        <v>50</v>
      </c>
      <c r="R322" s="7" t="inlineStr">
        <is>
          <t>https://www.eby.gov.py/wp-content/uploads/2019/12/YacyretaEnergiasMensualesDesdePuestaenMarcha.pdf</t>
        </is>
      </c>
      <c r="S322" s="6" t="inlineStr">
        <is>
          <t>EBY-MONTHLY-1994-2012</t>
        </is>
      </c>
      <c r="T322" s="6" t="inlineStr"/>
      <c r="U322" s="4" t="inlineStr">
        <is>
          <t>2026-09-10 23:00:00</t>
        </is>
      </c>
      <c r="V322" s="4" t="inlineStr">
        <is>
          <t>Energia mensual Yacyreta desde puesta en marcha.</t>
        </is>
      </c>
    </row>
    <row r="323">
      <c r="A323" s="6" t="inlineStr">
        <is>
          <t>R0000327</t>
        </is>
      </c>
      <c r="B323" s="6" t="inlineStr">
        <is>
          <t>1999-04-01</t>
        </is>
      </c>
      <c r="C323" s="6" t="inlineStr">
        <is>
          <t>1999-04-30</t>
        </is>
      </c>
      <c r="D323" s="6" t="inlineStr">
        <is>
          <t>month</t>
        </is>
      </c>
      <c r="E323" s="6" t="inlineStr">
        <is>
          <t>ENERGY_TO_ARGENTINA</t>
        </is>
      </c>
      <c r="F323" s="6" t="inlineStr">
        <is>
          <t>YACYRETA</t>
        </is>
      </c>
      <c r="G323" s="6" t="inlineStr">
        <is>
          <t>YACYRETA</t>
        </is>
      </c>
      <c r="H323" s="6" t="inlineStr">
        <is>
          <t>SADI</t>
        </is>
      </c>
      <c r="I323" s="8" t="n">
        <v>1063012</v>
      </c>
      <c r="J323" s="6" t="inlineStr">
        <is>
          <t>MWh</t>
        </is>
      </c>
      <c r="K323" s="8" t="n">
        <v>1063012</v>
      </c>
      <c r="L323" s="6" t="inlineStr">
        <is>
          <t>MWh</t>
        </is>
      </c>
      <c r="M323" s="6" t="inlineStr">
        <is>
          <t>EBY</t>
        </is>
      </c>
      <c r="N323" s="6" t="inlineStr">
        <is>
          <t>OFFICIAL_PRIMARY</t>
        </is>
      </c>
      <c r="O323" s="9" t="inlineStr">
        <is>
          <t>OFFICIAL_AGGREGATE</t>
        </is>
      </c>
      <c r="P323" s="8" t="n">
        <v>1</v>
      </c>
      <c r="Q323" s="8" t="n">
        <v>50</v>
      </c>
      <c r="R323" s="7" t="inlineStr">
        <is>
          <t>https://www.eby.gov.py/wp-content/uploads/2019/12/YacyretaEnergiasMensualesDesdePuestaenMarcha.pdf</t>
        </is>
      </c>
      <c r="S323" s="6" t="inlineStr">
        <is>
          <t>EBY-MONTHLY-1994-2012</t>
        </is>
      </c>
      <c r="T323" s="6" t="inlineStr"/>
      <c r="U323" s="4" t="inlineStr">
        <is>
          <t>2026-09-10 23:00:00</t>
        </is>
      </c>
      <c r="V323" s="4" t="inlineStr">
        <is>
          <t>Energia mensual entregada al SADI.</t>
        </is>
      </c>
    </row>
    <row r="324">
      <c r="A324" s="6" t="inlineStr">
        <is>
          <t>R0000328</t>
        </is>
      </c>
      <c r="B324" s="6" t="inlineStr">
        <is>
          <t>1999-04-01</t>
        </is>
      </c>
      <c r="C324" s="6" t="inlineStr">
        <is>
          <t>1999-04-30</t>
        </is>
      </c>
      <c r="D324" s="6" t="inlineStr">
        <is>
          <t>month</t>
        </is>
      </c>
      <c r="E324" s="6" t="inlineStr">
        <is>
          <t>ENERGY_TO_PY</t>
        </is>
      </c>
      <c r="F324" s="6" t="inlineStr">
        <is>
          <t>YACYRETA</t>
        </is>
      </c>
      <c r="G324" s="6" t="inlineStr">
        <is>
          <t>YACYRETA</t>
        </is>
      </c>
      <c r="H324" s="6" t="inlineStr">
        <is>
          <t>SINP</t>
        </is>
      </c>
      <c r="I324" s="8" t="n">
        <v>4983</v>
      </c>
      <c r="J324" s="6" t="inlineStr">
        <is>
          <t>MWh</t>
        </is>
      </c>
      <c r="K324" s="8" t="n">
        <v>4983</v>
      </c>
      <c r="L324" s="6" t="inlineStr">
        <is>
          <t>MWh</t>
        </is>
      </c>
      <c r="M324" s="6" t="inlineStr">
        <is>
          <t>EBY</t>
        </is>
      </c>
      <c r="N324" s="6" t="inlineStr">
        <is>
          <t>OFFICIAL_PRIMARY</t>
        </is>
      </c>
      <c r="O324" s="9" t="inlineStr">
        <is>
          <t>OFFICIAL_AGGREGATE</t>
        </is>
      </c>
      <c r="P324" s="8" t="n">
        <v>1</v>
      </c>
      <c r="Q324" s="8" t="n">
        <v>50</v>
      </c>
      <c r="R324" s="7" t="inlineStr">
        <is>
          <t>https://www.eby.gov.py/wp-content/uploads/2019/12/YacyretaEnergiasMensualesDesdePuestaenMarcha.pdf</t>
        </is>
      </c>
      <c r="S324" s="6" t="inlineStr">
        <is>
          <t>EBY-MONTHLY-1994-2012</t>
        </is>
      </c>
      <c r="T324" s="6" t="inlineStr"/>
      <c r="U324" s="4" t="inlineStr">
        <is>
          <t>2026-09-10 23:00:00</t>
        </is>
      </c>
      <c r="V324" s="4" t="inlineStr">
        <is>
          <t>Energia mensual entregada al SINP.</t>
        </is>
      </c>
    </row>
    <row r="325">
      <c r="A325" s="6" t="inlineStr">
        <is>
          <t>R0000329</t>
        </is>
      </c>
      <c r="B325" s="6" t="inlineStr">
        <is>
          <t>1999-05-01</t>
        </is>
      </c>
      <c r="C325" s="6" t="inlineStr">
        <is>
          <t>1999-05-31</t>
        </is>
      </c>
      <c r="D325" s="6" t="inlineStr">
        <is>
          <t>month</t>
        </is>
      </c>
      <c r="E325" s="6" t="inlineStr">
        <is>
          <t>YACYRETA_NET_ENERGY</t>
        </is>
      </c>
      <c r="F325" s="6" t="inlineStr">
        <is>
          <t>YACYRETA</t>
        </is>
      </c>
      <c r="G325" s="6" t="inlineStr">
        <is>
          <t>YACYRETA</t>
        </is>
      </c>
      <c r="H325" s="6" t="inlineStr">
        <is>
          <t>TOTAL</t>
        </is>
      </c>
      <c r="I325" s="8" t="n">
        <v>1042262</v>
      </c>
      <c r="J325" s="6" t="inlineStr">
        <is>
          <t>MWh</t>
        </is>
      </c>
      <c r="K325" s="8" t="n">
        <v>1042262</v>
      </c>
      <c r="L325" s="6" t="inlineStr">
        <is>
          <t>MWh</t>
        </is>
      </c>
      <c r="M325" s="6" t="inlineStr">
        <is>
          <t>EBY</t>
        </is>
      </c>
      <c r="N325" s="6" t="inlineStr">
        <is>
          <t>OFFICIAL_PRIMARY</t>
        </is>
      </c>
      <c r="O325" s="9" t="inlineStr">
        <is>
          <t>OFFICIAL_AGGREGATE</t>
        </is>
      </c>
      <c r="P325" s="8" t="n">
        <v>1</v>
      </c>
      <c r="Q325" s="8" t="n">
        <v>50</v>
      </c>
      <c r="R325" s="7" t="inlineStr">
        <is>
          <t>https://www.eby.gov.py/wp-content/uploads/2019/12/YacyretaEnergiasMensualesDesdePuestaenMarcha.pdf</t>
        </is>
      </c>
      <c r="S325" s="6" t="inlineStr">
        <is>
          <t>EBY-MONTHLY-1994-2012</t>
        </is>
      </c>
      <c r="T325" s="6" t="inlineStr"/>
      <c r="U325" s="4" t="inlineStr">
        <is>
          <t>2026-09-10 23:00:00</t>
        </is>
      </c>
      <c r="V325" s="4" t="inlineStr">
        <is>
          <t>Energia mensual Yacyreta desde puesta en marcha.</t>
        </is>
      </c>
    </row>
    <row r="326">
      <c r="A326" s="6" t="inlineStr">
        <is>
          <t>R0000330</t>
        </is>
      </c>
      <c r="B326" s="6" t="inlineStr">
        <is>
          <t>1999-05-01</t>
        </is>
      </c>
      <c r="C326" s="6" t="inlineStr">
        <is>
          <t>1999-05-31</t>
        </is>
      </c>
      <c r="D326" s="6" t="inlineStr">
        <is>
          <t>month</t>
        </is>
      </c>
      <c r="E326" s="6" t="inlineStr">
        <is>
          <t>ENERGY_TO_ARGENTINA</t>
        </is>
      </c>
      <c r="F326" s="6" t="inlineStr">
        <is>
          <t>YACYRETA</t>
        </is>
      </c>
      <c r="G326" s="6" t="inlineStr">
        <is>
          <t>YACYRETA</t>
        </is>
      </c>
      <c r="H326" s="6" t="inlineStr">
        <is>
          <t>SADI</t>
        </is>
      </c>
      <c r="I326" s="8" t="n">
        <v>1038626</v>
      </c>
      <c r="J326" s="6" t="inlineStr">
        <is>
          <t>MWh</t>
        </is>
      </c>
      <c r="K326" s="8" t="n">
        <v>1038626</v>
      </c>
      <c r="L326" s="6" t="inlineStr">
        <is>
          <t>MWh</t>
        </is>
      </c>
      <c r="M326" s="6" t="inlineStr">
        <is>
          <t>EBY</t>
        </is>
      </c>
      <c r="N326" s="6" t="inlineStr">
        <is>
          <t>OFFICIAL_PRIMARY</t>
        </is>
      </c>
      <c r="O326" s="9" t="inlineStr">
        <is>
          <t>OFFICIAL_AGGREGATE</t>
        </is>
      </c>
      <c r="P326" s="8" t="n">
        <v>1</v>
      </c>
      <c r="Q326" s="8" t="n">
        <v>50</v>
      </c>
      <c r="R326" s="7" t="inlineStr">
        <is>
          <t>https://www.eby.gov.py/wp-content/uploads/2019/12/YacyretaEnergiasMensualesDesdePuestaenMarcha.pdf</t>
        </is>
      </c>
      <c r="S326" s="6" t="inlineStr">
        <is>
          <t>EBY-MONTHLY-1994-2012</t>
        </is>
      </c>
      <c r="T326" s="6" t="inlineStr"/>
      <c r="U326" s="4" t="inlineStr">
        <is>
          <t>2026-09-10 23:00:00</t>
        </is>
      </c>
      <c r="V326" s="4" t="inlineStr">
        <is>
          <t>Energia mensual entregada al SADI.</t>
        </is>
      </c>
    </row>
    <row r="327">
      <c r="A327" s="6" t="inlineStr">
        <is>
          <t>R0000331</t>
        </is>
      </c>
      <c r="B327" s="6" t="inlineStr">
        <is>
          <t>1999-05-01</t>
        </is>
      </c>
      <c r="C327" s="6" t="inlineStr">
        <is>
          <t>1999-05-31</t>
        </is>
      </c>
      <c r="D327" s="6" t="inlineStr">
        <is>
          <t>month</t>
        </is>
      </c>
      <c r="E327" s="6" t="inlineStr">
        <is>
          <t>ENERGY_TO_PY</t>
        </is>
      </c>
      <c r="F327" s="6" t="inlineStr">
        <is>
          <t>YACYRETA</t>
        </is>
      </c>
      <c r="G327" s="6" t="inlineStr">
        <is>
          <t>YACYRETA</t>
        </is>
      </c>
      <c r="H327" s="6" t="inlineStr">
        <is>
          <t>SINP</t>
        </is>
      </c>
      <c r="I327" s="8" t="n">
        <v>3636</v>
      </c>
      <c r="J327" s="6" t="inlineStr">
        <is>
          <t>MWh</t>
        </is>
      </c>
      <c r="K327" s="8" t="n">
        <v>3636</v>
      </c>
      <c r="L327" s="6" t="inlineStr">
        <is>
          <t>MWh</t>
        </is>
      </c>
      <c r="M327" s="6" t="inlineStr">
        <is>
          <t>EBY</t>
        </is>
      </c>
      <c r="N327" s="6" t="inlineStr">
        <is>
          <t>OFFICIAL_PRIMARY</t>
        </is>
      </c>
      <c r="O327" s="9" t="inlineStr">
        <is>
          <t>OFFICIAL_AGGREGATE</t>
        </is>
      </c>
      <c r="P327" s="8" t="n">
        <v>1</v>
      </c>
      <c r="Q327" s="8" t="n">
        <v>50</v>
      </c>
      <c r="R327" s="7" t="inlineStr">
        <is>
          <t>https://www.eby.gov.py/wp-content/uploads/2019/12/YacyretaEnergiasMensualesDesdePuestaenMarcha.pdf</t>
        </is>
      </c>
      <c r="S327" s="6" t="inlineStr">
        <is>
          <t>EBY-MONTHLY-1994-2012</t>
        </is>
      </c>
      <c r="T327" s="6" t="inlineStr"/>
      <c r="U327" s="4" t="inlineStr">
        <is>
          <t>2026-09-10 23:00:00</t>
        </is>
      </c>
      <c r="V327" s="4" t="inlineStr">
        <is>
          <t>Energia mensual entregada al SINP.</t>
        </is>
      </c>
    </row>
    <row r="328">
      <c r="A328" s="6" t="inlineStr">
        <is>
          <t>R0000332</t>
        </is>
      </c>
      <c r="B328" s="6" t="inlineStr">
        <is>
          <t>1999-06-01</t>
        </is>
      </c>
      <c r="C328" s="6" t="inlineStr">
        <is>
          <t>1999-06-30</t>
        </is>
      </c>
      <c r="D328" s="6" t="inlineStr">
        <is>
          <t>month</t>
        </is>
      </c>
      <c r="E328" s="6" t="inlineStr">
        <is>
          <t>YACYRETA_NET_ENERGY</t>
        </is>
      </c>
      <c r="F328" s="6" t="inlineStr">
        <is>
          <t>YACYRETA</t>
        </is>
      </c>
      <c r="G328" s="6" t="inlineStr">
        <is>
          <t>YACYRETA</t>
        </is>
      </c>
      <c r="H328" s="6" t="inlineStr">
        <is>
          <t>TOTAL</t>
        </is>
      </c>
      <c r="I328" s="8" t="n">
        <v>1028792</v>
      </c>
      <c r="J328" s="6" t="inlineStr">
        <is>
          <t>MWh</t>
        </is>
      </c>
      <c r="K328" s="8" t="n">
        <v>1028792</v>
      </c>
      <c r="L328" s="6" t="inlineStr">
        <is>
          <t>MWh</t>
        </is>
      </c>
      <c r="M328" s="6" t="inlineStr">
        <is>
          <t>EBY</t>
        </is>
      </c>
      <c r="N328" s="6" t="inlineStr">
        <is>
          <t>OFFICIAL_PRIMARY</t>
        </is>
      </c>
      <c r="O328" s="9" t="inlineStr">
        <is>
          <t>OFFICIAL_AGGREGATE</t>
        </is>
      </c>
      <c r="P328" s="8" t="n">
        <v>1</v>
      </c>
      <c r="Q328" s="8" t="n">
        <v>50</v>
      </c>
      <c r="R328" s="7" t="inlineStr">
        <is>
          <t>https://www.eby.gov.py/wp-content/uploads/2019/12/YacyretaEnergiasMensualesDesdePuestaenMarcha.pdf</t>
        </is>
      </c>
      <c r="S328" s="6" t="inlineStr">
        <is>
          <t>EBY-MONTHLY-1994-2012</t>
        </is>
      </c>
      <c r="T328" s="6" t="inlineStr"/>
      <c r="U328" s="4" t="inlineStr">
        <is>
          <t>2026-09-10 23:00:00</t>
        </is>
      </c>
      <c r="V328" s="4" t="inlineStr">
        <is>
          <t>Energia mensual Yacyreta desde puesta en marcha.</t>
        </is>
      </c>
    </row>
    <row r="329">
      <c r="A329" s="6" t="inlineStr">
        <is>
          <t>R0000333</t>
        </is>
      </c>
      <c r="B329" s="6" t="inlineStr">
        <is>
          <t>1999-06-01</t>
        </is>
      </c>
      <c r="C329" s="6" t="inlineStr">
        <is>
          <t>1999-06-30</t>
        </is>
      </c>
      <c r="D329" s="6" t="inlineStr">
        <is>
          <t>month</t>
        </is>
      </c>
      <c r="E329" s="6" t="inlineStr">
        <is>
          <t>ENERGY_TO_ARGENTINA</t>
        </is>
      </c>
      <c r="F329" s="6" t="inlineStr">
        <is>
          <t>YACYRETA</t>
        </is>
      </c>
      <c r="G329" s="6" t="inlineStr">
        <is>
          <t>YACYRETA</t>
        </is>
      </c>
      <c r="H329" s="6" t="inlineStr">
        <is>
          <t>SADI</t>
        </is>
      </c>
      <c r="I329" s="8" t="n">
        <v>1025109</v>
      </c>
      <c r="J329" s="6" t="inlineStr">
        <is>
          <t>MWh</t>
        </is>
      </c>
      <c r="K329" s="8" t="n">
        <v>1025109</v>
      </c>
      <c r="L329" s="6" t="inlineStr">
        <is>
          <t>MWh</t>
        </is>
      </c>
      <c r="M329" s="6" t="inlineStr">
        <is>
          <t>EBY</t>
        </is>
      </c>
      <c r="N329" s="6" t="inlineStr">
        <is>
          <t>OFFICIAL_PRIMARY</t>
        </is>
      </c>
      <c r="O329" s="9" t="inlineStr">
        <is>
          <t>OFFICIAL_AGGREGATE</t>
        </is>
      </c>
      <c r="P329" s="8" t="n">
        <v>1</v>
      </c>
      <c r="Q329" s="8" t="n">
        <v>50</v>
      </c>
      <c r="R329" s="7" t="inlineStr">
        <is>
          <t>https://www.eby.gov.py/wp-content/uploads/2019/12/YacyretaEnergiasMensualesDesdePuestaenMarcha.pdf</t>
        </is>
      </c>
      <c r="S329" s="6" t="inlineStr">
        <is>
          <t>EBY-MONTHLY-1994-2012</t>
        </is>
      </c>
      <c r="T329" s="6" t="inlineStr"/>
      <c r="U329" s="4" t="inlineStr">
        <is>
          <t>2026-09-10 23:00:00</t>
        </is>
      </c>
      <c r="V329" s="4" t="inlineStr">
        <is>
          <t>Energia mensual entregada al SADI.</t>
        </is>
      </c>
    </row>
    <row r="330">
      <c r="A330" s="6" t="inlineStr">
        <is>
          <t>R0000334</t>
        </is>
      </c>
      <c r="B330" s="6" t="inlineStr">
        <is>
          <t>1999-06-01</t>
        </is>
      </c>
      <c r="C330" s="6" t="inlineStr">
        <is>
          <t>1999-06-30</t>
        </is>
      </c>
      <c r="D330" s="6" t="inlineStr">
        <is>
          <t>month</t>
        </is>
      </c>
      <c r="E330" s="6" t="inlineStr">
        <is>
          <t>ENERGY_TO_PY</t>
        </is>
      </c>
      <c r="F330" s="6" t="inlineStr">
        <is>
          <t>YACYRETA</t>
        </is>
      </c>
      <c r="G330" s="6" t="inlineStr">
        <is>
          <t>YACYRETA</t>
        </is>
      </c>
      <c r="H330" s="6" t="inlineStr">
        <is>
          <t>SINP</t>
        </is>
      </c>
      <c r="I330" s="8" t="n">
        <v>3683</v>
      </c>
      <c r="J330" s="6" t="inlineStr">
        <is>
          <t>MWh</t>
        </is>
      </c>
      <c r="K330" s="8" t="n">
        <v>3683</v>
      </c>
      <c r="L330" s="6" t="inlineStr">
        <is>
          <t>MWh</t>
        </is>
      </c>
      <c r="M330" s="6" t="inlineStr">
        <is>
          <t>EBY</t>
        </is>
      </c>
      <c r="N330" s="6" t="inlineStr">
        <is>
          <t>OFFICIAL_PRIMARY</t>
        </is>
      </c>
      <c r="O330" s="9" t="inlineStr">
        <is>
          <t>OFFICIAL_AGGREGATE</t>
        </is>
      </c>
      <c r="P330" s="8" t="n">
        <v>1</v>
      </c>
      <c r="Q330" s="8" t="n">
        <v>50</v>
      </c>
      <c r="R330" s="7" t="inlineStr">
        <is>
          <t>https://www.eby.gov.py/wp-content/uploads/2019/12/YacyretaEnergiasMensualesDesdePuestaenMarcha.pdf</t>
        </is>
      </c>
      <c r="S330" s="6" t="inlineStr">
        <is>
          <t>EBY-MONTHLY-1994-2012</t>
        </is>
      </c>
      <c r="T330" s="6" t="inlineStr"/>
      <c r="U330" s="4" t="inlineStr">
        <is>
          <t>2026-09-10 23:00:00</t>
        </is>
      </c>
      <c r="V330" s="4" t="inlineStr">
        <is>
          <t>Energia mensual entregada al SINP.</t>
        </is>
      </c>
    </row>
    <row r="331">
      <c r="A331" s="6" t="inlineStr">
        <is>
          <t>R0000335</t>
        </is>
      </c>
      <c r="B331" s="6" t="inlineStr">
        <is>
          <t>1999-07-01</t>
        </is>
      </c>
      <c r="C331" s="6" t="inlineStr">
        <is>
          <t>1999-07-31</t>
        </is>
      </c>
      <c r="D331" s="6" t="inlineStr">
        <is>
          <t>month</t>
        </is>
      </c>
      <c r="E331" s="6" t="inlineStr">
        <is>
          <t>YACYRETA_NET_ENERGY</t>
        </is>
      </c>
      <c r="F331" s="6" t="inlineStr">
        <is>
          <t>YACYRETA</t>
        </is>
      </c>
      <c r="G331" s="6" t="inlineStr">
        <is>
          <t>YACYRETA</t>
        </is>
      </c>
      <c r="H331" s="6" t="inlineStr">
        <is>
          <t>TOTAL</t>
        </is>
      </c>
      <c r="I331" s="8" t="n">
        <v>1116528</v>
      </c>
      <c r="J331" s="6" t="inlineStr">
        <is>
          <t>MWh</t>
        </is>
      </c>
      <c r="K331" s="8" t="n">
        <v>1116528</v>
      </c>
      <c r="L331" s="6" t="inlineStr">
        <is>
          <t>MWh</t>
        </is>
      </c>
      <c r="M331" s="6" t="inlineStr">
        <is>
          <t>EBY</t>
        </is>
      </c>
      <c r="N331" s="6" t="inlineStr">
        <is>
          <t>OFFICIAL_PRIMARY</t>
        </is>
      </c>
      <c r="O331" s="9" t="inlineStr">
        <is>
          <t>OFFICIAL_AGGREGATE</t>
        </is>
      </c>
      <c r="P331" s="8" t="n">
        <v>1</v>
      </c>
      <c r="Q331" s="8" t="n">
        <v>50</v>
      </c>
      <c r="R331" s="7" t="inlineStr">
        <is>
          <t>https://www.eby.gov.py/wp-content/uploads/2019/12/YacyretaEnergiasMensualesDesdePuestaenMarcha.pdf</t>
        </is>
      </c>
      <c r="S331" s="6" t="inlineStr">
        <is>
          <t>EBY-MONTHLY-1994-2012</t>
        </is>
      </c>
      <c r="T331" s="6" t="inlineStr"/>
      <c r="U331" s="4" t="inlineStr">
        <is>
          <t>2026-09-10 23:00:00</t>
        </is>
      </c>
      <c r="V331" s="4" t="inlineStr">
        <is>
          <t>Energia mensual Yacyreta desde puesta en marcha.</t>
        </is>
      </c>
    </row>
    <row r="332">
      <c r="A332" s="6" t="inlineStr">
        <is>
          <t>R0000336</t>
        </is>
      </c>
      <c r="B332" s="6" t="inlineStr">
        <is>
          <t>1999-07-01</t>
        </is>
      </c>
      <c r="C332" s="6" t="inlineStr">
        <is>
          <t>1999-07-31</t>
        </is>
      </c>
      <c r="D332" s="6" t="inlineStr">
        <is>
          <t>month</t>
        </is>
      </c>
      <c r="E332" s="6" t="inlineStr">
        <is>
          <t>ENERGY_TO_ARGENTINA</t>
        </is>
      </c>
      <c r="F332" s="6" t="inlineStr">
        <is>
          <t>YACYRETA</t>
        </is>
      </c>
      <c r="G332" s="6" t="inlineStr">
        <is>
          <t>YACYRETA</t>
        </is>
      </c>
      <c r="H332" s="6" t="inlineStr">
        <is>
          <t>SADI</t>
        </is>
      </c>
      <c r="I332" s="8" t="n">
        <v>1113769</v>
      </c>
      <c r="J332" s="6" t="inlineStr">
        <is>
          <t>MWh</t>
        </is>
      </c>
      <c r="K332" s="8" t="n">
        <v>1113769</v>
      </c>
      <c r="L332" s="6" t="inlineStr">
        <is>
          <t>MWh</t>
        </is>
      </c>
      <c r="M332" s="6" t="inlineStr">
        <is>
          <t>EBY</t>
        </is>
      </c>
      <c r="N332" s="6" t="inlineStr">
        <is>
          <t>OFFICIAL_PRIMARY</t>
        </is>
      </c>
      <c r="O332" s="9" t="inlineStr">
        <is>
          <t>OFFICIAL_AGGREGATE</t>
        </is>
      </c>
      <c r="P332" s="8" t="n">
        <v>1</v>
      </c>
      <c r="Q332" s="8" t="n">
        <v>50</v>
      </c>
      <c r="R332" s="7" t="inlineStr">
        <is>
          <t>https://www.eby.gov.py/wp-content/uploads/2019/12/YacyretaEnergiasMensualesDesdePuestaenMarcha.pdf</t>
        </is>
      </c>
      <c r="S332" s="6" t="inlineStr">
        <is>
          <t>EBY-MONTHLY-1994-2012</t>
        </is>
      </c>
      <c r="T332" s="6" t="inlineStr"/>
      <c r="U332" s="4" t="inlineStr">
        <is>
          <t>2026-09-10 23:00:00</t>
        </is>
      </c>
      <c r="V332" s="4" t="inlineStr">
        <is>
          <t>Energia mensual entregada al SADI.</t>
        </is>
      </c>
    </row>
    <row r="333">
      <c r="A333" s="6" t="inlineStr">
        <is>
          <t>R0000337</t>
        </is>
      </c>
      <c r="B333" s="6" t="inlineStr">
        <is>
          <t>1999-07-01</t>
        </is>
      </c>
      <c r="C333" s="6" t="inlineStr">
        <is>
          <t>1999-07-31</t>
        </is>
      </c>
      <c r="D333" s="6" t="inlineStr">
        <is>
          <t>month</t>
        </is>
      </c>
      <c r="E333" s="6" t="inlineStr">
        <is>
          <t>ENERGY_TO_PY</t>
        </is>
      </c>
      <c r="F333" s="6" t="inlineStr">
        <is>
          <t>YACYRETA</t>
        </is>
      </c>
      <c r="G333" s="6" t="inlineStr">
        <is>
          <t>YACYRETA</t>
        </is>
      </c>
      <c r="H333" s="6" t="inlineStr">
        <is>
          <t>SINP</t>
        </is>
      </c>
      <c r="I333" s="8" t="n">
        <v>2759</v>
      </c>
      <c r="J333" s="6" t="inlineStr">
        <is>
          <t>MWh</t>
        </is>
      </c>
      <c r="K333" s="8" t="n">
        <v>2759</v>
      </c>
      <c r="L333" s="6" t="inlineStr">
        <is>
          <t>MWh</t>
        </is>
      </c>
      <c r="M333" s="6" t="inlineStr">
        <is>
          <t>EBY</t>
        </is>
      </c>
      <c r="N333" s="6" t="inlineStr">
        <is>
          <t>OFFICIAL_PRIMARY</t>
        </is>
      </c>
      <c r="O333" s="9" t="inlineStr">
        <is>
          <t>OFFICIAL_AGGREGATE</t>
        </is>
      </c>
      <c r="P333" s="8" t="n">
        <v>1</v>
      </c>
      <c r="Q333" s="8" t="n">
        <v>50</v>
      </c>
      <c r="R333" s="7" t="inlineStr">
        <is>
          <t>https://www.eby.gov.py/wp-content/uploads/2019/12/YacyretaEnergiasMensualesDesdePuestaenMarcha.pdf</t>
        </is>
      </c>
      <c r="S333" s="6" t="inlineStr">
        <is>
          <t>EBY-MONTHLY-1994-2012</t>
        </is>
      </c>
      <c r="T333" s="6" t="inlineStr"/>
      <c r="U333" s="4" t="inlineStr">
        <is>
          <t>2026-09-10 23:00:00</t>
        </is>
      </c>
      <c r="V333" s="4" t="inlineStr">
        <is>
          <t>Energia mensual entregada al SINP.</t>
        </is>
      </c>
    </row>
    <row r="334">
      <c r="A334" s="6" t="inlineStr">
        <is>
          <t>R0000338</t>
        </is>
      </c>
      <c r="B334" s="6" t="inlineStr">
        <is>
          <t>1999-08-01</t>
        </is>
      </c>
      <c r="C334" s="6" t="inlineStr">
        <is>
          <t>1999-08-31</t>
        </is>
      </c>
      <c r="D334" s="6" t="inlineStr">
        <is>
          <t>month</t>
        </is>
      </c>
      <c r="E334" s="6" t="inlineStr">
        <is>
          <t>YACYRETA_NET_ENERGY</t>
        </is>
      </c>
      <c r="F334" s="6" t="inlineStr">
        <is>
          <t>YACYRETA</t>
        </is>
      </c>
      <c r="G334" s="6" t="inlineStr">
        <is>
          <t>YACYRETA</t>
        </is>
      </c>
      <c r="H334" s="6" t="inlineStr">
        <is>
          <t>TOTAL</t>
        </is>
      </c>
      <c r="I334" s="8" t="n">
        <v>960502</v>
      </c>
      <c r="J334" s="6" t="inlineStr">
        <is>
          <t>MWh</t>
        </is>
      </c>
      <c r="K334" s="8" t="n">
        <v>960502</v>
      </c>
      <c r="L334" s="6" t="inlineStr">
        <is>
          <t>MWh</t>
        </is>
      </c>
      <c r="M334" s="6" t="inlineStr">
        <is>
          <t>EBY</t>
        </is>
      </c>
      <c r="N334" s="6" t="inlineStr">
        <is>
          <t>OFFICIAL_PRIMARY</t>
        </is>
      </c>
      <c r="O334" s="9" t="inlineStr">
        <is>
          <t>OFFICIAL_AGGREGATE</t>
        </is>
      </c>
      <c r="P334" s="8" t="n">
        <v>1</v>
      </c>
      <c r="Q334" s="8" t="n">
        <v>50</v>
      </c>
      <c r="R334" s="7" t="inlineStr">
        <is>
          <t>https://www.eby.gov.py/wp-content/uploads/2019/12/YacyretaEnergiasMensualesDesdePuestaenMarcha.pdf</t>
        </is>
      </c>
      <c r="S334" s="6" t="inlineStr">
        <is>
          <t>EBY-MONTHLY-1994-2012</t>
        </is>
      </c>
      <c r="T334" s="6" t="inlineStr"/>
      <c r="U334" s="4" t="inlineStr">
        <is>
          <t>2026-09-10 23:00:00</t>
        </is>
      </c>
      <c r="V334" s="4" t="inlineStr">
        <is>
          <t>Energia mensual Yacyreta desde puesta en marcha.</t>
        </is>
      </c>
    </row>
    <row r="335">
      <c r="A335" s="6" t="inlineStr">
        <is>
          <t>R0000339</t>
        </is>
      </c>
      <c r="B335" s="6" t="inlineStr">
        <is>
          <t>1999-08-01</t>
        </is>
      </c>
      <c r="C335" s="6" t="inlineStr">
        <is>
          <t>1999-08-31</t>
        </is>
      </c>
      <c r="D335" s="6" t="inlineStr">
        <is>
          <t>month</t>
        </is>
      </c>
      <c r="E335" s="6" t="inlineStr">
        <is>
          <t>ENERGY_TO_ARGENTINA</t>
        </is>
      </c>
      <c r="F335" s="6" t="inlineStr">
        <is>
          <t>YACYRETA</t>
        </is>
      </c>
      <c r="G335" s="6" t="inlineStr">
        <is>
          <t>YACYRETA</t>
        </is>
      </c>
      <c r="H335" s="6" t="inlineStr">
        <is>
          <t>SADI</t>
        </is>
      </c>
      <c r="I335" s="8" t="n">
        <v>958191</v>
      </c>
      <c r="J335" s="6" t="inlineStr">
        <is>
          <t>MWh</t>
        </is>
      </c>
      <c r="K335" s="8" t="n">
        <v>958191</v>
      </c>
      <c r="L335" s="6" t="inlineStr">
        <is>
          <t>MWh</t>
        </is>
      </c>
      <c r="M335" s="6" t="inlineStr">
        <is>
          <t>EBY</t>
        </is>
      </c>
      <c r="N335" s="6" t="inlineStr">
        <is>
          <t>OFFICIAL_PRIMARY</t>
        </is>
      </c>
      <c r="O335" s="9" t="inlineStr">
        <is>
          <t>OFFICIAL_AGGREGATE</t>
        </is>
      </c>
      <c r="P335" s="8" t="n">
        <v>1</v>
      </c>
      <c r="Q335" s="8" t="n">
        <v>50</v>
      </c>
      <c r="R335" s="7" t="inlineStr">
        <is>
          <t>https://www.eby.gov.py/wp-content/uploads/2019/12/YacyretaEnergiasMensualesDesdePuestaenMarcha.pdf</t>
        </is>
      </c>
      <c r="S335" s="6" t="inlineStr">
        <is>
          <t>EBY-MONTHLY-1994-2012</t>
        </is>
      </c>
      <c r="T335" s="6" t="inlineStr"/>
      <c r="U335" s="4" t="inlineStr">
        <is>
          <t>2026-09-10 23:00:00</t>
        </is>
      </c>
      <c r="V335" s="4" t="inlineStr">
        <is>
          <t>Energia mensual entregada al SADI.</t>
        </is>
      </c>
    </row>
    <row r="336">
      <c r="A336" s="6" t="inlineStr">
        <is>
          <t>R0000340</t>
        </is>
      </c>
      <c r="B336" s="6" t="inlineStr">
        <is>
          <t>1999-08-01</t>
        </is>
      </c>
      <c r="C336" s="6" t="inlineStr">
        <is>
          <t>1999-08-31</t>
        </is>
      </c>
      <c r="D336" s="6" t="inlineStr">
        <is>
          <t>month</t>
        </is>
      </c>
      <c r="E336" s="6" t="inlineStr">
        <is>
          <t>ENERGY_TO_PY</t>
        </is>
      </c>
      <c r="F336" s="6" t="inlineStr">
        <is>
          <t>YACYRETA</t>
        </is>
      </c>
      <c r="G336" s="6" t="inlineStr">
        <is>
          <t>YACYRETA</t>
        </is>
      </c>
      <c r="H336" s="6" t="inlineStr">
        <is>
          <t>SINP</t>
        </is>
      </c>
      <c r="I336" s="8" t="n">
        <v>2311</v>
      </c>
      <c r="J336" s="6" t="inlineStr">
        <is>
          <t>MWh</t>
        </is>
      </c>
      <c r="K336" s="8" t="n">
        <v>2311</v>
      </c>
      <c r="L336" s="6" t="inlineStr">
        <is>
          <t>MWh</t>
        </is>
      </c>
      <c r="M336" s="6" t="inlineStr">
        <is>
          <t>EBY</t>
        </is>
      </c>
      <c r="N336" s="6" t="inlineStr">
        <is>
          <t>OFFICIAL_PRIMARY</t>
        </is>
      </c>
      <c r="O336" s="9" t="inlineStr">
        <is>
          <t>OFFICIAL_AGGREGATE</t>
        </is>
      </c>
      <c r="P336" s="8" t="n">
        <v>1</v>
      </c>
      <c r="Q336" s="8" t="n">
        <v>50</v>
      </c>
      <c r="R336" s="7" t="inlineStr">
        <is>
          <t>https://www.eby.gov.py/wp-content/uploads/2019/12/YacyretaEnergiasMensualesDesdePuestaenMarcha.pdf</t>
        </is>
      </c>
      <c r="S336" s="6" t="inlineStr">
        <is>
          <t>EBY-MONTHLY-1994-2012</t>
        </is>
      </c>
      <c r="T336" s="6" t="inlineStr"/>
      <c r="U336" s="4" t="inlineStr">
        <is>
          <t>2026-09-10 23:00:00</t>
        </is>
      </c>
      <c r="V336" s="4" t="inlineStr">
        <is>
          <t>Energia mensual entregada al SINP.</t>
        </is>
      </c>
    </row>
    <row r="337">
      <c r="A337" s="6" t="inlineStr">
        <is>
          <t>R0000341</t>
        </is>
      </c>
      <c r="B337" s="6" t="inlineStr">
        <is>
          <t>1999-09-01</t>
        </is>
      </c>
      <c r="C337" s="6" t="inlineStr">
        <is>
          <t>1999-09-30</t>
        </is>
      </c>
      <c r="D337" s="6" t="inlineStr">
        <is>
          <t>month</t>
        </is>
      </c>
      <c r="E337" s="6" t="inlineStr">
        <is>
          <t>YACYRETA_NET_ENERGY</t>
        </is>
      </c>
      <c r="F337" s="6" t="inlineStr">
        <is>
          <t>YACYRETA</t>
        </is>
      </c>
      <c r="G337" s="6" t="inlineStr">
        <is>
          <t>YACYRETA</t>
        </is>
      </c>
      <c r="H337" s="6" t="inlineStr">
        <is>
          <t>TOTAL</t>
        </is>
      </c>
      <c r="I337" s="8" t="n">
        <v>936925</v>
      </c>
      <c r="J337" s="6" t="inlineStr">
        <is>
          <t>MWh</t>
        </is>
      </c>
      <c r="K337" s="8" t="n">
        <v>936925</v>
      </c>
      <c r="L337" s="6" t="inlineStr">
        <is>
          <t>MWh</t>
        </is>
      </c>
      <c r="M337" s="6" t="inlineStr">
        <is>
          <t>EBY</t>
        </is>
      </c>
      <c r="N337" s="6" t="inlineStr">
        <is>
          <t>OFFICIAL_PRIMARY</t>
        </is>
      </c>
      <c r="O337" s="9" t="inlineStr">
        <is>
          <t>OFFICIAL_AGGREGATE</t>
        </is>
      </c>
      <c r="P337" s="8" t="n">
        <v>1</v>
      </c>
      <c r="Q337" s="8" t="n">
        <v>50</v>
      </c>
      <c r="R337" s="7" t="inlineStr">
        <is>
          <t>https://www.eby.gov.py/wp-content/uploads/2019/12/YacyretaEnergiasMensualesDesdePuestaenMarcha.pdf</t>
        </is>
      </c>
      <c r="S337" s="6" t="inlineStr">
        <is>
          <t>EBY-MONTHLY-1994-2012</t>
        </is>
      </c>
      <c r="T337" s="6" t="inlineStr"/>
      <c r="U337" s="4" t="inlineStr">
        <is>
          <t>2026-09-10 23:00:00</t>
        </is>
      </c>
      <c r="V337" s="4" t="inlineStr">
        <is>
          <t>Energia mensual Yacyreta desde puesta en marcha.</t>
        </is>
      </c>
    </row>
    <row r="338">
      <c r="A338" s="6" t="inlineStr">
        <is>
          <t>R0000342</t>
        </is>
      </c>
      <c r="B338" s="6" t="inlineStr">
        <is>
          <t>1999-09-01</t>
        </is>
      </c>
      <c r="C338" s="6" t="inlineStr">
        <is>
          <t>1999-09-30</t>
        </is>
      </c>
      <c r="D338" s="6" t="inlineStr">
        <is>
          <t>month</t>
        </is>
      </c>
      <c r="E338" s="6" t="inlineStr">
        <is>
          <t>ENERGY_TO_ARGENTINA</t>
        </is>
      </c>
      <c r="F338" s="6" t="inlineStr">
        <is>
          <t>YACYRETA</t>
        </is>
      </c>
      <c r="G338" s="6" t="inlineStr">
        <is>
          <t>YACYRETA</t>
        </is>
      </c>
      <c r="H338" s="6" t="inlineStr">
        <is>
          <t>SADI</t>
        </is>
      </c>
      <c r="I338" s="8" t="n">
        <v>934967</v>
      </c>
      <c r="J338" s="6" t="inlineStr">
        <is>
          <t>MWh</t>
        </is>
      </c>
      <c r="K338" s="8" t="n">
        <v>934967</v>
      </c>
      <c r="L338" s="6" t="inlineStr">
        <is>
          <t>MWh</t>
        </is>
      </c>
      <c r="M338" s="6" t="inlineStr">
        <is>
          <t>EBY</t>
        </is>
      </c>
      <c r="N338" s="6" t="inlineStr">
        <is>
          <t>OFFICIAL_PRIMARY</t>
        </is>
      </c>
      <c r="O338" s="9" t="inlineStr">
        <is>
          <t>OFFICIAL_AGGREGATE</t>
        </is>
      </c>
      <c r="P338" s="8" t="n">
        <v>1</v>
      </c>
      <c r="Q338" s="8" t="n">
        <v>50</v>
      </c>
      <c r="R338" s="7" t="inlineStr">
        <is>
          <t>https://www.eby.gov.py/wp-content/uploads/2019/12/YacyretaEnergiasMensualesDesdePuestaenMarcha.pdf</t>
        </is>
      </c>
      <c r="S338" s="6" t="inlineStr">
        <is>
          <t>EBY-MONTHLY-1994-2012</t>
        </is>
      </c>
      <c r="T338" s="6" t="inlineStr"/>
      <c r="U338" s="4" t="inlineStr">
        <is>
          <t>2026-09-10 23:00:00</t>
        </is>
      </c>
      <c r="V338" s="4" t="inlineStr">
        <is>
          <t>Energia mensual entregada al SADI.</t>
        </is>
      </c>
    </row>
    <row r="339">
      <c r="A339" s="6" t="inlineStr">
        <is>
          <t>R0000343</t>
        </is>
      </c>
      <c r="B339" s="6" t="inlineStr">
        <is>
          <t>1999-09-01</t>
        </is>
      </c>
      <c r="C339" s="6" t="inlineStr">
        <is>
          <t>1999-09-30</t>
        </is>
      </c>
      <c r="D339" s="6" t="inlineStr">
        <is>
          <t>month</t>
        </is>
      </c>
      <c r="E339" s="6" t="inlineStr">
        <is>
          <t>ENERGY_TO_PY</t>
        </is>
      </c>
      <c r="F339" s="6" t="inlineStr">
        <is>
          <t>YACYRETA</t>
        </is>
      </c>
      <c r="G339" s="6" t="inlineStr">
        <is>
          <t>YACYRETA</t>
        </is>
      </c>
      <c r="H339" s="6" t="inlineStr">
        <is>
          <t>SINP</t>
        </is>
      </c>
      <c r="I339" s="8" t="n">
        <v>1958</v>
      </c>
      <c r="J339" s="6" t="inlineStr">
        <is>
          <t>MWh</t>
        </is>
      </c>
      <c r="K339" s="8" t="n">
        <v>1958</v>
      </c>
      <c r="L339" s="6" t="inlineStr">
        <is>
          <t>MWh</t>
        </is>
      </c>
      <c r="M339" s="6" t="inlineStr">
        <is>
          <t>EBY</t>
        </is>
      </c>
      <c r="N339" s="6" t="inlineStr">
        <is>
          <t>OFFICIAL_PRIMARY</t>
        </is>
      </c>
      <c r="O339" s="9" t="inlineStr">
        <is>
          <t>OFFICIAL_AGGREGATE</t>
        </is>
      </c>
      <c r="P339" s="8" t="n">
        <v>1</v>
      </c>
      <c r="Q339" s="8" t="n">
        <v>50</v>
      </c>
      <c r="R339" s="7" t="inlineStr">
        <is>
          <t>https://www.eby.gov.py/wp-content/uploads/2019/12/YacyretaEnergiasMensualesDesdePuestaenMarcha.pdf</t>
        </is>
      </c>
      <c r="S339" s="6" t="inlineStr">
        <is>
          <t>EBY-MONTHLY-1994-2012</t>
        </is>
      </c>
      <c r="T339" s="6" t="inlineStr"/>
      <c r="U339" s="4" t="inlineStr">
        <is>
          <t>2026-09-10 23:00:00</t>
        </is>
      </c>
      <c r="V339" s="4" t="inlineStr">
        <is>
          <t>Energia mensual entregada al SINP.</t>
        </is>
      </c>
    </row>
    <row r="340">
      <c r="A340" s="6" t="inlineStr">
        <is>
          <t>R0000344</t>
        </is>
      </c>
      <c r="B340" s="6" t="inlineStr">
        <is>
          <t>1999-10-01</t>
        </is>
      </c>
      <c r="C340" s="6" t="inlineStr">
        <is>
          <t>1999-10-31</t>
        </is>
      </c>
      <c r="D340" s="6" t="inlineStr">
        <is>
          <t>month</t>
        </is>
      </c>
      <c r="E340" s="6" t="inlineStr">
        <is>
          <t>YACYRETA_NET_ENERGY</t>
        </is>
      </c>
      <c r="F340" s="6" t="inlineStr">
        <is>
          <t>YACYRETA</t>
        </is>
      </c>
      <c r="G340" s="6" t="inlineStr">
        <is>
          <t>YACYRETA</t>
        </is>
      </c>
      <c r="H340" s="6" t="inlineStr">
        <is>
          <t>TOTAL</t>
        </is>
      </c>
      <c r="I340" s="8" t="n">
        <v>911281</v>
      </c>
      <c r="J340" s="6" t="inlineStr">
        <is>
          <t>MWh</t>
        </is>
      </c>
      <c r="K340" s="8" t="n">
        <v>911281</v>
      </c>
      <c r="L340" s="6" t="inlineStr">
        <is>
          <t>MWh</t>
        </is>
      </c>
      <c r="M340" s="6" t="inlineStr">
        <is>
          <t>EBY</t>
        </is>
      </c>
      <c r="N340" s="6" t="inlineStr">
        <is>
          <t>OFFICIAL_PRIMARY</t>
        </is>
      </c>
      <c r="O340" s="9" t="inlineStr">
        <is>
          <t>OFFICIAL_AGGREGATE</t>
        </is>
      </c>
      <c r="P340" s="8" t="n">
        <v>1</v>
      </c>
      <c r="Q340" s="8" t="n">
        <v>50</v>
      </c>
      <c r="R340" s="7" t="inlineStr">
        <is>
          <t>https://www.eby.gov.py/wp-content/uploads/2019/12/YacyretaEnergiasMensualesDesdePuestaenMarcha.pdf</t>
        </is>
      </c>
      <c r="S340" s="6" t="inlineStr">
        <is>
          <t>EBY-MONTHLY-1994-2012</t>
        </is>
      </c>
      <c r="T340" s="6" t="inlineStr"/>
      <c r="U340" s="4" t="inlineStr">
        <is>
          <t>2026-09-10 23:00:00</t>
        </is>
      </c>
      <c r="V340" s="4" t="inlineStr">
        <is>
          <t>Energia mensual Yacyreta desde puesta en marcha.</t>
        </is>
      </c>
    </row>
    <row r="341">
      <c r="A341" s="6" t="inlineStr">
        <is>
          <t>R0000345</t>
        </is>
      </c>
      <c r="B341" s="6" t="inlineStr">
        <is>
          <t>1999-10-01</t>
        </is>
      </c>
      <c r="C341" s="6" t="inlineStr">
        <is>
          <t>1999-10-31</t>
        </is>
      </c>
      <c r="D341" s="6" t="inlineStr">
        <is>
          <t>month</t>
        </is>
      </c>
      <c r="E341" s="6" t="inlineStr">
        <is>
          <t>ENERGY_TO_ARGENTINA</t>
        </is>
      </c>
      <c r="F341" s="6" t="inlineStr">
        <is>
          <t>YACYRETA</t>
        </is>
      </c>
      <c r="G341" s="6" t="inlineStr">
        <is>
          <t>YACYRETA</t>
        </is>
      </c>
      <c r="H341" s="6" t="inlineStr">
        <is>
          <t>SADI</t>
        </is>
      </c>
      <c r="I341" s="8" t="n">
        <v>908320</v>
      </c>
      <c r="J341" s="6" t="inlineStr">
        <is>
          <t>MWh</t>
        </is>
      </c>
      <c r="K341" s="8" t="n">
        <v>908320</v>
      </c>
      <c r="L341" s="6" t="inlineStr">
        <is>
          <t>MWh</t>
        </is>
      </c>
      <c r="M341" s="6" t="inlineStr">
        <is>
          <t>EBY</t>
        </is>
      </c>
      <c r="N341" s="6" t="inlineStr">
        <is>
          <t>OFFICIAL_PRIMARY</t>
        </is>
      </c>
      <c r="O341" s="9" t="inlineStr">
        <is>
          <t>OFFICIAL_AGGREGATE</t>
        </is>
      </c>
      <c r="P341" s="8" t="n">
        <v>1</v>
      </c>
      <c r="Q341" s="8" t="n">
        <v>50</v>
      </c>
      <c r="R341" s="7" t="inlineStr">
        <is>
          <t>https://www.eby.gov.py/wp-content/uploads/2019/12/YacyretaEnergiasMensualesDesdePuestaenMarcha.pdf</t>
        </is>
      </c>
      <c r="S341" s="6" t="inlineStr">
        <is>
          <t>EBY-MONTHLY-1994-2012</t>
        </is>
      </c>
      <c r="T341" s="6" t="inlineStr"/>
      <c r="U341" s="4" t="inlineStr">
        <is>
          <t>2026-09-10 23:00:00</t>
        </is>
      </c>
      <c r="V341" s="4" t="inlineStr">
        <is>
          <t>Energia mensual entregada al SADI.</t>
        </is>
      </c>
    </row>
    <row r="342">
      <c r="A342" s="6" t="inlineStr">
        <is>
          <t>R0000346</t>
        </is>
      </c>
      <c r="B342" s="6" t="inlineStr">
        <is>
          <t>1999-10-01</t>
        </is>
      </c>
      <c r="C342" s="6" t="inlineStr">
        <is>
          <t>1999-10-31</t>
        </is>
      </c>
      <c r="D342" s="6" t="inlineStr">
        <is>
          <t>month</t>
        </is>
      </c>
      <c r="E342" s="6" t="inlineStr">
        <is>
          <t>ENERGY_TO_PY</t>
        </is>
      </c>
      <c r="F342" s="6" t="inlineStr">
        <is>
          <t>YACYRETA</t>
        </is>
      </c>
      <c r="G342" s="6" t="inlineStr">
        <is>
          <t>YACYRETA</t>
        </is>
      </c>
      <c r="H342" s="6" t="inlineStr">
        <is>
          <t>SINP</t>
        </is>
      </c>
      <c r="I342" s="8" t="n">
        <v>2961</v>
      </c>
      <c r="J342" s="6" t="inlineStr">
        <is>
          <t>MWh</t>
        </is>
      </c>
      <c r="K342" s="8" t="n">
        <v>2961</v>
      </c>
      <c r="L342" s="6" t="inlineStr">
        <is>
          <t>MWh</t>
        </is>
      </c>
      <c r="M342" s="6" t="inlineStr">
        <is>
          <t>EBY</t>
        </is>
      </c>
      <c r="N342" s="6" t="inlineStr">
        <is>
          <t>OFFICIAL_PRIMARY</t>
        </is>
      </c>
      <c r="O342" s="9" t="inlineStr">
        <is>
          <t>OFFICIAL_AGGREGATE</t>
        </is>
      </c>
      <c r="P342" s="8" t="n">
        <v>1</v>
      </c>
      <c r="Q342" s="8" t="n">
        <v>50</v>
      </c>
      <c r="R342" s="7" t="inlineStr">
        <is>
          <t>https://www.eby.gov.py/wp-content/uploads/2019/12/YacyretaEnergiasMensualesDesdePuestaenMarcha.pdf</t>
        </is>
      </c>
      <c r="S342" s="6" t="inlineStr">
        <is>
          <t>EBY-MONTHLY-1994-2012</t>
        </is>
      </c>
      <c r="T342" s="6" t="inlineStr"/>
      <c r="U342" s="4" t="inlineStr">
        <is>
          <t>2026-09-10 23:00:00</t>
        </is>
      </c>
      <c r="V342" s="4" t="inlineStr">
        <is>
          <t>Energia mensual entregada al SINP.</t>
        </is>
      </c>
    </row>
    <row r="343">
      <c r="A343" s="6" t="inlineStr">
        <is>
          <t>R0000347</t>
        </is>
      </c>
      <c r="B343" s="6" t="inlineStr">
        <is>
          <t>1999-11-01</t>
        </is>
      </c>
      <c r="C343" s="6" t="inlineStr">
        <is>
          <t>1999-11-30</t>
        </is>
      </c>
      <c r="D343" s="6" t="inlineStr">
        <is>
          <t>month</t>
        </is>
      </c>
      <c r="E343" s="6" t="inlineStr">
        <is>
          <t>YACYRETA_NET_ENERGY</t>
        </is>
      </c>
      <c r="F343" s="6" t="inlineStr">
        <is>
          <t>YACYRETA</t>
        </is>
      </c>
      <c r="G343" s="6" t="inlineStr">
        <is>
          <t>YACYRETA</t>
        </is>
      </c>
      <c r="H343" s="6" t="inlineStr">
        <is>
          <t>TOTAL</t>
        </is>
      </c>
      <c r="I343" s="8" t="n">
        <v>861553</v>
      </c>
      <c r="J343" s="6" t="inlineStr">
        <is>
          <t>MWh</t>
        </is>
      </c>
      <c r="K343" s="8" t="n">
        <v>861553</v>
      </c>
      <c r="L343" s="6" t="inlineStr">
        <is>
          <t>MWh</t>
        </is>
      </c>
      <c r="M343" s="6" t="inlineStr">
        <is>
          <t>EBY</t>
        </is>
      </c>
      <c r="N343" s="6" t="inlineStr">
        <is>
          <t>OFFICIAL_PRIMARY</t>
        </is>
      </c>
      <c r="O343" s="9" t="inlineStr">
        <is>
          <t>OFFICIAL_AGGREGATE</t>
        </is>
      </c>
      <c r="P343" s="8" t="n">
        <v>1</v>
      </c>
      <c r="Q343" s="8" t="n">
        <v>50</v>
      </c>
      <c r="R343" s="7" t="inlineStr">
        <is>
          <t>https://www.eby.gov.py/wp-content/uploads/2019/12/YacyretaEnergiasMensualesDesdePuestaenMarcha.pdf</t>
        </is>
      </c>
      <c r="S343" s="6" t="inlineStr">
        <is>
          <t>EBY-MONTHLY-1994-2012</t>
        </is>
      </c>
      <c r="T343" s="6" t="inlineStr"/>
      <c r="U343" s="4" t="inlineStr">
        <is>
          <t>2026-09-10 23:00:00</t>
        </is>
      </c>
      <c r="V343" s="4" t="inlineStr">
        <is>
          <t>Energia mensual Yacyreta desde puesta en marcha.</t>
        </is>
      </c>
    </row>
    <row r="344">
      <c r="A344" s="6" t="inlineStr">
        <is>
          <t>R0000348</t>
        </is>
      </c>
      <c r="B344" s="6" t="inlineStr">
        <is>
          <t>1999-11-01</t>
        </is>
      </c>
      <c r="C344" s="6" t="inlineStr">
        <is>
          <t>1999-11-30</t>
        </is>
      </c>
      <c r="D344" s="6" t="inlineStr">
        <is>
          <t>month</t>
        </is>
      </c>
      <c r="E344" s="6" t="inlineStr">
        <is>
          <t>ENERGY_TO_ARGENTINA</t>
        </is>
      </c>
      <c r="F344" s="6" t="inlineStr">
        <is>
          <t>YACYRETA</t>
        </is>
      </c>
      <c r="G344" s="6" t="inlineStr">
        <is>
          <t>YACYRETA</t>
        </is>
      </c>
      <c r="H344" s="6" t="inlineStr">
        <is>
          <t>SADI</t>
        </is>
      </c>
      <c r="I344" s="8" t="n">
        <v>859502</v>
      </c>
      <c r="J344" s="6" t="inlineStr">
        <is>
          <t>MWh</t>
        </is>
      </c>
      <c r="K344" s="8" t="n">
        <v>859502</v>
      </c>
      <c r="L344" s="6" t="inlineStr">
        <is>
          <t>MWh</t>
        </is>
      </c>
      <c r="M344" s="6" t="inlineStr">
        <is>
          <t>EBY</t>
        </is>
      </c>
      <c r="N344" s="6" t="inlineStr">
        <is>
          <t>OFFICIAL_PRIMARY</t>
        </is>
      </c>
      <c r="O344" s="9" t="inlineStr">
        <is>
          <t>OFFICIAL_AGGREGATE</t>
        </is>
      </c>
      <c r="P344" s="8" t="n">
        <v>1</v>
      </c>
      <c r="Q344" s="8" t="n">
        <v>50</v>
      </c>
      <c r="R344" s="7" t="inlineStr">
        <is>
          <t>https://www.eby.gov.py/wp-content/uploads/2019/12/YacyretaEnergiasMensualesDesdePuestaenMarcha.pdf</t>
        </is>
      </c>
      <c r="S344" s="6" t="inlineStr">
        <is>
          <t>EBY-MONTHLY-1994-2012</t>
        </is>
      </c>
      <c r="T344" s="6" t="inlineStr"/>
      <c r="U344" s="4" t="inlineStr">
        <is>
          <t>2026-09-10 23:00:00</t>
        </is>
      </c>
      <c r="V344" s="4" t="inlineStr">
        <is>
          <t>Energia mensual entregada al SADI.</t>
        </is>
      </c>
    </row>
    <row r="345">
      <c r="A345" s="6" t="inlineStr">
        <is>
          <t>R0000349</t>
        </is>
      </c>
      <c r="B345" s="6" t="inlineStr">
        <is>
          <t>1999-11-01</t>
        </is>
      </c>
      <c r="C345" s="6" t="inlineStr">
        <is>
          <t>1999-11-30</t>
        </is>
      </c>
      <c r="D345" s="6" t="inlineStr">
        <is>
          <t>month</t>
        </is>
      </c>
      <c r="E345" s="6" t="inlineStr">
        <is>
          <t>ENERGY_TO_PY</t>
        </is>
      </c>
      <c r="F345" s="6" t="inlineStr">
        <is>
          <t>YACYRETA</t>
        </is>
      </c>
      <c r="G345" s="6" t="inlineStr">
        <is>
          <t>YACYRETA</t>
        </is>
      </c>
      <c r="H345" s="6" t="inlineStr">
        <is>
          <t>SINP</t>
        </is>
      </c>
      <c r="I345" s="8" t="n">
        <v>2051</v>
      </c>
      <c r="J345" s="6" t="inlineStr">
        <is>
          <t>MWh</t>
        </is>
      </c>
      <c r="K345" s="8" t="n">
        <v>2051</v>
      </c>
      <c r="L345" s="6" t="inlineStr">
        <is>
          <t>MWh</t>
        </is>
      </c>
      <c r="M345" s="6" t="inlineStr">
        <is>
          <t>EBY</t>
        </is>
      </c>
      <c r="N345" s="6" t="inlineStr">
        <is>
          <t>OFFICIAL_PRIMARY</t>
        </is>
      </c>
      <c r="O345" s="9" t="inlineStr">
        <is>
          <t>OFFICIAL_AGGREGATE</t>
        </is>
      </c>
      <c r="P345" s="8" t="n">
        <v>1</v>
      </c>
      <c r="Q345" s="8" t="n">
        <v>50</v>
      </c>
      <c r="R345" s="7" t="inlineStr">
        <is>
          <t>https://www.eby.gov.py/wp-content/uploads/2019/12/YacyretaEnergiasMensualesDesdePuestaenMarcha.pdf</t>
        </is>
      </c>
      <c r="S345" s="6" t="inlineStr">
        <is>
          <t>EBY-MONTHLY-1994-2012</t>
        </is>
      </c>
      <c r="T345" s="6" t="inlineStr"/>
      <c r="U345" s="4" t="inlineStr">
        <is>
          <t>2026-09-10 23:00:00</t>
        </is>
      </c>
      <c r="V345" s="4" t="inlineStr">
        <is>
          <t>Energia mensual entregada al SINP.</t>
        </is>
      </c>
    </row>
    <row r="346">
      <c r="A346" s="6" t="inlineStr">
        <is>
          <t>R0000350</t>
        </is>
      </c>
      <c r="B346" s="6" t="inlineStr">
        <is>
          <t>1999-12-01</t>
        </is>
      </c>
      <c r="C346" s="6" t="inlineStr">
        <is>
          <t>1999-12-31</t>
        </is>
      </c>
      <c r="D346" s="6" t="inlineStr">
        <is>
          <t>month</t>
        </is>
      </c>
      <c r="E346" s="6" t="inlineStr">
        <is>
          <t>YACYRETA_NET_ENERGY</t>
        </is>
      </c>
      <c r="F346" s="6" t="inlineStr">
        <is>
          <t>YACYRETA</t>
        </is>
      </c>
      <c r="G346" s="6" t="inlineStr">
        <is>
          <t>YACYRETA</t>
        </is>
      </c>
      <c r="H346" s="6" t="inlineStr">
        <is>
          <t>TOTAL</t>
        </is>
      </c>
      <c r="I346" s="8" t="n">
        <v>952374</v>
      </c>
      <c r="J346" s="6" t="inlineStr">
        <is>
          <t>MWh</t>
        </is>
      </c>
      <c r="K346" s="8" t="n">
        <v>952374</v>
      </c>
      <c r="L346" s="6" t="inlineStr">
        <is>
          <t>MWh</t>
        </is>
      </c>
      <c r="M346" s="6" t="inlineStr">
        <is>
          <t>EBY</t>
        </is>
      </c>
      <c r="N346" s="6" t="inlineStr">
        <is>
          <t>OFFICIAL_PRIMARY</t>
        </is>
      </c>
      <c r="O346" s="9" t="inlineStr">
        <is>
          <t>OFFICIAL_AGGREGATE</t>
        </is>
      </c>
      <c r="P346" s="8" t="n">
        <v>1</v>
      </c>
      <c r="Q346" s="8" t="n">
        <v>50</v>
      </c>
      <c r="R346" s="7" t="inlineStr">
        <is>
          <t>https://www.eby.gov.py/wp-content/uploads/2019/12/YacyretaEnergiasMensualesDesdePuestaenMarcha.pdf</t>
        </is>
      </c>
      <c r="S346" s="6" t="inlineStr">
        <is>
          <t>EBY-MONTHLY-1994-2012</t>
        </is>
      </c>
      <c r="T346" s="6" t="inlineStr"/>
      <c r="U346" s="4" t="inlineStr">
        <is>
          <t>2026-09-10 23:00:00</t>
        </is>
      </c>
      <c r="V346" s="4" t="inlineStr">
        <is>
          <t>Energia mensual Yacyreta desde puesta en marcha.</t>
        </is>
      </c>
    </row>
    <row r="347">
      <c r="A347" s="6" t="inlineStr">
        <is>
          <t>R0000351</t>
        </is>
      </c>
      <c r="B347" s="6" t="inlineStr">
        <is>
          <t>1999-12-01</t>
        </is>
      </c>
      <c r="C347" s="6" t="inlineStr">
        <is>
          <t>1999-12-31</t>
        </is>
      </c>
      <c r="D347" s="6" t="inlineStr">
        <is>
          <t>month</t>
        </is>
      </c>
      <c r="E347" s="6" t="inlineStr">
        <is>
          <t>ENERGY_TO_ARGENTINA</t>
        </is>
      </c>
      <c r="F347" s="6" t="inlineStr">
        <is>
          <t>YACYRETA</t>
        </is>
      </c>
      <c r="G347" s="6" t="inlineStr">
        <is>
          <t>YACYRETA</t>
        </is>
      </c>
      <c r="H347" s="6" t="inlineStr">
        <is>
          <t>SADI</t>
        </is>
      </c>
      <c r="I347" s="8" t="n">
        <v>949058</v>
      </c>
      <c r="J347" s="6" t="inlineStr">
        <is>
          <t>MWh</t>
        </is>
      </c>
      <c r="K347" s="8" t="n">
        <v>949058</v>
      </c>
      <c r="L347" s="6" t="inlineStr">
        <is>
          <t>MWh</t>
        </is>
      </c>
      <c r="M347" s="6" t="inlineStr">
        <is>
          <t>EBY</t>
        </is>
      </c>
      <c r="N347" s="6" t="inlineStr">
        <is>
          <t>OFFICIAL_PRIMARY</t>
        </is>
      </c>
      <c r="O347" s="9" t="inlineStr">
        <is>
          <t>OFFICIAL_AGGREGATE</t>
        </is>
      </c>
      <c r="P347" s="8" t="n">
        <v>1</v>
      </c>
      <c r="Q347" s="8" t="n">
        <v>50</v>
      </c>
      <c r="R347" s="7" t="inlineStr">
        <is>
          <t>https://www.eby.gov.py/wp-content/uploads/2019/12/YacyretaEnergiasMensualesDesdePuestaenMarcha.pdf</t>
        </is>
      </c>
      <c r="S347" s="6" t="inlineStr">
        <is>
          <t>EBY-MONTHLY-1994-2012</t>
        </is>
      </c>
      <c r="T347" s="6" t="inlineStr"/>
      <c r="U347" s="4" t="inlineStr">
        <is>
          <t>2026-09-10 23:00:00</t>
        </is>
      </c>
      <c r="V347" s="4" t="inlineStr">
        <is>
          <t>Energia mensual entregada al SADI.</t>
        </is>
      </c>
    </row>
    <row r="348">
      <c r="A348" s="6" t="inlineStr">
        <is>
          <t>R0000352</t>
        </is>
      </c>
      <c r="B348" s="6" t="inlineStr">
        <is>
          <t>1999-12-01</t>
        </is>
      </c>
      <c r="C348" s="6" t="inlineStr">
        <is>
          <t>1999-12-31</t>
        </is>
      </c>
      <c r="D348" s="6" t="inlineStr">
        <is>
          <t>month</t>
        </is>
      </c>
      <c r="E348" s="6" t="inlineStr">
        <is>
          <t>ENERGY_TO_PY</t>
        </is>
      </c>
      <c r="F348" s="6" t="inlineStr">
        <is>
          <t>YACYRETA</t>
        </is>
      </c>
      <c r="G348" s="6" t="inlineStr">
        <is>
          <t>YACYRETA</t>
        </is>
      </c>
      <c r="H348" s="6" t="inlineStr">
        <is>
          <t>SINP</t>
        </is>
      </c>
      <c r="I348" s="8" t="n">
        <v>3316</v>
      </c>
      <c r="J348" s="6" t="inlineStr">
        <is>
          <t>MWh</t>
        </is>
      </c>
      <c r="K348" s="8" t="n">
        <v>3316</v>
      </c>
      <c r="L348" s="6" t="inlineStr">
        <is>
          <t>MWh</t>
        </is>
      </c>
      <c r="M348" s="6" t="inlineStr">
        <is>
          <t>EBY</t>
        </is>
      </c>
      <c r="N348" s="6" t="inlineStr">
        <is>
          <t>OFFICIAL_PRIMARY</t>
        </is>
      </c>
      <c r="O348" s="9" t="inlineStr">
        <is>
          <t>OFFICIAL_AGGREGATE</t>
        </is>
      </c>
      <c r="P348" s="8" t="n">
        <v>1</v>
      </c>
      <c r="Q348" s="8" t="n">
        <v>50</v>
      </c>
      <c r="R348" s="7" t="inlineStr">
        <is>
          <t>https://www.eby.gov.py/wp-content/uploads/2019/12/YacyretaEnergiasMensualesDesdePuestaenMarcha.pdf</t>
        </is>
      </c>
      <c r="S348" s="6" t="inlineStr">
        <is>
          <t>EBY-MONTHLY-1994-2012</t>
        </is>
      </c>
      <c r="T348" s="6" t="inlineStr"/>
      <c r="U348" s="4" t="inlineStr">
        <is>
          <t>2026-09-10 23:00:00</t>
        </is>
      </c>
      <c r="V348" s="4" t="inlineStr">
        <is>
          <t>Energia mensual entregada al SINP.</t>
        </is>
      </c>
    </row>
    <row r="349">
      <c r="A349" s="6" t="inlineStr">
        <is>
          <t>R0000353</t>
        </is>
      </c>
      <c r="B349" s="6" t="inlineStr">
        <is>
          <t>2000-01-01</t>
        </is>
      </c>
      <c r="C349" s="6" t="inlineStr">
        <is>
          <t>2000-01-31</t>
        </is>
      </c>
      <c r="D349" s="6" t="inlineStr">
        <is>
          <t>month</t>
        </is>
      </c>
      <c r="E349" s="6" t="inlineStr">
        <is>
          <t>YACYRETA_NET_ENERGY</t>
        </is>
      </c>
      <c r="F349" s="6" t="inlineStr">
        <is>
          <t>YACYRETA</t>
        </is>
      </c>
      <c r="G349" s="6" t="inlineStr">
        <is>
          <t>YACYRETA</t>
        </is>
      </c>
      <c r="H349" s="6" t="inlineStr">
        <is>
          <t>TOTAL</t>
        </is>
      </c>
      <c r="I349" s="8" t="n">
        <v>880531</v>
      </c>
      <c r="J349" s="6" t="inlineStr">
        <is>
          <t>MWh</t>
        </is>
      </c>
      <c r="K349" s="8" t="n">
        <v>880531</v>
      </c>
      <c r="L349" s="6" t="inlineStr">
        <is>
          <t>MWh</t>
        </is>
      </c>
      <c r="M349" s="6" t="inlineStr">
        <is>
          <t>EBY</t>
        </is>
      </c>
      <c r="N349" s="6" t="inlineStr">
        <is>
          <t>OFFICIAL_PRIMARY</t>
        </is>
      </c>
      <c r="O349" s="9" t="inlineStr">
        <is>
          <t>OFFICIAL_AGGREGATE</t>
        </is>
      </c>
      <c r="P349" s="8" t="n">
        <v>1</v>
      </c>
      <c r="Q349" s="8" t="n">
        <v>50</v>
      </c>
      <c r="R349" s="7" t="inlineStr">
        <is>
          <t>https://www.eby.gov.py/wp-content/uploads/2019/12/YacyretaEnergiasMensualesDesdePuestaenMarcha.pdf</t>
        </is>
      </c>
      <c r="S349" s="6" t="inlineStr">
        <is>
          <t>EBY-MONTHLY-1994-2012</t>
        </is>
      </c>
      <c r="T349" s="6" t="inlineStr"/>
      <c r="U349" s="4" t="inlineStr">
        <is>
          <t>2026-09-10 23:00:00</t>
        </is>
      </c>
      <c r="V349" s="4" t="inlineStr">
        <is>
          <t>Energia mensual Yacyreta desde puesta en marcha.</t>
        </is>
      </c>
    </row>
    <row r="350">
      <c r="A350" s="6" t="inlineStr">
        <is>
          <t>R0000354</t>
        </is>
      </c>
      <c r="B350" s="6" t="inlineStr">
        <is>
          <t>2000-01-01</t>
        </is>
      </c>
      <c r="C350" s="6" t="inlineStr">
        <is>
          <t>2000-01-31</t>
        </is>
      </c>
      <c r="D350" s="6" t="inlineStr">
        <is>
          <t>month</t>
        </is>
      </c>
      <c r="E350" s="6" t="inlineStr">
        <is>
          <t>ENERGY_TO_ARGENTINA</t>
        </is>
      </c>
      <c r="F350" s="6" t="inlineStr">
        <is>
          <t>YACYRETA</t>
        </is>
      </c>
      <c r="G350" s="6" t="inlineStr">
        <is>
          <t>YACYRETA</t>
        </is>
      </c>
      <c r="H350" s="6" t="inlineStr">
        <is>
          <t>SADI</t>
        </is>
      </c>
      <c r="I350" s="8" t="n">
        <v>878745</v>
      </c>
      <c r="J350" s="6" t="inlineStr">
        <is>
          <t>MWh</t>
        </is>
      </c>
      <c r="K350" s="8" t="n">
        <v>878745</v>
      </c>
      <c r="L350" s="6" t="inlineStr">
        <is>
          <t>MWh</t>
        </is>
      </c>
      <c r="M350" s="6" t="inlineStr">
        <is>
          <t>EBY</t>
        </is>
      </c>
      <c r="N350" s="6" t="inlineStr">
        <is>
          <t>OFFICIAL_PRIMARY</t>
        </is>
      </c>
      <c r="O350" s="9" t="inlineStr">
        <is>
          <t>OFFICIAL_AGGREGATE</t>
        </is>
      </c>
      <c r="P350" s="8" t="n">
        <v>1</v>
      </c>
      <c r="Q350" s="8" t="n">
        <v>50</v>
      </c>
      <c r="R350" s="7" t="inlineStr">
        <is>
          <t>https://www.eby.gov.py/wp-content/uploads/2019/12/YacyretaEnergiasMensualesDesdePuestaenMarcha.pdf</t>
        </is>
      </c>
      <c r="S350" s="6" t="inlineStr">
        <is>
          <t>EBY-MONTHLY-1994-2012</t>
        </is>
      </c>
      <c r="T350" s="6" t="inlineStr"/>
      <c r="U350" s="4" t="inlineStr">
        <is>
          <t>2026-09-10 23:00:00</t>
        </is>
      </c>
      <c r="V350" s="4" t="inlineStr">
        <is>
          <t>Energia mensual entregada al SADI.</t>
        </is>
      </c>
    </row>
    <row r="351">
      <c r="A351" s="6" t="inlineStr">
        <is>
          <t>R0000355</t>
        </is>
      </c>
      <c r="B351" s="6" t="inlineStr">
        <is>
          <t>2000-01-01</t>
        </is>
      </c>
      <c r="C351" s="6" t="inlineStr">
        <is>
          <t>2000-01-31</t>
        </is>
      </c>
      <c r="D351" s="6" t="inlineStr">
        <is>
          <t>month</t>
        </is>
      </c>
      <c r="E351" s="6" t="inlineStr">
        <is>
          <t>ENERGY_TO_PY</t>
        </is>
      </c>
      <c r="F351" s="6" t="inlineStr">
        <is>
          <t>YACYRETA</t>
        </is>
      </c>
      <c r="G351" s="6" t="inlineStr">
        <is>
          <t>YACYRETA</t>
        </is>
      </c>
      <c r="H351" s="6" t="inlineStr">
        <is>
          <t>SINP</t>
        </is>
      </c>
      <c r="I351" s="8" t="n">
        <v>1786</v>
      </c>
      <c r="J351" s="6" t="inlineStr">
        <is>
          <t>MWh</t>
        </is>
      </c>
      <c r="K351" s="8" t="n">
        <v>1786</v>
      </c>
      <c r="L351" s="6" t="inlineStr">
        <is>
          <t>MWh</t>
        </is>
      </c>
      <c r="M351" s="6" t="inlineStr">
        <is>
          <t>EBY</t>
        </is>
      </c>
      <c r="N351" s="6" t="inlineStr">
        <is>
          <t>OFFICIAL_PRIMARY</t>
        </is>
      </c>
      <c r="O351" s="9" t="inlineStr">
        <is>
          <t>OFFICIAL_AGGREGATE</t>
        </is>
      </c>
      <c r="P351" s="8" t="n">
        <v>1</v>
      </c>
      <c r="Q351" s="8" t="n">
        <v>50</v>
      </c>
      <c r="R351" s="7" t="inlineStr">
        <is>
          <t>https://www.eby.gov.py/wp-content/uploads/2019/12/YacyretaEnergiasMensualesDesdePuestaenMarcha.pdf</t>
        </is>
      </c>
      <c r="S351" s="6" t="inlineStr">
        <is>
          <t>EBY-MONTHLY-1994-2012</t>
        </is>
      </c>
      <c r="T351" s="6" t="inlineStr"/>
      <c r="U351" s="4" t="inlineStr">
        <is>
          <t>2026-09-10 23:00:00</t>
        </is>
      </c>
      <c r="V351" s="4" t="inlineStr">
        <is>
          <t>Energia mensual entregada al SINP.</t>
        </is>
      </c>
    </row>
    <row r="352">
      <c r="A352" s="6" t="inlineStr">
        <is>
          <t>R0000356</t>
        </is>
      </c>
      <c r="B352" s="6" t="inlineStr">
        <is>
          <t>2000-02-01</t>
        </is>
      </c>
      <c r="C352" s="6" t="inlineStr">
        <is>
          <t>2000-02-29</t>
        </is>
      </c>
      <c r="D352" s="6" t="inlineStr">
        <is>
          <t>month</t>
        </is>
      </c>
      <c r="E352" s="6" t="inlineStr">
        <is>
          <t>YACYRETA_NET_ENERGY</t>
        </is>
      </c>
      <c r="F352" s="6" t="inlineStr">
        <is>
          <t>YACYRETA</t>
        </is>
      </c>
      <c r="G352" s="6" t="inlineStr">
        <is>
          <t>YACYRETA</t>
        </is>
      </c>
      <c r="H352" s="6" t="inlineStr">
        <is>
          <t>TOTAL</t>
        </is>
      </c>
      <c r="I352" s="8" t="n">
        <v>859110</v>
      </c>
      <c r="J352" s="6" t="inlineStr">
        <is>
          <t>MWh</t>
        </is>
      </c>
      <c r="K352" s="8" t="n">
        <v>859110</v>
      </c>
      <c r="L352" s="6" t="inlineStr">
        <is>
          <t>MWh</t>
        </is>
      </c>
      <c r="M352" s="6" t="inlineStr">
        <is>
          <t>EBY</t>
        </is>
      </c>
      <c r="N352" s="6" t="inlineStr">
        <is>
          <t>OFFICIAL_PRIMARY</t>
        </is>
      </c>
      <c r="O352" s="9" t="inlineStr">
        <is>
          <t>OFFICIAL_AGGREGATE</t>
        </is>
      </c>
      <c r="P352" s="8" t="n">
        <v>1</v>
      </c>
      <c r="Q352" s="8" t="n">
        <v>50</v>
      </c>
      <c r="R352" s="7" t="inlineStr">
        <is>
          <t>https://www.eby.gov.py/wp-content/uploads/2019/12/YacyretaEnergiasMensualesDesdePuestaenMarcha.pdf</t>
        </is>
      </c>
      <c r="S352" s="6" t="inlineStr">
        <is>
          <t>EBY-MONTHLY-1994-2012</t>
        </is>
      </c>
      <c r="T352" s="6" t="inlineStr"/>
      <c r="U352" s="4" t="inlineStr">
        <is>
          <t>2026-09-10 23:00:00</t>
        </is>
      </c>
      <c r="V352" s="4" t="inlineStr">
        <is>
          <t>Energia mensual Yacyreta desde puesta en marcha.</t>
        </is>
      </c>
    </row>
    <row r="353">
      <c r="A353" s="6" t="inlineStr">
        <is>
          <t>R0000357</t>
        </is>
      </c>
      <c r="B353" s="6" t="inlineStr">
        <is>
          <t>2000-02-01</t>
        </is>
      </c>
      <c r="C353" s="6" t="inlineStr">
        <is>
          <t>2000-02-29</t>
        </is>
      </c>
      <c r="D353" s="6" t="inlineStr">
        <is>
          <t>month</t>
        </is>
      </c>
      <c r="E353" s="6" t="inlineStr">
        <is>
          <t>ENERGY_TO_ARGENTINA</t>
        </is>
      </c>
      <c r="F353" s="6" t="inlineStr">
        <is>
          <t>YACYRETA</t>
        </is>
      </c>
      <c r="G353" s="6" t="inlineStr">
        <is>
          <t>YACYRETA</t>
        </is>
      </c>
      <c r="H353" s="6" t="inlineStr">
        <is>
          <t>SADI</t>
        </is>
      </c>
      <c r="I353" s="8" t="n">
        <v>856894</v>
      </c>
      <c r="J353" s="6" t="inlineStr">
        <is>
          <t>MWh</t>
        </is>
      </c>
      <c r="K353" s="8" t="n">
        <v>856894</v>
      </c>
      <c r="L353" s="6" t="inlineStr">
        <is>
          <t>MWh</t>
        </is>
      </c>
      <c r="M353" s="6" t="inlineStr">
        <is>
          <t>EBY</t>
        </is>
      </c>
      <c r="N353" s="6" t="inlineStr">
        <is>
          <t>OFFICIAL_PRIMARY</t>
        </is>
      </c>
      <c r="O353" s="9" t="inlineStr">
        <is>
          <t>OFFICIAL_AGGREGATE</t>
        </is>
      </c>
      <c r="P353" s="8" t="n">
        <v>1</v>
      </c>
      <c r="Q353" s="8" t="n">
        <v>50</v>
      </c>
      <c r="R353" s="7" t="inlineStr">
        <is>
          <t>https://www.eby.gov.py/wp-content/uploads/2019/12/YacyretaEnergiasMensualesDesdePuestaenMarcha.pdf</t>
        </is>
      </c>
      <c r="S353" s="6" t="inlineStr">
        <is>
          <t>EBY-MONTHLY-1994-2012</t>
        </is>
      </c>
      <c r="T353" s="6" t="inlineStr"/>
      <c r="U353" s="4" t="inlineStr">
        <is>
          <t>2026-09-10 23:00:00</t>
        </is>
      </c>
      <c r="V353" s="4" t="inlineStr">
        <is>
          <t>Energia mensual entregada al SADI.</t>
        </is>
      </c>
    </row>
    <row r="354">
      <c r="A354" s="6" t="inlineStr">
        <is>
          <t>R0000358</t>
        </is>
      </c>
      <c r="B354" s="6" t="inlineStr">
        <is>
          <t>2000-02-01</t>
        </is>
      </c>
      <c r="C354" s="6" t="inlineStr">
        <is>
          <t>2000-02-29</t>
        </is>
      </c>
      <c r="D354" s="6" t="inlineStr">
        <is>
          <t>month</t>
        </is>
      </c>
      <c r="E354" s="6" t="inlineStr">
        <is>
          <t>ENERGY_TO_PY</t>
        </is>
      </c>
      <c r="F354" s="6" t="inlineStr">
        <is>
          <t>YACYRETA</t>
        </is>
      </c>
      <c r="G354" s="6" t="inlineStr">
        <is>
          <t>YACYRETA</t>
        </is>
      </c>
      <c r="H354" s="6" t="inlineStr">
        <is>
          <t>SINP</t>
        </is>
      </c>
      <c r="I354" s="8" t="n">
        <v>2216</v>
      </c>
      <c r="J354" s="6" t="inlineStr">
        <is>
          <t>MWh</t>
        </is>
      </c>
      <c r="K354" s="8" t="n">
        <v>2216</v>
      </c>
      <c r="L354" s="6" t="inlineStr">
        <is>
          <t>MWh</t>
        </is>
      </c>
      <c r="M354" s="6" t="inlineStr">
        <is>
          <t>EBY</t>
        </is>
      </c>
      <c r="N354" s="6" t="inlineStr">
        <is>
          <t>OFFICIAL_PRIMARY</t>
        </is>
      </c>
      <c r="O354" s="9" t="inlineStr">
        <is>
          <t>OFFICIAL_AGGREGATE</t>
        </is>
      </c>
      <c r="P354" s="8" t="n">
        <v>1</v>
      </c>
      <c r="Q354" s="8" t="n">
        <v>50</v>
      </c>
      <c r="R354" s="7" t="inlineStr">
        <is>
          <t>https://www.eby.gov.py/wp-content/uploads/2019/12/YacyretaEnergiasMensualesDesdePuestaenMarcha.pdf</t>
        </is>
      </c>
      <c r="S354" s="6" t="inlineStr">
        <is>
          <t>EBY-MONTHLY-1994-2012</t>
        </is>
      </c>
      <c r="T354" s="6" t="inlineStr"/>
      <c r="U354" s="4" t="inlineStr">
        <is>
          <t>2026-09-10 23:00:00</t>
        </is>
      </c>
      <c r="V354" s="4" t="inlineStr">
        <is>
          <t>Energia mensual entregada al SINP.</t>
        </is>
      </c>
    </row>
    <row r="355">
      <c r="A355" s="6" t="inlineStr">
        <is>
          <t>R0000359</t>
        </is>
      </c>
      <c r="B355" s="6" t="inlineStr">
        <is>
          <t>2000-03-01</t>
        </is>
      </c>
      <c r="C355" s="6" t="inlineStr">
        <is>
          <t>2000-03-31</t>
        </is>
      </c>
      <c r="D355" s="6" t="inlineStr">
        <is>
          <t>month</t>
        </is>
      </c>
      <c r="E355" s="6" t="inlineStr">
        <is>
          <t>YACYRETA_NET_ENERGY</t>
        </is>
      </c>
      <c r="F355" s="6" t="inlineStr">
        <is>
          <t>YACYRETA</t>
        </is>
      </c>
      <c r="G355" s="6" t="inlineStr">
        <is>
          <t>YACYRETA</t>
        </is>
      </c>
      <c r="H355" s="6" t="inlineStr">
        <is>
          <t>TOTAL</t>
        </is>
      </c>
      <c r="I355" s="8" t="n">
        <v>988559</v>
      </c>
      <c r="J355" s="6" t="inlineStr">
        <is>
          <t>MWh</t>
        </is>
      </c>
      <c r="K355" s="8" t="n">
        <v>988559</v>
      </c>
      <c r="L355" s="6" t="inlineStr">
        <is>
          <t>MWh</t>
        </is>
      </c>
      <c r="M355" s="6" t="inlineStr">
        <is>
          <t>EBY</t>
        </is>
      </c>
      <c r="N355" s="6" t="inlineStr">
        <is>
          <t>OFFICIAL_PRIMARY</t>
        </is>
      </c>
      <c r="O355" s="9" t="inlineStr">
        <is>
          <t>OFFICIAL_AGGREGATE</t>
        </is>
      </c>
      <c r="P355" s="8" t="n">
        <v>1</v>
      </c>
      <c r="Q355" s="8" t="n">
        <v>50</v>
      </c>
      <c r="R355" s="7" t="inlineStr">
        <is>
          <t>https://www.eby.gov.py/wp-content/uploads/2019/12/YacyretaEnergiasMensualesDesdePuestaenMarcha.pdf</t>
        </is>
      </c>
      <c r="S355" s="6" t="inlineStr">
        <is>
          <t>EBY-MONTHLY-1994-2012</t>
        </is>
      </c>
      <c r="T355" s="6" t="inlineStr"/>
      <c r="U355" s="4" t="inlineStr">
        <is>
          <t>2026-09-10 23:00:00</t>
        </is>
      </c>
      <c r="V355" s="4" t="inlineStr">
        <is>
          <t>Energia mensual Yacyreta desde puesta en marcha.</t>
        </is>
      </c>
    </row>
    <row r="356">
      <c r="A356" s="6" t="inlineStr">
        <is>
          <t>R0000360</t>
        </is>
      </c>
      <c r="B356" s="6" t="inlineStr">
        <is>
          <t>2000-03-01</t>
        </is>
      </c>
      <c r="C356" s="6" t="inlineStr">
        <is>
          <t>2000-03-31</t>
        </is>
      </c>
      <c r="D356" s="6" t="inlineStr">
        <is>
          <t>month</t>
        </is>
      </c>
      <c r="E356" s="6" t="inlineStr">
        <is>
          <t>ENERGY_TO_ARGENTINA</t>
        </is>
      </c>
      <c r="F356" s="6" t="inlineStr">
        <is>
          <t>YACYRETA</t>
        </is>
      </c>
      <c r="G356" s="6" t="inlineStr">
        <is>
          <t>YACYRETA</t>
        </is>
      </c>
      <c r="H356" s="6" t="inlineStr">
        <is>
          <t>SADI</t>
        </is>
      </c>
      <c r="I356" s="8" t="n">
        <v>984762</v>
      </c>
      <c r="J356" s="6" t="inlineStr">
        <is>
          <t>MWh</t>
        </is>
      </c>
      <c r="K356" s="8" t="n">
        <v>984762</v>
      </c>
      <c r="L356" s="6" t="inlineStr">
        <is>
          <t>MWh</t>
        </is>
      </c>
      <c r="M356" s="6" t="inlineStr">
        <is>
          <t>EBY</t>
        </is>
      </c>
      <c r="N356" s="6" t="inlineStr">
        <is>
          <t>OFFICIAL_PRIMARY</t>
        </is>
      </c>
      <c r="O356" s="9" t="inlineStr">
        <is>
          <t>OFFICIAL_AGGREGATE</t>
        </is>
      </c>
      <c r="P356" s="8" t="n">
        <v>1</v>
      </c>
      <c r="Q356" s="8" t="n">
        <v>50</v>
      </c>
      <c r="R356" s="7" t="inlineStr">
        <is>
          <t>https://www.eby.gov.py/wp-content/uploads/2019/12/YacyretaEnergiasMensualesDesdePuestaenMarcha.pdf</t>
        </is>
      </c>
      <c r="S356" s="6" t="inlineStr">
        <is>
          <t>EBY-MONTHLY-1994-2012</t>
        </is>
      </c>
      <c r="T356" s="6" t="inlineStr"/>
      <c r="U356" s="4" t="inlineStr">
        <is>
          <t>2026-09-10 23:00:00</t>
        </is>
      </c>
      <c r="V356" s="4" t="inlineStr">
        <is>
          <t>Energia mensual entregada al SADI.</t>
        </is>
      </c>
    </row>
    <row r="357">
      <c r="A357" s="6" t="inlineStr">
        <is>
          <t>R0000361</t>
        </is>
      </c>
      <c r="B357" s="6" t="inlineStr">
        <is>
          <t>2000-03-01</t>
        </is>
      </c>
      <c r="C357" s="6" t="inlineStr">
        <is>
          <t>2000-03-31</t>
        </is>
      </c>
      <c r="D357" s="6" t="inlineStr">
        <is>
          <t>month</t>
        </is>
      </c>
      <c r="E357" s="6" t="inlineStr">
        <is>
          <t>ENERGY_TO_PY</t>
        </is>
      </c>
      <c r="F357" s="6" t="inlineStr">
        <is>
          <t>YACYRETA</t>
        </is>
      </c>
      <c r="G357" s="6" t="inlineStr">
        <is>
          <t>YACYRETA</t>
        </is>
      </c>
      <c r="H357" s="6" t="inlineStr">
        <is>
          <t>SINP</t>
        </is>
      </c>
      <c r="I357" s="8" t="n">
        <v>3797</v>
      </c>
      <c r="J357" s="6" t="inlineStr">
        <is>
          <t>MWh</t>
        </is>
      </c>
      <c r="K357" s="8" t="n">
        <v>3797</v>
      </c>
      <c r="L357" s="6" t="inlineStr">
        <is>
          <t>MWh</t>
        </is>
      </c>
      <c r="M357" s="6" t="inlineStr">
        <is>
          <t>EBY</t>
        </is>
      </c>
      <c r="N357" s="6" t="inlineStr">
        <is>
          <t>OFFICIAL_PRIMARY</t>
        </is>
      </c>
      <c r="O357" s="9" t="inlineStr">
        <is>
          <t>OFFICIAL_AGGREGATE</t>
        </is>
      </c>
      <c r="P357" s="8" t="n">
        <v>1</v>
      </c>
      <c r="Q357" s="8" t="n">
        <v>50</v>
      </c>
      <c r="R357" s="7" t="inlineStr">
        <is>
          <t>https://www.eby.gov.py/wp-content/uploads/2019/12/YacyretaEnergiasMensualesDesdePuestaenMarcha.pdf</t>
        </is>
      </c>
      <c r="S357" s="6" t="inlineStr">
        <is>
          <t>EBY-MONTHLY-1994-2012</t>
        </is>
      </c>
      <c r="T357" s="6" t="inlineStr"/>
      <c r="U357" s="4" t="inlineStr">
        <is>
          <t>2026-09-10 23:00:00</t>
        </is>
      </c>
      <c r="V357" s="4" t="inlineStr">
        <is>
          <t>Energia mensual entregada al SINP.</t>
        </is>
      </c>
    </row>
    <row r="358">
      <c r="A358" s="6" t="inlineStr">
        <is>
          <t>R0000362</t>
        </is>
      </c>
      <c r="B358" s="6" t="inlineStr">
        <is>
          <t>2000-04-01</t>
        </is>
      </c>
      <c r="C358" s="6" t="inlineStr">
        <is>
          <t>2000-04-30</t>
        </is>
      </c>
      <c r="D358" s="6" t="inlineStr">
        <is>
          <t>month</t>
        </is>
      </c>
      <c r="E358" s="6" t="inlineStr">
        <is>
          <t>YACYRETA_NET_ENERGY</t>
        </is>
      </c>
      <c r="F358" s="6" t="inlineStr">
        <is>
          <t>YACYRETA</t>
        </is>
      </c>
      <c r="G358" s="6" t="inlineStr">
        <is>
          <t>YACYRETA</t>
        </is>
      </c>
      <c r="H358" s="6" t="inlineStr">
        <is>
          <t>TOTAL</t>
        </is>
      </c>
      <c r="I358" s="8" t="n">
        <v>932685</v>
      </c>
      <c r="J358" s="6" t="inlineStr">
        <is>
          <t>MWh</t>
        </is>
      </c>
      <c r="K358" s="8" t="n">
        <v>932685</v>
      </c>
      <c r="L358" s="6" t="inlineStr">
        <is>
          <t>MWh</t>
        </is>
      </c>
      <c r="M358" s="6" t="inlineStr">
        <is>
          <t>EBY</t>
        </is>
      </c>
      <c r="N358" s="6" t="inlineStr">
        <is>
          <t>OFFICIAL_PRIMARY</t>
        </is>
      </c>
      <c r="O358" s="9" t="inlineStr">
        <is>
          <t>OFFICIAL_AGGREGATE</t>
        </is>
      </c>
      <c r="P358" s="8" t="n">
        <v>1</v>
      </c>
      <c r="Q358" s="8" t="n">
        <v>50</v>
      </c>
      <c r="R358" s="7" t="inlineStr">
        <is>
          <t>https://www.eby.gov.py/wp-content/uploads/2019/12/YacyretaEnergiasMensualesDesdePuestaenMarcha.pdf</t>
        </is>
      </c>
      <c r="S358" s="6" t="inlineStr">
        <is>
          <t>EBY-MONTHLY-1994-2012</t>
        </is>
      </c>
      <c r="T358" s="6" t="inlineStr"/>
      <c r="U358" s="4" t="inlineStr">
        <is>
          <t>2026-09-10 23:00:00</t>
        </is>
      </c>
      <c r="V358" s="4" t="inlineStr">
        <is>
          <t>Energia mensual Yacyreta desde puesta en marcha.</t>
        </is>
      </c>
    </row>
    <row r="359">
      <c r="A359" s="6" t="inlineStr">
        <is>
          <t>R0000363</t>
        </is>
      </c>
      <c r="B359" s="6" t="inlineStr">
        <is>
          <t>2000-04-01</t>
        </is>
      </c>
      <c r="C359" s="6" t="inlineStr">
        <is>
          <t>2000-04-30</t>
        </is>
      </c>
      <c r="D359" s="6" t="inlineStr">
        <is>
          <t>month</t>
        </is>
      </c>
      <c r="E359" s="6" t="inlineStr">
        <is>
          <t>ENERGY_TO_ARGENTINA</t>
        </is>
      </c>
      <c r="F359" s="6" t="inlineStr">
        <is>
          <t>YACYRETA</t>
        </is>
      </c>
      <c r="G359" s="6" t="inlineStr">
        <is>
          <t>YACYRETA</t>
        </is>
      </c>
      <c r="H359" s="6" t="inlineStr">
        <is>
          <t>SADI</t>
        </is>
      </c>
      <c r="I359" s="8" t="n">
        <v>930146</v>
      </c>
      <c r="J359" s="6" t="inlineStr">
        <is>
          <t>MWh</t>
        </is>
      </c>
      <c r="K359" s="8" t="n">
        <v>930146</v>
      </c>
      <c r="L359" s="6" t="inlineStr">
        <is>
          <t>MWh</t>
        </is>
      </c>
      <c r="M359" s="6" t="inlineStr">
        <is>
          <t>EBY</t>
        </is>
      </c>
      <c r="N359" s="6" t="inlineStr">
        <is>
          <t>OFFICIAL_PRIMARY</t>
        </is>
      </c>
      <c r="O359" s="9" t="inlineStr">
        <is>
          <t>OFFICIAL_AGGREGATE</t>
        </is>
      </c>
      <c r="P359" s="8" t="n">
        <v>1</v>
      </c>
      <c r="Q359" s="8" t="n">
        <v>50</v>
      </c>
      <c r="R359" s="7" t="inlineStr">
        <is>
          <t>https://www.eby.gov.py/wp-content/uploads/2019/12/YacyretaEnergiasMensualesDesdePuestaenMarcha.pdf</t>
        </is>
      </c>
      <c r="S359" s="6" t="inlineStr">
        <is>
          <t>EBY-MONTHLY-1994-2012</t>
        </is>
      </c>
      <c r="T359" s="6" t="inlineStr"/>
      <c r="U359" s="4" t="inlineStr">
        <is>
          <t>2026-09-10 23:00:00</t>
        </is>
      </c>
      <c r="V359" s="4" t="inlineStr">
        <is>
          <t>Energia mensual entregada al SADI.</t>
        </is>
      </c>
    </row>
    <row r="360">
      <c r="A360" s="6" t="inlineStr">
        <is>
          <t>R0000364</t>
        </is>
      </c>
      <c r="B360" s="6" t="inlineStr">
        <is>
          <t>2000-04-01</t>
        </is>
      </c>
      <c r="C360" s="6" t="inlineStr">
        <is>
          <t>2000-04-30</t>
        </is>
      </c>
      <c r="D360" s="6" t="inlineStr">
        <is>
          <t>month</t>
        </is>
      </c>
      <c r="E360" s="6" t="inlineStr">
        <is>
          <t>ENERGY_TO_PY</t>
        </is>
      </c>
      <c r="F360" s="6" t="inlineStr">
        <is>
          <t>YACYRETA</t>
        </is>
      </c>
      <c r="G360" s="6" t="inlineStr">
        <is>
          <t>YACYRETA</t>
        </is>
      </c>
      <c r="H360" s="6" t="inlineStr">
        <is>
          <t>SINP</t>
        </is>
      </c>
      <c r="I360" s="8" t="n">
        <v>2539</v>
      </c>
      <c r="J360" s="6" t="inlineStr">
        <is>
          <t>MWh</t>
        </is>
      </c>
      <c r="K360" s="8" t="n">
        <v>2539</v>
      </c>
      <c r="L360" s="6" t="inlineStr">
        <is>
          <t>MWh</t>
        </is>
      </c>
      <c r="M360" s="6" t="inlineStr">
        <is>
          <t>EBY</t>
        </is>
      </c>
      <c r="N360" s="6" t="inlineStr">
        <is>
          <t>OFFICIAL_PRIMARY</t>
        </is>
      </c>
      <c r="O360" s="9" t="inlineStr">
        <is>
          <t>OFFICIAL_AGGREGATE</t>
        </is>
      </c>
      <c r="P360" s="8" t="n">
        <v>1</v>
      </c>
      <c r="Q360" s="8" t="n">
        <v>50</v>
      </c>
      <c r="R360" s="7" t="inlineStr">
        <is>
          <t>https://www.eby.gov.py/wp-content/uploads/2019/12/YacyretaEnergiasMensualesDesdePuestaenMarcha.pdf</t>
        </is>
      </c>
      <c r="S360" s="6" t="inlineStr">
        <is>
          <t>EBY-MONTHLY-1994-2012</t>
        </is>
      </c>
      <c r="T360" s="6" t="inlineStr"/>
      <c r="U360" s="4" t="inlineStr">
        <is>
          <t>2026-09-10 23:00:00</t>
        </is>
      </c>
      <c r="V360" s="4" t="inlineStr">
        <is>
          <t>Energia mensual entregada al SINP.</t>
        </is>
      </c>
    </row>
    <row r="361">
      <c r="A361" s="6" t="inlineStr">
        <is>
          <t>R0000365</t>
        </is>
      </c>
      <c r="B361" s="6" t="inlineStr">
        <is>
          <t>2000-05-01</t>
        </is>
      </c>
      <c r="C361" s="6" t="inlineStr">
        <is>
          <t>2000-05-31</t>
        </is>
      </c>
      <c r="D361" s="6" t="inlineStr">
        <is>
          <t>month</t>
        </is>
      </c>
      <c r="E361" s="6" t="inlineStr">
        <is>
          <t>YACYRETA_NET_ENERGY</t>
        </is>
      </c>
      <c r="F361" s="6" t="inlineStr">
        <is>
          <t>YACYRETA</t>
        </is>
      </c>
      <c r="G361" s="6" t="inlineStr">
        <is>
          <t>YACYRETA</t>
        </is>
      </c>
      <c r="H361" s="6" t="inlineStr">
        <is>
          <t>TOTAL</t>
        </is>
      </c>
      <c r="I361" s="8" t="n">
        <v>960706</v>
      </c>
      <c r="J361" s="6" t="inlineStr">
        <is>
          <t>MWh</t>
        </is>
      </c>
      <c r="K361" s="8" t="n">
        <v>960706</v>
      </c>
      <c r="L361" s="6" t="inlineStr">
        <is>
          <t>MWh</t>
        </is>
      </c>
      <c r="M361" s="6" t="inlineStr">
        <is>
          <t>EBY</t>
        </is>
      </c>
      <c r="N361" s="6" t="inlineStr">
        <is>
          <t>OFFICIAL_PRIMARY</t>
        </is>
      </c>
      <c r="O361" s="9" t="inlineStr">
        <is>
          <t>OFFICIAL_AGGREGATE</t>
        </is>
      </c>
      <c r="P361" s="8" t="n">
        <v>1</v>
      </c>
      <c r="Q361" s="8" t="n">
        <v>50</v>
      </c>
      <c r="R361" s="7" t="inlineStr">
        <is>
          <t>https://www.eby.gov.py/wp-content/uploads/2019/12/YacyretaEnergiasMensualesDesdePuestaenMarcha.pdf</t>
        </is>
      </c>
      <c r="S361" s="6" t="inlineStr">
        <is>
          <t>EBY-MONTHLY-1994-2012</t>
        </is>
      </c>
      <c r="T361" s="6" t="inlineStr"/>
      <c r="U361" s="4" t="inlineStr">
        <is>
          <t>2026-09-10 23:00:00</t>
        </is>
      </c>
      <c r="V361" s="4" t="inlineStr">
        <is>
          <t>Energia mensual Yacyreta desde puesta en marcha.</t>
        </is>
      </c>
    </row>
    <row r="362">
      <c r="A362" s="6" t="inlineStr">
        <is>
          <t>R0000366</t>
        </is>
      </c>
      <c r="B362" s="6" t="inlineStr">
        <is>
          <t>2000-05-01</t>
        </is>
      </c>
      <c r="C362" s="6" t="inlineStr">
        <is>
          <t>2000-05-31</t>
        </is>
      </c>
      <c r="D362" s="6" t="inlineStr">
        <is>
          <t>month</t>
        </is>
      </c>
      <c r="E362" s="6" t="inlineStr">
        <is>
          <t>ENERGY_TO_ARGENTINA</t>
        </is>
      </c>
      <c r="F362" s="6" t="inlineStr">
        <is>
          <t>YACYRETA</t>
        </is>
      </c>
      <c r="G362" s="6" t="inlineStr">
        <is>
          <t>YACYRETA</t>
        </is>
      </c>
      <c r="H362" s="6" t="inlineStr">
        <is>
          <t>SADI</t>
        </is>
      </c>
      <c r="I362" s="8" t="n">
        <v>953339</v>
      </c>
      <c r="J362" s="6" t="inlineStr">
        <is>
          <t>MWh</t>
        </is>
      </c>
      <c r="K362" s="8" t="n">
        <v>953339</v>
      </c>
      <c r="L362" s="6" t="inlineStr">
        <is>
          <t>MWh</t>
        </is>
      </c>
      <c r="M362" s="6" t="inlineStr">
        <is>
          <t>EBY</t>
        </is>
      </c>
      <c r="N362" s="6" t="inlineStr">
        <is>
          <t>OFFICIAL_PRIMARY</t>
        </is>
      </c>
      <c r="O362" s="9" t="inlineStr">
        <is>
          <t>OFFICIAL_AGGREGATE</t>
        </is>
      </c>
      <c r="P362" s="8" t="n">
        <v>1</v>
      </c>
      <c r="Q362" s="8" t="n">
        <v>50</v>
      </c>
      <c r="R362" s="7" t="inlineStr">
        <is>
          <t>https://www.eby.gov.py/wp-content/uploads/2019/12/YacyretaEnergiasMensualesDesdePuestaenMarcha.pdf</t>
        </is>
      </c>
      <c r="S362" s="6" t="inlineStr">
        <is>
          <t>EBY-MONTHLY-1994-2012</t>
        </is>
      </c>
      <c r="T362" s="6" t="inlineStr"/>
      <c r="U362" s="4" t="inlineStr">
        <is>
          <t>2026-09-10 23:00:00</t>
        </is>
      </c>
      <c r="V362" s="4" t="inlineStr">
        <is>
          <t>Energia mensual entregada al SADI.</t>
        </is>
      </c>
    </row>
    <row r="363">
      <c r="A363" s="6" t="inlineStr">
        <is>
          <t>R0000367</t>
        </is>
      </c>
      <c r="B363" s="6" t="inlineStr">
        <is>
          <t>2000-05-01</t>
        </is>
      </c>
      <c r="C363" s="6" t="inlineStr">
        <is>
          <t>2000-05-31</t>
        </is>
      </c>
      <c r="D363" s="6" t="inlineStr">
        <is>
          <t>month</t>
        </is>
      </c>
      <c r="E363" s="6" t="inlineStr">
        <is>
          <t>ENERGY_TO_PY</t>
        </is>
      </c>
      <c r="F363" s="6" t="inlineStr">
        <is>
          <t>YACYRETA</t>
        </is>
      </c>
      <c r="G363" s="6" t="inlineStr">
        <is>
          <t>YACYRETA</t>
        </is>
      </c>
      <c r="H363" s="6" t="inlineStr">
        <is>
          <t>SINP</t>
        </is>
      </c>
      <c r="I363" s="8" t="n">
        <v>7367</v>
      </c>
      <c r="J363" s="6" t="inlineStr">
        <is>
          <t>MWh</t>
        </is>
      </c>
      <c r="K363" s="8" t="n">
        <v>7367</v>
      </c>
      <c r="L363" s="6" t="inlineStr">
        <is>
          <t>MWh</t>
        </is>
      </c>
      <c r="M363" s="6" t="inlineStr">
        <is>
          <t>EBY</t>
        </is>
      </c>
      <c r="N363" s="6" t="inlineStr">
        <is>
          <t>OFFICIAL_PRIMARY</t>
        </is>
      </c>
      <c r="O363" s="9" t="inlineStr">
        <is>
          <t>OFFICIAL_AGGREGATE</t>
        </is>
      </c>
      <c r="P363" s="8" t="n">
        <v>1</v>
      </c>
      <c r="Q363" s="8" t="n">
        <v>50</v>
      </c>
      <c r="R363" s="7" t="inlineStr">
        <is>
          <t>https://www.eby.gov.py/wp-content/uploads/2019/12/YacyretaEnergiasMensualesDesdePuestaenMarcha.pdf</t>
        </is>
      </c>
      <c r="S363" s="6" t="inlineStr">
        <is>
          <t>EBY-MONTHLY-1994-2012</t>
        </is>
      </c>
      <c r="T363" s="6" t="inlineStr"/>
      <c r="U363" s="4" t="inlineStr">
        <is>
          <t>2026-09-10 23:00:00</t>
        </is>
      </c>
      <c r="V363" s="4" t="inlineStr">
        <is>
          <t>Energia mensual entregada al SINP.</t>
        </is>
      </c>
    </row>
    <row r="364">
      <c r="A364" s="6" t="inlineStr">
        <is>
          <t>R0000368</t>
        </is>
      </c>
      <c r="B364" s="6" t="inlineStr">
        <is>
          <t>2000-06-01</t>
        </is>
      </c>
      <c r="C364" s="6" t="inlineStr">
        <is>
          <t>2000-06-30</t>
        </is>
      </c>
      <c r="D364" s="6" t="inlineStr">
        <is>
          <t>month</t>
        </is>
      </c>
      <c r="E364" s="6" t="inlineStr">
        <is>
          <t>YACYRETA_NET_ENERGY</t>
        </is>
      </c>
      <c r="F364" s="6" t="inlineStr">
        <is>
          <t>YACYRETA</t>
        </is>
      </c>
      <c r="G364" s="6" t="inlineStr">
        <is>
          <t>YACYRETA</t>
        </is>
      </c>
      <c r="H364" s="6" t="inlineStr">
        <is>
          <t>TOTAL</t>
        </is>
      </c>
      <c r="I364" s="8" t="n">
        <v>940476</v>
      </c>
      <c r="J364" s="6" t="inlineStr">
        <is>
          <t>MWh</t>
        </is>
      </c>
      <c r="K364" s="8" t="n">
        <v>940476</v>
      </c>
      <c r="L364" s="6" t="inlineStr">
        <is>
          <t>MWh</t>
        </is>
      </c>
      <c r="M364" s="6" t="inlineStr">
        <is>
          <t>EBY</t>
        </is>
      </c>
      <c r="N364" s="6" t="inlineStr">
        <is>
          <t>OFFICIAL_PRIMARY</t>
        </is>
      </c>
      <c r="O364" s="9" t="inlineStr">
        <is>
          <t>OFFICIAL_AGGREGATE</t>
        </is>
      </c>
      <c r="P364" s="8" t="n">
        <v>1</v>
      </c>
      <c r="Q364" s="8" t="n">
        <v>50</v>
      </c>
      <c r="R364" s="7" t="inlineStr">
        <is>
          <t>https://www.eby.gov.py/wp-content/uploads/2019/12/YacyretaEnergiasMensualesDesdePuestaenMarcha.pdf</t>
        </is>
      </c>
      <c r="S364" s="6" t="inlineStr">
        <is>
          <t>EBY-MONTHLY-1994-2012</t>
        </is>
      </c>
      <c r="T364" s="6" t="inlineStr"/>
      <c r="U364" s="4" t="inlineStr">
        <is>
          <t>2026-09-10 23:00:00</t>
        </is>
      </c>
      <c r="V364" s="4" t="inlineStr">
        <is>
          <t>Energia mensual Yacyreta desde puesta en marcha.</t>
        </is>
      </c>
    </row>
    <row r="365">
      <c r="A365" s="6" t="inlineStr">
        <is>
          <t>R0000369</t>
        </is>
      </c>
      <c r="B365" s="6" t="inlineStr">
        <is>
          <t>2000-06-01</t>
        </is>
      </c>
      <c r="C365" s="6" t="inlineStr">
        <is>
          <t>2000-06-30</t>
        </is>
      </c>
      <c r="D365" s="6" t="inlineStr">
        <is>
          <t>month</t>
        </is>
      </c>
      <c r="E365" s="6" t="inlineStr">
        <is>
          <t>ENERGY_TO_ARGENTINA</t>
        </is>
      </c>
      <c r="F365" s="6" t="inlineStr">
        <is>
          <t>YACYRETA</t>
        </is>
      </c>
      <c r="G365" s="6" t="inlineStr">
        <is>
          <t>YACYRETA</t>
        </is>
      </c>
      <c r="H365" s="6" t="inlineStr">
        <is>
          <t>SADI</t>
        </is>
      </c>
      <c r="I365" s="8" t="n">
        <v>938778</v>
      </c>
      <c r="J365" s="6" t="inlineStr">
        <is>
          <t>MWh</t>
        </is>
      </c>
      <c r="K365" s="8" t="n">
        <v>938778</v>
      </c>
      <c r="L365" s="6" t="inlineStr">
        <is>
          <t>MWh</t>
        </is>
      </c>
      <c r="M365" s="6" t="inlineStr">
        <is>
          <t>EBY</t>
        </is>
      </c>
      <c r="N365" s="6" t="inlineStr">
        <is>
          <t>OFFICIAL_PRIMARY</t>
        </is>
      </c>
      <c r="O365" s="9" t="inlineStr">
        <is>
          <t>OFFICIAL_AGGREGATE</t>
        </is>
      </c>
      <c r="P365" s="8" t="n">
        <v>1</v>
      </c>
      <c r="Q365" s="8" t="n">
        <v>50</v>
      </c>
      <c r="R365" s="7" t="inlineStr">
        <is>
          <t>https://www.eby.gov.py/wp-content/uploads/2019/12/YacyretaEnergiasMensualesDesdePuestaenMarcha.pdf</t>
        </is>
      </c>
      <c r="S365" s="6" t="inlineStr">
        <is>
          <t>EBY-MONTHLY-1994-2012</t>
        </is>
      </c>
      <c r="T365" s="6" t="inlineStr"/>
      <c r="U365" s="4" t="inlineStr">
        <is>
          <t>2026-09-10 23:00:00</t>
        </is>
      </c>
      <c r="V365" s="4" t="inlineStr">
        <is>
          <t>Energia mensual entregada al SADI.</t>
        </is>
      </c>
    </row>
    <row r="366">
      <c r="A366" s="6" t="inlineStr">
        <is>
          <t>R0000370</t>
        </is>
      </c>
      <c r="B366" s="6" t="inlineStr">
        <is>
          <t>2000-06-01</t>
        </is>
      </c>
      <c r="C366" s="6" t="inlineStr">
        <is>
          <t>2000-06-30</t>
        </is>
      </c>
      <c r="D366" s="6" t="inlineStr">
        <is>
          <t>month</t>
        </is>
      </c>
      <c r="E366" s="6" t="inlineStr">
        <is>
          <t>ENERGY_TO_PY</t>
        </is>
      </c>
      <c r="F366" s="6" t="inlineStr">
        <is>
          <t>YACYRETA</t>
        </is>
      </c>
      <c r="G366" s="6" t="inlineStr">
        <is>
          <t>YACYRETA</t>
        </is>
      </c>
      <c r="H366" s="6" t="inlineStr">
        <is>
          <t>SINP</t>
        </is>
      </c>
      <c r="I366" s="8" t="n">
        <v>1698</v>
      </c>
      <c r="J366" s="6" t="inlineStr">
        <is>
          <t>MWh</t>
        </is>
      </c>
      <c r="K366" s="8" t="n">
        <v>1698</v>
      </c>
      <c r="L366" s="6" t="inlineStr">
        <is>
          <t>MWh</t>
        </is>
      </c>
      <c r="M366" s="6" t="inlineStr">
        <is>
          <t>EBY</t>
        </is>
      </c>
      <c r="N366" s="6" t="inlineStr">
        <is>
          <t>OFFICIAL_PRIMARY</t>
        </is>
      </c>
      <c r="O366" s="9" t="inlineStr">
        <is>
          <t>OFFICIAL_AGGREGATE</t>
        </is>
      </c>
      <c r="P366" s="8" t="n">
        <v>1</v>
      </c>
      <c r="Q366" s="8" t="n">
        <v>50</v>
      </c>
      <c r="R366" s="7" t="inlineStr">
        <is>
          <t>https://www.eby.gov.py/wp-content/uploads/2019/12/YacyretaEnergiasMensualesDesdePuestaenMarcha.pdf</t>
        </is>
      </c>
      <c r="S366" s="6" t="inlineStr">
        <is>
          <t>EBY-MONTHLY-1994-2012</t>
        </is>
      </c>
      <c r="T366" s="6" t="inlineStr"/>
      <c r="U366" s="4" t="inlineStr">
        <is>
          <t>2026-09-10 23:00:00</t>
        </is>
      </c>
      <c r="V366" s="4" t="inlineStr">
        <is>
          <t>Energia mensual entregada al SINP.</t>
        </is>
      </c>
    </row>
    <row r="367">
      <c r="A367" s="6" t="inlineStr">
        <is>
          <t>R0000371</t>
        </is>
      </c>
      <c r="B367" s="6" t="inlineStr">
        <is>
          <t>2000-07-01</t>
        </is>
      </c>
      <c r="C367" s="6" t="inlineStr">
        <is>
          <t>2000-07-31</t>
        </is>
      </c>
      <c r="D367" s="6" t="inlineStr">
        <is>
          <t>month</t>
        </is>
      </c>
      <c r="E367" s="6" t="inlineStr">
        <is>
          <t>YACYRETA_NET_ENERGY</t>
        </is>
      </c>
      <c r="F367" s="6" t="inlineStr">
        <is>
          <t>YACYRETA</t>
        </is>
      </c>
      <c r="G367" s="6" t="inlineStr">
        <is>
          <t>YACYRETA</t>
        </is>
      </c>
      <c r="H367" s="6" t="inlineStr">
        <is>
          <t>TOTAL</t>
        </is>
      </c>
      <c r="I367" s="8" t="n">
        <v>993673</v>
      </c>
      <c r="J367" s="6" t="inlineStr">
        <is>
          <t>MWh</t>
        </is>
      </c>
      <c r="K367" s="8" t="n">
        <v>993673</v>
      </c>
      <c r="L367" s="6" t="inlineStr">
        <is>
          <t>MWh</t>
        </is>
      </c>
      <c r="M367" s="6" t="inlineStr">
        <is>
          <t>EBY</t>
        </is>
      </c>
      <c r="N367" s="6" t="inlineStr">
        <is>
          <t>OFFICIAL_PRIMARY</t>
        </is>
      </c>
      <c r="O367" s="9" t="inlineStr">
        <is>
          <t>OFFICIAL_AGGREGATE</t>
        </is>
      </c>
      <c r="P367" s="8" t="n">
        <v>1</v>
      </c>
      <c r="Q367" s="8" t="n">
        <v>50</v>
      </c>
      <c r="R367" s="7" t="inlineStr">
        <is>
          <t>https://www.eby.gov.py/wp-content/uploads/2019/12/YacyretaEnergiasMensualesDesdePuestaenMarcha.pdf</t>
        </is>
      </c>
      <c r="S367" s="6" t="inlineStr">
        <is>
          <t>EBY-MONTHLY-1994-2012</t>
        </is>
      </c>
      <c r="T367" s="6" t="inlineStr"/>
      <c r="U367" s="4" t="inlineStr">
        <is>
          <t>2026-09-10 23:00:00</t>
        </is>
      </c>
      <c r="V367" s="4" t="inlineStr">
        <is>
          <t>Energia mensual Yacyreta desde puesta en marcha.</t>
        </is>
      </c>
    </row>
    <row r="368">
      <c r="A368" s="6" t="inlineStr">
        <is>
          <t>R0000372</t>
        </is>
      </c>
      <c r="B368" s="6" t="inlineStr">
        <is>
          <t>2000-07-01</t>
        </is>
      </c>
      <c r="C368" s="6" t="inlineStr">
        <is>
          <t>2000-07-31</t>
        </is>
      </c>
      <c r="D368" s="6" t="inlineStr">
        <is>
          <t>month</t>
        </is>
      </c>
      <c r="E368" s="6" t="inlineStr">
        <is>
          <t>ENERGY_TO_ARGENTINA</t>
        </is>
      </c>
      <c r="F368" s="6" t="inlineStr">
        <is>
          <t>YACYRETA</t>
        </is>
      </c>
      <c r="G368" s="6" t="inlineStr">
        <is>
          <t>YACYRETA</t>
        </is>
      </c>
      <c r="H368" s="6" t="inlineStr">
        <is>
          <t>SADI</t>
        </is>
      </c>
      <c r="I368" s="8" t="n">
        <v>992504</v>
      </c>
      <c r="J368" s="6" t="inlineStr">
        <is>
          <t>MWh</t>
        </is>
      </c>
      <c r="K368" s="8" t="n">
        <v>992504</v>
      </c>
      <c r="L368" s="6" t="inlineStr">
        <is>
          <t>MWh</t>
        </is>
      </c>
      <c r="M368" s="6" t="inlineStr">
        <is>
          <t>EBY</t>
        </is>
      </c>
      <c r="N368" s="6" t="inlineStr">
        <is>
          <t>OFFICIAL_PRIMARY</t>
        </is>
      </c>
      <c r="O368" s="9" t="inlineStr">
        <is>
          <t>OFFICIAL_AGGREGATE</t>
        </is>
      </c>
      <c r="P368" s="8" t="n">
        <v>1</v>
      </c>
      <c r="Q368" s="8" t="n">
        <v>50</v>
      </c>
      <c r="R368" s="7" t="inlineStr">
        <is>
          <t>https://www.eby.gov.py/wp-content/uploads/2019/12/YacyretaEnergiasMensualesDesdePuestaenMarcha.pdf</t>
        </is>
      </c>
      <c r="S368" s="6" t="inlineStr">
        <is>
          <t>EBY-MONTHLY-1994-2012</t>
        </is>
      </c>
      <c r="T368" s="6" t="inlineStr"/>
      <c r="U368" s="4" t="inlineStr">
        <is>
          <t>2026-09-10 23:00:00</t>
        </is>
      </c>
      <c r="V368" s="4" t="inlineStr">
        <is>
          <t>Energia mensual entregada al SADI.</t>
        </is>
      </c>
    </row>
    <row r="369">
      <c r="A369" s="6" t="inlineStr">
        <is>
          <t>R0000373</t>
        </is>
      </c>
      <c r="B369" s="6" t="inlineStr">
        <is>
          <t>2000-07-01</t>
        </is>
      </c>
      <c r="C369" s="6" t="inlineStr">
        <is>
          <t>2000-07-31</t>
        </is>
      </c>
      <c r="D369" s="6" t="inlineStr">
        <is>
          <t>month</t>
        </is>
      </c>
      <c r="E369" s="6" t="inlineStr">
        <is>
          <t>ENERGY_TO_PY</t>
        </is>
      </c>
      <c r="F369" s="6" t="inlineStr">
        <is>
          <t>YACYRETA</t>
        </is>
      </c>
      <c r="G369" s="6" t="inlineStr">
        <is>
          <t>YACYRETA</t>
        </is>
      </c>
      <c r="H369" s="6" t="inlineStr">
        <is>
          <t>SINP</t>
        </is>
      </c>
      <c r="I369" s="8" t="n">
        <v>1169</v>
      </c>
      <c r="J369" s="6" t="inlineStr">
        <is>
          <t>MWh</t>
        </is>
      </c>
      <c r="K369" s="8" t="n">
        <v>1169</v>
      </c>
      <c r="L369" s="6" t="inlineStr">
        <is>
          <t>MWh</t>
        </is>
      </c>
      <c r="M369" s="6" t="inlineStr">
        <is>
          <t>EBY</t>
        </is>
      </c>
      <c r="N369" s="6" t="inlineStr">
        <is>
          <t>OFFICIAL_PRIMARY</t>
        </is>
      </c>
      <c r="O369" s="9" t="inlineStr">
        <is>
          <t>OFFICIAL_AGGREGATE</t>
        </is>
      </c>
      <c r="P369" s="8" t="n">
        <v>1</v>
      </c>
      <c r="Q369" s="8" t="n">
        <v>50</v>
      </c>
      <c r="R369" s="7" t="inlineStr">
        <is>
          <t>https://www.eby.gov.py/wp-content/uploads/2019/12/YacyretaEnergiasMensualesDesdePuestaenMarcha.pdf</t>
        </is>
      </c>
      <c r="S369" s="6" t="inlineStr">
        <is>
          <t>EBY-MONTHLY-1994-2012</t>
        </is>
      </c>
      <c r="T369" s="6" t="inlineStr"/>
      <c r="U369" s="4" t="inlineStr">
        <is>
          <t>2026-09-10 23:00:00</t>
        </is>
      </c>
      <c r="V369" s="4" t="inlineStr">
        <is>
          <t>Energia mensual entregada al SINP.</t>
        </is>
      </c>
    </row>
    <row r="370">
      <c r="A370" s="6" t="inlineStr">
        <is>
          <t>R0000374</t>
        </is>
      </c>
      <c r="B370" s="6" t="inlineStr">
        <is>
          <t>2000-08-01</t>
        </is>
      </c>
      <c r="C370" s="6" t="inlineStr">
        <is>
          <t>2000-08-31</t>
        </is>
      </c>
      <c r="D370" s="6" t="inlineStr">
        <is>
          <t>month</t>
        </is>
      </c>
      <c r="E370" s="6" t="inlineStr">
        <is>
          <t>YACYRETA_NET_ENERGY</t>
        </is>
      </c>
      <c r="F370" s="6" t="inlineStr">
        <is>
          <t>YACYRETA</t>
        </is>
      </c>
      <c r="G370" s="6" t="inlineStr">
        <is>
          <t>YACYRETA</t>
        </is>
      </c>
      <c r="H370" s="6" t="inlineStr">
        <is>
          <t>TOTAL</t>
        </is>
      </c>
      <c r="I370" s="8" t="n">
        <v>936847</v>
      </c>
      <c r="J370" s="6" t="inlineStr">
        <is>
          <t>MWh</t>
        </is>
      </c>
      <c r="K370" s="8" t="n">
        <v>936847</v>
      </c>
      <c r="L370" s="6" t="inlineStr">
        <is>
          <t>MWh</t>
        </is>
      </c>
      <c r="M370" s="6" t="inlineStr">
        <is>
          <t>EBY</t>
        </is>
      </c>
      <c r="N370" s="6" t="inlineStr">
        <is>
          <t>OFFICIAL_PRIMARY</t>
        </is>
      </c>
      <c r="O370" s="9" t="inlineStr">
        <is>
          <t>OFFICIAL_AGGREGATE</t>
        </is>
      </c>
      <c r="P370" s="8" t="n">
        <v>1</v>
      </c>
      <c r="Q370" s="8" t="n">
        <v>50</v>
      </c>
      <c r="R370" s="7" t="inlineStr">
        <is>
          <t>https://www.eby.gov.py/wp-content/uploads/2019/12/YacyretaEnergiasMensualesDesdePuestaenMarcha.pdf</t>
        </is>
      </c>
      <c r="S370" s="6" t="inlineStr">
        <is>
          <t>EBY-MONTHLY-1994-2012</t>
        </is>
      </c>
      <c r="T370" s="6" t="inlineStr"/>
      <c r="U370" s="4" t="inlineStr">
        <is>
          <t>2026-09-10 23:00:00</t>
        </is>
      </c>
      <c r="V370" s="4" t="inlineStr">
        <is>
          <t>Energia mensual Yacyreta desde puesta en marcha.</t>
        </is>
      </c>
    </row>
    <row r="371">
      <c r="A371" s="6" t="inlineStr">
        <is>
          <t>R0000375</t>
        </is>
      </c>
      <c r="B371" s="6" t="inlineStr">
        <is>
          <t>2000-08-01</t>
        </is>
      </c>
      <c r="C371" s="6" t="inlineStr">
        <is>
          <t>2000-08-31</t>
        </is>
      </c>
      <c r="D371" s="6" t="inlineStr">
        <is>
          <t>month</t>
        </is>
      </c>
      <c r="E371" s="6" t="inlineStr">
        <is>
          <t>ENERGY_TO_ARGENTINA</t>
        </is>
      </c>
      <c r="F371" s="6" t="inlineStr">
        <is>
          <t>YACYRETA</t>
        </is>
      </c>
      <c r="G371" s="6" t="inlineStr">
        <is>
          <t>YACYRETA</t>
        </is>
      </c>
      <c r="H371" s="6" t="inlineStr">
        <is>
          <t>SADI</t>
        </is>
      </c>
      <c r="I371" s="8" t="n">
        <v>935052</v>
      </c>
      <c r="J371" s="6" t="inlineStr">
        <is>
          <t>MWh</t>
        </is>
      </c>
      <c r="K371" s="8" t="n">
        <v>935052</v>
      </c>
      <c r="L371" s="6" t="inlineStr">
        <is>
          <t>MWh</t>
        </is>
      </c>
      <c r="M371" s="6" t="inlineStr">
        <is>
          <t>EBY</t>
        </is>
      </c>
      <c r="N371" s="6" t="inlineStr">
        <is>
          <t>OFFICIAL_PRIMARY</t>
        </is>
      </c>
      <c r="O371" s="9" t="inlineStr">
        <is>
          <t>OFFICIAL_AGGREGATE</t>
        </is>
      </c>
      <c r="P371" s="8" t="n">
        <v>1</v>
      </c>
      <c r="Q371" s="8" t="n">
        <v>50</v>
      </c>
      <c r="R371" s="7" t="inlineStr">
        <is>
          <t>https://www.eby.gov.py/wp-content/uploads/2019/12/YacyretaEnergiasMensualesDesdePuestaenMarcha.pdf</t>
        </is>
      </c>
      <c r="S371" s="6" t="inlineStr">
        <is>
          <t>EBY-MONTHLY-1994-2012</t>
        </is>
      </c>
      <c r="T371" s="6" t="inlineStr"/>
      <c r="U371" s="4" t="inlineStr">
        <is>
          <t>2026-09-10 23:00:00</t>
        </is>
      </c>
      <c r="V371" s="4" t="inlineStr">
        <is>
          <t>Energia mensual entregada al SADI.</t>
        </is>
      </c>
    </row>
    <row r="372">
      <c r="A372" s="6" t="inlineStr">
        <is>
          <t>R0000376</t>
        </is>
      </c>
      <c r="B372" s="6" t="inlineStr">
        <is>
          <t>2000-08-01</t>
        </is>
      </c>
      <c r="C372" s="6" t="inlineStr">
        <is>
          <t>2000-08-31</t>
        </is>
      </c>
      <c r="D372" s="6" t="inlineStr">
        <is>
          <t>month</t>
        </is>
      </c>
      <c r="E372" s="6" t="inlineStr">
        <is>
          <t>ENERGY_TO_PY</t>
        </is>
      </c>
      <c r="F372" s="6" t="inlineStr">
        <is>
          <t>YACYRETA</t>
        </is>
      </c>
      <c r="G372" s="6" t="inlineStr">
        <is>
          <t>YACYRETA</t>
        </is>
      </c>
      <c r="H372" s="6" t="inlineStr">
        <is>
          <t>SINP</t>
        </is>
      </c>
      <c r="I372" s="8" t="n">
        <v>1795</v>
      </c>
      <c r="J372" s="6" t="inlineStr">
        <is>
          <t>MWh</t>
        </is>
      </c>
      <c r="K372" s="8" t="n">
        <v>1795</v>
      </c>
      <c r="L372" s="6" t="inlineStr">
        <is>
          <t>MWh</t>
        </is>
      </c>
      <c r="M372" s="6" t="inlineStr">
        <is>
          <t>EBY</t>
        </is>
      </c>
      <c r="N372" s="6" t="inlineStr">
        <is>
          <t>OFFICIAL_PRIMARY</t>
        </is>
      </c>
      <c r="O372" s="9" t="inlineStr">
        <is>
          <t>OFFICIAL_AGGREGATE</t>
        </is>
      </c>
      <c r="P372" s="8" t="n">
        <v>1</v>
      </c>
      <c r="Q372" s="8" t="n">
        <v>50</v>
      </c>
      <c r="R372" s="7" t="inlineStr">
        <is>
          <t>https://www.eby.gov.py/wp-content/uploads/2019/12/YacyretaEnergiasMensualesDesdePuestaenMarcha.pdf</t>
        </is>
      </c>
      <c r="S372" s="6" t="inlineStr">
        <is>
          <t>EBY-MONTHLY-1994-2012</t>
        </is>
      </c>
      <c r="T372" s="6" t="inlineStr"/>
      <c r="U372" s="4" t="inlineStr">
        <is>
          <t>2026-09-10 23:00:00</t>
        </is>
      </c>
      <c r="V372" s="4" t="inlineStr">
        <is>
          <t>Energia mensual entregada al SINP.</t>
        </is>
      </c>
    </row>
    <row r="373">
      <c r="A373" s="6" t="inlineStr">
        <is>
          <t>R0000377</t>
        </is>
      </c>
      <c r="B373" s="6" t="inlineStr">
        <is>
          <t>2000-09-01</t>
        </is>
      </c>
      <c r="C373" s="6" t="inlineStr">
        <is>
          <t>2000-09-30</t>
        </is>
      </c>
      <c r="D373" s="6" t="inlineStr">
        <is>
          <t>month</t>
        </is>
      </c>
      <c r="E373" s="6" t="inlineStr">
        <is>
          <t>YACYRETA_NET_ENERGY</t>
        </is>
      </c>
      <c r="F373" s="6" t="inlineStr">
        <is>
          <t>YACYRETA</t>
        </is>
      </c>
      <c r="G373" s="6" t="inlineStr">
        <is>
          <t>YACYRETA</t>
        </is>
      </c>
      <c r="H373" s="6" t="inlineStr">
        <is>
          <t>TOTAL</t>
        </is>
      </c>
      <c r="I373" s="8" t="n">
        <v>1142040</v>
      </c>
      <c r="J373" s="6" t="inlineStr">
        <is>
          <t>MWh</t>
        </is>
      </c>
      <c r="K373" s="8" t="n">
        <v>1142040</v>
      </c>
      <c r="L373" s="6" t="inlineStr">
        <is>
          <t>MWh</t>
        </is>
      </c>
      <c r="M373" s="6" t="inlineStr">
        <is>
          <t>EBY</t>
        </is>
      </c>
      <c r="N373" s="6" t="inlineStr">
        <is>
          <t>OFFICIAL_PRIMARY</t>
        </is>
      </c>
      <c r="O373" s="9" t="inlineStr">
        <is>
          <t>OFFICIAL_AGGREGATE</t>
        </is>
      </c>
      <c r="P373" s="8" t="n">
        <v>1</v>
      </c>
      <c r="Q373" s="8" t="n">
        <v>50</v>
      </c>
      <c r="R373" s="7" t="inlineStr">
        <is>
          <t>https://www.eby.gov.py/wp-content/uploads/2019/12/YacyretaEnergiasMensualesDesdePuestaenMarcha.pdf</t>
        </is>
      </c>
      <c r="S373" s="6" t="inlineStr">
        <is>
          <t>EBY-MONTHLY-1994-2012</t>
        </is>
      </c>
      <c r="T373" s="6" t="inlineStr"/>
      <c r="U373" s="4" t="inlineStr">
        <is>
          <t>2026-09-10 23:00:00</t>
        </is>
      </c>
      <c r="V373" s="4" t="inlineStr">
        <is>
          <t>Energia mensual Yacyreta desde puesta en marcha.</t>
        </is>
      </c>
    </row>
    <row r="374">
      <c r="A374" s="6" t="inlineStr">
        <is>
          <t>R0000378</t>
        </is>
      </c>
      <c r="B374" s="6" t="inlineStr">
        <is>
          <t>2000-09-01</t>
        </is>
      </c>
      <c r="C374" s="6" t="inlineStr">
        <is>
          <t>2000-09-30</t>
        </is>
      </c>
      <c r="D374" s="6" t="inlineStr">
        <is>
          <t>month</t>
        </is>
      </c>
      <c r="E374" s="6" t="inlineStr">
        <is>
          <t>ENERGY_TO_ARGENTINA</t>
        </is>
      </c>
      <c r="F374" s="6" t="inlineStr">
        <is>
          <t>YACYRETA</t>
        </is>
      </c>
      <c r="G374" s="6" t="inlineStr">
        <is>
          <t>YACYRETA</t>
        </is>
      </c>
      <c r="H374" s="6" t="inlineStr">
        <is>
          <t>SADI</t>
        </is>
      </c>
      <c r="I374" s="8" t="n">
        <v>1140632</v>
      </c>
      <c r="J374" s="6" t="inlineStr">
        <is>
          <t>MWh</t>
        </is>
      </c>
      <c r="K374" s="8" t="n">
        <v>1140632</v>
      </c>
      <c r="L374" s="6" t="inlineStr">
        <is>
          <t>MWh</t>
        </is>
      </c>
      <c r="M374" s="6" t="inlineStr">
        <is>
          <t>EBY</t>
        </is>
      </c>
      <c r="N374" s="6" t="inlineStr">
        <is>
          <t>OFFICIAL_PRIMARY</t>
        </is>
      </c>
      <c r="O374" s="9" t="inlineStr">
        <is>
          <t>OFFICIAL_AGGREGATE</t>
        </is>
      </c>
      <c r="P374" s="8" t="n">
        <v>1</v>
      </c>
      <c r="Q374" s="8" t="n">
        <v>50</v>
      </c>
      <c r="R374" s="7" t="inlineStr">
        <is>
          <t>https://www.eby.gov.py/wp-content/uploads/2019/12/YacyretaEnergiasMensualesDesdePuestaenMarcha.pdf</t>
        </is>
      </c>
      <c r="S374" s="6" t="inlineStr">
        <is>
          <t>EBY-MONTHLY-1994-2012</t>
        </is>
      </c>
      <c r="T374" s="6" t="inlineStr"/>
      <c r="U374" s="4" t="inlineStr">
        <is>
          <t>2026-09-10 23:00:00</t>
        </is>
      </c>
      <c r="V374" s="4" t="inlineStr">
        <is>
          <t>Energia mensual entregada al SADI.</t>
        </is>
      </c>
    </row>
    <row r="375">
      <c r="A375" s="6" t="inlineStr">
        <is>
          <t>R0000379</t>
        </is>
      </c>
      <c r="B375" s="6" t="inlineStr">
        <is>
          <t>2000-09-01</t>
        </is>
      </c>
      <c r="C375" s="6" t="inlineStr">
        <is>
          <t>2000-09-30</t>
        </is>
      </c>
      <c r="D375" s="6" t="inlineStr">
        <is>
          <t>month</t>
        </is>
      </c>
      <c r="E375" s="6" t="inlineStr">
        <is>
          <t>ENERGY_TO_PY</t>
        </is>
      </c>
      <c r="F375" s="6" t="inlineStr">
        <is>
          <t>YACYRETA</t>
        </is>
      </c>
      <c r="G375" s="6" t="inlineStr">
        <is>
          <t>YACYRETA</t>
        </is>
      </c>
      <c r="H375" s="6" t="inlineStr">
        <is>
          <t>SINP</t>
        </is>
      </c>
      <c r="I375" s="8" t="n">
        <v>1408</v>
      </c>
      <c r="J375" s="6" t="inlineStr">
        <is>
          <t>MWh</t>
        </is>
      </c>
      <c r="K375" s="8" t="n">
        <v>1408</v>
      </c>
      <c r="L375" s="6" t="inlineStr">
        <is>
          <t>MWh</t>
        </is>
      </c>
      <c r="M375" s="6" t="inlineStr">
        <is>
          <t>EBY</t>
        </is>
      </c>
      <c r="N375" s="6" t="inlineStr">
        <is>
          <t>OFFICIAL_PRIMARY</t>
        </is>
      </c>
      <c r="O375" s="9" t="inlineStr">
        <is>
          <t>OFFICIAL_AGGREGATE</t>
        </is>
      </c>
      <c r="P375" s="8" t="n">
        <v>1</v>
      </c>
      <c r="Q375" s="8" t="n">
        <v>50</v>
      </c>
      <c r="R375" s="7" t="inlineStr">
        <is>
          <t>https://www.eby.gov.py/wp-content/uploads/2019/12/YacyretaEnergiasMensualesDesdePuestaenMarcha.pdf</t>
        </is>
      </c>
      <c r="S375" s="6" t="inlineStr">
        <is>
          <t>EBY-MONTHLY-1994-2012</t>
        </is>
      </c>
      <c r="T375" s="6" t="inlineStr"/>
      <c r="U375" s="4" t="inlineStr">
        <is>
          <t>2026-09-10 23:00:00</t>
        </is>
      </c>
      <c r="V375" s="4" t="inlineStr">
        <is>
          <t>Energia mensual entregada al SINP.</t>
        </is>
      </c>
    </row>
    <row r="376">
      <c r="A376" s="6" t="inlineStr">
        <is>
          <t>R0000380</t>
        </is>
      </c>
      <c r="B376" s="6" t="inlineStr">
        <is>
          <t>2000-10-01</t>
        </is>
      </c>
      <c r="C376" s="6" t="inlineStr">
        <is>
          <t>2000-10-31</t>
        </is>
      </c>
      <c r="D376" s="6" t="inlineStr">
        <is>
          <t>month</t>
        </is>
      </c>
      <c r="E376" s="6" t="inlineStr">
        <is>
          <t>YACYRETA_NET_ENERGY</t>
        </is>
      </c>
      <c r="F376" s="6" t="inlineStr">
        <is>
          <t>YACYRETA</t>
        </is>
      </c>
      <c r="G376" s="6" t="inlineStr">
        <is>
          <t>YACYRETA</t>
        </is>
      </c>
      <c r="H376" s="6" t="inlineStr">
        <is>
          <t>TOTAL</t>
        </is>
      </c>
      <c r="I376" s="8" t="n">
        <v>1114048</v>
      </c>
      <c r="J376" s="6" t="inlineStr">
        <is>
          <t>MWh</t>
        </is>
      </c>
      <c r="K376" s="8" t="n">
        <v>1114048</v>
      </c>
      <c r="L376" s="6" t="inlineStr">
        <is>
          <t>MWh</t>
        </is>
      </c>
      <c r="M376" s="6" t="inlineStr">
        <is>
          <t>EBY</t>
        </is>
      </c>
      <c r="N376" s="6" t="inlineStr">
        <is>
          <t>OFFICIAL_PRIMARY</t>
        </is>
      </c>
      <c r="O376" s="9" t="inlineStr">
        <is>
          <t>OFFICIAL_AGGREGATE</t>
        </is>
      </c>
      <c r="P376" s="8" t="n">
        <v>1</v>
      </c>
      <c r="Q376" s="8" t="n">
        <v>50</v>
      </c>
      <c r="R376" s="7" t="inlineStr">
        <is>
          <t>https://www.eby.gov.py/wp-content/uploads/2019/12/YacyretaEnergiasMensualesDesdePuestaenMarcha.pdf</t>
        </is>
      </c>
      <c r="S376" s="6" t="inlineStr">
        <is>
          <t>EBY-MONTHLY-1994-2012</t>
        </is>
      </c>
      <c r="T376" s="6" t="inlineStr"/>
      <c r="U376" s="4" t="inlineStr">
        <is>
          <t>2026-09-10 23:00:00</t>
        </is>
      </c>
      <c r="V376" s="4" t="inlineStr">
        <is>
          <t>Energia mensual Yacyreta desde puesta en marcha.</t>
        </is>
      </c>
    </row>
    <row r="377">
      <c r="A377" s="6" t="inlineStr">
        <is>
          <t>R0000381</t>
        </is>
      </c>
      <c r="B377" s="6" t="inlineStr">
        <is>
          <t>2000-10-01</t>
        </is>
      </c>
      <c r="C377" s="6" t="inlineStr">
        <is>
          <t>2000-10-31</t>
        </is>
      </c>
      <c r="D377" s="6" t="inlineStr">
        <is>
          <t>month</t>
        </is>
      </c>
      <c r="E377" s="6" t="inlineStr">
        <is>
          <t>ENERGY_TO_ARGENTINA</t>
        </is>
      </c>
      <c r="F377" s="6" t="inlineStr">
        <is>
          <t>YACYRETA</t>
        </is>
      </c>
      <c r="G377" s="6" t="inlineStr">
        <is>
          <t>YACYRETA</t>
        </is>
      </c>
      <c r="H377" s="6" t="inlineStr">
        <is>
          <t>SADI</t>
        </is>
      </c>
      <c r="I377" s="8" t="n">
        <v>1112416</v>
      </c>
      <c r="J377" s="6" t="inlineStr">
        <is>
          <t>MWh</t>
        </is>
      </c>
      <c r="K377" s="8" t="n">
        <v>1112416</v>
      </c>
      <c r="L377" s="6" t="inlineStr">
        <is>
          <t>MWh</t>
        </is>
      </c>
      <c r="M377" s="6" t="inlineStr">
        <is>
          <t>EBY</t>
        </is>
      </c>
      <c r="N377" s="6" t="inlineStr">
        <is>
          <t>OFFICIAL_PRIMARY</t>
        </is>
      </c>
      <c r="O377" s="9" t="inlineStr">
        <is>
          <t>OFFICIAL_AGGREGATE</t>
        </is>
      </c>
      <c r="P377" s="8" t="n">
        <v>1</v>
      </c>
      <c r="Q377" s="8" t="n">
        <v>50</v>
      </c>
      <c r="R377" s="7" t="inlineStr">
        <is>
          <t>https://www.eby.gov.py/wp-content/uploads/2019/12/YacyretaEnergiasMensualesDesdePuestaenMarcha.pdf</t>
        </is>
      </c>
      <c r="S377" s="6" t="inlineStr">
        <is>
          <t>EBY-MONTHLY-1994-2012</t>
        </is>
      </c>
      <c r="T377" s="6" t="inlineStr"/>
      <c r="U377" s="4" t="inlineStr">
        <is>
          <t>2026-09-10 23:00:00</t>
        </is>
      </c>
      <c r="V377" s="4" t="inlineStr">
        <is>
          <t>Energia mensual entregada al SADI.</t>
        </is>
      </c>
    </row>
    <row r="378">
      <c r="A378" s="6" t="inlineStr">
        <is>
          <t>R0000382</t>
        </is>
      </c>
      <c r="B378" s="6" t="inlineStr">
        <is>
          <t>2000-10-01</t>
        </is>
      </c>
      <c r="C378" s="6" t="inlineStr">
        <is>
          <t>2000-10-31</t>
        </is>
      </c>
      <c r="D378" s="6" t="inlineStr">
        <is>
          <t>month</t>
        </is>
      </c>
      <c r="E378" s="6" t="inlineStr">
        <is>
          <t>ENERGY_TO_PY</t>
        </is>
      </c>
      <c r="F378" s="6" t="inlineStr">
        <is>
          <t>YACYRETA</t>
        </is>
      </c>
      <c r="G378" s="6" t="inlineStr">
        <is>
          <t>YACYRETA</t>
        </is>
      </c>
      <c r="H378" s="6" t="inlineStr">
        <is>
          <t>SINP</t>
        </is>
      </c>
      <c r="I378" s="8" t="n">
        <v>1632</v>
      </c>
      <c r="J378" s="6" t="inlineStr">
        <is>
          <t>MWh</t>
        </is>
      </c>
      <c r="K378" s="8" t="n">
        <v>1632</v>
      </c>
      <c r="L378" s="6" t="inlineStr">
        <is>
          <t>MWh</t>
        </is>
      </c>
      <c r="M378" s="6" t="inlineStr">
        <is>
          <t>EBY</t>
        </is>
      </c>
      <c r="N378" s="6" t="inlineStr">
        <is>
          <t>OFFICIAL_PRIMARY</t>
        </is>
      </c>
      <c r="O378" s="9" t="inlineStr">
        <is>
          <t>OFFICIAL_AGGREGATE</t>
        </is>
      </c>
      <c r="P378" s="8" t="n">
        <v>1</v>
      </c>
      <c r="Q378" s="8" t="n">
        <v>50</v>
      </c>
      <c r="R378" s="7" t="inlineStr">
        <is>
          <t>https://www.eby.gov.py/wp-content/uploads/2019/12/YacyretaEnergiasMensualesDesdePuestaenMarcha.pdf</t>
        </is>
      </c>
      <c r="S378" s="6" t="inlineStr">
        <is>
          <t>EBY-MONTHLY-1994-2012</t>
        </is>
      </c>
      <c r="T378" s="6" t="inlineStr"/>
      <c r="U378" s="4" t="inlineStr">
        <is>
          <t>2026-09-10 23:00:00</t>
        </is>
      </c>
      <c r="V378" s="4" t="inlineStr">
        <is>
          <t>Energia mensual entregada al SINP.</t>
        </is>
      </c>
    </row>
    <row r="379">
      <c r="A379" s="6" t="inlineStr">
        <is>
          <t>R0000383</t>
        </is>
      </c>
      <c r="B379" s="6" t="inlineStr">
        <is>
          <t>2000-11-01</t>
        </is>
      </c>
      <c r="C379" s="6" t="inlineStr">
        <is>
          <t>2000-11-30</t>
        </is>
      </c>
      <c r="D379" s="6" t="inlineStr">
        <is>
          <t>month</t>
        </is>
      </c>
      <c r="E379" s="6" t="inlineStr">
        <is>
          <t>YACYRETA_NET_ENERGY</t>
        </is>
      </c>
      <c r="F379" s="6" t="inlineStr">
        <is>
          <t>YACYRETA</t>
        </is>
      </c>
      <c r="G379" s="6" t="inlineStr">
        <is>
          <t>YACYRETA</t>
        </is>
      </c>
      <c r="H379" s="6" t="inlineStr">
        <is>
          <t>TOTAL</t>
        </is>
      </c>
      <c r="I379" s="8" t="n">
        <v>1089727</v>
      </c>
      <c r="J379" s="6" t="inlineStr">
        <is>
          <t>MWh</t>
        </is>
      </c>
      <c r="K379" s="8" t="n">
        <v>1089727</v>
      </c>
      <c r="L379" s="6" t="inlineStr">
        <is>
          <t>MWh</t>
        </is>
      </c>
      <c r="M379" s="6" t="inlineStr">
        <is>
          <t>EBY</t>
        </is>
      </c>
      <c r="N379" s="6" t="inlineStr">
        <is>
          <t>OFFICIAL_PRIMARY</t>
        </is>
      </c>
      <c r="O379" s="9" t="inlineStr">
        <is>
          <t>OFFICIAL_AGGREGATE</t>
        </is>
      </c>
      <c r="P379" s="8" t="n">
        <v>1</v>
      </c>
      <c r="Q379" s="8" t="n">
        <v>50</v>
      </c>
      <c r="R379" s="7" t="inlineStr">
        <is>
          <t>https://www.eby.gov.py/wp-content/uploads/2019/12/YacyretaEnergiasMensualesDesdePuestaenMarcha.pdf</t>
        </is>
      </c>
      <c r="S379" s="6" t="inlineStr">
        <is>
          <t>EBY-MONTHLY-1994-2012</t>
        </is>
      </c>
      <c r="T379" s="6" t="inlineStr"/>
      <c r="U379" s="4" t="inlineStr">
        <is>
          <t>2026-09-10 23:00:00</t>
        </is>
      </c>
      <c r="V379" s="4" t="inlineStr">
        <is>
          <t>Energia mensual Yacyreta desde puesta en marcha.</t>
        </is>
      </c>
    </row>
    <row r="380">
      <c r="A380" s="6" t="inlineStr">
        <is>
          <t>R0000384</t>
        </is>
      </c>
      <c r="B380" s="6" t="inlineStr">
        <is>
          <t>2000-11-01</t>
        </is>
      </c>
      <c r="C380" s="6" t="inlineStr">
        <is>
          <t>2000-11-30</t>
        </is>
      </c>
      <c r="D380" s="6" t="inlineStr">
        <is>
          <t>month</t>
        </is>
      </c>
      <c r="E380" s="6" t="inlineStr">
        <is>
          <t>ENERGY_TO_ARGENTINA</t>
        </is>
      </c>
      <c r="F380" s="6" t="inlineStr">
        <is>
          <t>YACYRETA</t>
        </is>
      </c>
      <c r="G380" s="6" t="inlineStr">
        <is>
          <t>YACYRETA</t>
        </is>
      </c>
      <c r="H380" s="6" t="inlineStr">
        <is>
          <t>SADI</t>
        </is>
      </c>
      <c r="I380" s="8" t="n">
        <v>1088054</v>
      </c>
      <c r="J380" s="6" t="inlineStr">
        <is>
          <t>MWh</t>
        </is>
      </c>
      <c r="K380" s="8" t="n">
        <v>1088054</v>
      </c>
      <c r="L380" s="6" t="inlineStr">
        <is>
          <t>MWh</t>
        </is>
      </c>
      <c r="M380" s="6" t="inlineStr">
        <is>
          <t>EBY</t>
        </is>
      </c>
      <c r="N380" s="6" t="inlineStr">
        <is>
          <t>OFFICIAL_PRIMARY</t>
        </is>
      </c>
      <c r="O380" s="9" t="inlineStr">
        <is>
          <t>OFFICIAL_AGGREGATE</t>
        </is>
      </c>
      <c r="P380" s="8" t="n">
        <v>1</v>
      </c>
      <c r="Q380" s="8" t="n">
        <v>50</v>
      </c>
      <c r="R380" s="7" t="inlineStr">
        <is>
          <t>https://www.eby.gov.py/wp-content/uploads/2019/12/YacyretaEnergiasMensualesDesdePuestaenMarcha.pdf</t>
        </is>
      </c>
      <c r="S380" s="6" t="inlineStr">
        <is>
          <t>EBY-MONTHLY-1994-2012</t>
        </is>
      </c>
      <c r="T380" s="6" t="inlineStr"/>
      <c r="U380" s="4" t="inlineStr">
        <is>
          <t>2026-09-10 23:00:00</t>
        </is>
      </c>
      <c r="V380" s="4" t="inlineStr">
        <is>
          <t>Energia mensual entregada al SADI.</t>
        </is>
      </c>
    </row>
    <row r="381">
      <c r="A381" s="6" t="inlineStr">
        <is>
          <t>R0000385</t>
        </is>
      </c>
      <c r="B381" s="6" t="inlineStr">
        <is>
          <t>2000-11-01</t>
        </is>
      </c>
      <c r="C381" s="6" t="inlineStr">
        <is>
          <t>2000-11-30</t>
        </is>
      </c>
      <c r="D381" s="6" t="inlineStr">
        <is>
          <t>month</t>
        </is>
      </c>
      <c r="E381" s="6" t="inlineStr">
        <is>
          <t>ENERGY_TO_PY</t>
        </is>
      </c>
      <c r="F381" s="6" t="inlineStr">
        <is>
          <t>YACYRETA</t>
        </is>
      </c>
      <c r="G381" s="6" t="inlineStr">
        <is>
          <t>YACYRETA</t>
        </is>
      </c>
      <c r="H381" s="6" t="inlineStr">
        <is>
          <t>SINP</t>
        </is>
      </c>
      <c r="I381" s="8" t="n">
        <v>1673</v>
      </c>
      <c r="J381" s="6" t="inlineStr">
        <is>
          <t>MWh</t>
        </is>
      </c>
      <c r="K381" s="8" t="n">
        <v>1673</v>
      </c>
      <c r="L381" s="6" t="inlineStr">
        <is>
          <t>MWh</t>
        </is>
      </c>
      <c r="M381" s="6" t="inlineStr">
        <is>
          <t>EBY</t>
        </is>
      </c>
      <c r="N381" s="6" t="inlineStr">
        <is>
          <t>OFFICIAL_PRIMARY</t>
        </is>
      </c>
      <c r="O381" s="9" t="inlineStr">
        <is>
          <t>OFFICIAL_AGGREGATE</t>
        </is>
      </c>
      <c r="P381" s="8" t="n">
        <v>1</v>
      </c>
      <c r="Q381" s="8" t="n">
        <v>50</v>
      </c>
      <c r="R381" s="7" t="inlineStr">
        <is>
          <t>https://www.eby.gov.py/wp-content/uploads/2019/12/YacyretaEnergiasMensualesDesdePuestaenMarcha.pdf</t>
        </is>
      </c>
      <c r="S381" s="6" t="inlineStr">
        <is>
          <t>EBY-MONTHLY-1994-2012</t>
        </is>
      </c>
      <c r="T381" s="6" t="inlineStr"/>
      <c r="U381" s="4" t="inlineStr">
        <is>
          <t>2026-09-10 23:00:00</t>
        </is>
      </c>
      <c r="V381" s="4" t="inlineStr">
        <is>
          <t>Energia mensual entregada al SINP.</t>
        </is>
      </c>
    </row>
    <row r="382">
      <c r="A382" s="6" t="inlineStr">
        <is>
          <t>R0000386</t>
        </is>
      </c>
      <c r="B382" s="6" t="inlineStr">
        <is>
          <t>2000-12-01</t>
        </is>
      </c>
      <c r="C382" s="6" t="inlineStr">
        <is>
          <t>2000-12-31</t>
        </is>
      </c>
      <c r="D382" s="6" t="inlineStr">
        <is>
          <t>month</t>
        </is>
      </c>
      <c r="E382" s="6" t="inlineStr">
        <is>
          <t>YACYRETA_NET_ENERGY</t>
        </is>
      </c>
      <c r="F382" s="6" t="inlineStr">
        <is>
          <t>YACYRETA</t>
        </is>
      </c>
      <c r="G382" s="6" t="inlineStr">
        <is>
          <t>YACYRETA</t>
        </is>
      </c>
      <c r="H382" s="6" t="inlineStr">
        <is>
          <t>TOTAL</t>
        </is>
      </c>
      <c r="I382" s="8" t="n">
        <v>1051954</v>
      </c>
      <c r="J382" s="6" t="inlineStr">
        <is>
          <t>MWh</t>
        </is>
      </c>
      <c r="K382" s="8" t="n">
        <v>1051954</v>
      </c>
      <c r="L382" s="6" t="inlineStr">
        <is>
          <t>MWh</t>
        </is>
      </c>
      <c r="M382" s="6" t="inlineStr">
        <is>
          <t>EBY</t>
        </is>
      </c>
      <c r="N382" s="6" t="inlineStr">
        <is>
          <t>OFFICIAL_PRIMARY</t>
        </is>
      </c>
      <c r="O382" s="9" t="inlineStr">
        <is>
          <t>OFFICIAL_AGGREGATE</t>
        </is>
      </c>
      <c r="P382" s="8" t="n">
        <v>1</v>
      </c>
      <c r="Q382" s="8" t="n">
        <v>50</v>
      </c>
      <c r="R382" s="7" t="inlineStr">
        <is>
          <t>https://www.eby.gov.py/wp-content/uploads/2019/12/YacyretaEnergiasMensualesDesdePuestaenMarcha.pdf</t>
        </is>
      </c>
      <c r="S382" s="6" t="inlineStr">
        <is>
          <t>EBY-MONTHLY-1994-2012</t>
        </is>
      </c>
      <c r="T382" s="6" t="inlineStr"/>
      <c r="U382" s="4" t="inlineStr">
        <is>
          <t>2026-09-10 23:00:00</t>
        </is>
      </c>
      <c r="V382" s="4" t="inlineStr">
        <is>
          <t>Energia mensual Yacyreta desde puesta en marcha.</t>
        </is>
      </c>
    </row>
    <row r="383">
      <c r="A383" s="6" t="inlineStr">
        <is>
          <t>R0000387</t>
        </is>
      </c>
      <c r="B383" s="6" t="inlineStr">
        <is>
          <t>2000-12-01</t>
        </is>
      </c>
      <c r="C383" s="6" t="inlineStr">
        <is>
          <t>2000-12-31</t>
        </is>
      </c>
      <c r="D383" s="6" t="inlineStr">
        <is>
          <t>month</t>
        </is>
      </c>
      <c r="E383" s="6" t="inlineStr">
        <is>
          <t>ENERGY_TO_ARGENTINA</t>
        </is>
      </c>
      <c r="F383" s="6" t="inlineStr">
        <is>
          <t>YACYRETA</t>
        </is>
      </c>
      <c r="G383" s="6" t="inlineStr">
        <is>
          <t>YACYRETA</t>
        </is>
      </c>
      <c r="H383" s="6" t="inlineStr">
        <is>
          <t>SADI</t>
        </is>
      </c>
      <c r="I383" s="8" t="n">
        <v>1048706</v>
      </c>
      <c r="J383" s="6" t="inlineStr">
        <is>
          <t>MWh</t>
        </is>
      </c>
      <c r="K383" s="8" t="n">
        <v>1048706</v>
      </c>
      <c r="L383" s="6" t="inlineStr">
        <is>
          <t>MWh</t>
        </is>
      </c>
      <c r="M383" s="6" t="inlineStr">
        <is>
          <t>EBY</t>
        </is>
      </c>
      <c r="N383" s="6" t="inlineStr">
        <is>
          <t>OFFICIAL_PRIMARY</t>
        </is>
      </c>
      <c r="O383" s="9" t="inlineStr">
        <is>
          <t>OFFICIAL_AGGREGATE</t>
        </is>
      </c>
      <c r="P383" s="8" t="n">
        <v>1</v>
      </c>
      <c r="Q383" s="8" t="n">
        <v>50</v>
      </c>
      <c r="R383" s="7" t="inlineStr">
        <is>
          <t>https://www.eby.gov.py/wp-content/uploads/2019/12/YacyretaEnergiasMensualesDesdePuestaenMarcha.pdf</t>
        </is>
      </c>
      <c r="S383" s="6" t="inlineStr">
        <is>
          <t>EBY-MONTHLY-1994-2012</t>
        </is>
      </c>
      <c r="T383" s="6" t="inlineStr"/>
      <c r="U383" s="4" t="inlineStr">
        <is>
          <t>2026-09-10 23:00:00</t>
        </is>
      </c>
      <c r="V383" s="4" t="inlineStr">
        <is>
          <t>Energia mensual entregada al SADI.</t>
        </is>
      </c>
    </row>
    <row r="384">
      <c r="A384" s="6" t="inlineStr">
        <is>
          <t>R0000388</t>
        </is>
      </c>
      <c r="B384" s="6" t="inlineStr">
        <is>
          <t>2000-12-01</t>
        </is>
      </c>
      <c r="C384" s="6" t="inlineStr">
        <is>
          <t>2000-12-31</t>
        </is>
      </c>
      <c r="D384" s="6" t="inlineStr">
        <is>
          <t>month</t>
        </is>
      </c>
      <c r="E384" s="6" t="inlineStr">
        <is>
          <t>ENERGY_TO_PY</t>
        </is>
      </c>
      <c r="F384" s="6" t="inlineStr">
        <is>
          <t>YACYRETA</t>
        </is>
      </c>
      <c r="G384" s="6" t="inlineStr">
        <is>
          <t>YACYRETA</t>
        </is>
      </c>
      <c r="H384" s="6" t="inlineStr">
        <is>
          <t>SINP</t>
        </is>
      </c>
      <c r="I384" s="8" t="n">
        <v>3248</v>
      </c>
      <c r="J384" s="6" t="inlineStr">
        <is>
          <t>MWh</t>
        </is>
      </c>
      <c r="K384" s="8" t="n">
        <v>3248</v>
      </c>
      <c r="L384" s="6" t="inlineStr">
        <is>
          <t>MWh</t>
        </is>
      </c>
      <c r="M384" s="6" t="inlineStr">
        <is>
          <t>EBY</t>
        </is>
      </c>
      <c r="N384" s="6" t="inlineStr">
        <is>
          <t>OFFICIAL_PRIMARY</t>
        </is>
      </c>
      <c r="O384" s="9" t="inlineStr">
        <is>
          <t>OFFICIAL_AGGREGATE</t>
        </is>
      </c>
      <c r="P384" s="8" t="n">
        <v>1</v>
      </c>
      <c r="Q384" s="8" t="n">
        <v>50</v>
      </c>
      <c r="R384" s="7" t="inlineStr">
        <is>
          <t>https://www.eby.gov.py/wp-content/uploads/2019/12/YacyretaEnergiasMensualesDesdePuestaenMarcha.pdf</t>
        </is>
      </c>
      <c r="S384" s="6" t="inlineStr">
        <is>
          <t>EBY-MONTHLY-1994-2012</t>
        </is>
      </c>
      <c r="T384" s="6" t="inlineStr"/>
      <c r="U384" s="4" t="inlineStr">
        <is>
          <t>2026-09-10 23:00:00</t>
        </is>
      </c>
      <c r="V384" s="4" t="inlineStr">
        <is>
          <t>Energia mensual entregada al SINP.</t>
        </is>
      </c>
    </row>
    <row r="385">
      <c r="A385" s="6" t="inlineStr">
        <is>
          <t>R0000389</t>
        </is>
      </c>
      <c r="B385" s="6" t="inlineStr">
        <is>
          <t>2001-01-01</t>
        </is>
      </c>
      <c r="C385" s="6" t="inlineStr">
        <is>
          <t>2001-01-31</t>
        </is>
      </c>
      <c r="D385" s="6" t="inlineStr">
        <is>
          <t>month</t>
        </is>
      </c>
      <c r="E385" s="6" t="inlineStr">
        <is>
          <t>YACYRETA_NET_ENERGY</t>
        </is>
      </c>
      <c r="F385" s="6" t="inlineStr">
        <is>
          <t>YACYRETA</t>
        </is>
      </c>
      <c r="G385" s="6" t="inlineStr">
        <is>
          <t>YACYRETA</t>
        </is>
      </c>
      <c r="H385" s="6" t="inlineStr">
        <is>
          <t>TOTAL</t>
        </is>
      </c>
      <c r="I385" s="8" t="n">
        <v>1118135</v>
      </c>
      <c r="J385" s="6" t="inlineStr">
        <is>
          <t>MWh</t>
        </is>
      </c>
      <c r="K385" s="8" t="n">
        <v>1118135</v>
      </c>
      <c r="L385" s="6" t="inlineStr">
        <is>
          <t>MWh</t>
        </is>
      </c>
      <c r="M385" s="6" t="inlineStr">
        <is>
          <t>EBY</t>
        </is>
      </c>
      <c r="N385" s="6" t="inlineStr">
        <is>
          <t>OFFICIAL_PRIMARY</t>
        </is>
      </c>
      <c r="O385" s="9" t="inlineStr">
        <is>
          <t>OFFICIAL_AGGREGATE</t>
        </is>
      </c>
      <c r="P385" s="8" t="n">
        <v>1</v>
      </c>
      <c r="Q385" s="8" t="n">
        <v>50</v>
      </c>
      <c r="R385" s="7" t="inlineStr">
        <is>
          <t>https://www.eby.gov.py/wp-content/uploads/2019/12/YacyretaEnergiasMensualesDesdePuestaenMarcha.pdf</t>
        </is>
      </c>
      <c r="S385" s="6" t="inlineStr">
        <is>
          <t>EBY-MONTHLY-1994-2012</t>
        </is>
      </c>
      <c r="T385" s="6" t="inlineStr"/>
      <c r="U385" s="4" t="inlineStr">
        <is>
          <t>2026-09-10 23:00:00</t>
        </is>
      </c>
      <c r="V385" s="4" t="inlineStr">
        <is>
          <t>Energia mensual Yacyreta desde puesta en marcha.</t>
        </is>
      </c>
    </row>
    <row r="386">
      <c r="A386" s="6" t="inlineStr">
        <is>
          <t>R0000390</t>
        </is>
      </c>
      <c r="B386" s="6" t="inlineStr">
        <is>
          <t>2001-01-01</t>
        </is>
      </c>
      <c r="C386" s="6" t="inlineStr">
        <is>
          <t>2001-01-31</t>
        </is>
      </c>
      <c r="D386" s="6" t="inlineStr">
        <is>
          <t>month</t>
        </is>
      </c>
      <c r="E386" s="6" t="inlineStr">
        <is>
          <t>ENERGY_TO_ARGENTINA</t>
        </is>
      </c>
      <c r="F386" s="6" t="inlineStr">
        <is>
          <t>YACYRETA</t>
        </is>
      </c>
      <c r="G386" s="6" t="inlineStr">
        <is>
          <t>YACYRETA</t>
        </is>
      </c>
      <c r="H386" s="6" t="inlineStr">
        <is>
          <t>SADI</t>
        </is>
      </c>
      <c r="I386" s="8" t="n">
        <v>1116134</v>
      </c>
      <c r="J386" s="6" t="inlineStr">
        <is>
          <t>MWh</t>
        </is>
      </c>
      <c r="K386" s="8" t="n">
        <v>1116134</v>
      </c>
      <c r="L386" s="6" t="inlineStr">
        <is>
          <t>MWh</t>
        </is>
      </c>
      <c r="M386" s="6" t="inlineStr">
        <is>
          <t>EBY</t>
        </is>
      </c>
      <c r="N386" s="6" t="inlineStr">
        <is>
          <t>OFFICIAL_PRIMARY</t>
        </is>
      </c>
      <c r="O386" s="9" t="inlineStr">
        <is>
          <t>OFFICIAL_AGGREGATE</t>
        </is>
      </c>
      <c r="P386" s="8" t="n">
        <v>1</v>
      </c>
      <c r="Q386" s="8" t="n">
        <v>50</v>
      </c>
      <c r="R386" s="7" t="inlineStr">
        <is>
          <t>https://www.eby.gov.py/wp-content/uploads/2019/12/YacyretaEnergiasMensualesDesdePuestaenMarcha.pdf</t>
        </is>
      </c>
      <c r="S386" s="6" t="inlineStr">
        <is>
          <t>EBY-MONTHLY-1994-2012</t>
        </is>
      </c>
      <c r="T386" s="6" t="inlineStr"/>
      <c r="U386" s="4" t="inlineStr">
        <is>
          <t>2026-09-10 23:00:00</t>
        </is>
      </c>
      <c r="V386" s="4" t="inlineStr">
        <is>
          <t>Energia mensual entregada al SADI.</t>
        </is>
      </c>
    </row>
    <row r="387">
      <c r="A387" s="6" t="inlineStr">
        <is>
          <t>R0000391</t>
        </is>
      </c>
      <c r="B387" s="6" t="inlineStr">
        <is>
          <t>2001-01-01</t>
        </is>
      </c>
      <c r="C387" s="6" t="inlineStr">
        <is>
          <t>2001-01-31</t>
        </is>
      </c>
      <c r="D387" s="6" t="inlineStr">
        <is>
          <t>month</t>
        </is>
      </c>
      <c r="E387" s="6" t="inlineStr">
        <is>
          <t>ENERGY_TO_PY</t>
        </is>
      </c>
      <c r="F387" s="6" t="inlineStr">
        <is>
          <t>YACYRETA</t>
        </is>
      </c>
      <c r="G387" s="6" t="inlineStr">
        <is>
          <t>YACYRETA</t>
        </is>
      </c>
      <c r="H387" s="6" t="inlineStr">
        <is>
          <t>SINP</t>
        </is>
      </c>
      <c r="I387" s="8" t="n">
        <v>2001</v>
      </c>
      <c r="J387" s="6" t="inlineStr">
        <is>
          <t>MWh</t>
        </is>
      </c>
      <c r="K387" s="8" t="n">
        <v>2001</v>
      </c>
      <c r="L387" s="6" t="inlineStr">
        <is>
          <t>MWh</t>
        </is>
      </c>
      <c r="M387" s="6" t="inlineStr">
        <is>
          <t>EBY</t>
        </is>
      </c>
      <c r="N387" s="6" t="inlineStr">
        <is>
          <t>OFFICIAL_PRIMARY</t>
        </is>
      </c>
      <c r="O387" s="9" t="inlineStr">
        <is>
          <t>OFFICIAL_AGGREGATE</t>
        </is>
      </c>
      <c r="P387" s="8" t="n">
        <v>1</v>
      </c>
      <c r="Q387" s="8" t="n">
        <v>50</v>
      </c>
      <c r="R387" s="7" t="inlineStr">
        <is>
          <t>https://www.eby.gov.py/wp-content/uploads/2019/12/YacyretaEnergiasMensualesDesdePuestaenMarcha.pdf</t>
        </is>
      </c>
      <c r="S387" s="6" t="inlineStr">
        <is>
          <t>EBY-MONTHLY-1994-2012</t>
        </is>
      </c>
      <c r="T387" s="6" t="inlineStr"/>
      <c r="U387" s="4" t="inlineStr">
        <is>
          <t>2026-09-10 23:00:00</t>
        </is>
      </c>
      <c r="V387" s="4" t="inlineStr">
        <is>
          <t>Energia mensual entregada al SINP.</t>
        </is>
      </c>
    </row>
    <row r="388">
      <c r="A388" s="6" t="inlineStr">
        <is>
          <t>R0000392</t>
        </is>
      </c>
      <c r="B388" s="6" t="inlineStr">
        <is>
          <t>2001-02-01</t>
        </is>
      </c>
      <c r="C388" s="6" t="inlineStr">
        <is>
          <t>2001-02-28</t>
        </is>
      </c>
      <c r="D388" s="6" t="inlineStr">
        <is>
          <t>month</t>
        </is>
      </c>
      <c r="E388" s="6" t="inlineStr">
        <is>
          <t>YACYRETA_NET_ENERGY</t>
        </is>
      </c>
      <c r="F388" s="6" t="inlineStr">
        <is>
          <t>YACYRETA</t>
        </is>
      </c>
      <c r="G388" s="6" t="inlineStr">
        <is>
          <t>YACYRETA</t>
        </is>
      </c>
      <c r="H388" s="6" t="inlineStr">
        <is>
          <t>TOTAL</t>
        </is>
      </c>
      <c r="I388" s="8" t="n">
        <v>1130985</v>
      </c>
      <c r="J388" s="6" t="inlineStr">
        <is>
          <t>MWh</t>
        </is>
      </c>
      <c r="K388" s="8" t="n">
        <v>1130985</v>
      </c>
      <c r="L388" s="6" t="inlineStr">
        <is>
          <t>MWh</t>
        </is>
      </c>
      <c r="M388" s="6" t="inlineStr">
        <is>
          <t>EBY</t>
        </is>
      </c>
      <c r="N388" s="6" t="inlineStr">
        <is>
          <t>OFFICIAL_PRIMARY</t>
        </is>
      </c>
      <c r="O388" s="9" t="inlineStr">
        <is>
          <t>OFFICIAL_AGGREGATE</t>
        </is>
      </c>
      <c r="P388" s="8" t="n">
        <v>1</v>
      </c>
      <c r="Q388" s="8" t="n">
        <v>50</v>
      </c>
      <c r="R388" s="7" t="inlineStr">
        <is>
          <t>https://www.eby.gov.py/wp-content/uploads/2019/12/YacyretaEnergiasMensualesDesdePuestaenMarcha.pdf</t>
        </is>
      </c>
      <c r="S388" s="6" t="inlineStr">
        <is>
          <t>EBY-MONTHLY-1994-2012</t>
        </is>
      </c>
      <c r="T388" s="6" t="inlineStr"/>
      <c r="U388" s="4" t="inlineStr">
        <is>
          <t>2026-09-10 23:00:00</t>
        </is>
      </c>
      <c r="V388" s="4" t="inlineStr">
        <is>
          <t>Energia mensual Yacyreta desde puesta en marcha.</t>
        </is>
      </c>
    </row>
    <row r="389">
      <c r="A389" s="6" t="inlineStr">
        <is>
          <t>R0000393</t>
        </is>
      </c>
      <c r="B389" s="6" t="inlineStr">
        <is>
          <t>2001-02-01</t>
        </is>
      </c>
      <c r="C389" s="6" t="inlineStr">
        <is>
          <t>2001-02-28</t>
        </is>
      </c>
      <c r="D389" s="6" t="inlineStr">
        <is>
          <t>month</t>
        </is>
      </c>
      <c r="E389" s="6" t="inlineStr">
        <is>
          <t>ENERGY_TO_ARGENTINA</t>
        </is>
      </c>
      <c r="F389" s="6" t="inlineStr">
        <is>
          <t>YACYRETA</t>
        </is>
      </c>
      <c r="G389" s="6" t="inlineStr">
        <is>
          <t>YACYRETA</t>
        </is>
      </c>
      <c r="H389" s="6" t="inlineStr">
        <is>
          <t>SADI</t>
        </is>
      </c>
      <c r="I389" s="8" t="n">
        <v>1129266</v>
      </c>
      <c r="J389" s="6" t="inlineStr">
        <is>
          <t>MWh</t>
        </is>
      </c>
      <c r="K389" s="8" t="n">
        <v>1129266</v>
      </c>
      <c r="L389" s="6" t="inlineStr">
        <is>
          <t>MWh</t>
        </is>
      </c>
      <c r="M389" s="6" t="inlineStr">
        <is>
          <t>EBY</t>
        </is>
      </c>
      <c r="N389" s="6" t="inlineStr">
        <is>
          <t>OFFICIAL_PRIMARY</t>
        </is>
      </c>
      <c r="O389" s="9" t="inlineStr">
        <is>
          <t>OFFICIAL_AGGREGATE</t>
        </is>
      </c>
      <c r="P389" s="8" t="n">
        <v>1</v>
      </c>
      <c r="Q389" s="8" t="n">
        <v>50</v>
      </c>
      <c r="R389" s="7" t="inlineStr">
        <is>
          <t>https://www.eby.gov.py/wp-content/uploads/2019/12/YacyretaEnergiasMensualesDesdePuestaenMarcha.pdf</t>
        </is>
      </c>
      <c r="S389" s="6" t="inlineStr">
        <is>
          <t>EBY-MONTHLY-1994-2012</t>
        </is>
      </c>
      <c r="T389" s="6" t="inlineStr"/>
      <c r="U389" s="4" t="inlineStr">
        <is>
          <t>2026-09-10 23:00:00</t>
        </is>
      </c>
      <c r="V389" s="4" t="inlineStr">
        <is>
          <t>Energia mensual entregada al SADI.</t>
        </is>
      </c>
    </row>
    <row r="390">
      <c r="A390" s="6" t="inlineStr">
        <is>
          <t>R0000394</t>
        </is>
      </c>
      <c r="B390" s="6" t="inlineStr">
        <is>
          <t>2001-02-01</t>
        </is>
      </c>
      <c r="C390" s="6" t="inlineStr">
        <is>
          <t>2001-02-28</t>
        </is>
      </c>
      <c r="D390" s="6" t="inlineStr">
        <is>
          <t>month</t>
        </is>
      </c>
      <c r="E390" s="6" t="inlineStr">
        <is>
          <t>ENERGY_TO_PY</t>
        </is>
      </c>
      <c r="F390" s="6" t="inlineStr">
        <is>
          <t>YACYRETA</t>
        </is>
      </c>
      <c r="G390" s="6" t="inlineStr">
        <is>
          <t>YACYRETA</t>
        </is>
      </c>
      <c r="H390" s="6" t="inlineStr">
        <is>
          <t>SINP</t>
        </is>
      </c>
      <c r="I390" s="8" t="n">
        <v>1719</v>
      </c>
      <c r="J390" s="6" t="inlineStr">
        <is>
          <t>MWh</t>
        </is>
      </c>
      <c r="K390" s="8" t="n">
        <v>1719</v>
      </c>
      <c r="L390" s="6" t="inlineStr">
        <is>
          <t>MWh</t>
        </is>
      </c>
      <c r="M390" s="6" t="inlineStr">
        <is>
          <t>EBY</t>
        </is>
      </c>
      <c r="N390" s="6" t="inlineStr">
        <is>
          <t>OFFICIAL_PRIMARY</t>
        </is>
      </c>
      <c r="O390" s="9" t="inlineStr">
        <is>
          <t>OFFICIAL_AGGREGATE</t>
        </is>
      </c>
      <c r="P390" s="8" t="n">
        <v>1</v>
      </c>
      <c r="Q390" s="8" t="n">
        <v>50</v>
      </c>
      <c r="R390" s="7" t="inlineStr">
        <is>
          <t>https://www.eby.gov.py/wp-content/uploads/2019/12/YacyretaEnergiasMensualesDesdePuestaenMarcha.pdf</t>
        </is>
      </c>
      <c r="S390" s="6" t="inlineStr">
        <is>
          <t>EBY-MONTHLY-1994-2012</t>
        </is>
      </c>
      <c r="T390" s="6" t="inlineStr"/>
      <c r="U390" s="4" t="inlineStr">
        <is>
          <t>2026-09-10 23:00:00</t>
        </is>
      </c>
      <c r="V390" s="4" t="inlineStr">
        <is>
          <t>Energia mensual entregada al SINP.</t>
        </is>
      </c>
    </row>
    <row r="391">
      <c r="A391" s="6" t="inlineStr">
        <is>
          <t>R0000395</t>
        </is>
      </c>
      <c r="B391" s="6" t="inlineStr">
        <is>
          <t>2001-03-01</t>
        </is>
      </c>
      <c r="C391" s="6" t="inlineStr">
        <is>
          <t>2001-03-31</t>
        </is>
      </c>
      <c r="D391" s="6" t="inlineStr">
        <is>
          <t>month</t>
        </is>
      </c>
      <c r="E391" s="6" t="inlineStr">
        <is>
          <t>YACYRETA_NET_ENERGY</t>
        </is>
      </c>
      <c r="F391" s="6" t="inlineStr">
        <is>
          <t>YACYRETA</t>
        </is>
      </c>
      <c r="G391" s="6" t="inlineStr">
        <is>
          <t>YACYRETA</t>
        </is>
      </c>
      <c r="H391" s="6" t="inlineStr">
        <is>
          <t>TOTAL</t>
        </is>
      </c>
      <c r="I391" s="8" t="n">
        <v>1126356</v>
      </c>
      <c r="J391" s="6" t="inlineStr">
        <is>
          <t>MWh</t>
        </is>
      </c>
      <c r="K391" s="8" t="n">
        <v>1126356</v>
      </c>
      <c r="L391" s="6" t="inlineStr">
        <is>
          <t>MWh</t>
        </is>
      </c>
      <c r="M391" s="6" t="inlineStr">
        <is>
          <t>EBY</t>
        </is>
      </c>
      <c r="N391" s="6" t="inlineStr">
        <is>
          <t>OFFICIAL_PRIMARY</t>
        </is>
      </c>
      <c r="O391" s="9" t="inlineStr">
        <is>
          <t>OFFICIAL_AGGREGATE</t>
        </is>
      </c>
      <c r="P391" s="8" t="n">
        <v>1</v>
      </c>
      <c r="Q391" s="8" t="n">
        <v>50</v>
      </c>
      <c r="R391" s="7" t="inlineStr">
        <is>
          <t>https://www.eby.gov.py/wp-content/uploads/2019/12/YacyretaEnergiasMensualesDesdePuestaenMarcha.pdf</t>
        </is>
      </c>
      <c r="S391" s="6" t="inlineStr">
        <is>
          <t>EBY-MONTHLY-1994-2012</t>
        </is>
      </c>
      <c r="T391" s="6" t="inlineStr"/>
      <c r="U391" s="4" t="inlineStr">
        <is>
          <t>2026-09-10 23:00:00</t>
        </is>
      </c>
      <c r="V391" s="4" t="inlineStr">
        <is>
          <t>Energia mensual Yacyreta desde puesta en marcha.</t>
        </is>
      </c>
    </row>
    <row r="392">
      <c r="A392" s="6" t="inlineStr">
        <is>
          <t>R0000396</t>
        </is>
      </c>
      <c r="B392" s="6" t="inlineStr">
        <is>
          <t>2001-03-01</t>
        </is>
      </c>
      <c r="C392" s="6" t="inlineStr">
        <is>
          <t>2001-03-31</t>
        </is>
      </c>
      <c r="D392" s="6" t="inlineStr">
        <is>
          <t>month</t>
        </is>
      </c>
      <c r="E392" s="6" t="inlineStr">
        <is>
          <t>ENERGY_TO_ARGENTINA</t>
        </is>
      </c>
      <c r="F392" s="6" t="inlineStr">
        <is>
          <t>YACYRETA</t>
        </is>
      </c>
      <c r="G392" s="6" t="inlineStr">
        <is>
          <t>YACYRETA</t>
        </is>
      </c>
      <c r="H392" s="6" t="inlineStr">
        <is>
          <t>SADI</t>
        </is>
      </c>
      <c r="I392" s="8" t="n">
        <v>1123998</v>
      </c>
      <c r="J392" s="6" t="inlineStr">
        <is>
          <t>MWh</t>
        </is>
      </c>
      <c r="K392" s="8" t="n">
        <v>1123998</v>
      </c>
      <c r="L392" s="6" t="inlineStr">
        <is>
          <t>MWh</t>
        </is>
      </c>
      <c r="M392" s="6" t="inlineStr">
        <is>
          <t>EBY</t>
        </is>
      </c>
      <c r="N392" s="6" t="inlineStr">
        <is>
          <t>OFFICIAL_PRIMARY</t>
        </is>
      </c>
      <c r="O392" s="9" t="inlineStr">
        <is>
          <t>OFFICIAL_AGGREGATE</t>
        </is>
      </c>
      <c r="P392" s="8" t="n">
        <v>1</v>
      </c>
      <c r="Q392" s="8" t="n">
        <v>50</v>
      </c>
      <c r="R392" s="7" t="inlineStr">
        <is>
          <t>https://www.eby.gov.py/wp-content/uploads/2019/12/YacyretaEnergiasMensualesDesdePuestaenMarcha.pdf</t>
        </is>
      </c>
      <c r="S392" s="6" t="inlineStr">
        <is>
          <t>EBY-MONTHLY-1994-2012</t>
        </is>
      </c>
      <c r="T392" s="6" t="inlineStr"/>
      <c r="U392" s="4" t="inlineStr">
        <is>
          <t>2026-09-10 23:00:00</t>
        </is>
      </c>
      <c r="V392" s="4" t="inlineStr">
        <is>
          <t>Energia mensual entregada al SADI.</t>
        </is>
      </c>
    </row>
    <row r="393">
      <c r="A393" s="6" t="inlineStr">
        <is>
          <t>R0000397</t>
        </is>
      </c>
      <c r="B393" s="6" t="inlineStr">
        <is>
          <t>2001-03-01</t>
        </is>
      </c>
      <c r="C393" s="6" t="inlineStr">
        <is>
          <t>2001-03-31</t>
        </is>
      </c>
      <c r="D393" s="6" t="inlineStr">
        <is>
          <t>month</t>
        </is>
      </c>
      <c r="E393" s="6" t="inlineStr">
        <is>
          <t>ENERGY_TO_PY</t>
        </is>
      </c>
      <c r="F393" s="6" t="inlineStr">
        <is>
          <t>YACYRETA</t>
        </is>
      </c>
      <c r="G393" s="6" t="inlineStr">
        <is>
          <t>YACYRETA</t>
        </is>
      </c>
      <c r="H393" s="6" t="inlineStr">
        <is>
          <t>SINP</t>
        </is>
      </c>
      <c r="I393" s="8" t="n">
        <v>2358</v>
      </c>
      <c r="J393" s="6" t="inlineStr">
        <is>
          <t>MWh</t>
        </is>
      </c>
      <c r="K393" s="8" t="n">
        <v>2358</v>
      </c>
      <c r="L393" s="6" t="inlineStr">
        <is>
          <t>MWh</t>
        </is>
      </c>
      <c r="M393" s="6" t="inlineStr">
        <is>
          <t>EBY</t>
        </is>
      </c>
      <c r="N393" s="6" t="inlineStr">
        <is>
          <t>OFFICIAL_PRIMARY</t>
        </is>
      </c>
      <c r="O393" s="9" t="inlineStr">
        <is>
          <t>OFFICIAL_AGGREGATE</t>
        </is>
      </c>
      <c r="P393" s="8" t="n">
        <v>1</v>
      </c>
      <c r="Q393" s="8" t="n">
        <v>50</v>
      </c>
      <c r="R393" s="7" t="inlineStr">
        <is>
          <t>https://www.eby.gov.py/wp-content/uploads/2019/12/YacyretaEnergiasMensualesDesdePuestaenMarcha.pdf</t>
        </is>
      </c>
      <c r="S393" s="6" t="inlineStr">
        <is>
          <t>EBY-MONTHLY-1994-2012</t>
        </is>
      </c>
      <c r="T393" s="6" t="inlineStr"/>
      <c r="U393" s="4" t="inlineStr">
        <is>
          <t>2026-09-10 23:00:00</t>
        </is>
      </c>
      <c r="V393" s="4" t="inlineStr">
        <is>
          <t>Energia mensual entregada al SINP.</t>
        </is>
      </c>
    </row>
    <row r="394">
      <c r="A394" s="6" t="inlineStr">
        <is>
          <t>R0000398</t>
        </is>
      </c>
      <c r="B394" s="6" t="inlineStr">
        <is>
          <t>2001-04-01</t>
        </is>
      </c>
      <c r="C394" s="6" t="inlineStr">
        <is>
          <t>2001-04-30</t>
        </is>
      </c>
      <c r="D394" s="6" t="inlineStr">
        <is>
          <t>month</t>
        </is>
      </c>
      <c r="E394" s="6" t="inlineStr">
        <is>
          <t>YACYRETA_NET_ENERGY</t>
        </is>
      </c>
      <c r="F394" s="6" t="inlineStr">
        <is>
          <t>YACYRETA</t>
        </is>
      </c>
      <c r="G394" s="6" t="inlineStr">
        <is>
          <t>YACYRETA</t>
        </is>
      </c>
      <c r="H394" s="6" t="inlineStr">
        <is>
          <t>TOTAL</t>
        </is>
      </c>
      <c r="I394" s="8" t="n">
        <v>1050735</v>
      </c>
      <c r="J394" s="6" t="inlineStr">
        <is>
          <t>MWh</t>
        </is>
      </c>
      <c r="K394" s="8" t="n">
        <v>1050735</v>
      </c>
      <c r="L394" s="6" t="inlineStr">
        <is>
          <t>MWh</t>
        </is>
      </c>
      <c r="M394" s="6" t="inlineStr">
        <is>
          <t>EBY</t>
        </is>
      </c>
      <c r="N394" s="6" t="inlineStr">
        <is>
          <t>OFFICIAL_PRIMARY</t>
        </is>
      </c>
      <c r="O394" s="9" t="inlineStr">
        <is>
          <t>OFFICIAL_AGGREGATE</t>
        </is>
      </c>
      <c r="P394" s="8" t="n">
        <v>1</v>
      </c>
      <c r="Q394" s="8" t="n">
        <v>50</v>
      </c>
      <c r="R394" s="7" t="inlineStr">
        <is>
          <t>https://www.eby.gov.py/wp-content/uploads/2019/12/YacyretaEnergiasMensualesDesdePuestaenMarcha.pdf</t>
        </is>
      </c>
      <c r="S394" s="6" t="inlineStr">
        <is>
          <t>EBY-MONTHLY-1994-2012</t>
        </is>
      </c>
      <c r="T394" s="6" t="inlineStr"/>
      <c r="U394" s="4" t="inlineStr">
        <is>
          <t>2026-09-10 23:00:00</t>
        </is>
      </c>
      <c r="V394" s="4" t="inlineStr">
        <is>
          <t>Energia mensual Yacyreta desde puesta en marcha.</t>
        </is>
      </c>
    </row>
    <row r="395">
      <c r="A395" s="6" t="inlineStr">
        <is>
          <t>R0000399</t>
        </is>
      </c>
      <c r="B395" s="6" t="inlineStr">
        <is>
          <t>2001-04-01</t>
        </is>
      </c>
      <c r="C395" s="6" t="inlineStr">
        <is>
          <t>2001-04-30</t>
        </is>
      </c>
      <c r="D395" s="6" t="inlineStr">
        <is>
          <t>month</t>
        </is>
      </c>
      <c r="E395" s="6" t="inlineStr">
        <is>
          <t>ENERGY_TO_ARGENTINA</t>
        </is>
      </c>
      <c r="F395" s="6" t="inlineStr">
        <is>
          <t>YACYRETA</t>
        </is>
      </c>
      <c r="G395" s="6" t="inlineStr">
        <is>
          <t>YACYRETA</t>
        </is>
      </c>
      <c r="H395" s="6" t="inlineStr">
        <is>
          <t>SADI</t>
        </is>
      </c>
      <c r="I395" s="8" t="n">
        <v>1049006</v>
      </c>
      <c r="J395" s="6" t="inlineStr">
        <is>
          <t>MWh</t>
        </is>
      </c>
      <c r="K395" s="8" t="n">
        <v>1049006</v>
      </c>
      <c r="L395" s="6" t="inlineStr">
        <is>
          <t>MWh</t>
        </is>
      </c>
      <c r="M395" s="6" t="inlineStr">
        <is>
          <t>EBY</t>
        </is>
      </c>
      <c r="N395" s="6" t="inlineStr">
        <is>
          <t>OFFICIAL_PRIMARY</t>
        </is>
      </c>
      <c r="O395" s="9" t="inlineStr">
        <is>
          <t>OFFICIAL_AGGREGATE</t>
        </is>
      </c>
      <c r="P395" s="8" t="n">
        <v>1</v>
      </c>
      <c r="Q395" s="8" t="n">
        <v>50</v>
      </c>
      <c r="R395" s="7" t="inlineStr">
        <is>
          <t>https://www.eby.gov.py/wp-content/uploads/2019/12/YacyretaEnergiasMensualesDesdePuestaenMarcha.pdf</t>
        </is>
      </c>
      <c r="S395" s="6" t="inlineStr">
        <is>
          <t>EBY-MONTHLY-1994-2012</t>
        </is>
      </c>
      <c r="T395" s="6" t="inlineStr"/>
      <c r="U395" s="4" t="inlineStr">
        <is>
          <t>2026-09-10 23:00:00</t>
        </is>
      </c>
      <c r="V395" s="4" t="inlineStr">
        <is>
          <t>Energia mensual entregada al SADI.</t>
        </is>
      </c>
    </row>
    <row r="396">
      <c r="A396" s="6" t="inlineStr">
        <is>
          <t>R0000400</t>
        </is>
      </c>
      <c r="B396" s="6" t="inlineStr">
        <is>
          <t>2001-04-01</t>
        </is>
      </c>
      <c r="C396" s="6" t="inlineStr">
        <is>
          <t>2001-04-30</t>
        </is>
      </c>
      <c r="D396" s="6" t="inlineStr">
        <is>
          <t>month</t>
        </is>
      </c>
      <c r="E396" s="6" t="inlineStr">
        <is>
          <t>ENERGY_TO_PY</t>
        </is>
      </c>
      <c r="F396" s="6" t="inlineStr">
        <is>
          <t>YACYRETA</t>
        </is>
      </c>
      <c r="G396" s="6" t="inlineStr">
        <is>
          <t>YACYRETA</t>
        </is>
      </c>
      <c r="H396" s="6" t="inlineStr">
        <is>
          <t>SINP</t>
        </is>
      </c>
      <c r="I396" s="8" t="n">
        <v>1729</v>
      </c>
      <c r="J396" s="6" t="inlineStr">
        <is>
          <t>MWh</t>
        </is>
      </c>
      <c r="K396" s="8" t="n">
        <v>1729</v>
      </c>
      <c r="L396" s="6" t="inlineStr">
        <is>
          <t>MWh</t>
        </is>
      </c>
      <c r="M396" s="6" t="inlineStr">
        <is>
          <t>EBY</t>
        </is>
      </c>
      <c r="N396" s="6" t="inlineStr">
        <is>
          <t>OFFICIAL_PRIMARY</t>
        </is>
      </c>
      <c r="O396" s="9" t="inlineStr">
        <is>
          <t>OFFICIAL_AGGREGATE</t>
        </is>
      </c>
      <c r="P396" s="8" t="n">
        <v>1</v>
      </c>
      <c r="Q396" s="8" t="n">
        <v>50</v>
      </c>
      <c r="R396" s="7" t="inlineStr">
        <is>
          <t>https://www.eby.gov.py/wp-content/uploads/2019/12/YacyretaEnergiasMensualesDesdePuestaenMarcha.pdf</t>
        </is>
      </c>
      <c r="S396" s="6" t="inlineStr">
        <is>
          <t>EBY-MONTHLY-1994-2012</t>
        </is>
      </c>
      <c r="T396" s="6" t="inlineStr"/>
      <c r="U396" s="4" t="inlineStr">
        <is>
          <t>2026-09-10 23:00:00</t>
        </is>
      </c>
      <c r="V396" s="4" t="inlineStr">
        <is>
          <t>Energia mensual entregada al SINP.</t>
        </is>
      </c>
    </row>
    <row r="397">
      <c r="A397" s="6" t="inlineStr">
        <is>
          <t>R0000401</t>
        </is>
      </c>
      <c r="B397" s="6" t="inlineStr">
        <is>
          <t>2001-05-01</t>
        </is>
      </c>
      <c r="C397" s="6" t="inlineStr">
        <is>
          <t>2001-05-31</t>
        </is>
      </c>
      <c r="D397" s="6" t="inlineStr">
        <is>
          <t>month</t>
        </is>
      </c>
      <c r="E397" s="6" t="inlineStr">
        <is>
          <t>YACYRETA_NET_ENERGY</t>
        </is>
      </c>
      <c r="F397" s="6" t="inlineStr">
        <is>
          <t>YACYRETA</t>
        </is>
      </c>
      <c r="G397" s="6" t="inlineStr">
        <is>
          <t>YACYRETA</t>
        </is>
      </c>
      <c r="H397" s="6" t="inlineStr">
        <is>
          <t>TOTAL</t>
        </is>
      </c>
      <c r="I397" s="8" t="n">
        <v>979352</v>
      </c>
      <c r="J397" s="6" t="inlineStr">
        <is>
          <t>MWh</t>
        </is>
      </c>
      <c r="K397" s="8" t="n">
        <v>979352</v>
      </c>
      <c r="L397" s="6" t="inlineStr">
        <is>
          <t>MWh</t>
        </is>
      </c>
      <c r="M397" s="6" t="inlineStr">
        <is>
          <t>EBY</t>
        </is>
      </c>
      <c r="N397" s="6" t="inlineStr">
        <is>
          <t>OFFICIAL_PRIMARY</t>
        </is>
      </c>
      <c r="O397" s="9" t="inlineStr">
        <is>
          <t>OFFICIAL_AGGREGATE</t>
        </is>
      </c>
      <c r="P397" s="8" t="n">
        <v>1</v>
      </c>
      <c r="Q397" s="8" t="n">
        <v>50</v>
      </c>
      <c r="R397" s="7" t="inlineStr">
        <is>
          <t>https://www.eby.gov.py/wp-content/uploads/2019/12/YacyretaEnergiasMensualesDesdePuestaenMarcha.pdf</t>
        </is>
      </c>
      <c r="S397" s="6" t="inlineStr">
        <is>
          <t>EBY-MONTHLY-1994-2012</t>
        </is>
      </c>
      <c r="T397" s="6" t="inlineStr"/>
      <c r="U397" s="4" t="inlineStr">
        <is>
          <t>2026-09-10 23:00:00</t>
        </is>
      </c>
      <c r="V397" s="4" t="inlineStr">
        <is>
          <t>Energia mensual Yacyreta desde puesta en marcha.</t>
        </is>
      </c>
    </row>
    <row r="398">
      <c r="A398" s="6" t="inlineStr">
        <is>
          <t>R0000402</t>
        </is>
      </c>
      <c r="B398" s="6" t="inlineStr">
        <is>
          <t>2001-05-01</t>
        </is>
      </c>
      <c r="C398" s="6" t="inlineStr">
        <is>
          <t>2001-05-31</t>
        </is>
      </c>
      <c r="D398" s="6" t="inlineStr">
        <is>
          <t>month</t>
        </is>
      </c>
      <c r="E398" s="6" t="inlineStr">
        <is>
          <t>ENERGY_TO_ARGENTINA</t>
        </is>
      </c>
      <c r="F398" s="6" t="inlineStr">
        <is>
          <t>YACYRETA</t>
        </is>
      </c>
      <c r="G398" s="6" t="inlineStr">
        <is>
          <t>YACYRETA</t>
        </is>
      </c>
      <c r="H398" s="6" t="inlineStr">
        <is>
          <t>SADI</t>
        </is>
      </c>
      <c r="I398" s="8" t="n">
        <v>977673</v>
      </c>
      <c r="J398" s="6" t="inlineStr">
        <is>
          <t>MWh</t>
        </is>
      </c>
      <c r="K398" s="8" t="n">
        <v>977673</v>
      </c>
      <c r="L398" s="6" t="inlineStr">
        <is>
          <t>MWh</t>
        </is>
      </c>
      <c r="M398" s="6" t="inlineStr">
        <is>
          <t>EBY</t>
        </is>
      </c>
      <c r="N398" s="6" t="inlineStr">
        <is>
          <t>OFFICIAL_PRIMARY</t>
        </is>
      </c>
      <c r="O398" s="9" t="inlineStr">
        <is>
          <t>OFFICIAL_AGGREGATE</t>
        </is>
      </c>
      <c r="P398" s="8" t="n">
        <v>1</v>
      </c>
      <c r="Q398" s="8" t="n">
        <v>50</v>
      </c>
      <c r="R398" s="7" t="inlineStr">
        <is>
          <t>https://www.eby.gov.py/wp-content/uploads/2019/12/YacyretaEnergiasMensualesDesdePuestaenMarcha.pdf</t>
        </is>
      </c>
      <c r="S398" s="6" t="inlineStr">
        <is>
          <t>EBY-MONTHLY-1994-2012</t>
        </is>
      </c>
      <c r="T398" s="6" t="inlineStr"/>
      <c r="U398" s="4" t="inlineStr">
        <is>
          <t>2026-09-10 23:00:00</t>
        </is>
      </c>
      <c r="V398" s="4" t="inlineStr">
        <is>
          <t>Energia mensual entregada al SADI.</t>
        </is>
      </c>
    </row>
    <row r="399">
      <c r="A399" s="6" t="inlineStr">
        <is>
          <t>R0000403</t>
        </is>
      </c>
      <c r="B399" s="6" t="inlineStr">
        <is>
          <t>2001-05-01</t>
        </is>
      </c>
      <c r="C399" s="6" t="inlineStr">
        <is>
          <t>2001-05-31</t>
        </is>
      </c>
      <c r="D399" s="6" t="inlineStr">
        <is>
          <t>month</t>
        </is>
      </c>
      <c r="E399" s="6" t="inlineStr">
        <is>
          <t>ENERGY_TO_PY</t>
        </is>
      </c>
      <c r="F399" s="6" t="inlineStr">
        <is>
          <t>YACYRETA</t>
        </is>
      </c>
      <c r="G399" s="6" t="inlineStr">
        <is>
          <t>YACYRETA</t>
        </is>
      </c>
      <c r="H399" s="6" t="inlineStr">
        <is>
          <t>SINP</t>
        </is>
      </c>
      <c r="I399" s="8" t="n">
        <v>1679</v>
      </c>
      <c r="J399" s="6" t="inlineStr">
        <is>
          <t>MWh</t>
        </is>
      </c>
      <c r="K399" s="8" t="n">
        <v>1679</v>
      </c>
      <c r="L399" s="6" t="inlineStr">
        <is>
          <t>MWh</t>
        </is>
      </c>
      <c r="M399" s="6" t="inlineStr">
        <is>
          <t>EBY</t>
        </is>
      </c>
      <c r="N399" s="6" t="inlineStr">
        <is>
          <t>OFFICIAL_PRIMARY</t>
        </is>
      </c>
      <c r="O399" s="9" t="inlineStr">
        <is>
          <t>OFFICIAL_AGGREGATE</t>
        </is>
      </c>
      <c r="P399" s="8" t="n">
        <v>1</v>
      </c>
      <c r="Q399" s="8" t="n">
        <v>50</v>
      </c>
      <c r="R399" s="7" t="inlineStr">
        <is>
          <t>https://www.eby.gov.py/wp-content/uploads/2019/12/YacyretaEnergiasMensualesDesdePuestaenMarcha.pdf</t>
        </is>
      </c>
      <c r="S399" s="6" t="inlineStr">
        <is>
          <t>EBY-MONTHLY-1994-2012</t>
        </is>
      </c>
      <c r="T399" s="6" t="inlineStr"/>
      <c r="U399" s="4" t="inlineStr">
        <is>
          <t>2026-09-10 23:00:00</t>
        </is>
      </c>
      <c r="V399" s="4" t="inlineStr">
        <is>
          <t>Energia mensual entregada al SINP.</t>
        </is>
      </c>
    </row>
    <row r="400">
      <c r="A400" s="6" t="inlineStr">
        <is>
          <t>R0000404</t>
        </is>
      </c>
      <c r="B400" s="6" t="inlineStr">
        <is>
          <t>2001-06-01</t>
        </is>
      </c>
      <c r="C400" s="6" t="inlineStr">
        <is>
          <t>2001-06-30</t>
        </is>
      </c>
      <c r="D400" s="6" t="inlineStr">
        <is>
          <t>month</t>
        </is>
      </c>
      <c r="E400" s="6" t="inlineStr">
        <is>
          <t>YACYRETA_NET_ENERGY</t>
        </is>
      </c>
      <c r="F400" s="6" t="inlineStr">
        <is>
          <t>YACYRETA</t>
        </is>
      </c>
      <c r="G400" s="6" t="inlineStr">
        <is>
          <t>YACYRETA</t>
        </is>
      </c>
      <c r="H400" s="6" t="inlineStr">
        <is>
          <t>TOTAL</t>
        </is>
      </c>
      <c r="I400" s="8" t="n">
        <v>858912</v>
      </c>
      <c r="J400" s="6" t="inlineStr">
        <is>
          <t>MWh</t>
        </is>
      </c>
      <c r="K400" s="8" t="n">
        <v>858912</v>
      </c>
      <c r="L400" s="6" t="inlineStr">
        <is>
          <t>MWh</t>
        </is>
      </c>
      <c r="M400" s="6" t="inlineStr">
        <is>
          <t>EBY</t>
        </is>
      </c>
      <c r="N400" s="6" t="inlineStr">
        <is>
          <t>OFFICIAL_PRIMARY</t>
        </is>
      </c>
      <c r="O400" s="9" t="inlineStr">
        <is>
          <t>OFFICIAL_AGGREGATE</t>
        </is>
      </c>
      <c r="P400" s="8" t="n">
        <v>1</v>
      </c>
      <c r="Q400" s="8" t="n">
        <v>50</v>
      </c>
      <c r="R400" s="7" t="inlineStr">
        <is>
          <t>https://www.eby.gov.py/wp-content/uploads/2019/12/YacyretaEnergiasMensualesDesdePuestaenMarcha.pdf</t>
        </is>
      </c>
      <c r="S400" s="6" t="inlineStr">
        <is>
          <t>EBY-MONTHLY-1994-2012</t>
        </is>
      </c>
      <c r="T400" s="6" t="inlineStr"/>
      <c r="U400" s="4" t="inlineStr">
        <is>
          <t>2026-09-10 23:00:00</t>
        </is>
      </c>
      <c r="V400" s="4" t="inlineStr">
        <is>
          <t>Energia mensual Yacyreta desde puesta en marcha.</t>
        </is>
      </c>
    </row>
    <row r="401">
      <c r="A401" s="6" t="inlineStr">
        <is>
          <t>R0000405</t>
        </is>
      </c>
      <c r="B401" s="6" t="inlineStr">
        <is>
          <t>2001-06-01</t>
        </is>
      </c>
      <c r="C401" s="6" t="inlineStr">
        <is>
          <t>2001-06-30</t>
        </is>
      </c>
      <c r="D401" s="6" t="inlineStr">
        <is>
          <t>month</t>
        </is>
      </c>
      <c r="E401" s="6" t="inlineStr">
        <is>
          <t>ENERGY_TO_ARGENTINA</t>
        </is>
      </c>
      <c r="F401" s="6" t="inlineStr">
        <is>
          <t>YACYRETA</t>
        </is>
      </c>
      <c r="G401" s="6" t="inlineStr">
        <is>
          <t>YACYRETA</t>
        </is>
      </c>
      <c r="H401" s="6" t="inlineStr">
        <is>
          <t>SADI</t>
        </is>
      </c>
      <c r="I401" s="8" t="n">
        <v>855728</v>
      </c>
      <c r="J401" s="6" t="inlineStr">
        <is>
          <t>MWh</t>
        </is>
      </c>
      <c r="K401" s="8" t="n">
        <v>855728</v>
      </c>
      <c r="L401" s="6" t="inlineStr">
        <is>
          <t>MWh</t>
        </is>
      </c>
      <c r="M401" s="6" t="inlineStr">
        <is>
          <t>EBY</t>
        </is>
      </c>
      <c r="N401" s="6" t="inlineStr">
        <is>
          <t>OFFICIAL_PRIMARY</t>
        </is>
      </c>
      <c r="O401" s="9" t="inlineStr">
        <is>
          <t>OFFICIAL_AGGREGATE</t>
        </is>
      </c>
      <c r="P401" s="8" t="n">
        <v>1</v>
      </c>
      <c r="Q401" s="8" t="n">
        <v>50</v>
      </c>
      <c r="R401" s="7" t="inlineStr">
        <is>
          <t>https://www.eby.gov.py/wp-content/uploads/2019/12/YacyretaEnergiasMensualesDesdePuestaenMarcha.pdf</t>
        </is>
      </c>
      <c r="S401" s="6" t="inlineStr">
        <is>
          <t>EBY-MONTHLY-1994-2012</t>
        </is>
      </c>
      <c r="T401" s="6" t="inlineStr"/>
      <c r="U401" s="4" t="inlineStr">
        <is>
          <t>2026-09-10 23:00:00</t>
        </is>
      </c>
      <c r="V401" s="4" t="inlineStr">
        <is>
          <t>Energia mensual entregada al SADI.</t>
        </is>
      </c>
    </row>
    <row r="402">
      <c r="A402" s="6" t="inlineStr">
        <is>
          <t>R0000406</t>
        </is>
      </c>
      <c r="B402" s="6" t="inlineStr">
        <is>
          <t>2001-06-01</t>
        </is>
      </c>
      <c r="C402" s="6" t="inlineStr">
        <is>
          <t>2001-06-30</t>
        </is>
      </c>
      <c r="D402" s="6" t="inlineStr">
        <is>
          <t>month</t>
        </is>
      </c>
      <c r="E402" s="6" t="inlineStr">
        <is>
          <t>ENERGY_TO_PY</t>
        </is>
      </c>
      <c r="F402" s="6" t="inlineStr">
        <is>
          <t>YACYRETA</t>
        </is>
      </c>
      <c r="G402" s="6" t="inlineStr">
        <is>
          <t>YACYRETA</t>
        </is>
      </c>
      <c r="H402" s="6" t="inlineStr">
        <is>
          <t>SINP</t>
        </is>
      </c>
      <c r="I402" s="8" t="n">
        <v>3184</v>
      </c>
      <c r="J402" s="6" t="inlineStr">
        <is>
          <t>MWh</t>
        </is>
      </c>
      <c r="K402" s="8" t="n">
        <v>3184</v>
      </c>
      <c r="L402" s="6" t="inlineStr">
        <is>
          <t>MWh</t>
        </is>
      </c>
      <c r="M402" s="6" t="inlineStr">
        <is>
          <t>EBY</t>
        </is>
      </c>
      <c r="N402" s="6" t="inlineStr">
        <is>
          <t>OFFICIAL_PRIMARY</t>
        </is>
      </c>
      <c r="O402" s="9" t="inlineStr">
        <is>
          <t>OFFICIAL_AGGREGATE</t>
        </is>
      </c>
      <c r="P402" s="8" t="n">
        <v>1</v>
      </c>
      <c r="Q402" s="8" t="n">
        <v>50</v>
      </c>
      <c r="R402" s="7" t="inlineStr">
        <is>
          <t>https://www.eby.gov.py/wp-content/uploads/2019/12/YacyretaEnergiasMensualesDesdePuestaenMarcha.pdf</t>
        </is>
      </c>
      <c r="S402" s="6" t="inlineStr">
        <is>
          <t>EBY-MONTHLY-1994-2012</t>
        </is>
      </c>
      <c r="T402" s="6" t="inlineStr"/>
      <c r="U402" s="4" t="inlineStr">
        <is>
          <t>2026-09-10 23:00:00</t>
        </is>
      </c>
      <c r="V402" s="4" t="inlineStr">
        <is>
          <t>Energia mensual entregada al SINP.</t>
        </is>
      </c>
    </row>
    <row r="403">
      <c r="A403" s="6" t="inlineStr">
        <is>
          <t>R0000407</t>
        </is>
      </c>
      <c r="B403" s="6" t="inlineStr">
        <is>
          <t>2001-07-01</t>
        </is>
      </c>
      <c r="C403" s="6" t="inlineStr">
        <is>
          <t>2001-07-31</t>
        </is>
      </c>
      <c r="D403" s="6" t="inlineStr">
        <is>
          <t>month</t>
        </is>
      </c>
      <c r="E403" s="6" t="inlineStr">
        <is>
          <t>YACYRETA_NET_ENERGY</t>
        </is>
      </c>
      <c r="F403" s="6" t="inlineStr">
        <is>
          <t>YACYRETA</t>
        </is>
      </c>
      <c r="G403" s="6" t="inlineStr">
        <is>
          <t>YACYRETA</t>
        </is>
      </c>
      <c r="H403" s="6" t="inlineStr">
        <is>
          <t>TOTAL</t>
        </is>
      </c>
      <c r="I403" s="8" t="n">
        <v>873994</v>
      </c>
      <c r="J403" s="6" t="inlineStr">
        <is>
          <t>MWh</t>
        </is>
      </c>
      <c r="K403" s="8" t="n">
        <v>873994</v>
      </c>
      <c r="L403" s="6" t="inlineStr">
        <is>
          <t>MWh</t>
        </is>
      </c>
      <c r="M403" s="6" t="inlineStr">
        <is>
          <t>EBY</t>
        </is>
      </c>
      <c r="N403" s="6" t="inlineStr">
        <is>
          <t>OFFICIAL_PRIMARY</t>
        </is>
      </c>
      <c r="O403" s="9" t="inlineStr">
        <is>
          <t>OFFICIAL_AGGREGATE</t>
        </is>
      </c>
      <c r="P403" s="8" t="n">
        <v>1</v>
      </c>
      <c r="Q403" s="8" t="n">
        <v>50</v>
      </c>
      <c r="R403" s="7" t="inlineStr">
        <is>
          <t>https://www.eby.gov.py/wp-content/uploads/2019/12/YacyretaEnergiasMensualesDesdePuestaenMarcha.pdf</t>
        </is>
      </c>
      <c r="S403" s="6" t="inlineStr">
        <is>
          <t>EBY-MONTHLY-1994-2012</t>
        </is>
      </c>
      <c r="T403" s="6" t="inlineStr"/>
      <c r="U403" s="4" t="inlineStr">
        <is>
          <t>2026-09-10 23:00:00</t>
        </is>
      </c>
      <c r="V403" s="4" t="inlineStr">
        <is>
          <t>Energia mensual Yacyreta desde puesta en marcha.</t>
        </is>
      </c>
    </row>
    <row r="404">
      <c r="A404" s="6" t="inlineStr">
        <is>
          <t>R0000408</t>
        </is>
      </c>
      <c r="B404" s="6" t="inlineStr">
        <is>
          <t>2001-07-01</t>
        </is>
      </c>
      <c r="C404" s="6" t="inlineStr">
        <is>
          <t>2001-07-31</t>
        </is>
      </c>
      <c r="D404" s="6" t="inlineStr">
        <is>
          <t>month</t>
        </is>
      </c>
      <c r="E404" s="6" t="inlineStr">
        <is>
          <t>ENERGY_TO_ARGENTINA</t>
        </is>
      </c>
      <c r="F404" s="6" t="inlineStr">
        <is>
          <t>YACYRETA</t>
        </is>
      </c>
      <c r="G404" s="6" t="inlineStr">
        <is>
          <t>YACYRETA</t>
        </is>
      </c>
      <c r="H404" s="6" t="inlineStr">
        <is>
          <t>SADI</t>
        </is>
      </c>
      <c r="I404" s="8" t="n">
        <v>872830</v>
      </c>
      <c r="J404" s="6" t="inlineStr">
        <is>
          <t>MWh</t>
        </is>
      </c>
      <c r="K404" s="8" t="n">
        <v>872830</v>
      </c>
      <c r="L404" s="6" t="inlineStr">
        <is>
          <t>MWh</t>
        </is>
      </c>
      <c r="M404" s="6" t="inlineStr">
        <is>
          <t>EBY</t>
        </is>
      </c>
      <c r="N404" s="6" t="inlineStr">
        <is>
          <t>OFFICIAL_PRIMARY</t>
        </is>
      </c>
      <c r="O404" s="9" t="inlineStr">
        <is>
          <t>OFFICIAL_AGGREGATE</t>
        </is>
      </c>
      <c r="P404" s="8" t="n">
        <v>1</v>
      </c>
      <c r="Q404" s="8" t="n">
        <v>50</v>
      </c>
      <c r="R404" s="7" t="inlineStr">
        <is>
          <t>https://www.eby.gov.py/wp-content/uploads/2019/12/YacyretaEnergiasMensualesDesdePuestaenMarcha.pdf</t>
        </is>
      </c>
      <c r="S404" s="6" t="inlineStr">
        <is>
          <t>EBY-MONTHLY-1994-2012</t>
        </is>
      </c>
      <c r="T404" s="6" t="inlineStr"/>
      <c r="U404" s="4" t="inlineStr">
        <is>
          <t>2026-09-10 23:00:00</t>
        </is>
      </c>
      <c r="V404" s="4" t="inlineStr">
        <is>
          <t>Energia mensual entregada al SADI.</t>
        </is>
      </c>
    </row>
    <row r="405">
      <c r="A405" s="6" t="inlineStr">
        <is>
          <t>R0000409</t>
        </is>
      </c>
      <c r="B405" s="6" t="inlineStr">
        <is>
          <t>2001-07-01</t>
        </is>
      </c>
      <c r="C405" s="6" t="inlineStr">
        <is>
          <t>2001-07-31</t>
        </is>
      </c>
      <c r="D405" s="6" t="inlineStr">
        <is>
          <t>month</t>
        </is>
      </c>
      <c r="E405" s="6" t="inlineStr">
        <is>
          <t>ENERGY_TO_PY</t>
        </is>
      </c>
      <c r="F405" s="6" t="inlineStr">
        <is>
          <t>YACYRETA</t>
        </is>
      </c>
      <c r="G405" s="6" t="inlineStr">
        <is>
          <t>YACYRETA</t>
        </is>
      </c>
      <c r="H405" s="6" t="inlineStr">
        <is>
          <t>SINP</t>
        </is>
      </c>
      <c r="I405" s="8" t="n">
        <v>1164</v>
      </c>
      <c r="J405" s="6" t="inlineStr">
        <is>
          <t>MWh</t>
        </is>
      </c>
      <c r="K405" s="8" t="n">
        <v>1164</v>
      </c>
      <c r="L405" s="6" t="inlineStr">
        <is>
          <t>MWh</t>
        </is>
      </c>
      <c r="M405" s="6" t="inlineStr">
        <is>
          <t>EBY</t>
        </is>
      </c>
      <c r="N405" s="6" t="inlineStr">
        <is>
          <t>OFFICIAL_PRIMARY</t>
        </is>
      </c>
      <c r="O405" s="9" t="inlineStr">
        <is>
          <t>OFFICIAL_AGGREGATE</t>
        </is>
      </c>
      <c r="P405" s="8" t="n">
        <v>1</v>
      </c>
      <c r="Q405" s="8" t="n">
        <v>50</v>
      </c>
      <c r="R405" s="7" t="inlineStr">
        <is>
          <t>https://www.eby.gov.py/wp-content/uploads/2019/12/YacyretaEnergiasMensualesDesdePuestaenMarcha.pdf</t>
        </is>
      </c>
      <c r="S405" s="6" t="inlineStr">
        <is>
          <t>EBY-MONTHLY-1994-2012</t>
        </is>
      </c>
      <c r="T405" s="6" t="inlineStr"/>
      <c r="U405" s="4" t="inlineStr">
        <is>
          <t>2026-09-10 23:00:00</t>
        </is>
      </c>
      <c r="V405" s="4" t="inlineStr">
        <is>
          <t>Energia mensual entregada al SINP.</t>
        </is>
      </c>
    </row>
    <row r="406">
      <c r="A406" s="6" t="inlineStr">
        <is>
          <t>R0000410</t>
        </is>
      </c>
      <c r="B406" s="6" t="inlineStr">
        <is>
          <t>2001-08-01</t>
        </is>
      </c>
      <c r="C406" s="6" t="inlineStr">
        <is>
          <t>2001-08-31</t>
        </is>
      </c>
      <c r="D406" s="6" t="inlineStr">
        <is>
          <t>month</t>
        </is>
      </c>
      <c r="E406" s="6" t="inlineStr">
        <is>
          <t>YACYRETA_NET_ENERGY</t>
        </is>
      </c>
      <c r="F406" s="6" t="inlineStr">
        <is>
          <t>YACYRETA</t>
        </is>
      </c>
      <c r="G406" s="6" t="inlineStr">
        <is>
          <t>YACYRETA</t>
        </is>
      </c>
      <c r="H406" s="6" t="inlineStr">
        <is>
          <t>TOTAL</t>
        </is>
      </c>
      <c r="I406" s="8" t="n">
        <v>781922</v>
      </c>
      <c r="J406" s="6" t="inlineStr">
        <is>
          <t>MWh</t>
        </is>
      </c>
      <c r="K406" s="8" t="n">
        <v>781922</v>
      </c>
      <c r="L406" s="6" t="inlineStr">
        <is>
          <t>MWh</t>
        </is>
      </c>
      <c r="M406" s="6" t="inlineStr">
        <is>
          <t>EBY</t>
        </is>
      </c>
      <c r="N406" s="6" t="inlineStr">
        <is>
          <t>OFFICIAL_PRIMARY</t>
        </is>
      </c>
      <c r="O406" s="9" t="inlineStr">
        <is>
          <t>OFFICIAL_AGGREGATE</t>
        </is>
      </c>
      <c r="P406" s="8" t="n">
        <v>1</v>
      </c>
      <c r="Q406" s="8" t="n">
        <v>50</v>
      </c>
      <c r="R406" s="7" t="inlineStr">
        <is>
          <t>https://www.eby.gov.py/wp-content/uploads/2019/12/YacyretaEnergiasMensualesDesdePuestaenMarcha.pdf</t>
        </is>
      </c>
      <c r="S406" s="6" t="inlineStr">
        <is>
          <t>EBY-MONTHLY-1994-2012</t>
        </is>
      </c>
      <c r="T406" s="6" t="inlineStr"/>
      <c r="U406" s="4" t="inlineStr">
        <is>
          <t>2026-09-10 23:00:00</t>
        </is>
      </c>
      <c r="V406" s="4" t="inlineStr">
        <is>
          <t>Energia mensual Yacyreta desde puesta en marcha.</t>
        </is>
      </c>
    </row>
    <row r="407">
      <c r="A407" s="6" t="inlineStr">
        <is>
          <t>R0000411</t>
        </is>
      </c>
      <c r="B407" s="6" t="inlineStr">
        <is>
          <t>2001-08-01</t>
        </is>
      </c>
      <c r="C407" s="6" t="inlineStr">
        <is>
          <t>2001-08-31</t>
        </is>
      </c>
      <c r="D407" s="6" t="inlineStr">
        <is>
          <t>month</t>
        </is>
      </c>
      <c r="E407" s="6" t="inlineStr">
        <is>
          <t>ENERGY_TO_ARGENTINA</t>
        </is>
      </c>
      <c r="F407" s="6" t="inlineStr">
        <is>
          <t>YACYRETA</t>
        </is>
      </c>
      <c r="G407" s="6" t="inlineStr">
        <is>
          <t>YACYRETA</t>
        </is>
      </c>
      <c r="H407" s="6" t="inlineStr">
        <is>
          <t>SADI</t>
        </is>
      </c>
      <c r="I407" s="8" t="n">
        <v>781196</v>
      </c>
      <c r="J407" s="6" t="inlineStr">
        <is>
          <t>MWh</t>
        </is>
      </c>
      <c r="K407" s="8" t="n">
        <v>781196</v>
      </c>
      <c r="L407" s="6" t="inlineStr">
        <is>
          <t>MWh</t>
        </is>
      </c>
      <c r="M407" s="6" t="inlineStr">
        <is>
          <t>EBY</t>
        </is>
      </c>
      <c r="N407" s="6" t="inlineStr">
        <is>
          <t>OFFICIAL_PRIMARY</t>
        </is>
      </c>
      <c r="O407" s="9" t="inlineStr">
        <is>
          <t>OFFICIAL_AGGREGATE</t>
        </is>
      </c>
      <c r="P407" s="8" t="n">
        <v>1</v>
      </c>
      <c r="Q407" s="8" t="n">
        <v>50</v>
      </c>
      <c r="R407" s="7" t="inlineStr">
        <is>
          <t>https://www.eby.gov.py/wp-content/uploads/2019/12/YacyretaEnergiasMensualesDesdePuestaenMarcha.pdf</t>
        </is>
      </c>
      <c r="S407" s="6" t="inlineStr">
        <is>
          <t>EBY-MONTHLY-1994-2012</t>
        </is>
      </c>
      <c r="T407" s="6" t="inlineStr"/>
      <c r="U407" s="4" t="inlineStr">
        <is>
          <t>2026-09-10 23:00:00</t>
        </is>
      </c>
      <c r="V407" s="4" t="inlineStr">
        <is>
          <t>Energia mensual entregada al SADI.</t>
        </is>
      </c>
    </row>
    <row r="408">
      <c r="A408" s="6" t="inlineStr">
        <is>
          <t>R0000412</t>
        </is>
      </c>
      <c r="B408" s="6" t="inlineStr">
        <is>
          <t>2001-08-01</t>
        </is>
      </c>
      <c r="C408" s="6" t="inlineStr">
        <is>
          <t>2001-08-31</t>
        </is>
      </c>
      <c r="D408" s="6" t="inlineStr">
        <is>
          <t>month</t>
        </is>
      </c>
      <c r="E408" s="6" t="inlineStr">
        <is>
          <t>ENERGY_TO_PY</t>
        </is>
      </c>
      <c r="F408" s="6" t="inlineStr">
        <is>
          <t>YACYRETA</t>
        </is>
      </c>
      <c r="G408" s="6" t="inlineStr">
        <is>
          <t>YACYRETA</t>
        </is>
      </c>
      <c r="H408" s="6" t="inlineStr">
        <is>
          <t>SINP</t>
        </is>
      </c>
      <c r="I408" s="8" t="n">
        <v>726</v>
      </c>
      <c r="J408" s="6" t="inlineStr">
        <is>
          <t>MWh</t>
        </is>
      </c>
      <c r="K408" s="8" t="n">
        <v>726</v>
      </c>
      <c r="L408" s="6" t="inlineStr">
        <is>
          <t>MWh</t>
        </is>
      </c>
      <c r="M408" s="6" t="inlineStr">
        <is>
          <t>EBY</t>
        </is>
      </c>
      <c r="N408" s="6" t="inlineStr">
        <is>
          <t>OFFICIAL_PRIMARY</t>
        </is>
      </c>
      <c r="O408" s="9" t="inlineStr">
        <is>
          <t>OFFICIAL_AGGREGATE</t>
        </is>
      </c>
      <c r="P408" s="8" t="n">
        <v>1</v>
      </c>
      <c r="Q408" s="8" t="n">
        <v>50</v>
      </c>
      <c r="R408" s="7" t="inlineStr">
        <is>
          <t>https://www.eby.gov.py/wp-content/uploads/2019/12/YacyretaEnergiasMensualesDesdePuestaenMarcha.pdf</t>
        </is>
      </c>
      <c r="S408" s="6" t="inlineStr">
        <is>
          <t>EBY-MONTHLY-1994-2012</t>
        </is>
      </c>
      <c r="T408" s="6" t="inlineStr"/>
      <c r="U408" s="4" t="inlineStr">
        <is>
          <t>2026-09-10 23:00:00</t>
        </is>
      </c>
      <c r="V408" s="4" t="inlineStr">
        <is>
          <t>Energia mensual entregada al SINP.</t>
        </is>
      </c>
    </row>
    <row r="409">
      <c r="A409" s="6" t="inlineStr">
        <is>
          <t>R0000413</t>
        </is>
      </c>
      <c r="B409" s="6" t="inlineStr">
        <is>
          <t>2001-09-01</t>
        </is>
      </c>
      <c r="C409" s="6" t="inlineStr">
        <is>
          <t>2001-09-30</t>
        </is>
      </c>
      <c r="D409" s="6" t="inlineStr">
        <is>
          <t>month</t>
        </is>
      </c>
      <c r="E409" s="6" t="inlineStr">
        <is>
          <t>YACYRETA_NET_ENERGY</t>
        </is>
      </c>
      <c r="F409" s="6" t="inlineStr">
        <is>
          <t>YACYRETA</t>
        </is>
      </c>
      <c r="G409" s="6" t="inlineStr">
        <is>
          <t>YACYRETA</t>
        </is>
      </c>
      <c r="H409" s="6" t="inlineStr">
        <is>
          <t>TOTAL</t>
        </is>
      </c>
      <c r="I409" s="8" t="n">
        <v>767967</v>
      </c>
      <c r="J409" s="6" t="inlineStr">
        <is>
          <t>MWh</t>
        </is>
      </c>
      <c r="K409" s="8" t="n">
        <v>767967</v>
      </c>
      <c r="L409" s="6" t="inlineStr">
        <is>
          <t>MWh</t>
        </is>
      </c>
      <c r="M409" s="6" t="inlineStr">
        <is>
          <t>EBY</t>
        </is>
      </c>
      <c r="N409" s="6" t="inlineStr">
        <is>
          <t>OFFICIAL_PRIMARY</t>
        </is>
      </c>
      <c r="O409" s="9" t="inlineStr">
        <is>
          <t>OFFICIAL_AGGREGATE</t>
        </is>
      </c>
      <c r="P409" s="8" t="n">
        <v>1</v>
      </c>
      <c r="Q409" s="8" t="n">
        <v>50</v>
      </c>
      <c r="R409" s="7" t="inlineStr">
        <is>
          <t>https://www.eby.gov.py/wp-content/uploads/2019/12/YacyretaEnergiasMensualesDesdePuestaenMarcha.pdf</t>
        </is>
      </c>
      <c r="S409" s="6" t="inlineStr">
        <is>
          <t>EBY-MONTHLY-1994-2012</t>
        </is>
      </c>
      <c r="T409" s="6" t="inlineStr"/>
      <c r="U409" s="4" t="inlineStr">
        <is>
          <t>2026-09-10 23:00:00</t>
        </is>
      </c>
      <c r="V409" s="4" t="inlineStr">
        <is>
          <t>Energia mensual Yacyreta desde puesta en marcha.</t>
        </is>
      </c>
    </row>
    <row r="410">
      <c r="A410" s="6" t="inlineStr">
        <is>
          <t>R0000414</t>
        </is>
      </c>
      <c r="B410" s="6" t="inlineStr">
        <is>
          <t>2001-09-01</t>
        </is>
      </c>
      <c r="C410" s="6" t="inlineStr">
        <is>
          <t>2001-09-30</t>
        </is>
      </c>
      <c r="D410" s="6" t="inlineStr">
        <is>
          <t>month</t>
        </is>
      </c>
      <c r="E410" s="6" t="inlineStr">
        <is>
          <t>ENERGY_TO_ARGENTINA</t>
        </is>
      </c>
      <c r="F410" s="6" t="inlineStr">
        <is>
          <t>YACYRETA</t>
        </is>
      </c>
      <c r="G410" s="6" t="inlineStr">
        <is>
          <t>YACYRETA</t>
        </is>
      </c>
      <c r="H410" s="6" t="inlineStr">
        <is>
          <t>SADI</t>
        </is>
      </c>
      <c r="I410" s="8" t="n">
        <v>763664</v>
      </c>
      <c r="J410" s="6" t="inlineStr">
        <is>
          <t>MWh</t>
        </is>
      </c>
      <c r="K410" s="8" t="n">
        <v>763664</v>
      </c>
      <c r="L410" s="6" t="inlineStr">
        <is>
          <t>MWh</t>
        </is>
      </c>
      <c r="M410" s="6" t="inlineStr">
        <is>
          <t>EBY</t>
        </is>
      </c>
      <c r="N410" s="6" t="inlineStr">
        <is>
          <t>OFFICIAL_PRIMARY</t>
        </is>
      </c>
      <c r="O410" s="9" t="inlineStr">
        <is>
          <t>OFFICIAL_AGGREGATE</t>
        </is>
      </c>
      <c r="P410" s="8" t="n">
        <v>1</v>
      </c>
      <c r="Q410" s="8" t="n">
        <v>50</v>
      </c>
      <c r="R410" s="7" t="inlineStr">
        <is>
          <t>https://www.eby.gov.py/wp-content/uploads/2019/12/YacyretaEnergiasMensualesDesdePuestaenMarcha.pdf</t>
        </is>
      </c>
      <c r="S410" s="6" t="inlineStr">
        <is>
          <t>EBY-MONTHLY-1994-2012</t>
        </is>
      </c>
      <c r="T410" s="6" t="inlineStr"/>
      <c r="U410" s="4" t="inlineStr">
        <is>
          <t>2026-09-10 23:00:00</t>
        </is>
      </c>
      <c r="V410" s="4" t="inlineStr">
        <is>
          <t>Energia mensual entregada al SADI.</t>
        </is>
      </c>
    </row>
    <row r="411">
      <c r="A411" s="6" t="inlineStr">
        <is>
          <t>R0000415</t>
        </is>
      </c>
      <c r="B411" s="6" t="inlineStr">
        <is>
          <t>2001-09-01</t>
        </is>
      </c>
      <c r="C411" s="6" t="inlineStr">
        <is>
          <t>2001-09-30</t>
        </is>
      </c>
      <c r="D411" s="6" t="inlineStr">
        <is>
          <t>month</t>
        </is>
      </c>
      <c r="E411" s="6" t="inlineStr">
        <is>
          <t>ENERGY_TO_PY</t>
        </is>
      </c>
      <c r="F411" s="6" t="inlineStr">
        <is>
          <t>YACYRETA</t>
        </is>
      </c>
      <c r="G411" s="6" t="inlineStr">
        <is>
          <t>YACYRETA</t>
        </is>
      </c>
      <c r="H411" s="6" t="inlineStr">
        <is>
          <t>SINP</t>
        </is>
      </c>
      <c r="I411" s="8" t="n">
        <v>4303</v>
      </c>
      <c r="J411" s="6" t="inlineStr">
        <is>
          <t>MWh</t>
        </is>
      </c>
      <c r="K411" s="8" t="n">
        <v>4303</v>
      </c>
      <c r="L411" s="6" t="inlineStr">
        <is>
          <t>MWh</t>
        </is>
      </c>
      <c r="M411" s="6" t="inlineStr">
        <is>
          <t>EBY</t>
        </is>
      </c>
      <c r="N411" s="6" t="inlineStr">
        <is>
          <t>OFFICIAL_PRIMARY</t>
        </is>
      </c>
      <c r="O411" s="9" t="inlineStr">
        <is>
          <t>OFFICIAL_AGGREGATE</t>
        </is>
      </c>
      <c r="P411" s="8" t="n">
        <v>1</v>
      </c>
      <c r="Q411" s="8" t="n">
        <v>50</v>
      </c>
      <c r="R411" s="7" t="inlineStr">
        <is>
          <t>https://www.eby.gov.py/wp-content/uploads/2019/12/YacyretaEnergiasMensualesDesdePuestaenMarcha.pdf</t>
        </is>
      </c>
      <c r="S411" s="6" t="inlineStr">
        <is>
          <t>EBY-MONTHLY-1994-2012</t>
        </is>
      </c>
      <c r="T411" s="6" t="inlineStr"/>
      <c r="U411" s="4" t="inlineStr">
        <is>
          <t>2026-09-10 23:00:00</t>
        </is>
      </c>
      <c r="V411" s="4" t="inlineStr">
        <is>
          <t>Energia mensual entregada al SINP.</t>
        </is>
      </c>
    </row>
    <row r="412">
      <c r="A412" s="6" t="inlineStr">
        <is>
          <t>R0000416</t>
        </is>
      </c>
      <c r="B412" s="6" t="inlineStr">
        <is>
          <t>2001-10-01</t>
        </is>
      </c>
      <c r="C412" s="6" t="inlineStr">
        <is>
          <t>2001-10-31</t>
        </is>
      </c>
      <c r="D412" s="6" t="inlineStr">
        <is>
          <t>month</t>
        </is>
      </c>
      <c r="E412" s="6" t="inlineStr">
        <is>
          <t>YACYRETA_NET_ENERGY</t>
        </is>
      </c>
      <c r="F412" s="6" t="inlineStr">
        <is>
          <t>YACYRETA</t>
        </is>
      </c>
      <c r="G412" s="6" t="inlineStr">
        <is>
          <t>YACYRETA</t>
        </is>
      </c>
      <c r="H412" s="6" t="inlineStr">
        <is>
          <t>TOTAL</t>
        </is>
      </c>
      <c r="I412" s="8" t="n">
        <v>1063843</v>
      </c>
      <c r="J412" s="6" t="inlineStr">
        <is>
          <t>MWh</t>
        </is>
      </c>
      <c r="K412" s="8" t="n">
        <v>1063843</v>
      </c>
      <c r="L412" s="6" t="inlineStr">
        <is>
          <t>MWh</t>
        </is>
      </c>
      <c r="M412" s="6" t="inlineStr">
        <is>
          <t>EBY</t>
        </is>
      </c>
      <c r="N412" s="6" t="inlineStr">
        <is>
          <t>OFFICIAL_PRIMARY</t>
        </is>
      </c>
      <c r="O412" s="9" t="inlineStr">
        <is>
          <t>OFFICIAL_AGGREGATE</t>
        </is>
      </c>
      <c r="P412" s="8" t="n">
        <v>1</v>
      </c>
      <c r="Q412" s="8" t="n">
        <v>50</v>
      </c>
      <c r="R412" s="7" t="inlineStr">
        <is>
          <t>https://www.eby.gov.py/wp-content/uploads/2019/12/YacyretaEnergiasMensualesDesdePuestaenMarcha.pdf</t>
        </is>
      </c>
      <c r="S412" s="6" t="inlineStr">
        <is>
          <t>EBY-MONTHLY-1994-2012</t>
        </is>
      </c>
      <c r="T412" s="6" t="inlineStr"/>
      <c r="U412" s="4" t="inlineStr">
        <is>
          <t>2026-09-10 23:00:00</t>
        </is>
      </c>
      <c r="V412" s="4" t="inlineStr">
        <is>
          <t>Energia mensual Yacyreta desde puesta en marcha.</t>
        </is>
      </c>
    </row>
    <row r="413">
      <c r="A413" s="6" t="inlineStr">
        <is>
          <t>R0000417</t>
        </is>
      </c>
      <c r="B413" s="6" t="inlineStr">
        <is>
          <t>2001-10-01</t>
        </is>
      </c>
      <c r="C413" s="6" t="inlineStr">
        <is>
          <t>2001-10-31</t>
        </is>
      </c>
      <c r="D413" s="6" t="inlineStr">
        <is>
          <t>month</t>
        </is>
      </c>
      <c r="E413" s="6" t="inlineStr">
        <is>
          <t>ENERGY_TO_ARGENTINA</t>
        </is>
      </c>
      <c r="F413" s="6" t="inlineStr">
        <is>
          <t>YACYRETA</t>
        </is>
      </c>
      <c r="G413" s="6" t="inlineStr">
        <is>
          <t>YACYRETA</t>
        </is>
      </c>
      <c r="H413" s="6" t="inlineStr">
        <is>
          <t>SADI</t>
        </is>
      </c>
      <c r="I413" s="8" t="n">
        <v>1029174</v>
      </c>
      <c r="J413" s="6" t="inlineStr">
        <is>
          <t>MWh</t>
        </is>
      </c>
      <c r="K413" s="8" t="n">
        <v>1029174</v>
      </c>
      <c r="L413" s="6" t="inlineStr">
        <is>
          <t>MWh</t>
        </is>
      </c>
      <c r="M413" s="6" t="inlineStr">
        <is>
          <t>EBY</t>
        </is>
      </c>
      <c r="N413" s="6" t="inlineStr">
        <is>
          <t>OFFICIAL_PRIMARY</t>
        </is>
      </c>
      <c r="O413" s="9" t="inlineStr">
        <is>
          <t>OFFICIAL_AGGREGATE</t>
        </is>
      </c>
      <c r="P413" s="8" t="n">
        <v>1</v>
      </c>
      <c r="Q413" s="8" t="n">
        <v>50</v>
      </c>
      <c r="R413" s="7" t="inlineStr">
        <is>
          <t>https://www.eby.gov.py/wp-content/uploads/2019/12/YacyretaEnergiasMensualesDesdePuestaenMarcha.pdf</t>
        </is>
      </c>
      <c r="S413" s="6" t="inlineStr">
        <is>
          <t>EBY-MONTHLY-1994-2012</t>
        </is>
      </c>
      <c r="T413" s="6" t="inlineStr"/>
      <c r="U413" s="4" t="inlineStr">
        <is>
          <t>2026-09-10 23:00:00</t>
        </is>
      </c>
      <c r="V413" s="4" t="inlineStr">
        <is>
          <t>Energia mensual entregada al SADI.</t>
        </is>
      </c>
    </row>
    <row r="414">
      <c r="A414" s="6" t="inlineStr">
        <is>
          <t>R0000418</t>
        </is>
      </c>
      <c r="B414" s="6" t="inlineStr">
        <is>
          <t>2001-10-01</t>
        </is>
      </c>
      <c r="C414" s="6" t="inlineStr">
        <is>
          <t>2001-10-31</t>
        </is>
      </c>
      <c r="D414" s="6" t="inlineStr">
        <is>
          <t>month</t>
        </is>
      </c>
      <c r="E414" s="6" t="inlineStr">
        <is>
          <t>ENERGY_TO_PY</t>
        </is>
      </c>
      <c r="F414" s="6" t="inlineStr">
        <is>
          <t>YACYRETA</t>
        </is>
      </c>
      <c r="G414" s="6" t="inlineStr">
        <is>
          <t>YACYRETA</t>
        </is>
      </c>
      <c r="H414" s="6" t="inlineStr">
        <is>
          <t>SINP</t>
        </is>
      </c>
      <c r="I414" s="8" t="n">
        <v>34669</v>
      </c>
      <c r="J414" s="6" t="inlineStr">
        <is>
          <t>MWh</t>
        </is>
      </c>
      <c r="K414" s="8" t="n">
        <v>34669</v>
      </c>
      <c r="L414" s="6" t="inlineStr">
        <is>
          <t>MWh</t>
        </is>
      </c>
      <c r="M414" s="6" t="inlineStr">
        <is>
          <t>EBY</t>
        </is>
      </c>
      <c r="N414" s="6" t="inlineStr">
        <is>
          <t>OFFICIAL_PRIMARY</t>
        </is>
      </c>
      <c r="O414" s="9" t="inlineStr">
        <is>
          <t>OFFICIAL_AGGREGATE</t>
        </is>
      </c>
      <c r="P414" s="8" t="n">
        <v>1</v>
      </c>
      <c r="Q414" s="8" t="n">
        <v>50</v>
      </c>
      <c r="R414" s="7" t="inlineStr">
        <is>
          <t>https://www.eby.gov.py/wp-content/uploads/2019/12/YacyretaEnergiasMensualesDesdePuestaenMarcha.pdf</t>
        </is>
      </c>
      <c r="S414" s="6" t="inlineStr">
        <is>
          <t>EBY-MONTHLY-1994-2012</t>
        </is>
      </c>
      <c r="T414" s="6" t="inlineStr"/>
      <c r="U414" s="4" t="inlineStr">
        <is>
          <t>2026-09-10 23:00:00</t>
        </is>
      </c>
      <c r="V414" s="4" t="inlineStr">
        <is>
          <t>Energia mensual entregada al SINP.</t>
        </is>
      </c>
    </row>
    <row r="415">
      <c r="A415" s="6" t="inlineStr">
        <is>
          <t>R0000419</t>
        </is>
      </c>
      <c r="B415" s="6" t="inlineStr">
        <is>
          <t>2001-11-01</t>
        </is>
      </c>
      <c r="C415" s="6" t="inlineStr">
        <is>
          <t>2001-11-30</t>
        </is>
      </c>
      <c r="D415" s="6" t="inlineStr">
        <is>
          <t>month</t>
        </is>
      </c>
      <c r="E415" s="6" t="inlineStr">
        <is>
          <t>YACYRETA_NET_ENERGY</t>
        </is>
      </c>
      <c r="F415" s="6" t="inlineStr">
        <is>
          <t>YACYRETA</t>
        </is>
      </c>
      <c r="G415" s="6" t="inlineStr">
        <is>
          <t>YACYRETA</t>
        </is>
      </c>
      <c r="H415" s="6" t="inlineStr">
        <is>
          <t>TOTAL</t>
        </is>
      </c>
      <c r="I415" s="8" t="n">
        <v>852959</v>
      </c>
      <c r="J415" s="6" t="inlineStr">
        <is>
          <t>MWh</t>
        </is>
      </c>
      <c r="K415" s="8" t="n">
        <v>852959</v>
      </c>
      <c r="L415" s="6" t="inlineStr">
        <is>
          <t>MWh</t>
        </is>
      </c>
      <c r="M415" s="6" t="inlineStr">
        <is>
          <t>EBY</t>
        </is>
      </c>
      <c r="N415" s="6" t="inlineStr">
        <is>
          <t>OFFICIAL_PRIMARY</t>
        </is>
      </c>
      <c r="O415" s="9" t="inlineStr">
        <is>
          <t>OFFICIAL_AGGREGATE</t>
        </is>
      </c>
      <c r="P415" s="8" t="n">
        <v>1</v>
      </c>
      <c r="Q415" s="8" t="n">
        <v>50</v>
      </c>
      <c r="R415" s="7" t="inlineStr">
        <is>
          <t>https://www.eby.gov.py/wp-content/uploads/2019/12/YacyretaEnergiasMensualesDesdePuestaenMarcha.pdf</t>
        </is>
      </c>
      <c r="S415" s="6" t="inlineStr">
        <is>
          <t>EBY-MONTHLY-1994-2012</t>
        </is>
      </c>
      <c r="T415" s="6" t="inlineStr"/>
      <c r="U415" s="4" t="inlineStr">
        <is>
          <t>2026-09-10 23:00:00</t>
        </is>
      </c>
      <c r="V415" s="4" t="inlineStr">
        <is>
          <t>Energia mensual Yacyreta desde puesta en marcha.</t>
        </is>
      </c>
    </row>
    <row r="416">
      <c r="A416" s="6" t="inlineStr">
        <is>
          <t>R0000420</t>
        </is>
      </c>
      <c r="B416" s="6" t="inlineStr">
        <is>
          <t>2001-11-01</t>
        </is>
      </c>
      <c r="C416" s="6" t="inlineStr">
        <is>
          <t>2001-11-30</t>
        </is>
      </c>
      <c r="D416" s="6" t="inlineStr">
        <is>
          <t>month</t>
        </is>
      </c>
      <c r="E416" s="6" t="inlineStr">
        <is>
          <t>ENERGY_TO_ARGENTINA</t>
        </is>
      </c>
      <c r="F416" s="6" t="inlineStr">
        <is>
          <t>YACYRETA</t>
        </is>
      </c>
      <c r="G416" s="6" t="inlineStr">
        <is>
          <t>YACYRETA</t>
        </is>
      </c>
      <c r="H416" s="6" t="inlineStr">
        <is>
          <t>SADI</t>
        </is>
      </c>
      <c r="I416" s="8" t="n">
        <v>826682</v>
      </c>
      <c r="J416" s="6" t="inlineStr">
        <is>
          <t>MWh</t>
        </is>
      </c>
      <c r="K416" s="8" t="n">
        <v>826682</v>
      </c>
      <c r="L416" s="6" t="inlineStr">
        <is>
          <t>MWh</t>
        </is>
      </c>
      <c r="M416" s="6" t="inlineStr">
        <is>
          <t>EBY</t>
        </is>
      </c>
      <c r="N416" s="6" t="inlineStr">
        <is>
          <t>OFFICIAL_PRIMARY</t>
        </is>
      </c>
      <c r="O416" s="9" t="inlineStr">
        <is>
          <t>OFFICIAL_AGGREGATE</t>
        </is>
      </c>
      <c r="P416" s="8" t="n">
        <v>1</v>
      </c>
      <c r="Q416" s="8" t="n">
        <v>50</v>
      </c>
      <c r="R416" s="7" t="inlineStr">
        <is>
          <t>https://www.eby.gov.py/wp-content/uploads/2019/12/YacyretaEnergiasMensualesDesdePuestaenMarcha.pdf</t>
        </is>
      </c>
      <c r="S416" s="6" t="inlineStr">
        <is>
          <t>EBY-MONTHLY-1994-2012</t>
        </is>
      </c>
      <c r="T416" s="6" t="inlineStr"/>
      <c r="U416" s="4" t="inlineStr">
        <is>
          <t>2026-09-10 23:00:00</t>
        </is>
      </c>
      <c r="V416" s="4" t="inlineStr">
        <is>
          <t>Energia mensual entregada al SADI.</t>
        </is>
      </c>
    </row>
    <row r="417">
      <c r="A417" s="6" t="inlineStr">
        <is>
          <t>R0000421</t>
        </is>
      </c>
      <c r="B417" s="6" t="inlineStr">
        <is>
          <t>2001-11-01</t>
        </is>
      </c>
      <c r="C417" s="6" t="inlineStr">
        <is>
          <t>2001-11-30</t>
        </is>
      </c>
      <c r="D417" s="6" t="inlineStr">
        <is>
          <t>month</t>
        </is>
      </c>
      <c r="E417" s="6" t="inlineStr">
        <is>
          <t>ENERGY_TO_PY</t>
        </is>
      </c>
      <c r="F417" s="6" t="inlineStr">
        <is>
          <t>YACYRETA</t>
        </is>
      </c>
      <c r="G417" s="6" t="inlineStr">
        <is>
          <t>YACYRETA</t>
        </is>
      </c>
      <c r="H417" s="6" t="inlineStr">
        <is>
          <t>SINP</t>
        </is>
      </c>
      <c r="I417" s="8" t="n">
        <v>26277</v>
      </c>
      <c r="J417" s="6" t="inlineStr">
        <is>
          <t>MWh</t>
        </is>
      </c>
      <c r="K417" s="8" t="n">
        <v>26277</v>
      </c>
      <c r="L417" s="6" t="inlineStr">
        <is>
          <t>MWh</t>
        </is>
      </c>
      <c r="M417" s="6" t="inlineStr">
        <is>
          <t>EBY</t>
        </is>
      </c>
      <c r="N417" s="6" t="inlineStr">
        <is>
          <t>OFFICIAL_PRIMARY</t>
        </is>
      </c>
      <c r="O417" s="9" t="inlineStr">
        <is>
          <t>OFFICIAL_AGGREGATE</t>
        </is>
      </c>
      <c r="P417" s="8" t="n">
        <v>1</v>
      </c>
      <c r="Q417" s="8" t="n">
        <v>50</v>
      </c>
      <c r="R417" s="7" t="inlineStr">
        <is>
          <t>https://www.eby.gov.py/wp-content/uploads/2019/12/YacyretaEnergiasMensualesDesdePuestaenMarcha.pdf</t>
        </is>
      </c>
      <c r="S417" s="6" t="inlineStr">
        <is>
          <t>EBY-MONTHLY-1994-2012</t>
        </is>
      </c>
      <c r="T417" s="6" t="inlineStr"/>
      <c r="U417" s="4" t="inlineStr">
        <is>
          <t>2026-09-10 23:00:00</t>
        </is>
      </c>
      <c r="V417" s="4" t="inlineStr">
        <is>
          <t>Energia mensual entregada al SINP.</t>
        </is>
      </c>
    </row>
    <row r="418">
      <c r="A418" s="6" t="inlineStr">
        <is>
          <t>R0000422</t>
        </is>
      </c>
      <c r="B418" s="6" t="inlineStr">
        <is>
          <t>2001-12-01</t>
        </is>
      </c>
      <c r="C418" s="6" t="inlineStr">
        <is>
          <t>2001-12-31</t>
        </is>
      </c>
      <c r="D418" s="6" t="inlineStr">
        <is>
          <t>month</t>
        </is>
      </c>
      <c r="E418" s="6" t="inlineStr">
        <is>
          <t>YACYRETA_NET_ENERGY</t>
        </is>
      </c>
      <c r="F418" s="6" t="inlineStr">
        <is>
          <t>YACYRETA</t>
        </is>
      </c>
      <c r="G418" s="6" t="inlineStr">
        <is>
          <t>YACYRETA</t>
        </is>
      </c>
      <c r="H418" s="6" t="inlineStr">
        <is>
          <t>TOTAL</t>
        </is>
      </c>
      <c r="I418" s="8" t="n">
        <v>902334</v>
      </c>
      <c r="J418" s="6" t="inlineStr">
        <is>
          <t>MWh</t>
        </is>
      </c>
      <c r="K418" s="8" t="n">
        <v>902334</v>
      </c>
      <c r="L418" s="6" t="inlineStr">
        <is>
          <t>MWh</t>
        </is>
      </c>
      <c r="M418" s="6" t="inlineStr">
        <is>
          <t>EBY</t>
        </is>
      </c>
      <c r="N418" s="6" t="inlineStr">
        <is>
          <t>OFFICIAL_PRIMARY</t>
        </is>
      </c>
      <c r="O418" s="9" t="inlineStr">
        <is>
          <t>OFFICIAL_AGGREGATE</t>
        </is>
      </c>
      <c r="P418" s="8" t="n">
        <v>1</v>
      </c>
      <c r="Q418" s="8" t="n">
        <v>50</v>
      </c>
      <c r="R418" s="7" t="inlineStr">
        <is>
          <t>https://www.eby.gov.py/wp-content/uploads/2019/12/YacyretaEnergiasMensualesDesdePuestaenMarcha.pdf</t>
        </is>
      </c>
      <c r="S418" s="6" t="inlineStr">
        <is>
          <t>EBY-MONTHLY-1994-2012</t>
        </is>
      </c>
      <c r="T418" s="6" t="inlineStr"/>
      <c r="U418" s="4" t="inlineStr">
        <is>
          <t>2026-09-10 23:00:00</t>
        </is>
      </c>
      <c r="V418" s="4" t="inlineStr">
        <is>
          <t>Energia mensual Yacyreta desde puesta en marcha.</t>
        </is>
      </c>
    </row>
    <row r="419">
      <c r="A419" s="6" t="inlineStr">
        <is>
          <t>R0000423</t>
        </is>
      </c>
      <c r="B419" s="6" t="inlineStr">
        <is>
          <t>2001-12-01</t>
        </is>
      </c>
      <c r="C419" s="6" t="inlineStr">
        <is>
          <t>2001-12-31</t>
        </is>
      </c>
      <c r="D419" s="6" t="inlineStr">
        <is>
          <t>month</t>
        </is>
      </c>
      <c r="E419" s="6" t="inlineStr">
        <is>
          <t>ENERGY_TO_ARGENTINA</t>
        </is>
      </c>
      <c r="F419" s="6" t="inlineStr">
        <is>
          <t>YACYRETA</t>
        </is>
      </c>
      <c r="G419" s="6" t="inlineStr">
        <is>
          <t>YACYRETA</t>
        </is>
      </c>
      <c r="H419" s="6" t="inlineStr">
        <is>
          <t>SADI</t>
        </is>
      </c>
      <c r="I419" s="8" t="n">
        <v>896324</v>
      </c>
      <c r="J419" s="6" t="inlineStr">
        <is>
          <t>MWh</t>
        </is>
      </c>
      <c r="K419" s="8" t="n">
        <v>896324</v>
      </c>
      <c r="L419" s="6" t="inlineStr">
        <is>
          <t>MWh</t>
        </is>
      </c>
      <c r="M419" s="6" t="inlineStr">
        <is>
          <t>EBY</t>
        </is>
      </c>
      <c r="N419" s="6" t="inlineStr">
        <is>
          <t>OFFICIAL_PRIMARY</t>
        </is>
      </c>
      <c r="O419" s="9" t="inlineStr">
        <is>
          <t>OFFICIAL_AGGREGATE</t>
        </is>
      </c>
      <c r="P419" s="8" t="n">
        <v>1</v>
      </c>
      <c r="Q419" s="8" t="n">
        <v>50</v>
      </c>
      <c r="R419" s="7" t="inlineStr">
        <is>
          <t>https://www.eby.gov.py/wp-content/uploads/2019/12/YacyretaEnergiasMensualesDesdePuestaenMarcha.pdf</t>
        </is>
      </c>
      <c r="S419" s="6" t="inlineStr">
        <is>
          <t>EBY-MONTHLY-1994-2012</t>
        </is>
      </c>
      <c r="T419" s="6" t="inlineStr"/>
      <c r="U419" s="4" t="inlineStr">
        <is>
          <t>2026-09-10 23:00:00</t>
        </is>
      </c>
      <c r="V419" s="4" t="inlineStr">
        <is>
          <t>Energia mensual entregada al SADI.</t>
        </is>
      </c>
    </row>
    <row r="420">
      <c r="A420" s="6" t="inlineStr">
        <is>
          <t>R0000424</t>
        </is>
      </c>
      <c r="B420" s="6" t="inlineStr">
        <is>
          <t>2001-12-01</t>
        </is>
      </c>
      <c r="C420" s="6" t="inlineStr">
        <is>
          <t>2001-12-31</t>
        </is>
      </c>
      <c r="D420" s="6" t="inlineStr">
        <is>
          <t>month</t>
        </is>
      </c>
      <c r="E420" s="6" t="inlineStr">
        <is>
          <t>ENERGY_TO_PY</t>
        </is>
      </c>
      <c r="F420" s="6" t="inlineStr">
        <is>
          <t>YACYRETA</t>
        </is>
      </c>
      <c r="G420" s="6" t="inlineStr">
        <is>
          <t>YACYRETA</t>
        </is>
      </c>
      <c r="H420" s="6" t="inlineStr">
        <is>
          <t>SINP</t>
        </is>
      </c>
      <c r="I420" s="8" t="n">
        <v>6011</v>
      </c>
      <c r="J420" s="6" t="inlineStr">
        <is>
          <t>MWh</t>
        </is>
      </c>
      <c r="K420" s="8" t="n">
        <v>6011</v>
      </c>
      <c r="L420" s="6" t="inlineStr">
        <is>
          <t>MWh</t>
        </is>
      </c>
      <c r="M420" s="6" t="inlineStr">
        <is>
          <t>EBY</t>
        </is>
      </c>
      <c r="N420" s="6" t="inlineStr">
        <is>
          <t>OFFICIAL_PRIMARY</t>
        </is>
      </c>
      <c r="O420" s="9" t="inlineStr">
        <is>
          <t>OFFICIAL_AGGREGATE</t>
        </is>
      </c>
      <c r="P420" s="8" t="n">
        <v>1</v>
      </c>
      <c r="Q420" s="8" t="n">
        <v>50</v>
      </c>
      <c r="R420" s="7" t="inlineStr">
        <is>
          <t>https://www.eby.gov.py/wp-content/uploads/2019/12/YacyretaEnergiasMensualesDesdePuestaenMarcha.pdf</t>
        </is>
      </c>
      <c r="S420" s="6" t="inlineStr">
        <is>
          <t>EBY-MONTHLY-1994-2012</t>
        </is>
      </c>
      <c r="T420" s="6" t="inlineStr"/>
      <c r="U420" s="4" t="inlineStr">
        <is>
          <t>2026-09-10 23:00:00</t>
        </is>
      </c>
      <c r="V420" s="4" t="inlineStr">
        <is>
          <t>Energia mensual entregada al SINP.</t>
        </is>
      </c>
    </row>
    <row r="421">
      <c r="A421" s="6" t="inlineStr">
        <is>
          <t>R0000425</t>
        </is>
      </c>
      <c r="B421" s="6" t="inlineStr">
        <is>
          <t>2002-01-01</t>
        </is>
      </c>
      <c r="C421" s="6" t="inlineStr">
        <is>
          <t>2002-01-31</t>
        </is>
      </c>
      <c r="D421" s="6" t="inlineStr">
        <is>
          <t>month</t>
        </is>
      </c>
      <c r="E421" s="6" t="inlineStr">
        <is>
          <t>YACYRETA_NET_ENERGY</t>
        </is>
      </c>
      <c r="F421" s="6" t="inlineStr">
        <is>
          <t>YACYRETA</t>
        </is>
      </c>
      <c r="G421" s="6" t="inlineStr">
        <is>
          <t>YACYRETA</t>
        </is>
      </c>
      <c r="H421" s="6" t="inlineStr">
        <is>
          <t>TOTAL</t>
        </is>
      </c>
      <c r="I421" s="8" t="n">
        <v>948700</v>
      </c>
      <c r="J421" s="6" t="inlineStr">
        <is>
          <t>MWh</t>
        </is>
      </c>
      <c r="K421" s="8" t="n">
        <v>948700</v>
      </c>
      <c r="L421" s="6" t="inlineStr">
        <is>
          <t>MWh</t>
        </is>
      </c>
      <c r="M421" s="6" t="inlineStr">
        <is>
          <t>EBY</t>
        </is>
      </c>
      <c r="N421" s="6" t="inlineStr">
        <is>
          <t>OFFICIAL_PRIMARY</t>
        </is>
      </c>
      <c r="O421" s="9" t="inlineStr">
        <is>
          <t>OFFICIAL_AGGREGATE</t>
        </is>
      </c>
      <c r="P421" s="8" t="n">
        <v>1</v>
      </c>
      <c r="Q421" s="8" t="n">
        <v>50</v>
      </c>
      <c r="R421" s="7" t="inlineStr">
        <is>
          <t>https://www.eby.gov.py/wp-content/uploads/2019/12/YacyretaEnergiasMensualesDesdePuestaenMarcha.pdf</t>
        </is>
      </c>
      <c r="S421" s="6" t="inlineStr">
        <is>
          <t>EBY-MONTHLY-1994-2012</t>
        </is>
      </c>
      <c r="T421" s="6" t="inlineStr"/>
      <c r="U421" s="4" t="inlineStr">
        <is>
          <t>2026-09-10 23:00:00</t>
        </is>
      </c>
      <c r="V421" s="4" t="inlineStr">
        <is>
          <t>Energia mensual Yacyreta desde puesta en marcha.</t>
        </is>
      </c>
    </row>
    <row r="422">
      <c r="A422" s="6" t="inlineStr">
        <is>
          <t>R0000426</t>
        </is>
      </c>
      <c r="B422" s="6" t="inlineStr">
        <is>
          <t>2002-01-01</t>
        </is>
      </c>
      <c r="C422" s="6" t="inlineStr">
        <is>
          <t>2002-01-31</t>
        </is>
      </c>
      <c r="D422" s="6" t="inlineStr">
        <is>
          <t>month</t>
        </is>
      </c>
      <c r="E422" s="6" t="inlineStr">
        <is>
          <t>ENERGY_TO_ARGENTINA</t>
        </is>
      </c>
      <c r="F422" s="6" t="inlineStr">
        <is>
          <t>YACYRETA</t>
        </is>
      </c>
      <c r="G422" s="6" t="inlineStr">
        <is>
          <t>YACYRETA</t>
        </is>
      </c>
      <c r="H422" s="6" t="inlineStr">
        <is>
          <t>SADI</t>
        </is>
      </c>
      <c r="I422" s="8" t="n">
        <v>946880</v>
      </c>
      <c r="J422" s="6" t="inlineStr">
        <is>
          <t>MWh</t>
        </is>
      </c>
      <c r="K422" s="8" t="n">
        <v>946880</v>
      </c>
      <c r="L422" s="6" t="inlineStr">
        <is>
          <t>MWh</t>
        </is>
      </c>
      <c r="M422" s="6" t="inlineStr">
        <is>
          <t>EBY</t>
        </is>
      </c>
      <c r="N422" s="6" t="inlineStr">
        <is>
          <t>OFFICIAL_PRIMARY</t>
        </is>
      </c>
      <c r="O422" s="9" t="inlineStr">
        <is>
          <t>OFFICIAL_AGGREGATE</t>
        </is>
      </c>
      <c r="P422" s="8" t="n">
        <v>1</v>
      </c>
      <c r="Q422" s="8" t="n">
        <v>50</v>
      </c>
      <c r="R422" s="7" t="inlineStr">
        <is>
          <t>https://www.eby.gov.py/wp-content/uploads/2019/12/YacyretaEnergiasMensualesDesdePuestaenMarcha.pdf</t>
        </is>
      </c>
      <c r="S422" s="6" t="inlineStr">
        <is>
          <t>EBY-MONTHLY-1994-2012</t>
        </is>
      </c>
      <c r="T422" s="6" t="inlineStr"/>
      <c r="U422" s="4" t="inlineStr">
        <is>
          <t>2026-09-10 23:00:00</t>
        </is>
      </c>
      <c r="V422" s="4" t="inlineStr">
        <is>
          <t>Energia mensual entregada al SADI.</t>
        </is>
      </c>
    </row>
    <row r="423">
      <c r="A423" s="6" t="inlineStr">
        <is>
          <t>R0000427</t>
        </is>
      </c>
      <c r="B423" s="6" t="inlineStr">
        <is>
          <t>2002-01-01</t>
        </is>
      </c>
      <c r="C423" s="6" t="inlineStr">
        <is>
          <t>2002-01-31</t>
        </is>
      </c>
      <c r="D423" s="6" t="inlineStr">
        <is>
          <t>month</t>
        </is>
      </c>
      <c r="E423" s="6" t="inlineStr">
        <is>
          <t>ENERGY_TO_PY</t>
        </is>
      </c>
      <c r="F423" s="6" t="inlineStr">
        <is>
          <t>YACYRETA</t>
        </is>
      </c>
      <c r="G423" s="6" t="inlineStr">
        <is>
          <t>YACYRETA</t>
        </is>
      </c>
      <c r="H423" s="6" t="inlineStr">
        <is>
          <t>SINP</t>
        </is>
      </c>
      <c r="I423" s="8" t="n">
        <v>1820</v>
      </c>
      <c r="J423" s="6" t="inlineStr">
        <is>
          <t>MWh</t>
        </is>
      </c>
      <c r="K423" s="8" t="n">
        <v>1820</v>
      </c>
      <c r="L423" s="6" t="inlineStr">
        <is>
          <t>MWh</t>
        </is>
      </c>
      <c r="M423" s="6" t="inlineStr">
        <is>
          <t>EBY</t>
        </is>
      </c>
      <c r="N423" s="6" t="inlineStr">
        <is>
          <t>OFFICIAL_PRIMARY</t>
        </is>
      </c>
      <c r="O423" s="9" t="inlineStr">
        <is>
          <t>OFFICIAL_AGGREGATE</t>
        </is>
      </c>
      <c r="P423" s="8" t="n">
        <v>1</v>
      </c>
      <c r="Q423" s="8" t="n">
        <v>50</v>
      </c>
      <c r="R423" s="7" t="inlineStr">
        <is>
          <t>https://www.eby.gov.py/wp-content/uploads/2019/12/YacyretaEnergiasMensualesDesdePuestaenMarcha.pdf</t>
        </is>
      </c>
      <c r="S423" s="6" t="inlineStr">
        <is>
          <t>EBY-MONTHLY-1994-2012</t>
        </is>
      </c>
      <c r="T423" s="6" t="inlineStr"/>
      <c r="U423" s="4" t="inlineStr">
        <is>
          <t>2026-09-10 23:00:00</t>
        </is>
      </c>
      <c r="V423" s="4" t="inlineStr">
        <is>
          <t>Energia mensual entregada al SINP.</t>
        </is>
      </c>
    </row>
    <row r="424">
      <c r="A424" s="6" t="inlineStr">
        <is>
          <t>R0000428</t>
        </is>
      </c>
      <c r="B424" s="6" t="inlineStr">
        <is>
          <t>2002-02-01</t>
        </is>
      </c>
      <c r="C424" s="6" t="inlineStr">
        <is>
          <t>2002-02-28</t>
        </is>
      </c>
      <c r="D424" s="6" t="inlineStr">
        <is>
          <t>month</t>
        </is>
      </c>
      <c r="E424" s="6" t="inlineStr">
        <is>
          <t>YACYRETA_NET_ENERGY</t>
        </is>
      </c>
      <c r="F424" s="6" t="inlineStr">
        <is>
          <t>YACYRETA</t>
        </is>
      </c>
      <c r="G424" s="6" t="inlineStr">
        <is>
          <t>YACYRETA</t>
        </is>
      </c>
      <c r="H424" s="6" t="inlineStr">
        <is>
          <t>TOTAL</t>
        </is>
      </c>
      <c r="I424" s="8" t="n">
        <v>1068235</v>
      </c>
      <c r="J424" s="6" t="inlineStr">
        <is>
          <t>MWh</t>
        </is>
      </c>
      <c r="K424" s="8" t="n">
        <v>1068235</v>
      </c>
      <c r="L424" s="6" t="inlineStr">
        <is>
          <t>MWh</t>
        </is>
      </c>
      <c r="M424" s="6" t="inlineStr">
        <is>
          <t>EBY</t>
        </is>
      </c>
      <c r="N424" s="6" t="inlineStr">
        <is>
          <t>OFFICIAL_PRIMARY</t>
        </is>
      </c>
      <c r="O424" s="9" t="inlineStr">
        <is>
          <t>OFFICIAL_AGGREGATE</t>
        </is>
      </c>
      <c r="P424" s="8" t="n">
        <v>1</v>
      </c>
      <c r="Q424" s="8" t="n">
        <v>50</v>
      </c>
      <c r="R424" s="7" t="inlineStr">
        <is>
          <t>https://www.eby.gov.py/wp-content/uploads/2019/12/YacyretaEnergiasMensualesDesdePuestaenMarcha.pdf</t>
        </is>
      </c>
      <c r="S424" s="6" t="inlineStr">
        <is>
          <t>EBY-MONTHLY-1994-2012</t>
        </is>
      </c>
      <c r="T424" s="6" t="inlineStr"/>
      <c r="U424" s="4" t="inlineStr">
        <is>
          <t>2026-09-10 23:00:00</t>
        </is>
      </c>
      <c r="V424" s="4" t="inlineStr">
        <is>
          <t>Energia mensual Yacyreta desde puesta en marcha.</t>
        </is>
      </c>
    </row>
    <row r="425">
      <c r="A425" s="6" t="inlineStr">
        <is>
          <t>R0000429</t>
        </is>
      </c>
      <c r="B425" s="6" t="inlineStr">
        <is>
          <t>2002-02-01</t>
        </is>
      </c>
      <c r="C425" s="6" t="inlineStr">
        <is>
          <t>2002-02-28</t>
        </is>
      </c>
      <c r="D425" s="6" t="inlineStr">
        <is>
          <t>month</t>
        </is>
      </c>
      <c r="E425" s="6" t="inlineStr">
        <is>
          <t>ENERGY_TO_ARGENTINA</t>
        </is>
      </c>
      <c r="F425" s="6" t="inlineStr">
        <is>
          <t>YACYRETA</t>
        </is>
      </c>
      <c r="G425" s="6" t="inlineStr">
        <is>
          <t>YACYRETA</t>
        </is>
      </c>
      <c r="H425" s="6" t="inlineStr">
        <is>
          <t>SADI</t>
        </is>
      </c>
      <c r="I425" s="8" t="n">
        <v>1066034</v>
      </c>
      <c r="J425" s="6" t="inlineStr">
        <is>
          <t>MWh</t>
        </is>
      </c>
      <c r="K425" s="8" t="n">
        <v>1066034</v>
      </c>
      <c r="L425" s="6" t="inlineStr">
        <is>
          <t>MWh</t>
        </is>
      </c>
      <c r="M425" s="6" t="inlineStr">
        <is>
          <t>EBY</t>
        </is>
      </c>
      <c r="N425" s="6" t="inlineStr">
        <is>
          <t>OFFICIAL_PRIMARY</t>
        </is>
      </c>
      <c r="O425" s="9" t="inlineStr">
        <is>
          <t>OFFICIAL_AGGREGATE</t>
        </is>
      </c>
      <c r="P425" s="8" t="n">
        <v>1</v>
      </c>
      <c r="Q425" s="8" t="n">
        <v>50</v>
      </c>
      <c r="R425" s="7" t="inlineStr">
        <is>
          <t>https://www.eby.gov.py/wp-content/uploads/2019/12/YacyretaEnergiasMensualesDesdePuestaenMarcha.pdf</t>
        </is>
      </c>
      <c r="S425" s="6" t="inlineStr">
        <is>
          <t>EBY-MONTHLY-1994-2012</t>
        </is>
      </c>
      <c r="T425" s="6" t="inlineStr"/>
      <c r="U425" s="4" t="inlineStr">
        <is>
          <t>2026-09-10 23:00:00</t>
        </is>
      </c>
      <c r="V425" s="4" t="inlineStr">
        <is>
          <t>Energia mensual entregada al SADI.</t>
        </is>
      </c>
    </row>
    <row r="426">
      <c r="A426" s="6" t="inlineStr">
        <is>
          <t>R0000430</t>
        </is>
      </c>
      <c r="B426" s="6" t="inlineStr">
        <is>
          <t>2002-02-01</t>
        </is>
      </c>
      <c r="C426" s="6" t="inlineStr">
        <is>
          <t>2002-02-28</t>
        </is>
      </c>
      <c r="D426" s="6" t="inlineStr">
        <is>
          <t>month</t>
        </is>
      </c>
      <c r="E426" s="6" t="inlineStr">
        <is>
          <t>ENERGY_TO_PY</t>
        </is>
      </c>
      <c r="F426" s="6" t="inlineStr">
        <is>
          <t>YACYRETA</t>
        </is>
      </c>
      <c r="G426" s="6" t="inlineStr">
        <is>
          <t>YACYRETA</t>
        </is>
      </c>
      <c r="H426" s="6" t="inlineStr">
        <is>
          <t>SINP</t>
        </is>
      </c>
      <c r="I426" s="8" t="n">
        <v>2201</v>
      </c>
      <c r="J426" s="6" t="inlineStr">
        <is>
          <t>MWh</t>
        </is>
      </c>
      <c r="K426" s="8" t="n">
        <v>2201</v>
      </c>
      <c r="L426" s="6" t="inlineStr">
        <is>
          <t>MWh</t>
        </is>
      </c>
      <c r="M426" s="6" t="inlineStr">
        <is>
          <t>EBY</t>
        </is>
      </c>
      <c r="N426" s="6" t="inlineStr">
        <is>
          <t>OFFICIAL_PRIMARY</t>
        </is>
      </c>
      <c r="O426" s="9" t="inlineStr">
        <is>
          <t>OFFICIAL_AGGREGATE</t>
        </is>
      </c>
      <c r="P426" s="8" t="n">
        <v>1</v>
      </c>
      <c r="Q426" s="8" t="n">
        <v>50</v>
      </c>
      <c r="R426" s="7" t="inlineStr">
        <is>
          <t>https://www.eby.gov.py/wp-content/uploads/2019/12/YacyretaEnergiasMensualesDesdePuestaenMarcha.pdf</t>
        </is>
      </c>
      <c r="S426" s="6" t="inlineStr">
        <is>
          <t>EBY-MONTHLY-1994-2012</t>
        </is>
      </c>
      <c r="T426" s="6" t="inlineStr"/>
      <c r="U426" s="4" t="inlineStr">
        <is>
          <t>2026-09-10 23:00:00</t>
        </is>
      </c>
      <c r="V426" s="4" t="inlineStr">
        <is>
          <t>Energia mensual entregada al SINP.</t>
        </is>
      </c>
    </row>
    <row r="427">
      <c r="A427" s="6" t="inlineStr">
        <is>
          <t>R0000431</t>
        </is>
      </c>
      <c r="B427" s="6" t="inlineStr">
        <is>
          <t>2002-03-01</t>
        </is>
      </c>
      <c r="C427" s="6" t="inlineStr">
        <is>
          <t>2002-03-31</t>
        </is>
      </c>
      <c r="D427" s="6" t="inlineStr">
        <is>
          <t>month</t>
        </is>
      </c>
      <c r="E427" s="6" t="inlineStr">
        <is>
          <t>YACYRETA_NET_ENERGY</t>
        </is>
      </c>
      <c r="F427" s="6" t="inlineStr">
        <is>
          <t>YACYRETA</t>
        </is>
      </c>
      <c r="G427" s="6" t="inlineStr">
        <is>
          <t>YACYRETA</t>
        </is>
      </c>
      <c r="H427" s="6" t="inlineStr">
        <is>
          <t>TOTAL</t>
        </is>
      </c>
      <c r="I427" s="8" t="n">
        <v>1106161</v>
      </c>
      <c r="J427" s="6" t="inlineStr">
        <is>
          <t>MWh</t>
        </is>
      </c>
      <c r="K427" s="8" t="n">
        <v>1106161</v>
      </c>
      <c r="L427" s="6" t="inlineStr">
        <is>
          <t>MWh</t>
        </is>
      </c>
      <c r="M427" s="6" t="inlineStr">
        <is>
          <t>EBY</t>
        </is>
      </c>
      <c r="N427" s="6" t="inlineStr">
        <is>
          <t>OFFICIAL_PRIMARY</t>
        </is>
      </c>
      <c r="O427" s="9" t="inlineStr">
        <is>
          <t>OFFICIAL_AGGREGATE</t>
        </is>
      </c>
      <c r="P427" s="8" t="n">
        <v>1</v>
      </c>
      <c r="Q427" s="8" t="n">
        <v>50</v>
      </c>
      <c r="R427" s="7" t="inlineStr">
        <is>
          <t>https://www.eby.gov.py/wp-content/uploads/2019/12/YacyretaEnergiasMensualesDesdePuestaenMarcha.pdf</t>
        </is>
      </c>
      <c r="S427" s="6" t="inlineStr">
        <is>
          <t>EBY-MONTHLY-1994-2012</t>
        </is>
      </c>
      <c r="T427" s="6" t="inlineStr"/>
      <c r="U427" s="4" t="inlineStr">
        <is>
          <t>2026-09-10 23:00:00</t>
        </is>
      </c>
      <c r="V427" s="4" t="inlineStr">
        <is>
          <t>Energia mensual Yacyreta desde puesta en marcha.</t>
        </is>
      </c>
    </row>
    <row r="428">
      <c r="A428" s="6" t="inlineStr">
        <is>
          <t>R0000432</t>
        </is>
      </c>
      <c r="B428" s="6" t="inlineStr">
        <is>
          <t>2002-03-01</t>
        </is>
      </c>
      <c r="C428" s="6" t="inlineStr">
        <is>
          <t>2002-03-31</t>
        </is>
      </c>
      <c r="D428" s="6" t="inlineStr">
        <is>
          <t>month</t>
        </is>
      </c>
      <c r="E428" s="6" t="inlineStr">
        <is>
          <t>ENERGY_TO_ARGENTINA</t>
        </is>
      </c>
      <c r="F428" s="6" t="inlineStr">
        <is>
          <t>YACYRETA</t>
        </is>
      </c>
      <c r="G428" s="6" t="inlineStr">
        <is>
          <t>YACYRETA</t>
        </is>
      </c>
      <c r="H428" s="6" t="inlineStr">
        <is>
          <t>SADI</t>
        </is>
      </c>
      <c r="I428" s="8" t="n">
        <v>1098658</v>
      </c>
      <c r="J428" s="6" t="inlineStr">
        <is>
          <t>MWh</t>
        </is>
      </c>
      <c r="K428" s="8" t="n">
        <v>1098658</v>
      </c>
      <c r="L428" s="6" t="inlineStr">
        <is>
          <t>MWh</t>
        </is>
      </c>
      <c r="M428" s="6" t="inlineStr">
        <is>
          <t>EBY</t>
        </is>
      </c>
      <c r="N428" s="6" t="inlineStr">
        <is>
          <t>OFFICIAL_PRIMARY</t>
        </is>
      </c>
      <c r="O428" s="9" t="inlineStr">
        <is>
          <t>OFFICIAL_AGGREGATE</t>
        </is>
      </c>
      <c r="P428" s="8" t="n">
        <v>1</v>
      </c>
      <c r="Q428" s="8" t="n">
        <v>50</v>
      </c>
      <c r="R428" s="7" t="inlineStr">
        <is>
          <t>https://www.eby.gov.py/wp-content/uploads/2019/12/YacyretaEnergiasMensualesDesdePuestaenMarcha.pdf</t>
        </is>
      </c>
      <c r="S428" s="6" t="inlineStr">
        <is>
          <t>EBY-MONTHLY-1994-2012</t>
        </is>
      </c>
      <c r="T428" s="6" t="inlineStr"/>
      <c r="U428" s="4" t="inlineStr">
        <is>
          <t>2026-09-10 23:00:00</t>
        </is>
      </c>
      <c r="V428" s="4" t="inlineStr">
        <is>
          <t>Energia mensual entregada al SADI.</t>
        </is>
      </c>
    </row>
    <row r="429">
      <c r="A429" s="6" t="inlineStr">
        <is>
          <t>R0000433</t>
        </is>
      </c>
      <c r="B429" s="6" t="inlineStr">
        <is>
          <t>2002-03-01</t>
        </is>
      </c>
      <c r="C429" s="6" t="inlineStr">
        <is>
          <t>2002-03-31</t>
        </is>
      </c>
      <c r="D429" s="6" t="inlineStr">
        <is>
          <t>month</t>
        </is>
      </c>
      <c r="E429" s="6" t="inlineStr">
        <is>
          <t>ENERGY_TO_PY</t>
        </is>
      </c>
      <c r="F429" s="6" t="inlineStr">
        <is>
          <t>YACYRETA</t>
        </is>
      </c>
      <c r="G429" s="6" t="inlineStr">
        <is>
          <t>YACYRETA</t>
        </is>
      </c>
      <c r="H429" s="6" t="inlineStr">
        <is>
          <t>SINP</t>
        </is>
      </c>
      <c r="I429" s="8" t="n">
        <v>7503</v>
      </c>
      <c r="J429" s="6" t="inlineStr">
        <is>
          <t>MWh</t>
        </is>
      </c>
      <c r="K429" s="8" t="n">
        <v>7503</v>
      </c>
      <c r="L429" s="6" t="inlineStr">
        <is>
          <t>MWh</t>
        </is>
      </c>
      <c r="M429" s="6" t="inlineStr">
        <is>
          <t>EBY</t>
        </is>
      </c>
      <c r="N429" s="6" t="inlineStr">
        <is>
          <t>OFFICIAL_PRIMARY</t>
        </is>
      </c>
      <c r="O429" s="9" t="inlineStr">
        <is>
          <t>OFFICIAL_AGGREGATE</t>
        </is>
      </c>
      <c r="P429" s="8" t="n">
        <v>1</v>
      </c>
      <c r="Q429" s="8" t="n">
        <v>50</v>
      </c>
      <c r="R429" s="7" t="inlineStr">
        <is>
          <t>https://www.eby.gov.py/wp-content/uploads/2019/12/YacyretaEnergiasMensualesDesdePuestaenMarcha.pdf</t>
        </is>
      </c>
      <c r="S429" s="6" t="inlineStr">
        <is>
          <t>EBY-MONTHLY-1994-2012</t>
        </is>
      </c>
      <c r="T429" s="6" t="inlineStr"/>
      <c r="U429" s="4" t="inlineStr">
        <is>
          <t>2026-09-10 23:00:00</t>
        </is>
      </c>
      <c r="V429" s="4" t="inlineStr">
        <is>
          <t>Energia mensual entregada al SINP.</t>
        </is>
      </c>
    </row>
    <row r="430">
      <c r="A430" s="6" t="inlineStr">
        <is>
          <t>R0000434</t>
        </is>
      </c>
      <c r="B430" s="6" t="inlineStr">
        <is>
          <t>2002-04-01</t>
        </is>
      </c>
      <c r="C430" s="6" t="inlineStr">
        <is>
          <t>2002-04-30</t>
        </is>
      </c>
      <c r="D430" s="6" t="inlineStr">
        <is>
          <t>month</t>
        </is>
      </c>
      <c r="E430" s="6" t="inlineStr">
        <is>
          <t>YACYRETA_NET_ENERGY</t>
        </is>
      </c>
      <c r="F430" s="6" t="inlineStr">
        <is>
          <t>YACYRETA</t>
        </is>
      </c>
      <c r="G430" s="6" t="inlineStr">
        <is>
          <t>YACYRETA</t>
        </is>
      </c>
      <c r="H430" s="6" t="inlineStr">
        <is>
          <t>TOTAL</t>
        </is>
      </c>
      <c r="I430" s="8" t="n">
        <v>972585</v>
      </c>
      <c r="J430" s="6" t="inlineStr">
        <is>
          <t>MWh</t>
        </is>
      </c>
      <c r="K430" s="8" t="n">
        <v>972585</v>
      </c>
      <c r="L430" s="6" t="inlineStr">
        <is>
          <t>MWh</t>
        </is>
      </c>
      <c r="M430" s="6" t="inlineStr">
        <is>
          <t>EBY</t>
        </is>
      </c>
      <c r="N430" s="6" t="inlineStr">
        <is>
          <t>OFFICIAL_PRIMARY</t>
        </is>
      </c>
      <c r="O430" s="9" t="inlineStr">
        <is>
          <t>OFFICIAL_AGGREGATE</t>
        </is>
      </c>
      <c r="P430" s="8" t="n">
        <v>1</v>
      </c>
      <c r="Q430" s="8" t="n">
        <v>50</v>
      </c>
      <c r="R430" s="7" t="inlineStr">
        <is>
          <t>https://www.eby.gov.py/wp-content/uploads/2019/12/YacyretaEnergiasMensualesDesdePuestaenMarcha.pdf</t>
        </is>
      </c>
      <c r="S430" s="6" t="inlineStr">
        <is>
          <t>EBY-MONTHLY-1994-2012</t>
        </is>
      </c>
      <c r="T430" s="6" t="inlineStr"/>
      <c r="U430" s="4" t="inlineStr">
        <is>
          <t>2026-09-10 23:00:00</t>
        </is>
      </c>
      <c r="V430" s="4" t="inlineStr">
        <is>
          <t>Energia mensual Yacyreta desde puesta en marcha.</t>
        </is>
      </c>
    </row>
    <row r="431">
      <c r="A431" s="6" t="inlineStr">
        <is>
          <t>R0000435</t>
        </is>
      </c>
      <c r="B431" s="6" t="inlineStr">
        <is>
          <t>2002-04-01</t>
        </is>
      </c>
      <c r="C431" s="6" t="inlineStr">
        <is>
          <t>2002-04-30</t>
        </is>
      </c>
      <c r="D431" s="6" t="inlineStr">
        <is>
          <t>month</t>
        </is>
      </c>
      <c r="E431" s="6" t="inlineStr">
        <is>
          <t>ENERGY_TO_ARGENTINA</t>
        </is>
      </c>
      <c r="F431" s="6" t="inlineStr">
        <is>
          <t>YACYRETA</t>
        </is>
      </c>
      <c r="G431" s="6" t="inlineStr">
        <is>
          <t>YACYRETA</t>
        </is>
      </c>
      <c r="H431" s="6" t="inlineStr">
        <is>
          <t>SADI</t>
        </is>
      </c>
      <c r="I431" s="8" t="n">
        <v>966150</v>
      </c>
      <c r="J431" s="6" t="inlineStr">
        <is>
          <t>MWh</t>
        </is>
      </c>
      <c r="K431" s="8" t="n">
        <v>966150</v>
      </c>
      <c r="L431" s="6" t="inlineStr">
        <is>
          <t>MWh</t>
        </is>
      </c>
      <c r="M431" s="6" t="inlineStr">
        <is>
          <t>EBY</t>
        </is>
      </c>
      <c r="N431" s="6" t="inlineStr">
        <is>
          <t>OFFICIAL_PRIMARY</t>
        </is>
      </c>
      <c r="O431" s="9" t="inlineStr">
        <is>
          <t>OFFICIAL_AGGREGATE</t>
        </is>
      </c>
      <c r="P431" s="8" t="n">
        <v>1</v>
      </c>
      <c r="Q431" s="8" t="n">
        <v>50</v>
      </c>
      <c r="R431" s="7" t="inlineStr">
        <is>
          <t>https://www.eby.gov.py/wp-content/uploads/2019/12/YacyretaEnergiasMensualesDesdePuestaenMarcha.pdf</t>
        </is>
      </c>
      <c r="S431" s="6" t="inlineStr">
        <is>
          <t>EBY-MONTHLY-1994-2012</t>
        </is>
      </c>
      <c r="T431" s="6" t="inlineStr"/>
      <c r="U431" s="4" t="inlineStr">
        <is>
          <t>2026-09-10 23:00:00</t>
        </is>
      </c>
      <c r="V431" s="4" t="inlineStr">
        <is>
          <t>Energia mensual entregada al SADI.</t>
        </is>
      </c>
    </row>
    <row r="432">
      <c r="A432" s="6" t="inlineStr">
        <is>
          <t>R0000436</t>
        </is>
      </c>
      <c r="B432" s="6" t="inlineStr">
        <is>
          <t>2002-04-01</t>
        </is>
      </c>
      <c r="C432" s="6" t="inlineStr">
        <is>
          <t>2002-04-30</t>
        </is>
      </c>
      <c r="D432" s="6" t="inlineStr">
        <is>
          <t>month</t>
        </is>
      </c>
      <c r="E432" s="6" t="inlineStr">
        <is>
          <t>ENERGY_TO_PY</t>
        </is>
      </c>
      <c r="F432" s="6" t="inlineStr">
        <is>
          <t>YACYRETA</t>
        </is>
      </c>
      <c r="G432" s="6" t="inlineStr">
        <is>
          <t>YACYRETA</t>
        </is>
      </c>
      <c r="H432" s="6" t="inlineStr">
        <is>
          <t>SINP</t>
        </is>
      </c>
      <c r="I432" s="8" t="n">
        <v>6435</v>
      </c>
      <c r="J432" s="6" t="inlineStr">
        <is>
          <t>MWh</t>
        </is>
      </c>
      <c r="K432" s="8" t="n">
        <v>6435</v>
      </c>
      <c r="L432" s="6" t="inlineStr">
        <is>
          <t>MWh</t>
        </is>
      </c>
      <c r="M432" s="6" t="inlineStr">
        <is>
          <t>EBY</t>
        </is>
      </c>
      <c r="N432" s="6" t="inlineStr">
        <is>
          <t>OFFICIAL_PRIMARY</t>
        </is>
      </c>
      <c r="O432" s="9" t="inlineStr">
        <is>
          <t>OFFICIAL_AGGREGATE</t>
        </is>
      </c>
      <c r="P432" s="8" t="n">
        <v>1</v>
      </c>
      <c r="Q432" s="8" t="n">
        <v>50</v>
      </c>
      <c r="R432" s="7" t="inlineStr">
        <is>
          <t>https://www.eby.gov.py/wp-content/uploads/2019/12/YacyretaEnergiasMensualesDesdePuestaenMarcha.pdf</t>
        </is>
      </c>
      <c r="S432" s="6" t="inlineStr">
        <is>
          <t>EBY-MONTHLY-1994-2012</t>
        </is>
      </c>
      <c r="T432" s="6" t="inlineStr"/>
      <c r="U432" s="4" t="inlineStr">
        <is>
          <t>2026-09-10 23:00:00</t>
        </is>
      </c>
      <c r="V432" s="4" t="inlineStr">
        <is>
          <t>Energia mensual entregada al SINP.</t>
        </is>
      </c>
    </row>
    <row r="433">
      <c r="A433" s="6" t="inlineStr">
        <is>
          <t>R0000437</t>
        </is>
      </c>
      <c r="B433" s="6" t="inlineStr">
        <is>
          <t>2002-05-01</t>
        </is>
      </c>
      <c r="C433" s="6" t="inlineStr">
        <is>
          <t>2002-05-31</t>
        </is>
      </c>
      <c r="D433" s="6" t="inlineStr">
        <is>
          <t>month</t>
        </is>
      </c>
      <c r="E433" s="6" t="inlineStr">
        <is>
          <t>YACYRETA_NET_ENERGY</t>
        </is>
      </c>
      <c r="F433" s="6" t="inlineStr">
        <is>
          <t>YACYRETA</t>
        </is>
      </c>
      <c r="G433" s="6" t="inlineStr">
        <is>
          <t>YACYRETA</t>
        </is>
      </c>
      <c r="H433" s="6" t="inlineStr">
        <is>
          <t>TOTAL</t>
        </is>
      </c>
      <c r="I433" s="8" t="n">
        <v>1068197</v>
      </c>
      <c r="J433" s="6" t="inlineStr">
        <is>
          <t>MWh</t>
        </is>
      </c>
      <c r="K433" s="8" t="n">
        <v>1068197</v>
      </c>
      <c r="L433" s="6" t="inlineStr">
        <is>
          <t>MWh</t>
        </is>
      </c>
      <c r="M433" s="6" t="inlineStr">
        <is>
          <t>EBY</t>
        </is>
      </c>
      <c r="N433" s="6" t="inlineStr">
        <is>
          <t>OFFICIAL_PRIMARY</t>
        </is>
      </c>
      <c r="O433" s="9" t="inlineStr">
        <is>
          <t>OFFICIAL_AGGREGATE</t>
        </is>
      </c>
      <c r="P433" s="8" t="n">
        <v>1</v>
      </c>
      <c r="Q433" s="8" t="n">
        <v>50</v>
      </c>
      <c r="R433" s="7" t="inlineStr">
        <is>
          <t>https://www.eby.gov.py/wp-content/uploads/2019/12/YacyretaEnergiasMensualesDesdePuestaenMarcha.pdf</t>
        </is>
      </c>
      <c r="S433" s="6" t="inlineStr">
        <is>
          <t>EBY-MONTHLY-1994-2012</t>
        </is>
      </c>
      <c r="T433" s="6" t="inlineStr"/>
      <c r="U433" s="4" t="inlineStr">
        <is>
          <t>2026-09-10 23:00:00</t>
        </is>
      </c>
      <c r="V433" s="4" t="inlineStr">
        <is>
          <t>Energia mensual Yacyreta desde puesta en marcha.</t>
        </is>
      </c>
    </row>
    <row r="434">
      <c r="A434" s="6" t="inlineStr">
        <is>
          <t>R0000438</t>
        </is>
      </c>
      <c r="B434" s="6" t="inlineStr">
        <is>
          <t>2002-05-01</t>
        </is>
      </c>
      <c r="C434" s="6" t="inlineStr">
        <is>
          <t>2002-05-31</t>
        </is>
      </c>
      <c r="D434" s="6" t="inlineStr">
        <is>
          <t>month</t>
        </is>
      </c>
      <c r="E434" s="6" t="inlineStr">
        <is>
          <t>ENERGY_TO_ARGENTINA</t>
        </is>
      </c>
      <c r="F434" s="6" t="inlineStr">
        <is>
          <t>YACYRETA</t>
        </is>
      </c>
      <c r="G434" s="6" t="inlineStr">
        <is>
          <t>YACYRETA</t>
        </is>
      </c>
      <c r="H434" s="6" t="inlineStr">
        <is>
          <t>SADI</t>
        </is>
      </c>
      <c r="I434" s="8" t="n">
        <v>1065520</v>
      </c>
      <c r="J434" s="6" t="inlineStr">
        <is>
          <t>MWh</t>
        </is>
      </c>
      <c r="K434" s="8" t="n">
        <v>1065520</v>
      </c>
      <c r="L434" s="6" t="inlineStr">
        <is>
          <t>MWh</t>
        </is>
      </c>
      <c r="M434" s="6" t="inlineStr">
        <is>
          <t>EBY</t>
        </is>
      </c>
      <c r="N434" s="6" t="inlineStr">
        <is>
          <t>OFFICIAL_PRIMARY</t>
        </is>
      </c>
      <c r="O434" s="9" t="inlineStr">
        <is>
          <t>OFFICIAL_AGGREGATE</t>
        </is>
      </c>
      <c r="P434" s="8" t="n">
        <v>1</v>
      </c>
      <c r="Q434" s="8" t="n">
        <v>50</v>
      </c>
      <c r="R434" s="7" t="inlineStr">
        <is>
          <t>https://www.eby.gov.py/wp-content/uploads/2019/12/YacyretaEnergiasMensualesDesdePuestaenMarcha.pdf</t>
        </is>
      </c>
      <c r="S434" s="6" t="inlineStr">
        <is>
          <t>EBY-MONTHLY-1994-2012</t>
        </is>
      </c>
      <c r="T434" s="6" t="inlineStr"/>
      <c r="U434" s="4" t="inlineStr">
        <is>
          <t>2026-09-10 23:00:00</t>
        </is>
      </c>
      <c r="V434" s="4" t="inlineStr">
        <is>
          <t>Energia mensual entregada al SADI.</t>
        </is>
      </c>
    </row>
    <row r="435">
      <c r="A435" s="6" t="inlineStr">
        <is>
          <t>R0000439</t>
        </is>
      </c>
      <c r="B435" s="6" t="inlineStr">
        <is>
          <t>2002-05-01</t>
        </is>
      </c>
      <c r="C435" s="6" t="inlineStr">
        <is>
          <t>2002-05-31</t>
        </is>
      </c>
      <c r="D435" s="6" t="inlineStr">
        <is>
          <t>month</t>
        </is>
      </c>
      <c r="E435" s="6" t="inlineStr">
        <is>
          <t>ENERGY_TO_PY</t>
        </is>
      </c>
      <c r="F435" s="6" t="inlineStr">
        <is>
          <t>YACYRETA</t>
        </is>
      </c>
      <c r="G435" s="6" t="inlineStr">
        <is>
          <t>YACYRETA</t>
        </is>
      </c>
      <c r="H435" s="6" t="inlineStr">
        <is>
          <t>SINP</t>
        </is>
      </c>
      <c r="I435" s="8" t="n">
        <v>2677</v>
      </c>
      <c r="J435" s="6" t="inlineStr">
        <is>
          <t>MWh</t>
        </is>
      </c>
      <c r="K435" s="8" t="n">
        <v>2677</v>
      </c>
      <c r="L435" s="6" t="inlineStr">
        <is>
          <t>MWh</t>
        </is>
      </c>
      <c r="M435" s="6" t="inlineStr">
        <is>
          <t>EBY</t>
        </is>
      </c>
      <c r="N435" s="6" t="inlineStr">
        <is>
          <t>OFFICIAL_PRIMARY</t>
        </is>
      </c>
      <c r="O435" s="9" t="inlineStr">
        <is>
          <t>OFFICIAL_AGGREGATE</t>
        </is>
      </c>
      <c r="P435" s="8" t="n">
        <v>1</v>
      </c>
      <c r="Q435" s="8" t="n">
        <v>50</v>
      </c>
      <c r="R435" s="7" t="inlineStr">
        <is>
          <t>https://www.eby.gov.py/wp-content/uploads/2019/12/YacyretaEnergiasMensualesDesdePuestaenMarcha.pdf</t>
        </is>
      </c>
      <c r="S435" s="6" t="inlineStr">
        <is>
          <t>EBY-MONTHLY-1994-2012</t>
        </is>
      </c>
      <c r="T435" s="6" t="inlineStr"/>
      <c r="U435" s="4" t="inlineStr">
        <is>
          <t>2026-09-10 23:00:00</t>
        </is>
      </c>
      <c r="V435" s="4" t="inlineStr">
        <is>
          <t>Energia mensual entregada al SINP.</t>
        </is>
      </c>
    </row>
    <row r="436">
      <c r="A436" s="6" t="inlineStr">
        <is>
          <t>R0000440</t>
        </is>
      </c>
      <c r="B436" s="6" t="inlineStr">
        <is>
          <t>2002-06-01</t>
        </is>
      </c>
      <c r="C436" s="6" t="inlineStr">
        <is>
          <t>2002-06-30</t>
        </is>
      </c>
      <c r="D436" s="6" t="inlineStr">
        <is>
          <t>month</t>
        </is>
      </c>
      <c r="E436" s="6" t="inlineStr">
        <is>
          <t>YACYRETA_NET_ENERGY</t>
        </is>
      </c>
      <c r="F436" s="6" t="inlineStr">
        <is>
          <t>YACYRETA</t>
        </is>
      </c>
      <c r="G436" s="6" t="inlineStr">
        <is>
          <t>YACYRETA</t>
        </is>
      </c>
      <c r="H436" s="6" t="inlineStr">
        <is>
          <t>TOTAL</t>
        </is>
      </c>
      <c r="I436" s="8" t="n">
        <v>993113</v>
      </c>
      <c r="J436" s="6" t="inlineStr">
        <is>
          <t>MWh</t>
        </is>
      </c>
      <c r="K436" s="8" t="n">
        <v>993113</v>
      </c>
      <c r="L436" s="6" t="inlineStr">
        <is>
          <t>MWh</t>
        </is>
      </c>
      <c r="M436" s="6" t="inlineStr">
        <is>
          <t>EBY</t>
        </is>
      </c>
      <c r="N436" s="6" t="inlineStr">
        <is>
          <t>OFFICIAL_PRIMARY</t>
        </is>
      </c>
      <c r="O436" s="9" t="inlineStr">
        <is>
          <t>OFFICIAL_AGGREGATE</t>
        </is>
      </c>
      <c r="P436" s="8" t="n">
        <v>1</v>
      </c>
      <c r="Q436" s="8" t="n">
        <v>50</v>
      </c>
      <c r="R436" s="7" t="inlineStr">
        <is>
          <t>https://www.eby.gov.py/wp-content/uploads/2019/12/YacyretaEnergiasMensualesDesdePuestaenMarcha.pdf</t>
        </is>
      </c>
      <c r="S436" s="6" t="inlineStr">
        <is>
          <t>EBY-MONTHLY-1994-2012</t>
        </is>
      </c>
      <c r="T436" s="6" t="inlineStr"/>
      <c r="U436" s="4" t="inlineStr">
        <is>
          <t>2026-09-10 23:00:00</t>
        </is>
      </c>
      <c r="V436" s="4" t="inlineStr">
        <is>
          <t>Energia mensual Yacyreta desde puesta en marcha.</t>
        </is>
      </c>
    </row>
    <row r="437">
      <c r="A437" s="6" t="inlineStr">
        <is>
          <t>R0000441</t>
        </is>
      </c>
      <c r="B437" s="6" t="inlineStr">
        <is>
          <t>2002-06-01</t>
        </is>
      </c>
      <c r="C437" s="6" t="inlineStr">
        <is>
          <t>2002-06-30</t>
        </is>
      </c>
      <c r="D437" s="6" t="inlineStr">
        <is>
          <t>month</t>
        </is>
      </c>
      <c r="E437" s="6" t="inlineStr">
        <is>
          <t>ENERGY_TO_ARGENTINA</t>
        </is>
      </c>
      <c r="F437" s="6" t="inlineStr">
        <is>
          <t>YACYRETA</t>
        </is>
      </c>
      <c r="G437" s="6" t="inlineStr">
        <is>
          <t>YACYRETA</t>
        </is>
      </c>
      <c r="H437" s="6" t="inlineStr">
        <is>
          <t>SADI</t>
        </is>
      </c>
      <c r="I437" s="8" t="n">
        <v>989240</v>
      </c>
      <c r="J437" s="6" t="inlineStr">
        <is>
          <t>MWh</t>
        </is>
      </c>
      <c r="K437" s="8" t="n">
        <v>989240</v>
      </c>
      <c r="L437" s="6" t="inlineStr">
        <is>
          <t>MWh</t>
        </is>
      </c>
      <c r="M437" s="6" t="inlineStr">
        <is>
          <t>EBY</t>
        </is>
      </c>
      <c r="N437" s="6" t="inlineStr">
        <is>
          <t>OFFICIAL_PRIMARY</t>
        </is>
      </c>
      <c r="O437" s="9" t="inlineStr">
        <is>
          <t>OFFICIAL_AGGREGATE</t>
        </is>
      </c>
      <c r="P437" s="8" t="n">
        <v>1</v>
      </c>
      <c r="Q437" s="8" t="n">
        <v>50</v>
      </c>
      <c r="R437" s="7" t="inlineStr">
        <is>
          <t>https://www.eby.gov.py/wp-content/uploads/2019/12/YacyretaEnergiasMensualesDesdePuestaenMarcha.pdf</t>
        </is>
      </c>
      <c r="S437" s="6" t="inlineStr">
        <is>
          <t>EBY-MONTHLY-1994-2012</t>
        </is>
      </c>
      <c r="T437" s="6" t="inlineStr"/>
      <c r="U437" s="4" t="inlineStr">
        <is>
          <t>2026-09-10 23:00:00</t>
        </is>
      </c>
      <c r="V437" s="4" t="inlineStr">
        <is>
          <t>Energia mensual entregada al SADI.</t>
        </is>
      </c>
    </row>
    <row r="438">
      <c r="A438" s="6" t="inlineStr">
        <is>
          <t>R0000442</t>
        </is>
      </c>
      <c r="B438" s="6" t="inlineStr">
        <is>
          <t>2002-06-01</t>
        </is>
      </c>
      <c r="C438" s="6" t="inlineStr">
        <is>
          <t>2002-06-30</t>
        </is>
      </c>
      <c r="D438" s="6" t="inlineStr">
        <is>
          <t>month</t>
        </is>
      </c>
      <c r="E438" s="6" t="inlineStr">
        <is>
          <t>ENERGY_TO_PY</t>
        </is>
      </c>
      <c r="F438" s="6" t="inlineStr">
        <is>
          <t>YACYRETA</t>
        </is>
      </c>
      <c r="G438" s="6" t="inlineStr">
        <is>
          <t>YACYRETA</t>
        </is>
      </c>
      <c r="H438" s="6" t="inlineStr">
        <is>
          <t>SINP</t>
        </is>
      </c>
      <c r="I438" s="8" t="n">
        <v>3873</v>
      </c>
      <c r="J438" s="6" t="inlineStr">
        <is>
          <t>MWh</t>
        </is>
      </c>
      <c r="K438" s="8" t="n">
        <v>3873</v>
      </c>
      <c r="L438" s="6" t="inlineStr">
        <is>
          <t>MWh</t>
        </is>
      </c>
      <c r="M438" s="6" t="inlineStr">
        <is>
          <t>EBY</t>
        </is>
      </c>
      <c r="N438" s="6" t="inlineStr">
        <is>
          <t>OFFICIAL_PRIMARY</t>
        </is>
      </c>
      <c r="O438" s="9" t="inlineStr">
        <is>
          <t>OFFICIAL_AGGREGATE</t>
        </is>
      </c>
      <c r="P438" s="8" t="n">
        <v>1</v>
      </c>
      <c r="Q438" s="8" t="n">
        <v>50</v>
      </c>
      <c r="R438" s="7" t="inlineStr">
        <is>
          <t>https://www.eby.gov.py/wp-content/uploads/2019/12/YacyretaEnergiasMensualesDesdePuestaenMarcha.pdf</t>
        </is>
      </c>
      <c r="S438" s="6" t="inlineStr">
        <is>
          <t>EBY-MONTHLY-1994-2012</t>
        </is>
      </c>
      <c r="T438" s="6" t="inlineStr"/>
      <c r="U438" s="4" t="inlineStr">
        <is>
          <t>2026-09-10 23:00:00</t>
        </is>
      </c>
      <c r="V438" s="4" t="inlineStr">
        <is>
          <t>Energia mensual entregada al SINP.</t>
        </is>
      </c>
    </row>
    <row r="439">
      <c r="A439" s="6" t="inlineStr">
        <is>
          <t>R0000443</t>
        </is>
      </c>
      <c r="B439" s="6" t="inlineStr">
        <is>
          <t>2002-07-01</t>
        </is>
      </c>
      <c r="C439" s="6" t="inlineStr">
        <is>
          <t>2002-07-31</t>
        </is>
      </c>
      <c r="D439" s="6" t="inlineStr">
        <is>
          <t>month</t>
        </is>
      </c>
      <c r="E439" s="6" t="inlineStr">
        <is>
          <t>YACYRETA_NET_ENERGY</t>
        </is>
      </c>
      <c r="F439" s="6" t="inlineStr">
        <is>
          <t>YACYRETA</t>
        </is>
      </c>
      <c r="G439" s="6" t="inlineStr">
        <is>
          <t>YACYRETA</t>
        </is>
      </c>
      <c r="H439" s="6" t="inlineStr">
        <is>
          <t>TOTAL</t>
        </is>
      </c>
      <c r="I439" s="8" t="n">
        <v>831764</v>
      </c>
      <c r="J439" s="6" t="inlineStr">
        <is>
          <t>MWh</t>
        </is>
      </c>
      <c r="K439" s="8" t="n">
        <v>831764</v>
      </c>
      <c r="L439" s="6" t="inlineStr">
        <is>
          <t>MWh</t>
        </is>
      </c>
      <c r="M439" s="6" t="inlineStr">
        <is>
          <t>EBY</t>
        </is>
      </c>
      <c r="N439" s="6" t="inlineStr">
        <is>
          <t>OFFICIAL_PRIMARY</t>
        </is>
      </c>
      <c r="O439" s="9" t="inlineStr">
        <is>
          <t>OFFICIAL_AGGREGATE</t>
        </is>
      </c>
      <c r="P439" s="8" t="n">
        <v>1</v>
      </c>
      <c r="Q439" s="8" t="n">
        <v>50</v>
      </c>
      <c r="R439" s="7" t="inlineStr">
        <is>
          <t>https://www.eby.gov.py/wp-content/uploads/2019/12/YacyretaEnergiasMensualesDesdePuestaenMarcha.pdf</t>
        </is>
      </c>
      <c r="S439" s="6" t="inlineStr">
        <is>
          <t>EBY-MONTHLY-1994-2012</t>
        </is>
      </c>
      <c r="T439" s="6" t="inlineStr"/>
      <c r="U439" s="4" t="inlineStr">
        <is>
          <t>2026-09-10 23:00:00</t>
        </is>
      </c>
      <c r="V439" s="4" t="inlineStr">
        <is>
          <t>Energia mensual Yacyreta desde puesta en marcha.</t>
        </is>
      </c>
    </row>
    <row r="440">
      <c r="A440" s="6" t="inlineStr">
        <is>
          <t>R0000444</t>
        </is>
      </c>
      <c r="B440" s="6" t="inlineStr">
        <is>
          <t>2002-07-01</t>
        </is>
      </c>
      <c r="C440" s="6" t="inlineStr">
        <is>
          <t>2002-07-31</t>
        </is>
      </c>
      <c r="D440" s="6" t="inlineStr">
        <is>
          <t>month</t>
        </is>
      </c>
      <c r="E440" s="6" t="inlineStr">
        <is>
          <t>ENERGY_TO_ARGENTINA</t>
        </is>
      </c>
      <c r="F440" s="6" t="inlineStr">
        <is>
          <t>YACYRETA</t>
        </is>
      </c>
      <c r="G440" s="6" t="inlineStr">
        <is>
          <t>YACYRETA</t>
        </is>
      </c>
      <c r="H440" s="6" t="inlineStr">
        <is>
          <t>SADI</t>
        </is>
      </c>
      <c r="I440" s="8" t="n">
        <v>826812</v>
      </c>
      <c r="J440" s="6" t="inlineStr">
        <is>
          <t>MWh</t>
        </is>
      </c>
      <c r="K440" s="8" t="n">
        <v>826812</v>
      </c>
      <c r="L440" s="6" t="inlineStr">
        <is>
          <t>MWh</t>
        </is>
      </c>
      <c r="M440" s="6" t="inlineStr">
        <is>
          <t>EBY</t>
        </is>
      </c>
      <c r="N440" s="6" t="inlineStr">
        <is>
          <t>OFFICIAL_PRIMARY</t>
        </is>
      </c>
      <c r="O440" s="9" t="inlineStr">
        <is>
          <t>OFFICIAL_AGGREGATE</t>
        </is>
      </c>
      <c r="P440" s="8" t="n">
        <v>1</v>
      </c>
      <c r="Q440" s="8" t="n">
        <v>50</v>
      </c>
      <c r="R440" s="7" t="inlineStr">
        <is>
          <t>https://www.eby.gov.py/wp-content/uploads/2019/12/YacyretaEnergiasMensualesDesdePuestaenMarcha.pdf</t>
        </is>
      </c>
      <c r="S440" s="6" t="inlineStr">
        <is>
          <t>EBY-MONTHLY-1994-2012</t>
        </is>
      </c>
      <c r="T440" s="6" t="inlineStr"/>
      <c r="U440" s="4" t="inlineStr">
        <is>
          <t>2026-09-10 23:00:00</t>
        </is>
      </c>
      <c r="V440" s="4" t="inlineStr">
        <is>
          <t>Energia mensual entregada al SADI.</t>
        </is>
      </c>
    </row>
    <row r="441">
      <c r="A441" s="6" t="inlineStr">
        <is>
          <t>R0000445</t>
        </is>
      </c>
      <c r="B441" s="6" t="inlineStr">
        <is>
          <t>2002-07-01</t>
        </is>
      </c>
      <c r="C441" s="6" t="inlineStr">
        <is>
          <t>2002-07-31</t>
        </is>
      </c>
      <c r="D441" s="6" t="inlineStr">
        <is>
          <t>month</t>
        </is>
      </c>
      <c r="E441" s="6" t="inlineStr">
        <is>
          <t>ENERGY_TO_PY</t>
        </is>
      </c>
      <c r="F441" s="6" t="inlineStr">
        <is>
          <t>YACYRETA</t>
        </is>
      </c>
      <c r="G441" s="6" t="inlineStr">
        <is>
          <t>YACYRETA</t>
        </is>
      </c>
      <c r="H441" s="6" t="inlineStr">
        <is>
          <t>SINP</t>
        </is>
      </c>
      <c r="I441" s="8" t="n">
        <v>4952</v>
      </c>
      <c r="J441" s="6" t="inlineStr">
        <is>
          <t>MWh</t>
        </is>
      </c>
      <c r="K441" s="8" t="n">
        <v>4952</v>
      </c>
      <c r="L441" s="6" t="inlineStr">
        <is>
          <t>MWh</t>
        </is>
      </c>
      <c r="M441" s="6" t="inlineStr">
        <is>
          <t>EBY</t>
        </is>
      </c>
      <c r="N441" s="6" t="inlineStr">
        <is>
          <t>OFFICIAL_PRIMARY</t>
        </is>
      </c>
      <c r="O441" s="9" t="inlineStr">
        <is>
          <t>OFFICIAL_AGGREGATE</t>
        </is>
      </c>
      <c r="P441" s="8" t="n">
        <v>1</v>
      </c>
      <c r="Q441" s="8" t="n">
        <v>50</v>
      </c>
      <c r="R441" s="7" t="inlineStr">
        <is>
          <t>https://www.eby.gov.py/wp-content/uploads/2019/12/YacyretaEnergiasMensualesDesdePuestaenMarcha.pdf</t>
        </is>
      </c>
      <c r="S441" s="6" t="inlineStr">
        <is>
          <t>EBY-MONTHLY-1994-2012</t>
        </is>
      </c>
      <c r="T441" s="6" t="inlineStr"/>
      <c r="U441" s="4" t="inlineStr">
        <is>
          <t>2026-09-10 23:00:00</t>
        </is>
      </c>
      <c r="V441" s="4" t="inlineStr">
        <is>
          <t>Energia mensual entregada al SINP.</t>
        </is>
      </c>
    </row>
    <row r="442">
      <c r="A442" s="6" t="inlineStr">
        <is>
          <t>R0000446</t>
        </is>
      </c>
      <c r="B442" s="6" t="inlineStr">
        <is>
          <t>2002-08-01</t>
        </is>
      </c>
      <c r="C442" s="6" t="inlineStr">
        <is>
          <t>2002-08-31</t>
        </is>
      </c>
      <c r="D442" s="6" t="inlineStr">
        <is>
          <t>month</t>
        </is>
      </c>
      <c r="E442" s="6" t="inlineStr">
        <is>
          <t>YACYRETA_NET_ENERGY</t>
        </is>
      </c>
      <c r="F442" s="6" t="inlineStr">
        <is>
          <t>YACYRETA</t>
        </is>
      </c>
      <c r="G442" s="6" t="inlineStr">
        <is>
          <t>YACYRETA</t>
        </is>
      </c>
      <c r="H442" s="6" t="inlineStr">
        <is>
          <t>TOTAL</t>
        </is>
      </c>
      <c r="I442" s="8" t="n">
        <v>943785</v>
      </c>
      <c r="J442" s="6" t="inlineStr">
        <is>
          <t>MWh</t>
        </is>
      </c>
      <c r="K442" s="8" t="n">
        <v>943785</v>
      </c>
      <c r="L442" s="6" t="inlineStr">
        <is>
          <t>MWh</t>
        </is>
      </c>
      <c r="M442" s="6" t="inlineStr">
        <is>
          <t>EBY</t>
        </is>
      </c>
      <c r="N442" s="6" t="inlineStr">
        <is>
          <t>OFFICIAL_PRIMARY</t>
        </is>
      </c>
      <c r="O442" s="9" t="inlineStr">
        <is>
          <t>OFFICIAL_AGGREGATE</t>
        </is>
      </c>
      <c r="P442" s="8" t="n">
        <v>1</v>
      </c>
      <c r="Q442" s="8" t="n">
        <v>50</v>
      </c>
      <c r="R442" s="7" t="inlineStr">
        <is>
          <t>https://www.eby.gov.py/wp-content/uploads/2019/12/YacyretaEnergiasMensualesDesdePuestaenMarcha.pdf</t>
        </is>
      </c>
      <c r="S442" s="6" t="inlineStr">
        <is>
          <t>EBY-MONTHLY-1994-2012</t>
        </is>
      </c>
      <c r="T442" s="6" t="inlineStr"/>
      <c r="U442" s="4" t="inlineStr">
        <is>
          <t>2026-09-10 23:00:00</t>
        </is>
      </c>
      <c r="V442" s="4" t="inlineStr">
        <is>
          <t>Energia mensual Yacyreta desde puesta en marcha.</t>
        </is>
      </c>
    </row>
    <row r="443">
      <c r="A443" s="6" t="inlineStr">
        <is>
          <t>R0000447</t>
        </is>
      </c>
      <c r="B443" s="6" t="inlineStr">
        <is>
          <t>2002-08-01</t>
        </is>
      </c>
      <c r="C443" s="6" t="inlineStr">
        <is>
          <t>2002-08-31</t>
        </is>
      </c>
      <c r="D443" s="6" t="inlineStr">
        <is>
          <t>month</t>
        </is>
      </c>
      <c r="E443" s="6" t="inlineStr">
        <is>
          <t>ENERGY_TO_ARGENTINA</t>
        </is>
      </c>
      <c r="F443" s="6" t="inlineStr">
        <is>
          <t>YACYRETA</t>
        </is>
      </c>
      <c r="G443" s="6" t="inlineStr">
        <is>
          <t>YACYRETA</t>
        </is>
      </c>
      <c r="H443" s="6" t="inlineStr">
        <is>
          <t>SADI</t>
        </is>
      </c>
      <c r="I443" s="8" t="n">
        <v>942290</v>
      </c>
      <c r="J443" s="6" t="inlineStr">
        <is>
          <t>MWh</t>
        </is>
      </c>
      <c r="K443" s="8" t="n">
        <v>942290</v>
      </c>
      <c r="L443" s="6" t="inlineStr">
        <is>
          <t>MWh</t>
        </is>
      </c>
      <c r="M443" s="6" t="inlineStr">
        <is>
          <t>EBY</t>
        </is>
      </c>
      <c r="N443" s="6" t="inlineStr">
        <is>
          <t>OFFICIAL_PRIMARY</t>
        </is>
      </c>
      <c r="O443" s="9" t="inlineStr">
        <is>
          <t>OFFICIAL_AGGREGATE</t>
        </is>
      </c>
      <c r="P443" s="8" t="n">
        <v>1</v>
      </c>
      <c r="Q443" s="8" t="n">
        <v>50</v>
      </c>
      <c r="R443" s="7" t="inlineStr">
        <is>
          <t>https://www.eby.gov.py/wp-content/uploads/2019/12/YacyretaEnergiasMensualesDesdePuestaenMarcha.pdf</t>
        </is>
      </c>
      <c r="S443" s="6" t="inlineStr">
        <is>
          <t>EBY-MONTHLY-1994-2012</t>
        </is>
      </c>
      <c r="T443" s="6" t="inlineStr"/>
      <c r="U443" s="4" t="inlineStr">
        <is>
          <t>2026-09-10 23:00:00</t>
        </is>
      </c>
      <c r="V443" s="4" t="inlineStr">
        <is>
          <t>Energia mensual entregada al SADI.</t>
        </is>
      </c>
    </row>
    <row r="444">
      <c r="A444" s="6" t="inlineStr">
        <is>
          <t>R0000448</t>
        </is>
      </c>
      <c r="B444" s="6" t="inlineStr">
        <is>
          <t>2002-08-01</t>
        </is>
      </c>
      <c r="C444" s="6" t="inlineStr">
        <is>
          <t>2002-08-31</t>
        </is>
      </c>
      <c r="D444" s="6" t="inlineStr">
        <is>
          <t>month</t>
        </is>
      </c>
      <c r="E444" s="6" t="inlineStr">
        <is>
          <t>ENERGY_TO_PY</t>
        </is>
      </c>
      <c r="F444" s="6" t="inlineStr">
        <is>
          <t>YACYRETA</t>
        </is>
      </c>
      <c r="G444" s="6" t="inlineStr">
        <is>
          <t>YACYRETA</t>
        </is>
      </c>
      <c r="H444" s="6" t="inlineStr">
        <is>
          <t>SINP</t>
        </is>
      </c>
      <c r="I444" s="8" t="n">
        <v>1495</v>
      </c>
      <c r="J444" s="6" t="inlineStr">
        <is>
          <t>MWh</t>
        </is>
      </c>
      <c r="K444" s="8" t="n">
        <v>1495</v>
      </c>
      <c r="L444" s="6" t="inlineStr">
        <is>
          <t>MWh</t>
        </is>
      </c>
      <c r="M444" s="6" t="inlineStr">
        <is>
          <t>EBY</t>
        </is>
      </c>
      <c r="N444" s="6" t="inlineStr">
        <is>
          <t>OFFICIAL_PRIMARY</t>
        </is>
      </c>
      <c r="O444" s="9" t="inlineStr">
        <is>
          <t>OFFICIAL_AGGREGATE</t>
        </is>
      </c>
      <c r="P444" s="8" t="n">
        <v>1</v>
      </c>
      <c r="Q444" s="8" t="n">
        <v>50</v>
      </c>
      <c r="R444" s="7" t="inlineStr">
        <is>
          <t>https://www.eby.gov.py/wp-content/uploads/2019/12/YacyretaEnergiasMensualesDesdePuestaenMarcha.pdf</t>
        </is>
      </c>
      <c r="S444" s="6" t="inlineStr">
        <is>
          <t>EBY-MONTHLY-1994-2012</t>
        </is>
      </c>
      <c r="T444" s="6" t="inlineStr"/>
      <c r="U444" s="4" t="inlineStr">
        <is>
          <t>2026-09-10 23:00:00</t>
        </is>
      </c>
      <c r="V444" s="4" t="inlineStr">
        <is>
          <t>Energia mensual entregada al SINP.</t>
        </is>
      </c>
    </row>
    <row r="445">
      <c r="A445" s="6" t="inlineStr">
        <is>
          <t>R0000449</t>
        </is>
      </c>
      <c r="B445" s="6" t="inlineStr">
        <is>
          <t>2002-09-01</t>
        </is>
      </c>
      <c r="C445" s="6" t="inlineStr">
        <is>
          <t>2002-09-30</t>
        </is>
      </c>
      <c r="D445" s="6" t="inlineStr">
        <is>
          <t>month</t>
        </is>
      </c>
      <c r="E445" s="6" t="inlineStr">
        <is>
          <t>YACYRETA_NET_ENERGY</t>
        </is>
      </c>
      <c r="F445" s="6" t="inlineStr">
        <is>
          <t>YACYRETA</t>
        </is>
      </c>
      <c r="G445" s="6" t="inlineStr">
        <is>
          <t>YACYRETA</t>
        </is>
      </c>
      <c r="H445" s="6" t="inlineStr">
        <is>
          <t>TOTAL</t>
        </is>
      </c>
      <c r="I445" s="8" t="n">
        <v>923709</v>
      </c>
      <c r="J445" s="6" t="inlineStr">
        <is>
          <t>MWh</t>
        </is>
      </c>
      <c r="K445" s="8" t="n">
        <v>923709</v>
      </c>
      <c r="L445" s="6" t="inlineStr">
        <is>
          <t>MWh</t>
        </is>
      </c>
      <c r="M445" s="6" t="inlineStr">
        <is>
          <t>EBY</t>
        </is>
      </c>
      <c r="N445" s="6" t="inlineStr">
        <is>
          <t>OFFICIAL_PRIMARY</t>
        </is>
      </c>
      <c r="O445" s="9" t="inlineStr">
        <is>
          <t>OFFICIAL_AGGREGATE</t>
        </is>
      </c>
      <c r="P445" s="8" t="n">
        <v>1</v>
      </c>
      <c r="Q445" s="8" t="n">
        <v>50</v>
      </c>
      <c r="R445" s="7" t="inlineStr">
        <is>
          <t>https://www.eby.gov.py/wp-content/uploads/2019/12/YacyretaEnergiasMensualesDesdePuestaenMarcha.pdf</t>
        </is>
      </c>
      <c r="S445" s="6" t="inlineStr">
        <is>
          <t>EBY-MONTHLY-1994-2012</t>
        </is>
      </c>
      <c r="T445" s="6" t="inlineStr"/>
      <c r="U445" s="4" t="inlineStr">
        <is>
          <t>2026-09-10 23:00:00</t>
        </is>
      </c>
      <c r="V445" s="4" t="inlineStr">
        <is>
          <t>Energia mensual Yacyreta desde puesta en marcha.</t>
        </is>
      </c>
    </row>
    <row r="446">
      <c r="A446" s="6" t="inlineStr">
        <is>
          <t>R0000450</t>
        </is>
      </c>
      <c r="B446" s="6" t="inlineStr">
        <is>
          <t>2002-09-01</t>
        </is>
      </c>
      <c r="C446" s="6" t="inlineStr">
        <is>
          <t>2002-09-30</t>
        </is>
      </c>
      <c r="D446" s="6" t="inlineStr">
        <is>
          <t>month</t>
        </is>
      </c>
      <c r="E446" s="6" t="inlineStr">
        <is>
          <t>ENERGY_TO_ARGENTINA</t>
        </is>
      </c>
      <c r="F446" s="6" t="inlineStr">
        <is>
          <t>YACYRETA</t>
        </is>
      </c>
      <c r="G446" s="6" t="inlineStr">
        <is>
          <t>YACYRETA</t>
        </is>
      </c>
      <c r="H446" s="6" t="inlineStr">
        <is>
          <t>SADI</t>
        </is>
      </c>
      <c r="I446" s="8" t="n">
        <v>918742</v>
      </c>
      <c r="J446" s="6" t="inlineStr">
        <is>
          <t>MWh</t>
        </is>
      </c>
      <c r="K446" s="8" t="n">
        <v>918742</v>
      </c>
      <c r="L446" s="6" t="inlineStr">
        <is>
          <t>MWh</t>
        </is>
      </c>
      <c r="M446" s="6" t="inlineStr">
        <is>
          <t>EBY</t>
        </is>
      </c>
      <c r="N446" s="6" t="inlineStr">
        <is>
          <t>OFFICIAL_PRIMARY</t>
        </is>
      </c>
      <c r="O446" s="9" t="inlineStr">
        <is>
          <t>OFFICIAL_AGGREGATE</t>
        </is>
      </c>
      <c r="P446" s="8" t="n">
        <v>1</v>
      </c>
      <c r="Q446" s="8" t="n">
        <v>50</v>
      </c>
      <c r="R446" s="7" t="inlineStr">
        <is>
          <t>https://www.eby.gov.py/wp-content/uploads/2019/12/YacyretaEnergiasMensualesDesdePuestaenMarcha.pdf</t>
        </is>
      </c>
      <c r="S446" s="6" t="inlineStr">
        <is>
          <t>EBY-MONTHLY-1994-2012</t>
        </is>
      </c>
      <c r="T446" s="6" t="inlineStr"/>
      <c r="U446" s="4" t="inlineStr">
        <is>
          <t>2026-09-10 23:00:00</t>
        </is>
      </c>
      <c r="V446" s="4" t="inlineStr">
        <is>
          <t>Energia mensual entregada al SADI.</t>
        </is>
      </c>
    </row>
    <row r="447">
      <c r="A447" s="6" t="inlineStr">
        <is>
          <t>R0000451</t>
        </is>
      </c>
      <c r="B447" s="6" t="inlineStr">
        <is>
          <t>2002-09-01</t>
        </is>
      </c>
      <c r="C447" s="6" t="inlineStr">
        <is>
          <t>2002-09-30</t>
        </is>
      </c>
      <c r="D447" s="6" t="inlineStr">
        <is>
          <t>month</t>
        </is>
      </c>
      <c r="E447" s="6" t="inlineStr">
        <is>
          <t>ENERGY_TO_PY</t>
        </is>
      </c>
      <c r="F447" s="6" t="inlineStr">
        <is>
          <t>YACYRETA</t>
        </is>
      </c>
      <c r="G447" s="6" t="inlineStr">
        <is>
          <t>YACYRETA</t>
        </is>
      </c>
      <c r="H447" s="6" t="inlineStr">
        <is>
          <t>SINP</t>
        </is>
      </c>
      <c r="I447" s="8" t="n">
        <v>4967</v>
      </c>
      <c r="J447" s="6" t="inlineStr">
        <is>
          <t>MWh</t>
        </is>
      </c>
      <c r="K447" s="8" t="n">
        <v>4967</v>
      </c>
      <c r="L447" s="6" t="inlineStr">
        <is>
          <t>MWh</t>
        </is>
      </c>
      <c r="M447" s="6" t="inlineStr">
        <is>
          <t>EBY</t>
        </is>
      </c>
      <c r="N447" s="6" t="inlineStr">
        <is>
          <t>OFFICIAL_PRIMARY</t>
        </is>
      </c>
      <c r="O447" s="9" t="inlineStr">
        <is>
          <t>OFFICIAL_AGGREGATE</t>
        </is>
      </c>
      <c r="P447" s="8" t="n">
        <v>1</v>
      </c>
      <c r="Q447" s="8" t="n">
        <v>50</v>
      </c>
      <c r="R447" s="7" t="inlineStr">
        <is>
          <t>https://www.eby.gov.py/wp-content/uploads/2019/12/YacyretaEnergiasMensualesDesdePuestaenMarcha.pdf</t>
        </is>
      </c>
      <c r="S447" s="6" t="inlineStr">
        <is>
          <t>EBY-MONTHLY-1994-2012</t>
        </is>
      </c>
      <c r="T447" s="6" t="inlineStr"/>
      <c r="U447" s="4" t="inlineStr">
        <is>
          <t>2026-09-10 23:00:00</t>
        </is>
      </c>
      <c r="V447" s="4" t="inlineStr">
        <is>
          <t>Energia mensual entregada al SINP.</t>
        </is>
      </c>
    </row>
    <row r="448">
      <c r="A448" s="6" t="inlineStr">
        <is>
          <t>R0000452</t>
        </is>
      </c>
      <c r="B448" s="6" t="inlineStr">
        <is>
          <t>2002-10-01</t>
        </is>
      </c>
      <c r="C448" s="6" t="inlineStr">
        <is>
          <t>2002-10-31</t>
        </is>
      </c>
      <c r="D448" s="6" t="inlineStr">
        <is>
          <t>month</t>
        </is>
      </c>
      <c r="E448" s="6" t="inlineStr">
        <is>
          <t>YACYRETA_NET_ENERGY</t>
        </is>
      </c>
      <c r="F448" s="6" t="inlineStr">
        <is>
          <t>YACYRETA</t>
        </is>
      </c>
      <c r="G448" s="6" t="inlineStr">
        <is>
          <t>YACYRETA</t>
        </is>
      </c>
      <c r="H448" s="6" t="inlineStr">
        <is>
          <t>TOTAL</t>
        </is>
      </c>
      <c r="I448" s="8" t="n">
        <v>1176318</v>
      </c>
      <c r="J448" s="6" t="inlineStr">
        <is>
          <t>MWh</t>
        </is>
      </c>
      <c r="K448" s="8" t="n">
        <v>1176318</v>
      </c>
      <c r="L448" s="6" t="inlineStr">
        <is>
          <t>MWh</t>
        </is>
      </c>
      <c r="M448" s="6" t="inlineStr">
        <is>
          <t>EBY</t>
        </is>
      </c>
      <c r="N448" s="6" t="inlineStr">
        <is>
          <t>OFFICIAL_PRIMARY</t>
        </is>
      </c>
      <c r="O448" s="9" t="inlineStr">
        <is>
          <t>OFFICIAL_AGGREGATE</t>
        </is>
      </c>
      <c r="P448" s="8" t="n">
        <v>1</v>
      </c>
      <c r="Q448" s="8" t="n">
        <v>50</v>
      </c>
      <c r="R448" s="7" t="inlineStr">
        <is>
          <t>https://www.eby.gov.py/wp-content/uploads/2019/12/YacyretaEnergiasMensualesDesdePuestaenMarcha.pdf</t>
        </is>
      </c>
      <c r="S448" s="6" t="inlineStr">
        <is>
          <t>EBY-MONTHLY-1994-2012</t>
        </is>
      </c>
      <c r="T448" s="6" t="inlineStr"/>
      <c r="U448" s="4" t="inlineStr">
        <is>
          <t>2026-09-10 23:00:00</t>
        </is>
      </c>
      <c r="V448" s="4" t="inlineStr">
        <is>
          <t>Energia mensual Yacyreta desde puesta en marcha.</t>
        </is>
      </c>
    </row>
    <row r="449">
      <c r="A449" s="6" t="inlineStr">
        <is>
          <t>R0000453</t>
        </is>
      </c>
      <c r="B449" s="6" t="inlineStr">
        <is>
          <t>2002-10-01</t>
        </is>
      </c>
      <c r="C449" s="6" t="inlineStr">
        <is>
          <t>2002-10-31</t>
        </is>
      </c>
      <c r="D449" s="6" t="inlineStr">
        <is>
          <t>month</t>
        </is>
      </c>
      <c r="E449" s="6" t="inlineStr">
        <is>
          <t>ENERGY_TO_ARGENTINA</t>
        </is>
      </c>
      <c r="F449" s="6" t="inlineStr">
        <is>
          <t>YACYRETA</t>
        </is>
      </c>
      <c r="G449" s="6" t="inlineStr">
        <is>
          <t>YACYRETA</t>
        </is>
      </c>
      <c r="H449" s="6" t="inlineStr">
        <is>
          <t>SADI</t>
        </is>
      </c>
      <c r="I449" s="8" t="n">
        <v>1170798</v>
      </c>
      <c r="J449" s="6" t="inlineStr">
        <is>
          <t>MWh</t>
        </is>
      </c>
      <c r="K449" s="8" t="n">
        <v>1170798</v>
      </c>
      <c r="L449" s="6" t="inlineStr">
        <is>
          <t>MWh</t>
        </is>
      </c>
      <c r="M449" s="6" t="inlineStr">
        <is>
          <t>EBY</t>
        </is>
      </c>
      <c r="N449" s="6" t="inlineStr">
        <is>
          <t>OFFICIAL_PRIMARY</t>
        </is>
      </c>
      <c r="O449" s="9" t="inlineStr">
        <is>
          <t>OFFICIAL_AGGREGATE</t>
        </is>
      </c>
      <c r="P449" s="8" t="n">
        <v>1</v>
      </c>
      <c r="Q449" s="8" t="n">
        <v>50</v>
      </c>
      <c r="R449" s="7" t="inlineStr">
        <is>
          <t>https://www.eby.gov.py/wp-content/uploads/2019/12/YacyretaEnergiasMensualesDesdePuestaenMarcha.pdf</t>
        </is>
      </c>
      <c r="S449" s="6" t="inlineStr">
        <is>
          <t>EBY-MONTHLY-1994-2012</t>
        </is>
      </c>
      <c r="T449" s="6" t="inlineStr"/>
      <c r="U449" s="4" t="inlineStr">
        <is>
          <t>2026-09-10 23:00:00</t>
        </is>
      </c>
      <c r="V449" s="4" t="inlineStr">
        <is>
          <t>Energia mensual entregada al SADI.</t>
        </is>
      </c>
    </row>
    <row r="450">
      <c r="A450" s="6" t="inlineStr">
        <is>
          <t>R0000454</t>
        </is>
      </c>
      <c r="B450" s="6" t="inlineStr">
        <is>
          <t>2002-10-01</t>
        </is>
      </c>
      <c r="C450" s="6" t="inlineStr">
        <is>
          <t>2002-10-31</t>
        </is>
      </c>
      <c r="D450" s="6" t="inlineStr">
        <is>
          <t>month</t>
        </is>
      </c>
      <c r="E450" s="6" t="inlineStr">
        <is>
          <t>ENERGY_TO_PY</t>
        </is>
      </c>
      <c r="F450" s="6" t="inlineStr">
        <is>
          <t>YACYRETA</t>
        </is>
      </c>
      <c r="G450" s="6" t="inlineStr">
        <is>
          <t>YACYRETA</t>
        </is>
      </c>
      <c r="H450" s="6" t="inlineStr">
        <is>
          <t>SINP</t>
        </is>
      </c>
      <c r="I450" s="8" t="n">
        <v>5520</v>
      </c>
      <c r="J450" s="6" t="inlineStr">
        <is>
          <t>MWh</t>
        </is>
      </c>
      <c r="K450" s="8" t="n">
        <v>5520</v>
      </c>
      <c r="L450" s="6" t="inlineStr">
        <is>
          <t>MWh</t>
        </is>
      </c>
      <c r="M450" s="6" t="inlineStr">
        <is>
          <t>EBY</t>
        </is>
      </c>
      <c r="N450" s="6" t="inlineStr">
        <is>
          <t>OFFICIAL_PRIMARY</t>
        </is>
      </c>
      <c r="O450" s="9" t="inlineStr">
        <is>
          <t>OFFICIAL_AGGREGATE</t>
        </is>
      </c>
      <c r="P450" s="8" t="n">
        <v>1</v>
      </c>
      <c r="Q450" s="8" t="n">
        <v>50</v>
      </c>
      <c r="R450" s="7" t="inlineStr">
        <is>
          <t>https://www.eby.gov.py/wp-content/uploads/2019/12/YacyretaEnergiasMensualesDesdePuestaenMarcha.pdf</t>
        </is>
      </c>
      <c r="S450" s="6" t="inlineStr">
        <is>
          <t>EBY-MONTHLY-1994-2012</t>
        </is>
      </c>
      <c r="T450" s="6" t="inlineStr"/>
      <c r="U450" s="4" t="inlineStr">
        <is>
          <t>2026-09-10 23:00:00</t>
        </is>
      </c>
      <c r="V450" s="4" t="inlineStr">
        <is>
          <t>Energia mensual entregada al SINP.</t>
        </is>
      </c>
    </row>
    <row r="451">
      <c r="A451" s="6" t="inlineStr">
        <is>
          <t>R0000455</t>
        </is>
      </c>
      <c r="B451" s="6" t="inlineStr">
        <is>
          <t>2002-11-01</t>
        </is>
      </c>
      <c r="C451" s="6" t="inlineStr">
        <is>
          <t>2002-11-30</t>
        </is>
      </c>
      <c r="D451" s="6" t="inlineStr">
        <is>
          <t>month</t>
        </is>
      </c>
      <c r="E451" s="6" t="inlineStr">
        <is>
          <t>YACYRETA_NET_ENERGY</t>
        </is>
      </c>
      <c r="F451" s="6" t="inlineStr">
        <is>
          <t>YACYRETA</t>
        </is>
      </c>
      <c r="G451" s="6" t="inlineStr">
        <is>
          <t>YACYRETA</t>
        </is>
      </c>
      <c r="H451" s="6" t="inlineStr">
        <is>
          <t>TOTAL</t>
        </is>
      </c>
      <c r="I451" s="8" t="n">
        <v>1113871</v>
      </c>
      <c r="J451" s="6" t="inlineStr">
        <is>
          <t>MWh</t>
        </is>
      </c>
      <c r="K451" s="8" t="n">
        <v>1113871</v>
      </c>
      <c r="L451" s="6" t="inlineStr">
        <is>
          <t>MWh</t>
        </is>
      </c>
      <c r="M451" s="6" t="inlineStr">
        <is>
          <t>EBY</t>
        </is>
      </c>
      <c r="N451" s="6" t="inlineStr">
        <is>
          <t>OFFICIAL_PRIMARY</t>
        </is>
      </c>
      <c r="O451" s="9" t="inlineStr">
        <is>
          <t>OFFICIAL_AGGREGATE</t>
        </is>
      </c>
      <c r="P451" s="8" t="n">
        <v>1</v>
      </c>
      <c r="Q451" s="8" t="n">
        <v>50</v>
      </c>
      <c r="R451" s="7" t="inlineStr">
        <is>
          <t>https://www.eby.gov.py/wp-content/uploads/2019/12/YacyretaEnergiasMensualesDesdePuestaenMarcha.pdf</t>
        </is>
      </c>
      <c r="S451" s="6" t="inlineStr">
        <is>
          <t>EBY-MONTHLY-1994-2012</t>
        </is>
      </c>
      <c r="T451" s="6" t="inlineStr"/>
      <c r="U451" s="4" t="inlineStr">
        <is>
          <t>2026-09-10 23:00:00</t>
        </is>
      </c>
      <c r="V451" s="4" t="inlineStr">
        <is>
          <t>Energia mensual Yacyreta desde puesta en marcha.</t>
        </is>
      </c>
    </row>
    <row r="452">
      <c r="A452" s="6" t="inlineStr">
        <is>
          <t>R0000456</t>
        </is>
      </c>
      <c r="B452" s="6" t="inlineStr">
        <is>
          <t>2002-11-01</t>
        </is>
      </c>
      <c r="C452" s="6" t="inlineStr">
        <is>
          <t>2002-11-30</t>
        </is>
      </c>
      <c r="D452" s="6" t="inlineStr">
        <is>
          <t>month</t>
        </is>
      </c>
      <c r="E452" s="6" t="inlineStr">
        <is>
          <t>ENERGY_TO_ARGENTINA</t>
        </is>
      </c>
      <c r="F452" s="6" t="inlineStr">
        <is>
          <t>YACYRETA</t>
        </is>
      </c>
      <c r="G452" s="6" t="inlineStr">
        <is>
          <t>YACYRETA</t>
        </is>
      </c>
      <c r="H452" s="6" t="inlineStr">
        <is>
          <t>SADI</t>
        </is>
      </c>
      <c r="I452" s="8" t="n">
        <v>1109540</v>
      </c>
      <c r="J452" s="6" t="inlineStr">
        <is>
          <t>MWh</t>
        </is>
      </c>
      <c r="K452" s="8" t="n">
        <v>1109540</v>
      </c>
      <c r="L452" s="6" t="inlineStr">
        <is>
          <t>MWh</t>
        </is>
      </c>
      <c r="M452" s="6" t="inlineStr">
        <is>
          <t>EBY</t>
        </is>
      </c>
      <c r="N452" s="6" t="inlineStr">
        <is>
          <t>OFFICIAL_PRIMARY</t>
        </is>
      </c>
      <c r="O452" s="9" t="inlineStr">
        <is>
          <t>OFFICIAL_AGGREGATE</t>
        </is>
      </c>
      <c r="P452" s="8" t="n">
        <v>1</v>
      </c>
      <c r="Q452" s="8" t="n">
        <v>50</v>
      </c>
      <c r="R452" s="7" t="inlineStr">
        <is>
          <t>https://www.eby.gov.py/wp-content/uploads/2019/12/YacyretaEnergiasMensualesDesdePuestaenMarcha.pdf</t>
        </is>
      </c>
      <c r="S452" s="6" t="inlineStr">
        <is>
          <t>EBY-MONTHLY-1994-2012</t>
        </is>
      </c>
      <c r="T452" s="6" t="inlineStr"/>
      <c r="U452" s="4" t="inlineStr">
        <is>
          <t>2026-09-10 23:00:00</t>
        </is>
      </c>
      <c r="V452" s="4" t="inlineStr">
        <is>
          <t>Energia mensual entregada al SADI.</t>
        </is>
      </c>
    </row>
    <row r="453">
      <c r="A453" s="6" t="inlineStr">
        <is>
          <t>R0000457</t>
        </is>
      </c>
      <c r="B453" s="6" t="inlineStr">
        <is>
          <t>2002-11-01</t>
        </is>
      </c>
      <c r="C453" s="6" t="inlineStr">
        <is>
          <t>2002-11-30</t>
        </is>
      </c>
      <c r="D453" s="6" t="inlineStr">
        <is>
          <t>month</t>
        </is>
      </c>
      <c r="E453" s="6" t="inlineStr">
        <is>
          <t>ENERGY_TO_PY</t>
        </is>
      </c>
      <c r="F453" s="6" t="inlineStr">
        <is>
          <t>YACYRETA</t>
        </is>
      </c>
      <c r="G453" s="6" t="inlineStr">
        <is>
          <t>YACYRETA</t>
        </is>
      </c>
      <c r="H453" s="6" t="inlineStr">
        <is>
          <t>SINP</t>
        </is>
      </c>
      <c r="I453" s="8" t="n">
        <v>4331</v>
      </c>
      <c r="J453" s="6" t="inlineStr">
        <is>
          <t>MWh</t>
        </is>
      </c>
      <c r="K453" s="8" t="n">
        <v>4331</v>
      </c>
      <c r="L453" s="6" t="inlineStr">
        <is>
          <t>MWh</t>
        </is>
      </c>
      <c r="M453" s="6" t="inlineStr">
        <is>
          <t>EBY</t>
        </is>
      </c>
      <c r="N453" s="6" t="inlineStr">
        <is>
          <t>OFFICIAL_PRIMARY</t>
        </is>
      </c>
      <c r="O453" s="9" t="inlineStr">
        <is>
          <t>OFFICIAL_AGGREGATE</t>
        </is>
      </c>
      <c r="P453" s="8" t="n">
        <v>1</v>
      </c>
      <c r="Q453" s="8" t="n">
        <v>50</v>
      </c>
      <c r="R453" s="7" t="inlineStr">
        <is>
          <t>https://www.eby.gov.py/wp-content/uploads/2019/12/YacyretaEnergiasMensualesDesdePuestaenMarcha.pdf</t>
        </is>
      </c>
      <c r="S453" s="6" t="inlineStr">
        <is>
          <t>EBY-MONTHLY-1994-2012</t>
        </is>
      </c>
      <c r="T453" s="6" t="inlineStr"/>
      <c r="U453" s="4" t="inlineStr">
        <is>
          <t>2026-09-10 23:00:00</t>
        </is>
      </c>
      <c r="V453" s="4" t="inlineStr">
        <is>
          <t>Energia mensual entregada al SINP.</t>
        </is>
      </c>
    </row>
    <row r="454">
      <c r="A454" s="6" t="inlineStr">
        <is>
          <t>R0000458</t>
        </is>
      </c>
      <c r="B454" s="6" t="inlineStr">
        <is>
          <t>2002-12-01</t>
        </is>
      </c>
      <c r="C454" s="6" t="inlineStr">
        <is>
          <t>2002-12-31</t>
        </is>
      </c>
      <c r="D454" s="6" t="inlineStr">
        <is>
          <t>month</t>
        </is>
      </c>
      <c r="E454" s="6" t="inlineStr">
        <is>
          <t>YACYRETA_NET_ENERGY</t>
        </is>
      </c>
      <c r="F454" s="6" t="inlineStr">
        <is>
          <t>YACYRETA</t>
        </is>
      </c>
      <c r="G454" s="6" t="inlineStr">
        <is>
          <t>YACYRETA</t>
        </is>
      </c>
      <c r="H454" s="6" t="inlineStr">
        <is>
          <t>TOTAL</t>
        </is>
      </c>
      <c r="I454" s="8" t="n">
        <v>1188800</v>
      </c>
      <c r="J454" s="6" t="inlineStr">
        <is>
          <t>MWh</t>
        </is>
      </c>
      <c r="K454" s="8" t="n">
        <v>1188800</v>
      </c>
      <c r="L454" s="6" t="inlineStr">
        <is>
          <t>MWh</t>
        </is>
      </c>
      <c r="M454" s="6" t="inlineStr">
        <is>
          <t>EBY</t>
        </is>
      </c>
      <c r="N454" s="6" t="inlineStr">
        <is>
          <t>OFFICIAL_PRIMARY</t>
        </is>
      </c>
      <c r="O454" s="9" t="inlineStr">
        <is>
          <t>OFFICIAL_AGGREGATE</t>
        </is>
      </c>
      <c r="P454" s="8" t="n">
        <v>1</v>
      </c>
      <c r="Q454" s="8" t="n">
        <v>50</v>
      </c>
      <c r="R454" s="7" t="inlineStr">
        <is>
          <t>https://www.eby.gov.py/wp-content/uploads/2019/12/YacyretaEnergiasMensualesDesdePuestaenMarcha.pdf</t>
        </is>
      </c>
      <c r="S454" s="6" t="inlineStr">
        <is>
          <t>EBY-MONTHLY-1994-2012</t>
        </is>
      </c>
      <c r="T454" s="6" t="inlineStr"/>
      <c r="U454" s="4" t="inlineStr">
        <is>
          <t>2026-09-10 23:00:00</t>
        </is>
      </c>
      <c r="V454" s="4" t="inlineStr">
        <is>
          <t>Energia mensual Yacyreta desde puesta en marcha.</t>
        </is>
      </c>
    </row>
    <row r="455">
      <c r="A455" s="6" t="inlineStr">
        <is>
          <t>R0000459</t>
        </is>
      </c>
      <c r="B455" s="6" t="inlineStr">
        <is>
          <t>2002-12-01</t>
        </is>
      </c>
      <c r="C455" s="6" t="inlineStr">
        <is>
          <t>2002-12-31</t>
        </is>
      </c>
      <c r="D455" s="6" t="inlineStr">
        <is>
          <t>month</t>
        </is>
      </c>
      <c r="E455" s="6" t="inlineStr">
        <is>
          <t>ENERGY_TO_ARGENTINA</t>
        </is>
      </c>
      <c r="F455" s="6" t="inlineStr">
        <is>
          <t>YACYRETA</t>
        </is>
      </c>
      <c r="G455" s="6" t="inlineStr">
        <is>
          <t>YACYRETA</t>
        </is>
      </c>
      <c r="H455" s="6" t="inlineStr">
        <is>
          <t>SADI</t>
        </is>
      </c>
      <c r="I455" s="8" t="n">
        <v>1185754</v>
      </c>
      <c r="J455" s="6" t="inlineStr">
        <is>
          <t>MWh</t>
        </is>
      </c>
      <c r="K455" s="8" t="n">
        <v>1185754</v>
      </c>
      <c r="L455" s="6" t="inlineStr">
        <is>
          <t>MWh</t>
        </is>
      </c>
      <c r="M455" s="6" t="inlineStr">
        <is>
          <t>EBY</t>
        </is>
      </c>
      <c r="N455" s="6" t="inlineStr">
        <is>
          <t>OFFICIAL_PRIMARY</t>
        </is>
      </c>
      <c r="O455" s="9" t="inlineStr">
        <is>
          <t>OFFICIAL_AGGREGATE</t>
        </is>
      </c>
      <c r="P455" s="8" t="n">
        <v>1</v>
      </c>
      <c r="Q455" s="8" t="n">
        <v>50</v>
      </c>
      <c r="R455" s="7" t="inlineStr">
        <is>
          <t>https://www.eby.gov.py/wp-content/uploads/2019/12/YacyretaEnergiasMensualesDesdePuestaenMarcha.pdf</t>
        </is>
      </c>
      <c r="S455" s="6" t="inlineStr">
        <is>
          <t>EBY-MONTHLY-1994-2012</t>
        </is>
      </c>
      <c r="T455" s="6" t="inlineStr"/>
      <c r="U455" s="4" t="inlineStr">
        <is>
          <t>2026-09-10 23:00:00</t>
        </is>
      </c>
      <c r="V455" s="4" t="inlineStr">
        <is>
          <t>Energia mensual entregada al SADI.</t>
        </is>
      </c>
    </row>
    <row r="456">
      <c r="A456" s="6" t="inlineStr">
        <is>
          <t>R0000460</t>
        </is>
      </c>
      <c r="B456" s="6" t="inlineStr">
        <is>
          <t>2002-12-01</t>
        </is>
      </c>
      <c r="C456" s="6" t="inlineStr">
        <is>
          <t>2002-12-31</t>
        </is>
      </c>
      <c r="D456" s="6" t="inlineStr">
        <is>
          <t>month</t>
        </is>
      </c>
      <c r="E456" s="6" t="inlineStr">
        <is>
          <t>ENERGY_TO_PY</t>
        </is>
      </c>
      <c r="F456" s="6" t="inlineStr">
        <is>
          <t>YACYRETA</t>
        </is>
      </c>
      <c r="G456" s="6" t="inlineStr">
        <is>
          <t>YACYRETA</t>
        </is>
      </c>
      <c r="H456" s="6" t="inlineStr">
        <is>
          <t>SINP</t>
        </is>
      </c>
      <c r="I456" s="8" t="n">
        <v>3046</v>
      </c>
      <c r="J456" s="6" t="inlineStr">
        <is>
          <t>MWh</t>
        </is>
      </c>
      <c r="K456" s="8" t="n">
        <v>3046</v>
      </c>
      <c r="L456" s="6" t="inlineStr">
        <is>
          <t>MWh</t>
        </is>
      </c>
      <c r="M456" s="6" t="inlineStr">
        <is>
          <t>EBY</t>
        </is>
      </c>
      <c r="N456" s="6" t="inlineStr">
        <is>
          <t>OFFICIAL_PRIMARY</t>
        </is>
      </c>
      <c r="O456" s="9" t="inlineStr">
        <is>
          <t>OFFICIAL_AGGREGATE</t>
        </is>
      </c>
      <c r="P456" s="8" t="n">
        <v>1</v>
      </c>
      <c r="Q456" s="8" t="n">
        <v>50</v>
      </c>
      <c r="R456" s="7" t="inlineStr">
        <is>
          <t>https://www.eby.gov.py/wp-content/uploads/2019/12/YacyretaEnergiasMensualesDesdePuestaenMarcha.pdf</t>
        </is>
      </c>
      <c r="S456" s="6" t="inlineStr">
        <is>
          <t>EBY-MONTHLY-1994-2012</t>
        </is>
      </c>
      <c r="T456" s="6" t="inlineStr"/>
      <c r="U456" s="4" t="inlineStr">
        <is>
          <t>2026-09-10 23:00:00</t>
        </is>
      </c>
      <c r="V456" s="4" t="inlineStr">
        <is>
          <t>Energia mensual entregada al SINP.</t>
        </is>
      </c>
    </row>
    <row r="457">
      <c r="A457" s="6" t="inlineStr">
        <is>
          <t>R0000461</t>
        </is>
      </c>
      <c r="B457" s="6" t="inlineStr">
        <is>
          <t>2003-01-01</t>
        </is>
      </c>
      <c r="C457" s="6" t="inlineStr">
        <is>
          <t>2003-01-31</t>
        </is>
      </c>
      <c r="D457" s="6" t="inlineStr">
        <is>
          <t>month</t>
        </is>
      </c>
      <c r="E457" s="6" t="inlineStr">
        <is>
          <t>YACYRETA_NET_ENERGY</t>
        </is>
      </c>
      <c r="F457" s="6" t="inlineStr">
        <is>
          <t>YACYRETA</t>
        </is>
      </c>
      <c r="G457" s="6" t="inlineStr">
        <is>
          <t>YACYRETA</t>
        </is>
      </c>
      <c r="H457" s="6" t="inlineStr">
        <is>
          <t>TOTAL</t>
        </is>
      </c>
      <c r="I457" s="8" t="n">
        <v>1063206</v>
      </c>
      <c r="J457" s="6" t="inlineStr">
        <is>
          <t>MWh</t>
        </is>
      </c>
      <c r="K457" s="8" t="n">
        <v>1063206</v>
      </c>
      <c r="L457" s="6" t="inlineStr">
        <is>
          <t>MWh</t>
        </is>
      </c>
      <c r="M457" s="6" t="inlineStr">
        <is>
          <t>EBY</t>
        </is>
      </c>
      <c r="N457" s="6" t="inlineStr">
        <is>
          <t>OFFICIAL_PRIMARY</t>
        </is>
      </c>
      <c r="O457" s="9" t="inlineStr">
        <is>
          <t>OFFICIAL_AGGREGATE</t>
        </is>
      </c>
      <c r="P457" s="8" t="n">
        <v>1</v>
      </c>
      <c r="Q457" s="8" t="n">
        <v>50</v>
      </c>
      <c r="R457" s="7" t="inlineStr">
        <is>
          <t>https://www.eby.gov.py/wp-content/uploads/2019/12/YacyretaEnergiasMensualesDesdePuestaenMarcha.pdf</t>
        </is>
      </c>
      <c r="S457" s="6" t="inlineStr">
        <is>
          <t>EBY-MONTHLY-1994-2012</t>
        </is>
      </c>
      <c r="T457" s="6" t="inlineStr"/>
      <c r="U457" s="4" t="inlineStr">
        <is>
          <t>2026-09-10 23:00:00</t>
        </is>
      </c>
      <c r="V457" s="4" t="inlineStr">
        <is>
          <t>Energia mensual Yacyreta desde puesta en marcha.</t>
        </is>
      </c>
    </row>
    <row r="458">
      <c r="A458" s="6" t="inlineStr">
        <is>
          <t>R0000462</t>
        </is>
      </c>
      <c r="B458" s="6" t="inlineStr">
        <is>
          <t>2003-01-01</t>
        </is>
      </c>
      <c r="C458" s="6" t="inlineStr">
        <is>
          <t>2003-01-31</t>
        </is>
      </c>
      <c r="D458" s="6" t="inlineStr">
        <is>
          <t>month</t>
        </is>
      </c>
      <c r="E458" s="6" t="inlineStr">
        <is>
          <t>ENERGY_TO_ARGENTINA</t>
        </is>
      </c>
      <c r="F458" s="6" t="inlineStr">
        <is>
          <t>YACYRETA</t>
        </is>
      </c>
      <c r="G458" s="6" t="inlineStr">
        <is>
          <t>YACYRETA</t>
        </is>
      </c>
      <c r="H458" s="6" t="inlineStr">
        <is>
          <t>SADI</t>
        </is>
      </c>
      <c r="I458" s="8" t="n">
        <v>1060250</v>
      </c>
      <c r="J458" s="6" t="inlineStr">
        <is>
          <t>MWh</t>
        </is>
      </c>
      <c r="K458" s="8" t="n">
        <v>1060250</v>
      </c>
      <c r="L458" s="6" t="inlineStr">
        <is>
          <t>MWh</t>
        </is>
      </c>
      <c r="M458" s="6" t="inlineStr">
        <is>
          <t>EBY</t>
        </is>
      </c>
      <c r="N458" s="6" t="inlineStr">
        <is>
          <t>OFFICIAL_PRIMARY</t>
        </is>
      </c>
      <c r="O458" s="9" t="inlineStr">
        <is>
          <t>OFFICIAL_AGGREGATE</t>
        </is>
      </c>
      <c r="P458" s="8" t="n">
        <v>1</v>
      </c>
      <c r="Q458" s="8" t="n">
        <v>50</v>
      </c>
      <c r="R458" s="7" t="inlineStr">
        <is>
          <t>https://www.eby.gov.py/wp-content/uploads/2019/12/YacyretaEnergiasMensualesDesdePuestaenMarcha.pdf</t>
        </is>
      </c>
      <c r="S458" s="6" t="inlineStr">
        <is>
          <t>EBY-MONTHLY-1994-2012</t>
        </is>
      </c>
      <c r="T458" s="6" t="inlineStr"/>
      <c r="U458" s="4" t="inlineStr">
        <is>
          <t>2026-09-10 23:00:00</t>
        </is>
      </c>
      <c r="V458" s="4" t="inlineStr">
        <is>
          <t>Energia mensual entregada al SADI.</t>
        </is>
      </c>
    </row>
    <row r="459">
      <c r="A459" s="6" t="inlineStr">
        <is>
          <t>R0000463</t>
        </is>
      </c>
      <c r="B459" s="6" t="inlineStr">
        <is>
          <t>2003-01-01</t>
        </is>
      </c>
      <c r="C459" s="6" t="inlineStr">
        <is>
          <t>2003-01-31</t>
        </is>
      </c>
      <c r="D459" s="6" t="inlineStr">
        <is>
          <t>month</t>
        </is>
      </c>
      <c r="E459" s="6" t="inlineStr">
        <is>
          <t>ENERGY_TO_PY</t>
        </is>
      </c>
      <c r="F459" s="6" t="inlineStr">
        <is>
          <t>YACYRETA</t>
        </is>
      </c>
      <c r="G459" s="6" t="inlineStr">
        <is>
          <t>YACYRETA</t>
        </is>
      </c>
      <c r="H459" s="6" t="inlineStr">
        <is>
          <t>SINP</t>
        </is>
      </c>
      <c r="I459" s="8" t="n">
        <v>2956</v>
      </c>
      <c r="J459" s="6" t="inlineStr">
        <is>
          <t>MWh</t>
        </is>
      </c>
      <c r="K459" s="8" t="n">
        <v>2956</v>
      </c>
      <c r="L459" s="6" t="inlineStr">
        <is>
          <t>MWh</t>
        </is>
      </c>
      <c r="M459" s="6" t="inlineStr">
        <is>
          <t>EBY</t>
        </is>
      </c>
      <c r="N459" s="6" t="inlineStr">
        <is>
          <t>OFFICIAL_PRIMARY</t>
        </is>
      </c>
      <c r="O459" s="9" t="inlineStr">
        <is>
          <t>OFFICIAL_AGGREGATE</t>
        </is>
      </c>
      <c r="P459" s="8" t="n">
        <v>1</v>
      </c>
      <c r="Q459" s="8" t="n">
        <v>50</v>
      </c>
      <c r="R459" s="7" t="inlineStr">
        <is>
          <t>https://www.eby.gov.py/wp-content/uploads/2019/12/YacyretaEnergiasMensualesDesdePuestaenMarcha.pdf</t>
        </is>
      </c>
      <c r="S459" s="6" t="inlineStr">
        <is>
          <t>EBY-MONTHLY-1994-2012</t>
        </is>
      </c>
      <c r="T459" s="6" t="inlineStr"/>
      <c r="U459" s="4" t="inlineStr">
        <is>
          <t>2026-09-10 23:00:00</t>
        </is>
      </c>
      <c r="V459" s="4" t="inlineStr">
        <is>
          <t>Energia mensual entregada al SINP.</t>
        </is>
      </c>
    </row>
    <row r="460">
      <c r="A460" s="6" t="inlineStr">
        <is>
          <t>R0000464</t>
        </is>
      </c>
      <c r="B460" s="6" t="inlineStr">
        <is>
          <t>2003-02-01</t>
        </is>
      </c>
      <c r="C460" s="6" t="inlineStr">
        <is>
          <t>2003-02-28</t>
        </is>
      </c>
      <c r="D460" s="6" t="inlineStr">
        <is>
          <t>month</t>
        </is>
      </c>
      <c r="E460" s="6" t="inlineStr">
        <is>
          <t>YACYRETA_NET_ENERGY</t>
        </is>
      </c>
      <c r="F460" s="6" t="inlineStr">
        <is>
          <t>YACYRETA</t>
        </is>
      </c>
      <c r="G460" s="6" t="inlineStr">
        <is>
          <t>YACYRETA</t>
        </is>
      </c>
      <c r="H460" s="6" t="inlineStr">
        <is>
          <t>TOTAL</t>
        </is>
      </c>
      <c r="I460" s="8" t="n">
        <v>1169984</v>
      </c>
      <c r="J460" s="6" t="inlineStr">
        <is>
          <t>MWh</t>
        </is>
      </c>
      <c r="K460" s="8" t="n">
        <v>1169984</v>
      </c>
      <c r="L460" s="6" t="inlineStr">
        <is>
          <t>MWh</t>
        </is>
      </c>
      <c r="M460" s="6" t="inlineStr">
        <is>
          <t>EBY</t>
        </is>
      </c>
      <c r="N460" s="6" t="inlineStr">
        <is>
          <t>OFFICIAL_PRIMARY</t>
        </is>
      </c>
      <c r="O460" s="9" t="inlineStr">
        <is>
          <t>OFFICIAL_AGGREGATE</t>
        </is>
      </c>
      <c r="P460" s="8" t="n">
        <v>1</v>
      </c>
      <c r="Q460" s="8" t="n">
        <v>50</v>
      </c>
      <c r="R460" s="7" t="inlineStr">
        <is>
          <t>https://www.eby.gov.py/wp-content/uploads/2019/12/YacyretaEnergiasMensualesDesdePuestaenMarcha.pdf</t>
        </is>
      </c>
      <c r="S460" s="6" t="inlineStr">
        <is>
          <t>EBY-MONTHLY-1994-2012</t>
        </is>
      </c>
      <c r="T460" s="6" t="inlineStr"/>
      <c r="U460" s="4" t="inlineStr">
        <is>
          <t>2026-09-10 23:00:00</t>
        </is>
      </c>
      <c r="V460" s="4" t="inlineStr">
        <is>
          <t>Energia mensual Yacyreta desde puesta en marcha.</t>
        </is>
      </c>
    </row>
    <row r="461">
      <c r="A461" s="6" t="inlineStr">
        <is>
          <t>R0000465</t>
        </is>
      </c>
      <c r="B461" s="6" t="inlineStr">
        <is>
          <t>2003-02-01</t>
        </is>
      </c>
      <c r="C461" s="6" t="inlineStr">
        <is>
          <t>2003-02-28</t>
        </is>
      </c>
      <c r="D461" s="6" t="inlineStr">
        <is>
          <t>month</t>
        </is>
      </c>
      <c r="E461" s="6" t="inlineStr">
        <is>
          <t>ENERGY_TO_ARGENTINA</t>
        </is>
      </c>
      <c r="F461" s="6" t="inlineStr">
        <is>
          <t>YACYRETA</t>
        </is>
      </c>
      <c r="G461" s="6" t="inlineStr">
        <is>
          <t>YACYRETA</t>
        </is>
      </c>
      <c r="H461" s="6" t="inlineStr">
        <is>
          <t>SADI</t>
        </is>
      </c>
      <c r="I461" s="8" t="n">
        <v>1165468</v>
      </c>
      <c r="J461" s="6" t="inlineStr">
        <is>
          <t>MWh</t>
        </is>
      </c>
      <c r="K461" s="8" t="n">
        <v>1165468</v>
      </c>
      <c r="L461" s="6" t="inlineStr">
        <is>
          <t>MWh</t>
        </is>
      </c>
      <c r="M461" s="6" t="inlineStr">
        <is>
          <t>EBY</t>
        </is>
      </c>
      <c r="N461" s="6" t="inlineStr">
        <is>
          <t>OFFICIAL_PRIMARY</t>
        </is>
      </c>
      <c r="O461" s="9" t="inlineStr">
        <is>
          <t>OFFICIAL_AGGREGATE</t>
        </is>
      </c>
      <c r="P461" s="8" t="n">
        <v>1</v>
      </c>
      <c r="Q461" s="8" t="n">
        <v>50</v>
      </c>
      <c r="R461" s="7" t="inlineStr">
        <is>
          <t>https://www.eby.gov.py/wp-content/uploads/2019/12/YacyretaEnergiasMensualesDesdePuestaenMarcha.pdf</t>
        </is>
      </c>
      <c r="S461" s="6" t="inlineStr">
        <is>
          <t>EBY-MONTHLY-1994-2012</t>
        </is>
      </c>
      <c r="T461" s="6" t="inlineStr"/>
      <c r="U461" s="4" t="inlineStr">
        <is>
          <t>2026-09-10 23:00:00</t>
        </is>
      </c>
      <c r="V461" s="4" t="inlineStr">
        <is>
          <t>Energia mensual entregada al SADI.</t>
        </is>
      </c>
    </row>
    <row r="462">
      <c r="A462" s="6" t="inlineStr">
        <is>
          <t>R0000466</t>
        </is>
      </c>
      <c r="B462" s="6" t="inlineStr">
        <is>
          <t>2003-02-01</t>
        </is>
      </c>
      <c r="C462" s="6" t="inlineStr">
        <is>
          <t>2003-02-28</t>
        </is>
      </c>
      <c r="D462" s="6" t="inlineStr">
        <is>
          <t>month</t>
        </is>
      </c>
      <c r="E462" s="6" t="inlineStr">
        <is>
          <t>ENERGY_TO_PY</t>
        </is>
      </c>
      <c r="F462" s="6" t="inlineStr">
        <is>
          <t>YACYRETA</t>
        </is>
      </c>
      <c r="G462" s="6" t="inlineStr">
        <is>
          <t>YACYRETA</t>
        </is>
      </c>
      <c r="H462" s="6" t="inlineStr">
        <is>
          <t>SINP</t>
        </is>
      </c>
      <c r="I462" s="8" t="n">
        <v>4516</v>
      </c>
      <c r="J462" s="6" t="inlineStr">
        <is>
          <t>MWh</t>
        </is>
      </c>
      <c r="K462" s="8" t="n">
        <v>4516</v>
      </c>
      <c r="L462" s="6" t="inlineStr">
        <is>
          <t>MWh</t>
        </is>
      </c>
      <c r="M462" s="6" t="inlineStr">
        <is>
          <t>EBY</t>
        </is>
      </c>
      <c r="N462" s="6" t="inlineStr">
        <is>
          <t>OFFICIAL_PRIMARY</t>
        </is>
      </c>
      <c r="O462" s="9" t="inlineStr">
        <is>
          <t>OFFICIAL_AGGREGATE</t>
        </is>
      </c>
      <c r="P462" s="8" t="n">
        <v>1</v>
      </c>
      <c r="Q462" s="8" t="n">
        <v>50</v>
      </c>
      <c r="R462" s="7" t="inlineStr">
        <is>
          <t>https://www.eby.gov.py/wp-content/uploads/2019/12/YacyretaEnergiasMensualesDesdePuestaenMarcha.pdf</t>
        </is>
      </c>
      <c r="S462" s="6" t="inlineStr">
        <is>
          <t>EBY-MONTHLY-1994-2012</t>
        </is>
      </c>
      <c r="T462" s="6" t="inlineStr"/>
      <c r="U462" s="4" t="inlineStr">
        <is>
          <t>2026-09-10 23:00:00</t>
        </is>
      </c>
      <c r="V462" s="4" t="inlineStr">
        <is>
          <t>Energia mensual entregada al SINP.</t>
        </is>
      </c>
    </row>
    <row r="463">
      <c r="A463" s="6" t="inlineStr">
        <is>
          <t>R0000467</t>
        </is>
      </c>
      <c r="B463" s="6" t="inlineStr">
        <is>
          <t>2003-03-01</t>
        </is>
      </c>
      <c r="C463" s="6" t="inlineStr">
        <is>
          <t>2003-03-31</t>
        </is>
      </c>
      <c r="D463" s="6" t="inlineStr">
        <is>
          <t>month</t>
        </is>
      </c>
      <c r="E463" s="6" t="inlineStr">
        <is>
          <t>YACYRETA_NET_ENERGY</t>
        </is>
      </c>
      <c r="F463" s="6" t="inlineStr">
        <is>
          <t>YACYRETA</t>
        </is>
      </c>
      <c r="G463" s="6" t="inlineStr">
        <is>
          <t>YACYRETA</t>
        </is>
      </c>
      <c r="H463" s="6" t="inlineStr">
        <is>
          <t>TOTAL</t>
        </is>
      </c>
      <c r="I463" s="8" t="n">
        <v>1216206</v>
      </c>
      <c r="J463" s="6" t="inlineStr">
        <is>
          <t>MWh</t>
        </is>
      </c>
      <c r="K463" s="8" t="n">
        <v>1216206</v>
      </c>
      <c r="L463" s="6" t="inlineStr">
        <is>
          <t>MWh</t>
        </is>
      </c>
      <c r="M463" s="6" t="inlineStr">
        <is>
          <t>EBY</t>
        </is>
      </c>
      <c r="N463" s="6" t="inlineStr">
        <is>
          <t>OFFICIAL_PRIMARY</t>
        </is>
      </c>
      <c r="O463" s="9" t="inlineStr">
        <is>
          <t>OFFICIAL_AGGREGATE</t>
        </is>
      </c>
      <c r="P463" s="8" t="n">
        <v>1</v>
      </c>
      <c r="Q463" s="8" t="n">
        <v>50</v>
      </c>
      <c r="R463" s="7" t="inlineStr">
        <is>
          <t>https://www.eby.gov.py/wp-content/uploads/2019/12/YacyretaEnergiasMensualesDesdePuestaenMarcha.pdf</t>
        </is>
      </c>
      <c r="S463" s="6" t="inlineStr">
        <is>
          <t>EBY-MONTHLY-1994-2012</t>
        </is>
      </c>
      <c r="T463" s="6" t="inlineStr"/>
      <c r="U463" s="4" t="inlineStr">
        <is>
          <t>2026-09-10 23:00:00</t>
        </is>
      </c>
      <c r="V463" s="4" t="inlineStr">
        <is>
          <t>Energia mensual Yacyreta desde puesta en marcha.</t>
        </is>
      </c>
    </row>
    <row r="464">
      <c r="A464" s="6" t="inlineStr">
        <is>
          <t>R0000468</t>
        </is>
      </c>
      <c r="B464" s="6" t="inlineStr">
        <is>
          <t>2003-03-01</t>
        </is>
      </c>
      <c r="C464" s="6" t="inlineStr">
        <is>
          <t>2003-03-31</t>
        </is>
      </c>
      <c r="D464" s="6" t="inlineStr">
        <is>
          <t>month</t>
        </is>
      </c>
      <c r="E464" s="6" t="inlineStr">
        <is>
          <t>ENERGY_TO_ARGENTINA</t>
        </is>
      </c>
      <c r="F464" s="6" t="inlineStr">
        <is>
          <t>YACYRETA</t>
        </is>
      </c>
      <c r="G464" s="6" t="inlineStr">
        <is>
          <t>YACYRETA</t>
        </is>
      </c>
      <c r="H464" s="6" t="inlineStr">
        <is>
          <t>SADI</t>
        </is>
      </c>
      <c r="I464" s="8" t="n">
        <v>1208878</v>
      </c>
      <c r="J464" s="6" t="inlineStr">
        <is>
          <t>MWh</t>
        </is>
      </c>
      <c r="K464" s="8" t="n">
        <v>1208878</v>
      </c>
      <c r="L464" s="6" t="inlineStr">
        <is>
          <t>MWh</t>
        </is>
      </c>
      <c r="M464" s="6" t="inlineStr">
        <is>
          <t>EBY</t>
        </is>
      </c>
      <c r="N464" s="6" t="inlineStr">
        <is>
          <t>OFFICIAL_PRIMARY</t>
        </is>
      </c>
      <c r="O464" s="9" t="inlineStr">
        <is>
          <t>OFFICIAL_AGGREGATE</t>
        </is>
      </c>
      <c r="P464" s="8" t="n">
        <v>1</v>
      </c>
      <c r="Q464" s="8" t="n">
        <v>50</v>
      </c>
      <c r="R464" s="7" t="inlineStr">
        <is>
          <t>https://www.eby.gov.py/wp-content/uploads/2019/12/YacyretaEnergiasMensualesDesdePuestaenMarcha.pdf</t>
        </is>
      </c>
      <c r="S464" s="6" t="inlineStr">
        <is>
          <t>EBY-MONTHLY-1994-2012</t>
        </is>
      </c>
      <c r="T464" s="6" t="inlineStr"/>
      <c r="U464" s="4" t="inlineStr">
        <is>
          <t>2026-09-10 23:00:00</t>
        </is>
      </c>
      <c r="V464" s="4" t="inlineStr">
        <is>
          <t>Energia mensual entregada al SADI.</t>
        </is>
      </c>
    </row>
    <row r="465">
      <c r="A465" s="6" t="inlineStr">
        <is>
          <t>R0000469</t>
        </is>
      </c>
      <c r="B465" s="6" t="inlineStr">
        <is>
          <t>2003-03-01</t>
        </is>
      </c>
      <c r="C465" s="6" t="inlineStr">
        <is>
          <t>2003-03-31</t>
        </is>
      </c>
      <c r="D465" s="6" t="inlineStr">
        <is>
          <t>month</t>
        </is>
      </c>
      <c r="E465" s="6" t="inlineStr">
        <is>
          <t>ENERGY_TO_PY</t>
        </is>
      </c>
      <c r="F465" s="6" t="inlineStr">
        <is>
          <t>YACYRETA</t>
        </is>
      </c>
      <c r="G465" s="6" t="inlineStr">
        <is>
          <t>YACYRETA</t>
        </is>
      </c>
      <c r="H465" s="6" t="inlineStr">
        <is>
          <t>SINP</t>
        </is>
      </c>
      <c r="I465" s="8" t="n">
        <v>7328</v>
      </c>
      <c r="J465" s="6" t="inlineStr">
        <is>
          <t>MWh</t>
        </is>
      </c>
      <c r="K465" s="8" t="n">
        <v>7328</v>
      </c>
      <c r="L465" s="6" t="inlineStr">
        <is>
          <t>MWh</t>
        </is>
      </c>
      <c r="M465" s="6" t="inlineStr">
        <is>
          <t>EBY</t>
        </is>
      </c>
      <c r="N465" s="6" t="inlineStr">
        <is>
          <t>OFFICIAL_PRIMARY</t>
        </is>
      </c>
      <c r="O465" s="9" t="inlineStr">
        <is>
          <t>OFFICIAL_AGGREGATE</t>
        </is>
      </c>
      <c r="P465" s="8" t="n">
        <v>1</v>
      </c>
      <c r="Q465" s="8" t="n">
        <v>50</v>
      </c>
      <c r="R465" s="7" t="inlineStr">
        <is>
          <t>https://www.eby.gov.py/wp-content/uploads/2019/12/YacyretaEnergiasMensualesDesdePuestaenMarcha.pdf</t>
        </is>
      </c>
      <c r="S465" s="6" t="inlineStr">
        <is>
          <t>EBY-MONTHLY-1994-2012</t>
        </is>
      </c>
      <c r="T465" s="6" t="inlineStr"/>
      <c r="U465" s="4" t="inlineStr">
        <is>
          <t>2026-09-10 23:00:00</t>
        </is>
      </c>
      <c r="V465" s="4" t="inlineStr">
        <is>
          <t>Energia mensual entregada al SINP.</t>
        </is>
      </c>
    </row>
    <row r="466">
      <c r="A466" s="6" t="inlineStr">
        <is>
          <t>R0000470</t>
        </is>
      </c>
      <c r="B466" s="6" t="inlineStr">
        <is>
          <t>2003-04-01</t>
        </is>
      </c>
      <c r="C466" s="6" t="inlineStr">
        <is>
          <t>2003-04-30</t>
        </is>
      </c>
      <c r="D466" s="6" t="inlineStr">
        <is>
          <t>month</t>
        </is>
      </c>
      <c r="E466" s="6" t="inlineStr">
        <is>
          <t>YACYRETA_NET_ENERGY</t>
        </is>
      </c>
      <c r="F466" s="6" t="inlineStr">
        <is>
          <t>YACYRETA</t>
        </is>
      </c>
      <c r="G466" s="6" t="inlineStr">
        <is>
          <t>YACYRETA</t>
        </is>
      </c>
      <c r="H466" s="6" t="inlineStr">
        <is>
          <t>TOTAL</t>
        </is>
      </c>
      <c r="I466" s="8" t="n">
        <v>1099128</v>
      </c>
      <c r="J466" s="6" t="inlineStr">
        <is>
          <t>MWh</t>
        </is>
      </c>
      <c r="K466" s="8" t="n">
        <v>1099128</v>
      </c>
      <c r="L466" s="6" t="inlineStr">
        <is>
          <t>MWh</t>
        </is>
      </c>
      <c r="M466" s="6" t="inlineStr">
        <is>
          <t>EBY</t>
        </is>
      </c>
      <c r="N466" s="6" t="inlineStr">
        <is>
          <t>OFFICIAL_PRIMARY</t>
        </is>
      </c>
      <c r="O466" s="9" t="inlineStr">
        <is>
          <t>OFFICIAL_AGGREGATE</t>
        </is>
      </c>
      <c r="P466" s="8" t="n">
        <v>1</v>
      </c>
      <c r="Q466" s="8" t="n">
        <v>50</v>
      </c>
      <c r="R466" s="7" t="inlineStr">
        <is>
          <t>https://www.eby.gov.py/wp-content/uploads/2019/12/YacyretaEnergiasMensualesDesdePuestaenMarcha.pdf</t>
        </is>
      </c>
      <c r="S466" s="6" t="inlineStr">
        <is>
          <t>EBY-MONTHLY-1994-2012</t>
        </is>
      </c>
      <c r="T466" s="6" t="inlineStr"/>
      <c r="U466" s="4" t="inlineStr">
        <is>
          <t>2026-09-10 23:00:00</t>
        </is>
      </c>
      <c r="V466" s="4" t="inlineStr">
        <is>
          <t>Energia mensual Yacyreta desde puesta en marcha.</t>
        </is>
      </c>
    </row>
    <row r="467">
      <c r="A467" s="6" t="inlineStr">
        <is>
          <t>R0000471</t>
        </is>
      </c>
      <c r="B467" s="6" t="inlineStr">
        <is>
          <t>2003-04-01</t>
        </is>
      </c>
      <c r="C467" s="6" t="inlineStr">
        <is>
          <t>2003-04-30</t>
        </is>
      </c>
      <c r="D467" s="6" t="inlineStr">
        <is>
          <t>month</t>
        </is>
      </c>
      <c r="E467" s="6" t="inlineStr">
        <is>
          <t>ENERGY_TO_ARGENTINA</t>
        </is>
      </c>
      <c r="F467" s="6" t="inlineStr">
        <is>
          <t>YACYRETA</t>
        </is>
      </c>
      <c r="G467" s="6" t="inlineStr">
        <is>
          <t>YACYRETA</t>
        </is>
      </c>
      <c r="H467" s="6" t="inlineStr">
        <is>
          <t>SADI</t>
        </is>
      </c>
      <c r="I467" s="8" t="n">
        <v>1091350</v>
      </c>
      <c r="J467" s="6" t="inlineStr">
        <is>
          <t>MWh</t>
        </is>
      </c>
      <c r="K467" s="8" t="n">
        <v>1091350</v>
      </c>
      <c r="L467" s="6" t="inlineStr">
        <is>
          <t>MWh</t>
        </is>
      </c>
      <c r="M467" s="6" t="inlineStr">
        <is>
          <t>EBY</t>
        </is>
      </c>
      <c r="N467" s="6" t="inlineStr">
        <is>
          <t>OFFICIAL_PRIMARY</t>
        </is>
      </c>
      <c r="O467" s="9" t="inlineStr">
        <is>
          <t>OFFICIAL_AGGREGATE</t>
        </is>
      </c>
      <c r="P467" s="8" t="n">
        <v>1</v>
      </c>
      <c r="Q467" s="8" t="n">
        <v>50</v>
      </c>
      <c r="R467" s="7" t="inlineStr">
        <is>
          <t>https://www.eby.gov.py/wp-content/uploads/2019/12/YacyretaEnergiasMensualesDesdePuestaenMarcha.pdf</t>
        </is>
      </c>
      <c r="S467" s="6" t="inlineStr">
        <is>
          <t>EBY-MONTHLY-1994-2012</t>
        </is>
      </c>
      <c r="T467" s="6" t="inlineStr"/>
      <c r="U467" s="4" t="inlineStr">
        <is>
          <t>2026-09-10 23:00:00</t>
        </is>
      </c>
      <c r="V467" s="4" t="inlineStr">
        <is>
          <t>Energia mensual entregada al SADI.</t>
        </is>
      </c>
    </row>
    <row r="468">
      <c r="A468" s="6" t="inlineStr">
        <is>
          <t>R0000472</t>
        </is>
      </c>
      <c r="B468" s="6" t="inlineStr">
        <is>
          <t>2003-04-01</t>
        </is>
      </c>
      <c r="C468" s="6" t="inlineStr">
        <is>
          <t>2003-04-30</t>
        </is>
      </c>
      <c r="D468" s="6" t="inlineStr">
        <is>
          <t>month</t>
        </is>
      </c>
      <c r="E468" s="6" t="inlineStr">
        <is>
          <t>ENERGY_TO_PY</t>
        </is>
      </c>
      <c r="F468" s="6" t="inlineStr">
        <is>
          <t>YACYRETA</t>
        </is>
      </c>
      <c r="G468" s="6" t="inlineStr">
        <is>
          <t>YACYRETA</t>
        </is>
      </c>
      <c r="H468" s="6" t="inlineStr">
        <is>
          <t>SINP</t>
        </is>
      </c>
      <c r="I468" s="8" t="n">
        <v>7778</v>
      </c>
      <c r="J468" s="6" t="inlineStr">
        <is>
          <t>MWh</t>
        </is>
      </c>
      <c r="K468" s="8" t="n">
        <v>7778</v>
      </c>
      <c r="L468" s="6" t="inlineStr">
        <is>
          <t>MWh</t>
        </is>
      </c>
      <c r="M468" s="6" t="inlineStr">
        <is>
          <t>EBY</t>
        </is>
      </c>
      <c r="N468" s="6" t="inlineStr">
        <is>
          <t>OFFICIAL_PRIMARY</t>
        </is>
      </c>
      <c r="O468" s="9" t="inlineStr">
        <is>
          <t>OFFICIAL_AGGREGATE</t>
        </is>
      </c>
      <c r="P468" s="8" t="n">
        <v>1</v>
      </c>
      <c r="Q468" s="8" t="n">
        <v>50</v>
      </c>
      <c r="R468" s="7" t="inlineStr">
        <is>
          <t>https://www.eby.gov.py/wp-content/uploads/2019/12/YacyretaEnergiasMensualesDesdePuestaenMarcha.pdf</t>
        </is>
      </c>
      <c r="S468" s="6" t="inlineStr">
        <is>
          <t>EBY-MONTHLY-1994-2012</t>
        </is>
      </c>
      <c r="T468" s="6" t="inlineStr"/>
      <c r="U468" s="4" t="inlineStr">
        <is>
          <t>2026-09-10 23:00:00</t>
        </is>
      </c>
      <c r="V468" s="4" t="inlineStr">
        <is>
          <t>Energia mensual entregada al SINP.</t>
        </is>
      </c>
    </row>
    <row r="469">
      <c r="A469" s="6" t="inlineStr">
        <is>
          <t>R0000473</t>
        </is>
      </c>
      <c r="B469" s="6" t="inlineStr">
        <is>
          <t>2003-05-01</t>
        </is>
      </c>
      <c r="C469" s="6" t="inlineStr">
        <is>
          <t>2003-05-31</t>
        </is>
      </c>
      <c r="D469" s="6" t="inlineStr">
        <is>
          <t>month</t>
        </is>
      </c>
      <c r="E469" s="6" t="inlineStr">
        <is>
          <t>YACYRETA_NET_ENERGY</t>
        </is>
      </c>
      <c r="F469" s="6" t="inlineStr">
        <is>
          <t>YACYRETA</t>
        </is>
      </c>
      <c r="G469" s="6" t="inlineStr">
        <is>
          <t>YACYRETA</t>
        </is>
      </c>
      <c r="H469" s="6" t="inlineStr">
        <is>
          <t>TOTAL</t>
        </is>
      </c>
      <c r="I469" s="8" t="n">
        <v>984325</v>
      </c>
      <c r="J469" s="6" t="inlineStr">
        <is>
          <t>MWh</t>
        </is>
      </c>
      <c r="K469" s="8" t="n">
        <v>984325</v>
      </c>
      <c r="L469" s="6" t="inlineStr">
        <is>
          <t>MWh</t>
        </is>
      </c>
      <c r="M469" s="6" t="inlineStr">
        <is>
          <t>EBY</t>
        </is>
      </c>
      <c r="N469" s="6" t="inlineStr">
        <is>
          <t>OFFICIAL_PRIMARY</t>
        </is>
      </c>
      <c r="O469" s="9" t="inlineStr">
        <is>
          <t>OFFICIAL_AGGREGATE</t>
        </is>
      </c>
      <c r="P469" s="8" t="n">
        <v>1</v>
      </c>
      <c r="Q469" s="8" t="n">
        <v>50</v>
      </c>
      <c r="R469" s="7" t="inlineStr">
        <is>
          <t>https://www.eby.gov.py/wp-content/uploads/2019/12/YacyretaEnergiasMensualesDesdePuestaenMarcha.pdf</t>
        </is>
      </c>
      <c r="S469" s="6" t="inlineStr">
        <is>
          <t>EBY-MONTHLY-1994-2012</t>
        </is>
      </c>
      <c r="T469" s="6" t="inlineStr"/>
      <c r="U469" s="4" t="inlineStr">
        <is>
          <t>2026-09-10 23:00:00</t>
        </is>
      </c>
      <c r="V469" s="4" t="inlineStr">
        <is>
          <t>Energia mensual Yacyreta desde puesta en marcha.</t>
        </is>
      </c>
    </row>
    <row r="470">
      <c r="A470" s="6" t="inlineStr">
        <is>
          <t>R0000474</t>
        </is>
      </c>
      <c r="B470" s="6" t="inlineStr">
        <is>
          <t>2003-05-01</t>
        </is>
      </c>
      <c r="C470" s="6" t="inlineStr">
        <is>
          <t>2003-05-31</t>
        </is>
      </c>
      <c r="D470" s="6" t="inlineStr">
        <is>
          <t>month</t>
        </is>
      </c>
      <c r="E470" s="6" t="inlineStr">
        <is>
          <t>ENERGY_TO_ARGENTINA</t>
        </is>
      </c>
      <c r="F470" s="6" t="inlineStr">
        <is>
          <t>YACYRETA</t>
        </is>
      </c>
      <c r="G470" s="6" t="inlineStr">
        <is>
          <t>YACYRETA</t>
        </is>
      </c>
      <c r="H470" s="6" t="inlineStr">
        <is>
          <t>SADI</t>
        </is>
      </c>
      <c r="I470" s="8" t="n">
        <v>981959</v>
      </c>
      <c r="J470" s="6" t="inlineStr">
        <is>
          <t>MWh</t>
        </is>
      </c>
      <c r="K470" s="8" t="n">
        <v>981959</v>
      </c>
      <c r="L470" s="6" t="inlineStr">
        <is>
          <t>MWh</t>
        </is>
      </c>
      <c r="M470" s="6" t="inlineStr">
        <is>
          <t>EBY</t>
        </is>
      </c>
      <c r="N470" s="6" t="inlineStr">
        <is>
          <t>OFFICIAL_PRIMARY</t>
        </is>
      </c>
      <c r="O470" s="9" t="inlineStr">
        <is>
          <t>OFFICIAL_AGGREGATE</t>
        </is>
      </c>
      <c r="P470" s="8" t="n">
        <v>1</v>
      </c>
      <c r="Q470" s="8" t="n">
        <v>50</v>
      </c>
      <c r="R470" s="7" t="inlineStr">
        <is>
          <t>https://www.eby.gov.py/wp-content/uploads/2019/12/YacyretaEnergiasMensualesDesdePuestaenMarcha.pdf</t>
        </is>
      </c>
      <c r="S470" s="6" t="inlineStr">
        <is>
          <t>EBY-MONTHLY-1994-2012</t>
        </is>
      </c>
      <c r="T470" s="6" t="inlineStr"/>
      <c r="U470" s="4" t="inlineStr">
        <is>
          <t>2026-09-10 23:00:00</t>
        </is>
      </c>
      <c r="V470" s="4" t="inlineStr">
        <is>
          <t>Energia mensual entregada al SADI.</t>
        </is>
      </c>
    </row>
    <row r="471">
      <c r="A471" s="6" t="inlineStr">
        <is>
          <t>R0000475</t>
        </is>
      </c>
      <c r="B471" s="6" t="inlineStr">
        <is>
          <t>2003-05-01</t>
        </is>
      </c>
      <c r="C471" s="6" t="inlineStr">
        <is>
          <t>2003-05-31</t>
        </is>
      </c>
      <c r="D471" s="6" t="inlineStr">
        <is>
          <t>month</t>
        </is>
      </c>
      <c r="E471" s="6" t="inlineStr">
        <is>
          <t>ENERGY_TO_PY</t>
        </is>
      </c>
      <c r="F471" s="6" t="inlineStr">
        <is>
          <t>YACYRETA</t>
        </is>
      </c>
      <c r="G471" s="6" t="inlineStr">
        <is>
          <t>YACYRETA</t>
        </is>
      </c>
      <c r="H471" s="6" t="inlineStr">
        <is>
          <t>SINP</t>
        </is>
      </c>
      <c r="I471" s="8" t="n">
        <v>2366</v>
      </c>
      <c r="J471" s="6" t="inlineStr">
        <is>
          <t>MWh</t>
        </is>
      </c>
      <c r="K471" s="8" t="n">
        <v>2366</v>
      </c>
      <c r="L471" s="6" t="inlineStr">
        <is>
          <t>MWh</t>
        </is>
      </c>
      <c r="M471" s="6" t="inlineStr">
        <is>
          <t>EBY</t>
        </is>
      </c>
      <c r="N471" s="6" t="inlineStr">
        <is>
          <t>OFFICIAL_PRIMARY</t>
        </is>
      </c>
      <c r="O471" s="9" t="inlineStr">
        <is>
          <t>OFFICIAL_AGGREGATE</t>
        </is>
      </c>
      <c r="P471" s="8" t="n">
        <v>1</v>
      </c>
      <c r="Q471" s="8" t="n">
        <v>50</v>
      </c>
      <c r="R471" s="7" t="inlineStr">
        <is>
          <t>https://www.eby.gov.py/wp-content/uploads/2019/12/YacyretaEnergiasMensualesDesdePuestaenMarcha.pdf</t>
        </is>
      </c>
      <c r="S471" s="6" t="inlineStr">
        <is>
          <t>EBY-MONTHLY-1994-2012</t>
        </is>
      </c>
      <c r="T471" s="6" t="inlineStr"/>
      <c r="U471" s="4" t="inlineStr">
        <is>
          <t>2026-09-10 23:00:00</t>
        </is>
      </c>
      <c r="V471" s="4" t="inlineStr">
        <is>
          <t>Energia mensual entregada al SINP.</t>
        </is>
      </c>
    </row>
    <row r="472">
      <c r="A472" s="6" t="inlineStr">
        <is>
          <t>R0000476</t>
        </is>
      </c>
      <c r="B472" s="6" t="inlineStr">
        <is>
          <t>2003-06-01</t>
        </is>
      </c>
      <c r="C472" s="6" t="inlineStr">
        <is>
          <t>2003-06-30</t>
        </is>
      </c>
      <c r="D472" s="6" t="inlineStr">
        <is>
          <t>month</t>
        </is>
      </c>
      <c r="E472" s="6" t="inlineStr">
        <is>
          <t>YACYRETA_NET_ENERGY</t>
        </is>
      </c>
      <c r="F472" s="6" t="inlineStr">
        <is>
          <t>YACYRETA</t>
        </is>
      </c>
      <c r="G472" s="6" t="inlineStr">
        <is>
          <t>YACYRETA</t>
        </is>
      </c>
      <c r="H472" s="6" t="inlineStr">
        <is>
          <t>TOTAL</t>
        </is>
      </c>
      <c r="I472" s="8" t="n">
        <v>944839</v>
      </c>
      <c r="J472" s="6" t="inlineStr">
        <is>
          <t>MWh</t>
        </is>
      </c>
      <c r="K472" s="8" t="n">
        <v>944839</v>
      </c>
      <c r="L472" s="6" t="inlineStr">
        <is>
          <t>MWh</t>
        </is>
      </c>
      <c r="M472" s="6" t="inlineStr">
        <is>
          <t>EBY</t>
        </is>
      </c>
      <c r="N472" s="6" t="inlineStr">
        <is>
          <t>OFFICIAL_PRIMARY</t>
        </is>
      </c>
      <c r="O472" s="9" t="inlineStr">
        <is>
          <t>OFFICIAL_AGGREGATE</t>
        </is>
      </c>
      <c r="P472" s="8" t="n">
        <v>1</v>
      </c>
      <c r="Q472" s="8" t="n">
        <v>50</v>
      </c>
      <c r="R472" s="7" t="inlineStr">
        <is>
          <t>https://www.eby.gov.py/wp-content/uploads/2019/12/YacyretaEnergiasMensualesDesdePuestaenMarcha.pdf</t>
        </is>
      </c>
      <c r="S472" s="6" t="inlineStr">
        <is>
          <t>EBY-MONTHLY-1994-2012</t>
        </is>
      </c>
      <c r="T472" s="6" t="inlineStr"/>
      <c r="U472" s="4" t="inlineStr">
        <is>
          <t>2026-09-10 23:00:00</t>
        </is>
      </c>
      <c r="V472" s="4" t="inlineStr">
        <is>
          <t>Energia mensual Yacyreta desde puesta en marcha.</t>
        </is>
      </c>
    </row>
    <row r="473">
      <c r="A473" s="6" t="inlineStr">
        <is>
          <t>R0000477</t>
        </is>
      </c>
      <c r="B473" s="6" t="inlineStr">
        <is>
          <t>2003-06-01</t>
        </is>
      </c>
      <c r="C473" s="6" t="inlineStr">
        <is>
          <t>2003-06-30</t>
        </is>
      </c>
      <c r="D473" s="6" t="inlineStr">
        <is>
          <t>month</t>
        </is>
      </c>
      <c r="E473" s="6" t="inlineStr">
        <is>
          <t>ENERGY_TO_ARGENTINA</t>
        </is>
      </c>
      <c r="F473" s="6" t="inlineStr">
        <is>
          <t>YACYRETA</t>
        </is>
      </c>
      <c r="G473" s="6" t="inlineStr">
        <is>
          <t>YACYRETA</t>
        </is>
      </c>
      <c r="H473" s="6" t="inlineStr">
        <is>
          <t>SADI</t>
        </is>
      </c>
      <c r="I473" s="8" t="n">
        <v>940623</v>
      </c>
      <c r="J473" s="6" t="inlineStr">
        <is>
          <t>MWh</t>
        </is>
      </c>
      <c r="K473" s="8" t="n">
        <v>940623</v>
      </c>
      <c r="L473" s="6" t="inlineStr">
        <is>
          <t>MWh</t>
        </is>
      </c>
      <c r="M473" s="6" t="inlineStr">
        <is>
          <t>EBY</t>
        </is>
      </c>
      <c r="N473" s="6" t="inlineStr">
        <is>
          <t>OFFICIAL_PRIMARY</t>
        </is>
      </c>
      <c r="O473" s="9" t="inlineStr">
        <is>
          <t>OFFICIAL_AGGREGATE</t>
        </is>
      </c>
      <c r="P473" s="8" t="n">
        <v>1</v>
      </c>
      <c r="Q473" s="8" t="n">
        <v>50</v>
      </c>
      <c r="R473" s="7" t="inlineStr">
        <is>
          <t>https://www.eby.gov.py/wp-content/uploads/2019/12/YacyretaEnergiasMensualesDesdePuestaenMarcha.pdf</t>
        </is>
      </c>
      <c r="S473" s="6" t="inlineStr">
        <is>
          <t>EBY-MONTHLY-1994-2012</t>
        </is>
      </c>
      <c r="T473" s="6" t="inlineStr"/>
      <c r="U473" s="4" t="inlineStr">
        <is>
          <t>2026-09-10 23:00:00</t>
        </is>
      </c>
      <c r="V473" s="4" t="inlineStr">
        <is>
          <t>Energia mensual entregada al SADI.</t>
        </is>
      </c>
    </row>
    <row r="474">
      <c r="A474" s="6" t="inlineStr">
        <is>
          <t>R0000478</t>
        </is>
      </c>
      <c r="B474" s="6" t="inlineStr">
        <is>
          <t>2003-06-01</t>
        </is>
      </c>
      <c r="C474" s="6" t="inlineStr">
        <is>
          <t>2003-06-30</t>
        </is>
      </c>
      <c r="D474" s="6" t="inlineStr">
        <is>
          <t>month</t>
        </is>
      </c>
      <c r="E474" s="6" t="inlineStr">
        <is>
          <t>ENERGY_TO_PY</t>
        </is>
      </c>
      <c r="F474" s="6" t="inlineStr">
        <is>
          <t>YACYRETA</t>
        </is>
      </c>
      <c r="G474" s="6" t="inlineStr">
        <is>
          <t>YACYRETA</t>
        </is>
      </c>
      <c r="H474" s="6" t="inlineStr">
        <is>
          <t>SINP</t>
        </is>
      </c>
      <c r="I474" s="8" t="n">
        <v>4216</v>
      </c>
      <c r="J474" s="6" t="inlineStr">
        <is>
          <t>MWh</t>
        </is>
      </c>
      <c r="K474" s="8" t="n">
        <v>4216</v>
      </c>
      <c r="L474" s="6" t="inlineStr">
        <is>
          <t>MWh</t>
        </is>
      </c>
      <c r="M474" s="6" t="inlineStr">
        <is>
          <t>EBY</t>
        </is>
      </c>
      <c r="N474" s="6" t="inlineStr">
        <is>
          <t>OFFICIAL_PRIMARY</t>
        </is>
      </c>
      <c r="O474" s="9" t="inlineStr">
        <is>
          <t>OFFICIAL_AGGREGATE</t>
        </is>
      </c>
      <c r="P474" s="8" t="n">
        <v>1</v>
      </c>
      <c r="Q474" s="8" t="n">
        <v>50</v>
      </c>
      <c r="R474" s="7" t="inlineStr">
        <is>
          <t>https://www.eby.gov.py/wp-content/uploads/2019/12/YacyretaEnergiasMensualesDesdePuestaenMarcha.pdf</t>
        </is>
      </c>
      <c r="S474" s="6" t="inlineStr">
        <is>
          <t>EBY-MONTHLY-1994-2012</t>
        </is>
      </c>
      <c r="T474" s="6" t="inlineStr"/>
      <c r="U474" s="4" t="inlineStr">
        <is>
          <t>2026-09-10 23:00:00</t>
        </is>
      </c>
      <c r="V474" s="4" t="inlineStr">
        <is>
          <t>Energia mensual entregada al SINP.</t>
        </is>
      </c>
    </row>
    <row r="475">
      <c r="A475" s="6" t="inlineStr">
        <is>
          <t>R0000479</t>
        </is>
      </c>
      <c r="B475" s="6" t="inlineStr">
        <is>
          <t>2003-07-01</t>
        </is>
      </c>
      <c r="C475" s="6" t="inlineStr">
        <is>
          <t>2003-07-31</t>
        </is>
      </c>
      <c r="D475" s="6" t="inlineStr">
        <is>
          <t>month</t>
        </is>
      </c>
      <c r="E475" s="6" t="inlineStr">
        <is>
          <t>YACYRETA_NET_ENERGY</t>
        </is>
      </c>
      <c r="F475" s="6" t="inlineStr">
        <is>
          <t>YACYRETA</t>
        </is>
      </c>
      <c r="G475" s="6" t="inlineStr">
        <is>
          <t>YACYRETA</t>
        </is>
      </c>
      <c r="H475" s="6" t="inlineStr">
        <is>
          <t>TOTAL</t>
        </is>
      </c>
      <c r="I475" s="8" t="n">
        <v>888297</v>
      </c>
      <c r="J475" s="6" t="inlineStr">
        <is>
          <t>MWh</t>
        </is>
      </c>
      <c r="K475" s="8" t="n">
        <v>888297</v>
      </c>
      <c r="L475" s="6" t="inlineStr">
        <is>
          <t>MWh</t>
        </is>
      </c>
      <c r="M475" s="6" t="inlineStr">
        <is>
          <t>EBY</t>
        </is>
      </c>
      <c r="N475" s="6" t="inlineStr">
        <is>
          <t>OFFICIAL_PRIMARY</t>
        </is>
      </c>
      <c r="O475" s="9" t="inlineStr">
        <is>
          <t>OFFICIAL_AGGREGATE</t>
        </is>
      </c>
      <c r="P475" s="8" t="n">
        <v>1</v>
      </c>
      <c r="Q475" s="8" t="n">
        <v>50</v>
      </c>
      <c r="R475" s="7" t="inlineStr">
        <is>
          <t>https://www.eby.gov.py/wp-content/uploads/2019/12/YacyretaEnergiasMensualesDesdePuestaenMarcha.pdf</t>
        </is>
      </c>
      <c r="S475" s="6" t="inlineStr">
        <is>
          <t>EBY-MONTHLY-1994-2012</t>
        </is>
      </c>
      <c r="T475" s="6" t="inlineStr"/>
      <c r="U475" s="4" t="inlineStr">
        <is>
          <t>2026-09-10 23:00:00</t>
        </is>
      </c>
      <c r="V475" s="4" t="inlineStr">
        <is>
          <t>Energia mensual Yacyreta desde puesta en marcha.</t>
        </is>
      </c>
    </row>
    <row r="476">
      <c r="A476" s="6" t="inlineStr">
        <is>
          <t>R0000480</t>
        </is>
      </c>
      <c r="B476" s="6" t="inlineStr">
        <is>
          <t>2003-07-01</t>
        </is>
      </c>
      <c r="C476" s="6" t="inlineStr">
        <is>
          <t>2003-07-31</t>
        </is>
      </c>
      <c r="D476" s="6" t="inlineStr">
        <is>
          <t>month</t>
        </is>
      </c>
      <c r="E476" s="6" t="inlineStr">
        <is>
          <t>ENERGY_TO_ARGENTINA</t>
        </is>
      </c>
      <c r="F476" s="6" t="inlineStr">
        <is>
          <t>YACYRETA</t>
        </is>
      </c>
      <c r="G476" s="6" t="inlineStr">
        <is>
          <t>YACYRETA</t>
        </is>
      </c>
      <c r="H476" s="6" t="inlineStr">
        <is>
          <t>SADI</t>
        </is>
      </c>
      <c r="I476" s="8" t="n">
        <v>883650</v>
      </c>
      <c r="J476" s="6" t="inlineStr">
        <is>
          <t>MWh</t>
        </is>
      </c>
      <c r="K476" s="8" t="n">
        <v>883650</v>
      </c>
      <c r="L476" s="6" t="inlineStr">
        <is>
          <t>MWh</t>
        </is>
      </c>
      <c r="M476" s="6" t="inlineStr">
        <is>
          <t>EBY</t>
        </is>
      </c>
      <c r="N476" s="6" t="inlineStr">
        <is>
          <t>OFFICIAL_PRIMARY</t>
        </is>
      </c>
      <c r="O476" s="9" t="inlineStr">
        <is>
          <t>OFFICIAL_AGGREGATE</t>
        </is>
      </c>
      <c r="P476" s="8" t="n">
        <v>1</v>
      </c>
      <c r="Q476" s="8" t="n">
        <v>50</v>
      </c>
      <c r="R476" s="7" t="inlineStr">
        <is>
          <t>https://www.eby.gov.py/wp-content/uploads/2019/12/YacyretaEnergiasMensualesDesdePuestaenMarcha.pdf</t>
        </is>
      </c>
      <c r="S476" s="6" t="inlineStr">
        <is>
          <t>EBY-MONTHLY-1994-2012</t>
        </is>
      </c>
      <c r="T476" s="6" t="inlineStr"/>
      <c r="U476" s="4" t="inlineStr">
        <is>
          <t>2026-09-10 23:00:00</t>
        </is>
      </c>
      <c r="V476" s="4" t="inlineStr">
        <is>
          <t>Energia mensual entregada al SADI.</t>
        </is>
      </c>
    </row>
    <row r="477">
      <c r="A477" s="6" t="inlineStr">
        <is>
          <t>R0000481</t>
        </is>
      </c>
      <c r="B477" s="6" t="inlineStr">
        <is>
          <t>2003-07-01</t>
        </is>
      </c>
      <c r="C477" s="6" t="inlineStr">
        <is>
          <t>2003-07-31</t>
        </is>
      </c>
      <c r="D477" s="6" t="inlineStr">
        <is>
          <t>month</t>
        </is>
      </c>
      <c r="E477" s="6" t="inlineStr">
        <is>
          <t>ENERGY_TO_PY</t>
        </is>
      </c>
      <c r="F477" s="6" t="inlineStr">
        <is>
          <t>YACYRETA</t>
        </is>
      </c>
      <c r="G477" s="6" t="inlineStr">
        <is>
          <t>YACYRETA</t>
        </is>
      </c>
      <c r="H477" s="6" t="inlineStr">
        <is>
          <t>SINP</t>
        </is>
      </c>
      <c r="I477" s="8" t="n">
        <v>4647</v>
      </c>
      <c r="J477" s="6" t="inlineStr">
        <is>
          <t>MWh</t>
        </is>
      </c>
      <c r="K477" s="8" t="n">
        <v>4647</v>
      </c>
      <c r="L477" s="6" t="inlineStr">
        <is>
          <t>MWh</t>
        </is>
      </c>
      <c r="M477" s="6" t="inlineStr">
        <is>
          <t>EBY</t>
        </is>
      </c>
      <c r="N477" s="6" t="inlineStr">
        <is>
          <t>OFFICIAL_PRIMARY</t>
        </is>
      </c>
      <c r="O477" s="9" t="inlineStr">
        <is>
          <t>OFFICIAL_AGGREGATE</t>
        </is>
      </c>
      <c r="P477" s="8" t="n">
        <v>1</v>
      </c>
      <c r="Q477" s="8" t="n">
        <v>50</v>
      </c>
      <c r="R477" s="7" t="inlineStr">
        <is>
          <t>https://www.eby.gov.py/wp-content/uploads/2019/12/YacyretaEnergiasMensualesDesdePuestaenMarcha.pdf</t>
        </is>
      </c>
      <c r="S477" s="6" t="inlineStr">
        <is>
          <t>EBY-MONTHLY-1994-2012</t>
        </is>
      </c>
      <c r="T477" s="6" t="inlineStr"/>
      <c r="U477" s="4" t="inlineStr">
        <is>
          <t>2026-09-10 23:00:00</t>
        </is>
      </c>
      <c r="V477" s="4" t="inlineStr">
        <is>
          <t>Energia mensual entregada al SINP.</t>
        </is>
      </c>
    </row>
    <row r="478">
      <c r="A478" s="6" t="inlineStr">
        <is>
          <t>R0000482</t>
        </is>
      </c>
      <c r="B478" s="6" t="inlineStr">
        <is>
          <t>2003-08-01</t>
        </is>
      </c>
      <c r="C478" s="6" t="inlineStr">
        <is>
          <t>2003-08-31</t>
        </is>
      </c>
      <c r="D478" s="6" t="inlineStr">
        <is>
          <t>month</t>
        </is>
      </c>
      <c r="E478" s="6" t="inlineStr">
        <is>
          <t>YACYRETA_NET_ENERGY</t>
        </is>
      </c>
      <c r="F478" s="6" t="inlineStr">
        <is>
          <t>YACYRETA</t>
        </is>
      </c>
      <c r="G478" s="6" t="inlineStr">
        <is>
          <t>YACYRETA</t>
        </is>
      </c>
      <c r="H478" s="6" t="inlineStr">
        <is>
          <t>TOTAL</t>
        </is>
      </c>
      <c r="I478" s="8" t="n">
        <v>894256</v>
      </c>
      <c r="J478" s="6" t="inlineStr">
        <is>
          <t>MWh</t>
        </is>
      </c>
      <c r="K478" s="8" t="n">
        <v>894256</v>
      </c>
      <c r="L478" s="6" t="inlineStr">
        <is>
          <t>MWh</t>
        </is>
      </c>
      <c r="M478" s="6" t="inlineStr">
        <is>
          <t>EBY</t>
        </is>
      </c>
      <c r="N478" s="6" t="inlineStr">
        <is>
          <t>OFFICIAL_PRIMARY</t>
        </is>
      </c>
      <c r="O478" s="9" t="inlineStr">
        <is>
          <t>OFFICIAL_AGGREGATE</t>
        </is>
      </c>
      <c r="P478" s="8" t="n">
        <v>1</v>
      </c>
      <c r="Q478" s="8" t="n">
        <v>50</v>
      </c>
      <c r="R478" s="7" t="inlineStr">
        <is>
          <t>https://www.eby.gov.py/wp-content/uploads/2019/12/YacyretaEnergiasMensualesDesdePuestaenMarcha.pdf</t>
        </is>
      </c>
      <c r="S478" s="6" t="inlineStr">
        <is>
          <t>EBY-MONTHLY-1994-2012</t>
        </is>
      </c>
      <c r="T478" s="6" t="inlineStr"/>
      <c r="U478" s="4" t="inlineStr">
        <is>
          <t>2026-09-10 23:00:00</t>
        </is>
      </c>
      <c r="V478" s="4" t="inlineStr">
        <is>
          <t>Energia mensual Yacyreta desde puesta en marcha.</t>
        </is>
      </c>
    </row>
    <row r="479">
      <c r="A479" s="6" t="inlineStr">
        <is>
          <t>R0000483</t>
        </is>
      </c>
      <c r="B479" s="6" t="inlineStr">
        <is>
          <t>2003-08-01</t>
        </is>
      </c>
      <c r="C479" s="6" t="inlineStr">
        <is>
          <t>2003-08-31</t>
        </is>
      </c>
      <c r="D479" s="6" t="inlineStr">
        <is>
          <t>month</t>
        </is>
      </c>
      <c r="E479" s="6" t="inlineStr">
        <is>
          <t>ENERGY_TO_ARGENTINA</t>
        </is>
      </c>
      <c r="F479" s="6" t="inlineStr">
        <is>
          <t>YACYRETA</t>
        </is>
      </c>
      <c r="G479" s="6" t="inlineStr">
        <is>
          <t>YACYRETA</t>
        </is>
      </c>
      <c r="H479" s="6" t="inlineStr">
        <is>
          <t>SADI</t>
        </is>
      </c>
      <c r="I479" s="8" t="n">
        <v>892576</v>
      </c>
      <c r="J479" s="6" t="inlineStr">
        <is>
          <t>MWh</t>
        </is>
      </c>
      <c r="K479" s="8" t="n">
        <v>892576</v>
      </c>
      <c r="L479" s="6" t="inlineStr">
        <is>
          <t>MWh</t>
        </is>
      </c>
      <c r="M479" s="6" t="inlineStr">
        <is>
          <t>EBY</t>
        </is>
      </c>
      <c r="N479" s="6" t="inlineStr">
        <is>
          <t>OFFICIAL_PRIMARY</t>
        </is>
      </c>
      <c r="O479" s="9" t="inlineStr">
        <is>
          <t>OFFICIAL_AGGREGATE</t>
        </is>
      </c>
      <c r="P479" s="8" t="n">
        <v>1</v>
      </c>
      <c r="Q479" s="8" t="n">
        <v>50</v>
      </c>
      <c r="R479" s="7" t="inlineStr">
        <is>
          <t>https://www.eby.gov.py/wp-content/uploads/2019/12/YacyretaEnergiasMensualesDesdePuestaenMarcha.pdf</t>
        </is>
      </c>
      <c r="S479" s="6" t="inlineStr">
        <is>
          <t>EBY-MONTHLY-1994-2012</t>
        </is>
      </c>
      <c r="T479" s="6" t="inlineStr"/>
      <c r="U479" s="4" t="inlineStr">
        <is>
          <t>2026-09-10 23:00:00</t>
        </is>
      </c>
      <c r="V479" s="4" t="inlineStr">
        <is>
          <t>Energia mensual entregada al SADI.</t>
        </is>
      </c>
    </row>
    <row r="480">
      <c r="A480" s="6" t="inlineStr">
        <is>
          <t>R0000484</t>
        </is>
      </c>
      <c r="B480" s="6" t="inlineStr">
        <is>
          <t>2003-08-01</t>
        </is>
      </c>
      <c r="C480" s="6" t="inlineStr">
        <is>
          <t>2003-08-31</t>
        </is>
      </c>
      <c r="D480" s="6" t="inlineStr">
        <is>
          <t>month</t>
        </is>
      </c>
      <c r="E480" s="6" t="inlineStr">
        <is>
          <t>ENERGY_TO_PY</t>
        </is>
      </c>
      <c r="F480" s="6" t="inlineStr">
        <is>
          <t>YACYRETA</t>
        </is>
      </c>
      <c r="G480" s="6" t="inlineStr">
        <is>
          <t>YACYRETA</t>
        </is>
      </c>
      <c r="H480" s="6" t="inlineStr">
        <is>
          <t>SINP</t>
        </is>
      </c>
      <c r="I480" s="8" t="n">
        <v>1680</v>
      </c>
      <c r="J480" s="6" t="inlineStr">
        <is>
          <t>MWh</t>
        </is>
      </c>
      <c r="K480" s="8" t="n">
        <v>1680</v>
      </c>
      <c r="L480" s="6" t="inlineStr">
        <is>
          <t>MWh</t>
        </is>
      </c>
      <c r="M480" s="6" t="inlineStr">
        <is>
          <t>EBY</t>
        </is>
      </c>
      <c r="N480" s="6" t="inlineStr">
        <is>
          <t>OFFICIAL_PRIMARY</t>
        </is>
      </c>
      <c r="O480" s="9" t="inlineStr">
        <is>
          <t>OFFICIAL_AGGREGATE</t>
        </is>
      </c>
      <c r="P480" s="8" t="n">
        <v>1</v>
      </c>
      <c r="Q480" s="8" t="n">
        <v>50</v>
      </c>
      <c r="R480" s="7" t="inlineStr">
        <is>
          <t>https://www.eby.gov.py/wp-content/uploads/2019/12/YacyretaEnergiasMensualesDesdePuestaenMarcha.pdf</t>
        </is>
      </c>
      <c r="S480" s="6" t="inlineStr">
        <is>
          <t>EBY-MONTHLY-1994-2012</t>
        </is>
      </c>
      <c r="T480" s="6" t="inlineStr"/>
      <c r="U480" s="4" t="inlineStr">
        <is>
          <t>2026-09-10 23:00:00</t>
        </is>
      </c>
      <c r="V480" s="4" t="inlineStr">
        <is>
          <t>Energia mensual entregada al SINP.</t>
        </is>
      </c>
    </row>
    <row r="481">
      <c r="A481" s="6" t="inlineStr">
        <is>
          <t>R0000485</t>
        </is>
      </c>
      <c r="B481" s="6" t="inlineStr">
        <is>
          <t>2003-09-01</t>
        </is>
      </c>
      <c r="C481" s="6" t="inlineStr">
        <is>
          <t>2003-09-30</t>
        </is>
      </c>
      <c r="D481" s="6" t="inlineStr">
        <is>
          <t>month</t>
        </is>
      </c>
      <c r="E481" s="6" t="inlineStr">
        <is>
          <t>YACYRETA_NET_ENERGY</t>
        </is>
      </c>
      <c r="F481" s="6" t="inlineStr">
        <is>
          <t>YACYRETA</t>
        </is>
      </c>
      <c r="G481" s="6" t="inlineStr">
        <is>
          <t>YACYRETA</t>
        </is>
      </c>
      <c r="H481" s="6" t="inlineStr">
        <is>
          <t>TOTAL</t>
        </is>
      </c>
      <c r="I481" s="8" t="n">
        <v>880796</v>
      </c>
      <c r="J481" s="6" t="inlineStr">
        <is>
          <t>MWh</t>
        </is>
      </c>
      <c r="K481" s="8" t="n">
        <v>880796</v>
      </c>
      <c r="L481" s="6" t="inlineStr">
        <is>
          <t>MWh</t>
        </is>
      </c>
      <c r="M481" s="6" t="inlineStr">
        <is>
          <t>EBY</t>
        </is>
      </c>
      <c r="N481" s="6" t="inlineStr">
        <is>
          <t>OFFICIAL_PRIMARY</t>
        </is>
      </c>
      <c r="O481" s="9" t="inlineStr">
        <is>
          <t>OFFICIAL_AGGREGATE</t>
        </is>
      </c>
      <c r="P481" s="8" t="n">
        <v>1</v>
      </c>
      <c r="Q481" s="8" t="n">
        <v>50</v>
      </c>
      <c r="R481" s="7" t="inlineStr">
        <is>
          <t>https://www.eby.gov.py/wp-content/uploads/2019/12/YacyretaEnergiasMensualesDesdePuestaenMarcha.pdf</t>
        </is>
      </c>
      <c r="S481" s="6" t="inlineStr">
        <is>
          <t>EBY-MONTHLY-1994-2012</t>
        </is>
      </c>
      <c r="T481" s="6" t="inlineStr"/>
      <c r="U481" s="4" t="inlineStr">
        <is>
          <t>2026-09-10 23:00:00</t>
        </is>
      </c>
      <c r="V481" s="4" t="inlineStr">
        <is>
          <t>Energia mensual Yacyreta desde puesta en marcha.</t>
        </is>
      </c>
    </row>
    <row r="482">
      <c r="A482" s="6" t="inlineStr">
        <is>
          <t>R0000486</t>
        </is>
      </c>
      <c r="B482" s="6" t="inlineStr">
        <is>
          <t>2003-09-01</t>
        </is>
      </c>
      <c r="C482" s="6" t="inlineStr">
        <is>
          <t>2003-09-30</t>
        </is>
      </c>
      <c r="D482" s="6" t="inlineStr">
        <is>
          <t>month</t>
        </is>
      </c>
      <c r="E482" s="6" t="inlineStr">
        <is>
          <t>ENERGY_TO_ARGENTINA</t>
        </is>
      </c>
      <c r="F482" s="6" t="inlineStr">
        <is>
          <t>YACYRETA</t>
        </is>
      </c>
      <c r="G482" s="6" t="inlineStr">
        <is>
          <t>YACYRETA</t>
        </is>
      </c>
      <c r="H482" s="6" t="inlineStr">
        <is>
          <t>SADI</t>
        </is>
      </c>
      <c r="I482" s="8" t="n">
        <v>877942</v>
      </c>
      <c r="J482" s="6" t="inlineStr">
        <is>
          <t>MWh</t>
        </is>
      </c>
      <c r="K482" s="8" t="n">
        <v>877942</v>
      </c>
      <c r="L482" s="6" t="inlineStr">
        <is>
          <t>MWh</t>
        </is>
      </c>
      <c r="M482" s="6" t="inlineStr">
        <is>
          <t>EBY</t>
        </is>
      </c>
      <c r="N482" s="6" t="inlineStr">
        <is>
          <t>OFFICIAL_PRIMARY</t>
        </is>
      </c>
      <c r="O482" s="9" t="inlineStr">
        <is>
          <t>OFFICIAL_AGGREGATE</t>
        </is>
      </c>
      <c r="P482" s="8" t="n">
        <v>1</v>
      </c>
      <c r="Q482" s="8" t="n">
        <v>50</v>
      </c>
      <c r="R482" s="7" t="inlineStr">
        <is>
          <t>https://www.eby.gov.py/wp-content/uploads/2019/12/YacyretaEnergiasMensualesDesdePuestaenMarcha.pdf</t>
        </is>
      </c>
      <c r="S482" s="6" t="inlineStr">
        <is>
          <t>EBY-MONTHLY-1994-2012</t>
        </is>
      </c>
      <c r="T482" s="6" t="inlineStr"/>
      <c r="U482" s="4" t="inlineStr">
        <is>
          <t>2026-09-10 23:00:00</t>
        </is>
      </c>
      <c r="V482" s="4" t="inlineStr">
        <is>
          <t>Energia mensual entregada al SADI.</t>
        </is>
      </c>
    </row>
    <row r="483">
      <c r="A483" s="6" t="inlineStr">
        <is>
          <t>R0000487</t>
        </is>
      </c>
      <c r="B483" s="6" t="inlineStr">
        <is>
          <t>2003-09-01</t>
        </is>
      </c>
      <c r="C483" s="6" t="inlineStr">
        <is>
          <t>2003-09-30</t>
        </is>
      </c>
      <c r="D483" s="6" t="inlineStr">
        <is>
          <t>month</t>
        </is>
      </c>
      <c r="E483" s="6" t="inlineStr">
        <is>
          <t>ENERGY_TO_PY</t>
        </is>
      </c>
      <c r="F483" s="6" t="inlineStr">
        <is>
          <t>YACYRETA</t>
        </is>
      </c>
      <c r="G483" s="6" t="inlineStr">
        <is>
          <t>YACYRETA</t>
        </is>
      </c>
      <c r="H483" s="6" t="inlineStr">
        <is>
          <t>SINP</t>
        </is>
      </c>
      <c r="I483" s="8" t="n">
        <v>2854</v>
      </c>
      <c r="J483" s="6" t="inlineStr">
        <is>
          <t>MWh</t>
        </is>
      </c>
      <c r="K483" s="8" t="n">
        <v>2854</v>
      </c>
      <c r="L483" s="6" t="inlineStr">
        <is>
          <t>MWh</t>
        </is>
      </c>
      <c r="M483" s="6" t="inlineStr">
        <is>
          <t>EBY</t>
        </is>
      </c>
      <c r="N483" s="6" t="inlineStr">
        <is>
          <t>OFFICIAL_PRIMARY</t>
        </is>
      </c>
      <c r="O483" s="9" t="inlineStr">
        <is>
          <t>OFFICIAL_AGGREGATE</t>
        </is>
      </c>
      <c r="P483" s="8" t="n">
        <v>1</v>
      </c>
      <c r="Q483" s="8" t="n">
        <v>50</v>
      </c>
      <c r="R483" s="7" t="inlineStr">
        <is>
          <t>https://www.eby.gov.py/wp-content/uploads/2019/12/YacyretaEnergiasMensualesDesdePuestaenMarcha.pdf</t>
        </is>
      </c>
      <c r="S483" s="6" t="inlineStr">
        <is>
          <t>EBY-MONTHLY-1994-2012</t>
        </is>
      </c>
      <c r="T483" s="6" t="inlineStr"/>
      <c r="U483" s="4" t="inlineStr">
        <is>
          <t>2026-09-10 23:00:00</t>
        </is>
      </c>
      <c r="V483" s="4" t="inlineStr">
        <is>
          <t>Energia mensual entregada al SINP.</t>
        </is>
      </c>
    </row>
    <row r="484">
      <c r="A484" s="6" t="inlineStr">
        <is>
          <t>R0000488</t>
        </is>
      </c>
      <c r="B484" s="6" t="inlineStr">
        <is>
          <t>2003-10-01</t>
        </is>
      </c>
      <c r="C484" s="6" t="inlineStr">
        <is>
          <t>2003-10-31</t>
        </is>
      </c>
      <c r="D484" s="6" t="inlineStr">
        <is>
          <t>month</t>
        </is>
      </c>
      <c r="E484" s="6" t="inlineStr">
        <is>
          <t>YACYRETA_NET_ENERGY</t>
        </is>
      </c>
      <c r="F484" s="6" t="inlineStr">
        <is>
          <t>YACYRETA</t>
        </is>
      </c>
      <c r="G484" s="6" t="inlineStr">
        <is>
          <t>YACYRETA</t>
        </is>
      </c>
      <c r="H484" s="6" t="inlineStr">
        <is>
          <t>TOTAL</t>
        </is>
      </c>
      <c r="I484" s="8" t="n">
        <v>1007082</v>
      </c>
      <c r="J484" s="6" t="inlineStr">
        <is>
          <t>MWh</t>
        </is>
      </c>
      <c r="K484" s="8" t="n">
        <v>1007082</v>
      </c>
      <c r="L484" s="6" t="inlineStr">
        <is>
          <t>MWh</t>
        </is>
      </c>
      <c r="M484" s="6" t="inlineStr">
        <is>
          <t>EBY</t>
        </is>
      </c>
      <c r="N484" s="6" t="inlineStr">
        <is>
          <t>OFFICIAL_PRIMARY</t>
        </is>
      </c>
      <c r="O484" s="9" t="inlineStr">
        <is>
          <t>OFFICIAL_AGGREGATE</t>
        </is>
      </c>
      <c r="P484" s="8" t="n">
        <v>1</v>
      </c>
      <c r="Q484" s="8" t="n">
        <v>50</v>
      </c>
      <c r="R484" s="7" t="inlineStr">
        <is>
          <t>https://www.eby.gov.py/wp-content/uploads/2019/12/YacyretaEnergiasMensualesDesdePuestaenMarcha.pdf</t>
        </is>
      </c>
      <c r="S484" s="6" t="inlineStr">
        <is>
          <t>EBY-MONTHLY-1994-2012</t>
        </is>
      </c>
      <c r="T484" s="6" t="inlineStr"/>
      <c r="U484" s="4" t="inlineStr">
        <is>
          <t>2026-09-10 23:00:00</t>
        </is>
      </c>
      <c r="V484" s="4" t="inlineStr">
        <is>
          <t>Energia mensual Yacyreta desde puesta en marcha.</t>
        </is>
      </c>
    </row>
    <row r="485">
      <c r="A485" s="6" t="inlineStr">
        <is>
          <t>R0000489</t>
        </is>
      </c>
      <c r="B485" s="6" t="inlineStr">
        <is>
          <t>2003-10-01</t>
        </is>
      </c>
      <c r="C485" s="6" t="inlineStr">
        <is>
          <t>2003-10-31</t>
        </is>
      </c>
      <c r="D485" s="6" t="inlineStr">
        <is>
          <t>month</t>
        </is>
      </c>
      <c r="E485" s="6" t="inlineStr">
        <is>
          <t>ENERGY_TO_ARGENTINA</t>
        </is>
      </c>
      <c r="F485" s="6" t="inlineStr">
        <is>
          <t>YACYRETA</t>
        </is>
      </c>
      <c r="G485" s="6" t="inlineStr">
        <is>
          <t>YACYRETA</t>
        </is>
      </c>
      <c r="H485" s="6" t="inlineStr">
        <is>
          <t>SADI</t>
        </is>
      </c>
      <c r="I485" s="8" t="n">
        <v>1006273</v>
      </c>
      <c r="J485" s="6" t="inlineStr">
        <is>
          <t>MWh</t>
        </is>
      </c>
      <c r="K485" s="8" t="n">
        <v>1006273</v>
      </c>
      <c r="L485" s="6" t="inlineStr">
        <is>
          <t>MWh</t>
        </is>
      </c>
      <c r="M485" s="6" t="inlineStr">
        <is>
          <t>EBY</t>
        </is>
      </c>
      <c r="N485" s="6" t="inlineStr">
        <is>
          <t>OFFICIAL_PRIMARY</t>
        </is>
      </c>
      <c r="O485" s="9" t="inlineStr">
        <is>
          <t>OFFICIAL_AGGREGATE</t>
        </is>
      </c>
      <c r="P485" s="8" t="n">
        <v>1</v>
      </c>
      <c r="Q485" s="8" t="n">
        <v>50</v>
      </c>
      <c r="R485" s="7" t="inlineStr">
        <is>
          <t>https://www.eby.gov.py/wp-content/uploads/2019/12/YacyretaEnergiasMensualesDesdePuestaenMarcha.pdf</t>
        </is>
      </c>
      <c r="S485" s="6" t="inlineStr">
        <is>
          <t>EBY-MONTHLY-1994-2012</t>
        </is>
      </c>
      <c r="T485" s="6" t="inlineStr"/>
      <c r="U485" s="4" t="inlineStr">
        <is>
          <t>2026-09-10 23:00:00</t>
        </is>
      </c>
      <c r="V485" s="4" t="inlineStr">
        <is>
          <t>Energia mensual entregada al SADI.</t>
        </is>
      </c>
    </row>
    <row r="486">
      <c r="A486" s="6" t="inlineStr">
        <is>
          <t>R0000490</t>
        </is>
      </c>
      <c r="B486" s="6" t="inlineStr">
        <is>
          <t>2003-10-01</t>
        </is>
      </c>
      <c r="C486" s="6" t="inlineStr">
        <is>
          <t>2003-10-31</t>
        </is>
      </c>
      <c r="D486" s="6" t="inlineStr">
        <is>
          <t>month</t>
        </is>
      </c>
      <c r="E486" s="6" t="inlineStr">
        <is>
          <t>ENERGY_TO_PY</t>
        </is>
      </c>
      <c r="F486" s="6" t="inlineStr">
        <is>
          <t>YACYRETA</t>
        </is>
      </c>
      <c r="G486" s="6" t="inlineStr">
        <is>
          <t>YACYRETA</t>
        </is>
      </c>
      <c r="H486" s="6" t="inlineStr">
        <is>
          <t>SINP</t>
        </is>
      </c>
      <c r="I486" s="8" t="n">
        <v>809</v>
      </c>
      <c r="J486" s="6" t="inlineStr">
        <is>
          <t>MWh</t>
        </is>
      </c>
      <c r="K486" s="8" t="n">
        <v>809</v>
      </c>
      <c r="L486" s="6" t="inlineStr">
        <is>
          <t>MWh</t>
        </is>
      </c>
      <c r="M486" s="6" t="inlineStr">
        <is>
          <t>EBY</t>
        </is>
      </c>
      <c r="N486" s="6" t="inlineStr">
        <is>
          <t>OFFICIAL_PRIMARY</t>
        </is>
      </c>
      <c r="O486" s="9" t="inlineStr">
        <is>
          <t>OFFICIAL_AGGREGATE</t>
        </is>
      </c>
      <c r="P486" s="8" t="n">
        <v>1</v>
      </c>
      <c r="Q486" s="8" t="n">
        <v>50</v>
      </c>
      <c r="R486" s="7" t="inlineStr">
        <is>
          <t>https://www.eby.gov.py/wp-content/uploads/2019/12/YacyretaEnergiasMensualesDesdePuestaenMarcha.pdf</t>
        </is>
      </c>
      <c r="S486" s="6" t="inlineStr">
        <is>
          <t>EBY-MONTHLY-1994-2012</t>
        </is>
      </c>
      <c r="T486" s="6" t="inlineStr"/>
      <c r="U486" s="4" t="inlineStr">
        <is>
          <t>2026-09-10 23:00:00</t>
        </is>
      </c>
      <c r="V486" s="4" t="inlineStr">
        <is>
          <t>Energia mensual entregada al SINP.</t>
        </is>
      </c>
    </row>
    <row r="487">
      <c r="A487" s="6" t="inlineStr">
        <is>
          <t>R0000491</t>
        </is>
      </c>
      <c r="B487" s="6" t="inlineStr">
        <is>
          <t>2003-11-01</t>
        </is>
      </c>
      <c r="C487" s="6" t="inlineStr">
        <is>
          <t>2003-11-30</t>
        </is>
      </c>
      <c r="D487" s="6" t="inlineStr">
        <is>
          <t>month</t>
        </is>
      </c>
      <c r="E487" s="6" t="inlineStr">
        <is>
          <t>YACYRETA_NET_ENERGY</t>
        </is>
      </c>
      <c r="F487" s="6" t="inlineStr">
        <is>
          <t>YACYRETA</t>
        </is>
      </c>
      <c r="G487" s="6" t="inlineStr">
        <is>
          <t>YACYRETA</t>
        </is>
      </c>
      <c r="H487" s="6" t="inlineStr">
        <is>
          <t>TOTAL</t>
        </is>
      </c>
      <c r="I487" s="8" t="n">
        <v>987886</v>
      </c>
      <c r="J487" s="6" t="inlineStr">
        <is>
          <t>MWh</t>
        </is>
      </c>
      <c r="K487" s="8" t="n">
        <v>987886</v>
      </c>
      <c r="L487" s="6" t="inlineStr">
        <is>
          <t>MWh</t>
        </is>
      </c>
      <c r="M487" s="6" t="inlineStr">
        <is>
          <t>EBY</t>
        </is>
      </c>
      <c r="N487" s="6" t="inlineStr">
        <is>
          <t>OFFICIAL_PRIMARY</t>
        </is>
      </c>
      <c r="O487" s="9" t="inlineStr">
        <is>
          <t>OFFICIAL_AGGREGATE</t>
        </is>
      </c>
      <c r="P487" s="8" t="n">
        <v>1</v>
      </c>
      <c r="Q487" s="8" t="n">
        <v>50</v>
      </c>
      <c r="R487" s="7" t="inlineStr">
        <is>
          <t>https://www.eby.gov.py/wp-content/uploads/2019/12/YacyretaEnergiasMensualesDesdePuestaenMarcha.pdf</t>
        </is>
      </c>
      <c r="S487" s="6" t="inlineStr">
        <is>
          <t>EBY-MONTHLY-1994-2012</t>
        </is>
      </c>
      <c r="T487" s="6" t="inlineStr"/>
      <c r="U487" s="4" t="inlineStr">
        <is>
          <t>2026-09-10 23:00:00</t>
        </is>
      </c>
      <c r="V487" s="4" t="inlineStr">
        <is>
          <t>Energia mensual Yacyreta desde puesta en marcha.</t>
        </is>
      </c>
    </row>
    <row r="488">
      <c r="A488" s="6" t="inlineStr">
        <is>
          <t>R0000492</t>
        </is>
      </c>
      <c r="B488" s="6" t="inlineStr">
        <is>
          <t>2003-11-01</t>
        </is>
      </c>
      <c r="C488" s="6" t="inlineStr">
        <is>
          <t>2003-11-30</t>
        </is>
      </c>
      <c r="D488" s="6" t="inlineStr">
        <is>
          <t>month</t>
        </is>
      </c>
      <c r="E488" s="6" t="inlineStr">
        <is>
          <t>ENERGY_TO_ARGENTINA</t>
        </is>
      </c>
      <c r="F488" s="6" t="inlineStr">
        <is>
          <t>YACYRETA</t>
        </is>
      </c>
      <c r="G488" s="6" t="inlineStr">
        <is>
          <t>YACYRETA</t>
        </is>
      </c>
      <c r="H488" s="6" t="inlineStr">
        <is>
          <t>SADI</t>
        </is>
      </c>
      <c r="I488" s="8" t="n">
        <v>969883</v>
      </c>
      <c r="J488" s="6" t="inlineStr">
        <is>
          <t>MWh</t>
        </is>
      </c>
      <c r="K488" s="8" t="n">
        <v>969883</v>
      </c>
      <c r="L488" s="6" t="inlineStr">
        <is>
          <t>MWh</t>
        </is>
      </c>
      <c r="M488" s="6" t="inlineStr">
        <is>
          <t>EBY</t>
        </is>
      </c>
      <c r="N488" s="6" t="inlineStr">
        <is>
          <t>OFFICIAL_PRIMARY</t>
        </is>
      </c>
      <c r="O488" s="9" t="inlineStr">
        <is>
          <t>OFFICIAL_AGGREGATE</t>
        </is>
      </c>
      <c r="P488" s="8" t="n">
        <v>1</v>
      </c>
      <c r="Q488" s="8" t="n">
        <v>50</v>
      </c>
      <c r="R488" s="7" t="inlineStr">
        <is>
          <t>https://www.eby.gov.py/wp-content/uploads/2019/12/YacyretaEnergiasMensualesDesdePuestaenMarcha.pdf</t>
        </is>
      </c>
      <c r="S488" s="6" t="inlineStr">
        <is>
          <t>EBY-MONTHLY-1994-2012</t>
        </is>
      </c>
      <c r="T488" s="6" t="inlineStr"/>
      <c r="U488" s="4" t="inlineStr">
        <is>
          <t>2026-09-10 23:00:00</t>
        </is>
      </c>
      <c r="V488" s="4" t="inlineStr">
        <is>
          <t>Energia mensual entregada al SADI.</t>
        </is>
      </c>
    </row>
    <row r="489">
      <c r="A489" s="6" t="inlineStr">
        <is>
          <t>R0000493</t>
        </is>
      </c>
      <c r="B489" s="6" t="inlineStr">
        <is>
          <t>2003-11-01</t>
        </is>
      </c>
      <c r="C489" s="6" t="inlineStr">
        <is>
          <t>2003-11-30</t>
        </is>
      </c>
      <c r="D489" s="6" t="inlineStr">
        <is>
          <t>month</t>
        </is>
      </c>
      <c r="E489" s="6" t="inlineStr">
        <is>
          <t>ENERGY_TO_PY</t>
        </is>
      </c>
      <c r="F489" s="6" t="inlineStr">
        <is>
          <t>YACYRETA</t>
        </is>
      </c>
      <c r="G489" s="6" t="inlineStr">
        <is>
          <t>YACYRETA</t>
        </is>
      </c>
      <c r="H489" s="6" t="inlineStr">
        <is>
          <t>SINP</t>
        </is>
      </c>
      <c r="I489" s="8" t="n">
        <v>18003</v>
      </c>
      <c r="J489" s="6" t="inlineStr">
        <is>
          <t>MWh</t>
        </is>
      </c>
      <c r="K489" s="8" t="n">
        <v>18003</v>
      </c>
      <c r="L489" s="6" t="inlineStr">
        <is>
          <t>MWh</t>
        </is>
      </c>
      <c r="M489" s="6" t="inlineStr">
        <is>
          <t>EBY</t>
        </is>
      </c>
      <c r="N489" s="6" t="inlineStr">
        <is>
          <t>OFFICIAL_PRIMARY</t>
        </is>
      </c>
      <c r="O489" s="9" t="inlineStr">
        <is>
          <t>OFFICIAL_AGGREGATE</t>
        </is>
      </c>
      <c r="P489" s="8" t="n">
        <v>1</v>
      </c>
      <c r="Q489" s="8" t="n">
        <v>50</v>
      </c>
      <c r="R489" s="7" t="inlineStr">
        <is>
          <t>https://www.eby.gov.py/wp-content/uploads/2019/12/YacyretaEnergiasMensualesDesdePuestaenMarcha.pdf</t>
        </is>
      </c>
      <c r="S489" s="6" t="inlineStr">
        <is>
          <t>EBY-MONTHLY-1994-2012</t>
        </is>
      </c>
      <c r="T489" s="6" t="inlineStr"/>
      <c r="U489" s="4" t="inlineStr">
        <is>
          <t>2026-09-10 23:00:00</t>
        </is>
      </c>
      <c r="V489" s="4" t="inlineStr">
        <is>
          <t>Energia mensual entregada al SINP.</t>
        </is>
      </c>
    </row>
    <row r="490">
      <c r="A490" s="6" t="inlineStr">
        <is>
          <t>R0000494</t>
        </is>
      </c>
      <c r="B490" s="6" t="inlineStr">
        <is>
          <t>2003-12-01</t>
        </is>
      </c>
      <c r="C490" s="6" t="inlineStr">
        <is>
          <t>2003-12-31</t>
        </is>
      </c>
      <c r="D490" s="6" t="inlineStr">
        <is>
          <t>month</t>
        </is>
      </c>
      <c r="E490" s="6" t="inlineStr">
        <is>
          <t>YACYRETA_NET_ENERGY</t>
        </is>
      </c>
      <c r="F490" s="6" t="inlineStr">
        <is>
          <t>YACYRETA</t>
        </is>
      </c>
      <c r="G490" s="6" t="inlineStr">
        <is>
          <t>YACYRETA</t>
        </is>
      </c>
      <c r="H490" s="6" t="inlineStr">
        <is>
          <t>TOTAL</t>
        </is>
      </c>
      <c r="I490" s="8" t="n">
        <v>995907</v>
      </c>
      <c r="J490" s="6" t="inlineStr">
        <is>
          <t>MWh</t>
        </is>
      </c>
      <c r="K490" s="8" t="n">
        <v>995907</v>
      </c>
      <c r="L490" s="6" t="inlineStr">
        <is>
          <t>MWh</t>
        </is>
      </c>
      <c r="M490" s="6" t="inlineStr">
        <is>
          <t>EBY</t>
        </is>
      </c>
      <c r="N490" s="6" t="inlineStr">
        <is>
          <t>OFFICIAL_PRIMARY</t>
        </is>
      </c>
      <c r="O490" s="9" t="inlineStr">
        <is>
          <t>OFFICIAL_AGGREGATE</t>
        </is>
      </c>
      <c r="P490" s="8" t="n">
        <v>1</v>
      </c>
      <c r="Q490" s="8" t="n">
        <v>50</v>
      </c>
      <c r="R490" s="7" t="inlineStr">
        <is>
          <t>https://www.eby.gov.py/wp-content/uploads/2019/12/YacyretaEnergiasMensualesDesdePuestaenMarcha.pdf</t>
        </is>
      </c>
      <c r="S490" s="6" t="inlineStr">
        <is>
          <t>EBY-MONTHLY-1994-2012</t>
        </is>
      </c>
      <c r="T490" s="6" t="inlineStr"/>
      <c r="U490" s="4" t="inlineStr">
        <is>
          <t>2026-09-10 23:00:00</t>
        </is>
      </c>
      <c r="V490" s="4" t="inlineStr">
        <is>
          <t>Energia mensual Yacyreta desde puesta en marcha.</t>
        </is>
      </c>
    </row>
    <row r="491">
      <c r="A491" s="6" t="inlineStr">
        <is>
          <t>R0000495</t>
        </is>
      </c>
      <c r="B491" s="6" t="inlineStr">
        <is>
          <t>2003-12-01</t>
        </is>
      </c>
      <c r="C491" s="6" t="inlineStr">
        <is>
          <t>2003-12-31</t>
        </is>
      </c>
      <c r="D491" s="6" t="inlineStr">
        <is>
          <t>month</t>
        </is>
      </c>
      <c r="E491" s="6" t="inlineStr">
        <is>
          <t>ENERGY_TO_ARGENTINA</t>
        </is>
      </c>
      <c r="F491" s="6" t="inlineStr">
        <is>
          <t>YACYRETA</t>
        </is>
      </c>
      <c r="G491" s="6" t="inlineStr">
        <is>
          <t>YACYRETA</t>
        </is>
      </c>
      <c r="H491" s="6" t="inlineStr">
        <is>
          <t>SADI</t>
        </is>
      </c>
      <c r="I491" s="8" t="n">
        <v>991948</v>
      </c>
      <c r="J491" s="6" t="inlineStr">
        <is>
          <t>MWh</t>
        </is>
      </c>
      <c r="K491" s="8" t="n">
        <v>991948</v>
      </c>
      <c r="L491" s="6" t="inlineStr">
        <is>
          <t>MWh</t>
        </is>
      </c>
      <c r="M491" s="6" t="inlineStr">
        <is>
          <t>EBY</t>
        </is>
      </c>
      <c r="N491" s="6" t="inlineStr">
        <is>
          <t>OFFICIAL_PRIMARY</t>
        </is>
      </c>
      <c r="O491" s="9" t="inlineStr">
        <is>
          <t>OFFICIAL_AGGREGATE</t>
        </is>
      </c>
      <c r="P491" s="8" t="n">
        <v>1</v>
      </c>
      <c r="Q491" s="8" t="n">
        <v>50</v>
      </c>
      <c r="R491" s="7" t="inlineStr">
        <is>
          <t>https://www.eby.gov.py/wp-content/uploads/2019/12/YacyretaEnergiasMensualesDesdePuestaenMarcha.pdf</t>
        </is>
      </c>
      <c r="S491" s="6" t="inlineStr">
        <is>
          <t>EBY-MONTHLY-1994-2012</t>
        </is>
      </c>
      <c r="T491" s="6" t="inlineStr"/>
      <c r="U491" s="4" t="inlineStr">
        <is>
          <t>2026-09-10 23:00:00</t>
        </is>
      </c>
      <c r="V491" s="4" t="inlineStr">
        <is>
          <t>Energia mensual entregada al SADI.</t>
        </is>
      </c>
    </row>
    <row r="492">
      <c r="A492" s="6" t="inlineStr">
        <is>
          <t>R0000496</t>
        </is>
      </c>
      <c r="B492" s="6" t="inlineStr">
        <is>
          <t>2003-12-01</t>
        </is>
      </c>
      <c r="C492" s="6" t="inlineStr">
        <is>
          <t>2003-12-31</t>
        </is>
      </c>
      <c r="D492" s="6" t="inlineStr">
        <is>
          <t>month</t>
        </is>
      </c>
      <c r="E492" s="6" t="inlineStr">
        <is>
          <t>ENERGY_TO_PY</t>
        </is>
      </c>
      <c r="F492" s="6" t="inlineStr">
        <is>
          <t>YACYRETA</t>
        </is>
      </c>
      <c r="G492" s="6" t="inlineStr">
        <is>
          <t>YACYRETA</t>
        </is>
      </c>
      <c r="H492" s="6" t="inlineStr">
        <is>
          <t>SINP</t>
        </is>
      </c>
      <c r="I492" s="8" t="n">
        <v>3959</v>
      </c>
      <c r="J492" s="6" t="inlineStr">
        <is>
          <t>MWh</t>
        </is>
      </c>
      <c r="K492" s="8" t="n">
        <v>3959</v>
      </c>
      <c r="L492" s="6" t="inlineStr">
        <is>
          <t>MWh</t>
        </is>
      </c>
      <c r="M492" s="6" t="inlineStr">
        <is>
          <t>EBY</t>
        </is>
      </c>
      <c r="N492" s="6" t="inlineStr">
        <is>
          <t>OFFICIAL_PRIMARY</t>
        </is>
      </c>
      <c r="O492" s="9" t="inlineStr">
        <is>
          <t>OFFICIAL_AGGREGATE</t>
        </is>
      </c>
      <c r="P492" s="8" t="n">
        <v>1</v>
      </c>
      <c r="Q492" s="8" t="n">
        <v>50</v>
      </c>
      <c r="R492" s="7" t="inlineStr">
        <is>
          <t>https://www.eby.gov.py/wp-content/uploads/2019/12/YacyretaEnergiasMensualesDesdePuestaenMarcha.pdf</t>
        </is>
      </c>
      <c r="S492" s="6" t="inlineStr">
        <is>
          <t>EBY-MONTHLY-1994-2012</t>
        </is>
      </c>
      <c r="T492" s="6" t="inlineStr"/>
      <c r="U492" s="4" t="inlineStr">
        <is>
          <t>2026-09-10 23:00:00</t>
        </is>
      </c>
      <c r="V492" s="4" t="inlineStr">
        <is>
          <t>Energia mensual entregada al SINP.</t>
        </is>
      </c>
    </row>
    <row r="493">
      <c r="A493" s="6" t="inlineStr">
        <is>
          <t>R0000497</t>
        </is>
      </c>
      <c r="B493" s="6" t="inlineStr">
        <is>
          <t>2004-01-01</t>
        </is>
      </c>
      <c r="C493" s="6" t="inlineStr">
        <is>
          <t>2004-01-31</t>
        </is>
      </c>
      <c r="D493" s="6" t="inlineStr">
        <is>
          <t>month</t>
        </is>
      </c>
      <c r="E493" s="6" t="inlineStr">
        <is>
          <t>YACYRETA_NET_ENERGY</t>
        </is>
      </c>
      <c r="F493" s="6" t="inlineStr">
        <is>
          <t>YACYRETA</t>
        </is>
      </c>
      <c r="G493" s="6" t="inlineStr">
        <is>
          <t>YACYRETA</t>
        </is>
      </c>
      <c r="H493" s="6" t="inlineStr">
        <is>
          <t>TOTAL</t>
        </is>
      </c>
      <c r="I493" s="8" t="n">
        <v>1037821</v>
      </c>
      <c r="J493" s="6" t="inlineStr">
        <is>
          <t>MWh</t>
        </is>
      </c>
      <c r="K493" s="8" t="n">
        <v>1037821</v>
      </c>
      <c r="L493" s="6" t="inlineStr">
        <is>
          <t>MWh</t>
        </is>
      </c>
      <c r="M493" s="6" t="inlineStr">
        <is>
          <t>EBY</t>
        </is>
      </c>
      <c r="N493" s="6" t="inlineStr">
        <is>
          <t>OFFICIAL_PRIMARY</t>
        </is>
      </c>
      <c r="O493" s="9" t="inlineStr">
        <is>
          <t>OFFICIAL_AGGREGATE</t>
        </is>
      </c>
      <c r="P493" s="8" t="n">
        <v>1</v>
      </c>
      <c r="Q493" s="8" t="n">
        <v>50</v>
      </c>
      <c r="R493" s="7" t="inlineStr">
        <is>
          <t>https://www.eby.gov.py/wp-content/uploads/2019/12/YacyretaEnergiasMensualesDesdePuestaenMarcha.pdf</t>
        </is>
      </c>
      <c r="S493" s="6" t="inlineStr">
        <is>
          <t>EBY-MONTHLY-1994-2012</t>
        </is>
      </c>
      <c r="T493" s="6" t="inlineStr"/>
      <c r="U493" s="4" t="inlineStr">
        <is>
          <t>2026-09-10 23:00:00</t>
        </is>
      </c>
      <c r="V493" s="4" t="inlineStr">
        <is>
          <t>Energia mensual Yacyreta desde puesta en marcha.</t>
        </is>
      </c>
    </row>
    <row r="494">
      <c r="A494" s="6" t="inlineStr">
        <is>
          <t>R0000498</t>
        </is>
      </c>
      <c r="B494" s="6" t="inlineStr">
        <is>
          <t>2004-01-01</t>
        </is>
      </c>
      <c r="C494" s="6" t="inlineStr">
        <is>
          <t>2004-01-31</t>
        </is>
      </c>
      <c r="D494" s="6" t="inlineStr">
        <is>
          <t>month</t>
        </is>
      </c>
      <c r="E494" s="6" t="inlineStr">
        <is>
          <t>ENERGY_TO_ARGENTINA</t>
        </is>
      </c>
      <c r="F494" s="6" t="inlineStr">
        <is>
          <t>YACYRETA</t>
        </is>
      </c>
      <c r="G494" s="6" t="inlineStr">
        <is>
          <t>YACYRETA</t>
        </is>
      </c>
      <c r="H494" s="6" t="inlineStr">
        <is>
          <t>SADI</t>
        </is>
      </c>
      <c r="I494" s="8" t="n">
        <v>1036812</v>
      </c>
      <c r="J494" s="6" t="inlineStr">
        <is>
          <t>MWh</t>
        </is>
      </c>
      <c r="K494" s="8" t="n">
        <v>1036812</v>
      </c>
      <c r="L494" s="6" t="inlineStr">
        <is>
          <t>MWh</t>
        </is>
      </c>
      <c r="M494" s="6" t="inlineStr">
        <is>
          <t>EBY</t>
        </is>
      </c>
      <c r="N494" s="6" t="inlineStr">
        <is>
          <t>OFFICIAL_PRIMARY</t>
        </is>
      </c>
      <c r="O494" s="9" t="inlineStr">
        <is>
          <t>OFFICIAL_AGGREGATE</t>
        </is>
      </c>
      <c r="P494" s="8" t="n">
        <v>1</v>
      </c>
      <c r="Q494" s="8" t="n">
        <v>50</v>
      </c>
      <c r="R494" s="7" t="inlineStr">
        <is>
          <t>https://www.eby.gov.py/wp-content/uploads/2019/12/YacyretaEnergiasMensualesDesdePuestaenMarcha.pdf</t>
        </is>
      </c>
      <c r="S494" s="6" t="inlineStr">
        <is>
          <t>EBY-MONTHLY-1994-2012</t>
        </is>
      </c>
      <c r="T494" s="6" t="inlineStr"/>
      <c r="U494" s="4" t="inlineStr">
        <is>
          <t>2026-09-10 23:00:00</t>
        </is>
      </c>
      <c r="V494" s="4" t="inlineStr">
        <is>
          <t>Energia mensual entregada al SADI.</t>
        </is>
      </c>
    </row>
    <row r="495">
      <c r="A495" s="6" t="inlineStr">
        <is>
          <t>R0000499</t>
        </is>
      </c>
      <c r="B495" s="6" t="inlineStr">
        <is>
          <t>2004-01-01</t>
        </is>
      </c>
      <c r="C495" s="6" t="inlineStr">
        <is>
          <t>2004-01-31</t>
        </is>
      </c>
      <c r="D495" s="6" t="inlineStr">
        <is>
          <t>month</t>
        </is>
      </c>
      <c r="E495" s="6" t="inlineStr">
        <is>
          <t>ENERGY_TO_PY</t>
        </is>
      </c>
      <c r="F495" s="6" t="inlineStr">
        <is>
          <t>YACYRETA</t>
        </is>
      </c>
      <c r="G495" s="6" t="inlineStr">
        <is>
          <t>YACYRETA</t>
        </is>
      </c>
      <c r="H495" s="6" t="inlineStr">
        <is>
          <t>SINP</t>
        </is>
      </c>
      <c r="I495" s="8" t="n">
        <v>1009</v>
      </c>
      <c r="J495" s="6" t="inlineStr">
        <is>
          <t>MWh</t>
        </is>
      </c>
      <c r="K495" s="8" t="n">
        <v>1009</v>
      </c>
      <c r="L495" s="6" t="inlineStr">
        <is>
          <t>MWh</t>
        </is>
      </c>
      <c r="M495" s="6" t="inlineStr">
        <is>
          <t>EBY</t>
        </is>
      </c>
      <c r="N495" s="6" t="inlineStr">
        <is>
          <t>OFFICIAL_PRIMARY</t>
        </is>
      </c>
      <c r="O495" s="9" t="inlineStr">
        <is>
          <t>OFFICIAL_AGGREGATE</t>
        </is>
      </c>
      <c r="P495" s="8" t="n">
        <v>1</v>
      </c>
      <c r="Q495" s="8" t="n">
        <v>50</v>
      </c>
      <c r="R495" s="7" t="inlineStr">
        <is>
          <t>https://www.eby.gov.py/wp-content/uploads/2019/12/YacyretaEnergiasMensualesDesdePuestaenMarcha.pdf</t>
        </is>
      </c>
      <c r="S495" s="6" t="inlineStr">
        <is>
          <t>EBY-MONTHLY-1994-2012</t>
        </is>
      </c>
      <c r="T495" s="6" t="inlineStr"/>
      <c r="U495" s="4" t="inlineStr">
        <is>
          <t>2026-09-10 23:00:00</t>
        </is>
      </c>
      <c r="V495" s="4" t="inlineStr">
        <is>
          <t>Energia mensual entregada al SINP.</t>
        </is>
      </c>
    </row>
    <row r="496">
      <c r="A496" s="6" t="inlineStr">
        <is>
          <t>R0000500</t>
        </is>
      </c>
      <c r="B496" s="6" t="inlineStr">
        <is>
          <t>2004-02-01</t>
        </is>
      </c>
      <c r="C496" s="6" t="inlineStr">
        <is>
          <t>2004-02-29</t>
        </is>
      </c>
      <c r="D496" s="6" t="inlineStr">
        <is>
          <t>month</t>
        </is>
      </c>
      <c r="E496" s="6" t="inlineStr">
        <is>
          <t>YACYRETA_NET_ENERGY</t>
        </is>
      </c>
      <c r="F496" s="6" t="inlineStr">
        <is>
          <t>YACYRETA</t>
        </is>
      </c>
      <c r="G496" s="6" t="inlineStr">
        <is>
          <t>YACYRETA</t>
        </is>
      </c>
      <c r="H496" s="6" t="inlineStr">
        <is>
          <t>TOTAL</t>
        </is>
      </c>
      <c r="I496" s="8" t="n">
        <v>872476</v>
      </c>
      <c r="J496" s="6" t="inlineStr">
        <is>
          <t>MWh</t>
        </is>
      </c>
      <c r="K496" s="8" t="n">
        <v>872476</v>
      </c>
      <c r="L496" s="6" t="inlineStr">
        <is>
          <t>MWh</t>
        </is>
      </c>
      <c r="M496" s="6" t="inlineStr">
        <is>
          <t>EBY</t>
        </is>
      </c>
      <c r="N496" s="6" t="inlineStr">
        <is>
          <t>OFFICIAL_PRIMARY</t>
        </is>
      </c>
      <c r="O496" s="9" t="inlineStr">
        <is>
          <t>OFFICIAL_AGGREGATE</t>
        </is>
      </c>
      <c r="P496" s="8" t="n">
        <v>1</v>
      </c>
      <c r="Q496" s="8" t="n">
        <v>50</v>
      </c>
      <c r="R496" s="7" t="inlineStr">
        <is>
          <t>https://www.eby.gov.py/wp-content/uploads/2019/12/YacyretaEnergiasMensualesDesdePuestaenMarcha.pdf</t>
        </is>
      </c>
      <c r="S496" s="6" t="inlineStr">
        <is>
          <t>EBY-MONTHLY-1994-2012</t>
        </is>
      </c>
      <c r="T496" s="6" t="inlineStr"/>
      <c r="U496" s="4" t="inlineStr">
        <is>
          <t>2026-09-10 23:00:00</t>
        </is>
      </c>
      <c r="V496" s="4" t="inlineStr">
        <is>
          <t>Energia mensual Yacyreta desde puesta en marcha.</t>
        </is>
      </c>
    </row>
    <row r="497">
      <c r="A497" s="6" t="inlineStr">
        <is>
          <t>R0000501</t>
        </is>
      </c>
      <c r="B497" s="6" t="inlineStr">
        <is>
          <t>2004-02-01</t>
        </is>
      </c>
      <c r="C497" s="6" t="inlineStr">
        <is>
          <t>2004-02-29</t>
        </is>
      </c>
      <c r="D497" s="6" t="inlineStr">
        <is>
          <t>month</t>
        </is>
      </c>
      <c r="E497" s="6" t="inlineStr">
        <is>
          <t>ENERGY_TO_ARGENTINA</t>
        </is>
      </c>
      <c r="F497" s="6" t="inlineStr">
        <is>
          <t>YACYRETA</t>
        </is>
      </c>
      <c r="G497" s="6" t="inlineStr">
        <is>
          <t>YACYRETA</t>
        </is>
      </c>
      <c r="H497" s="6" t="inlineStr">
        <is>
          <t>SADI</t>
        </is>
      </c>
      <c r="I497" s="8" t="n">
        <v>872263</v>
      </c>
      <c r="J497" s="6" t="inlineStr">
        <is>
          <t>MWh</t>
        </is>
      </c>
      <c r="K497" s="8" t="n">
        <v>872263</v>
      </c>
      <c r="L497" s="6" t="inlineStr">
        <is>
          <t>MWh</t>
        </is>
      </c>
      <c r="M497" s="6" t="inlineStr">
        <is>
          <t>EBY</t>
        </is>
      </c>
      <c r="N497" s="6" t="inlineStr">
        <is>
          <t>OFFICIAL_PRIMARY</t>
        </is>
      </c>
      <c r="O497" s="9" t="inlineStr">
        <is>
          <t>OFFICIAL_AGGREGATE</t>
        </is>
      </c>
      <c r="P497" s="8" t="n">
        <v>1</v>
      </c>
      <c r="Q497" s="8" t="n">
        <v>50</v>
      </c>
      <c r="R497" s="7" t="inlineStr">
        <is>
          <t>https://www.eby.gov.py/wp-content/uploads/2019/12/YacyretaEnergiasMensualesDesdePuestaenMarcha.pdf</t>
        </is>
      </c>
      <c r="S497" s="6" t="inlineStr">
        <is>
          <t>EBY-MONTHLY-1994-2012</t>
        </is>
      </c>
      <c r="T497" s="6" t="inlineStr"/>
      <c r="U497" s="4" t="inlineStr">
        <is>
          <t>2026-09-10 23:00:00</t>
        </is>
      </c>
      <c r="V497" s="4" t="inlineStr">
        <is>
          <t>Energia mensual entregada al SADI.</t>
        </is>
      </c>
    </row>
    <row r="498">
      <c r="A498" s="6" t="inlineStr">
        <is>
          <t>R0000502</t>
        </is>
      </c>
      <c r="B498" s="6" t="inlineStr">
        <is>
          <t>2004-02-01</t>
        </is>
      </c>
      <c r="C498" s="6" t="inlineStr">
        <is>
          <t>2004-02-29</t>
        </is>
      </c>
      <c r="D498" s="6" t="inlineStr">
        <is>
          <t>month</t>
        </is>
      </c>
      <c r="E498" s="6" t="inlineStr">
        <is>
          <t>ENERGY_TO_PY</t>
        </is>
      </c>
      <c r="F498" s="6" t="inlineStr">
        <is>
          <t>YACYRETA</t>
        </is>
      </c>
      <c r="G498" s="6" t="inlineStr">
        <is>
          <t>YACYRETA</t>
        </is>
      </c>
      <c r="H498" s="6" t="inlineStr">
        <is>
          <t>SINP</t>
        </is>
      </c>
      <c r="I498" s="8" t="n">
        <v>213</v>
      </c>
      <c r="J498" s="6" t="inlineStr">
        <is>
          <t>MWh</t>
        </is>
      </c>
      <c r="K498" s="8" t="n">
        <v>213</v>
      </c>
      <c r="L498" s="6" t="inlineStr">
        <is>
          <t>MWh</t>
        </is>
      </c>
      <c r="M498" s="6" t="inlineStr">
        <is>
          <t>EBY</t>
        </is>
      </c>
      <c r="N498" s="6" t="inlineStr">
        <is>
          <t>OFFICIAL_PRIMARY</t>
        </is>
      </c>
      <c r="O498" s="9" t="inlineStr">
        <is>
          <t>OFFICIAL_AGGREGATE</t>
        </is>
      </c>
      <c r="P498" s="8" t="n">
        <v>1</v>
      </c>
      <c r="Q498" s="8" t="n">
        <v>50</v>
      </c>
      <c r="R498" s="7" t="inlineStr">
        <is>
          <t>https://www.eby.gov.py/wp-content/uploads/2019/12/YacyretaEnergiasMensualesDesdePuestaenMarcha.pdf</t>
        </is>
      </c>
      <c r="S498" s="6" t="inlineStr">
        <is>
          <t>EBY-MONTHLY-1994-2012</t>
        </is>
      </c>
      <c r="T498" s="6" t="inlineStr"/>
      <c r="U498" s="4" t="inlineStr">
        <is>
          <t>2026-09-10 23:00:00</t>
        </is>
      </c>
      <c r="V498" s="4" t="inlineStr">
        <is>
          <t>Energia mensual entregada al SINP.</t>
        </is>
      </c>
    </row>
    <row r="499">
      <c r="A499" s="6" t="inlineStr">
        <is>
          <t>R0000503</t>
        </is>
      </c>
      <c r="B499" s="6" t="inlineStr">
        <is>
          <t>2004-03-01</t>
        </is>
      </c>
      <c r="C499" s="6" t="inlineStr">
        <is>
          <t>2004-03-31</t>
        </is>
      </c>
      <c r="D499" s="6" t="inlineStr">
        <is>
          <t>month</t>
        </is>
      </c>
      <c r="E499" s="6" t="inlineStr">
        <is>
          <t>YACYRETA_NET_ENERGY</t>
        </is>
      </c>
      <c r="F499" s="6" t="inlineStr">
        <is>
          <t>YACYRETA</t>
        </is>
      </c>
      <c r="G499" s="6" t="inlineStr">
        <is>
          <t>YACYRETA</t>
        </is>
      </c>
      <c r="H499" s="6" t="inlineStr">
        <is>
          <t>TOTAL</t>
        </is>
      </c>
      <c r="I499" s="8" t="n">
        <v>936063</v>
      </c>
      <c r="J499" s="6" t="inlineStr">
        <is>
          <t>MWh</t>
        </is>
      </c>
      <c r="K499" s="8" t="n">
        <v>936063</v>
      </c>
      <c r="L499" s="6" t="inlineStr">
        <is>
          <t>MWh</t>
        </is>
      </c>
      <c r="M499" s="6" t="inlineStr">
        <is>
          <t>EBY</t>
        </is>
      </c>
      <c r="N499" s="6" t="inlineStr">
        <is>
          <t>OFFICIAL_PRIMARY</t>
        </is>
      </c>
      <c r="O499" s="9" t="inlineStr">
        <is>
          <t>OFFICIAL_AGGREGATE</t>
        </is>
      </c>
      <c r="P499" s="8" t="n">
        <v>1</v>
      </c>
      <c r="Q499" s="8" t="n">
        <v>50</v>
      </c>
      <c r="R499" s="7" t="inlineStr">
        <is>
          <t>https://www.eby.gov.py/wp-content/uploads/2019/12/YacyretaEnergiasMensualesDesdePuestaenMarcha.pdf</t>
        </is>
      </c>
      <c r="S499" s="6" t="inlineStr">
        <is>
          <t>EBY-MONTHLY-1994-2012</t>
        </is>
      </c>
      <c r="T499" s="6" t="inlineStr"/>
      <c r="U499" s="4" t="inlineStr">
        <is>
          <t>2026-09-10 23:00:00</t>
        </is>
      </c>
      <c r="V499" s="4" t="inlineStr">
        <is>
          <t>Energia mensual Yacyreta desde puesta en marcha.</t>
        </is>
      </c>
    </row>
    <row r="500">
      <c r="A500" s="6" t="inlineStr">
        <is>
          <t>R0000504</t>
        </is>
      </c>
      <c r="B500" s="6" t="inlineStr">
        <is>
          <t>2004-03-01</t>
        </is>
      </c>
      <c r="C500" s="6" t="inlineStr">
        <is>
          <t>2004-03-31</t>
        </is>
      </c>
      <c r="D500" s="6" t="inlineStr">
        <is>
          <t>month</t>
        </is>
      </c>
      <c r="E500" s="6" t="inlineStr">
        <is>
          <t>ENERGY_TO_ARGENTINA</t>
        </is>
      </c>
      <c r="F500" s="6" t="inlineStr">
        <is>
          <t>YACYRETA</t>
        </is>
      </c>
      <c r="G500" s="6" t="inlineStr">
        <is>
          <t>YACYRETA</t>
        </is>
      </c>
      <c r="H500" s="6" t="inlineStr">
        <is>
          <t>SADI</t>
        </is>
      </c>
      <c r="I500" s="8" t="n">
        <v>935653</v>
      </c>
      <c r="J500" s="6" t="inlineStr">
        <is>
          <t>MWh</t>
        </is>
      </c>
      <c r="K500" s="8" t="n">
        <v>935653</v>
      </c>
      <c r="L500" s="6" t="inlineStr">
        <is>
          <t>MWh</t>
        </is>
      </c>
      <c r="M500" s="6" t="inlineStr">
        <is>
          <t>EBY</t>
        </is>
      </c>
      <c r="N500" s="6" t="inlineStr">
        <is>
          <t>OFFICIAL_PRIMARY</t>
        </is>
      </c>
      <c r="O500" s="9" t="inlineStr">
        <is>
          <t>OFFICIAL_AGGREGATE</t>
        </is>
      </c>
      <c r="P500" s="8" t="n">
        <v>1</v>
      </c>
      <c r="Q500" s="8" t="n">
        <v>50</v>
      </c>
      <c r="R500" s="7" t="inlineStr">
        <is>
          <t>https://www.eby.gov.py/wp-content/uploads/2019/12/YacyretaEnergiasMensualesDesdePuestaenMarcha.pdf</t>
        </is>
      </c>
      <c r="S500" s="6" t="inlineStr">
        <is>
          <t>EBY-MONTHLY-1994-2012</t>
        </is>
      </c>
      <c r="T500" s="6" t="inlineStr"/>
      <c r="U500" s="4" t="inlineStr">
        <is>
          <t>2026-09-10 23:00:00</t>
        </is>
      </c>
      <c r="V500" s="4" t="inlineStr">
        <is>
          <t>Energia mensual entregada al SADI.</t>
        </is>
      </c>
    </row>
    <row r="501">
      <c r="A501" s="6" t="inlineStr">
        <is>
          <t>R0000505</t>
        </is>
      </c>
      <c r="B501" s="6" t="inlineStr">
        <is>
          <t>2004-03-01</t>
        </is>
      </c>
      <c r="C501" s="6" t="inlineStr">
        <is>
          <t>2004-03-31</t>
        </is>
      </c>
      <c r="D501" s="6" t="inlineStr">
        <is>
          <t>month</t>
        </is>
      </c>
      <c r="E501" s="6" t="inlineStr">
        <is>
          <t>ENERGY_TO_PY</t>
        </is>
      </c>
      <c r="F501" s="6" t="inlineStr">
        <is>
          <t>YACYRETA</t>
        </is>
      </c>
      <c r="G501" s="6" t="inlineStr">
        <is>
          <t>YACYRETA</t>
        </is>
      </c>
      <c r="H501" s="6" t="inlineStr">
        <is>
          <t>SINP</t>
        </is>
      </c>
      <c r="I501" s="8" t="n">
        <v>410</v>
      </c>
      <c r="J501" s="6" t="inlineStr">
        <is>
          <t>MWh</t>
        </is>
      </c>
      <c r="K501" s="8" t="n">
        <v>410</v>
      </c>
      <c r="L501" s="6" t="inlineStr">
        <is>
          <t>MWh</t>
        </is>
      </c>
      <c r="M501" s="6" t="inlineStr">
        <is>
          <t>EBY</t>
        </is>
      </c>
      <c r="N501" s="6" t="inlineStr">
        <is>
          <t>OFFICIAL_PRIMARY</t>
        </is>
      </c>
      <c r="O501" s="9" t="inlineStr">
        <is>
          <t>OFFICIAL_AGGREGATE</t>
        </is>
      </c>
      <c r="P501" s="8" t="n">
        <v>1</v>
      </c>
      <c r="Q501" s="8" t="n">
        <v>50</v>
      </c>
      <c r="R501" s="7" t="inlineStr">
        <is>
          <t>https://www.eby.gov.py/wp-content/uploads/2019/12/YacyretaEnergiasMensualesDesdePuestaenMarcha.pdf</t>
        </is>
      </c>
      <c r="S501" s="6" t="inlineStr">
        <is>
          <t>EBY-MONTHLY-1994-2012</t>
        </is>
      </c>
      <c r="T501" s="6" t="inlineStr"/>
      <c r="U501" s="4" t="inlineStr">
        <is>
          <t>2026-09-10 23:00:00</t>
        </is>
      </c>
      <c r="V501" s="4" t="inlineStr">
        <is>
          <t>Energia mensual entregada al SINP.</t>
        </is>
      </c>
    </row>
    <row r="502">
      <c r="A502" s="6" t="inlineStr">
        <is>
          <t>R0000506</t>
        </is>
      </c>
      <c r="B502" s="6" t="inlineStr">
        <is>
          <t>2004-04-01</t>
        </is>
      </c>
      <c r="C502" s="6" t="inlineStr">
        <is>
          <t>2004-04-30</t>
        </is>
      </c>
      <c r="D502" s="6" t="inlineStr">
        <is>
          <t>month</t>
        </is>
      </c>
      <c r="E502" s="6" t="inlineStr">
        <is>
          <t>YACYRETA_NET_ENERGY</t>
        </is>
      </c>
      <c r="F502" s="6" t="inlineStr">
        <is>
          <t>YACYRETA</t>
        </is>
      </c>
      <c r="G502" s="6" t="inlineStr">
        <is>
          <t>YACYRETA</t>
        </is>
      </c>
      <c r="H502" s="6" t="inlineStr">
        <is>
          <t>TOTAL</t>
        </is>
      </c>
      <c r="I502" s="8" t="n">
        <v>887434</v>
      </c>
      <c r="J502" s="6" t="inlineStr">
        <is>
          <t>MWh</t>
        </is>
      </c>
      <c r="K502" s="8" t="n">
        <v>887434</v>
      </c>
      <c r="L502" s="6" t="inlineStr">
        <is>
          <t>MWh</t>
        </is>
      </c>
      <c r="M502" s="6" t="inlineStr">
        <is>
          <t>EBY</t>
        </is>
      </c>
      <c r="N502" s="6" t="inlineStr">
        <is>
          <t>OFFICIAL_PRIMARY</t>
        </is>
      </c>
      <c r="O502" s="9" t="inlineStr">
        <is>
          <t>OFFICIAL_AGGREGATE</t>
        </is>
      </c>
      <c r="P502" s="8" t="n">
        <v>1</v>
      </c>
      <c r="Q502" s="8" t="n">
        <v>50</v>
      </c>
      <c r="R502" s="7" t="inlineStr">
        <is>
          <t>https://www.eby.gov.py/wp-content/uploads/2019/12/YacyretaEnergiasMensualesDesdePuestaenMarcha.pdf</t>
        </is>
      </c>
      <c r="S502" s="6" t="inlineStr">
        <is>
          <t>EBY-MONTHLY-1994-2012</t>
        </is>
      </c>
      <c r="T502" s="6" t="inlineStr"/>
      <c r="U502" s="4" t="inlineStr">
        <is>
          <t>2026-09-10 23:00:00</t>
        </is>
      </c>
      <c r="V502" s="4" t="inlineStr">
        <is>
          <t>Energia mensual Yacyreta desde puesta en marcha.</t>
        </is>
      </c>
    </row>
    <row r="503">
      <c r="A503" s="6" t="inlineStr">
        <is>
          <t>R0000507</t>
        </is>
      </c>
      <c r="B503" s="6" t="inlineStr">
        <is>
          <t>2004-04-01</t>
        </is>
      </c>
      <c r="C503" s="6" t="inlineStr">
        <is>
          <t>2004-04-30</t>
        </is>
      </c>
      <c r="D503" s="6" t="inlineStr">
        <is>
          <t>month</t>
        </is>
      </c>
      <c r="E503" s="6" t="inlineStr">
        <is>
          <t>ENERGY_TO_ARGENTINA</t>
        </is>
      </c>
      <c r="F503" s="6" t="inlineStr">
        <is>
          <t>YACYRETA</t>
        </is>
      </c>
      <c r="G503" s="6" t="inlineStr">
        <is>
          <t>YACYRETA</t>
        </is>
      </c>
      <c r="H503" s="6" t="inlineStr">
        <is>
          <t>SADI</t>
        </is>
      </c>
      <c r="I503" s="8" t="n">
        <v>880993</v>
      </c>
      <c r="J503" s="6" t="inlineStr">
        <is>
          <t>MWh</t>
        </is>
      </c>
      <c r="K503" s="8" t="n">
        <v>880993</v>
      </c>
      <c r="L503" s="6" t="inlineStr">
        <is>
          <t>MWh</t>
        </is>
      </c>
      <c r="M503" s="6" t="inlineStr">
        <is>
          <t>EBY</t>
        </is>
      </c>
      <c r="N503" s="6" t="inlineStr">
        <is>
          <t>OFFICIAL_PRIMARY</t>
        </is>
      </c>
      <c r="O503" s="9" t="inlineStr">
        <is>
          <t>OFFICIAL_AGGREGATE</t>
        </is>
      </c>
      <c r="P503" s="8" t="n">
        <v>1</v>
      </c>
      <c r="Q503" s="8" t="n">
        <v>50</v>
      </c>
      <c r="R503" s="7" t="inlineStr">
        <is>
          <t>https://www.eby.gov.py/wp-content/uploads/2019/12/YacyretaEnergiasMensualesDesdePuestaenMarcha.pdf</t>
        </is>
      </c>
      <c r="S503" s="6" t="inlineStr">
        <is>
          <t>EBY-MONTHLY-1994-2012</t>
        </is>
      </c>
      <c r="T503" s="6" t="inlineStr"/>
      <c r="U503" s="4" t="inlineStr">
        <is>
          <t>2026-09-10 23:00:00</t>
        </is>
      </c>
      <c r="V503" s="4" t="inlineStr">
        <is>
          <t>Energia mensual entregada al SADI.</t>
        </is>
      </c>
    </row>
    <row r="504">
      <c r="A504" s="6" t="inlineStr">
        <is>
          <t>R0000508</t>
        </is>
      </c>
      <c r="B504" s="6" t="inlineStr">
        <is>
          <t>2004-04-01</t>
        </is>
      </c>
      <c r="C504" s="6" t="inlineStr">
        <is>
          <t>2004-04-30</t>
        </is>
      </c>
      <c r="D504" s="6" t="inlineStr">
        <is>
          <t>month</t>
        </is>
      </c>
      <c r="E504" s="6" t="inlineStr">
        <is>
          <t>ENERGY_TO_PY</t>
        </is>
      </c>
      <c r="F504" s="6" t="inlineStr">
        <is>
          <t>YACYRETA</t>
        </is>
      </c>
      <c r="G504" s="6" t="inlineStr">
        <is>
          <t>YACYRETA</t>
        </is>
      </c>
      <c r="H504" s="6" t="inlineStr">
        <is>
          <t>SINP</t>
        </is>
      </c>
      <c r="I504" s="8" t="n">
        <v>6441</v>
      </c>
      <c r="J504" s="6" t="inlineStr">
        <is>
          <t>MWh</t>
        </is>
      </c>
      <c r="K504" s="8" t="n">
        <v>6441</v>
      </c>
      <c r="L504" s="6" t="inlineStr">
        <is>
          <t>MWh</t>
        </is>
      </c>
      <c r="M504" s="6" t="inlineStr">
        <is>
          <t>EBY</t>
        </is>
      </c>
      <c r="N504" s="6" t="inlineStr">
        <is>
          <t>OFFICIAL_PRIMARY</t>
        </is>
      </c>
      <c r="O504" s="9" t="inlineStr">
        <is>
          <t>OFFICIAL_AGGREGATE</t>
        </is>
      </c>
      <c r="P504" s="8" t="n">
        <v>1</v>
      </c>
      <c r="Q504" s="8" t="n">
        <v>50</v>
      </c>
      <c r="R504" s="7" t="inlineStr">
        <is>
          <t>https://www.eby.gov.py/wp-content/uploads/2019/12/YacyretaEnergiasMensualesDesdePuestaenMarcha.pdf</t>
        </is>
      </c>
      <c r="S504" s="6" t="inlineStr">
        <is>
          <t>EBY-MONTHLY-1994-2012</t>
        </is>
      </c>
      <c r="T504" s="6" t="inlineStr"/>
      <c r="U504" s="4" t="inlineStr">
        <is>
          <t>2026-09-10 23:00:00</t>
        </is>
      </c>
      <c r="V504" s="4" t="inlineStr">
        <is>
          <t>Energia mensual entregada al SINP.</t>
        </is>
      </c>
    </row>
    <row r="505">
      <c r="A505" s="6" t="inlineStr">
        <is>
          <t>R0000509</t>
        </is>
      </c>
      <c r="B505" s="6" t="inlineStr">
        <is>
          <t>2004-05-01</t>
        </is>
      </c>
      <c r="C505" s="6" t="inlineStr">
        <is>
          <t>2004-05-31</t>
        </is>
      </c>
      <c r="D505" s="6" t="inlineStr">
        <is>
          <t>month</t>
        </is>
      </c>
      <c r="E505" s="6" t="inlineStr">
        <is>
          <t>YACYRETA_NET_ENERGY</t>
        </is>
      </c>
      <c r="F505" s="6" t="inlineStr">
        <is>
          <t>YACYRETA</t>
        </is>
      </c>
      <c r="G505" s="6" t="inlineStr">
        <is>
          <t>YACYRETA</t>
        </is>
      </c>
      <c r="H505" s="6" t="inlineStr">
        <is>
          <t>TOTAL</t>
        </is>
      </c>
      <c r="I505" s="8" t="n">
        <v>1012217</v>
      </c>
      <c r="J505" s="6" t="inlineStr">
        <is>
          <t>MWh</t>
        </is>
      </c>
      <c r="K505" s="8" t="n">
        <v>1012217</v>
      </c>
      <c r="L505" s="6" t="inlineStr">
        <is>
          <t>MWh</t>
        </is>
      </c>
      <c r="M505" s="6" t="inlineStr">
        <is>
          <t>EBY</t>
        </is>
      </c>
      <c r="N505" s="6" t="inlineStr">
        <is>
          <t>OFFICIAL_PRIMARY</t>
        </is>
      </c>
      <c r="O505" s="9" t="inlineStr">
        <is>
          <t>OFFICIAL_AGGREGATE</t>
        </is>
      </c>
      <c r="P505" s="8" t="n">
        <v>1</v>
      </c>
      <c r="Q505" s="8" t="n">
        <v>50</v>
      </c>
      <c r="R505" s="7" t="inlineStr">
        <is>
          <t>https://www.eby.gov.py/wp-content/uploads/2019/12/YacyretaEnergiasMensualesDesdePuestaenMarcha.pdf</t>
        </is>
      </c>
      <c r="S505" s="6" t="inlineStr">
        <is>
          <t>EBY-MONTHLY-1994-2012</t>
        </is>
      </c>
      <c r="T505" s="6" t="inlineStr"/>
      <c r="U505" s="4" t="inlineStr">
        <is>
          <t>2026-09-10 23:00:00</t>
        </is>
      </c>
      <c r="V505" s="4" t="inlineStr">
        <is>
          <t>Energia mensual Yacyreta desde puesta en marcha.</t>
        </is>
      </c>
    </row>
    <row r="506">
      <c r="A506" s="6" t="inlineStr">
        <is>
          <t>R0000510</t>
        </is>
      </c>
      <c r="B506" s="6" t="inlineStr">
        <is>
          <t>2004-05-01</t>
        </is>
      </c>
      <c r="C506" s="6" t="inlineStr">
        <is>
          <t>2004-05-31</t>
        </is>
      </c>
      <c r="D506" s="6" t="inlineStr">
        <is>
          <t>month</t>
        </is>
      </c>
      <c r="E506" s="6" t="inlineStr">
        <is>
          <t>ENERGY_TO_ARGENTINA</t>
        </is>
      </c>
      <c r="F506" s="6" t="inlineStr">
        <is>
          <t>YACYRETA</t>
        </is>
      </c>
      <c r="G506" s="6" t="inlineStr">
        <is>
          <t>YACYRETA</t>
        </is>
      </c>
      <c r="H506" s="6" t="inlineStr">
        <is>
          <t>SADI</t>
        </is>
      </c>
      <c r="I506" s="8" t="n">
        <v>1003010</v>
      </c>
      <c r="J506" s="6" t="inlineStr">
        <is>
          <t>MWh</t>
        </is>
      </c>
      <c r="K506" s="8" t="n">
        <v>1003010</v>
      </c>
      <c r="L506" s="6" t="inlineStr">
        <is>
          <t>MWh</t>
        </is>
      </c>
      <c r="M506" s="6" t="inlineStr">
        <is>
          <t>EBY</t>
        </is>
      </c>
      <c r="N506" s="6" t="inlineStr">
        <is>
          <t>OFFICIAL_PRIMARY</t>
        </is>
      </c>
      <c r="O506" s="9" t="inlineStr">
        <is>
          <t>OFFICIAL_AGGREGATE</t>
        </is>
      </c>
      <c r="P506" s="8" t="n">
        <v>1</v>
      </c>
      <c r="Q506" s="8" t="n">
        <v>50</v>
      </c>
      <c r="R506" s="7" t="inlineStr">
        <is>
          <t>https://www.eby.gov.py/wp-content/uploads/2019/12/YacyretaEnergiasMensualesDesdePuestaenMarcha.pdf</t>
        </is>
      </c>
      <c r="S506" s="6" t="inlineStr">
        <is>
          <t>EBY-MONTHLY-1994-2012</t>
        </is>
      </c>
      <c r="T506" s="6" t="inlineStr"/>
      <c r="U506" s="4" t="inlineStr">
        <is>
          <t>2026-09-10 23:00:00</t>
        </is>
      </c>
      <c r="V506" s="4" t="inlineStr">
        <is>
          <t>Energia mensual entregada al SADI.</t>
        </is>
      </c>
    </row>
    <row r="507">
      <c r="A507" s="6" t="inlineStr">
        <is>
          <t>R0000511</t>
        </is>
      </c>
      <c r="B507" s="6" t="inlineStr">
        <is>
          <t>2004-05-01</t>
        </is>
      </c>
      <c r="C507" s="6" t="inlineStr">
        <is>
          <t>2004-05-31</t>
        </is>
      </c>
      <c r="D507" s="6" t="inlineStr">
        <is>
          <t>month</t>
        </is>
      </c>
      <c r="E507" s="6" t="inlineStr">
        <is>
          <t>ENERGY_TO_PY</t>
        </is>
      </c>
      <c r="F507" s="6" t="inlineStr">
        <is>
          <t>YACYRETA</t>
        </is>
      </c>
      <c r="G507" s="6" t="inlineStr">
        <is>
          <t>YACYRETA</t>
        </is>
      </c>
      <c r="H507" s="6" t="inlineStr">
        <is>
          <t>SINP</t>
        </is>
      </c>
      <c r="I507" s="8" t="n">
        <v>9207</v>
      </c>
      <c r="J507" s="6" t="inlineStr">
        <is>
          <t>MWh</t>
        </is>
      </c>
      <c r="K507" s="8" t="n">
        <v>9207</v>
      </c>
      <c r="L507" s="6" t="inlineStr">
        <is>
          <t>MWh</t>
        </is>
      </c>
      <c r="M507" s="6" t="inlineStr">
        <is>
          <t>EBY</t>
        </is>
      </c>
      <c r="N507" s="6" t="inlineStr">
        <is>
          <t>OFFICIAL_PRIMARY</t>
        </is>
      </c>
      <c r="O507" s="9" t="inlineStr">
        <is>
          <t>OFFICIAL_AGGREGATE</t>
        </is>
      </c>
      <c r="P507" s="8" t="n">
        <v>1</v>
      </c>
      <c r="Q507" s="8" t="n">
        <v>50</v>
      </c>
      <c r="R507" s="7" t="inlineStr">
        <is>
          <t>https://www.eby.gov.py/wp-content/uploads/2019/12/YacyretaEnergiasMensualesDesdePuestaenMarcha.pdf</t>
        </is>
      </c>
      <c r="S507" s="6" t="inlineStr">
        <is>
          <t>EBY-MONTHLY-1994-2012</t>
        </is>
      </c>
      <c r="T507" s="6" t="inlineStr"/>
      <c r="U507" s="4" t="inlineStr">
        <is>
          <t>2026-09-10 23:00:00</t>
        </is>
      </c>
      <c r="V507" s="4" t="inlineStr">
        <is>
          <t>Energia mensual entregada al SINP.</t>
        </is>
      </c>
    </row>
    <row r="508">
      <c r="A508" s="6" t="inlineStr">
        <is>
          <t>R0000512</t>
        </is>
      </c>
      <c r="B508" s="6" t="inlineStr">
        <is>
          <t>2004-06-01</t>
        </is>
      </c>
      <c r="C508" s="6" t="inlineStr">
        <is>
          <t>2004-06-30</t>
        </is>
      </c>
      <c r="D508" s="6" t="inlineStr">
        <is>
          <t>month</t>
        </is>
      </c>
      <c r="E508" s="6" t="inlineStr">
        <is>
          <t>YACYRETA_NET_ENERGY</t>
        </is>
      </c>
      <c r="F508" s="6" t="inlineStr">
        <is>
          <t>YACYRETA</t>
        </is>
      </c>
      <c r="G508" s="6" t="inlineStr">
        <is>
          <t>YACYRETA</t>
        </is>
      </c>
      <c r="H508" s="6" t="inlineStr">
        <is>
          <t>TOTAL</t>
        </is>
      </c>
      <c r="I508" s="8" t="n">
        <v>1038561</v>
      </c>
      <c r="J508" s="6" t="inlineStr">
        <is>
          <t>MWh</t>
        </is>
      </c>
      <c r="K508" s="8" t="n">
        <v>1038561</v>
      </c>
      <c r="L508" s="6" t="inlineStr">
        <is>
          <t>MWh</t>
        </is>
      </c>
      <c r="M508" s="6" t="inlineStr">
        <is>
          <t>EBY</t>
        </is>
      </c>
      <c r="N508" s="6" t="inlineStr">
        <is>
          <t>OFFICIAL_PRIMARY</t>
        </is>
      </c>
      <c r="O508" s="9" t="inlineStr">
        <is>
          <t>OFFICIAL_AGGREGATE</t>
        </is>
      </c>
      <c r="P508" s="8" t="n">
        <v>1</v>
      </c>
      <c r="Q508" s="8" t="n">
        <v>50</v>
      </c>
      <c r="R508" s="7" t="inlineStr">
        <is>
          <t>https://www.eby.gov.py/wp-content/uploads/2019/12/YacyretaEnergiasMensualesDesdePuestaenMarcha.pdf</t>
        </is>
      </c>
      <c r="S508" s="6" t="inlineStr">
        <is>
          <t>EBY-MONTHLY-1994-2012</t>
        </is>
      </c>
      <c r="T508" s="6" t="inlineStr"/>
      <c r="U508" s="4" t="inlineStr">
        <is>
          <t>2026-09-10 23:00:00</t>
        </is>
      </c>
      <c r="V508" s="4" t="inlineStr">
        <is>
          <t>Energia mensual Yacyreta desde puesta en marcha.</t>
        </is>
      </c>
    </row>
    <row r="509">
      <c r="A509" s="6" t="inlineStr">
        <is>
          <t>R0000513</t>
        </is>
      </c>
      <c r="B509" s="6" t="inlineStr">
        <is>
          <t>2004-06-01</t>
        </is>
      </c>
      <c r="C509" s="6" t="inlineStr">
        <is>
          <t>2004-06-30</t>
        </is>
      </c>
      <c r="D509" s="6" t="inlineStr">
        <is>
          <t>month</t>
        </is>
      </c>
      <c r="E509" s="6" t="inlineStr">
        <is>
          <t>ENERGY_TO_ARGENTINA</t>
        </is>
      </c>
      <c r="F509" s="6" t="inlineStr">
        <is>
          <t>YACYRETA</t>
        </is>
      </c>
      <c r="G509" s="6" t="inlineStr">
        <is>
          <t>YACYRETA</t>
        </is>
      </c>
      <c r="H509" s="6" t="inlineStr">
        <is>
          <t>SADI</t>
        </is>
      </c>
      <c r="I509" s="8" t="n">
        <v>1031528</v>
      </c>
      <c r="J509" s="6" t="inlineStr">
        <is>
          <t>MWh</t>
        </is>
      </c>
      <c r="K509" s="8" t="n">
        <v>1031528</v>
      </c>
      <c r="L509" s="6" t="inlineStr">
        <is>
          <t>MWh</t>
        </is>
      </c>
      <c r="M509" s="6" t="inlineStr">
        <is>
          <t>EBY</t>
        </is>
      </c>
      <c r="N509" s="6" t="inlineStr">
        <is>
          <t>OFFICIAL_PRIMARY</t>
        </is>
      </c>
      <c r="O509" s="9" t="inlineStr">
        <is>
          <t>OFFICIAL_AGGREGATE</t>
        </is>
      </c>
      <c r="P509" s="8" t="n">
        <v>1</v>
      </c>
      <c r="Q509" s="8" t="n">
        <v>50</v>
      </c>
      <c r="R509" s="7" t="inlineStr">
        <is>
          <t>https://www.eby.gov.py/wp-content/uploads/2019/12/YacyretaEnergiasMensualesDesdePuestaenMarcha.pdf</t>
        </is>
      </c>
      <c r="S509" s="6" t="inlineStr">
        <is>
          <t>EBY-MONTHLY-1994-2012</t>
        </is>
      </c>
      <c r="T509" s="6" t="inlineStr"/>
      <c r="U509" s="4" t="inlineStr">
        <is>
          <t>2026-09-10 23:00:00</t>
        </is>
      </c>
      <c r="V509" s="4" t="inlineStr">
        <is>
          <t>Energia mensual entregada al SADI.</t>
        </is>
      </c>
    </row>
    <row r="510">
      <c r="A510" s="6" t="inlineStr">
        <is>
          <t>R0000514</t>
        </is>
      </c>
      <c r="B510" s="6" t="inlineStr">
        <is>
          <t>2004-06-01</t>
        </is>
      </c>
      <c r="C510" s="6" t="inlineStr">
        <is>
          <t>2004-06-30</t>
        </is>
      </c>
      <c r="D510" s="6" t="inlineStr">
        <is>
          <t>month</t>
        </is>
      </c>
      <c r="E510" s="6" t="inlineStr">
        <is>
          <t>ENERGY_TO_PY</t>
        </is>
      </c>
      <c r="F510" s="6" t="inlineStr">
        <is>
          <t>YACYRETA</t>
        </is>
      </c>
      <c r="G510" s="6" t="inlineStr">
        <is>
          <t>YACYRETA</t>
        </is>
      </c>
      <c r="H510" s="6" t="inlineStr">
        <is>
          <t>SINP</t>
        </is>
      </c>
      <c r="I510" s="8" t="n">
        <v>7033</v>
      </c>
      <c r="J510" s="6" t="inlineStr">
        <is>
          <t>MWh</t>
        </is>
      </c>
      <c r="K510" s="8" t="n">
        <v>7033</v>
      </c>
      <c r="L510" s="6" t="inlineStr">
        <is>
          <t>MWh</t>
        </is>
      </c>
      <c r="M510" s="6" t="inlineStr">
        <is>
          <t>EBY</t>
        </is>
      </c>
      <c r="N510" s="6" t="inlineStr">
        <is>
          <t>OFFICIAL_PRIMARY</t>
        </is>
      </c>
      <c r="O510" s="9" t="inlineStr">
        <is>
          <t>OFFICIAL_AGGREGATE</t>
        </is>
      </c>
      <c r="P510" s="8" t="n">
        <v>1</v>
      </c>
      <c r="Q510" s="8" t="n">
        <v>50</v>
      </c>
      <c r="R510" s="7" t="inlineStr">
        <is>
          <t>https://www.eby.gov.py/wp-content/uploads/2019/12/YacyretaEnergiasMensualesDesdePuestaenMarcha.pdf</t>
        </is>
      </c>
      <c r="S510" s="6" t="inlineStr">
        <is>
          <t>EBY-MONTHLY-1994-2012</t>
        </is>
      </c>
      <c r="T510" s="6" t="inlineStr"/>
      <c r="U510" s="4" t="inlineStr">
        <is>
          <t>2026-09-10 23:00:00</t>
        </is>
      </c>
      <c r="V510" s="4" t="inlineStr">
        <is>
          <t>Energia mensual entregada al SINP.</t>
        </is>
      </c>
    </row>
    <row r="511">
      <c r="A511" s="6" t="inlineStr">
        <is>
          <t>R0000515</t>
        </is>
      </c>
      <c r="B511" s="6" t="inlineStr">
        <is>
          <t>2004-07-01</t>
        </is>
      </c>
      <c r="C511" s="6" t="inlineStr">
        <is>
          <t>2004-07-31</t>
        </is>
      </c>
      <c r="D511" s="6" t="inlineStr">
        <is>
          <t>month</t>
        </is>
      </c>
      <c r="E511" s="6" t="inlineStr">
        <is>
          <t>YACYRETA_NET_ENERGY</t>
        </is>
      </c>
      <c r="F511" s="6" t="inlineStr">
        <is>
          <t>YACYRETA</t>
        </is>
      </c>
      <c r="G511" s="6" t="inlineStr">
        <is>
          <t>YACYRETA</t>
        </is>
      </c>
      <c r="H511" s="6" t="inlineStr">
        <is>
          <t>TOTAL</t>
        </is>
      </c>
      <c r="I511" s="8" t="n">
        <v>1084287</v>
      </c>
      <c r="J511" s="6" t="inlineStr">
        <is>
          <t>MWh</t>
        </is>
      </c>
      <c r="K511" s="8" t="n">
        <v>1084287</v>
      </c>
      <c r="L511" s="6" t="inlineStr">
        <is>
          <t>MWh</t>
        </is>
      </c>
      <c r="M511" s="6" t="inlineStr">
        <is>
          <t>EBY</t>
        </is>
      </c>
      <c r="N511" s="6" t="inlineStr">
        <is>
          <t>OFFICIAL_PRIMARY</t>
        </is>
      </c>
      <c r="O511" s="9" t="inlineStr">
        <is>
          <t>OFFICIAL_AGGREGATE</t>
        </is>
      </c>
      <c r="P511" s="8" t="n">
        <v>1</v>
      </c>
      <c r="Q511" s="8" t="n">
        <v>50</v>
      </c>
      <c r="R511" s="7" t="inlineStr">
        <is>
          <t>https://www.eby.gov.py/wp-content/uploads/2019/12/YacyretaEnergiasMensualesDesdePuestaenMarcha.pdf</t>
        </is>
      </c>
      <c r="S511" s="6" t="inlineStr">
        <is>
          <t>EBY-MONTHLY-1994-2012</t>
        </is>
      </c>
      <c r="T511" s="6" t="inlineStr"/>
      <c r="U511" s="4" t="inlineStr">
        <is>
          <t>2026-09-10 23:00:00</t>
        </is>
      </c>
      <c r="V511" s="4" t="inlineStr">
        <is>
          <t>Energia mensual Yacyreta desde puesta en marcha.</t>
        </is>
      </c>
    </row>
    <row r="512">
      <c r="A512" s="6" t="inlineStr">
        <is>
          <t>R0000516</t>
        </is>
      </c>
      <c r="B512" s="6" t="inlineStr">
        <is>
          <t>2004-07-01</t>
        </is>
      </c>
      <c r="C512" s="6" t="inlineStr">
        <is>
          <t>2004-07-31</t>
        </is>
      </c>
      <c r="D512" s="6" t="inlineStr">
        <is>
          <t>month</t>
        </is>
      </c>
      <c r="E512" s="6" t="inlineStr">
        <is>
          <t>ENERGY_TO_ARGENTINA</t>
        </is>
      </c>
      <c r="F512" s="6" t="inlineStr">
        <is>
          <t>YACYRETA</t>
        </is>
      </c>
      <c r="G512" s="6" t="inlineStr">
        <is>
          <t>YACYRETA</t>
        </is>
      </c>
      <c r="H512" s="6" t="inlineStr">
        <is>
          <t>SADI</t>
        </is>
      </c>
      <c r="I512" s="8" t="n">
        <v>1076608</v>
      </c>
      <c r="J512" s="6" t="inlineStr">
        <is>
          <t>MWh</t>
        </is>
      </c>
      <c r="K512" s="8" t="n">
        <v>1076608</v>
      </c>
      <c r="L512" s="6" t="inlineStr">
        <is>
          <t>MWh</t>
        </is>
      </c>
      <c r="M512" s="6" t="inlineStr">
        <is>
          <t>EBY</t>
        </is>
      </c>
      <c r="N512" s="6" t="inlineStr">
        <is>
          <t>OFFICIAL_PRIMARY</t>
        </is>
      </c>
      <c r="O512" s="9" t="inlineStr">
        <is>
          <t>OFFICIAL_AGGREGATE</t>
        </is>
      </c>
      <c r="P512" s="8" t="n">
        <v>1</v>
      </c>
      <c r="Q512" s="8" t="n">
        <v>50</v>
      </c>
      <c r="R512" s="7" t="inlineStr">
        <is>
          <t>https://www.eby.gov.py/wp-content/uploads/2019/12/YacyretaEnergiasMensualesDesdePuestaenMarcha.pdf</t>
        </is>
      </c>
      <c r="S512" s="6" t="inlineStr">
        <is>
          <t>EBY-MONTHLY-1994-2012</t>
        </is>
      </c>
      <c r="T512" s="6" t="inlineStr"/>
      <c r="U512" s="4" t="inlineStr">
        <is>
          <t>2026-09-10 23:00:00</t>
        </is>
      </c>
      <c r="V512" s="4" t="inlineStr">
        <is>
          <t>Energia mensual entregada al SADI.</t>
        </is>
      </c>
    </row>
    <row r="513">
      <c r="A513" s="6" t="inlineStr">
        <is>
          <t>R0000517</t>
        </is>
      </c>
      <c r="B513" s="6" t="inlineStr">
        <is>
          <t>2004-07-01</t>
        </is>
      </c>
      <c r="C513" s="6" t="inlineStr">
        <is>
          <t>2004-07-31</t>
        </is>
      </c>
      <c r="D513" s="6" t="inlineStr">
        <is>
          <t>month</t>
        </is>
      </c>
      <c r="E513" s="6" t="inlineStr">
        <is>
          <t>ENERGY_TO_PY</t>
        </is>
      </c>
      <c r="F513" s="6" t="inlineStr">
        <is>
          <t>YACYRETA</t>
        </is>
      </c>
      <c r="G513" s="6" t="inlineStr">
        <is>
          <t>YACYRETA</t>
        </is>
      </c>
      <c r="H513" s="6" t="inlineStr">
        <is>
          <t>SINP</t>
        </is>
      </c>
      <c r="I513" s="8" t="n">
        <v>7679</v>
      </c>
      <c r="J513" s="6" t="inlineStr">
        <is>
          <t>MWh</t>
        </is>
      </c>
      <c r="K513" s="8" t="n">
        <v>7679</v>
      </c>
      <c r="L513" s="6" t="inlineStr">
        <is>
          <t>MWh</t>
        </is>
      </c>
      <c r="M513" s="6" t="inlineStr">
        <is>
          <t>EBY</t>
        </is>
      </c>
      <c r="N513" s="6" t="inlineStr">
        <is>
          <t>OFFICIAL_PRIMARY</t>
        </is>
      </c>
      <c r="O513" s="9" t="inlineStr">
        <is>
          <t>OFFICIAL_AGGREGATE</t>
        </is>
      </c>
      <c r="P513" s="8" t="n">
        <v>1</v>
      </c>
      <c r="Q513" s="8" t="n">
        <v>50</v>
      </c>
      <c r="R513" s="7" t="inlineStr">
        <is>
          <t>https://www.eby.gov.py/wp-content/uploads/2019/12/YacyretaEnergiasMensualesDesdePuestaenMarcha.pdf</t>
        </is>
      </c>
      <c r="S513" s="6" t="inlineStr">
        <is>
          <t>EBY-MONTHLY-1994-2012</t>
        </is>
      </c>
      <c r="T513" s="6" t="inlineStr"/>
      <c r="U513" s="4" t="inlineStr">
        <is>
          <t>2026-09-10 23:00:00</t>
        </is>
      </c>
      <c r="V513" s="4" t="inlineStr">
        <is>
          <t>Energia mensual entregada al SINP.</t>
        </is>
      </c>
    </row>
    <row r="514">
      <c r="A514" s="6" t="inlineStr">
        <is>
          <t>R0000518</t>
        </is>
      </c>
      <c r="B514" s="6" t="inlineStr">
        <is>
          <t>2004-08-01</t>
        </is>
      </c>
      <c r="C514" s="6" t="inlineStr">
        <is>
          <t>2004-08-31</t>
        </is>
      </c>
      <c r="D514" s="6" t="inlineStr">
        <is>
          <t>month</t>
        </is>
      </c>
      <c r="E514" s="6" t="inlineStr">
        <is>
          <t>YACYRETA_NET_ENERGY</t>
        </is>
      </c>
      <c r="F514" s="6" t="inlineStr">
        <is>
          <t>YACYRETA</t>
        </is>
      </c>
      <c r="G514" s="6" t="inlineStr">
        <is>
          <t>YACYRETA</t>
        </is>
      </c>
      <c r="H514" s="6" t="inlineStr">
        <is>
          <t>TOTAL</t>
        </is>
      </c>
      <c r="I514" s="8" t="n">
        <v>969912</v>
      </c>
      <c r="J514" s="6" t="inlineStr">
        <is>
          <t>MWh</t>
        </is>
      </c>
      <c r="K514" s="8" t="n">
        <v>969912</v>
      </c>
      <c r="L514" s="6" t="inlineStr">
        <is>
          <t>MWh</t>
        </is>
      </c>
      <c r="M514" s="6" t="inlineStr">
        <is>
          <t>EBY</t>
        </is>
      </c>
      <c r="N514" s="6" t="inlineStr">
        <is>
          <t>OFFICIAL_PRIMARY</t>
        </is>
      </c>
      <c r="O514" s="9" t="inlineStr">
        <is>
          <t>OFFICIAL_AGGREGATE</t>
        </is>
      </c>
      <c r="P514" s="8" t="n">
        <v>1</v>
      </c>
      <c r="Q514" s="8" t="n">
        <v>50</v>
      </c>
      <c r="R514" s="7" t="inlineStr">
        <is>
          <t>https://www.eby.gov.py/wp-content/uploads/2019/12/YacyretaEnergiasMensualesDesdePuestaenMarcha.pdf</t>
        </is>
      </c>
      <c r="S514" s="6" t="inlineStr">
        <is>
          <t>EBY-MONTHLY-1994-2012</t>
        </is>
      </c>
      <c r="T514" s="6" t="inlineStr"/>
      <c r="U514" s="4" t="inlineStr">
        <is>
          <t>2026-09-10 23:00:00</t>
        </is>
      </c>
      <c r="V514" s="4" t="inlineStr">
        <is>
          <t>Energia mensual Yacyreta desde puesta en marcha.</t>
        </is>
      </c>
    </row>
    <row r="515">
      <c r="A515" s="6" t="inlineStr">
        <is>
          <t>R0000519</t>
        </is>
      </c>
      <c r="B515" s="6" t="inlineStr">
        <is>
          <t>2004-08-01</t>
        </is>
      </c>
      <c r="C515" s="6" t="inlineStr">
        <is>
          <t>2004-08-31</t>
        </is>
      </c>
      <c r="D515" s="6" t="inlineStr">
        <is>
          <t>month</t>
        </is>
      </c>
      <c r="E515" s="6" t="inlineStr">
        <is>
          <t>ENERGY_TO_ARGENTINA</t>
        </is>
      </c>
      <c r="F515" s="6" t="inlineStr">
        <is>
          <t>YACYRETA</t>
        </is>
      </c>
      <c r="G515" s="6" t="inlineStr">
        <is>
          <t>YACYRETA</t>
        </is>
      </c>
      <c r="H515" s="6" t="inlineStr">
        <is>
          <t>SADI</t>
        </is>
      </c>
      <c r="I515" s="8" t="n">
        <v>962833</v>
      </c>
      <c r="J515" s="6" t="inlineStr">
        <is>
          <t>MWh</t>
        </is>
      </c>
      <c r="K515" s="8" t="n">
        <v>962833</v>
      </c>
      <c r="L515" s="6" t="inlineStr">
        <is>
          <t>MWh</t>
        </is>
      </c>
      <c r="M515" s="6" t="inlineStr">
        <is>
          <t>EBY</t>
        </is>
      </c>
      <c r="N515" s="6" t="inlineStr">
        <is>
          <t>OFFICIAL_PRIMARY</t>
        </is>
      </c>
      <c r="O515" s="9" t="inlineStr">
        <is>
          <t>OFFICIAL_AGGREGATE</t>
        </is>
      </c>
      <c r="P515" s="8" t="n">
        <v>1</v>
      </c>
      <c r="Q515" s="8" t="n">
        <v>50</v>
      </c>
      <c r="R515" s="7" t="inlineStr">
        <is>
          <t>https://www.eby.gov.py/wp-content/uploads/2019/12/YacyretaEnergiasMensualesDesdePuestaenMarcha.pdf</t>
        </is>
      </c>
      <c r="S515" s="6" t="inlineStr">
        <is>
          <t>EBY-MONTHLY-1994-2012</t>
        </is>
      </c>
      <c r="T515" s="6" t="inlineStr"/>
      <c r="U515" s="4" t="inlineStr">
        <is>
          <t>2026-09-10 23:00:00</t>
        </is>
      </c>
      <c r="V515" s="4" t="inlineStr">
        <is>
          <t>Energia mensual entregada al SADI.</t>
        </is>
      </c>
    </row>
    <row r="516">
      <c r="A516" s="6" t="inlineStr">
        <is>
          <t>R0000520</t>
        </is>
      </c>
      <c r="B516" s="6" t="inlineStr">
        <is>
          <t>2004-08-01</t>
        </is>
      </c>
      <c r="C516" s="6" t="inlineStr">
        <is>
          <t>2004-08-31</t>
        </is>
      </c>
      <c r="D516" s="6" t="inlineStr">
        <is>
          <t>month</t>
        </is>
      </c>
      <c r="E516" s="6" t="inlineStr">
        <is>
          <t>ENERGY_TO_PY</t>
        </is>
      </c>
      <c r="F516" s="6" t="inlineStr">
        <is>
          <t>YACYRETA</t>
        </is>
      </c>
      <c r="G516" s="6" t="inlineStr">
        <is>
          <t>YACYRETA</t>
        </is>
      </c>
      <c r="H516" s="6" t="inlineStr">
        <is>
          <t>SINP</t>
        </is>
      </c>
      <c r="I516" s="8" t="n">
        <v>7079</v>
      </c>
      <c r="J516" s="6" t="inlineStr">
        <is>
          <t>MWh</t>
        </is>
      </c>
      <c r="K516" s="8" t="n">
        <v>7079</v>
      </c>
      <c r="L516" s="6" t="inlineStr">
        <is>
          <t>MWh</t>
        </is>
      </c>
      <c r="M516" s="6" t="inlineStr">
        <is>
          <t>EBY</t>
        </is>
      </c>
      <c r="N516" s="6" t="inlineStr">
        <is>
          <t>OFFICIAL_PRIMARY</t>
        </is>
      </c>
      <c r="O516" s="9" t="inlineStr">
        <is>
          <t>OFFICIAL_AGGREGATE</t>
        </is>
      </c>
      <c r="P516" s="8" t="n">
        <v>1</v>
      </c>
      <c r="Q516" s="8" t="n">
        <v>50</v>
      </c>
      <c r="R516" s="7" t="inlineStr">
        <is>
          <t>https://www.eby.gov.py/wp-content/uploads/2019/12/YacyretaEnergiasMensualesDesdePuestaenMarcha.pdf</t>
        </is>
      </c>
      <c r="S516" s="6" t="inlineStr">
        <is>
          <t>EBY-MONTHLY-1994-2012</t>
        </is>
      </c>
      <c r="T516" s="6" t="inlineStr"/>
      <c r="U516" s="4" t="inlineStr">
        <is>
          <t>2026-09-10 23:00:00</t>
        </is>
      </c>
      <c r="V516" s="4" t="inlineStr">
        <is>
          <t>Energia mensual entregada al SINP.</t>
        </is>
      </c>
    </row>
    <row r="517">
      <c r="A517" s="6" t="inlineStr">
        <is>
          <t>R0000521</t>
        </is>
      </c>
      <c r="B517" s="6" t="inlineStr">
        <is>
          <t>2004-09-01</t>
        </is>
      </c>
      <c r="C517" s="6" t="inlineStr">
        <is>
          <t>2004-09-30</t>
        </is>
      </c>
      <c r="D517" s="6" t="inlineStr">
        <is>
          <t>month</t>
        </is>
      </c>
      <c r="E517" s="6" t="inlineStr">
        <is>
          <t>YACYRETA_NET_ENERGY</t>
        </is>
      </c>
      <c r="F517" s="6" t="inlineStr">
        <is>
          <t>YACYRETA</t>
        </is>
      </c>
      <c r="G517" s="6" t="inlineStr">
        <is>
          <t>YACYRETA</t>
        </is>
      </c>
      <c r="H517" s="6" t="inlineStr">
        <is>
          <t>TOTAL</t>
        </is>
      </c>
      <c r="I517" s="8" t="n">
        <v>875290</v>
      </c>
      <c r="J517" s="6" t="inlineStr">
        <is>
          <t>MWh</t>
        </is>
      </c>
      <c r="K517" s="8" t="n">
        <v>875290</v>
      </c>
      <c r="L517" s="6" t="inlineStr">
        <is>
          <t>MWh</t>
        </is>
      </c>
      <c r="M517" s="6" t="inlineStr">
        <is>
          <t>EBY</t>
        </is>
      </c>
      <c r="N517" s="6" t="inlineStr">
        <is>
          <t>OFFICIAL_PRIMARY</t>
        </is>
      </c>
      <c r="O517" s="9" t="inlineStr">
        <is>
          <t>OFFICIAL_AGGREGATE</t>
        </is>
      </c>
      <c r="P517" s="8" t="n">
        <v>1</v>
      </c>
      <c r="Q517" s="8" t="n">
        <v>50</v>
      </c>
      <c r="R517" s="7" t="inlineStr">
        <is>
          <t>https://www.eby.gov.py/wp-content/uploads/2019/12/YacyretaEnergiasMensualesDesdePuestaenMarcha.pdf</t>
        </is>
      </c>
      <c r="S517" s="6" t="inlineStr">
        <is>
          <t>EBY-MONTHLY-1994-2012</t>
        </is>
      </c>
      <c r="T517" s="6" t="inlineStr"/>
      <c r="U517" s="4" t="inlineStr">
        <is>
          <t>2026-09-10 23:00:00</t>
        </is>
      </c>
      <c r="V517" s="4" t="inlineStr">
        <is>
          <t>Energia mensual Yacyreta desde puesta en marcha.</t>
        </is>
      </c>
    </row>
    <row r="518">
      <c r="A518" s="6" t="inlineStr">
        <is>
          <t>R0000522</t>
        </is>
      </c>
      <c r="B518" s="6" t="inlineStr">
        <is>
          <t>2004-09-01</t>
        </is>
      </c>
      <c r="C518" s="6" t="inlineStr">
        <is>
          <t>2004-09-30</t>
        </is>
      </c>
      <c r="D518" s="6" t="inlineStr">
        <is>
          <t>month</t>
        </is>
      </c>
      <c r="E518" s="6" t="inlineStr">
        <is>
          <t>ENERGY_TO_ARGENTINA</t>
        </is>
      </c>
      <c r="F518" s="6" t="inlineStr">
        <is>
          <t>YACYRETA</t>
        </is>
      </c>
      <c r="G518" s="6" t="inlineStr">
        <is>
          <t>YACYRETA</t>
        </is>
      </c>
      <c r="H518" s="6" t="inlineStr">
        <is>
          <t>SADI</t>
        </is>
      </c>
      <c r="I518" s="8" t="n">
        <v>859680</v>
      </c>
      <c r="J518" s="6" t="inlineStr">
        <is>
          <t>MWh</t>
        </is>
      </c>
      <c r="K518" s="8" t="n">
        <v>859680</v>
      </c>
      <c r="L518" s="6" t="inlineStr">
        <is>
          <t>MWh</t>
        </is>
      </c>
      <c r="M518" s="6" t="inlineStr">
        <is>
          <t>EBY</t>
        </is>
      </c>
      <c r="N518" s="6" t="inlineStr">
        <is>
          <t>OFFICIAL_PRIMARY</t>
        </is>
      </c>
      <c r="O518" s="9" t="inlineStr">
        <is>
          <t>OFFICIAL_AGGREGATE</t>
        </is>
      </c>
      <c r="P518" s="8" t="n">
        <v>1</v>
      </c>
      <c r="Q518" s="8" t="n">
        <v>50</v>
      </c>
      <c r="R518" s="7" t="inlineStr">
        <is>
          <t>https://www.eby.gov.py/wp-content/uploads/2019/12/YacyretaEnergiasMensualesDesdePuestaenMarcha.pdf</t>
        </is>
      </c>
      <c r="S518" s="6" t="inlineStr">
        <is>
          <t>EBY-MONTHLY-1994-2012</t>
        </is>
      </c>
      <c r="T518" s="6" t="inlineStr"/>
      <c r="U518" s="4" t="inlineStr">
        <is>
          <t>2026-09-10 23:00:00</t>
        </is>
      </c>
      <c r="V518" s="4" t="inlineStr">
        <is>
          <t>Energia mensual entregada al SADI.</t>
        </is>
      </c>
    </row>
    <row r="519">
      <c r="A519" s="6" t="inlineStr">
        <is>
          <t>R0000523</t>
        </is>
      </c>
      <c r="B519" s="6" t="inlineStr">
        <is>
          <t>2004-09-01</t>
        </is>
      </c>
      <c r="C519" s="6" t="inlineStr">
        <is>
          <t>2004-09-30</t>
        </is>
      </c>
      <c r="D519" s="6" t="inlineStr">
        <is>
          <t>month</t>
        </is>
      </c>
      <c r="E519" s="6" t="inlineStr">
        <is>
          <t>ENERGY_TO_PY</t>
        </is>
      </c>
      <c r="F519" s="6" t="inlineStr">
        <is>
          <t>YACYRETA</t>
        </is>
      </c>
      <c r="G519" s="6" t="inlineStr">
        <is>
          <t>YACYRETA</t>
        </is>
      </c>
      <c r="H519" s="6" t="inlineStr">
        <is>
          <t>SINP</t>
        </is>
      </c>
      <c r="I519" s="8" t="n">
        <v>15610</v>
      </c>
      <c r="J519" s="6" t="inlineStr">
        <is>
          <t>MWh</t>
        </is>
      </c>
      <c r="K519" s="8" t="n">
        <v>15610</v>
      </c>
      <c r="L519" s="6" t="inlineStr">
        <is>
          <t>MWh</t>
        </is>
      </c>
      <c r="M519" s="6" t="inlineStr">
        <is>
          <t>EBY</t>
        </is>
      </c>
      <c r="N519" s="6" t="inlineStr">
        <is>
          <t>OFFICIAL_PRIMARY</t>
        </is>
      </c>
      <c r="O519" s="9" t="inlineStr">
        <is>
          <t>OFFICIAL_AGGREGATE</t>
        </is>
      </c>
      <c r="P519" s="8" t="n">
        <v>1</v>
      </c>
      <c r="Q519" s="8" t="n">
        <v>50</v>
      </c>
      <c r="R519" s="7" t="inlineStr">
        <is>
          <t>https://www.eby.gov.py/wp-content/uploads/2019/12/YacyretaEnergiasMensualesDesdePuestaenMarcha.pdf</t>
        </is>
      </c>
      <c r="S519" s="6" t="inlineStr">
        <is>
          <t>EBY-MONTHLY-1994-2012</t>
        </is>
      </c>
      <c r="T519" s="6" t="inlineStr"/>
      <c r="U519" s="4" t="inlineStr">
        <is>
          <t>2026-09-10 23:00:00</t>
        </is>
      </c>
      <c r="V519" s="4" t="inlineStr">
        <is>
          <t>Energia mensual entregada al SINP.</t>
        </is>
      </c>
    </row>
    <row r="520">
      <c r="A520" s="6" t="inlineStr">
        <is>
          <t>R0000524</t>
        </is>
      </c>
      <c r="B520" s="6" t="inlineStr">
        <is>
          <t>2004-10-01</t>
        </is>
      </c>
      <c r="C520" s="6" t="inlineStr">
        <is>
          <t>2004-10-31</t>
        </is>
      </c>
      <c r="D520" s="6" t="inlineStr">
        <is>
          <t>month</t>
        </is>
      </c>
      <c r="E520" s="6" t="inlineStr">
        <is>
          <t>YACYRETA_NET_ENERGY</t>
        </is>
      </c>
      <c r="F520" s="6" t="inlineStr">
        <is>
          <t>YACYRETA</t>
        </is>
      </c>
      <c r="G520" s="6" t="inlineStr">
        <is>
          <t>YACYRETA</t>
        </is>
      </c>
      <c r="H520" s="6" t="inlineStr">
        <is>
          <t>TOTAL</t>
        </is>
      </c>
      <c r="I520" s="8" t="n">
        <v>1004754</v>
      </c>
      <c r="J520" s="6" t="inlineStr">
        <is>
          <t>MWh</t>
        </is>
      </c>
      <c r="K520" s="8" t="n">
        <v>1004754</v>
      </c>
      <c r="L520" s="6" t="inlineStr">
        <is>
          <t>MWh</t>
        </is>
      </c>
      <c r="M520" s="6" t="inlineStr">
        <is>
          <t>EBY</t>
        </is>
      </c>
      <c r="N520" s="6" t="inlineStr">
        <is>
          <t>OFFICIAL_PRIMARY</t>
        </is>
      </c>
      <c r="O520" s="9" t="inlineStr">
        <is>
          <t>OFFICIAL_AGGREGATE</t>
        </is>
      </c>
      <c r="P520" s="8" t="n">
        <v>1</v>
      </c>
      <c r="Q520" s="8" t="n">
        <v>50</v>
      </c>
      <c r="R520" s="7" t="inlineStr">
        <is>
          <t>https://www.eby.gov.py/wp-content/uploads/2019/12/YacyretaEnergiasMensualesDesdePuestaenMarcha.pdf</t>
        </is>
      </c>
      <c r="S520" s="6" t="inlineStr">
        <is>
          <t>EBY-MONTHLY-1994-2012</t>
        </is>
      </c>
      <c r="T520" s="6" t="inlineStr"/>
      <c r="U520" s="4" t="inlineStr">
        <is>
          <t>2026-09-10 23:00:00</t>
        </is>
      </c>
      <c r="V520" s="4" t="inlineStr">
        <is>
          <t>Energia mensual Yacyreta desde puesta en marcha.</t>
        </is>
      </c>
    </row>
    <row r="521">
      <c r="A521" s="6" t="inlineStr">
        <is>
          <t>R0000525</t>
        </is>
      </c>
      <c r="B521" s="6" t="inlineStr">
        <is>
          <t>2004-10-01</t>
        </is>
      </c>
      <c r="C521" s="6" t="inlineStr">
        <is>
          <t>2004-10-31</t>
        </is>
      </c>
      <c r="D521" s="6" t="inlineStr">
        <is>
          <t>month</t>
        </is>
      </c>
      <c r="E521" s="6" t="inlineStr">
        <is>
          <t>ENERGY_TO_ARGENTINA</t>
        </is>
      </c>
      <c r="F521" s="6" t="inlineStr">
        <is>
          <t>YACYRETA</t>
        </is>
      </c>
      <c r="G521" s="6" t="inlineStr">
        <is>
          <t>YACYRETA</t>
        </is>
      </c>
      <c r="H521" s="6" t="inlineStr">
        <is>
          <t>SADI</t>
        </is>
      </c>
      <c r="I521" s="8" t="n">
        <v>997491</v>
      </c>
      <c r="J521" s="6" t="inlineStr">
        <is>
          <t>MWh</t>
        </is>
      </c>
      <c r="K521" s="8" t="n">
        <v>997491</v>
      </c>
      <c r="L521" s="6" t="inlineStr">
        <is>
          <t>MWh</t>
        </is>
      </c>
      <c r="M521" s="6" t="inlineStr">
        <is>
          <t>EBY</t>
        </is>
      </c>
      <c r="N521" s="6" t="inlineStr">
        <is>
          <t>OFFICIAL_PRIMARY</t>
        </is>
      </c>
      <c r="O521" s="9" t="inlineStr">
        <is>
          <t>OFFICIAL_AGGREGATE</t>
        </is>
      </c>
      <c r="P521" s="8" t="n">
        <v>1</v>
      </c>
      <c r="Q521" s="8" t="n">
        <v>50</v>
      </c>
      <c r="R521" s="7" t="inlineStr">
        <is>
          <t>https://www.eby.gov.py/wp-content/uploads/2019/12/YacyretaEnergiasMensualesDesdePuestaenMarcha.pdf</t>
        </is>
      </c>
      <c r="S521" s="6" t="inlineStr">
        <is>
          <t>EBY-MONTHLY-1994-2012</t>
        </is>
      </c>
      <c r="T521" s="6" t="inlineStr"/>
      <c r="U521" s="4" t="inlineStr">
        <is>
          <t>2026-09-10 23:00:00</t>
        </is>
      </c>
      <c r="V521" s="4" t="inlineStr">
        <is>
          <t>Energia mensual entregada al SADI.</t>
        </is>
      </c>
    </row>
    <row r="522">
      <c r="A522" s="6" t="inlineStr">
        <is>
          <t>R0000526</t>
        </is>
      </c>
      <c r="B522" s="6" t="inlineStr">
        <is>
          <t>2004-10-01</t>
        </is>
      </c>
      <c r="C522" s="6" t="inlineStr">
        <is>
          <t>2004-10-31</t>
        </is>
      </c>
      <c r="D522" s="6" t="inlineStr">
        <is>
          <t>month</t>
        </is>
      </c>
      <c r="E522" s="6" t="inlineStr">
        <is>
          <t>ENERGY_TO_PY</t>
        </is>
      </c>
      <c r="F522" s="6" t="inlineStr">
        <is>
          <t>YACYRETA</t>
        </is>
      </c>
      <c r="G522" s="6" t="inlineStr">
        <is>
          <t>YACYRETA</t>
        </is>
      </c>
      <c r="H522" s="6" t="inlineStr">
        <is>
          <t>SINP</t>
        </is>
      </c>
      <c r="I522" s="8" t="n">
        <v>7263</v>
      </c>
      <c r="J522" s="6" t="inlineStr">
        <is>
          <t>MWh</t>
        </is>
      </c>
      <c r="K522" s="8" t="n">
        <v>7263</v>
      </c>
      <c r="L522" s="6" t="inlineStr">
        <is>
          <t>MWh</t>
        </is>
      </c>
      <c r="M522" s="6" t="inlineStr">
        <is>
          <t>EBY</t>
        </is>
      </c>
      <c r="N522" s="6" t="inlineStr">
        <is>
          <t>OFFICIAL_PRIMARY</t>
        </is>
      </c>
      <c r="O522" s="9" t="inlineStr">
        <is>
          <t>OFFICIAL_AGGREGATE</t>
        </is>
      </c>
      <c r="P522" s="8" t="n">
        <v>1</v>
      </c>
      <c r="Q522" s="8" t="n">
        <v>50</v>
      </c>
      <c r="R522" s="7" t="inlineStr">
        <is>
          <t>https://www.eby.gov.py/wp-content/uploads/2019/12/YacyretaEnergiasMensualesDesdePuestaenMarcha.pdf</t>
        </is>
      </c>
      <c r="S522" s="6" t="inlineStr">
        <is>
          <t>EBY-MONTHLY-1994-2012</t>
        </is>
      </c>
      <c r="T522" s="6" t="inlineStr"/>
      <c r="U522" s="4" t="inlineStr">
        <is>
          <t>2026-09-10 23:00:00</t>
        </is>
      </c>
      <c r="V522" s="4" t="inlineStr">
        <is>
          <t>Energia mensual entregada al SINP.</t>
        </is>
      </c>
    </row>
    <row r="523">
      <c r="A523" s="6" t="inlineStr">
        <is>
          <t>R0000527</t>
        </is>
      </c>
      <c r="B523" s="6" t="inlineStr">
        <is>
          <t>2004-11-01</t>
        </is>
      </c>
      <c r="C523" s="6" t="inlineStr">
        <is>
          <t>2004-11-30</t>
        </is>
      </c>
      <c r="D523" s="6" t="inlineStr">
        <is>
          <t>month</t>
        </is>
      </c>
      <c r="E523" s="6" t="inlineStr">
        <is>
          <t>YACYRETA_NET_ENERGY</t>
        </is>
      </c>
      <c r="F523" s="6" t="inlineStr">
        <is>
          <t>YACYRETA</t>
        </is>
      </c>
      <c r="G523" s="6" t="inlineStr">
        <is>
          <t>YACYRETA</t>
        </is>
      </c>
      <c r="H523" s="6" t="inlineStr">
        <is>
          <t>TOTAL</t>
        </is>
      </c>
      <c r="I523" s="8" t="n">
        <v>1107266</v>
      </c>
      <c r="J523" s="6" t="inlineStr">
        <is>
          <t>MWh</t>
        </is>
      </c>
      <c r="K523" s="8" t="n">
        <v>1107266</v>
      </c>
      <c r="L523" s="6" t="inlineStr">
        <is>
          <t>MWh</t>
        </is>
      </c>
      <c r="M523" s="6" t="inlineStr">
        <is>
          <t>EBY</t>
        </is>
      </c>
      <c r="N523" s="6" t="inlineStr">
        <is>
          <t>OFFICIAL_PRIMARY</t>
        </is>
      </c>
      <c r="O523" s="9" t="inlineStr">
        <is>
          <t>OFFICIAL_AGGREGATE</t>
        </is>
      </c>
      <c r="P523" s="8" t="n">
        <v>1</v>
      </c>
      <c r="Q523" s="8" t="n">
        <v>50</v>
      </c>
      <c r="R523" s="7" t="inlineStr">
        <is>
          <t>https://www.eby.gov.py/wp-content/uploads/2019/12/YacyretaEnergiasMensualesDesdePuestaenMarcha.pdf</t>
        </is>
      </c>
      <c r="S523" s="6" t="inlineStr">
        <is>
          <t>EBY-MONTHLY-1994-2012</t>
        </is>
      </c>
      <c r="T523" s="6" t="inlineStr"/>
      <c r="U523" s="4" t="inlineStr">
        <is>
          <t>2026-09-10 23:00:00</t>
        </is>
      </c>
      <c r="V523" s="4" t="inlineStr">
        <is>
          <t>Energia mensual Yacyreta desde puesta en marcha.</t>
        </is>
      </c>
    </row>
    <row r="524">
      <c r="A524" s="6" t="inlineStr">
        <is>
          <t>R0000528</t>
        </is>
      </c>
      <c r="B524" s="6" t="inlineStr">
        <is>
          <t>2004-11-01</t>
        </is>
      </c>
      <c r="C524" s="6" t="inlineStr">
        <is>
          <t>2004-11-30</t>
        </is>
      </c>
      <c r="D524" s="6" t="inlineStr">
        <is>
          <t>month</t>
        </is>
      </c>
      <c r="E524" s="6" t="inlineStr">
        <is>
          <t>ENERGY_TO_ARGENTINA</t>
        </is>
      </c>
      <c r="F524" s="6" t="inlineStr">
        <is>
          <t>YACYRETA</t>
        </is>
      </c>
      <c r="G524" s="6" t="inlineStr">
        <is>
          <t>YACYRETA</t>
        </is>
      </c>
      <c r="H524" s="6" t="inlineStr">
        <is>
          <t>SADI</t>
        </is>
      </c>
      <c r="I524" s="8" t="n">
        <v>1099509</v>
      </c>
      <c r="J524" s="6" t="inlineStr">
        <is>
          <t>MWh</t>
        </is>
      </c>
      <c r="K524" s="8" t="n">
        <v>1099509</v>
      </c>
      <c r="L524" s="6" t="inlineStr">
        <is>
          <t>MWh</t>
        </is>
      </c>
      <c r="M524" s="6" t="inlineStr">
        <is>
          <t>EBY</t>
        </is>
      </c>
      <c r="N524" s="6" t="inlineStr">
        <is>
          <t>OFFICIAL_PRIMARY</t>
        </is>
      </c>
      <c r="O524" s="9" t="inlineStr">
        <is>
          <t>OFFICIAL_AGGREGATE</t>
        </is>
      </c>
      <c r="P524" s="8" t="n">
        <v>1</v>
      </c>
      <c r="Q524" s="8" t="n">
        <v>50</v>
      </c>
      <c r="R524" s="7" t="inlineStr">
        <is>
          <t>https://www.eby.gov.py/wp-content/uploads/2019/12/YacyretaEnergiasMensualesDesdePuestaenMarcha.pdf</t>
        </is>
      </c>
      <c r="S524" s="6" t="inlineStr">
        <is>
          <t>EBY-MONTHLY-1994-2012</t>
        </is>
      </c>
      <c r="T524" s="6" t="inlineStr"/>
      <c r="U524" s="4" t="inlineStr">
        <is>
          <t>2026-09-10 23:00:00</t>
        </is>
      </c>
      <c r="V524" s="4" t="inlineStr">
        <is>
          <t>Energia mensual entregada al SADI.</t>
        </is>
      </c>
    </row>
    <row r="525">
      <c r="A525" s="6" t="inlineStr">
        <is>
          <t>R0000529</t>
        </is>
      </c>
      <c r="B525" s="6" t="inlineStr">
        <is>
          <t>2004-11-01</t>
        </is>
      </c>
      <c r="C525" s="6" t="inlineStr">
        <is>
          <t>2004-11-30</t>
        </is>
      </c>
      <c r="D525" s="6" t="inlineStr">
        <is>
          <t>month</t>
        </is>
      </c>
      <c r="E525" s="6" t="inlineStr">
        <is>
          <t>ENERGY_TO_PY</t>
        </is>
      </c>
      <c r="F525" s="6" t="inlineStr">
        <is>
          <t>YACYRETA</t>
        </is>
      </c>
      <c r="G525" s="6" t="inlineStr">
        <is>
          <t>YACYRETA</t>
        </is>
      </c>
      <c r="H525" s="6" t="inlineStr">
        <is>
          <t>SINP</t>
        </is>
      </c>
      <c r="I525" s="8" t="n">
        <v>7757</v>
      </c>
      <c r="J525" s="6" t="inlineStr">
        <is>
          <t>MWh</t>
        </is>
      </c>
      <c r="K525" s="8" t="n">
        <v>7757</v>
      </c>
      <c r="L525" s="6" t="inlineStr">
        <is>
          <t>MWh</t>
        </is>
      </c>
      <c r="M525" s="6" t="inlineStr">
        <is>
          <t>EBY</t>
        </is>
      </c>
      <c r="N525" s="6" t="inlineStr">
        <is>
          <t>OFFICIAL_PRIMARY</t>
        </is>
      </c>
      <c r="O525" s="9" t="inlineStr">
        <is>
          <t>OFFICIAL_AGGREGATE</t>
        </is>
      </c>
      <c r="P525" s="8" t="n">
        <v>1</v>
      </c>
      <c r="Q525" s="8" t="n">
        <v>50</v>
      </c>
      <c r="R525" s="7" t="inlineStr">
        <is>
          <t>https://www.eby.gov.py/wp-content/uploads/2019/12/YacyretaEnergiasMensualesDesdePuestaenMarcha.pdf</t>
        </is>
      </c>
      <c r="S525" s="6" t="inlineStr">
        <is>
          <t>EBY-MONTHLY-1994-2012</t>
        </is>
      </c>
      <c r="T525" s="6" t="inlineStr"/>
      <c r="U525" s="4" t="inlineStr">
        <is>
          <t>2026-09-10 23:00:00</t>
        </is>
      </c>
      <c r="V525" s="4" t="inlineStr">
        <is>
          <t>Energia mensual entregada al SINP.</t>
        </is>
      </c>
    </row>
    <row r="526">
      <c r="A526" s="6" t="inlineStr">
        <is>
          <t>R0000530</t>
        </is>
      </c>
      <c r="B526" s="6" t="inlineStr">
        <is>
          <t>2004-12-01</t>
        </is>
      </c>
      <c r="C526" s="6" t="inlineStr">
        <is>
          <t>2004-12-31</t>
        </is>
      </c>
      <c r="D526" s="6" t="inlineStr">
        <is>
          <t>month</t>
        </is>
      </c>
      <c r="E526" s="6" t="inlineStr">
        <is>
          <t>YACYRETA_NET_ENERGY</t>
        </is>
      </c>
      <c r="F526" s="6" t="inlineStr">
        <is>
          <t>YACYRETA</t>
        </is>
      </c>
      <c r="G526" s="6" t="inlineStr">
        <is>
          <t>YACYRETA</t>
        </is>
      </c>
      <c r="H526" s="6" t="inlineStr">
        <is>
          <t>TOTAL</t>
        </is>
      </c>
      <c r="I526" s="8" t="n">
        <v>1112709</v>
      </c>
      <c r="J526" s="6" t="inlineStr">
        <is>
          <t>MWh</t>
        </is>
      </c>
      <c r="K526" s="8" t="n">
        <v>1112709</v>
      </c>
      <c r="L526" s="6" t="inlineStr">
        <is>
          <t>MWh</t>
        </is>
      </c>
      <c r="M526" s="6" t="inlineStr">
        <is>
          <t>EBY</t>
        </is>
      </c>
      <c r="N526" s="6" t="inlineStr">
        <is>
          <t>OFFICIAL_PRIMARY</t>
        </is>
      </c>
      <c r="O526" s="9" t="inlineStr">
        <is>
          <t>OFFICIAL_AGGREGATE</t>
        </is>
      </c>
      <c r="P526" s="8" t="n">
        <v>1</v>
      </c>
      <c r="Q526" s="8" t="n">
        <v>50</v>
      </c>
      <c r="R526" s="7" t="inlineStr">
        <is>
          <t>https://www.eby.gov.py/wp-content/uploads/2019/12/YacyretaEnergiasMensualesDesdePuestaenMarcha.pdf</t>
        </is>
      </c>
      <c r="S526" s="6" t="inlineStr">
        <is>
          <t>EBY-MONTHLY-1994-2012</t>
        </is>
      </c>
      <c r="T526" s="6" t="inlineStr"/>
      <c r="U526" s="4" t="inlineStr">
        <is>
          <t>2026-09-10 23:00:00</t>
        </is>
      </c>
      <c r="V526" s="4" t="inlineStr">
        <is>
          <t>Energia mensual Yacyreta desde puesta en marcha.</t>
        </is>
      </c>
    </row>
    <row r="527">
      <c r="A527" s="6" t="inlineStr">
        <is>
          <t>R0000531</t>
        </is>
      </c>
      <c r="B527" s="6" t="inlineStr">
        <is>
          <t>2004-12-01</t>
        </is>
      </c>
      <c r="C527" s="6" t="inlineStr">
        <is>
          <t>2004-12-31</t>
        </is>
      </c>
      <c r="D527" s="6" t="inlineStr">
        <is>
          <t>month</t>
        </is>
      </c>
      <c r="E527" s="6" t="inlineStr">
        <is>
          <t>ENERGY_TO_ARGENTINA</t>
        </is>
      </c>
      <c r="F527" s="6" t="inlineStr">
        <is>
          <t>YACYRETA</t>
        </is>
      </c>
      <c r="G527" s="6" t="inlineStr">
        <is>
          <t>YACYRETA</t>
        </is>
      </c>
      <c r="H527" s="6" t="inlineStr">
        <is>
          <t>SADI</t>
        </is>
      </c>
      <c r="I527" s="8" t="n">
        <v>1104731</v>
      </c>
      <c r="J527" s="6" t="inlineStr">
        <is>
          <t>MWh</t>
        </is>
      </c>
      <c r="K527" s="8" t="n">
        <v>1104731</v>
      </c>
      <c r="L527" s="6" t="inlineStr">
        <is>
          <t>MWh</t>
        </is>
      </c>
      <c r="M527" s="6" t="inlineStr">
        <is>
          <t>EBY</t>
        </is>
      </c>
      <c r="N527" s="6" t="inlineStr">
        <is>
          <t>OFFICIAL_PRIMARY</t>
        </is>
      </c>
      <c r="O527" s="9" t="inlineStr">
        <is>
          <t>OFFICIAL_AGGREGATE</t>
        </is>
      </c>
      <c r="P527" s="8" t="n">
        <v>1</v>
      </c>
      <c r="Q527" s="8" t="n">
        <v>50</v>
      </c>
      <c r="R527" s="7" t="inlineStr">
        <is>
          <t>https://www.eby.gov.py/wp-content/uploads/2019/12/YacyretaEnergiasMensualesDesdePuestaenMarcha.pdf</t>
        </is>
      </c>
      <c r="S527" s="6" t="inlineStr">
        <is>
          <t>EBY-MONTHLY-1994-2012</t>
        </is>
      </c>
      <c r="T527" s="6" t="inlineStr"/>
      <c r="U527" s="4" t="inlineStr">
        <is>
          <t>2026-09-10 23:00:00</t>
        </is>
      </c>
      <c r="V527" s="4" t="inlineStr">
        <is>
          <t>Energia mensual entregada al SADI.</t>
        </is>
      </c>
    </row>
    <row r="528">
      <c r="A528" s="6" t="inlineStr">
        <is>
          <t>R0000532</t>
        </is>
      </c>
      <c r="B528" s="6" t="inlineStr">
        <is>
          <t>2004-12-01</t>
        </is>
      </c>
      <c r="C528" s="6" t="inlineStr">
        <is>
          <t>2004-12-31</t>
        </is>
      </c>
      <c r="D528" s="6" t="inlineStr">
        <is>
          <t>month</t>
        </is>
      </c>
      <c r="E528" s="6" t="inlineStr">
        <is>
          <t>ENERGY_TO_PY</t>
        </is>
      </c>
      <c r="F528" s="6" t="inlineStr">
        <is>
          <t>YACYRETA</t>
        </is>
      </c>
      <c r="G528" s="6" t="inlineStr">
        <is>
          <t>YACYRETA</t>
        </is>
      </c>
      <c r="H528" s="6" t="inlineStr">
        <is>
          <t>SINP</t>
        </is>
      </c>
      <c r="I528" s="8" t="n">
        <v>7978</v>
      </c>
      <c r="J528" s="6" t="inlineStr">
        <is>
          <t>MWh</t>
        </is>
      </c>
      <c r="K528" s="8" t="n">
        <v>7978</v>
      </c>
      <c r="L528" s="6" t="inlineStr">
        <is>
          <t>MWh</t>
        </is>
      </c>
      <c r="M528" s="6" t="inlineStr">
        <is>
          <t>EBY</t>
        </is>
      </c>
      <c r="N528" s="6" t="inlineStr">
        <is>
          <t>OFFICIAL_PRIMARY</t>
        </is>
      </c>
      <c r="O528" s="9" t="inlineStr">
        <is>
          <t>OFFICIAL_AGGREGATE</t>
        </is>
      </c>
      <c r="P528" s="8" t="n">
        <v>1</v>
      </c>
      <c r="Q528" s="8" t="n">
        <v>50</v>
      </c>
      <c r="R528" s="7" t="inlineStr">
        <is>
          <t>https://www.eby.gov.py/wp-content/uploads/2019/12/YacyretaEnergiasMensualesDesdePuestaenMarcha.pdf</t>
        </is>
      </c>
      <c r="S528" s="6" t="inlineStr">
        <is>
          <t>EBY-MONTHLY-1994-2012</t>
        </is>
      </c>
      <c r="T528" s="6" t="inlineStr"/>
      <c r="U528" s="4" t="inlineStr">
        <is>
          <t>2026-09-10 23:00:00</t>
        </is>
      </c>
      <c r="V528" s="4" t="inlineStr">
        <is>
          <t>Energia mensual entregada al SINP.</t>
        </is>
      </c>
    </row>
    <row r="529">
      <c r="A529" s="6" t="inlineStr">
        <is>
          <t>R0000533</t>
        </is>
      </c>
      <c r="B529" s="6" t="inlineStr">
        <is>
          <t>2005-01-01</t>
        </is>
      </c>
      <c r="C529" s="6" t="inlineStr">
        <is>
          <t>2005-01-31</t>
        </is>
      </c>
      <c r="D529" s="6" t="inlineStr">
        <is>
          <t>month</t>
        </is>
      </c>
      <c r="E529" s="6" t="inlineStr">
        <is>
          <t>YACYRETA_NET_ENERGY</t>
        </is>
      </c>
      <c r="F529" s="6" t="inlineStr">
        <is>
          <t>YACYRETA</t>
        </is>
      </c>
      <c r="G529" s="6" t="inlineStr">
        <is>
          <t>YACYRETA</t>
        </is>
      </c>
      <c r="H529" s="6" t="inlineStr">
        <is>
          <t>TOTAL</t>
        </is>
      </c>
      <c r="I529" s="8" t="n">
        <v>1166807</v>
      </c>
      <c r="J529" s="6" t="inlineStr">
        <is>
          <t>MWh</t>
        </is>
      </c>
      <c r="K529" s="8" t="n">
        <v>1166807</v>
      </c>
      <c r="L529" s="6" t="inlineStr">
        <is>
          <t>MWh</t>
        </is>
      </c>
      <c r="M529" s="6" t="inlineStr">
        <is>
          <t>EBY</t>
        </is>
      </c>
      <c r="N529" s="6" t="inlineStr">
        <is>
          <t>OFFICIAL_PRIMARY</t>
        </is>
      </c>
      <c r="O529" s="9" t="inlineStr">
        <is>
          <t>OFFICIAL_AGGREGATE</t>
        </is>
      </c>
      <c r="P529" s="8" t="n">
        <v>1</v>
      </c>
      <c r="Q529" s="8" t="n">
        <v>50</v>
      </c>
      <c r="R529" s="7" t="inlineStr">
        <is>
          <t>https://www.eby.gov.py/wp-content/uploads/2019/12/YacyretaEnergiasMensualesDesdePuestaenMarcha.pdf</t>
        </is>
      </c>
      <c r="S529" s="6" t="inlineStr">
        <is>
          <t>EBY-MONTHLY-1994-2012</t>
        </is>
      </c>
      <c r="T529" s="6" t="inlineStr"/>
      <c r="U529" s="4" t="inlineStr">
        <is>
          <t>2026-09-10 23:00:00</t>
        </is>
      </c>
      <c r="V529" s="4" t="inlineStr">
        <is>
          <t>Energia mensual Yacyreta desde puesta en marcha.</t>
        </is>
      </c>
    </row>
    <row r="530">
      <c r="A530" s="6" t="inlineStr">
        <is>
          <t>R0000534</t>
        </is>
      </c>
      <c r="B530" s="6" t="inlineStr">
        <is>
          <t>2005-01-01</t>
        </is>
      </c>
      <c r="C530" s="6" t="inlineStr">
        <is>
          <t>2005-01-31</t>
        </is>
      </c>
      <c r="D530" s="6" t="inlineStr">
        <is>
          <t>month</t>
        </is>
      </c>
      <c r="E530" s="6" t="inlineStr">
        <is>
          <t>ENERGY_TO_ARGENTINA</t>
        </is>
      </c>
      <c r="F530" s="6" t="inlineStr">
        <is>
          <t>YACYRETA</t>
        </is>
      </c>
      <c r="G530" s="6" t="inlineStr">
        <is>
          <t>YACYRETA</t>
        </is>
      </c>
      <c r="H530" s="6" t="inlineStr">
        <is>
          <t>SADI</t>
        </is>
      </c>
      <c r="I530" s="8" t="n">
        <v>1107832</v>
      </c>
      <c r="J530" s="6" t="inlineStr">
        <is>
          <t>MWh</t>
        </is>
      </c>
      <c r="K530" s="8" t="n">
        <v>1107832</v>
      </c>
      <c r="L530" s="6" t="inlineStr">
        <is>
          <t>MWh</t>
        </is>
      </c>
      <c r="M530" s="6" t="inlineStr">
        <is>
          <t>EBY</t>
        </is>
      </c>
      <c r="N530" s="6" t="inlineStr">
        <is>
          <t>OFFICIAL_PRIMARY</t>
        </is>
      </c>
      <c r="O530" s="9" t="inlineStr">
        <is>
          <t>OFFICIAL_AGGREGATE</t>
        </is>
      </c>
      <c r="P530" s="8" t="n">
        <v>1</v>
      </c>
      <c r="Q530" s="8" t="n">
        <v>50</v>
      </c>
      <c r="R530" s="7" t="inlineStr">
        <is>
          <t>https://www.eby.gov.py/wp-content/uploads/2019/12/YacyretaEnergiasMensualesDesdePuestaenMarcha.pdf</t>
        </is>
      </c>
      <c r="S530" s="6" t="inlineStr">
        <is>
          <t>EBY-MONTHLY-1994-2012</t>
        </is>
      </c>
      <c r="T530" s="6" t="inlineStr"/>
      <c r="U530" s="4" t="inlineStr">
        <is>
          <t>2026-09-10 23:00:00</t>
        </is>
      </c>
      <c r="V530" s="4" t="inlineStr">
        <is>
          <t>Energia mensual entregada al SADI.</t>
        </is>
      </c>
    </row>
    <row r="531">
      <c r="A531" s="6" t="inlineStr">
        <is>
          <t>R0000535</t>
        </is>
      </c>
      <c r="B531" s="6" t="inlineStr">
        <is>
          <t>2005-01-01</t>
        </is>
      </c>
      <c r="C531" s="6" t="inlineStr">
        <is>
          <t>2005-01-31</t>
        </is>
      </c>
      <c r="D531" s="6" t="inlineStr">
        <is>
          <t>month</t>
        </is>
      </c>
      <c r="E531" s="6" t="inlineStr">
        <is>
          <t>ENERGY_TO_PY</t>
        </is>
      </c>
      <c r="F531" s="6" t="inlineStr">
        <is>
          <t>YACYRETA</t>
        </is>
      </c>
      <c r="G531" s="6" t="inlineStr">
        <is>
          <t>YACYRETA</t>
        </is>
      </c>
      <c r="H531" s="6" t="inlineStr">
        <is>
          <t>SINP</t>
        </is>
      </c>
      <c r="I531" s="8" t="n">
        <v>58975</v>
      </c>
      <c r="J531" s="6" t="inlineStr">
        <is>
          <t>MWh</t>
        </is>
      </c>
      <c r="K531" s="8" t="n">
        <v>58975</v>
      </c>
      <c r="L531" s="6" t="inlineStr">
        <is>
          <t>MWh</t>
        </is>
      </c>
      <c r="M531" s="6" t="inlineStr">
        <is>
          <t>EBY</t>
        </is>
      </c>
      <c r="N531" s="6" t="inlineStr">
        <is>
          <t>OFFICIAL_PRIMARY</t>
        </is>
      </c>
      <c r="O531" s="9" t="inlineStr">
        <is>
          <t>OFFICIAL_AGGREGATE</t>
        </is>
      </c>
      <c r="P531" s="8" t="n">
        <v>1</v>
      </c>
      <c r="Q531" s="8" t="n">
        <v>50</v>
      </c>
      <c r="R531" s="7" t="inlineStr">
        <is>
          <t>https://www.eby.gov.py/wp-content/uploads/2019/12/YacyretaEnergiasMensualesDesdePuestaenMarcha.pdf</t>
        </is>
      </c>
      <c r="S531" s="6" t="inlineStr">
        <is>
          <t>EBY-MONTHLY-1994-2012</t>
        </is>
      </c>
      <c r="T531" s="6" t="inlineStr"/>
      <c r="U531" s="4" t="inlineStr">
        <is>
          <t>2026-09-10 23:00:00</t>
        </is>
      </c>
      <c r="V531" s="4" t="inlineStr">
        <is>
          <t>Energia mensual entregada al SINP.</t>
        </is>
      </c>
    </row>
    <row r="532">
      <c r="A532" s="6" t="inlineStr">
        <is>
          <t>R0000536</t>
        </is>
      </c>
      <c r="B532" s="6" t="inlineStr">
        <is>
          <t>2005-02-01</t>
        </is>
      </c>
      <c r="C532" s="6" t="inlineStr">
        <is>
          <t>2005-02-28</t>
        </is>
      </c>
      <c r="D532" s="6" t="inlineStr">
        <is>
          <t>month</t>
        </is>
      </c>
      <c r="E532" s="6" t="inlineStr">
        <is>
          <t>YACYRETA_NET_ENERGY</t>
        </is>
      </c>
      <c r="F532" s="6" t="inlineStr">
        <is>
          <t>YACYRETA</t>
        </is>
      </c>
      <c r="G532" s="6" t="inlineStr">
        <is>
          <t>YACYRETA</t>
        </is>
      </c>
      <c r="H532" s="6" t="inlineStr">
        <is>
          <t>TOTAL</t>
        </is>
      </c>
      <c r="I532" s="8" t="n">
        <v>1037814</v>
      </c>
      <c r="J532" s="6" t="inlineStr">
        <is>
          <t>MWh</t>
        </is>
      </c>
      <c r="K532" s="8" t="n">
        <v>1037814</v>
      </c>
      <c r="L532" s="6" t="inlineStr">
        <is>
          <t>MWh</t>
        </is>
      </c>
      <c r="M532" s="6" t="inlineStr">
        <is>
          <t>EBY</t>
        </is>
      </c>
      <c r="N532" s="6" t="inlineStr">
        <is>
          <t>OFFICIAL_PRIMARY</t>
        </is>
      </c>
      <c r="O532" s="9" t="inlineStr">
        <is>
          <t>OFFICIAL_AGGREGATE</t>
        </is>
      </c>
      <c r="P532" s="8" t="n">
        <v>1</v>
      </c>
      <c r="Q532" s="8" t="n">
        <v>50</v>
      </c>
      <c r="R532" s="7" t="inlineStr">
        <is>
          <t>https://www.eby.gov.py/wp-content/uploads/2019/12/YacyretaEnergiasMensualesDesdePuestaenMarcha.pdf</t>
        </is>
      </c>
      <c r="S532" s="6" t="inlineStr">
        <is>
          <t>EBY-MONTHLY-1994-2012</t>
        </is>
      </c>
      <c r="T532" s="6" t="inlineStr"/>
      <c r="U532" s="4" t="inlineStr">
        <is>
          <t>2026-09-10 23:00:00</t>
        </is>
      </c>
      <c r="V532" s="4" t="inlineStr">
        <is>
          <t>Energia mensual Yacyreta desde puesta en marcha.</t>
        </is>
      </c>
    </row>
    <row r="533">
      <c r="A533" s="6" t="inlineStr">
        <is>
          <t>R0000537</t>
        </is>
      </c>
      <c r="B533" s="6" t="inlineStr">
        <is>
          <t>2005-02-01</t>
        </is>
      </c>
      <c r="C533" s="6" t="inlineStr">
        <is>
          <t>2005-02-28</t>
        </is>
      </c>
      <c r="D533" s="6" t="inlineStr">
        <is>
          <t>month</t>
        </is>
      </c>
      <c r="E533" s="6" t="inlineStr">
        <is>
          <t>ENERGY_TO_ARGENTINA</t>
        </is>
      </c>
      <c r="F533" s="6" t="inlineStr">
        <is>
          <t>YACYRETA</t>
        </is>
      </c>
      <c r="G533" s="6" t="inlineStr">
        <is>
          <t>YACYRETA</t>
        </is>
      </c>
      <c r="H533" s="6" t="inlineStr">
        <is>
          <t>SADI</t>
        </is>
      </c>
      <c r="I533" s="8" t="n">
        <v>983320</v>
      </c>
      <c r="J533" s="6" t="inlineStr">
        <is>
          <t>MWh</t>
        </is>
      </c>
      <c r="K533" s="8" t="n">
        <v>983320</v>
      </c>
      <c r="L533" s="6" t="inlineStr">
        <is>
          <t>MWh</t>
        </is>
      </c>
      <c r="M533" s="6" t="inlineStr">
        <is>
          <t>EBY</t>
        </is>
      </c>
      <c r="N533" s="6" t="inlineStr">
        <is>
          <t>OFFICIAL_PRIMARY</t>
        </is>
      </c>
      <c r="O533" s="9" t="inlineStr">
        <is>
          <t>OFFICIAL_AGGREGATE</t>
        </is>
      </c>
      <c r="P533" s="8" t="n">
        <v>1</v>
      </c>
      <c r="Q533" s="8" t="n">
        <v>50</v>
      </c>
      <c r="R533" s="7" t="inlineStr">
        <is>
          <t>https://www.eby.gov.py/wp-content/uploads/2019/12/YacyretaEnergiasMensualesDesdePuestaenMarcha.pdf</t>
        </is>
      </c>
      <c r="S533" s="6" t="inlineStr">
        <is>
          <t>EBY-MONTHLY-1994-2012</t>
        </is>
      </c>
      <c r="T533" s="6" t="inlineStr"/>
      <c r="U533" s="4" t="inlineStr">
        <is>
          <t>2026-09-10 23:00:00</t>
        </is>
      </c>
      <c r="V533" s="4" t="inlineStr">
        <is>
          <t>Energia mensual entregada al SADI.</t>
        </is>
      </c>
    </row>
    <row r="534">
      <c r="A534" s="6" t="inlineStr">
        <is>
          <t>R0000538</t>
        </is>
      </c>
      <c r="B534" s="6" t="inlineStr">
        <is>
          <t>2005-02-01</t>
        </is>
      </c>
      <c r="C534" s="6" t="inlineStr">
        <is>
          <t>2005-02-28</t>
        </is>
      </c>
      <c r="D534" s="6" t="inlineStr">
        <is>
          <t>month</t>
        </is>
      </c>
      <c r="E534" s="6" t="inlineStr">
        <is>
          <t>ENERGY_TO_PY</t>
        </is>
      </c>
      <c r="F534" s="6" t="inlineStr">
        <is>
          <t>YACYRETA</t>
        </is>
      </c>
      <c r="G534" s="6" t="inlineStr">
        <is>
          <t>YACYRETA</t>
        </is>
      </c>
      <c r="H534" s="6" t="inlineStr">
        <is>
          <t>SINP</t>
        </is>
      </c>
      <c r="I534" s="8" t="n">
        <v>54494</v>
      </c>
      <c r="J534" s="6" t="inlineStr">
        <is>
          <t>MWh</t>
        </is>
      </c>
      <c r="K534" s="8" t="n">
        <v>54494</v>
      </c>
      <c r="L534" s="6" t="inlineStr">
        <is>
          <t>MWh</t>
        </is>
      </c>
      <c r="M534" s="6" t="inlineStr">
        <is>
          <t>EBY</t>
        </is>
      </c>
      <c r="N534" s="6" t="inlineStr">
        <is>
          <t>OFFICIAL_PRIMARY</t>
        </is>
      </c>
      <c r="O534" s="9" t="inlineStr">
        <is>
          <t>OFFICIAL_AGGREGATE</t>
        </is>
      </c>
      <c r="P534" s="8" t="n">
        <v>1</v>
      </c>
      <c r="Q534" s="8" t="n">
        <v>50</v>
      </c>
      <c r="R534" s="7" t="inlineStr">
        <is>
          <t>https://www.eby.gov.py/wp-content/uploads/2019/12/YacyretaEnergiasMensualesDesdePuestaenMarcha.pdf</t>
        </is>
      </c>
      <c r="S534" s="6" t="inlineStr">
        <is>
          <t>EBY-MONTHLY-1994-2012</t>
        </is>
      </c>
      <c r="T534" s="6" t="inlineStr"/>
      <c r="U534" s="4" t="inlineStr">
        <is>
          <t>2026-09-10 23:00:00</t>
        </is>
      </c>
      <c r="V534" s="4" t="inlineStr">
        <is>
          <t>Energia mensual entregada al SINP.</t>
        </is>
      </c>
    </row>
    <row r="535">
      <c r="A535" s="6" t="inlineStr">
        <is>
          <t>R0000539</t>
        </is>
      </c>
      <c r="B535" s="6" t="inlineStr">
        <is>
          <t>2005-03-01</t>
        </is>
      </c>
      <c r="C535" s="6" t="inlineStr">
        <is>
          <t>2005-03-31</t>
        </is>
      </c>
      <c r="D535" s="6" t="inlineStr">
        <is>
          <t>month</t>
        </is>
      </c>
      <c r="E535" s="6" t="inlineStr">
        <is>
          <t>YACYRETA_NET_ENERGY</t>
        </is>
      </c>
      <c r="F535" s="6" t="inlineStr">
        <is>
          <t>YACYRETA</t>
        </is>
      </c>
      <c r="G535" s="6" t="inlineStr">
        <is>
          <t>YACYRETA</t>
        </is>
      </c>
      <c r="H535" s="6" t="inlineStr">
        <is>
          <t>TOTAL</t>
        </is>
      </c>
      <c r="I535" s="8" t="n">
        <v>956206</v>
      </c>
      <c r="J535" s="6" t="inlineStr">
        <is>
          <t>MWh</t>
        </is>
      </c>
      <c r="K535" s="8" t="n">
        <v>956206</v>
      </c>
      <c r="L535" s="6" t="inlineStr">
        <is>
          <t>MWh</t>
        </is>
      </c>
      <c r="M535" s="6" t="inlineStr">
        <is>
          <t>EBY</t>
        </is>
      </c>
      <c r="N535" s="6" t="inlineStr">
        <is>
          <t>OFFICIAL_PRIMARY</t>
        </is>
      </c>
      <c r="O535" s="9" t="inlineStr">
        <is>
          <t>OFFICIAL_AGGREGATE</t>
        </is>
      </c>
      <c r="P535" s="8" t="n">
        <v>1</v>
      </c>
      <c r="Q535" s="8" t="n">
        <v>50</v>
      </c>
      <c r="R535" s="7" t="inlineStr">
        <is>
          <t>https://www.eby.gov.py/wp-content/uploads/2019/12/YacyretaEnergiasMensualesDesdePuestaenMarcha.pdf</t>
        </is>
      </c>
      <c r="S535" s="6" t="inlineStr">
        <is>
          <t>EBY-MONTHLY-1994-2012</t>
        </is>
      </c>
      <c r="T535" s="6" t="inlineStr"/>
      <c r="U535" s="4" t="inlineStr">
        <is>
          <t>2026-09-10 23:00:00</t>
        </is>
      </c>
      <c r="V535" s="4" t="inlineStr">
        <is>
          <t>Energia mensual Yacyreta desde puesta en marcha.</t>
        </is>
      </c>
    </row>
    <row r="536">
      <c r="A536" s="6" t="inlineStr">
        <is>
          <t>R0000540</t>
        </is>
      </c>
      <c r="B536" s="6" t="inlineStr">
        <is>
          <t>2005-03-01</t>
        </is>
      </c>
      <c r="C536" s="6" t="inlineStr">
        <is>
          <t>2005-03-31</t>
        </is>
      </c>
      <c r="D536" s="6" t="inlineStr">
        <is>
          <t>month</t>
        </is>
      </c>
      <c r="E536" s="6" t="inlineStr">
        <is>
          <t>ENERGY_TO_ARGENTINA</t>
        </is>
      </c>
      <c r="F536" s="6" t="inlineStr">
        <is>
          <t>YACYRETA</t>
        </is>
      </c>
      <c r="G536" s="6" t="inlineStr">
        <is>
          <t>YACYRETA</t>
        </is>
      </c>
      <c r="H536" s="6" t="inlineStr">
        <is>
          <t>SADI</t>
        </is>
      </c>
      <c r="I536" s="8" t="n">
        <v>924204</v>
      </c>
      <c r="J536" s="6" t="inlineStr">
        <is>
          <t>MWh</t>
        </is>
      </c>
      <c r="K536" s="8" t="n">
        <v>924204</v>
      </c>
      <c r="L536" s="6" t="inlineStr">
        <is>
          <t>MWh</t>
        </is>
      </c>
      <c r="M536" s="6" t="inlineStr">
        <is>
          <t>EBY</t>
        </is>
      </c>
      <c r="N536" s="6" t="inlineStr">
        <is>
          <t>OFFICIAL_PRIMARY</t>
        </is>
      </c>
      <c r="O536" s="9" t="inlineStr">
        <is>
          <t>OFFICIAL_AGGREGATE</t>
        </is>
      </c>
      <c r="P536" s="8" t="n">
        <v>1</v>
      </c>
      <c r="Q536" s="8" t="n">
        <v>50</v>
      </c>
      <c r="R536" s="7" t="inlineStr">
        <is>
          <t>https://www.eby.gov.py/wp-content/uploads/2019/12/YacyretaEnergiasMensualesDesdePuestaenMarcha.pdf</t>
        </is>
      </c>
      <c r="S536" s="6" t="inlineStr">
        <is>
          <t>EBY-MONTHLY-1994-2012</t>
        </is>
      </c>
      <c r="T536" s="6" t="inlineStr"/>
      <c r="U536" s="4" t="inlineStr">
        <is>
          <t>2026-09-10 23:00:00</t>
        </is>
      </c>
      <c r="V536" s="4" t="inlineStr">
        <is>
          <t>Energia mensual entregada al SADI.</t>
        </is>
      </c>
    </row>
    <row r="537">
      <c r="A537" s="6" t="inlineStr">
        <is>
          <t>R0000541</t>
        </is>
      </c>
      <c r="B537" s="6" t="inlineStr">
        <is>
          <t>2005-03-01</t>
        </is>
      </c>
      <c r="C537" s="6" t="inlineStr">
        <is>
          <t>2005-03-31</t>
        </is>
      </c>
      <c r="D537" s="6" t="inlineStr">
        <is>
          <t>month</t>
        </is>
      </c>
      <c r="E537" s="6" t="inlineStr">
        <is>
          <t>ENERGY_TO_PY</t>
        </is>
      </c>
      <c r="F537" s="6" t="inlineStr">
        <is>
          <t>YACYRETA</t>
        </is>
      </c>
      <c r="G537" s="6" t="inlineStr">
        <is>
          <t>YACYRETA</t>
        </is>
      </c>
      <c r="H537" s="6" t="inlineStr">
        <is>
          <t>SINP</t>
        </is>
      </c>
      <c r="I537" s="8" t="n">
        <v>32002</v>
      </c>
      <c r="J537" s="6" t="inlineStr">
        <is>
          <t>MWh</t>
        </is>
      </c>
      <c r="K537" s="8" t="n">
        <v>32002</v>
      </c>
      <c r="L537" s="6" t="inlineStr">
        <is>
          <t>MWh</t>
        </is>
      </c>
      <c r="M537" s="6" t="inlineStr">
        <is>
          <t>EBY</t>
        </is>
      </c>
      <c r="N537" s="6" t="inlineStr">
        <is>
          <t>OFFICIAL_PRIMARY</t>
        </is>
      </c>
      <c r="O537" s="9" t="inlineStr">
        <is>
          <t>OFFICIAL_AGGREGATE</t>
        </is>
      </c>
      <c r="P537" s="8" t="n">
        <v>1</v>
      </c>
      <c r="Q537" s="8" t="n">
        <v>50</v>
      </c>
      <c r="R537" s="7" t="inlineStr">
        <is>
          <t>https://www.eby.gov.py/wp-content/uploads/2019/12/YacyretaEnergiasMensualesDesdePuestaenMarcha.pdf</t>
        </is>
      </c>
      <c r="S537" s="6" t="inlineStr">
        <is>
          <t>EBY-MONTHLY-1994-2012</t>
        </is>
      </c>
      <c r="T537" s="6" t="inlineStr"/>
      <c r="U537" s="4" t="inlineStr">
        <is>
          <t>2026-09-10 23:00:00</t>
        </is>
      </c>
      <c r="V537" s="4" t="inlineStr">
        <is>
          <t>Energia mensual entregada al SINP.</t>
        </is>
      </c>
    </row>
    <row r="538">
      <c r="A538" s="6" t="inlineStr">
        <is>
          <t>R0000542</t>
        </is>
      </c>
      <c r="B538" s="6" t="inlineStr">
        <is>
          <t>2005-04-01</t>
        </is>
      </c>
      <c r="C538" s="6" t="inlineStr">
        <is>
          <t>2005-04-30</t>
        </is>
      </c>
      <c r="D538" s="6" t="inlineStr">
        <is>
          <t>month</t>
        </is>
      </c>
      <c r="E538" s="6" t="inlineStr">
        <is>
          <t>YACYRETA_NET_ENERGY</t>
        </is>
      </c>
      <c r="F538" s="6" t="inlineStr">
        <is>
          <t>YACYRETA</t>
        </is>
      </c>
      <c r="G538" s="6" t="inlineStr">
        <is>
          <t>YACYRETA</t>
        </is>
      </c>
      <c r="H538" s="6" t="inlineStr">
        <is>
          <t>TOTAL</t>
        </is>
      </c>
      <c r="I538" s="8" t="n">
        <v>974060</v>
      </c>
      <c r="J538" s="6" t="inlineStr">
        <is>
          <t>MWh</t>
        </is>
      </c>
      <c r="K538" s="8" t="n">
        <v>974060</v>
      </c>
      <c r="L538" s="6" t="inlineStr">
        <is>
          <t>MWh</t>
        </is>
      </c>
      <c r="M538" s="6" t="inlineStr">
        <is>
          <t>EBY</t>
        </is>
      </c>
      <c r="N538" s="6" t="inlineStr">
        <is>
          <t>OFFICIAL_PRIMARY</t>
        </is>
      </c>
      <c r="O538" s="9" t="inlineStr">
        <is>
          <t>OFFICIAL_AGGREGATE</t>
        </is>
      </c>
      <c r="P538" s="8" t="n">
        <v>1</v>
      </c>
      <c r="Q538" s="8" t="n">
        <v>50</v>
      </c>
      <c r="R538" s="7" t="inlineStr">
        <is>
          <t>https://www.eby.gov.py/wp-content/uploads/2019/12/YacyretaEnergiasMensualesDesdePuestaenMarcha.pdf</t>
        </is>
      </c>
      <c r="S538" s="6" t="inlineStr">
        <is>
          <t>EBY-MONTHLY-1994-2012</t>
        </is>
      </c>
      <c r="T538" s="6" t="inlineStr"/>
      <c r="U538" s="4" t="inlineStr">
        <is>
          <t>2026-09-10 23:00:00</t>
        </is>
      </c>
      <c r="V538" s="4" t="inlineStr">
        <is>
          <t>Energia mensual Yacyreta desde puesta en marcha.</t>
        </is>
      </c>
    </row>
    <row r="539">
      <c r="A539" s="6" t="inlineStr">
        <is>
          <t>R0000543</t>
        </is>
      </c>
      <c r="B539" s="6" t="inlineStr">
        <is>
          <t>2005-04-01</t>
        </is>
      </c>
      <c r="C539" s="6" t="inlineStr">
        <is>
          <t>2005-04-30</t>
        </is>
      </c>
      <c r="D539" s="6" t="inlineStr">
        <is>
          <t>month</t>
        </is>
      </c>
      <c r="E539" s="6" t="inlineStr">
        <is>
          <t>ENERGY_TO_ARGENTINA</t>
        </is>
      </c>
      <c r="F539" s="6" t="inlineStr">
        <is>
          <t>YACYRETA</t>
        </is>
      </c>
      <c r="G539" s="6" t="inlineStr">
        <is>
          <t>YACYRETA</t>
        </is>
      </c>
      <c r="H539" s="6" t="inlineStr">
        <is>
          <t>SADI</t>
        </is>
      </c>
      <c r="I539" s="8" t="n">
        <v>944862</v>
      </c>
      <c r="J539" s="6" t="inlineStr">
        <is>
          <t>MWh</t>
        </is>
      </c>
      <c r="K539" s="8" t="n">
        <v>944862</v>
      </c>
      <c r="L539" s="6" t="inlineStr">
        <is>
          <t>MWh</t>
        </is>
      </c>
      <c r="M539" s="6" t="inlineStr">
        <is>
          <t>EBY</t>
        </is>
      </c>
      <c r="N539" s="6" t="inlineStr">
        <is>
          <t>OFFICIAL_PRIMARY</t>
        </is>
      </c>
      <c r="O539" s="9" t="inlineStr">
        <is>
          <t>OFFICIAL_AGGREGATE</t>
        </is>
      </c>
      <c r="P539" s="8" t="n">
        <v>1</v>
      </c>
      <c r="Q539" s="8" t="n">
        <v>50</v>
      </c>
      <c r="R539" s="7" t="inlineStr">
        <is>
          <t>https://www.eby.gov.py/wp-content/uploads/2019/12/YacyretaEnergiasMensualesDesdePuestaenMarcha.pdf</t>
        </is>
      </c>
      <c r="S539" s="6" t="inlineStr">
        <is>
          <t>EBY-MONTHLY-1994-2012</t>
        </is>
      </c>
      <c r="T539" s="6" t="inlineStr"/>
      <c r="U539" s="4" t="inlineStr">
        <is>
          <t>2026-09-10 23:00:00</t>
        </is>
      </c>
      <c r="V539" s="4" t="inlineStr">
        <is>
          <t>Energia mensual entregada al SADI.</t>
        </is>
      </c>
    </row>
    <row r="540">
      <c r="A540" s="6" t="inlineStr">
        <is>
          <t>R0000544</t>
        </is>
      </c>
      <c r="B540" s="6" t="inlineStr">
        <is>
          <t>2005-04-01</t>
        </is>
      </c>
      <c r="C540" s="6" t="inlineStr">
        <is>
          <t>2005-04-30</t>
        </is>
      </c>
      <c r="D540" s="6" t="inlineStr">
        <is>
          <t>month</t>
        </is>
      </c>
      <c r="E540" s="6" t="inlineStr">
        <is>
          <t>ENERGY_TO_PY</t>
        </is>
      </c>
      <c r="F540" s="6" t="inlineStr">
        <is>
          <t>YACYRETA</t>
        </is>
      </c>
      <c r="G540" s="6" t="inlineStr">
        <is>
          <t>YACYRETA</t>
        </is>
      </c>
      <c r="H540" s="6" t="inlineStr">
        <is>
          <t>SINP</t>
        </is>
      </c>
      <c r="I540" s="8" t="n">
        <v>29198</v>
      </c>
      <c r="J540" s="6" t="inlineStr">
        <is>
          <t>MWh</t>
        </is>
      </c>
      <c r="K540" s="8" t="n">
        <v>29198</v>
      </c>
      <c r="L540" s="6" t="inlineStr">
        <is>
          <t>MWh</t>
        </is>
      </c>
      <c r="M540" s="6" t="inlineStr">
        <is>
          <t>EBY</t>
        </is>
      </c>
      <c r="N540" s="6" t="inlineStr">
        <is>
          <t>OFFICIAL_PRIMARY</t>
        </is>
      </c>
      <c r="O540" s="9" t="inlineStr">
        <is>
          <t>OFFICIAL_AGGREGATE</t>
        </is>
      </c>
      <c r="P540" s="8" t="n">
        <v>1</v>
      </c>
      <c r="Q540" s="8" t="n">
        <v>50</v>
      </c>
      <c r="R540" s="7" t="inlineStr">
        <is>
          <t>https://www.eby.gov.py/wp-content/uploads/2019/12/YacyretaEnergiasMensualesDesdePuestaenMarcha.pdf</t>
        </is>
      </c>
      <c r="S540" s="6" t="inlineStr">
        <is>
          <t>EBY-MONTHLY-1994-2012</t>
        </is>
      </c>
      <c r="T540" s="6" t="inlineStr"/>
      <c r="U540" s="4" t="inlineStr">
        <is>
          <t>2026-09-10 23:00:00</t>
        </is>
      </c>
      <c r="V540" s="4" t="inlineStr">
        <is>
          <t>Energia mensual entregada al SINP.</t>
        </is>
      </c>
    </row>
    <row r="541">
      <c r="A541" s="6" t="inlineStr">
        <is>
          <t>R0000545</t>
        </is>
      </c>
      <c r="B541" s="6" t="inlineStr">
        <is>
          <t>2005-05-01</t>
        </is>
      </c>
      <c r="C541" s="6" t="inlineStr">
        <is>
          <t>2005-05-31</t>
        </is>
      </c>
      <c r="D541" s="6" t="inlineStr">
        <is>
          <t>month</t>
        </is>
      </c>
      <c r="E541" s="6" t="inlineStr">
        <is>
          <t>YACYRETA_NET_ENERGY</t>
        </is>
      </c>
      <c r="F541" s="6" t="inlineStr">
        <is>
          <t>YACYRETA</t>
        </is>
      </c>
      <c r="G541" s="6" t="inlineStr">
        <is>
          <t>YACYRETA</t>
        </is>
      </c>
      <c r="H541" s="6" t="inlineStr">
        <is>
          <t>TOTAL</t>
        </is>
      </c>
      <c r="I541" s="8" t="n">
        <v>1008316</v>
      </c>
      <c r="J541" s="6" t="inlineStr">
        <is>
          <t>MWh</t>
        </is>
      </c>
      <c r="K541" s="8" t="n">
        <v>1008316</v>
      </c>
      <c r="L541" s="6" t="inlineStr">
        <is>
          <t>MWh</t>
        </is>
      </c>
      <c r="M541" s="6" t="inlineStr">
        <is>
          <t>EBY</t>
        </is>
      </c>
      <c r="N541" s="6" t="inlineStr">
        <is>
          <t>OFFICIAL_PRIMARY</t>
        </is>
      </c>
      <c r="O541" s="9" t="inlineStr">
        <is>
          <t>OFFICIAL_AGGREGATE</t>
        </is>
      </c>
      <c r="P541" s="8" t="n">
        <v>1</v>
      </c>
      <c r="Q541" s="8" t="n">
        <v>50</v>
      </c>
      <c r="R541" s="7" t="inlineStr">
        <is>
          <t>https://www.eby.gov.py/wp-content/uploads/2019/12/YacyretaEnergiasMensualesDesdePuestaenMarcha.pdf</t>
        </is>
      </c>
      <c r="S541" s="6" t="inlineStr">
        <is>
          <t>EBY-MONTHLY-1994-2012</t>
        </is>
      </c>
      <c r="T541" s="6" t="inlineStr"/>
      <c r="U541" s="4" t="inlineStr">
        <is>
          <t>2026-09-10 23:00:00</t>
        </is>
      </c>
      <c r="V541" s="4" t="inlineStr">
        <is>
          <t>Energia mensual Yacyreta desde puesta en marcha.</t>
        </is>
      </c>
    </row>
    <row r="542">
      <c r="A542" s="6" t="inlineStr">
        <is>
          <t>R0000546</t>
        </is>
      </c>
      <c r="B542" s="6" t="inlineStr">
        <is>
          <t>2005-05-01</t>
        </is>
      </c>
      <c r="C542" s="6" t="inlineStr">
        <is>
          <t>2005-05-31</t>
        </is>
      </c>
      <c r="D542" s="6" t="inlineStr">
        <is>
          <t>month</t>
        </is>
      </c>
      <c r="E542" s="6" t="inlineStr">
        <is>
          <t>ENERGY_TO_ARGENTINA</t>
        </is>
      </c>
      <c r="F542" s="6" t="inlineStr">
        <is>
          <t>YACYRETA</t>
        </is>
      </c>
      <c r="G542" s="6" t="inlineStr">
        <is>
          <t>YACYRETA</t>
        </is>
      </c>
      <c r="H542" s="6" t="inlineStr">
        <is>
          <t>SADI</t>
        </is>
      </c>
      <c r="I542" s="8" t="n">
        <v>1000744</v>
      </c>
      <c r="J542" s="6" t="inlineStr">
        <is>
          <t>MWh</t>
        </is>
      </c>
      <c r="K542" s="8" t="n">
        <v>1000744</v>
      </c>
      <c r="L542" s="6" t="inlineStr">
        <is>
          <t>MWh</t>
        </is>
      </c>
      <c r="M542" s="6" t="inlineStr">
        <is>
          <t>EBY</t>
        </is>
      </c>
      <c r="N542" s="6" t="inlineStr">
        <is>
          <t>OFFICIAL_PRIMARY</t>
        </is>
      </c>
      <c r="O542" s="9" t="inlineStr">
        <is>
          <t>OFFICIAL_AGGREGATE</t>
        </is>
      </c>
      <c r="P542" s="8" t="n">
        <v>1</v>
      </c>
      <c r="Q542" s="8" t="n">
        <v>50</v>
      </c>
      <c r="R542" s="7" t="inlineStr">
        <is>
          <t>https://www.eby.gov.py/wp-content/uploads/2019/12/YacyretaEnergiasMensualesDesdePuestaenMarcha.pdf</t>
        </is>
      </c>
      <c r="S542" s="6" t="inlineStr">
        <is>
          <t>EBY-MONTHLY-1994-2012</t>
        </is>
      </c>
      <c r="T542" s="6" t="inlineStr"/>
      <c r="U542" s="4" t="inlineStr">
        <is>
          <t>2026-09-10 23:00:00</t>
        </is>
      </c>
      <c r="V542" s="4" t="inlineStr">
        <is>
          <t>Energia mensual entregada al SADI.</t>
        </is>
      </c>
    </row>
    <row r="543">
      <c r="A543" s="6" t="inlineStr">
        <is>
          <t>R0000547</t>
        </is>
      </c>
      <c r="B543" s="6" t="inlineStr">
        <is>
          <t>2005-05-01</t>
        </is>
      </c>
      <c r="C543" s="6" t="inlineStr">
        <is>
          <t>2005-05-31</t>
        </is>
      </c>
      <c r="D543" s="6" t="inlineStr">
        <is>
          <t>month</t>
        </is>
      </c>
      <c r="E543" s="6" t="inlineStr">
        <is>
          <t>ENERGY_TO_PY</t>
        </is>
      </c>
      <c r="F543" s="6" t="inlineStr">
        <is>
          <t>YACYRETA</t>
        </is>
      </c>
      <c r="G543" s="6" t="inlineStr">
        <is>
          <t>YACYRETA</t>
        </is>
      </c>
      <c r="H543" s="6" t="inlineStr">
        <is>
          <t>SINP</t>
        </is>
      </c>
      <c r="I543" s="8" t="n">
        <v>7572</v>
      </c>
      <c r="J543" s="6" t="inlineStr">
        <is>
          <t>MWh</t>
        </is>
      </c>
      <c r="K543" s="8" t="n">
        <v>7572</v>
      </c>
      <c r="L543" s="6" t="inlineStr">
        <is>
          <t>MWh</t>
        </is>
      </c>
      <c r="M543" s="6" t="inlineStr">
        <is>
          <t>EBY</t>
        </is>
      </c>
      <c r="N543" s="6" t="inlineStr">
        <is>
          <t>OFFICIAL_PRIMARY</t>
        </is>
      </c>
      <c r="O543" s="9" t="inlineStr">
        <is>
          <t>OFFICIAL_AGGREGATE</t>
        </is>
      </c>
      <c r="P543" s="8" t="n">
        <v>1</v>
      </c>
      <c r="Q543" s="8" t="n">
        <v>50</v>
      </c>
      <c r="R543" s="7" t="inlineStr">
        <is>
          <t>https://www.eby.gov.py/wp-content/uploads/2019/12/YacyretaEnergiasMensualesDesdePuestaenMarcha.pdf</t>
        </is>
      </c>
      <c r="S543" s="6" t="inlineStr">
        <is>
          <t>EBY-MONTHLY-1994-2012</t>
        </is>
      </c>
      <c r="T543" s="6" t="inlineStr"/>
      <c r="U543" s="4" t="inlineStr">
        <is>
          <t>2026-09-10 23:00:00</t>
        </is>
      </c>
      <c r="V543" s="4" t="inlineStr">
        <is>
          <t>Energia mensual entregada al SINP.</t>
        </is>
      </c>
    </row>
    <row r="544">
      <c r="A544" s="6" t="inlineStr">
        <is>
          <t>R0000548</t>
        </is>
      </c>
      <c r="B544" s="6" t="inlineStr">
        <is>
          <t>2005-06-01</t>
        </is>
      </c>
      <c r="C544" s="6" t="inlineStr">
        <is>
          <t>2005-06-30</t>
        </is>
      </c>
      <c r="D544" s="6" t="inlineStr">
        <is>
          <t>month</t>
        </is>
      </c>
      <c r="E544" s="6" t="inlineStr">
        <is>
          <t>YACYRETA_NET_ENERGY</t>
        </is>
      </c>
      <c r="F544" s="6" t="inlineStr">
        <is>
          <t>YACYRETA</t>
        </is>
      </c>
      <c r="G544" s="6" t="inlineStr">
        <is>
          <t>YACYRETA</t>
        </is>
      </c>
      <c r="H544" s="6" t="inlineStr">
        <is>
          <t>TOTAL</t>
        </is>
      </c>
      <c r="I544" s="8" t="n">
        <v>1064078</v>
      </c>
      <c r="J544" s="6" t="inlineStr">
        <is>
          <t>MWh</t>
        </is>
      </c>
      <c r="K544" s="8" t="n">
        <v>1064078</v>
      </c>
      <c r="L544" s="6" t="inlineStr">
        <is>
          <t>MWh</t>
        </is>
      </c>
      <c r="M544" s="6" t="inlineStr">
        <is>
          <t>EBY</t>
        </is>
      </c>
      <c r="N544" s="6" t="inlineStr">
        <is>
          <t>OFFICIAL_PRIMARY</t>
        </is>
      </c>
      <c r="O544" s="9" t="inlineStr">
        <is>
          <t>OFFICIAL_AGGREGATE</t>
        </is>
      </c>
      <c r="P544" s="8" t="n">
        <v>1</v>
      </c>
      <c r="Q544" s="8" t="n">
        <v>50</v>
      </c>
      <c r="R544" s="7" t="inlineStr">
        <is>
          <t>https://www.eby.gov.py/wp-content/uploads/2019/12/YacyretaEnergiasMensualesDesdePuestaenMarcha.pdf</t>
        </is>
      </c>
      <c r="S544" s="6" t="inlineStr">
        <is>
          <t>EBY-MONTHLY-1994-2012</t>
        </is>
      </c>
      <c r="T544" s="6" t="inlineStr"/>
      <c r="U544" s="4" t="inlineStr">
        <is>
          <t>2026-09-10 23:00:00</t>
        </is>
      </c>
      <c r="V544" s="4" t="inlineStr">
        <is>
          <t>Energia mensual Yacyreta desde puesta en marcha.</t>
        </is>
      </c>
    </row>
    <row r="545">
      <c r="A545" s="6" t="inlineStr">
        <is>
          <t>R0000549</t>
        </is>
      </c>
      <c r="B545" s="6" t="inlineStr">
        <is>
          <t>2005-06-01</t>
        </is>
      </c>
      <c r="C545" s="6" t="inlineStr">
        <is>
          <t>2005-06-30</t>
        </is>
      </c>
      <c r="D545" s="6" t="inlineStr">
        <is>
          <t>month</t>
        </is>
      </c>
      <c r="E545" s="6" t="inlineStr">
        <is>
          <t>ENERGY_TO_ARGENTINA</t>
        </is>
      </c>
      <c r="F545" s="6" t="inlineStr">
        <is>
          <t>YACYRETA</t>
        </is>
      </c>
      <c r="G545" s="6" t="inlineStr">
        <is>
          <t>YACYRETA</t>
        </is>
      </c>
      <c r="H545" s="6" t="inlineStr">
        <is>
          <t>SADI</t>
        </is>
      </c>
      <c r="I545" s="8" t="n">
        <v>1050964</v>
      </c>
      <c r="J545" s="6" t="inlineStr">
        <is>
          <t>MWh</t>
        </is>
      </c>
      <c r="K545" s="8" t="n">
        <v>1050964</v>
      </c>
      <c r="L545" s="6" t="inlineStr">
        <is>
          <t>MWh</t>
        </is>
      </c>
      <c r="M545" s="6" t="inlineStr">
        <is>
          <t>EBY</t>
        </is>
      </c>
      <c r="N545" s="6" t="inlineStr">
        <is>
          <t>OFFICIAL_PRIMARY</t>
        </is>
      </c>
      <c r="O545" s="9" t="inlineStr">
        <is>
          <t>OFFICIAL_AGGREGATE</t>
        </is>
      </c>
      <c r="P545" s="8" t="n">
        <v>1</v>
      </c>
      <c r="Q545" s="8" t="n">
        <v>50</v>
      </c>
      <c r="R545" s="7" t="inlineStr">
        <is>
          <t>https://www.eby.gov.py/wp-content/uploads/2019/12/YacyretaEnergiasMensualesDesdePuestaenMarcha.pdf</t>
        </is>
      </c>
      <c r="S545" s="6" t="inlineStr">
        <is>
          <t>EBY-MONTHLY-1994-2012</t>
        </is>
      </c>
      <c r="T545" s="6" t="inlineStr"/>
      <c r="U545" s="4" t="inlineStr">
        <is>
          <t>2026-09-10 23:00:00</t>
        </is>
      </c>
      <c r="V545" s="4" t="inlineStr">
        <is>
          <t>Energia mensual entregada al SADI.</t>
        </is>
      </c>
    </row>
    <row r="546">
      <c r="A546" s="6" t="inlineStr">
        <is>
          <t>R0000550</t>
        </is>
      </c>
      <c r="B546" s="6" t="inlineStr">
        <is>
          <t>2005-06-01</t>
        </is>
      </c>
      <c r="C546" s="6" t="inlineStr">
        <is>
          <t>2005-06-30</t>
        </is>
      </c>
      <c r="D546" s="6" t="inlineStr">
        <is>
          <t>month</t>
        </is>
      </c>
      <c r="E546" s="6" t="inlineStr">
        <is>
          <t>ENERGY_TO_PY</t>
        </is>
      </c>
      <c r="F546" s="6" t="inlineStr">
        <is>
          <t>YACYRETA</t>
        </is>
      </c>
      <c r="G546" s="6" t="inlineStr">
        <is>
          <t>YACYRETA</t>
        </is>
      </c>
      <c r="H546" s="6" t="inlineStr">
        <is>
          <t>SINP</t>
        </is>
      </c>
      <c r="I546" s="8" t="n">
        <v>13114</v>
      </c>
      <c r="J546" s="6" t="inlineStr">
        <is>
          <t>MWh</t>
        </is>
      </c>
      <c r="K546" s="8" t="n">
        <v>13114</v>
      </c>
      <c r="L546" s="6" t="inlineStr">
        <is>
          <t>MWh</t>
        </is>
      </c>
      <c r="M546" s="6" t="inlineStr">
        <is>
          <t>EBY</t>
        </is>
      </c>
      <c r="N546" s="6" t="inlineStr">
        <is>
          <t>OFFICIAL_PRIMARY</t>
        </is>
      </c>
      <c r="O546" s="9" t="inlineStr">
        <is>
          <t>OFFICIAL_AGGREGATE</t>
        </is>
      </c>
      <c r="P546" s="8" t="n">
        <v>1</v>
      </c>
      <c r="Q546" s="8" t="n">
        <v>50</v>
      </c>
      <c r="R546" s="7" t="inlineStr">
        <is>
          <t>https://www.eby.gov.py/wp-content/uploads/2019/12/YacyretaEnergiasMensualesDesdePuestaenMarcha.pdf</t>
        </is>
      </c>
      <c r="S546" s="6" t="inlineStr">
        <is>
          <t>EBY-MONTHLY-1994-2012</t>
        </is>
      </c>
      <c r="T546" s="6" t="inlineStr"/>
      <c r="U546" s="4" t="inlineStr">
        <is>
          <t>2026-09-10 23:00:00</t>
        </is>
      </c>
      <c r="V546" s="4" t="inlineStr">
        <is>
          <t>Energia mensual entregada al SINP.</t>
        </is>
      </c>
    </row>
    <row r="547">
      <c r="A547" s="6" t="inlineStr">
        <is>
          <t>R0000551</t>
        </is>
      </c>
      <c r="B547" s="6" t="inlineStr">
        <is>
          <t>2005-07-01</t>
        </is>
      </c>
      <c r="C547" s="6" t="inlineStr">
        <is>
          <t>2005-07-31</t>
        </is>
      </c>
      <c r="D547" s="6" t="inlineStr">
        <is>
          <t>month</t>
        </is>
      </c>
      <c r="E547" s="6" t="inlineStr">
        <is>
          <t>YACYRETA_NET_ENERGY</t>
        </is>
      </c>
      <c r="F547" s="6" t="inlineStr">
        <is>
          <t>YACYRETA</t>
        </is>
      </c>
      <c r="G547" s="6" t="inlineStr">
        <is>
          <t>YACYRETA</t>
        </is>
      </c>
      <c r="H547" s="6" t="inlineStr">
        <is>
          <t>TOTAL</t>
        </is>
      </c>
      <c r="I547" s="8" t="n">
        <v>984308</v>
      </c>
      <c r="J547" s="6" t="inlineStr">
        <is>
          <t>MWh</t>
        </is>
      </c>
      <c r="K547" s="8" t="n">
        <v>984308</v>
      </c>
      <c r="L547" s="6" t="inlineStr">
        <is>
          <t>MWh</t>
        </is>
      </c>
      <c r="M547" s="6" t="inlineStr">
        <is>
          <t>EBY</t>
        </is>
      </c>
      <c r="N547" s="6" t="inlineStr">
        <is>
          <t>OFFICIAL_PRIMARY</t>
        </is>
      </c>
      <c r="O547" s="9" t="inlineStr">
        <is>
          <t>OFFICIAL_AGGREGATE</t>
        </is>
      </c>
      <c r="P547" s="8" t="n">
        <v>1</v>
      </c>
      <c r="Q547" s="8" t="n">
        <v>50</v>
      </c>
      <c r="R547" s="7" t="inlineStr">
        <is>
          <t>https://www.eby.gov.py/wp-content/uploads/2019/12/YacyretaEnergiasMensualesDesdePuestaenMarcha.pdf</t>
        </is>
      </c>
      <c r="S547" s="6" t="inlineStr">
        <is>
          <t>EBY-MONTHLY-1994-2012</t>
        </is>
      </c>
      <c r="T547" s="6" t="inlineStr"/>
      <c r="U547" s="4" t="inlineStr">
        <is>
          <t>2026-09-10 23:00:00</t>
        </is>
      </c>
      <c r="V547" s="4" t="inlineStr">
        <is>
          <t>Energia mensual Yacyreta desde puesta en marcha.</t>
        </is>
      </c>
    </row>
    <row r="548">
      <c r="A548" s="6" t="inlineStr">
        <is>
          <t>R0000552</t>
        </is>
      </c>
      <c r="B548" s="6" t="inlineStr">
        <is>
          <t>2005-07-01</t>
        </is>
      </c>
      <c r="C548" s="6" t="inlineStr">
        <is>
          <t>2005-07-31</t>
        </is>
      </c>
      <c r="D548" s="6" t="inlineStr">
        <is>
          <t>month</t>
        </is>
      </c>
      <c r="E548" s="6" t="inlineStr">
        <is>
          <t>ENERGY_TO_ARGENTINA</t>
        </is>
      </c>
      <c r="F548" s="6" t="inlineStr">
        <is>
          <t>YACYRETA</t>
        </is>
      </c>
      <c r="G548" s="6" t="inlineStr">
        <is>
          <t>YACYRETA</t>
        </is>
      </c>
      <c r="H548" s="6" t="inlineStr">
        <is>
          <t>SADI</t>
        </is>
      </c>
      <c r="I548" s="8" t="n">
        <v>975970</v>
      </c>
      <c r="J548" s="6" t="inlineStr">
        <is>
          <t>MWh</t>
        </is>
      </c>
      <c r="K548" s="8" t="n">
        <v>975970</v>
      </c>
      <c r="L548" s="6" t="inlineStr">
        <is>
          <t>MWh</t>
        </is>
      </c>
      <c r="M548" s="6" t="inlineStr">
        <is>
          <t>EBY</t>
        </is>
      </c>
      <c r="N548" s="6" t="inlineStr">
        <is>
          <t>OFFICIAL_PRIMARY</t>
        </is>
      </c>
      <c r="O548" s="9" t="inlineStr">
        <is>
          <t>OFFICIAL_AGGREGATE</t>
        </is>
      </c>
      <c r="P548" s="8" t="n">
        <v>1</v>
      </c>
      <c r="Q548" s="8" t="n">
        <v>50</v>
      </c>
      <c r="R548" s="7" t="inlineStr">
        <is>
          <t>https://www.eby.gov.py/wp-content/uploads/2019/12/YacyretaEnergiasMensualesDesdePuestaenMarcha.pdf</t>
        </is>
      </c>
      <c r="S548" s="6" t="inlineStr">
        <is>
          <t>EBY-MONTHLY-1994-2012</t>
        </is>
      </c>
      <c r="T548" s="6" t="inlineStr"/>
      <c r="U548" s="4" t="inlineStr">
        <is>
          <t>2026-09-10 23:00:00</t>
        </is>
      </c>
      <c r="V548" s="4" t="inlineStr">
        <is>
          <t>Energia mensual entregada al SADI.</t>
        </is>
      </c>
    </row>
    <row r="549">
      <c r="A549" s="6" t="inlineStr">
        <is>
          <t>R0000553</t>
        </is>
      </c>
      <c r="B549" s="6" t="inlineStr">
        <is>
          <t>2005-07-01</t>
        </is>
      </c>
      <c r="C549" s="6" t="inlineStr">
        <is>
          <t>2005-07-31</t>
        </is>
      </c>
      <c r="D549" s="6" t="inlineStr">
        <is>
          <t>month</t>
        </is>
      </c>
      <c r="E549" s="6" t="inlineStr">
        <is>
          <t>ENERGY_TO_PY</t>
        </is>
      </c>
      <c r="F549" s="6" t="inlineStr">
        <is>
          <t>YACYRETA</t>
        </is>
      </c>
      <c r="G549" s="6" t="inlineStr">
        <is>
          <t>YACYRETA</t>
        </is>
      </c>
      <c r="H549" s="6" t="inlineStr">
        <is>
          <t>SINP</t>
        </is>
      </c>
      <c r="I549" s="8" t="n">
        <v>8338</v>
      </c>
      <c r="J549" s="6" t="inlineStr">
        <is>
          <t>MWh</t>
        </is>
      </c>
      <c r="K549" s="8" t="n">
        <v>8338</v>
      </c>
      <c r="L549" s="6" t="inlineStr">
        <is>
          <t>MWh</t>
        </is>
      </c>
      <c r="M549" s="6" t="inlineStr">
        <is>
          <t>EBY</t>
        </is>
      </c>
      <c r="N549" s="6" t="inlineStr">
        <is>
          <t>OFFICIAL_PRIMARY</t>
        </is>
      </c>
      <c r="O549" s="9" t="inlineStr">
        <is>
          <t>OFFICIAL_AGGREGATE</t>
        </is>
      </c>
      <c r="P549" s="8" t="n">
        <v>1</v>
      </c>
      <c r="Q549" s="8" t="n">
        <v>50</v>
      </c>
      <c r="R549" s="7" t="inlineStr">
        <is>
          <t>https://www.eby.gov.py/wp-content/uploads/2019/12/YacyretaEnergiasMensualesDesdePuestaenMarcha.pdf</t>
        </is>
      </c>
      <c r="S549" s="6" t="inlineStr">
        <is>
          <t>EBY-MONTHLY-1994-2012</t>
        </is>
      </c>
      <c r="T549" s="6" t="inlineStr"/>
      <c r="U549" s="4" t="inlineStr">
        <is>
          <t>2026-09-10 23:00:00</t>
        </is>
      </c>
      <c r="V549" s="4" t="inlineStr">
        <is>
          <t>Energia mensual entregada al SINP.</t>
        </is>
      </c>
    </row>
    <row r="550">
      <c r="A550" s="6" t="inlineStr">
        <is>
          <t>R0000554</t>
        </is>
      </c>
      <c r="B550" s="6" t="inlineStr">
        <is>
          <t>2005-08-01</t>
        </is>
      </c>
      <c r="C550" s="6" t="inlineStr">
        <is>
          <t>2005-08-31</t>
        </is>
      </c>
      <c r="D550" s="6" t="inlineStr">
        <is>
          <t>month</t>
        </is>
      </c>
      <c r="E550" s="6" t="inlineStr">
        <is>
          <t>YACYRETA_NET_ENERGY</t>
        </is>
      </c>
      <c r="F550" s="6" t="inlineStr">
        <is>
          <t>YACYRETA</t>
        </is>
      </c>
      <c r="G550" s="6" t="inlineStr">
        <is>
          <t>YACYRETA</t>
        </is>
      </c>
      <c r="H550" s="6" t="inlineStr">
        <is>
          <t>TOTAL</t>
        </is>
      </c>
      <c r="I550" s="8" t="n">
        <v>940556</v>
      </c>
      <c r="J550" s="6" t="inlineStr">
        <is>
          <t>MWh</t>
        </is>
      </c>
      <c r="K550" s="8" t="n">
        <v>940556</v>
      </c>
      <c r="L550" s="6" t="inlineStr">
        <is>
          <t>MWh</t>
        </is>
      </c>
      <c r="M550" s="6" t="inlineStr">
        <is>
          <t>EBY</t>
        </is>
      </c>
      <c r="N550" s="6" t="inlineStr">
        <is>
          <t>OFFICIAL_PRIMARY</t>
        </is>
      </c>
      <c r="O550" s="9" t="inlineStr">
        <is>
          <t>OFFICIAL_AGGREGATE</t>
        </is>
      </c>
      <c r="P550" s="8" t="n">
        <v>1</v>
      </c>
      <c r="Q550" s="8" t="n">
        <v>50</v>
      </c>
      <c r="R550" s="7" t="inlineStr">
        <is>
          <t>https://www.eby.gov.py/wp-content/uploads/2019/12/YacyretaEnergiasMensualesDesdePuestaenMarcha.pdf</t>
        </is>
      </c>
      <c r="S550" s="6" t="inlineStr">
        <is>
          <t>EBY-MONTHLY-1994-2012</t>
        </is>
      </c>
      <c r="T550" s="6" t="inlineStr"/>
      <c r="U550" s="4" t="inlineStr">
        <is>
          <t>2026-09-10 23:00:00</t>
        </is>
      </c>
      <c r="V550" s="4" t="inlineStr">
        <is>
          <t>Energia mensual Yacyreta desde puesta en marcha.</t>
        </is>
      </c>
    </row>
    <row r="551">
      <c r="A551" s="6" t="inlineStr">
        <is>
          <t>R0000555</t>
        </is>
      </c>
      <c r="B551" s="6" t="inlineStr">
        <is>
          <t>2005-08-01</t>
        </is>
      </c>
      <c r="C551" s="6" t="inlineStr">
        <is>
          <t>2005-08-31</t>
        </is>
      </c>
      <c r="D551" s="6" t="inlineStr">
        <is>
          <t>month</t>
        </is>
      </c>
      <c r="E551" s="6" t="inlineStr">
        <is>
          <t>ENERGY_TO_ARGENTINA</t>
        </is>
      </c>
      <c r="F551" s="6" t="inlineStr">
        <is>
          <t>YACYRETA</t>
        </is>
      </c>
      <c r="G551" s="6" t="inlineStr">
        <is>
          <t>YACYRETA</t>
        </is>
      </c>
      <c r="H551" s="6" t="inlineStr">
        <is>
          <t>SADI</t>
        </is>
      </c>
      <c r="I551" s="8" t="n">
        <v>933130</v>
      </c>
      <c r="J551" s="6" t="inlineStr">
        <is>
          <t>MWh</t>
        </is>
      </c>
      <c r="K551" s="8" t="n">
        <v>933130</v>
      </c>
      <c r="L551" s="6" t="inlineStr">
        <is>
          <t>MWh</t>
        </is>
      </c>
      <c r="M551" s="6" t="inlineStr">
        <is>
          <t>EBY</t>
        </is>
      </c>
      <c r="N551" s="6" t="inlineStr">
        <is>
          <t>OFFICIAL_PRIMARY</t>
        </is>
      </c>
      <c r="O551" s="9" t="inlineStr">
        <is>
          <t>OFFICIAL_AGGREGATE</t>
        </is>
      </c>
      <c r="P551" s="8" t="n">
        <v>1</v>
      </c>
      <c r="Q551" s="8" t="n">
        <v>50</v>
      </c>
      <c r="R551" s="7" t="inlineStr">
        <is>
          <t>https://www.eby.gov.py/wp-content/uploads/2019/12/YacyretaEnergiasMensualesDesdePuestaenMarcha.pdf</t>
        </is>
      </c>
      <c r="S551" s="6" t="inlineStr">
        <is>
          <t>EBY-MONTHLY-1994-2012</t>
        </is>
      </c>
      <c r="T551" s="6" t="inlineStr"/>
      <c r="U551" s="4" t="inlineStr">
        <is>
          <t>2026-09-10 23:00:00</t>
        </is>
      </c>
      <c r="V551" s="4" t="inlineStr">
        <is>
          <t>Energia mensual entregada al SADI.</t>
        </is>
      </c>
    </row>
    <row r="552">
      <c r="A552" s="6" t="inlineStr">
        <is>
          <t>R0000556</t>
        </is>
      </c>
      <c r="B552" s="6" t="inlineStr">
        <is>
          <t>2005-08-01</t>
        </is>
      </c>
      <c r="C552" s="6" t="inlineStr">
        <is>
          <t>2005-08-31</t>
        </is>
      </c>
      <c r="D552" s="6" t="inlineStr">
        <is>
          <t>month</t>
        </is>
      </c>
      <c r="E552" s="6" t="inlineStr">
        <is>
          <t>ENERGY_TO_PY</t>
        </is>
      </c>
      <c r="F552" s="6" t="inlineStr">
        <is>
          <t>YACYRETA</t>
        </is>
      </c>
      <c r="G552" s="6" t="inlineStr">
        <is>
          <t>YACYRETA</t>
        </is>
      </c>
      <c r="H552" s="6" t="inlineStr">
        <is>
          <t>SINP</t>
        </is>
      </c>
      <c r="I552" s="8" t="n">
        <v>7426</v>
      </c>
      <c r="J552" s="6" t="inlineStr">
        <is>
          <t>MWh</t>
        </is>
      </c>
      <c r="K552" s="8" t="n">
        <v>7426</v>
      </c>
      <c r="L552" s="6" t="inlineStr">
        <is>
          <t>MWh</t>
        </is>
      </c>
      <c r="M552" s="6" t="inlineStr">
        <is>
          <t>EBY</t>
        </is>
      </c>
      <c r="N552" s="6" t="inlineStr">
        <is>
          <t>OFFICIAL_PRIMARY</t>
        </is>
      </c>
      <c r="O552" s="9" t="inlineStr">
        <is>
          <t>OFFICIAL_AGGREGATE</t>
        </is>
      </c>
      <c r="P552" s="8" t="n">
        <v>1</v>
      </c>
      <c r="Q552" s="8" t="n">
        <v>50</v>
      </c>
      <c r="R552" s="7" t="inlineStr">
        <is>
          <t>https://www.eby.gov.py/wp-content/uploads/2019/12/YacyretaEnergiasMensualesDesdePuestaenMarcha.pdf</t>
        </is>
      </c>
      <c r="S552" s="6" t="inlineStr">
        <is>
          <t>EBY-MONTHLY-1994-2012</t>
        </is>
      </c>
      <c r="T552" s="6" t="inlineStr"/>
      <c r="U552" s="4" t="inlineStr">
        <is>
          <t>2026-09-10 23:00:00</t>
        </is>
      </c>
      <c r="V552" s="4" t="inlineStr">
        <is>
          <t>Energia mensual entregada al SINP.</t>
        </is>
      </c>
    </row>
    <row r="553">
      <c r="A553" s="6" t="inlineStr">
        <is>
          <t>R0000557</t>
        </is>
      </c>
      <c r="B553" s="6" t="inlineStr">
        <is>
          <t>2005-09-01</t>
        </is>
      </c>
      <c r="C553" s="6" t="inlineStr">
        <is>
          <t>2005-09-30</t>
        </is>
      </c>
      <c r="D553" s="6" t="inlineStr">
        <is>
          <t>month</t>
        </is>
      </c>
      <c r="E553" s="6" t="inlineStr">
        <is>
          <t>YACYRETA_NET_ENERGY</t>
        </is>
      </c>
      <c r="F553" s="6" t="inlineStr">
        <is>
          <t>YACYRETA</t>
        </is>
      </c>
      <c r="G553" s="6" t="inlineStr">
        <is>
          <t>YACYRETA</t>
        </is>
      </c>
      <c r="H553" s="6" t="inlineStr">
        <is>
          <t>TOTAL</t>
        </is>
      </c>
      <c r="I553" s="8" t="n">
        <v>1079932</v>
      </c>
      <c r="J553" s="6" t="inlineStr">
        <is>
          <t>MWh</t>
        </is>
      </c>
      <c r="K553" s="8" t="n">
        <v>1079932</v>
      </c>
      <c r="L553" s="6" t="inlineStr">
        <is>
          <t>MWh</t>
        </is>
      </c>
      <c r="M553" s="6" t="inlineStr">
        <is>
          <t>EBY</t>
        </is>
      </c>
      <c r="N553" s="6" t="inlineStr">
        <is>
          <t>OFFICIAL_PRIMARY</t>
        </is>
      </c>
      <c r="O553" s="9" t="inlineStr">
        <is>
          <t>OFFICIAL_AGGREGATE</t>
        </is>
      </c>
      <c r="P553" s="8" t="n">
        <v>1</v>
      </c>
      <c r="Q553" s="8" t="n">
        <v>50</v>
      </c>
      <c r="R553" s="7" t="inlineStr">
        <is>
          <t>https://www.eby.gov.py/wp-content/uploads/2019/12/YacyretaEnergiasMensualesDesdePuestaenMarcha.pdf</t>
        </is>
      </c>
      <c r="S553" s="6" t="inlineStr">
        <is>
          <t>EBY-MONTHLY-1994-2012</t>
        </is>
      </c>
      <c r="T553" s="6" t="inlineStr"/>
      <c r="U553" s="4" t="inlineStr">
        <is>
          <t>2026-09-10 23:00:00</t>
        </is>
      </c>
      <c r="V553" s="4" t="inlineStr">
        <is>
          <t>Energia mensual Yacyreta desde puesta en marcha.</t>
        </is>
      </c>
    </row>
    <row r="554">
      <c r="A554" s="6" t="inlineStr">
        <is>
          <t>R0000558</t>
        </is>
      </c>
      <c r="B554" s="6" t="inlineStr">
        <is>
          <t>2005-09-01</t>
        </is>
      </c>
      <c r="C554" s="6" t="inlineStr">
        <is>
          <t>2005-09-30</t>
        </is>
      </c>
      <c r="D554" s="6" t="inlineStr">
        <is>
          <t>month</t>
        </is>
      </c>
      <c r="E554" s="6" t="inlineStr">
        <is>
          <t>ENERGY_TO_ARGENTINA</t>
        </is>
      </c>
      <c r="F554" s="6" t="inlineStr">
        <is>
          <t>YACYRETA</t>
        </is>
      </c>
      <c r="G554" s="6" t="inlineStr">
        <is>
          <t>YACYRETA</t>
        </is>
      </c>
      <c r="H554" s="6" t="inlineStr">
        <is>
          <t>SADI</t>
        </is>
      </c>
      <c r="I554" s="8" t="n">
        <v>1071282</v>
      </c>
      <c r="J554" s="6" t="inlineStr">
        <is>
          <t>MWh</t>
        </is>
      </c>
      <c r="K554" s="8" t="n">
        <v>1071282</v>
      </c>
      <c r="L554" s="6" t="inlineStr">
        <is>
          <t>MWh</t>
        </is>
      </c>
      <c r="M554" s="6" t="inlineStr">
        <is>
          <t>EBY</t>
        </is>
      </c>
      <c r="N554" s="6" t="inlineStr">
        <is>
          <t>OFFICIAL_PRIMARY</t>
        </is>
      </c>
      <c r="O554" s="9" t="inlineStr">
        <is>
          <t>OFFICIAL_AGGREGATE</t>
        </is>
      </c>
      <c r="P554" s="8" t="n">
        <v>1</v>
      </c>
      <c r="Q554" s="8" t="n">
        <v>50</v>
      </c>
      <c r="R554" s="7" t="inlineStr">
        <is>
          <t>https://www.eby.gov.py/wp-content/uploads/2019/12/YacyretaEnergiasMensualesDesdePuestaenMarcha.pdf</t>
        </is>
      </c>
      <c r="S554" s="6" t="inlineStr">
        <is>
          <t>EBY-MONTHLY-1994-2012</t>
        </is>
      </c>
      <c r="T554" s="6" t="inlineStr"/>
      <c r="U554" s="4" t="inlineStr">
        <is>
          <t>2026-09-10 23:00:00</t>
        </is>
      </c>
      <c r="V554" s="4" t="inlineStr">
        <is>
          <t>Energia mensual entregada al SADI.</t>
        </is>
      </c>
    </row>
    <row r="555">
      <c r="A555" s="6" t="inlineStr">
        <is>
          <t>R0000559</t>
        </is>
      </c>
      <c r="B555" s="6" t="inlineStr">
        <is>
          <t>2005-09-01</t>
        </is>
      </c>
      <c r="C555" s="6" t="inlineStr">
        <is>
          <t>2005-09-30</t>
        </is>
      </c>
      <c r="D555" s="6" t="inlineStr">
        <is>
          <t>month</t>
        </is>
      </c>
      <c r="E555" s="6" t="inlineStr">
        <is>
          <t>ENERGY_TO_PY</t>
        </is>
      </c>
      <c r="F555" s="6" t="inlineStr">
        <is>
          <t>YACYRETA</t>
        </is>
      </c>
      <c r="G555" s="6" t="inlineStr">
        <is>
          <t>YACYRETA</t>
        </is>
      </c>
      <c r="H555" s="6" t="inlineStr">
        <is>
          <t>SINP</t>
        </is>
      </c>
      <c r="I555" s="8" t="n">
        <v>8650</v>
      </c>
      <c r="J555" s="6" t="inlineStr">
        <is>
          <t>MWh</t>
        </is>
      </c>
      <c r="K555" s="8" t="n">
        <v>8650</v>
      </c>
      <c r="L555" s="6" t="inlineStr">
        <is>
          <t>MWh</t>
        </is>
      </c>
      <c r="M555" s="6" t="inlineStr">
        <is>
          <t>EBY</t>
        </is>
      </c>
      <c r="N555" s="6" t="inlineStr">
        <is>
          <t>OFFICIAL_PRIMARY</t>
        </is>
      </c>
      <c r="O555" s="9" t="inlineStr">
        <is>
          <t>OFFICIAL_AGGREGATE</t>
        </is>
      </c>
      <c r="P555" s="8" t="n">
        <v>1</v>
      </c>
      <c r="Q555" s="8" t="n">
        <v>50</v>
      </c>
      <c r="R555" s="7" t="inlineStr">
        <is>
          <t>https://www.eby.gov.py/wp-content/uploads/2019/12/YacyretaEnergiasMensualesDesdePuestaenMarcha.pdf</t>
        </is>
      </c>
      <c r="S555" s="6" t="inlineStr">
        <is>
          <t>EBY-MONTHLY-1994-2012</t>
        </is>
      </c>
      <c r="T555" s="6" t="inlineStr"/>
      <c r="U555" s="4" t="inlineStr">
        <is>
          <t>2026-09-10 23:00:00</t>
        </is>
      </c>
      <c r="V555" s="4" t="inlineStr">
        <is>
          <t>Energia mensual entregada al SINP.</t>
        </is>
      </c>
    </row>
    <row r="556">
      <c r="A556" s="6" t="inlineStr">
        <is>
          <t>R0000560</t>
        </is>
      </c>
      <c r="B556" s="6" t="inlineStr">
        <is>
          <t>2005-10-01</t>
        </is>
      </c>
      <c r="C556" s="6" t="inlineStr">
        <is>
          <t>2005-10-31</t>
        </is>
      </c>
      <c r="D556" s="6" t="inlineStr">
        <is>
          <t>month</t>
        </is>
      </c>
      <c r="E556" s="6" t="inlineStr">
        <is>
          <t>YACYRETA_NET_ENERGY</t>
        </is>
      </c>
      <c r="F556" s="6" t="inlineStr">
        <is>
          <t>YACYRETA</t>
        </is>
      </c>
      <c r="G556" s="6" t="inlineStr">
        <is>
          <t>YACYRETA</t>
        </is>
      </c>
      <c r="H556" s="6" t="inlineStr">
        <is>
          <t>TOTAL</t>
        </is>
      </c>
      <c r="I556" s="8" t="n">
        <v>1150952</v>
      </c>
      <c r="J556" s="6" t="inlineStr">
        <is>
          <t>MWh</t>
        </is>
      </c>
      <c r="K556" s="8" t="n">
        <v>1150952</v>
      </c>
      <c r="L556" s="6" t="inlineStr">
        <is>
          <t>MWh</t>
        </is>
      </c>
      <c r="M556" s="6" t="inlineStr">
        <is>
          <t>EBY</t>
        </is>
      </c>
      <c r="N556" s="6" t="inlineStr">
        <is>
          <t>OFFICIAL_PRIMARY</t>
        </is>
      </c>
      <c r="O556" s="9" t="inlineStr">
        <is>
          <t>OFFICIAL_AGGREGATE</t>
        </is>
      </c>
      <c r="P556" s="8" t="n">
        <v>1</v>
      </c>
      <c r="Q556" s="8" t="n">
        <v>50</v>
      </c>
      <c r="R556" s="7" t="inlineStr">
        <is>
          <t>https://www.eby.gov.py/wp-content/uploads/2019/12/YacyretaEnergiasMensualesDesdePuestaenMarcha.pdf</t>
        </is>
      </c>
      <c r="S556" s="6" t="inlineStr">
        <is>
          <t>EBY-MONTHLY-1994-2012</t>
        </is>
      </c>
      <c r="T556" s="6" t="inlineStr"/>
      <c r="U556" s="4" t="inlineStr">
        <is>
          <t>2026-09-10 23:00:00</t>
        </is>
      </c>
      <c r="V556" s="4" t="inlineStr">
        <is>
          <t>Energia mensual Yacyreta desde puesta en marcha.</t>
        </is>
      </c>
    </row>
    <row r="557">
      <c r="A557" s="6" t="inlineStr">
        <is>
          <t>R0000561</t>
        </is>
      </c>
      <c r="B557" s="6" t="inlineStr">
        <is>
          <t>2005-10-01</t>
        </is>
      </c>
      <c r="C557" s="6" t="inlineStr">
        <is>
          <t>2005-10-31</t>
        </is>
      </c>
      <c r="D557" s="6" t="inlineStr">
        <is>
          <t>month</t>
        </is>
      </c>
      <c r="E557" s="6" t="inlineStr">
        <is>
          <t>ENERGY_TO_ARGENTINA</t>
        </is>
      </c>
      <c r="F557" s="6" t="inlineStr">
        <is>
          <t>YACYRETA</t>
        </is>
      </c>
      <c r="G557" s="6" t="inlineStr">
        <is>
          <t>YACYRETA</t>
        </is>
      </c>
      <c r="H557" s="6" t="inlineStr">
        <is>
          <t>SADI</t>
        </is>
      </c>
      <c r="I557" s="8" t="n">
        <v>1118896</v>
      </c>
      <c r="J557" s="6" t="inlineStr">
        <is>
          <t>MWh</t>
        </is>
      </c>
      <c r="K557" s="8" t="n">
        <v>1118896</v>
      </c>
      <c r="L557" s="6" t="inlineStr">
        <is>
          <t>MWh</t>
        </is>
      </c>
      <c r="M557" s="6" t="inlineStr">
        <is>
          <t>EBY</t>
        </is>
      </c>
      <c r="N557" s="6" t="inlineStr">
        <is>
          <t>OFFICIAL_PRIMARY</t>
        </is>
      </c>
      <c r="O557" s="9" t="inlineStr">
        <is>
          <t>OFFICIAL_AGGREGATE</t>
        </is>
      </c>
      <c r="P557" s="8" t="n">
        <v>1</v>
      </c>
      <c r="Q557" s="8" t="n">
        <v>50</v>
      </c>
      <c r="R557" s="7" t="inlineStr">
        <is>
          <t>https://www.eby.gov.py/wp-content/uploads/2019/12/YacyretaEnergiasMensualesDesdePuestaenMarcha.pdf</t>
        </is>
      </c>
      <c r="S557" s="6" t="inlineStr">
        <is>
          <t>EBY-MONTHLY-1994-2012</t>
        </is>
      </c>
      <c r="T557" s="6" t="inlineStr"/>
      <c r="U557" s="4" t="inlineStr">
        <is>
          <t>2026-09-10 23:00:00</t>
        </is>
      </c>
      <c r="V557" s="4" t="inlineStr">
        <is>
          <t>Energia mensual entregada al SADI.</t>
        </is>
      </c>
    </row>
    <row r="558">
      <c r="A558" s="6" t="inlineStr">
        <is>
          <t>R0000562</t>
        </is>
      </c>
      <c r="B558" s="6" t="inlineStr">
        <is>
          <t>2005-10-01</t>
        </is>
      </c>
      <c r="C558" s="6" t="inlineStr">
        <is>
          <t>2005-10-31</t>
        </is>
      </c>
      <c r="D558" s="6" t="inlineStr">
        <is>
          <t>month</t>
        </is>
      </c>
      <c r="E558" s="6" t="inlineStr">
        <is>
          <t>ENERGY_TO_PY</t>
        </is>
      </c>
      <c r="F558" s="6" t="inlineStr">
        <is>
          <t>YACYRETA</t>
        </is>
      </c>
      <c r="G558" s="6" t="inlineStr">
        <is>
          <t>YACYRETA</t>
        </is>
      </c>
      <c r="H558" s="6" t="inlineStr">
        <is>
          <t>SINP</t>
        </is>
      </c>
      <c r="I558" s="8" t="n">
        <v>32056</v>
      </c>
      <c r="J558" s="6" t="inlineStr">
        <is>
          <t>MWh</t>
        </is>
      </c>
      <c r="K558" s="8" t="n">
        <v>32056</v>
      </c>
      <c r="L558" s="6" t="inlineStr">
        <is>
          <t>MWh</t>
        </is>
      </c>
      <c r="M558" s="6" t="inlineStr">
        <is>
          <t>EBY</t>
        </is>
      </c>
      <c r="N558" s="6" t="inlineStr">
        <is>
          <t>OFFICIAL_PRIMARY</t>
        </is>
      </c>
      <c r="O558" s="9" t="inlineStr">
        <is>
          <t>OFFICIAL_AGGREGATE</t>
        </is>
      </c>
      <c r="P558" s="8" t="n">
        <v>1</v>
      </c>
      <c r="Q558" s="8" t="n">
        <v>50</v>
      </c>
      <c r="R558" s="7" t="inlineStr">
        <is>
          <t>https://www.eby.gov.py/wp-content/uploads/2019/12/YacyretaEnergiasMensualesDesdePuestaenMarcha.pdf</t>
        </is>
      </c>
      <c r="S558" s="6" t="inlineStr">
        <is>
          <t>EBY-MONTHLY-1994-2012</t>
        </is>
      </c>
      <c r="T558" s="6" t="inlineStr"/>
      <c r="U558" s="4" t="inlineStr">
        <is>
          <t>2026-09-10 23:00:00</t>
        </is>
      </c>
      <c r="V558" s="4" t="inlineStr">
        <is>
          <t>Energia mensual entregada al SINP.</t>
        </is>
      </c>
    </row>
    <row r="559">
      <c r="A559" s="6" t="inlineStr">
        <is>
          <t>R0000563</t>
        </is>
      </c>
      <c r="B559" s="6" t="inlineStr">
        <is>
          <t>2005-11-01</t>
        </is>
      </c>
      <c r="C559" s="6" t="inlineStr">
        <is>
          <t>2005-11-30</t>
        </is>
      </c>
      <c r="D559" s="6" t="inlineStr">
        <is>
          <t>month</t>
        </is>
      </c>
      <c r="E559" s="6" t="inlineStr">
        <is>
          <t>YACYRETA_NET_ENERGY</t>
        </is>
      </c>
      <c r="F559" s="6" t="inlineStr">
        <is>
          <t>YACYRETA</t>
        </is>
      </c>
      <c r="G559" s="6" t="inlineStr">
        <is>
          <t>YACYRETA</t>
        </is>
      </c>
      <c r="H559" s="6" t="inlineStr">
        <is>
          <t>TOTAL</t>
        </is>
      </c>
      <c r="I559" s="8" t="n">
        <v>1080280</v>
      </c>
      <c r="J559" s="6" t="inlineStr">
        <is>
          <t>MWh</t>
        </is>
      </c>
      <c r="K559" s="8" t="n">
        <v>1080280</v>
      </c>
      <c r="L559" s="6" t="inlineStr">
        <is>
          <t>MWh</t>
        </is>
      </c>
      <c r="M559" s="6" t="inlineStr">
        <is>
          <t>EBY</t>
        </is>
      </c>
      <c r="N559" s="6" t="inlineStr">
        <is>
          <t>OFFICIAL_PRIMARY</t>
        </is>
      </c>
      <c r="O559" s="9" t="inlineStr">
        <is>
          <t>OFFICIAL_AGGREGATE</t>
        </is>
      </c>
      <c r="P559" s="8" t="n">
        <v>1</v>
      </c>
      <c r="Q559" s="8" t="n">
        <v>50</v>
      </c>
      <c r="R559" s="7" t="inlineStr">
        <is>
          <t>https://www.eby.gov.py/wp-content/uploads/2019/12/YacyretaEnergiasMensualesDesdePuestaenMarcha.pdf</t>
        </is>
      </c>
      <c r="S559" s="6" t="inlineStr">
        <is>
          <t>EBY-MONTHLY-1994-2012</t>
        </is>
      </c>
      <c r="T559" s="6" t="inlineStr"/>
      <c r="U559" s="4" t="inlineStr">
        <is>
          <t>2026-09-10 23:00:00</t>
        </is>
      </c>
      <c r="V559" s="4" t="inlineStr">
        <is>
          <t>Energia mensual Yacyreta desde puesta en marcha.</t>
        </is>
      </c>
    </row>
    <row r="560">
      <c r="A560" s="6" t="inlineStr">
        <is>
          <t>R0000564</t>
        </is>
      </c>
      <c r="B560" s="6" t="inlineStr">
        <is>
          <t>2005-11-01</t>
        </is>
      </c>
      <c r="C560" s="6" t="inlineStr">
        <is>
          <t>2005-11-30</t>
        </is>
      </c>
      <c r="D560" s="6" t="inlineStr">
        <is>
          <t>month</t>
        </is>
      </c>
      <c r="E560" s="6" t="inlineStr">
        <is>
          <t>ENERGY_TO_ARGENTINA</t>
        </is>
      </c>
      <c r="F560" s="6" t="inlineStr">
        <is>
          <t>YACYRETA</t>
        </is>
      </c>
      <c r="G560" s="6" t="inlineStr">
        <is>
          <t>YACYRETA</t>
        </is>
      </c>
      <c r="H560" s="6" t="inlineStr">
        <is>
          <t>SADI</t>
        </is>
      </c>
      <c r="I560" s="8" t="n">
        <v>1062880</v>
      </c>
      <c r="J560" s="6" t="inlineStr">
        <is>
          <t>MWh</t>
        </is>
      </c>
      <c r="K560" s="8" t="n">
        <v>1062880</v>
      </c>
      <c r="L560" s="6" t="inlineStr">
        <is>
          <t>MWh</t>
        </is>
      </c>
      <c r="M560" s="6" t="inlineStr">
        <is>
          <t>EBY</t>
        </is>
      </c>
      <c r="N560" s="6" t="inlineStr">
        <is>
          <t>OFFICIAL_PRIMARY</t>
        </is>
      </c>
      <c r="O560" s="9" t="inlineStr">
        <is>
          <t>OFFICIAL_AGGREGATE</t>
        </is>
      </c>
      <c r="P560" s="8" t="n">
        <v>1</v>
      </c>
      <c r="Q560" s="8" t="n">
        <v>50</v>
      </c>
      <c r="R560" s="7" t="inlineStr">
        <is>
          <t>https://www.eby.gov.py/wp-content/uploads/2019/12/YacyretaEnergiasMensualesDesdePuestaenMarcha.pdf</t>
        </is>
      </c>
      <c r="S560" s="6" t="inlineStr">
        <is>
          <t>EBY-MONTHLY-1994-2012</t>
        </is>
      </c>
      <c r="T560" s="6" t="inlineStr"/>
      <c r="U560" s="4" t="inlineStr">
        <is>
          <t>2026-09-10 23:00:00</t>
        </is>
      </c>
      <c r="V560" s="4" t="inlineStr">
        <is>
          <t>Energia mensual entregada al SADI.</t>
        </is>
      </c>
    </row>
    <row r="561">
      <c r="A561" s="6" t="inlineStr">
        <is>
          <t>R0000565</t>
        </is>
      </c>
      <c r="B561" s="6" t="inlineStr">
        <is>
          <t>2005-11-01</t>
        </is>
      </c>
      <c r="C561" s="6" t="inlineStr">
        <is>
          <t>2005-11-30</t>
        </is>
      </c>
      <c r="D561" s="6" t="inlineStr">
        <is>
          <t>month</t>
        </is>
      </c>
      <c r="E561" s="6" t="inlineStr">
        <is>
          <t>ENERGY_TO_PY</t>
        </is>
      </c>
      <c r="F561" s="6" t="inlineStr">
        <is>
          <t>YACYRETA</t>
        </is>
      </c>
      <c r="G561" s="6" t="inlineStr">
        <is>
          <t>YACYRETA</t>
        </is>
      </c>
      <c r="H561" s="6" t="inlineStr">
        <is>
          <t>SINP</t>
        </is>
      </c>
      <c r="I561" s="8" t="n">
        <v>17400</v>
      </c>
      <c r="J561" s="6" t="inlineStr">
        <is>
          <t>MWh</t>
        </is>
      </c>
      <c r="K561" s="8" t="n">
        <v>17400</v>
      </c>
      <c r="L561" s="6" t="inlineStr">
        <is>
          <t>MWh</t>
        </is>
      </c>
      <c r="M561" s="6" t="inlineStr">
        <is>
          <t>EBY</t>
        </is>
      </c>
      <c r="N561" s="6" t="inlineStr">
        <is>
          <t>OFFICIAL_PRIMARY</t>
        </is>
      </c>
      <c r="O561" s="9" t="inlineStr">
        <is>
          <t>OFFICIAL_AGGREGATE</t>
        </is>
      </c>
      <c r="P561" s="8" t="n">
        <v>1</v>
      </c>
      <c r="Q561" s="8" t="n">
        <v>50</v>
      </c>
      <c r="R561" s="7" t="inlineStr">
        <is>
          <t>https://www.eby.gov.py/wp-content/uploads/2019/12/YacyretaEnergiasMensualesDesdePuestaenMarcha.pdf</t>
        </is>
      </c>
      <c r="S561" s="6" t="inlineStr">
        <is>
          <t>EBY-MONTHLY-1994-2012</t>
        </is>
      </c>
      <c r="T561" s="6" t="inlineStr"/>
      <c r="U561" s="4" t="inlineStr">
        <is>
          <t>2026-09-10 23:00:00</t>
        </is>
      </c>
      <c r="V561" s="4" t="inlineStr">
        <is>
          <t>Energia mensual entregada al SINP.</t>
        </is>
      </c>
    </row>
    <row r="562">
      <c r="A562" s="6" t="inlineStr">
        <is>
          <t>R0000566</t>
        </is>
      </c>
      <c r="B562" s="6" t="inlineStr">
        <is>
          <t>2005-12-01</t>
        </is>
      </c>
      <c r="C562" s="6" t="inlineStr">
        <is>
          <t>2005-12-31</t>
        </is>
      </c>
      <c r="D562" s="6" t="inlineStr">
        <is>
          <t>month</t>
        </is>
      </c>
      <c r="E562" s="6" t="inlineStr">
        <is>
          <t>YACYRETA_NET_ENERGY</t>
        </is>
      </c>
      <c r="F562" s="6" t="inlineStr">
        <is>
          <t>YACYRETA</t>
        </is>
      </c>
      <c r="G562" s="6" t="inlineStr">
        <is>
          <t>YACYRETA</t>
        </is>
      </c>
      <c r="H562" s="6" t="inlineStr">
        <is>
          <t>TOTAL</t>
        </is>
      </c>
      <c r="I562" s="8" t="n">
        <v>1148158</v>
      </c>
      <c r="J562" s="6" t="inlineStr">
        <is>
          <t>MWh</t>
        </is>
      </c>
      <c r="K562" s="8" t="n">
        <v>1148158</v>
      </c>
      <c r="L562" s="6" t="inlineStr">
        <is>
          <t>MWh</t>
        </is>
      </c>
      <c r="M562" s="6" t="inlineStr">
        <is>
          <t>EBY</t>
        </is>
      </c>
      <c r="N562" s="6" t="inlineStr">
        <is>
          <t>OFFICIAL_PRIMARY</t>
        </is>
      </c>
      <c r="O562" s="9" t="inlineStr">
        <is>
          <t>OFFICIAL_AGGREGATE</t>
        </is>
      </c>
      <c r="P562" s="8" t="n">
        <v>1</v>
      </c>
      <c r="Q562" s="8" t="n">
        <v>50</v>
      </c>
      <c r="R562" s="7" t="inlineStr">
        <is>
          <t>https://www.eby.gov.py/wp-content/uploads/2019/12/YacyretaEnergiasMensualesDesdePuestaenMarcha.pdf</t>
        </is>
      </c>
      <c r="S562" s="6" t="inlineStr">
        <is>
          <t>EBY-MONTHLY-1994-2012</t>
        </is>
      </c>
      <c r="T562" s="6" t="inlineStr"/>
      <c r="U562" s="4" t="inlineStr">
        <is>
          <t>2026-09-10 23:00:00</t>
        </is>
      </c>
      <c r="V562" s="4" t="inlineStr">
        <is>
          <t>Energia mensual Yacyreta desde puesta en marcha.</t>
        </is>
      </c>
    </row>
    <row r="563">
      <c r="A563" s="6" t="inlineStr">
        <is>
          <t>R0000567</t>
        </is>
      </c>
      <c r="B563" s="6" t="inlineStr">
        <is>
          <t>2005-12-01</t>
        </is>
      </c>
      <c r="C563" s="6" t="inlineStr">
        <is>
          <t>2005-12-31</t>
        </is>
      </c>
      <c r="D563" s="6" t="inlineStr">
        <is>
          <t>month</t>
        </is>
      </c>
      <c r="E563" s="6" t="inlineStr">
        <is>
          <t>ENERGY_TO_ARGENTINA</t>
        </is>
      </c>
      <c r="F563" s="6" t="inlineStr">
        <is>
          <t>YACYRETA</t>
        </is>
      </c>
      <c r="G563" s="6" t="inlineStr">
        <is>
          <t>YACYRETA</t>
        </is>
      </c>
      <c r="H563" s="6" t="inlineStr">
        <is>
          <t>SADI</t>
        </is>
      </c>
      <c r="I563" s="8" t="n">
        <v>1125068</v>
      </c>
      <c r="J563" s="6" t="inlineStr">
        <is>
          <t>MWh</t>
        </is>
      </c>
      <c r="K563" s="8" t="n">
        <v>1125068</v>
      </c>
      <c r="L563" s="6" t="inlineStr">
        <is>
          <t>MWh</t>
        </is>
      </c>
      <c r="M563" s="6" t="inlineStr">
        <is>
          <t>EBY</t>
        </is>
      </c>
      <c r="N563" s="6" t="inlineStr">
        <is>
          <t>OFFICIAL_PRIMARY</t>
        </is>
      </c>
      <c r="O563" s="9" t="inlineStr">
        <is>
          <t>OFFICIAL_AGGREGATE</t>
        </is>
      </c>
      <c r="P563" s="8" t="n">
        <v>1</v>
      </c>
      <c r="Q563" s="8" t="n">
        <v>50</v>
      </c>
      <c r="R563" s="7" t="inlineStr">
        <is>
          <t>https://www.eby.gov.py/wp-content/uploads/2019/12/YacyretaEnergiasMensualesDesdePuestaenMarcha.pdf</t>
        </is>
      </c>
      <c r="S563" s="6" t="inlineStr">
        <is>
          <t>EBY-MONTHLY-1994-2012</t>
        </is>
      </c>
      <c r="T563" s="6" t="inlineStr"/>
      <c r="U563" s="4" t="inlineStr">
        <is>
          <t>2026-09-10 23:00:00</t>
        </is>
      </c>
      <c r="V563" s="4" t="inlineStr">
        <is>
          <t>Energia mensual entregada al SADI.</t>
        </is>
      </c>
    </row>
    <row r="564">
      <c r="A564" s="6" t="inlineStr">
        <is>
          <t>R0000568</t>
        </is>
      </c>
      <c r="B564" s="6" t="inlineStr">
        <is>
          <t>2005-12-01</t>
        </is>
      </c>
      <c r="C564" s="6" t="inlineStr">
        <is>
          <t>2005-12-31</t>
        </is>
      </c>
      <c r="D564" s="6" t="inlineStr">
        <is>
          <t>month</t>
        </is>
      </c>
      <c r="E564" s="6" t="inlineStr">
        <is>
          <t>ENERGY_TO_PY</t>
        </is>
      </c>
      <c r="F564" s="6" t="inlineStr">
        <is>
          <t>YACYRETA</t>
        </is>
      </c>
      <c r="G564" s="6" t="inlineStr">
        <is>
          <t>YACYRETA</t>
        </is>
      </c>
      <c r="H564" s="6" t="inlineStr">
        <is>
          <t>SINP</t>
        </is>
      </c>
      <c r="I564" s="8" t="n">
        <v>23090</v>
      </c>
      <c r="J564" s="6" t="inlineStr">
        <is>
          <t>MWh</t>
        </is>
      </c>
      <c r="K564" s="8" t="n">
        <v>23090</v>
      </c>
      <c r="L564" s="6" t="inlineStr">
        <is>
          <t>MWh</t>
        </is>
      </c>
      <c r="M564" s="6" t="inlineStr">
        <is>
          <t>EBY</t>
        </is>
      </c>
      <c r="N564" s="6" t="inlineStr">
        <is>
          <t>OFFICIAL_PRIMARY</t>
        </is>
      </c>
      <c r="O564" s="9" t="inlineStr">
        <is>
          <t>OFFICIAL_AGGREGATE</t>
        </is>
      </c>
      <c r="P564" s="8" t="n">
        <v>1</v>
      </c>
      <c r="Q564" s="8" t="n">
        <v>50</v>
      </c>
      <c r="R564" s="7" t="inlineStr">
        <is>
          <t>https://www.eby.gov.py/wp-content/uploads/2019/12/YacyretaEnergiasMensualesDesdePuestaenMarcha.pdf</t>
        </is>
      </c>
      <c r="S564" s="6" t="inlineStr">
        <is>
          <t>EBY-MONTHLY-1994-2012</t>
        </is>
      </c>
      <c r="T564" s="6" t="inlineStr"/>
      <c r="U564" s="4" t="inlineStr">
        <is>
          <t>2026-09-10 23:00:00</t>
        </is>
      </c>
      <c r="V564" s="4" t="inlineStr">
        <is>
          <t>Energia mensual entregada al SINP.</t>
        </is>
      </c>
    </row>
    <row r="565">
      <c r="A565" s="6" t="inlineStr">
        <is>
          <t>R0000569</t>
        </is>
      </c>
      <c r="B565" s="6" t="inlineStr">
        <is>
          <t>2006-01-01</t>
        </is>
      </c>
      <c r="C565" s="6" t="inlineStr">
        <is>
          <t>2006-01-31</t>
        </is>
      </c>
      <c r="D565" s="6" t="inlineStr">
        <is>
          <t>month</t>
        </is>
      </c>
      <c r="E565" s="6" t="inlineStr">
        <is>
          <t>YACYRETA_NET_ENERGY</t>
        </is>
      </c>
      <c r="F565" s="6" t="inlineStr">
        <is>
          <t>YACYRETA</t>
        </is>
      </c>
      <c r="G565" s="6" t="inlineStr">
        <is>
          <t>YACYRETA</t>
        </is>
      </c>
      <c r="H565" s="6" t="inlineStr">
        <is>
          <t>TOTAL</t>
        </is>
      </c>
      <c r="I565" s="8" t="n">
        <v>1150759</v>
      </c>
      <c r="J565" s="6" t="inlineStr">
        <is>
          <t>MWh</t>
        </is>
      </c>
      <c r="K565" s="8" t="n">
        <v>1150759</v>
      </c>
      <c r="L565" s="6" t="inlineStr">
        <is>
          <t>MWh</t>
        </is>
      </c>
      <c r="M565" s="6" t="inlineStr">
        <is>
          <t>EBY</t>
        </is>
      </c>
      <c r="N565" s="6" t="inlineStr">
        <is>
          <t>OFFICIAL_PRIMARY</t>
        </is>
      </c>
      <c r="O565" s="9" t="inlineStr">
        <is>
          <t>OFFICIAL_AGGREGATE</t>
        </is>
      </c>
      <c r="P565" s="8" t="n">
        <v>1</v>
      </c>
      <c r="Q565" s="8" t="n">
        <v>50</v>
      </c>
      <c r="R565" s="7" t="inlineStr">
        <is>
          <t>https://www.eby.gov.py/wp-content/uploads/2019/12/YacyretaEnergiasMensualesDesdePuestaenMarcha.pdf</t>
        </is>
      </c>
      <c r="S565" s="6" t="inlineStr">
        <is>
          <t>EBY-MONTHLY-1994-2012</t>
        </is>
      </c>
      <c r="T565" s="6" t="inlineStr"/>
      <c r="U565" s="4" t="inlineStr">
        <is>
          <t>2026-09-10 23:00:00</t>
        </is>
      </c>
      <c r="V565" s="4" t="inlineStr">
        <is>
          <t>Energia mensual Yacyreta desde puesta en marcha.</t>
        </is>
      </c>
    </row>
    <row r="566">
      <c r="A566" s="6" t="inlineStr">
        <is>
          <t>R0000570</t>
        </is>
      </c>
      <c r="B566" s="6" t="inlineStr">
        <is>
          <t>2006-01-01</t>
        </is>
      </c>
      <c r="C566" s="6" t="inlineStr">
        <is>
          <t>2006-01-31</t>
        </is>
      </c>
      <c r="D566" s="6" t="inlineStr">
        <is>
          <t>month</t>
        </is>
      </c>
      <c r="E566" s="6" t="inlineStr">
        <is>
          <t>ENERGY_TO_ARGENTINA</t>
        </is>
      </c>
      <c r="F566" s="6" t="inlineStr">
        <is>
          <t>YACYRETA</t>
        </is>
      </c>
      <c r="G566" s="6" t="inlineStr">
        <is>
          <t>YACYRETA</t>
        </is>
      </c>
      <c r="H566" s="6" t="inlineStr">
        <is>
          <t>SADI</t>
        </is>
      </c>
      <c r="I566" s="8" t="n">
        <v>1062716</v>
      </c>
      <c r="J566" s="6" t="inlineStr">
        <is>
          <t>MWh</t>
        </is>
      </c>
      <c r="K566" s="8" t="n">
        <v>1062716</v>
      </c>
      <c r="L566" s="6" t="inlineStr">
        <is>
          <t>MWh</t>
        </is>
      </c>
      <c r="M566" s="6" t="inlineStr">
        <is>
          <t>EBY</t>
        </is>
      </c>
      <c r="N566" s="6" t="inlineStr">
        <is>
          <t>OFFICIAL_PRIMARY</t>
        </is>
      </c>
      <c r="O566" s="9" t="inlineStr">
        <is>
          <t>OFFICIAL_AGGREGATE</t>
        </is>
      </c>
      <c r="P566" s="8" t="n">
        <v>1</v>
      </c>
      <c r="Q566" s="8" t="n">
        <v>50</v>
      </c>
      <c r="R566" s="7" t="inlineStr">
        <is>
          <t>https://www.eby.gov.py/wp-content/uploads/2019/12/YacyretaEnergiasMensualesDesdePuestaenMarcha.pdf</t>
        </is>
      </c>
      <c r="S566" s="6" t="inlineStr">
        <is>
          <t>EBY-MONTHLY-1994-2012</t>
        </is>
      </c>
      <c r="T566" s="6" t="inlineStr"/>
      <c r="U566" s="4" t="inlineStr">
        <is>
          <t>2026-09-10 23:00:00</t>
        </is>
      </c>
      <c r="V566" s="4" t="inlineStr">
        <is>
          <t>Energia mensual entregada al SADI.</t>
        </is>
      </c>
    </row>
    <row r="567">
      <c r="A567" s="6" t="inlineStr">
        <is>
          <t>R0000571</t>
        </is>
      </c>
      <c r="B567" s="6" t="inlineStr">
        <is>
          <t>2006-01-01</t>
        </is>
      </c>
      <c r="C567" s="6" t="inlineStr">
        <is>
          <t>2006-01-31</t>
        </is>
      </c>
      <c r="D567" s="6" t="inlineStr">
        <is>
          <t>month</t>
        </is>
      </c>
      <c r="E567" s="6" t="inlineStr">
        <is>
          <t>ENERGY_TO_PY</t>
        </is>
      </c>
      <c r="F567" s="6" t="inlineStr">
        <is>
          <t>YACYRETA</t>
        </is>
      </c>
      <c r="G567" s="6" t="inlineStr">
        <is>
          <t>YACYRETA</t>
        </is>
      </c>
      <c r="H567" s="6" t="inlineStr">
        <is>
          <t>SINP</t>
        </is>
      </c>
      <c r="I567" s="8" t="n">
        <v>88043</v>
      </c>
      <c r="J567" s="6" t="inlineStr">
        <is>
          <t>MWh</t>
        </is>
      </c>
      <c r="K567" s="8" t="n">
        <v>88043</v>
      </c>
      <c r="L567" s="6" t="inlineStr">
        <is>
          <t>MWh</t>
        </is>
      </c>
      <c r="M567" s="6" t="inlineStr">
        <is>
          <t>EBY</t>
        </is>
      </c>
      <c r="N567" s="6" t="inlineStr">
        <is>
          <t>OFFICIAL_PRIMARY</t>
        </is>
      </c>
      <c r="O567" s="9" t="inlineStr">
        <is>
          <t>OFFICIAL_AGGREGATE</t>
        </is>
      </c>
      <c r="P567" s="8" t="n">
        <v>1</v>
      </c>
      <c r="Q567" s="8" t="n">
        <v>50</v>
      </c>
      <c r="R567" s="7" t="inlineStr">
        <is>
          <t>https://www.eby.gov.py/wp-content/uploads/2019/12/YacyretaEnergiasMensualesDesdePuestaenMarcha.pdf</t>
        </is>
      </c>
      <c r="S567" s="6" t="inlineStr">
        <is>
          <t>EBY-MONTHLY-1994-2012</t>
        </is>
      </c>
      <c r="T567" s="6" t="inlineStr"/>
      <c r="U567" s="4" t="inlineStr">
        <is>
          <t>2026-09-10 23:00:00</t>
        </is>
      </c>
      <c r="V567" s="4" t="inlineStr">
        <is>
          <t>Energia mensual entregada al SINP.</t>
        </is>
      </c>
    </row>
    <row r="568">
      <c r="A568" s="6" t="inlineStr">
        <is>
          <t>R0000572</t>
        </is>
      </c>
      <c r="B568" s="6" t="inlineStr">
        <is>
          <t>2006-02-01</t>
        </is>
      </c>
      <c r="C568" s="6" t="inlineStr">
        <is>
          <t>2006-02-28</t>
        </is>
      </c>
      <c r="D568" s="6" t="inlineStr">
        <is>
          <t>month</t>
        </is>
      </c>
      <c r="E568" s="6" t="inlineStr">
        <is>
          <t>YACYRETA_NET_ENERGY</t>
        </is>
      </c>
      <c r="F568" s="6" t="inlineStr">
        <is>
          <t>YACYRETA</t>
        </is>
      </c>
      <c r="G568" s="6" t="inlineStr">
        <is>
          <t>YACYRETA</t>
        </is>
      </c>
      <c r="H568" s="6" t="inlineStr">
        <is>
          <t>TOTAL</t>
        </is>
      </c>
      <c r="I568" s="8" t="n">
        <v>928595</v>
      </c>
      <c r="J568" s="6" t="inlineStr">
        <is>
          <t>MWh</t>
        </is>
      </c>
      <c r="K568" s="8" t="n">
        <v>928595</v>
      </c>
      <c r="L568" s="6" t="inlineStr">
        <is>
          <t>MWh</t>
        </is>
      </c>
      <c r="M568" s="6" t="inlineStr">
        <is>
          <t>EBY</t>
        </is>
      </c>
      <c r="N568" s="6" t="inlineStr">
        <is>
          <t>OFFICIAL_PRIMARY</t>
        </is>
      </c>
      <c r="O568" s="9" t="inlineStr">
        <is>
          <t>OFFICIAL_AGGREGATE</t>
        </is>
      </c>
      <c r="P568" s="8" t="n">
        <v>1</v>
      </c>
      <c r="Q568" s="8" t="n">
        <v>50</v>
      </c>
      <c r="R568" s="7" t="inlineStr">
        <is>
          <t>https://www.eby.gov.py/wp-content/uploads/2019/12/YacyretaEnergiasMensualesDesdePuestaenMarcha.pdf</t>
        </is>
      </c>
      <c r="S568" s="6" t="inlineStr">
        <is>
          <t>EBY-MONTHLY-1994-2012</t>
        </is>
      </c>
      <c r="T568" s="6" t="inlineStr"/>
      <c r="U568" s="4" t="inlineStr">
        <is>
          <t>2026-09-10 23:00:00</t>
        </is>
      </c>
      <c r="V568" s="4" t="inlineStr">
        <is>
          <t>Energia mensual Yacyreta desde puesta en marcha.</t>
        </is>
      </c>
    </row>
    <row r="569">
      <c r="A569" s="6" t="inlineStr">
        <is>
          <t>R0000573</t>
        </is>
      </c>
      <c r="B569" s="6" t="inlineStr">
        <is>
          <t>2006-02-01</t>
        </is>
      </c>
      <c r="C569" s="6" t="inlineStr">
        <is>
          <t>2006-02-28</t>
        </is>
      </c>
      <c r="D569" s="6" t="inlineStr">
        <is>
          <t>month</t>
        </is>
      </c>
      <c r="E569" s="6" t="inlineStr">
        <is>
          <t>ENERGY_TO_ARGENTINA</t>
        </is>
      </c>
      <c r="F569" s="6" t="inlineStr">
        <is>
          <t>YACYRETA</t>
        </is>
      </c>
      <c r="G569" s="6" t="inlineStr">
        <is>
          <t>YACYRETA</t>
        </is>
      </c>
      <c r="H569" s="6" t="inlineStr">
        <is>
          <t>SADI</t>
        </is>
      </c>
      <c r="I569" s="8" t="n">
        <v>869950</v>
      </c>
      <c r="J569" s="6" t="inlineStr">
        <is>
          <t>MWh</t>
        </is>
      </c>
      <c r="K569" s="8" t="n">
        <v>869950</v>
      </c>
      <c r="L569" s="6" t="inlineStr">
        <is>
          <t>MWh</t>
        </is>
      </c>
      <c r="M569" s="6" t="inlineStr">
        <is>
          <t>EBY</t>
        </is>
      </c>
      <c r="N569" s="6" t="inlineStr">
        <is>
          <t>OFFICIAL_PRIMARY</t>
        </is>
      </c>
      <c r="O569" s="9" t="inlineStr">
        <is>
          <t>OFFICIAL_AGGREGATE</t>
        </is>
      </c>
      <c r="P569" s="8" t="n">
        <v>1</v>
      </c>
      <c r="Q569" s="8" t="n">
        <v>50</v>
      </c>
      <c r="R569" s="7" t="inlineStr">
        <is>
          <t>https://www.eby.gov.py/wp-content/uploads/2019/12/YacyretaEnergiasMensualesDesdePuestaenMarcha.pdf</t>
        </is>
      </c>
      <c r="S569" s="6" t="inlineStr">
        <is>
          <t>EBY-MONTHLY-1994-2012</t>
        </is>
      </c>
      <c r="T569" s="6" t="inlineStr"/>
      <c r="U569" s="4" t="inlineStr">
        <is>
          <t>2026-09-10 23:00:00</t>
        </is>
      </c>
      <c r="V569" s="4" t="inlineStr">
        <is>
          <t>Energia mensual entregada al SADI.</t>
        </is>
      </c>
    </row>
    <row r="570">
      <c r="A570" s="6" t="inlineStr">
        <is>
          <t>R0000574</t>
        </is>
      </c>
      <c r="B570" s="6" t="inlineStr">
        <is>
          <t>2006-02-01</t>
        </is>
      </c>
      <c r="C570" s="6" t="inlineStr">
        <is>
          <t>2006-02-28</t>
        </is>
      </c>
      <c r="D570" s="6" t="inlineStr">
        <is>
          <t>month</t>
        </is>
      </c>
      <c r="E570" s="6" t="inlineStr">
        <is>
          <t>ENERGY_TO_PY</t>
        </is>
      </c>
      <c r="F570" s="6" t="inlineStr">
        <is>
          <t>YACYRETA</t>
        </is>
      </c>
      <c r="G570" s="6" t="inlineStr">
        <is>
          <t>YACYRETA</t>
        </is>
      </c>
      <c r="H570" s="6" t="inlineStr">
        <is>
          <t>SINP</t>
        </is>
      </c>
      <c r="I570" s="8" t="n">
        <v>58645</v>
      </c>
      <c r="J570" s="6" t="inlineStr">
        <is>
          <t>MWh</t>
        </is>
      </c>
      <c r="K570" s="8" t="n">
        <v>58645</v>
      </c>
      <c r="L570" s="6" t="inlineStr">
        <is>
          <t>MWh</t>
        </is>
      </c>
      <c r="M570" s="6" t="inlineStr">
        <is>
          <t>EBY</t>
        </is>
      </c>
      <c r="N570" s="6" t="inlineStr">
        <is>
          <t>OFFICIAL_PRIMARY</t>
        </is>
      </c>
      <c r="O570" s="9" t="inlineStr">
        <is>
          <t>OFFICIAL_AGGREGATE</t>
        </is>
      </c>
      <c r="P570" s="8" t="n">
        <v>1</v>
      </c>
      <c r="Q570" s="8" t="n">
        <v>50</v>
      </c>
      <c r="R570" s="7" t="inlineStr">
        <is>
          <t>https://www.eby.gov.py/wp-content/uploads/2019/12/YacyretaEnergiasMensualesDesdePuestaenMarcha.pdf</t>
        </is>
      </c>
      <c r="S570" s="6" t="inlineStr">
        <is>
          <t>EBY-MONTHLY-1994-2012</t>
        </is>
      </c>
      <c r="T570" s="6" t="inlineStr"/>
      <c r="U570" s="4" t="inlineStr">
        <is>
          <t>2026-09-10 23:00:00</t>
        </is>
      </c>
      <c r="V570" s="4" t="inlineStr">
        <is>
          <t>Energia mensual entregada al SINP.</t>
        </is>
      </c>
    </row>
    <row r="571">
      <c r="A571" s="6" t="inlineStr">
        <is>
          <t>R0000575</t>
        </is>
      </c>
      <c r="B571" s="6" t="inlineStr">
        <is>
          <t>2006-03-01</t>
        </is>
      </c>
      <c r="C571" s="6" t="inlineStr">
        <is>
          <t>2006-03-31</t>
        </is>
      </c>
      <c r="D571" s="6" t="inlineStr">
        <is>
          <t>month</t>
        </is>
      </c>
      <c r="E571" s="6" t="inlineStr">
        <is>
          <t>YACYRETA_NET_ENERGY</t>
        </is>
      </c>
      <c r="F571" s="6" t="inlineStr">
        <is>
          <t>YACYRETA</t>
        </is>
      </c>
      <c r="G571" s="6" t="inlineStr">
        <is>
          <t>YACYRETA</t>
        </is>
      </c>
      <c r="H571" s="6" t="inlineStr">
        <is>
          <t>TOTAL</t>
        </is>
      </c>
      <c r="I571" s="8" t="n">
        <v>1214148</v>
      </c>
      <c r="J571" s="6" t="inlineStr">
        <is>
          <t>MWh</t>
        </is>
      </c>
      <c r="K571" s="8" t="n">
        <v>1214148</v>
      </c>
      <c r="L571" s="6" t="inlineStr">
        <is>
          <t>MWh</t>
        </is>
      </c>
      <c r="M571" s="6" t="inlineStr">
        <is>
          <t>EBY</t>
        </is>
      </c>
      <c r="N571" s="6" t="inlineStr">
        <is>
          <t>OFFICIAL_PRIMARY</t>
        </is>
      </c>
      <c r="O571" s="9" t="inlineStr">
        <is>
          <t>OFFICIAL_AGGREGATE</t>
        </is>
      </c>
      <c r="P571" s="8" t="n">
        <v>1</v>
      </c>
      <c r="Q571" s="8" t="n">
        <v>50</v>
      </c>
      <c r="R571" s="7" t="inlineStr">
        <is>
          <t>https://www.eby.gov.py/wp-content/uploads/2019/12/YacyretaEnergiasMensualesDesdePuestaenMarcha.pdf</t>
        </is>
      </c>
      <c r="S571" s="6" t="inlineStr">
        <is>
          <t>EBY-MONTHLY-1994-2012</t>
        </is>
      </c>
      <c r="T571" s="6" t="inlineStr"/>
      <c r="U571" s="4" t="inlineStr">
        <is>
          <t>2026-09-10 23:00:00</t>
        </is>
      </c>
      <c r="V571" s="4" t="inlineStr">
        <is>
          <t>Energia mensual Yacyreta desde puesta en marcha.</t>
        </is>
      </c>
    </row>
    <row r="572">
      <c r="A572" s="6" t="inlineStr">
        <is>
          <t>R0000576</t>
        </is>
      </c>
      <c r="B572" s="6" t="inlineStr">
        <is>
          <t>2006-03-01</t>
        </is>
      </c>
      <c r="C572" s="6" t="inlineStr">
        <is>
          <t>2006-03-31</t>
        </is>
      </c>
      <c r="D572" s="6" t="inlineStr">
        <is>
          <t>month</t>
        </is>
      </c>
      <c r="E572" s="6" t="inlineStr">
        <is>
          <t>ENERGY_TO_ARGENTINA</t>
        </is>
      </c>
      <c r="F572" s="6" t="inlineStr">
        <is>
          <t>YACYRETA</t>
        </is>
      </c>
      <c r="G572" s="6" t="inlineStr">
        <is>
          <t>YACYRETA</t>
        </is>
      </c>
      <c r="H572" s="6" t="inlineStr">
        <is>
          <t>SADI</t>
        </is>
      </c>
      <c r="I572" s="8" t="n">
        <v>1126726</v>
      </c>
      <c r="J572" s="6" t="inlineStr">
        <is>
          <t>MWh</t>
        </is>
      </c>
      <c r="K572" s="8" t="n">
        <v>1126726</v>
      </c>
      <c r="L572" s="6" t="inlineStr">
        <is>
          <t>MWh</t>
        </is>
      </c>
      <c r="M572" s="6" t="inlineStr">
        <is>
          <t>EBY</t>
        </is>
      </c>
      <c r="N572" s="6" t="inlineStr">
        <is>
          <t>OFFICIAL_PRIMARY</t>
        </is>
      </c>
      <c r="O572" s="9" t="inlineStr">
        <is>
          <t>OFFICIAL_AGGREGATE</t>
        </is>
      </c>
      <c r="P572" s="8" t="n">
        <v>1</v>
      </c>
      <c r="Q572" s="8" t="n">
        <v>50</v>
      </c>
      <c r="R572" s="7" t="inlineStr">
        <is>
          <t>https://www.eby.gov.py/wp-content/uploads/2019/12/YacyretaEnergiasMensualesDesdePuestaenMarcha.pdf</t>
        </is>
      </c>
      <c r="S572" s="6" t="inlineStr">
        <is>
          <t>EBY-MONTHLY-1994-2012</t>
        </is>
      </c>
      <c r="T572" s="6" t="inlineStr"/>
      <c r="U572" s="4" t="inlineStr">
        <is>
          <t>2026-09-10 23:00:00</t>
        </is>
      </c>
      <c r="V572" s="4" t="inlineStr">
        <is>
          <t>Energia mensual entregada al SADI.</t>
        </is>
      </c>
    </row>
    <row r="573">
      <c r="A573" s="6" t="inlineStr">
        <is>
          <t>R0000577</t>
        </is>
      </c>
      <c r="B573" s="6" t="inlineStr">
        <is>
          <t>2006-03-01</t>
        </is>
      </c>
      <c r="C573" s="6" t="inlineStr">
        <is>
          <t>2006-03-31</t>
        </is>
      </c>
      <c r="D573" s="6" t="inlineStr">
        <is>
          <t>month</t>
        </is>
      </c>
      <c r="E573" s="6" t="inlineStr">
        <is>
          <t>ENERGY_TO_PY</t>
        </is>
      </c>
      <c r="F573" s="6" t="inlineStr">
        <is>
          <t>YACYRETA</t>
        </is>
      </c>
      <c r="G573" s="6" t="inlineStr">
        <is>
          <t>YACYRETA</t>
        </is>
      </c>
      <c r="H573" s="6" t="inlineStr">
        <is>
          <t>SINP</t>
        </is>
      </c>
      <c r="I573" s="8" t="n">
        <v>87422</v>
      </c>
      <c r="J573" s="6" t="inlineStr">
        <is>
          <t>MWh</t>
        </is>
      </c>
      <c r="K573" s="8" t="n">
        <v>87422</v>
      </c>
      <c r="L573" s="6" t="inlineStr">
        <is>
          <t>MWh</t>
        </is>
      </c>
      <c r="M573" s="6" t="inlineStr">
        <is>
          <t>EBY</t>
        </is>
      </c>
      <c r="N573" s="6" t="inlineStr">
        <is>
          <t>OFFICIAL_PRIMARY</t>
        </is>
      </c>
      <c r="O573" s="9" t="inlineStr">
        <is>
          <t>OFFICIAL_AGGREGATE</t>
        </is>
      </c>
      <c r="P573" s="8" t="n">
        <v>1</v>
      </c>
      <c r="Q573" s="8" t="n">
        <v>50</v>
      </c>
      <c r="R573" s="7" t="inlineStr">
        <is>
          <t>https://www.eby.gov.py/wp-content/uploads/2019/12/YacyretaEnergiasMensualesDesdePuestaenMarcha.pdf</t>
        </is>
      </c>
      <c r="S573" s="6" t="inlineStr">
        <is>
          <t>EBY-MONTHLY-1994-2012</t>
        </is>
      </c>
      <c r="T573" s="6" t="inlineStr"/>
      <c r="U573" s="4" t="inlineStr">
        <is>
          <t>2026-09-10 23:00:00</t>
        </is>
      </c>
      <c r="V573" s="4" t="inlineStr">
        <is>
          <t>Energia mensual entregada al SINP.</t>
        </is>
      </c>
    </row>
    <row r="574">
      <c r="A574" s="6" t="inlineStr">
        <is>
          <t>R0000578</t>
        </is>
      </c>
      <c r="B574" s="6" t="inlineStr">
        <is>
          <t>2006-04-01</t>
        </is>
      </c>
      <c r="C574" s="6" t="inlineStr">
        <is>
          <t>2006-04-30</t>
        </is>
      </c>
      <c r="D574" s="6" t="inlineStr">
        <is>
          <t>month</t>
        </is>
      </c>
      <c r="E574" s="6" t="inlineStr">
        <is>
          <t>YACYRETA_NET_ENERGY</t>
        </is>
      </c>
      <c r="F574" s="6" t="inlineStr">
        <is>
          <t>YACYRETA</t>
        </is>
      </c>
      <c r="G574" s="6" t="inlineStr">
        <is>
          <t>YACYRETA</t>
        </is>
      </c>
      <c r="H574" s="6" t="inlineStr">
        <is>
          <t>TOTAL</t>
        </is>
      </c>
      <c r="I574" s="8" t="n">
        <v>1177880</v>
      </c>
      <c r="J574" s="6" t="inlineStr">
        <is>
          <t>MWh</t>
        </is>
      </c>
      <c r="K574" s="8" t="n">
        <v>1177880</v>
      </c>
      <c r="L574" s="6" t="inlineStr">
        <is>
          <t>MWh</t>
        </is>
      </c>
      <c r="M574" s="6" t="inlineStr">
        <is>
          <t>EBY</t>
        </is>
      </c>
      <c r="N574" s="6" t="inlineStr">
        <is>
          <t>OFFICIAL_PRIMARY</t>
        </is>
      </c>
      <c r="O574" s="9" t="inlineStr">
        <is>
          <t>OFFICIAL_AGGREGATE</t>
        </is>
      </c>
      <c r="P574" s="8" t="n">
        <v>1</v>
      </c>
      <c r="Q574" s="8" t="n">
        <v>50</v>
      </c>
      <c r="R574" s="7" t="inlineStr">
        <is>
          <t>https://www.eby.gov.py/wp-content/uploads/2019/12/YacyretaEnergiasMensualesDesdePuestaenMarcha.pdf</t>
        </is>
      </c>
      <c r="S574" s="6" t="inlineStr">
        <is>
          <t>EBY-MONTHLY-1994-2012</t>
        </is>
      </c>
      <c r="T574" s="6" t="inlineStr"/>
      <c r="U574" s="4" t="inlineStr">
        <is>
          <t>2026-09-10 23:00:00</t>
        </is>
      </c>
      <c r="V574" s="4" t="inlineStr">
        <is>
          <t>Energia mensual Yacyreta desde puesta en marcha.</t>
        </is>
      </c>
    </row>
    <row r="575">
      <c r="A575" s="6" t="inlineStr">
        <is>
          <t>R0000579</t>
        </is>
      </c>
      <c r="B575" s="6" t="inlineStr">
        <is>
          <t>2006-04-01</t>
        </is>
      </c>
      <c r="C575" s="6" t="inlineStr">
        <is>
          <t>2006-04-30</t>
        </is>
      </c>
      <c r="D575" s="6" t="inlineStr">
        <is>
          <t>month</t>
        </is>
      </c>
      <c r="E575" s="6" t="inlineStr">
        <is>
          <t>ENERGY_TO_ARGENTINA</t>
        </is>
      </c>
      <c r="F575" s="6" t="inlineStr">
        <is>
          <t>YACYRETA</t>
        </is>
      </c>
      <c r="G575" s="6" t="inlineStr">
        <is>
          <t>YACYRETA</t>
        </is>
      </c>
      <c r="H575" s="6" t="inlineStr">
        <is>
          <t>SADI</t>
        </is>
      </c>
      <c r="I575" s="8" t="n">
        <v>1150710</v>
      </c>
      <c r="J575" s="6" t="inlineStr">
        <is>
          <t>MWh</t>
        </is>
      </c>
      <c r="K575" s="8" t="n">
        <v>1150710</v>
      </c>
      <c r="L575" s="6" t="inlineStr">
        <is>
          <t>MWh</t>
        </is>
      </c>
      <c r="M575" s="6" t="inlineStr">
        <is>
          <t>EBY</t>
        </is>
      </c>
      <c r="N575" s="6" t="inlineStr">
        <is>
          <t>OFFICIAL_PRIMARY</t>
        </is>
      </c>
      <c r="O575" s="9" t="inlineStr">
        <is>
          <t>OFFICIAL_AGGREGATE</t>
        </is>
      </c>
      <c r="P575" s="8" t="n">
        <v>1</v>
      </c>
      <c r="Q575" s="8" t="n">
        <v>50</v>
      </c>
      <c r="R575" s="7" t="inlineStr">
        <is>
          <t>https://www.eby.gov.py/wp-content/uploads/2019/12/YacyretaEnergiasMensualesDesdePuestaenMarcha.pdf</t>
        </is>
      </c>
      <c r="S575" s="6" t="inlineStr">
        <is>
          <t>EBY-MONTHLY-1994-2012</t>
        </is>
      </c>
      <c r="T575" s="6" t="inlineStr"/>
      <c r="U575" s="4" t="inlineStr">
        <is>
          <t>2026-09-10 23:00:00</t>
        </is>
      </c>
      <c r="V575" s="4" t="inlineStr">
        <is>
          <t>Energia mensual entregada al SADI.</t>
        </is>
      </c>
    </row>
    <row r="576">
      <c r="A576" s="6" t="inlineStr">
        <is>
          <t>R0000580</t>
        </is>
      </c>
      <c r="B576" s="6" t="inlineStr">
        <is>
          <t>2006-04-01</t>
        </is>
      </c>
      <c r="C576" s="6" t="inlineStr">
        <is>
          <t>2006-04-30</t>
        </is>
      </c>
      <c r="D576" s="6" t="inlineStr">
        <is>
          <t>month</t>
        </is>
      </c>
      <c r="E576" s="6" t="inlineStr">
        <is>
          <t>ENERGY_TO_PY</t>
        </is>
      </c>
      <c r="F576" s="6" t="inlineStr">
        <is>
          <t>YACYRETA</t>
        </is>
      </c>
      <c r="G576" s="6" t="inlineStr">
        <is>
          <t>YACYRETA</t>
        </is>
      </c>
      <c r="H576" s="6" t="inlineStr">
        <is>
          <t>SINP</t>
        </is>
      </c>
      <c r="I576" s="8" t="n">
        <v>27170</v>
      </c>
      <c r="J576" s="6" t="inlineStr">
        <is>
          <t>MWh</t>
        </is>
      </c>
      <c r="K576" s="8" t="n">
        <v>27170</v>
      </c>
      <c r="L576" s="6" t="inlineStr">
        <is>
          <t>MWh</t>
        </is>
      </c>
      <c r="M576" s="6" t="inlineStr">
        <is>
          <t>EBY</t>
        </is>
      </c>
      <c r="N576" s="6" t="inlineStr">
        <is>
          <t>OFFICIAL_PRIMARY</t>
        </is>
      </c>
      <c r="O576" s="9" t="inlineStr">
        <is>
          <t>OFFICIAL_AGGREGATE</t>
        </is>
      </c>
      <c r="P576" s="8" t="n">
        <v>1</v>
      </c>
      <c r="Q576" s="8" t="n">
        <v>50</v>
      </c>
      <c r="R576" s="7" t="inlineStr">
        <is>
          <t>https://www.eby.gov.py/wp-content/uploads/2019/12/YacyretaEnergiasMensualesDesdePuestaenMarcha.pdf</t>
        </is>
      </c>
      <c r="S576" s="6" t="inlineStr">
        <is>
          <t>EBY-MONTHLY-1994-2012</t>
        </is>
      </c>
      <c r="T576" s="6" t="inlineStr"/>
      <c r="U576" s="4" t="inlineStr">
        <is>
          <t>2026-09-10 23:00:00</t>
        </is>
      </c>
      <c r="V576" s="4" t="inlineStr">
        <is>
          <t>Energia mensual entregada al SINP.</t>
        </is>
      </c>
    </row>
    <row r="577">
      <c r="A577" s="6" t="inlineStr">
        <is>
          <t>R0000581</t>
        </is>
      </c>
      <c r="B577" s="6" t="inlineStr">
        <is>
          <t>2006-05-01</t>
        </is>
      </c>
      <c r="C577" s="6" t="inlineStr">
        <is>
          <t>2006-05-31</t>
        </is>
      </c>
      <c r="D577" s="6" t="inlineStr">
        <is>
          <t>month</t>
        </is>
      </c>
      <c r="E577" s="6" t="inlineStr">
        <is>
          <t>YACYRETA_NET_ENERGY</t>
        </is>
      </c>
      <c r="F577" s="6" t="inlineStr">
        <is>
          <t>YACYRETA</t>
        </is>
      </c>
      <c r="G577" s="6" t="inlineStr">
        <is>
          <t>YACYRETA</t>
        </is>
      </c>
      <c r="H577" s="6" t="inlineStr">
        <is>
          <t>TOTAL</t>
        </is>
      </c>
      <c r="I577" s="8" t="n">
        <v>1046358</v>
      </c>
      <c r="J577" s="6" t="inlineStr">
        <is>
          <t>MWh</t>
        </is>
      </c>
      <c r="K577" s="8" t="n">
        <v>1046358</v>
      </c>
      <c r="L577" s="6" t="inlineStr">
        <is>
          <t>MWh</t>
        </is>
      </c>
      <c r="M577" s="6" t="inlineStr">
        <is>
          <t>EBY</t>
        </is>
      </c>
      <c r="N577" s="6" t="inlineStr">
        <is>
          <t>OFFICIAL_PRIMARY</t>
        </is>
      </c>
      <c r="O577" s="9" t="inlineStr">
        <is>
          <t>OFFICIAL_AGGREGATE</t>
        </is>
      </c>
      <c r="P577" s="8" t="n">
        <v>1</v>
      </c>
      <c r="Q577" s="8" t="n">
        <v>50</v>
      </c>
      <c r="R577" s="7" t="inlineStr">
        <is>
          <t>https://www.eby.gov.py/wp-content/uploads/2019/12/YacyretaEnergiasMensualesDesdePuestaenMarcha.pdf</t>
        </is>
      </c>
      <c r="S577" s="6" t="inlineStr">
        <is>
          <t>EBY-MONTHLY-1994-2012</t>
        </is>
      </c>
      <c r="T577" s="6" t="inlineStr"/>
      <c r="U577" s="4" t="inlineStr">
        <is>
          <t>2026-09-10 23:00:00</t>
        </is>
      </c>
      <c r="V577" s="4" t="inlineStr">
        <is>
          <t>Energia mensual Yacyreta desde puesta en marcha.</t>
        </is>
      </c>
    </row>
    <row r="578">
      <c r="A578" s="6" t="inlineStr">
        <is>
          <t>R0000582</t>
        </is>
      </c>
      <c r="B578" s="6" t="inlineStr">
        <is>
          <t>2006-05-01</t>
        </is>
      </c>
      <c r="C578" s="6" t="inlineStr">
        <is>
          <t>2006-05-31</t>
        </is>
      </c>
      <c r="D578" s="6" t="inlineStr">
        <is>
          <t>month</t>
        </is>
      </c>
      <c r="E578" s="6" t="inlineStr">
        <is>
          <t>ENERGY_TO_ARGENTINA</t>
        </is>
      </c>
      <c r="F578" s="6" t="inlineStr">
        <is>
          <t>YACYRETA</t>
        </is>
      </c>
      <c r="G578" s="6" t="inlineStr">
        <is>
          <t>YACYRETA</t>
        </is>
      </c>
      <c r="H578" s="6" t="inlineStr">
        <is>
          <t>SADI</t>
        </is>
      </c>
      <c r="I578" s="8" t="n">
        <v>1035996</v>
      </c>
      <c r="J578" s="6" t="inlineStr">
        <is>
          <t>MWh</t>
        </is>
      </c>
      <c r="K578" s="8" t="n">
        <v>1035996</v>
      </c>
      <c r="L578" s="6" t="inlineStr">
        <is>
          <t>MWh</t>
        </is>
      </c>
      <c r="M578" s="6" t="inlineStr">
        <is>
          <t>EBY</t>
        </is>
      </c>
      <c r="N578" s="6" t="inlineStr">
        <is>
          <t>OFFICIAL_PRIMARY</t>
        </is>
      </c>
      <c r="O578" s="9" t="inlineStr">
        <is>
          <t>OFFICIAL_AGGREGATE</t>
        </is>
      </c>
      <c r="P578" s="8" t="n">
        <v>1</v>
      </c>
      <c r="Q578" s="8" t="n">
        <v>50</v>
      </c>
      <c r="R578" s="7" t="inlineStr">
        <is>
          <t>https://www.eby.gov.py/wp-content/uploads/2019/12/YacyretaEnergiasMensualesDesdePuestaenMarcha.pdf</t>
        </is>
      </c>
      <c r="S578" s="6" t="inlineStr">
        <is>
          <t>EBY-MONTHLY-1994-2012</t>
        </is>
      </c>
      <c r="T578" s="6" t="inlineStr"/>
      <c r="U578" s="4" t="inlineStr">
        <is>
          <t>2026-09-10 23:00:00</t>
        </is>
      </c>
      <c r="V578" s="4" t="inlineStr">
        <is>
          <t>Energia mensual entregada al SADI.</t>
        </is>
      </c>
    </row>
    <row r="579">
      <c r="A579" s="6" t="inlineStr">
        <is>
          <t>R0000583</t>
        </is>
      </c>
      <c r="B579" s="6" t="inlineStr">
        <is>
          <t>2006-05-01</t>
        </is>
      </c>
      <c r="C579" s="6" t="inlineStr">
        <is>
          <t>2006-05-31</t>
        </is>
      </c>
      <c r="D579" s="6" t="inlineStr">
        <is>
          <t>month</t>
        </is>
      </c>
      <c r="E579" s="6" t="inlineStr">
        <is>
          <t>ENERGY_TO_PY</t>
        </is>
      </c>
      <c r="F579" s="6" t="inlineStr">
        <is>
          <t>YACYRETA</t>
        </is>
      </c>
      <c r="G579" s="6" t="inlineStr">
        <is>
          <t>YACYRETA</t>
        </is>
      </c>
      <c r="H579" s="6" t="inlineStr">
        <is>
          <t>SINP</t>
        </is>
      </c>
      <c r="I579" s="8" t="n">
        <v>10362</v>
      </c>
      <c r="J579" s="6" t="inlineStr">
        <is>
          <t>MWh</t>
        </is>
      </c>
      <c r="K579" s="8" t="n">
        <v>10362</v>
      </c>
      <c r="L579" s="6" t="inlineStr">
        <is>
          <t>MWh</t>
        </is>
      </c>
      <c r="M579" s="6" t="inlineStr">
        <is>
          <t>EBY</t>
        </is>
      </c>
      <c r="N579" s="6" t="inlineStr">
        <is>
          <t>OFFICIAL_PRIMARY</t>
        </is>
      </c>
      <c r="O579" s="9" t="inlineStr">
        <is>
          <t>OFFICIAL_AGGREGATE</t>
        </is>
      </c>
      <c r="P579" s="8" t="n">
        <v>1</v>
      </c>
      <c r="Q579" s="8" t="n">
        <v>50</v>
      </c>
      <c r="R579" s="7" t="inlineStr">
        <is>
          <t>https://www.eby.gov.py/wp-content/uploads/2019/12/YacyretaEnergiasMensualesDesdePuestaenMarcha.pdf</t>
        </is>
      </c>
      <c r="S579" s="6" t="inlineStr">
        <is>
          <t>EBY-MONTHLY-1994-2012</t>
        </is>
      </c>
      <c r="T579" s="6" t="inlineStr"/>
      <c r="U579" s="4" t="inlineStr">
        <is>
          <t>2026-09-10 23:00:00</t>
        </is>
      </c>
      <c r="V579" s="4" t="inlineStr">
        <is>
          <t>Energia mensual entregada al SINP.</t>
        </is>
      </c>
    </row>
    <row r="580">
      <c r="A580" s="6" t="inlineStr">
        <is>
          <t>R0000584</t>
        </is>
      </c>
      <c r="B580" s="6" t="inlineStr">
        <is>
          <t>2006-06-01</t>
        </is>
      </c>
      <c r="C580" s="6" t="inlineStr">
        <is>
          <t>2006-06-30</t>
        </is>
      </c>
      <c r="D580" s="6" t="inlineStr">
        <is>
          <t>month</t>
        </is>
      </c>
      <c r="E580" s="6" t="inlineStr">
        <is>
          <t>YACYRETA_NET_ENERGY</t>
        </is>
      </c>
      <c r="F580" s="6" t="inlineStr">
        <is>
          <t>YACYRETA</t>
        </is>
      </c>
      <c r="G580" s="6" t="inlineStr">
        <is>
          <t>YACYRETA</t>
        </is>
      </c>
      <c r="H580" s="6" t="inlineStr">
        <is>
          <t>TOTAL</t>
        </is>
      </c>
      <c r="I580" s="8" t="n">
        <v>1023019</v>
      </c>
      <c r="J580" s="6" t="inlineStr">
        <is>
          <t>MWh</t>
        </is>
      </c>
      <c r="K580" s="8" t="n">
        <v>1023019</v>
      </c>
      <c r="L580" s="6" t="inlineStr">
        <is>
          <t>MWh</t>
        </is>
      </c>
      <c r="M580" s="6" t="inlineStr">
        <is>
          <t>EBY</t>
        </is>
      </c>
      <c r="N580" s="6" t="inlineStr">
        <is>
          <t>OFFICIAL_PRIMARY</t>
        </is>
      </c>
      <c r="O580" s="9" t="inlineStr">
        <is>
          <t>OFFICIAL_AGGREGATE</t>
        </is>
      </c>
      <c r="P580" s="8" t="n">
        <v>1</v>
      </c>
      <c r="Q580" s="8" t="n">
        <v>50</v>
      </c>
      <c r="R580" s="7" t="inlineStr">
        <is>
          <t>https://www.eby.gov.py/wp-content/uploads/2019/12/YacyretaEnergiasMensualesDesdePuestaenMarcha.pdf</t>
        </is>
      </c>
      <c r="S580" s="6" t="inlineStr">
        <is>
          <t>EBY-MONTHLY-1994-2012</t>
        </is>
      </c>
      <c r="T580" s="6" t="inlineStr"/>
      <c r="U580" s="4" t="inlineStr">
        <is>
          <t>2026-09-10 23:00:00</t>
        </is>
      </c>
      <c r="V580" s="4" t="inlineStr">
        <is>
          <t>Energia mensual Yacyreta desde puesta en marcha.</t>
        </is>
      </c>
    </row>
    <row r="581">
      <c r="A581" s="6" t="inlineStr">
        <is>
          <t>R0000585</t>
        </is>
      </c>
      <c r="B581" s="6" t="inlineStr">
        <is>
          <t>2006-06-01</t>
        </is>
      </c>
      <c r="C581" s="6" t="inlineStr">
        <is>
          <t>2006-06-30</t>
        </is>
      </c>
      <c r="D581" s="6" t="inlineStr">
        <is>
          <t>month</t>
        </is>
      </c>
      <c r="E581" s="6" t="inlineStr">
        <is>
          <t>ENERGY_TO_ARGENTINA</t>
        </is>
      </c>
      <c r="F581" s="6" t="inlineStr">
        <is>
          <t>YACYRETA</t>
        </is>
      </c>
      <c r="G581" s="6" t="inlineStr">
        <is>
          <t>YACYRETA</t>
        </is>
      </c>
      <c r="H581" s="6" t="inlineStr">
        <is>
          <t>SADI</t>
        </is>
      </c>
      <c r="I581" s="8" t="n">
        <v>997832</v>
      </c>
      <c r="J581" s="6" t="inlineStr">
        <is>
          <t>MWh</t>
        </is>
      </c>
      <c r="K581" s="8" t="n">
        <v>997832</v>
      </c>
      <c r="L581" s="6" t="inlineStr">
        <is>
          <t>MWh</t>
        </is>
      </c>
      <c r="M581" s="6" t="inlineStr">
        <is>
          <t>EBY</t>
        </is>
      </c>
      <c r="N581" s="6" t="inlineStr">
        <is>
          <t>OFFICIAL_PRIMARY</t>
        </is>
      </c>
      <c r="O581" s="9" t="inlineStr">
        <is>
          <t>OFFICIAL_AGGREGATE</t>
        </is>
      </c>
      <c r="P581" s="8" t="n">
        <v>1</v>
      </c>
      <c r="Q581" s="8" t="n">
        <v>50</v>
      </c>
      <c r="R581" s="7" t="inlineStr">
        <is>
          <t>https://www.eby.gov.py/wp-content/uploads/2019/12/YacyretaEnergiasMensualesDesdePuestaenMarcha.pdf</t>
        </is>
      </c>
      <c r="S581" s="6" t="inlineStr">
        <is>
          <t>EBY-MONTHLY-1994-2012</t>
        </is>
      </c>
      <c r="T581" s="6" t="inlineStr"/>
      <c r="U581" s="4" t="inlineStr">
        <is>
          <t>2026-09-10 23:00:00</t>
        </is>
      </c>
      <c r="V581" s="4" t="inlineStr">
        <is>
          <t>Energia mensual entregada al SADI.</t>
        </is>
      </c>
    </row>
    <row r="582">
      <c r="A582" s="6" t="inlineStr">
        <is>
          <t>R0000586</t>
        </is>
      </c>
      <c r="B582" s="6" t="inlineStr">
        <is>
          <t>2006-06-01</t>
        </is>
      </c>
      <c r="C582" s="6" t="inlineStr">
        <is>
          <t>2006-06-30</t>
        </is>
      </c>
      <c r="D582" s="6" t="inlineStr">
        <is>
          <t>month</t>
        </is>
      </c>
      <c r="E582" s="6" t="inlineStr">
        <is>
          <t>ENERGY_TO_PY</t>
        </is>
      </c>
      <c r="F582" s="6" t="inlineStr">
        <is>
          <t>YACYRETA</t>
        </is>
      </c>
      <c r="G582" s="6" t="inlineStr">
        <is>
          <t>YACYRETA</t>
        </is>
      </c>
      <c r="H582" s="6" t="inlineStr">
        <is>
          <t>SINP</t>
        </is>
      </c>
      <c r="I582" s="8" t="n">
        <v>25187</v>
      </c>
      <c r="J582" s="6" t="inlineStr">
        <is>
          <t>MWh</t>
        </is>
      </c>
      <c r="K582" s="8" t="n">
        <v>25187</v>
      </c>
      <c r="L582" s="6" t="inlineStr">
        <is>
          <t>MWh</t>
        </is>
      </c>
      <c r="M582" s="6" t="inlineStr">
        <is>
          <t>EBY</t>
        </is>
      </c>
      <c r="N582" s="6" t="inlineStr">
        <is>
          <t>OFFICIAL_PRIMARY</t>
        </is>
      </c>
      <c r="O582" s="9" t="inlineStr">
        <is>
          <t>OFFICIAL_AGGREGATE</t>
        </is>
      </c>
      <c r="P582" s="8" t="n">
        <v>1</v>
      </c>
      <c r="Q582" s="8" t="n">
        <v>50</v>
      </c>
      <c r="R582" s="7" t="inlineStr">
        <is>
          <t>https://www.eby.gov.py/wp-content/uploads/2019/12/YacyretaEnergiasMensualesDesdePuestaenMarcha.pdf</t>
        </is>
      </c>
      <c r="S582" s="6" t="inlineStr">
        <is>
          <t>EBY-MONTHLY-1994-2012</t>
        </is>
      </c>
      <c r="T582" s="6" t="inlineStr"/>
      <c r="U582" s="4" t="inlineStr">
        <is>
          <t>2026-09-10 23:00:00</t>
        </is>
      </c>
      <c r="V582" s="4" t="inlineStr">
        <is>
          <t>Energia mensual entregada al SINP.</t>
        </is>
      </c>
    </row>
    <row r="583">
      <c r="A583" s="6" t="inlineStr">
        <is>
          <t>R0000587</t>
        </is>
      </c>
      <c r="B583" s="6" t="inlineStr">
        <is>
          <t>2006-07-01</t>
        </is>
      </c>
      <c r="C583" s="6" t="inlineStr">
        <is>
          <t>2006-07-31</t>
        </is>
      </c>
      <c r="D583" s="6" t="inlineStr">
        <is>
          <t>month</t>
        </is>
      </c>
      <c r="E583" s="6" t="inlineStr">
        <is>
          <t>YACYRETA_NET_ENERGY</t>
        </is>
      </c>
      <c r="F583" s="6" t="inlineStr">
        <is>
          <t>YACYRETA</t>
        </is>
      </c>
      <c r="G583" s="6" t="inlineStr">
        <is>
          <t>YACYRETA</t>
        </is>
      </c>
      <c r="H583" s="6" t="inlineStr">
        <is>
          <t>TOTAL</t>
        </is>
      </c>
      <c r="I583" s="8" t="n">
        <v>1025792</v>
      </c>
      <c r="J583" s="6" t="inlineStr">
        <is>
          <t>MWh</t>
        </is>
      </c>
      <c r="K583" s="8" t="n">
        <v>1025792</v>
      </c>
      <c r="L583" s="6" t="inlineStr">
        <is>
          <t>MWh</t>
        </is>
      </c>
      <c r="M583" s="6" t="inlineStr">
        <is>
          <t>EBY</t>
        </is>
      </c>
      <c r="N583" s="6" t="inlineStr">
        <is>
          <t>OFFICIAL_PRIMARY</t>
        </is>
      </c>
      <c r="O583" s="9" t="inlineStr">
        <is>
          <t>OFFICIAL_AGGREGATE</t>
        </is>
      </c>
      <c r="P583" s="8" t="n">
        <v>1</v>
      </c>
      <c r="Q583" s="8" t="n">
        <v>50</v>
      </c>
      <c r="R583" s="7" t="inlineStr">
        <is>
          <t>https://www.eby.gov.py/wp-content/uploads/2019/12/YacyretaEnergiasMensualesDesdePuestaenMarcha.pdf</t>
        </is>
      </c>
      <c r="S583" s="6" t="inlineStr">
        <is>
          <t>EBY-MONTHLY-1994-2012</t>
        </is>
      </c>
      <c r="T583" s="6" t="inlineStr"/>
      <c r="U583" s="4" t="inlineStr">
        <is>
          <t>2026-09-10 23:00:00</t>
        </is>
      </c>
      <c r="V583" s="4" t="inlineStr">
        <is>
          <t>Energia mensual Yacyreta desde puesta en marcha.</t>
        </is>
      </c>
    </row>
    <row r="584">
      <c r="A584" s="6" t="inlineStr">
        <is>
          <t>R0000588</t>
        </is>
      </c>
      <c r="B584" s="6" t="inlineStr">
        <is>
          <t>2006-07-01</t>
        </is>
      </c>
      <c r="C584" s="6" t="inlineStr">
        <is>
          <t>2006-07-31</t>
        </is>
      </c>
      <c r="D584" s="6" t="inlineStr">
        <is>
          <t>month</t>
        </is>
      </c>
      <c r="E584" s="6" t="inlineStr">
        <is>
          <t>ENERGY_TO_ARGENTINA</t>
        </is>
      </c>
      <c r="F584" s="6" t="inlineStr">
        <is>
          <t>YACYRETA</t>
        </is>
      </c>
      <c r="G584" s="6" t="inlineStr">
        <is>
          <t>YACYRETA</t>
        </is>
      </c>
      <c r="H584" s="6" t="inlineStr">
        <is>
          <t>SADI</t>
        </is>
      </c>
      <c r="I584" s="8" t="n">
        <v>1011226</v>
      </c>
      <c r="J584" s="6" t="inlineStr">
        <is>
          <t>MWh</t>
        </is>
      </c>
      <c r="K584" s="8" t="n">
        <v>1011226</v>
      </c>
      <c r="L584" s="6" t="inlineStr">
        <is>
          <t>MWh</t>
        </is>
      </c>
      <c r="M584" s="6" t="inlineStr">
        <is>
          <t>EBY</t>
        </is>
      </c>
      <c r="N584" s="6" t="inlineStr">
        <is>
          <t>OFFICIAL_PRIMARY</t>
        </is>
      </c>
      <c r="O584" s="9" t="inlineStr">
        <is>
          <t>OFFICIAL_AGGREGATE</t>
        </is>
      </c>
      <c r="P584" s="8" t="n">
        <v>1</v>
      </c>
      <c r="Q584" s="8" t="n">
        <v>50</v>
      </c>
      <c r="R584" s="7" t="inlineStr">
        <is>
          <t>https://www.eby.gov.py/wp-content/uploads/2019/12/YacyretaEnergiasMensualesDesdePuestaenMarcha.pdf</t>
        </is>
      </c>
      <c r="S584" s="6" t="inlineStr">
        <is>
          <t>EBY-MONTHLY-1994-2012</t>
        </is>
      </c>
      <c r="T584" s="6" t="inlineStr"/>
      <c r="U584" s="4" t="inlineStr">
        <is>
          <t>2026-09-10 23:00:00</t>
        </is>
      </c>
      <c r="V584" s="4" t="inlineStr">
        <is>
          <t>Energia mensual entregada al SADI.</t>
        </is>
      </c>
    </row>
    <row r="585">
      <c r="A585" s="6" t="inlineStr">
        <is>
          <t>R0000589</t>
        </is>
      </c>
      <c r="B585" s="6" t="inlineStr">
        <is>
          <t>2006-07-01</t>
        </is>
      </c>
      <c r="C585" s="6" t="inlineStr">
        <is>
          <t>2006-07-31</t>
        </is>
      </c>
      <c r="D585" s="6" t="inlineStr">
        <is>
          <t>month</t>
        </is>
      </c>
      <c r="E585" s="6" t="inlineStr">
        <is>
          <t>ENERGY_TO_PY</t>
        </is>
      </c>
      <c r="F585" s="6" t="inlineStr">
        <is>
          <t>YACYRETA</t>
        </is>
      </c>
      <c r="G585" s="6" t="inlineStr">
        <is>
          <t>YACYRETA</t>
        </is>
      </c>
      <c r="H585" s="6" t="inlineStr">
        <is>
          <t>SINP</t>
        </is>
      </c>
      <c r="I585" s="8" t="n">
        <v>14566</v>
      </c>
      <c r="J585" s="6" t="inlineStr">
        <is>
          <t>MWh</t>
        </is>
      </c>
      <c r="K585" s="8" t="n">
        <v>14566</v>
      </c>
      <c r="L585" s="6" t="inlineStr">
        <is>
          <t>MWh</t>
        </is>
      </c>
      <c r="M585" s="6" t="inlineStr">
        <is>
          <t>EBY</t>
        </is>
      </c>
      <c r="N585" s="6" t="inlineStr">
        <is>
          <t>OFFICIAL_PRIMARY</t>
        </is>
      </c>
      <c r="O585" s="9" t="inlineStr">
        <is>
          <t>OFFICIAL_AGGREGATE</t>
        </is>
      </c>
      <c r="P585" s="8" t="n">
        <v>1</v>
      </c>
      <c r="Q585" s="8" t="n">
        <v>50</v>
      </c>
      <c r="R585" s="7" t="inlineStr">
        <is>
          <t>https://www.eby.gov.py/wp-content/uploads/2019/12/YacyretaEnergiasMensualesDesdePuestaenMarcha.pdf</t>
        </is>
      </c>
      <c r="S585" s="6" t="inlineStr">
        <is>
          <t>EBY-MONTHLY-1994-2012</t>
        </is>
      </c>
      <c r="T585" s="6" t="inlineStr"/>
      <c r="U585" s="4" t="inlineStr">
        <is>
          <t>2026-09-10 23:00:00</t>
        </is>
      </c>
      <c r="V585" s="4" t="inlineStr">
        <is>
          <t>Energia mensual entregada al SINP.</t>
        </is>
      </c>
    </row>
    <row r="586">
      <c r="A586" s="6" t="inlineStr">
        <is>
          <t>R0000590</t>
        </is>
      </c>
      <c r="B586" s="6" t="inlineStr">
        <is>
          <t>2006-08-01</t>
        </is>
      </c>
      <c r="C586" s="6" t="inlineStr">
        <is>
          <t>2006-08-31</t>
        </is>
      </c>
      <c r="D586" s="6" t="inlineStr">
        <is>
          <t>month</t>
        </is>
      </c>
      <c r="E586" s="6" t="inlineStr">
        <is>
          <t>YACYRETA_NET_ENERGY</t>
        </is>
      </c>
      <c r="F586" s="6" t="inlineStr">
        <is>
          <t>YACYRETA</t>
        </is>
      </c>
      <c r="G586" s="6" t="inlineStr">
        <is>
          <t>YACYRETA</t>
        </is>
      </c>
      <c r="H586" s="6" t="inlineStr">
        <is>
          <t>TOTAL</t>
        </is>
      </c>
      <c r="I586" s="8" t="n">
        <v>1031060</v>
      </c>
      <c r="J586" s="6" t="inlineStr">
        <is>
          <t>MWh</t>
        </is>
      </c>
      <c r="K586" s="8" t="n">
        <v>1031060</v>
      </c>
      <c r="L586" s="6" t="inlineStr">
        <is>
          <t>MWh</t>
        </is>
      </c>
      <c r="M586" s="6" t="inlineStr">
        <is>
          <t>EBY</t>
        </is>
      </c>
      <c r="N586" s="6" t="inlineStr">
        <is>
          <t>OFFICIAL_PRIMARY</t>
        </is>
      </c>
      <c r="O586" s="9" t="inlineStr">
        <is>
          <t>OFFICIAL_AGGREGATE</t>
        </is>
      </c>
      <c r="P586" s="8" t="n">
        <v>1</v>
      </c>
      <c r="Q586" s="8" t="n">
        <v>50</v>
      </c>
      <c r="R586" s="7" t="inlineStr">
        <is>
          <t>https://www.eby.gov.py/wp-content/uploads/2019/12/YacyretaEnergiasMensualesDesdePuestaenMarcha.pdf</t>
        </is>
      </c>
      <c r="S586" s="6" t="inlineStr">
        <is>
          <t>EBY-MONTHLY-1994-2012</t>
        </is>
      </c>
      <c r="T586" s="6" t="inlineStr"/>
      <c r="U586" s="4" t="inlineStr">
        <is>
          <t>2026-09-10 23:00:00</t>
        </is>
      </c>
      <c r="V586" s="4" t="inlineStr">
        <is>
          <t>Energia mensual Yacyreta desde puesta en marcha.</t>
        </is>
      </c>
    </row>
    <row r="587">
      <c r="A587" s="6" t="inlineStr">
        <is>
          <t>R0000591</t>
        </is>
      </c>
      <c r="B587" s="6" t="inlineStr">
        <is>
          <t>2006-08-01</t>
        </is>
      </c>
      <c r="C587" s="6" t="inlineStr">
        <is>
          <t>2006-08-31</t>
        </is>
      </c>
      <c r="D587" s="6" t="inlineStr">
        <is>
          <t>month</t>
        </is>
      </c>
      <c r="E587" s="6" t="inlineStr">
        <is>
          <t>ENERGY_TO_ARGENTINA</t>
        </is>
      </c>
      <c r="F587" s="6" t="inlineStr">
        <is>
          <t>YACYRETA</t>
        </is>
      </c>
      <c r="G587" s="6" t="inlineStr">
        <is>
          <t>YACYRETA</t>
        </is>
      </c>
      <c r="H587" s="6" t="inlineStr">
        <is>
          <t>SADI</t>
        </is>
      </c>
      <c r="I587" s="8" t="n">
        <v>1016202</v>
      </c>
      <c r="J587" s="6" t="inlineStr">
        <is>
          <t>MWh</t>
        </is>
      </c>
      <c r="K587" s="8" t="n">
        <v>1016202</v>
      </c>
      <c r="L587" s="6" t="inlineStr">
        <is>
          <t>MWh</t>
        </is>
      </c>
      <c r="M587" s="6" t="inlineStr">
        <is>
          <t>EBY</t>
        </is>
      </c>
      <c r="N587" s="6" t="inlineStr">
        <is>
          <t>OFFICIAL_PRIMARY</t>
        </is>
      </c>
      <c r="O587" s="9" t="inlineStr">
        <is>
          <t>OFFICIAL_AGGREGATE</t>
        </is>
      </c>
      <c r="P587" s="8" t="n">
        <v>1</v>
      </c>
      <c r="Q587" s="8" t="n">
        <v>50</v>
      </c>
      <c r="R587" s="7" t="inlineStr">
        <is>
          <t>https://www.eby.gov.py/wp-content/uploads/2019/12/YacyretaEnergiasMensualesDesdePuestaenMarcha.pdf</t>
        </is>
      </c>
      <c r="S587" s="6" t="inlineStr">
        <is>
          <t>EBY-MONTHLY-1994-2012</t>
        </is>
      </c>
      <c r="T587" s="6" t="inlineStr"/>
      <c r="U587" s="4" t="inlineStr">
        <is>
          <t>2026-09-10 23:00:00</t>
        </is>
      </c>
      <c r="V587" s="4" t="inlineStr">
        <is>
          <t>Energia mensual entregada al SADI.</t>
        </is>
      </c>
    </row>
    <row r="588">
      <c r="A588" s="6" t="inlineStr">
        <is>
          <t>R0000592</t>
        </is>
      </c>
      <c r="B588" s="6" t="inlineStr">
        <is>
          <t>2006-08-01</t>
        </is>
      </c>
      <c r="C588" s="6" t="inlineStr">
        <is>
          <t>2006-08-31</t>
        </is>
      </c>
      <c r="D588" s="6" t="inlineStr">
        <is>
          <t>month</t>
        </is>
      </c>
      <c r="E588" s="6" t="inlineStr">
        <is>
          <t>ENERGY_TO_PY</t>
        </is>
      </c>
      <c r="F588" s="6" t="inlineStr">
        <is>
          <t>YACYRETA</t>
        </is>
      </c>
      <c r="G588" s="6" t="inlineStr">
        <is>
          <t>YACYRETA</t>
        </is>
      </c>
      <c r="H588" s="6" t="inlineStr">
        <is>
          <t>SINP</t>
        </is>
      </c>
      <c r="I588" s="8" t="n">
        <v>14858</v>
      </c>
      <c r="J588" s="6" t="inlineStr">
        <is>
          <t>MWh</t>
        </is>
      </c>
      <c r="K588" s="8" t="n">
        <v>14858</v>
      </c>
      <c r="L588" s="6" t="inlineStr">
        <is>
          <t>MWh</t>
        </is>
      </c>
      <c r="M588" s="6" t="inlineStr">
        <is>
          <t>EBY</t>
        </is>
      </c>
      <c r="N588" s="6" t="inlineStr">
        <is>
          <t>OFFICIAL_PRIMARY</t>
        </is>
      </c>
      <c r="O588" s="9" t="inlineStr">
        <is>
          <t>OFFICIAL_AGGREGATE</t>
        </is>
      </c>
      <c r="P588" s="8" t="n">
        <v>1</v>
      </c>
      <c r="Q588" s="8" t="n">
        <v>50</v>
      </c>
      <c r="R588" s="7" t="inlineStr">
        <is>
          <t>https://www.eby.gov.py/wp-content/uploads/2019/12/YacyretaEnergiasMensualesDesdePuestaenMarcha.pdf</t>
        </is>
      </c>
      <c r="S588" s="6" t="inlineStr">
        <is>
          <t>EBY-MONTHLY-1994-2012</t>
        </is>
      </c>
      <c r="T588" s="6" t="inlineStr"/>
      <c r="U588" s="4" t="inlineStr">
        <is>
          <t>2026-09-10 23:00:00</t>
        </is>
      </c>
      <c r="V588" s="4" t="inlineStr">
        <is>
          <t>Energia mensual entregada al SINP.</t>
        </is>
      </c>
    </row>
    <row r="589">
      <c r="A589" s="6" t="inlineStr">
        <is>
          <t>R0000593</t>
        </is>
      </c>
      <c r="B589" s="6" t="inlineStr">
        <is>
          <t>2006-09-01</t>
        </is>
      </c>
      <c r="C589" s="6" t="inlineStr">
        <is>
          <t>2006-09-30</t>
        </is>
      </c>
      <c r="D589" s="6" t="inlineStr">
        <is>
          <t>month</t>
        </is>
      </c>
      <c r="E589" s="6" t="inlineStr">
        <is>
          <t>YACYRETA_NET_ENERGY</t>
        </is>
      </c>
      <c r="F589" s="6" t="inlineStr">
        <is>
          <t>YACYRETA</t>
        </is>
      </c>
      <c r="G589" s="6" t="inlineStr">
        <is>
          <t>YACYRETA</t>
        </is>
      </c>
      <c r="H589" s="6" t="inlineStr">
        <is>
          <t>TOTAL</t>
        </is>
      </c>
      <c r="I589" s="8" t="n">
        <v>1040776</v>
      </c>
      <c r="J589" s="6" t="inlineStr">
        <is>
          <t>MWh</t>
        </is>
      </c>
      <c r="K589" s="8" t="n">
        <v>1040776</v>
      </c>
      <c r="L589" s="6" t="inlineStr">
        <is>
          <t>MWh</t>
        </is>
      </c>
      <c r="M589" s="6" t="inlineStr">
        <is>
          <t>EBY</t>
        </is>
      </c>
      <c r="N589" s="6" t="inlineStr">
        <is>
          <t>OFFICIAL_PRIMARY</t>
        </is>
      </c>
      <c r="O589" s="9" t="inlineStr">
        <is>
          <t>OFFICIAL_AGGREGATE</t>
        </is>
      </c>
      <c r="P589" s="8" t="n">
        <v>1</v>
      </c>
      <c r="Q589" s="8" t="n">
        <v>50</v>
      </c>
      <c r="R589" s="7" t="inlineStr">
        <is>
          <t>https://www.eby.gov.py/wp-content/uploads/2019/12/YacyretaEnergiasMensualesDesdePuestaenMarcha.pdf</t>
        </is>
      </c>
      <c r="S589" s="6" t="inlineStr">
        <is>
          <t>EBY-MONTHLY-1994-2012</t>
        </is>
      </c>
      <c r="T589" s="6" t="inlineStr"/>
      <c r="U589" s="4" t="inlineStr">
        <is>
          <t>2026-09-10 23:00:00</t>
        </is>
      </c>
      <c r="V589" s="4" t="inlineStr">
        <is>
          <t>Energia mensual Yacyreta desde puesta en marcha.</t>
        </is>
      </c>
    </row>
    <row r="590">
      <c r="A590" s="6" t="inlineStr">
        <is>
          <t>R0000594</t>
        </is>
      </c>
      <c r="B590" s="6" t="inlineStr">
        <is>
          <t>2006-09-01</t>
        </is>
      </c>
      <c r="C590" s="6" t="inlineStr">
        <is>
          <t>2006-09-30</t>
        </is>
      </c>
      <c r="D590" s="6" t="inlineStr">
        <is>
          <t>month</t>
        </is>
      </c>
      <c r="E590" s="6" t="inlineStr">
        <is>
          <t>ENERGY_TO_ARGENTINA</t>
        </is>
      </c>
      <c r="F590" s="6" t="inlineStr">
        <is>
          <t>YACYRETA</t>
        </is>
      </c>
      <c r="G590" s="6" t="inlineStr">
        <is>
          <t>YACYRETA</t>
        </is>
      </c>
      <c r="H590" s="6" t="inlineStr">
        <is>
          <t>SADI</t>
        </is>
      </c>
      <c r="I590" s="8" t="n">
        <v>1026714</v>
      </c>
      <c r="J590" s="6" t="inlineStr">
        <is>
          <t>MWh</t>
        </is>
      </c>
      <c r="K590" s="8" t="n">
        <v>1026714</v>
      </c>
      <c r="L590" s="6" t="inlineStr">
        <is>
          <t>MWh</t>
        </is>
      </c>
      <c r="M590" s="6" t="inlineStr">
        <is>
          <t>EBY</t>
        </is>
      </c>
      <c r="N590" s="6" t="inlineStr">
        <is>
          <t>OFFICIAL_PRIMARY</t>
        </is>
      </c>
      <c r="O590" s="9" t="inlineStr">
        <is>
          <t>OFFICIAL_AGGREGATE</t>
        </is>
      </c>
      <c r="P590" s="8" t="n">
        <v>1</v>
      </c>
      <c r="Q590" s="8" t="n">
        <v>50</v>
      </c>
      <c r="R590" s="7" t="inlineStr">
        <is>
          <t>https://www.eby.gov.py/wp-content/uploads/2019/12/YacyretaEnergiasMensualesDesdePuestaenMarcha.pdf</t>
        </is>
      </c>
      <c r="S590" s="6" t="inlineStr">
        <is>
          <t>EBY-MONTHLY-1994-2012</t>
        </is>
      </c>
      <c r="T590" s="6" t="inlineStr"/>
      <c r="U590" s="4" t="inlineStr">
        <is>
          <t>2026-09-10 23:00:00</t>
        </is>
      </c>
      <c r="V590" s="4" t="inlineStr">
        <is>
          <t>Energia mensual entregada al SADI.</t>
        </is>
      </c>
    </row>
    <row r="591">
      <c r="A591" s="6" t="inlineStr">
        <is>
          <t>R0000595</t>
        </is>
      </c>
      <c r="B591" s="6" t="inlineStr">
        <is>
          <t>2006-09-01</t>
        </is>
      </c>
      <c r="C591" s="6" t="inlineStr">
        <is>
          <t>2006-09-30</t>
        </is>
      </c>
      <c r="D591" s="6" t="inlineStr">
        <is>
          <t>month</t>
        </is>
      </c>
      <c r="E591" s="6" t="inlineStr">
        <is>
          <t>ENERGY_TO_PY</t>
        </is>
      </c>
      <c r="F591" s="6" t="inlineStr">
        <is>
          <t>YACYRETA</t>
        </is>
      </c>
      <c r="G591" s="6" t="inlineStr">
        <is>
          <t>YACYRETA</t>
        </is>
      </c>
      <c r="H591" s="6" t="inlineStr">
        <is>
          <t>SINP</t>
        </is>
      </c>
      <c r="I591" s="8" t="n">
        <v>14062</v>
      </c>
      <c r="J591" s="6" t="inlineStr">
        <is>
          <t>MWh</t>
        </is>
      </c>
      <c r="K591" s="8" t="n">
        <v>14062</v>
      </c>
      <c r="L591" s="6" t="inlineStr">
        <is>
          <t>MWh</t>
        </is>
      </c>
      <c r="M591" s="6" t="inlineStr">
        <is>
          <t>EBY</t>
        </is>
      </c>
      <c r="N591" s="6" t="inlineStr">
        <is>
          <t>OFFICIAL_PRIMARY</t>
        </is>
      </c>
      <c r="O591" s="9" t="inlineStr">
        <is>
          <t>OFFICIAL_AGGREGATE</t>
        </is>
      </c>
      <c r="P591" s="8" t="n">
        <v>1</v>
      </c>
      <c r="Q591" s="8" t="n">
        <v>50</v>
      </c>
      <c r="R591" s="7" t="inlineStr">
        <is>
          <t>https://www.eby.gov.py/wp-content/uploads/2019/12/YacyretaEnergiasMensualesDesdePuestaenMarcha.pdf</t>
        </is>
      </c>
      <c r="S591" s="6" t="inlineStr">
        <is>
          <t>EBY-MONTHLY-1994-2012</t>
        </is>
      </c>
      <c r="T591" s="6" t="inlineStr"/>
      <c r="U591" s="4" t="inlineStr">
        <is>
          <t>2026-09-10 23:00:00</t>
        </is>
      </c>
      <c r="V591" s="4" t="inlineStr">
        <is>
          <t>Energia mensual entregada al SINP.</t>
        </is>
      </c>
    </row>
    <row r="592">
      <c r="A592" s="6" t="inlineStr">
        <is>
          <t>R0000596</t>
        </is>
      </c>
      <c r="B592" s="6" t="inlineStr">
        <is>
          <t>2006-10-01</t>
        </is>
      </c>
      <c r="C592" s="6" t="inlineStr">
        <is>
          <t>2006-10-31</t>
        </is>
      </c>
      <c r="D592" s="6" t="inlineStr">
        <is>
          <t>month</t>
        </is>
      </c>
      <c r="E592" s="6" t="inlineStr">
        <is>
          <t>YACYRETA_NET_ENERGY</t>
        </is>
      </c>
      <c r="F592" s="6" t="inlineStr">
        <is>
          <t>YACYRETA</t>
        </is>
      </c>
      <c r="G592" s="6" t="inlineStr">
        <is>
          <t>YACYRETA</t>
        </is>
      </c>
      <c r="H592" s="6" t="inlineStr">
        <is>
          <t>TOTAL</t>
        </is>
      </c>
      <c r="I592" s="8" t="n">
        <v>1130260</v>
      </c>
      <c r="J592" s="6" t="inlineStr">
        <is>
          <t>MWh</t>
        </is>
      </c>
      <c r="K592" s="8" t="n">
        <v>1130260</v>
      </c>
      <c r="L592" s="6" t="inlineStr">
        <is>
          <t>MWh</t>
        </is>
      </c>
      <c r="M592" s="6" t="inlineStr">
        <is>
          <t>EBY</t>
        </is>
      </c>
      <c r="N592" s="6" t="inlineStr">
        <is>
          <t>OFFICIAL_PRIMARY</t>
        </is>
      </c>
      <c r="O592" s="9" t="inlineStr">
        <is>
          <t>OFFICIAL_AGGREGATE</t>
        </is>
      </c>
      <c r="P592" s="8" t="n">
        <v>1</v>
      </c>
      <c r="Q592" s="8" t="n">
        <v>50</v>
      </c>
      <c r="R592" s="7" t="inlineStr">
        <is>
          <t>https://www.eby.gov.py/wp-content/uploads/2019/12/YacyretaEnergiasMensualesDesdePuestaenMarcha.pdf</t>
        </is>
      </c>
      <c r="S592" s="6" t="inlineStr">
        <is>
          <t>EBY-MONTHLY-1994-2012</t>
        </is>
      </c>
      <c r="T592" s="6" t="inlineStr"/>
      <c r="U592" s="4" t="inlineStr">
        <is>
          <t>2026-09-10 23:00:00</t>
        </is>
      </c>
      <c r="V592" s="4" t="inlineStr">
        <is>
          <t>Energia mensual Yacyreta desde puesta en marcha.</t>
        </is>
      </c>
    </row>
    <row r="593">
      <c r="A593" s="6" t="inlineStr">
        <is>
          <t>R0000597</t>
        </is>
      </c>
      <c r="B593" s="6" t="inlineStr">
        <is>
          <t>2006-10-01</t>
        </is>
      </c>
      <c r="C593" s="6" t="inlineStr">
        <is>
          <t>2006-10-31</t>
        </is>
      </c>
      <c r="D593" s="6" t="inlineStr">
        <is>
          <t>month</t>
        </is>
      </c>
      <c r="E593" s="6" t="inlineStr">
        <is>
          <t>ENERGY_TO_ARGENTINA</t>
        </is>
      </c>
      <c r="F593" s="6" t="inlineStr">
        <is>
          <t>YACYRETA</t>
        </is>
      </c>
      <c r="G593" s="6" t="inlineStr">
        <is>
          <t>YACYRETA</t>
        </is>
      </c>
      <c r="H593" s="6" t="inlineStr">
        <is>
          <t>SADI</t>
        </is>
      </c>
      <c r="I593" s="8" t="n">
        <v>1113272</v>
      </c>
      <c r="J593" s="6" t="inlineStr">
        <is>
          <t>MWh</t>
        </is>
      </c>
      <c r="K593" s="8" t="n">
        <v>1113272</v>
      </c>
      <c r="L593" s="6" t="inlineStr">
        <is>
          <t>MWh</t>
        </is>
      </c>
      <c r="M593" s="6" t="inlineStr">
        <is>
          <t>EBY</t>
        </is>
      </c>
      <c r="N593" s="6" t="inlineStr">
        <is>
          <t>OFFICIAL_PRIMARY</t>
        </is>
      </c>
      <c r="O593" s="9" t="inlineStr">
        <is>
          <t>OFFICIAL_AGGREGATE</t>
        </is>
      </c>
      <c r="P593" s="8" t="n">
        <v>1</v>
      </c>
      <c r="Q593" s="8" t="n">
        <v>50</v>
      </c>
      <c r="R593" s="7" t="inlineStr">
        <is>
          <t>https://www.eby.gov.py/wp-content/uploads/2019/12/YacyretaEnergiasMensualesDesdePuestaenMarcha.pdf</t>
        </is>
      </c>
      <c r="S593" s="6" t="inlineStr">
        <is>
          <t>EBY-MONTHLY-1994-2012</t>
        </is>
      </c>
      <c r="T593" s="6" t="inlineStr"/>
      <c r="U593" s="4" t="inlineStr">
        <is>
          <t>2026-09-10 23:00:00</t>
        </is>
      </c>
      <c r="V593" s="4" t="inlineStr">
        <is>
          <t>Energia mensual entregada al SADI.</t>
        </is>
      </c>
    </row>
    <row r="594">
      <c r="A594" s="6" t="inlineStr">
        <is>
          <t>R0000598</t>
        </is>
      </c>
      <c r="B594" s="6" t="inlineStr">
        <is>
          <t>2006-10-01</t>
        </is>
      </c>
      <c r="C594" s="6" t="inlineStr">
        <is>
          <t>2006-10-31</t>
        </is>
      </c>
      <c r="D594" s="6" t="inlineStr">
        <is>
          <t>month</t>
        </is>
      </c>
      <c r="E594" s="6" t="inlineStr">
        <is>
          <t>ENERGY_TO_PY</t>
        </is>
      </c>
      <c r="F594" s="6" t="inlineStr">
        <is>
          <t>YACYRETA</t>
        </is>
      </c>
      <c r="G594" s="6" t="inlineStr">
        <is>
          <t>YACYRETA</t>
        </is>
      </c>
      <c r="H594" s="6" t="inlineStr">
        <is>
          <t>SINP</t>
        </is>
      </c>
      <c r="I594" s="8" t="n">
        <v>16988</v>
      </c>
      <c r="J594" s="6" t="inlineStr">
        <is>
          <t>MWh</t>
        </is>
      </c>
      <c r="K594" s="8" t="n">
        <v>16988</v>
      </c>
      <c r="L594" s="6" t="inlineStr">
        <is>
          <t>MWh</t>
        </is>
      </c>
      <c r="M594" s="6" t="inlineStr">
        <is>
          <t>EBY</t>
        </is>
      </c>
      <c r="N594" s="6" t="inlineStr">
        <is>
          <t>OFFICIAL_PRIMARY</t>
        </is>
      </c>
      <c r="O594" s="9" t="inlineStr">
        <is>
          <t>OFFICIAL_AGGREGATE</t>
        </is>
      </c>
      <c r="P594" s="8" t="n">
        <v>1</v>
      </c>
      <c r="Q594" s="8" t="n">
        <v>50</v>
      </c>
      <c r="R594" s="7" t="inlineStr">
        <is>
          <t>https://www.eby.gov.py/wp-content/uploads/2019/12/YacyretaEnergiasMensualesDesdePuestaenMarcha.pdf</t>
        </is>
      </c>
      <c r="S594" s="6" t="inlineStr">
        <is>
          <t>EBY-MONTHLY-1994-2012</t>
        </is>
      </c>
      <c r="T594" s="6" t="inlineStr"/>
      <c r="U594" s="4" t="inlineStr">
        <is>
          <t>2026-09-10 23:00:00</t>
        </is>
      </c>
      <c r="V594" s="4" t="inlineStr">
        <is>
          <t>Energia mensual entregada al SINP.</t>
        </is>
      </c>
    </row>
    <row r="595">
      <c r="A595" s="6" t="inlineStr">
        <is>
          <t>R0000599</t>
        </is>
      </c>
      <c r="B595" s="6" t="inlineStr">
        <is>
          <t>2006-11-01</t>
        </is>
      </c>
      <c r="C595" s="6" t="inlineStr">
        <is>
          <t>2006-11-30</t>
        </is>
      </c>
      <c r="D595" s="6" t="inlineStr">
        <is>
          <t>month</t>
        </is>
      </c>
      <c r="E595" s="6" t="inlineStr">
        <is>
          <t>YACYRETA_NET_ENERGY</t>
        </is>
      </c>
      <c r="F595" s="6" t="inlineStr">
        <is>
          <t>YACYRETA</t>
        </is>
      </c>
      <c r="G595" s="6" t="inlineStr">
        <is>
          <t>YACYRETA</t>
        </is>
      </c>
      <c r="H595" s="6" t="inlineStr">
        <is>
          <t>TOTAL</t>
        </is>
      </c>
      <c r="I595" s="8" t="n">
        <v>1093872</v>
      </c>
      <c r="J595" s="6" t="inlineStr">
        <is>
          <t>MWh</t>
        </is>
      </c>
      <c r="K595" s="8" t="n">
        <v>1093872</v>
      </c>
      <c r="L595" s="6" t="inlineStr">
        <is>
          <t>MWh</t>
        </is>
      </c>
      <c r="M595" s="6" t="inlineStr">
        <is>
          <t>EBY</t>
        </is>
      </c>
      <c r="N595" s="6" t="inlineStr">
        <is>
          <t>OFFICIAL_PRIMARY</t>
        </is>
      </c>
      <c r="O595" s="9" t="inlineStr">
        <is>
          <t>OFFICIAL_AGGREGATE</t>
        </is>
      </c>
      <c r="P595" s="8" t="n">
        <v>1</v>
      </c>
      <c r="Q595" s="8" t="n">
        <v>50</v>
      </c>
      <c r="R595" s="7" t="inlineStr">
        <is>
          <t>https://www.eby.gov.py/wp-content/uploads/2019/12/YacyretaEnergiasMensualesDesdePuestaenMarcha.pdf</t>
        </is>
      </c>
      <c r="S595" s="6" t="inlineStr">
        <is>
          <t>EBY-MONTHLY-1994-2012</t>
        </is>
      </c>
      <c r="T595" s="6" t="inlineStr"/>
      <c r="U595" s="4" t="inlineStr">
        <is>
          <t>2026-09-10 23:00:00</t>
        </is>
      </c>
      <c r="V595" s="4" t="inlineStr">
        <is>
          <t>Energia mensual Yacyreta desde puesta en marcha.</t>
        </is>
      </c>
    </row>
    <row r="596">
      <c r="A596" s="6" t="inlineStr">
        <is>
          <t>R0000600</t>
        </is>
      </c>
      <c r="B596" s="6" t="inlineStr">
        <is>
          <t>2006-11-01</t>
        </is>
      </c>
      <c r="C596" s="6" t="inlineStr">
        <is>
          <t>2006-11-30</t>
        </is>
      </c>
      <c r="D596" s="6" t="inlineStr">
        <is>
          <t>month</t>
        </is>
      </c>
      <c r="E596" s="6" t="inlineStr">
        <is>
          <t>ENERGY_TO_ARGENTINA</t>
        </is>
      </c>
      <c r="F596" s="6" t="inlineStr">
        <is>
          <t>YACYRETA</t>
        </is>
      </c>
      <c r="G596" s="6" t="inlineStr">
        <is>
          <t>YACYRETA</t>
        </is>
      </c>
      <c r="H596" s="6" t="inlineStr">
        <is>
          <t>SADI</t>
        </is>
      </c>
      <c r="I596" s="8" t="n">
        <v>1072782</v>
      </c>
      <c r="J596" s="6" t="inlineStr">
        <is>
          <t>MWh</t>
        </is>
      </c>
      <c r="K596" s="8" t="n">
        <v>1072782</v>
      </c>
      <c r="L596" s="6" t="inlineStr">
        <is>
          <t>MWh</t>
        </is>
      </c>
      <c r="M596" s="6" t="inlineStr">
        <is>
          <t>EBY</t>
        </is>
      </c>
      <c r="N596" s="6" t="inlineStr">
        <is>
          <t>OFFICIAL_PRIMARY</t>
        </is>
      </c>
      <c r="O596" s="9" t="inlineStr">
        <is>
          <t>OFFICIAL_AGGREGATE</t>
        </is>
      </c>
      <c r="P596" s="8" t="n">
        <v>1</v>
      </c>
      <c r="Q596" s="8" t="n">
        <v>50</v>
      </c>
      <c r="R596" s="7" t="inlineStr">
        <is>
          <t>https://www.eby.gov.py/wp-content/uploads/2019/12/YacyretaEnergiasMensualesDesdePuestaenMarcha.pdf</t>
        </is>
      </c>
      <c r="S596" s="6" t="inlineStr">
        <is>
          <t>EBY-MONTHLY-1994-2012</t>
        </is>
      </c>
      <c r="T596" s="6" t="inlineStr"/>
      <c r="U596" s="4" t="inlineStr">
        <is>
          <t>2026-09-10 23:00:00</t>
        </is>
      </c>
      <c r="V596" s="4" t="inlineStr">
        <is>
          <t>Energia mensual entregada al SADI.</t>
        </is>
      </c>
    </row>
    <row r="597">
      <c r="A597" s="6" t="inlineStr">
        <is>
          <t>R0000601</t>
        </is>
      </c>
      <c r="B597" s="6" t="inlineStr">
        <is>
          <t>2006-11-01</t>
        </is>
      </c>
      <c r="C597" s="6" t="inlineStr">
        <is>
          <t>2006-11-30</t>
        </is>
      </c>
      <c r="D597" s="6" t="inlineStr">
        <is>
          <t>month</t>
        </is>
      </c>
      <c r="E597" s="6" t="inlineStr">
        <is>
          <t>ENERGY_TO_PY</t>
        </is>
      </c>
      <c r="F597" s="6" t="inlineStr">
        <is>
          <t>YACYRETA</t>
        </is>
      </c>
      <c r="G597" s="6" t="inlineStr">
        <is>
          <t>YACYRETA</t>
        </is>
      </c>
      <c r="H597" s="6" t="inlineStr">
        <is>
          <t>SINP</t>
        </is>
      </c>
      <c r="I597" s="8" t="n">
        <v>21090</v>
      </c>
      <c r="J597" s="6" t="inlineStr">
        <is>
          <t>MWh</t>
        </is>
      </c>
      <c r="K597" s="8" t="n">
        <v>21090</v>
      </c>
      <c r="L597" s="6" t="inlineStr">
        <is>
          <t>MWh</t>
        </is>
      </c>
      <c r="M597" s="6" t="inlineStr">
        <is>
          <t>EBY</t>
        </is>
      </c>
      <c r="N597" s="6" t="inlineStr">
        <is>
          <t>OFFICIAL_PRIMARY</t>
        </is>
      </c>
      <c r="O597" s="9" t="inlineStr">
        <is>
          <t>OFFICIAL_AGGREGATE</t>
        </is>
      </c>
      <c r="P597" s="8" t="n">
        <v>1</v>
      </c>
      <c r="Q597" s="8" t="n">
        <v>50</v>
      </c>
      <c r="R597" s="7" t="inlineStr">
        <is>
          <t>https://www.eby.gov.py/wp-content/uploads/2019/12/YacyretaEnergiasMensualesDesdePuestaenMarcha.pdf</t>
        </is>
      </c>
      <c r="S597" s="6" t="inlineStr">
        <is>
          <t>EBY-MONTHLY-1994-2012</t>
        </is>
      </c>
      <c r="T597" s="6" t="inlineStr"/>
      <c r="U597" s="4" t="inlineStr">
        <is>
          <t>2026-09-10 23:00:00</t>
        </is>
      </c>
      <c r="V597" s="4" t="inlineStr">
        <is>
          <t>Energia mensual entregada al SINP.</t>
        </is>
      </c>
    </row>
    <row r="598">
      <c r="A598" s="6" t="inlineStr">
        <is>
          <t>R0000602</t>
        </is>
      </c>
      <c r="B598" s="6" t="inlineStr">
        <is>
          <t>2006-12-01</t>
        </is>
      </c>
      <c r="C598" s="6" t="inlineStr">
        <is>
          <t>2006-12-31</t>
        </is>
      </c>
      <c r="D598" s="6" t="inlineStr">
        <is>
          <t>month</t>
        </is>
      </c>
      <c r="E598" s="6" t="inlineStr">
        <is>
          <t>YACYRETA_NET_ENERGY</t>
        </is>
      </c>
      <c r="F598" s="6" t="inlineStr">
        <is>
          <t>YACYRETA</t>
        </is>
      </c>
      <c r="G598" s="6" t="inlineStr">
        <is>
          <t>YACYRETA</t>
        </is>
      </c>
      <c r="H598" s="6" t="inlineStr">
        <is>
          <t>TOTAL</t>
        </is>
      </c>
      <c r="I598" s="8" t="n">
        <v>1168536</v>
      </c>
      <c r="J598" s="6" t="inlineStr">
        <is>
          <t>MWh</t>
        </is>
      </c>
      <c r="K598" s="8" t="n">
        <v>1168536</v>
      </c>
      <c r="L598" s="6" t="inlineStr">
        <is>
          <t>MWh</t>
        </is>
      </c>
      <c r="M598" s="6" t="inlineStr">
        <is>
          <t>EBY</t>
        </is>
      </c>
      <c r="N598" s="6" t="inlineStr">
        <is>
          <t>OFFICIAL_PRIMARY</t>
        </is>
      </c>
      <c r="O598" s="9" t="inlineStr">
        <is>
          <t>OFFICIAL_AGGREGATE</t>
        </is>
      </c>
      <c r="P598" s="8" t="n">
        <v>1</v>
      </c>
      <c r="Q598" s="8" t="n">
        <v>50</v>
      </c>
      <c r="R598" s="7" t="inlineStr">
        <is>
          <t>https://www.eby.gov.py/wp-content/uploads/2019/12/YacyretaEnergiasMensualesDesdePuestaenMarcha.pdf</t>
        </is>
      </c>
      <c r="S598" s="6" t="inlineStr">
        <is>
          <t>EBY-MONTHLY-1994-2012</t>
        </is>
      </c>
      <c r="T598" s="6" t="inlineStr"/>
      <c r="U598" s="4" t="inlineStr">
        <is>
          <t>2026-09-10 23:00:00</t>
        </is>
      </c>
      <c r="V598" s="4" t="inlineStr">
        <is>
          <t>Energia mensual Yacyreta desde puesta en marcha.</t>
        </is>
      </c>
    </row>
    <row r="599">
      <c r="A599" s="6" t="inlineStr">
        <is>
          <t>R0000603</t>
        </is>
      </c>
      <c r="B599" s="6" t="inlineStr">
        <is>
          <t>2006-12-01</t>
        </is>
      </c>
      <c r="C599" s="6" t="inlineStr">
        <is>
          <t>2006-12-31</t>
        </is>
      </c>
      <c r="D599" s="6" t="inlineStr">
        <is>
          <t>month</t>
        </is>
      </c>
      <c r="E599" s="6" t="inlineStr">
        <is>
          <t>ENERGY_TO_ARGENTINA</t>
        </is>
      </c>
      <c r="F599" s="6" t="inlineStr">
        <is>
          <t>YACYRETA</t>
        </is>
      </c>
      <c r="G599" s="6" t="inlineStr">
        <is>
          <t>YACYRETA</t>
        </is>
      </c>
      <c r="H599" s="6" t="inlineStr">
        <is>
          <t>SADI</t>
        </is>
      </c>
      <c r="I599" s="8" t="n">
        <v>1125574</v>
      </c>
      <c r="J599" s="6" t="inlineStr">
        <is>
          <t>MWh</t>
        </is>
      </c>
      <c r="K599" s="8" t="n">
        <v>1125574</v>
      </c>
      <c r="L599" s="6" t="inlineStr">
        <is>
          <t>MWh</t>
        </is>
      </c>
      <c r="M599" s="6" t="inlineStr">
        <is>
          <t>EBY</t>
        </is>
      </c>
      <c r="N599" s="6" t="inlineStr">
        <is>
          <t>OFFICIAL_PRIMARY</t>
        </is>
      </c>
      <c r="O599" s="9" t="inlineStr">
        <is>
          <t>OFFICIAL_AGGREGATE</t>
        </is>
      </c>
      <c r="P599" s="8" t="n">
        <v>1</v>
      </c>
      <c r="Q599" s="8" t="n">
        <v>50</v>
      </c>
      <c r="R599" s="7" t="inlineStr">
        <is>
          <t>https://www.eby.gov.py/wp-content/uploads/2019/12/YacyretaEnergiasMensualesDesdePuestaenMarcha.pdf</t>
        </is>
      </c>
      <c r="S599" s="6" t="inlineStr">
        <is>
          <t>EBY-MONTHLY-1994-2012</t>
        </is>
      </c>
      <c r="T599" s="6" t="inlineStr"/>
      <c r="U599" s="4" t="inlineStr">
        <is>
          <t>2026-09-10 23:00:00</t>
        </is>
      </c>
      <c r="V599" s="4" t="inlineStr">
        <is>
          <t>Energia mensual entregada al SADI.</t>
        </is>
      </c>
    </row>
    <row r="600">
      <c r="A600" s="6" t="inlineStr">
        <is>
          <t>R0000604</t>
        </is>
      </c>
      <c r="B600" s="6" t="inlineStr">
        <is>
          <t>2006-12-01</t>
        </is>
      </c>
      <c r="C600" s="6" t="inlineStr">
        <is>
          <t>2006-12-31</t>
        </is>
      </c>
      <c r="D600" s="6" t="inlineStr">
        <is>
          <t>month</t>
        </is>
      </c>
      <c r="E600" s="6" t="inlineStr">
        <is>
          <t>ENERGY_TO_PY</t>
        </is>
      </c>
      <c r="F600" s="6" t="inlineStr">
        <is>
          <t>YACYRETA</t>
        </is>
      </c>
      <c r="G600" s="6" t="inlineStr">
        <is>
          <t>YACYRETA</t>
        </is>
      </c>
      <c r="H600" s="6" t="inlineStr">
        <is>
          <t>SINP</t>
        </is>
      </c>
      <c r="I600" s="8" t="n">
        <v>42962</v>
      </c>
      <c r="J600" s="6" t="inlineStr">
        <is>
          <t>MWh</t>
        </is>
      </c>
      <c r="K600" s="8" t="n">
        <v>42962</v>
      </c>
      <c r="L600" s="6" t="inlineStr">
        <is>
          <t>MWh</t>
        </is>
      </c>
      <c r="M600" s="6" t="inlineStr">
        <is>
          <t>EBY</t>
        </is>
      </c>
      <c r="N600" s="6" t="inlineStr">
        <is>
          <t>OFFICIAL_PRIMARY</t>
        </is>
      </c>
      <c r="O600" s="9" t="inlineStr">
        <is>
          <t>OFFICIAL_AGGREGATE</t>
        </is>
      </c>
      <c r="P600" s="8" t="n">
        <v>1</v>
      </c>
      <c r="Q600" s="8" t="n">
        <v>50</v>
      </c>
      <c r="R600" s="7" t="inlineStr">
        <is>
          <t>https://www.eby.gov.py/wp-content/uploads/2019/12/YacyretaEnergiasMensualesDesdePuestaenMarcha.pdf</t>
        </is>
      </c>
      <c r="S600" s="6" t="inlineStr">
        <is>
          <t>EBY-MONTHLY-1994-2012</t>
        </is>
      </c>
      <c r="T600" s="6" t="inlineStr"/>
      <c r="U600" s="4" t="inlineStr">
        <is>
          <t>2026-09-10 23:00:00</t>
        </is>
      </c>
      <c r="V600" s="4" t="inlineStr">
        <is>
          <t>Energia mensual entregada al SINP.</t>
        </is>
      </c>
    </row>
    <row r="601">
      <c r="A601" s="6" t="inlineStr">
        <is>
          <t>R0000605</t>
        </is>
      </c>
      <c r="B601" s="6" t="inlineStr">
        <is>
          <t>2007-01-01</t>
        </is>
      </c>
      <c r="C601" s="6" t="inlineStr">
        <is>
          <t>2007-01-31</t>
        </is>
      </c>
      <c r="D601" s="6" t="inlineStr">
        <is>
          <t>month</t>
        </is>
      </c>
      <c r="E601" s="6" t="inlineStr">
        <is>
          <t>YACYRETA_NET_ENERGY</t>
        </is>
      </c>
      <c r="F601" s="6" t="inlineStr">
        <is>
          <t>YACYRETA</t>
        </is>
      </c>
      <c r="G601" s="6" t="inlineStr">
        <is>
          <t>YACYRETA</t>
        </is>
      </c>
      <c r="H601" s="6" t="inlineStr">
        <is>
          <t>TOTAL</t>
        </is>
      </c>
      <c r="I601" s="8" t="n">
        <v>1319283</v>
      </c>
      <c r="J601" s="6" t="inlineStr">
        <is>
          <t>MWh</t>
        </is>
      </c>
      <c r="K601" s="8" t="n">
        <v>1319283</v>
      </c>
      <c r="L601" s="6" t="inlineStr">
        <is>
          <t>MWh</t>
        </is>
      </c>
      <c r="M601" s="6" t="inlineStr">
        <is>
          <t>EBY</t>
        </is>
      </c>
      <c r="N601" s="6" t="inlineStr">
        <is>
          <t>OFFICIAL_PRIMARY</t>
        </is>
      </c>
      <c r="O601" s="9" t="inlineStr">
        <is>
          <t>OFFICIAL_AGGREGATE</t>
        </is>
      </c>
      <c r="P601" s="8" t="n">
        <v>1</v>
      </c>
      <c r="Q601" s="8" t="n">
        <v>50</v>
      </c>
      <c r="R601" s="7" t="inlineStr">
        <is>
          <t>https://www.eby.gov.py/wp-content/uploads/2019/12/YacyretaEnergiasMensualesDesdePuestaenMarcha.pdf</t>
        </is>
      </c>
      <c r="S601" s="6" t="inlineStr">
        <is>
          <t>EBY-MONTHLY-1994-2012</t>
        </is>
      </c>
      <c r="T601" s="6" t="inlineStr"/>
      <c r="U601" s="4" t="inlineStr">
        <is>
          <t>2026-09-10 23:00:00</t>
        </is>
      </c>
      <c r="V601" s="4" t="inlineStr">
        <is>
          <t>Energia mensual Yacyreta desde puesta en marcha.</t>
        </is>
      </c>
    </row>
    <row r="602">
      <c r="A602" s="6" t="inlineStr">
        <is>
          <t>R0000606</t>
        </is>
      </c>
      <c r="B602" s="6" t="inlineStr">
        <is>
          <t>2007-01-01</t>
        </is>
      </c>
      <c r="C602" s="6" t="inlineStr">
        <is>
          <t>2007-01-31</t>
        </is>
      </c>
      <c r="D602" s="6" t="inlineStr">
        <is>
          <t>month</t>
        </is>
      </c>
      <c r="E602" s="6" t="inlineStr">
        <is>
          <t>ENERGY_TO_ARGENTINA</t>
        </is>
      </c>
      <c r="F602" s="6" t="inlineStr">
        <is>
          <t>YACYRETA</t>
        </is>
      </c>
      <c r="G602" s="6" t="inlineStr">
        <is>
          <t>YACYRETA</t>
        </is>
      </c>
      <c r="H602" s="6" t="inlineStr">
        <is>
          <t>SADI</t>
        </is>
      </c>
      <c r="I602" s="8" t="n">
        <v>1277008</v>
      </c>
      <c r="J602" s="6" t="inlineStr">
        <is>
          <t>MWh</t>
        </is>
      </c>
      <c r="K602" s="8" t="n">
        <v>1277008</v>
      </c>
      <c r="L602" s="6" t="inlineStr">
        <is>
          <t>MWh</t>
        </is>
      </c>
      <c r="M602" s="6" t="inlineStr">
        <is>
          <t>EBY</t>
        </is>
      </c>
      <c r="N602" s="6" t="inlineStr">
        <is>
          <t>OFFICIAL_PRIMARY</t>
        </is>
      </c>
      <c r="O602" s="9" t="inlineStr">
        <is>
          <t>OFFICIAL_AGGREGATE</t>
        </is>
      </c>
      <c r="P602" s="8" t="n">
        <v>1</v>
      </c>
      <c r="Q602" s="8" t="n">
        <v>50</v>
      </c>
      <c r="R602" s="7" t="inlineStr">
        <is>
          <t>https://www.eby.gov.py/wp-content/uploads/2019/12/YacyretaEnergiasMensualesDesdePuestaenMarcha.pdf</t>
        </is>
      </c>
      <c r="S602" s="6" t="inlineStr">
        <is>
          <t>EBY-MONTHLY-1994-2012</t>
        </is>
      </c>
      <c r="T602" s="6" t="inlineStr"/>
      <c r="U602" s="4" t="inlineStr">
        <is>
          <t>2026-09-10 23:00:00</t>
        </is>
      </c>
      <c r="V602" s="4" t="inlineStr">
        <is>
          <t>Energia mensual entregada al SADI.</t>
        </is>
      </c>
    </row>
    <row r="603">
      <c r="A603" s="6" t="inlineStr">
        <is>
          <t>R0000607</t>
        </is>
      </c>
      <c r="B603" s="6" t="inlineStr">
        <is>
          <t>2007-01-01</t>
        </is>
      </c>
      <c r="C603" s="6" t="inlineStr">
        <is>
          <t>2007-01-31</t>
        </is>
      </c>
      <c r="D603" s="6" t="inlineStr">
        <is>
          <t>month</t>
        </is>
      </c>
      <c r="E603" s="6" t="inlineStr">
        <is>
          <t>ENERGY_TO_PY</t>
        </is>
      </c>
      <c r="F603" s="6" t="inlineStr">
        <is>
          <t>YACYRETA</t>
        </is>
      </c>
      <c r="G603" s="6" t="inlineStr">
        <is>
          <t>YACYRETA</t>
        </is>
      </c>
      <c r="H603" s="6" t="inlineStr">
        <is>
          <t>SINP</t>
        </is>
      </c>
      <c r="I603" s="8" t="n">
        <v>42275</v>
      </c>
      <c r="J603" s="6" t="inlineStr">
        <is>
          <t>MWh</t>
        </is>
      </c>
      <c r="K603" s="8" t="n">
        <v>42275</v>
      </c>
      <c r="L603" s="6" t="inlineStr">
        <is>
          <t>MWh</t>
        </is>
      </c>
      <c r="M603" s="6" t="inlineStr">
        <is>
          <t>EBY</t>
        </is>
      </c>
      <c r="N603" s="6" t="inlineStr">
        <is>
          <t>OFFICIAL_PRIMARY</t>
        </is>
      </c>
      <c r="O603" s="9" t="inlineStr">
        <is>
          <t>OFFICIAL_AGGREGATE</t>
        </is>
      </c>
      <c r="P603" s="8" t="n">
        <v>1</v>
      </c>
      <c r="Q603" s="8" t="n">
        <v>50</v>
      </c>
      <c r="R603" s="7" t="inlineStr">
        <is>
          <t>https://www.eby.gov.py/wp-content/uploads/2019/12/YacyretaEnergiasMensualesDesdePuestaenMarcha.pdf</t>
        </is>
      </c>
      <c r="S603" s="6" t="inlineStr">
        <is>
          <t>EBY-MONTHLY-1994-2012</t>
        </is>
      </c>
      <c r="T603" s="6" t="inlineStr"/>
      <c r="U603" s="4" t="inlineStr">
        <is>
          <t>2026-09-10 23:00:00</t>
        </is>
      </c>
      <c r="V603" s="4" t="inlineStr">
        <is>
          <t>Energia mensual entregada al SINP.</t>
        </is>
      </c>
    </row>
    <row r="604">
      <c r="A604" s="6" t="inlineStr">
        <is>
          <t>R0000608</t>
        </is>
      </c>
      <c r="B604" s="6" t="inlineStr">
        <is>
          <t>2007-02-01</t>
        </is>
      </c>
      <c r="C604" s="6" t="inlineStr">
        <is>
          <t>2007-02-28</t>
        </is>
      </c>
      <c r="D604" s="6" t="inlineStr">
        <is>
          <t>month</t>
        </is>
      </c>
      <c r="E604" s="6" t="inlineStr">
        <is>
          <t>YACYRETA_NET_ENERGY</t>
        </is>
      </c>
      <c r="F604" s="6" t="inlineStr">
        <is>
          <t>YACYRETA</t>
        </is>
      </c>
      <c r="G604" s="6" t="inlineStr">
        <is>
          <t>YACYRETA</t>
        </is>
      </c>
      <c r="H604" s="6" t="inlineStr">
        <is>
          <t>TOTAL</t>
        </is>
      </c>
      <c r="I604" s="8" t="n">
        <v>1077831</v>
      </c>
      <c r="J604" s="6" t="inlineStr">
        <is>
          <t>MWh</t>
        </is>
      </c>
      <c r="K604" s="8" t="n">
        <v>1077831</v>
      </c>
      <c r="L604" s="6" t="inlineStr">
        <is>
          <t>MWh</t>
        </is>
      </c>
      <c r="M604" s="6" t="inlineStr">
        <is>
          <t>EBY</t>
        </is>
      </c>
      <c r="N604" s="6" t="inlineStr">
        <is>
          <t>OFFICIAL_PRIMARY</t>
        </is>
      </c>
      <c r="O604" s="9" t="inlineStr">
        <is>
          <t>OFFICIAL_AGGREGATE</t>
        </is>
      </c>
      <c r="P604" s="8" t="n">
        <v>1</v>
      </c>
      <c r="Q604" s="8" t="n">
        <v>50</v>
      </c>
      <c r="R604" s="7" t="inlineStr">
        <is>
          <t>https://www.eby.gov.py/wp-content/uploads/2019/12/YacyretaEnergiasMensualesDesdePuestaenMarcha.pdf</t>
        </is>
      </c>
      <c r="S604" s="6" t="inlineStr">
        <is>
          <t>EBY-MONTHLY-1994-2012</t>
        </is>
      </c>
      <c r="T604" s="6" t="inlineStr"/>
      <c r="U604" s="4" t="inlineStr">
        <is>
          <t>2026-09-10 23:00:00</t>
        </is>
      </c>
      <c r="V604" s="4" t="inlineStr">
        <is>
          <t>Energia mensual Yacyreta desde puesta en marcha.</t>
        </is>
      </c>
    </row>
    <row r="605">
      <c r="A605" s="6" t="inlineStr">
        <is>
          <t>R0000609</t>
        </is>
      </c>
      <c r="B605" s="6" t="inlineStr">
        <is>
          <t>2007-02-01</t>
        </is>
      </c>
      <c r="C605" s="6" t="inlineStr">
        <is>
          <t>2007-02-28</t>
        </is>
      </c>
      <c r="D605" s="6" t="inlineStr">
        <is>
          <t>month</t>
        </is>
      </c>
      <c r="E605" s="6" t="inlineStr">
        <is>
          <t>ENERGY_TO_ARGENTINA</t>
        </is>
      </c>
      <c r="F605" s="6" t="inlineStr">
        <is>
          <t>YACYRETA</t>
        </is>
      </c>
      <c r="G605" s="6" t="inlineStr">
        <is>
          <t>YACYRETA</t>
        </is>
      </c>
      <c r="H605" s="6" t="inlineStr">
        <is>
          <t>SADI</t>
        </is>
      </c>
      <c r="I605" s="8" t="n">
        <v>1034766</v>
      </c>
      <c r="J605" s="6" t="inlineStr">
        <is>
          <t>MWh</t>
        </is>
      </c>
      <c r="K605" s="8" t="n">
        <v>1034766</v>
      </c>
      <c r="L605" s="6" t="inlineStr">
        <is>
          <t>MWh</t>
        </is>
      </c>
      <c r="M605" s="6" t="inlineStr">
        <is>
          <t>EBY</t>
        </is>
      </c>
      <c r="N605" s="6" t="inlineStr">
        <is>
          <t>OFFICIAL_PRIMARY</t>
        </is>
      </c>
      <c r="O605" s="9" t="inlineStr">
        <is>
          <t>OFFICIAL_AGGREGATE</t>
        </is>
      </c>
      <c r="P605" s="8" t="n">
        <v>1</v>
      </c>
      <c r="Q605" s="8" t="n">
        <v>50</v>
      </c>
      <c r="R605" s="7" t="inlineStr">
        <is>
          <t>https://www.eby.gov.py/wp-content/uploads/2019/12/YacyretaEnergiasMensualesDesdePuestaenMarcha.pdf</t>
        </is>
      </c>
      <c r="S605" s="6" t="inlineStr">
        <is>
          <t>EBY-MONTHLY-1994-2012</t>
        </is>
      </c>
      <c r="T605" s="6" t="inlineStr"/>
      <c r="U605" s="4" t="inlineStr">
        <is>
          <t>2026-09-10 23:00:00</t>
        </is>
      </c>
      <c r="V605" s="4" t="inlineStr">
        <is>
          <t>Energia mensual entregada al SADI.</t>
        </is>
      </c>
    </row>
    <row r="606">
      <c r="A606" s="6" t="inlineStr">
        <is>
          <t>R0000610</t>
        </is>
      </c>
      <c r="B606" s="6" t="inlineStr">
        <is>
          <t>2007-02-01</t>
        </is>
      </c>
      <c r="C606" s="6" t="inlineStr">
        <is>
          <t>2007-02-28</t>
        </is>
      </c>
      <c r="D606" s="6" t="inlineStr">
        <is>
          <t>month</t>
        </is>
      </c>
      <c r="E606" s="6" t="inlineStr">
        <is>
          <t>ENERGY_TO_PY</t>
        </is>
      </c>
      <c r="F606" s="6" t="inlineStr">
        <is>
          <t>YACYRETA</t>
        </is>
      </c>
      <c r="G606" s="6" t="inlineStr">
        <is>
          <t>YACYRETA</t>
        </is>
      </c>
      <c r="H606" s="6" t="inlineStr">
        <is>
          <t>SINP</t>
        </is>
      </c>
      <c r="I606" s="8" t="n">
        <v>43065</v>
      </c>
      <c r="J606" s="6" t="inlineStr">
        <is>
          <t>MWh</t>
        </is>
      </c>
      <c r="K606" s="8" t="n">
        <v>43065</v>
      </c>
      <c r="L606" s="6" t="inlineStr">
        <is>
          <t>MWh</t>
        </is>
      </c>
      <c r="M606" s="6" t="inlineStr">
        <is>
          <t>EBY</t>
        </is>
      </c>
      <c r="N606" s="6" t="inlineStr">
        <is>
          <t>OFFICIAL_PRIMARY</t>
        </is>
      </c>
      <c r="O606" s="9" t="inlineStr">
        <is>
          <t>OFFICIAL_AGGREGATE</t>
        </is>
      </c>
      <c r="P606" s="8" t="n">
        <v>1</v>
      </c>
      <c r="Q606" s="8" t="n">
        <v>50</v>
      </c>
      <c r="R606" s="7" t="inlineStr">
        <is>
          <t>https://www.eby.gov.py/wp-content/uploads/2019/12/YacyretaEnergiasMensualesDesdePuestaenMarcha.pdf</t>
        </is>
      </c>
      <c r="S606" s="6" t="inlineStr">
        <is>
          <t>EBY-MONTHLY-1994-2012</t>
        </is>
      </c>
      <c r="T606" s="6" t="inlineStr"/>
      <c r="U606" s="4" t="inlineStr">
        <is>
          <t>2026-09-10 23:00:00</t>
        </is>
      </c>
      <c r="V606" s="4" t="inlineStr">
        <is>
          <t>Energia mensual entregada al SINP.</t>
        </is>
      </c>
    </row>
    <row r="607">
      <c r="A607" s="6" t="inlineStr">
        <is>
          <t>R0000611</t>
        </is>
      </c>
      <c r="B607" s="6" t="inlineStr">
        <is>
          <t>2007-03-01</t>
        </is>
      </c>
      <c r="C607" s="6" t="inlineStr">
        <is>
          <t>2007-03-31</t>
        </is>
      </c>
      <c r="D607" s="6" t="inlineStr">
        <is>
          <t>month</t>
        </is>
      </c>
      <c r="E607" s="6" t="inlineStr">
        <is>
          <t>YACYRETA_NET_ENERGY</t>
        </is>
      </c>
      <c r="F607" s="6" t="inlineStr">
        <is>
          <t>YACYRETA</t>
        </is>
      </c>
      <c r="G607" s="6" t="inlineStr">
        <is>
          <t>YACYRETA</t>
        </is>
      </c>
      <c r="H607" s="6" t="inlineStr">
        <is>
          <t>TOTAL</t>
        </is>
      </c>
      <c r="I607" s="8" t="n">
        <v>1313143</v>
      </c>
      <c r="J607" s="6" t="inlineStr">
        <is>
          <t>MWh</t>
        </is>
      </c>
      <c r="K607" s="8" t="n">
        <v>1313143</v>
      </c>
      <c r="L607" s="6" t="inlineStr">
        <is>
          <t>MWh</t>
        </is>
      </c>
      <c r="M607" s="6" t="inlineStr">
        <is>
          <t>EBY</t>
        </is>
      </c>
      <c r="N607" s="6" t="inlineStr">
        <is>
          <t>OFFICIAL_PRIMARY</t>
        </is>
      </c>
      <c r="O607" s="9" t="inlineStr">
        <is>
          <t>OFFICIAL_AGGREGATE</t>
        </is>
      </c>
      <c r="P607" s="8" t="n">
        <v>1</v>
      </c>
      <c r="Q607" s="8" t="n">
        <v>50</v>
      </c>
      <c r="R607" s="7" t="inlineStr">
        <is>
          <t>https://www.eby.gov.py/wp-content/uploads/2019/12/YacyretaEnergiasMensualesDesdePuestaenMarcha.pdf</t>
        </is>
      </c>
      <c r="S607" s="6" t="inlineStr">
        <is>
          <t>EBY-MONTHLY-1994-2012</t>
        </is>
      </c>
      <c r="T607" s="6" t="inlineStr"/>
      <c r="U607" s="4" t="inlineStr">
        <is>
          <t>2026-09-10 23:00:00</t>
        </is>
      </c>
      <c r="V607" s="4" t="inlineStr">
        <is>
          <t>Energia mensual Yacyreta desde puesta en marcha.</t>
        </is>
      </c>
    </row>
    <row r="608">
      <c r="A608" s="6" t="inlineStr">
        <is>
          <t>R0000612</t>
        </is>
      </c>
      <c r="B608" s="6" t="inlineStr">
        <is>
          <t>2007-03-01</t>
        </is>
      </c>
      <c r="C608" s="6" t="inlineStr">
        <is>
          <t>2007-03-31</t>
        </is>
      </c>
      <c r="D608" s="6" t="inlineStr">
        <is>
          <t>month</t>
        </is>
      </c>
      <c r="E608" s="6" t="inlineStr">
        <is>
          <t>ENERGY_TO_ARGENTINA</t>
        </is>
      </c>
      <c r="F608" s="6" t="inlineStr">
        <is>
          <t>YACYRETA</t>
        </is>
      </c>
      <c r="G608" s="6" t="inlineStr">
        <is>
          <t>YACYRETA</t>
        </is>
      </c>
      <c r="H608" s="6" t="inlineStr">
        <is>
          <t>SADI</t>
        </is>
      </c>
      <c r="I608" s="8" t="n">
        <v>1262488</v>
      </c>
      <c r="J608" s="6" t="inlineStr">
        <is>
          <t>MWh</t>
        </is>
      </c>
      <c r="K608" s="8" t="n">
        <v>1262488</v>
      </c>
      <c r="L608" s="6" t="inlineStr">
        <is>
          <t>MWh</t>
        </is>
      </c>
      <c r="M608" s="6" t="inlineStr">
        <is>
          <t>EBY</t>
        </is>
      </c>
      <c r="N608" s="6" t="inlineStr">
        <is>
          <t>OFFICIAL_PRIMARY</t>
        </is>
      </c>
      <c r="O608" s="9" t="inlineStr">
        <is>
          <t>OFFICIAL_AGGREGATE</t>
        </is>
      </c>
      <c r="P608" s="8" t="n">
        <v>1</v>
      </c>
      <c r="Q608" s="8" t="n">
        <v>50</v>
      </c>
      <c r="R608" s="7" t="inlineStr">
        <is>
          <t>https://www.eby.gov.py/wp-content/uploads/2019/12/YacyretaEnergiasMensualesDesdePuestaenMarcha.pdf</t>
        </is>
      </c>
      <c r="S608" s="6" t="inlineStr">
        <is>
          <t>EBY-MONTHLY-1994-2012</t>
        </is>
      </c>
      <c r="T608" s="6" t="inlineStr"/>
      <c r="U608" s="4" t="inlineStr">
        <is>
          <t>2026-09-10 23:00:00</t>
        </is>
      </c>
      <c r="V608" s="4" t="inlineStr">
        <is>
          <t>Energia mensual entregada al SADI.</t>
        </is>
      </c>
    </row>
    <row r="609">
      <c r="A609" s="6" t="inlineStr">
        <is>
          <t>R0000613</t>
        </is>
      </c>
      <c r="B609" s="6" t="inlineStr">
        <is>
          <t>2007-03-01</t>
        </is>
      </c>
      <c r="C609" s="6" t="inlineStr">
        <is>
          <t>2007-03-31</t>
        </is>
      </c>
      <c r="D609" s="6" t="inlineStr">
        <is>
          <t>month</t>
        </is>
      </c>
      <c r="E609" s="6" t="inlineStr">
        <is>
          <t>ENERGY_TO_PY</t>
        </is>
      </c>
      <c r="F609" s="6" t="inlineStr">
        <is>
          <t>YACYRETA</t>
        </is>
      </c>
      <c r="G609" s="6" t="inlineStr">
        <is>
          <t>YACYRETA</t>
        </is>
      </c>
      <c r="H609" s="6" t="inlineStr">
        <is>
          <t>SINP</t>
        </is>
      </c>
      <c r="I609" s="8" t="n">
        <v>50655</v>
      </c>
      <c r="J609" s="6" t="inlineStr">
        <is>
          <t>MWh</t>
        </is>
      </c>
      <c r="K609" s="8" t="n">
        <v>50655</v>
      </c>
      <c r="L609" s="6" t="inlineStr">
        <is>
          <t>MWh</t>
        </is>
      </c>
      <c r="M609" s="6" t="inlineStr">
        <is>
          <t>EBY</t>
        </is>
      </c>
      <c r="N609" s="6" t="inlineStr">
        <is>
          <t>OFFICIAL_PRIMARY</t>
        </is>
      </c>
      <c r="O609" s="9" t="inlineStr">
        <is>
          <t>OFFICIAL_AGGREGATE</t>
        </is>
      </c>
      <c r="P609" s="8" t="n">
        <v>1</v>
      </c>
      <c r="Q609" s="8" t="n">
        <v>50</v>
      </c>
      <c r="R609" s="7" t="inlineStr">
        <is>
          <t>https://www.eby.gov.py/wp-content/uploads/2019/12/YacyretaEnergiasMensualesDesdePuestaenMarcha.pdf</t>
        </is>
      </c>
      <c r="S609" s="6" t="inlineStr">
        <is>
          <t>EBY-MONTHLY-1994-2012</t>
        </is>
      </c>
      <c r="T609" s="6" t="inlineStr"/>
      <c r="U609" s="4" t="inlineStr">
        <is>
          <t>2026-09-10 23:00:00</t>
        </is>
      </c>
      <c r="V609" s="4" t="inlineStr">
        <is>
          <t>Energia mensual entregada al SINP.</t>
        </is>
      </c>
    </row>
    <row r="610">
      <c r="A610" s="6" t="inlineStr">
        <is>
          <t>R0000614</t>
        </is>
      </c>
      <c r="B610" s="6" t="inlineStr">
        <is>
          <t>2007-04-01</t>
        </is>
      </c>
      <c r="C610" s="6" t="inlineStr">
        <is>
          <t>2007-04-30</t>
        </is>
      </c>
      <c r="D610" s="6" t="inlineStr">
        <is>
          <t>month</t>
        </is>
      </c>
      <c r="E610" s="6" t="inlineStr">
        <is>
          <t>YACYRETA_NET_ENERGY</t>
        </is>
      </c>
      <c r="F610" s="6" t="inlineStr">
        <is>
          <t>YACYRETA</t>
        </is>
      </c>
      <c r="G610" s="6" t="inlineStr">
        <is>
          <t>YACYRETA</t>
        </is>
      </c>
      <c r="H610" s="6" t="inlineStr">
        <is>
          <t>TOTAL</t>
        </is>
      </c>
      <c r="I610" s="8" t="n">
        <v>1227323</v>
      </c>
      <c r="J610" s="6" t="inlineStr">
        <is>
          <t>MWh</t>
        </is>
      </c>
      <c r="K610" s="8" t="n">
        <v>1227323</v>
      </c>
      <c r="L610" s="6" t="inlineStr">
        <is>
          <t>MWh</t>
        </is>
      </c>
      <c r="M610" s="6" t="inlineStr">
        <is>
          <t>EBY</t>
        </is>
      </c>
      <c r="N610" s="6" t="inlineStr">
        <is>
          <t>OFFICIAL_PRIMARY</t>
        </is>
      </c>
      <c r="O610" s="9" t="inlineStr">
        <is>
          <t>OFFICIAL_AGGREGATE</t>
        </is>
      </c>
      <c r="P610" s="8" t="n">
        <v>1</v>
      </c>
      <c r="Q610" s="8" t="n">
        <v>50</v>
      </c>
      <c r="R610" s="7" t="inlineStr">
        <is>
          <t>https://www.eby.gov.py/wp-content/uploads/2019/12/YacyretaEnergiasMensualesDesdePuestaenMarcha.pdf</t>
        </is>
      </c>
      <c r="S610" s="6" t="inlineStr">
        <is>
          <t>EBY-MONTHLY-1994-2012</t>
        </is>
      </c>
      <c r="T610" s="6" t="inlineStr"/>
      <c r="U610" s="4" t="inlineStr">
        <is>
          <t>2026-09-10 23:00:00</t>
        </is>
      </c>
      <c r="V610" s="4" t="inlineStr">
        <is>
          <t>Energia mensual Yacyreta desde puesta en marcha.</t>
        </is>
      </c>
    </row>
    <row r="611">
      <c r="A611" s="6" t="inlineStr">
        <is>
          <t>R0000615</t>
        </is>
      </c>
      <c r="B611" s="6" t="inlineStr">
        <is>
          <t>2007-04-01</t>
        </is>
      </c>
      <c r="C611" s="6" t="inlineStr">
        <is>
          <t>2007-04-30</t>
        </is>
      </c>
      <c r="D611" s="6" t="inlineStr">
        <is>
          <t>month</t>
        </is>
      </c>
      <c r="E611" s="6" t="inlineStr">
        <is>
          <t>ENERGY_TO_ARGENTINA</t>
        </is>
      </c>
      <c r="F611" s="6" t="inlineStr">
        <is>
          <t>YACYRETA</t>
        </is>
      </c>
      <c r="G611" s="6" t="inlineStr">
        <is>
          <t>YACYRETA</t>
        </is>
      </c>
      <c r="H611" s="6" t="inlineStr">
        <is>
          <t>SADI</t>
        </is>
      </c>
      <c r="I611" s="8" t="n">
        <v>1201294</v>
      </c>
      <c r="J611" s="6" t="inlineStr">
        <is>
          <t>MWh</t>
        </is>
      </c>
      <c r="K611" s="8" t="n">
        <v>1201294</v>
      </c>
      <c r="L611" s="6" t="inlineStr">
        <is>
          <t>MWh</t>
        </is>
      </c>
      <c r="M611" s="6" t="inlineStr">
        <is>
          <t>EBY</t>
        </is>
      </c>
      <c r="N611" s="6" t="inlineStr">
        <is>
          <t>OFFICIAL_PRIMARY</t>
        </is>
      </c>
      <c r="O611" s="9" t="inlineStr">
        <is>
          <t>OFFICIAL_AGGREGATE</t>
        </is>
      </c>
      <c r="P611" s="8" t="n">
        <v>1</v>
      </c>
      <c r="Q611" s="8" t="n">
        <v>50</v>
      </c>
      <c r="R611" s="7" t="inlineStr">
        <is>
          <t>https://www.eby.gov.py/wp-content/uploads/2019/12/YacyretaEnergiasMensualesDesdePuestaenMarcha.pdf</t>
        </is>
      </c>
      <c r="S611" s="6" t="inlineStr">
        <is>
          <t>EBY-MONTHLY-1994-2012</t>
        </is>
      </c>
      <c r="T611" s="6" t="inlineStr"/>
      <c r="U611" s="4" t="inlineStr">
        <is>
          <t>2026-09-10 23:00:00</t>
        </is>
      </c>
      <c r="V611" s="4" t="inlineStr">
        <is>
          <t>Energia mensual entregada al SADI.</t>
        </is>
      </c>
    </row>
    <row r="612">
      <c r="A612" s="6" t="inlineStr">
        <is>
          <t>R0000616</t>
        </is>
      </c>
      <c r="B612" s="6" t="inlineStr">
        <is>
          <t>2007-04-01</t>
        </is>
      </c>
      <c r="C612" s="6" t="inlineStr">
        <is>
          <t>2007-04-30</t>
        </is>
      </c>
      <c r="D612" s="6" t="inlineStr">
        <is>
          <t>month</t>
        </is>
      </c>
      <c r="E612" s="6" t="inlineStr">
        <is>
          <t>ENERGY_TO_PY</t>
        </is>
      </c>
      <c r="F612" s="6" t="inlineStr">
        <is>
          <t>YACYRETA</t>
        </is>
      </c>
      <c r="G612" s="6" t="inlineStr">
        <is>
          <t>YACYRETA</t>
        </is>
      </c>
      <c r="H612" s="6" t="inlineStr">
        <is>
          <t>SINP</t>
        </is>
      </c>
      <c r="I612" s="8" t="n">
        <v>26029</v>
      </c>
      <c r="J612" s="6" t="inlineStr">
        <is>
          <t>MWh</t>
        </is>
      </c>
      <c r="K612" s="8" t="n">
        <v>26029</v>
      </c>
      <c r="L612" s="6" t="inlineStr">
        <is>
          <t>MWh</t>
        </is>
      </c>
      <c r="M612" s="6" t="inlineStr">
        <is>
          <t>EBY</t>
        </is>
      </c>
      <c r="N612" s="6" t="inlineStr">
        <is>
          <t>OFFICIAL_PRIMARY</t>
        </is>
      </c>
      <c r="O612" s="9" t="inlineStr">
        <is>
          <t>OFFICIAL_AGGREGATE</t>
        </is>
      </c>
      <c r="P612" s="8" t="n">
        <v>1</v>
      </c>
      <c r="Q612" s="8" t="n">
        <v>50</v>
      </c>
      <c r="R612" s="7" t="inlineStr">
        <is>
          <t>https://www.eby.gov.py/wp-content/uploads/2019/12/YacyretaEnergiasMensualesDesdePuestaenMarcha.pdf</t>
        </is>
      </c>
      <c r="S612" s="6" t="inlineStr">
        <is>
          <t>EBY-MONTHLY-1994-2012</t>
        </is>
      </c>
      <c r="T612" s="6" t="inlineStr"/>
      <c r="U612" s="4" t="inlineStr">
        <is>
          <t>2026-09-10 23:00:00</t>
        </is>
      </c>
      <c r="V612" s="4" t="inlineStr">
        <is>
          <t>Energia mensual entregada al SINP.</t>
        </is>
      </c>
    </row>
    <row r="613">
      <c r="A613" s="6" t="inlineStr">
        <is>
          <t>R0000617</t>
        </is>
      </c>
      <c r="B613" s="6" t="inlineStr">
        <is>
          <t>2007-05-01</t>
        </is>
      </c>
      <c r="C613" s="6" t="inlineStr">
        <is>
          <t>2007-05-31</t>
        </is>
      </c>
      <c r="D613" s="6" t="inlineStr">
        <is>
          <t>month</t>
        </is>
      </c>
      <c r="E613" s="6" t="inlineStr">
        <is>
          <t>YACYRETA_NET_ENERGY</t>
        </is>
      </c>
      <c r="F613" s="6" t="inlineStr">
        <is>
          <t>YACYRETA</t>
        </is>
      </c>
      <c r="G613" s="6" t="inlineStr">
        <is>
          <t>YACYRETA</t>
        </is>
      </c>
      <c r="H613" s="6" t="inlineStr">
        <is>
          <t>TOTAL</t>
        </is>
      </c>
      <c r="I613" s="8" t="n">
        <v>1376794</v>
      </c>
      <c r="J613" s="6" t="inlineStr">
        <is>
          <t>MWh</t>
        </is>
      </c>
      <c r="K613" s="8" t="n">
        <v>1376794</v>
      </c>
      <c r="L613" s="6" t="inlineStr">
        <is>
          <t>MWh</t>
        </is>
      </c>
      <c r="M613" s="6" t="inlineStr">
        <is>
          <t>EBY</t>
        </is>
      </c>
      <c r="N613" s="6" t="inlineStr">
        <is>
          <t>OFFICIAL_PRIMARY</t>
        </is>
      </c>
      <c r="O613" s="9" t="inlineStr">
        <is>
          <t>OFFICIAL_AGGREGATE</t>
        </is>
      </c>
      <c r="P613" s="8" t="n">
        <v>1</v>
      </c>
      <c r="Q613" s="8" t="n">
        <v>50</v>
      </c>
      <c r="R613" s="7" t="inlineStr">
        <is>
          <t>https://www.eby.gov.py/wp-content/uploads/2019/12/YacyretaEnergiasMensualesDesdePuestaenMarcha.pdf</t>
        </is>
      </c>
      <c r="S613" s="6" t="inlineStr">
        <is>
          <t>EBY-MONTHLY-1994-2012</t>
        </is>
      </c>
      <c r="T613" s="6" t="inlineStr"/>
      <c r="U613" s="4" t="inlineStr">
        <is>
          <t>2026-09-10 23:00:00</t>
        </is>
      </c>
      <c r="V613" s="4" t="inlineStr">
        <is>
          <t>Energia mensual Yacyreta desde puesta en marcha.</t>
        </is>
      </c>
    </row>
    <row r="614">
      <c r="A614" s="6" t="inlineStr">
        <is>
          <t>R0000618</t>
        </is>
      </c>
      <c r="B614" s="6" t="inlineStr">
        <is>
          <t>2007-05-01</t>
        </is>
      </c>
      <c r="C614" s="6" t="inlineStr">
        <is>
          <t>2007-05-31</t>
        </is>
      </c>
      <c r="D614" s="6" t="inlineStr">
        <is>
          <t>month</t>
        </is>
      </c>
      <c r="E614" s="6" t="inlineStr">
        <is>
          <t>ENERGY_TO_ARGENTINA</t>
        </is>
      </c>
      <c r="F614" s="6" t="inlineStr">
        <is>
          <t>YACYRETA</t>
        </is>
      </c>
      <c r="G614" s="6" t="inlineStr">
        <is>
          <t>YACYRETA</t>
        </is>
      </c>
      <c r="H614" s="6" t="inlineStr">
        <is>
          <t>SADI</t>
        </is>
      </c>
      <c r="I614" s="8" t="n">
        <v>1357562</v>
      </c>
      <c r="J614" s="6" t="inlineStr">
        <is>
          <t>MWh</t>
        </is>
      </c>
      <c r="K614" s="8" t="n">
        <v>1357562</v>
      </c>
      <c r="L614" s="6" t="inlineStr">
        <is>
          <t>MWh</t>
        </is>
      </c>
      <c r="M614" s="6" t="inlineStr">
        <is>
          <t>EBY</t>
        </is>
      </c>
      <c r="N614" s="6" t="inlineStr">
        <is>
          <t>OFFICIAL_PRIMARY</t>
        </is>
      </c>
      <c r="O614" s="9" t="inlineStr">
        <is>
          <t>OFFICIAL_AGGREGATE</t>
        </is>
      </c>
      <c r="P614" s="8" t="n">
        <v>1</v>
      </c>
      <c r="Q614" s="8" t="n">
        <v>50</v>
      </c>
      <c r="R614" s="7" t="inlineStr">
        <is>
          <t>https://www.eby.gov.py/wp-content/uploads/2019/12/YacyretaEnergiasMensualesDesdePuestaenMarcha.pdf</t>
        </is>
      </c>
      <c r="S614" s="6" t="inlineStr">
        <is>
          <t>EBY-MONTHLY-1994-2012</t>
        </is>
      </c>
      <c r="T614" s="6" t="inlineStr"/>
      <c r="U614" s="4" t="inlineStr">
        <is>
          <t>2026-09-10 23:00:00</t>
        </is>
      </c>
      <c r="V614" s="4" t="inlineStr">
        <is>
          <t>Energia mensual entregada al SADI.</t>
        </is>
      </c>
    </row>
    <row r="615">
      <c r="A615" s="6" t="inlineStr">
        <is>
          <t>R0000619</t>
        </is>
      </c>
      <c r="B615" s="6" t="inlineStr">
        <is>
          <t>2007-05-01</t>
        </is>
      </c>
      <c r="C615" s="6" t="inlineStr">
        <is>
          <t>2007-05-31</t>
        </is>
      </c>
      <c r="D615" s="6" t="inlineStr">
        <is>
          <t>month</t>
        </is>
      </c>
      <c r="E615" s="6" t="inlineStr">
        <is>
          <t>ENERGY_TO_PY</t>
        </is>
      </c>
      <c r="F615" s="6" t="inlineStr">
        <is>
          <t>YACYRETA</t>
        </is>
      </c>
      <c r="G615" s="6" t="inlineStr">
        <is>
          <t>YACYRETA</t>
        </is>
      </c>
      <c r="H615" s="6" t="inlineStr">
        <is>
          <t>SINP</t>
        </is>
      </c>
      <c r="I615" s="8" t="n">
        <v>19232</v>
      </c>
      <c r="J615" s="6" t="inlineStr">
        <is>
          <t>MWh</t>
        </is>
      </c>
      <c r="K615" s="8" t="n">
        <v>19232</v>
      </c>
      <c r="L615" s="6" t="inlineStr">
        <is>
          <t>MWh</t>
        </is>
      </c>
      <c r="M615" s="6" t="inlineStr">
        <is>
          <t>EBY</t>
        </is>
      </c>
      <c r="N615" s="6" t="inlineStr">
        <is>
          <t>OFFICIAL_PRIMARY</t>
        </is>
      </c>
      <c r="O615" s="9" t="inlineStr">
        <is>
          <t>OFFICIAL_AGGREGATE</t>
        </is>
      </c>
      <c r="P615" s="8" t="n">
        <v>1</v>
      </c>
      <c r="Q615" s="8" t="n">
        <v>50</v>
      </c>
      <c r="R615" s="7" t="inlineStr">
        <is>
          <t>https://www.eby.gov.py/wp-content/uploads/2019/12/YacyretaEnergiasMensualesDesdePuestaenMarcha.pdf</t>
        </is>
      </c>
      <c r="S615" s="6" t="inlineStr">
        <is>
          <t>EBY-MONTHLY-1994-2012</t>
        </is>
      </c>
      <c r="T615" s="6" t="inlineStr"/>
      <c r="U615" s="4" t="inlineStr">
        <is>
          <t>2026-09-10 23:00:00</t>
        </is>
      </c>
      <c r="V615" s="4" t="inlineStr">
        <is>
          <t>Energia mensual entregada al SINP.</t>
        </is>
      </c>
    </row>
    <row r="616">
      <c r="A616" s="6" t="inlineStr">
        <is>
          <t>R0000620</t>
        </is>
      </c>
      <c r="B616" s="6" t="inlineStr">
        <is>
          <t>2007-06-01</t>
        </is>
      </c>
      <c r="C616" s="6" t="inlineStr">
        <is>
          <t>2007-06-30</t>
        </is>
      </c>
      <c r="D616" s="6" t="inlineStr">
        <is>
          <t>month</t>
        </is>
      </c>
      <c r="E616" s="6" t="inlineStr">
        <is>
          <t>YACYRETA_NET_ENERGY</t>
        </is>
      </c>
      <c r="F616" s="6" t="inlineStr">
        <is>
          <t>YACYRETA</t>
        </is>
      </c>
      <c r="G616" s="6" t="inlineStr">
        <is>
          <t>YACYRETA</t>
        </is>
      </c>
      <c r="H616" s="6" t="inlineStr">
        <is>
          <t>TOTAL</t>
        </is>
      </c>
      <c r="I616" s="8" t="n">
        <v>1176103</v>
      </c>
      <c r="J616" s="6" t="inlineStr">
        <is>
          <t>MWh</t>
        </is>
      </c>
      <c r="K616" s="8" t="n">
        <v>1176103</v>
      </c>
      <c r="L616" s="6" t="inlineStr">
        <is>
          <t>MWh</t>
        </is>
      </c>
      <c r="M616" s="6" t="inlineStr">
        <is>
          <t>EBY</t>
        </is>
      </c>
      <c r="N616" s="6" t="inlineStr">
        <is>
          <t>OFFICIAL_PRIMARY</t>
        </is>
      </c>
      <c r="O616" s="9" t="inlineStr">
        <is>
          <t>OFFICIAL_AGGREGATE</t>
        </is>
      </c>
      <c r="P616" s="8" t="n">
        <v>1</v>
      </c>
      <c r="Q616" s="8" t="n">
        <v>50</v>
      </c>
      <c r="R616" s="7" t="inlineStr">
        <is>
          <t>https://www.eby.gov.py/wp-content/uploads/2019/12/YacyretaEnergiasMensualesDesdePuestaenMarcha.pdf</t>
        </is>
      </c>
      <c r="S616" s="6" t="inlineStr">
        <is>
          <t>EBY-MONTHLY-1994-2012</t>
        </is>
      </c>
      <c r="T616" s="6" t="inlineStr"/>
      <c r="U616" s="4" t="inlineStr">
        <is>
          <t>2026-09-10 23:00:00</t>
        </is>
      </c>
      <c r="V616" s="4" t="inlineStr">
        <is>
          <t>Energia mensual Yacyreta desde puesta en marcha.</t>
        </is>
      </c>
    </row>
    <row r="617">
      <c r="A617" s="6" t="inlineStr">
        <is>
          <t>R0000621</t>
        </is>
      </c>
      <c r="B617" s="6" t="inlineStr">
        <is>
          <t>2007-06-01</t>
        </is>
      </c>
      <c r="C617" s="6" t="inlineStr">
        <is>
          <t>2007-06-30</t>
        </is>
      </c>
      <c r="D617" s="6" t="inlineStr">
        <is>
          <t>month</t>
        </is>
      </c>
      <c r="E617" s="6" t="inlineStr">
        <is>
          <t>ENERGY_TO_ARGENTINA</t>
        </is>
      </c>
      <c r="F617" s="6" t="inlineStr">
        <is>
          <t>YACYRETA</t>
        </is>
      </c>
      <c r="G617" s="6" t="inlineStr">
        <is>
          <t>YACYRETA</t>
        </is>
      </c>
      <c r="H617" s="6" t="inlineStr">
        <is>
          <t>SADI</t>
        </is>
      </c>
      <c r="I617" s="8" t="n">
        <v>1141904</v>
      </c>
      <c r="J617" s="6" t="inlineStr">
        <is>
          <t>MWh</t>
        </is>
      </c>
      <c r="K617" s="8" t="n">
        <v>1141904</v>
      </c>
      <c r="L617" s="6" t="inlineStr">
        <is>
          <t>MWh</t>
        </is>
      </c>
      <c r="M617" s="6" t="inlineStr">
        <is>
          <t>EBY</t>
        </is>
      </c>
      <c r="N617" s="6" t="inlineStr">
        <is>
          <t>OFFICIAL_PRIMARY</t>
        </is>
      </c>
      <c r="O617" s="9" t="inlineStr">
        <is>
          <t>OFFICIAL_AGGREGATE</t>
        </is>
      </c>
      <c r="P617" s="8" t="n">
        <v>1</v>
      </c>
      <c r="Q617" s="8" t="n">
        <v>50</v>
      </c>
      <c r="R617" s="7" t="inlineStr">
        <is>
          <t>https://www.eby.gov.py/wp-content/uploads/2019/12/YacyretaEnergiasMensualesDesdePuestaenMarcha.pdf</t>
        </is>
      </c>
      <c r="S617" s="6" t="inlineStr">
        <is>
          <t>EBY-MONTHLY-1994-2012</t>
        </is>
      </c>
      <c r="T617" s="6" t="inlineStr"/>
      <c r="U617" s="4" t="inlineStr">
        <is>
          <t>2026-09-10 23:00:00</t>
        </is>
      </c>
      <c r="V617" s="4" t="inlineStr">
        <is>
          <t>Energia mensual entregada al SADI.</t>
        </is>
      </c>
    </row>
    <row r="618">
      <c r="A618" s="6" t="inlineStr">
        <is>
          <t>R0000622</t>
        </is>
      </c>
      <c r="B618" s="6" t="inlineStr">
        <is>
          <t>2007-06-01</t>
        </is>
      </c>
      <c r="C618" s="6" t="inlineStr">
        <is>
          <t>2007-06-30</t>
        </is>
      </c>
      <c r="D618" s="6" t="inlineStr">
        <is>
          <t>month</t>
        </is>
      </c>
      <c r="E618" s="6" t="inlineStr">
        <is>
          <t>ENERGY_TO_PY</t>
        </is>
      </c>
      <c r="F618" s="6" t="inlineStr">
        <is>
          <t>YACYRETA</t>
        </is>
      </c>
      <c r="G618" s="6" t="inlineStr">
        <is>
          <t>YACYRETA</t>
        </is>
      </c>
      <c r="H618" s="6" t="inlineStr">
        <is>
          <t>SINP</t>
        </is>
      </c>
      <c r="I618" s="8" t="n">
        <v>34199</v>
      </c>
      <c r="J618" s="6" t="inlineStr">
        <is>
          <t>MWh</t>
        </is>
      </c>
      <c r="K618" s="8" t="n">
        <v>34199</v>
      </c>
      <c r="L618" s="6" t="inlineStr">
        <is>
          <t>MWh</t>
        </is>
      </c>
      <c r="M618" s="6" t="inlineStr">
        <is>
          <t>EBY</t>
        </is>
      </c>
      <c r="N618" s="6" t="inlineStr">
        <is>
          <t>OFFICIAL_PRIMARY</t>
        </is>
      </c>
      <c r="O618" s="9" t="inlineStr">
        <is>
          <t>OFFICIAL_AGGREGATE</t>
        </is>
      </c>
      <c r="P618" s="8" t="n">
        <v>1</v>
      </c>
      <c r="Q618" s="8" t="n">
        <v>50</v>
      </c>
      <c r="R618" s="7" t="inlineStr">
        <is>
          <t>https://www.eby.gov.py/wp-content/uploads/2019/12/YacyretaEnergiasMensualesDesdePuestaenMarcha.pdf</t>
        </is>
      </c>
      <c r="S618" s="6" t="inlineStr">
        <is>
          <t>EBY-MONTHLY-1994-2012</t>
        </is>
      </c>
      <c r="T618" s="6" t="inlineStr"/>
      <c r="U618" s="4" t="inlineStr">
        <is>
          <t>2026-09-10 23:00:00</t>
        </is>
      </c>
      <c r="V618" s="4" t="inlineStr">
        <is>
          <t>Energia mensual entregada al SINP.</t>
        </is>
      </c>
    </row>
    <row r="619">
      <c r="A619" s="6" t="inlineStr">
        <is>
          <t>R0000623</t>
        </is>
      </c>
      <c r="B619" s="6" t="inlineStr">
        <is>
          <t>2007-07-01</t>
        </is>
      </c>
      <c r="C619" s="6" t="inlineStr">
        <is>
          <t>2007-07-31</t>
        </is>
      </c>
      <c r="D619" s="6" t="inlineStr">
        <is>
          <t>month</t>
        </is>
      </c>
      <c r="E619" s="6" t="inlineStr">
        <is>
          <t>YACYRETA_NET_ENERGY</t>
        </is>
      </c>
      <c r="F619" s="6" t="inlineStr">
        <is>
          <t>YACYRETA</t>
        </is>
      </c>
      <c r="G619" s="6" t="inlineStr">
        <is>
          <t>YACYRETA</t>
        </is>
      </c>
      <c r="H619" s="6" t="inlineStr">
        <is>
          <t>TOTAL</t>
        </is>
      </c>
      <c r="I619" s="8" t="n">
        <v>1209634</v>
      </c>
      <c r="J619" s="6" t="inlineStr">
        <is>
          <t>MWh</t>
        </is>
      </c>
      <c r="K619" s="8" t="n">
        <v>1209634</v>
      </c>
      <c r="L619" s="6" t="inlineStr">
        <is>
          <t>MWh</t>
        </is>
      </c>
      <c r="M619" s="6" t="inlineStr">
        <is>
          <t>EBY</t>
        </is>
      </c>
      <c r="N619" s="6" t="inlineStr">
        <is>
          <t>OFFICIAL_PRIMARY</t>
        </is>
      </c>
      <c r="O619" s="9" t="inlineStr">
        <is>
          <t>OFFICIAL_AGGREGATE</t>
        </is>
      </c>
      <c r="P619" s="8" t="n">
        <v>1</v>
      </c>
      <c r="Q619" s="8" t="n">
        <v>50</v>
      </c>
      <c r="R619" s="7" t="inlineStr">
        <is>
          <t>https://www.eby.gov.py/wp-content/uploads/2019/12/YacyretaEnergiasMensualesDesdePuestaenMarcha.pdf</t>
        </is>
      </c>
      <c r="S619" s="6" t="inlineStr">
        <is>
          <t>EBY-MONTHLY-1994-2012</t>
        </is>
      </c>
      <c r="T619" s="6" t="inlineStr"/>
      <c r="U619" s="4" t="inlineStr">
        <is>
          <t>2026-09-10 23:00:00</t>
        </is>
      </c>
      <c r="V619" s="4" t="inlineStr">
        <is>
          <t>Energia mensual Yacyreta desde puesta en marcha.</t>
        </is>
      </c>
    </row>
    <row r="620">
      <c r="A620" s="6" t="inlineStr">
        <is>
          <t>R0000624</t>
        </is>
      </c>
      <c r="B620" s="6" t="inlineStr">
        <is>
          <t>2007-07-01</t>
        </is>
      </c>
      <c r="C620" s="6" t="inlineStr">
        <is>
          <t>2007-07-31</t>
        </is>
      </c>
      <c r="D620" s="6" t="inlineStr">
        <is>
          <t>month</t>
        </is>
      </c>
      <c r="E620" s="6" t="inlineStr">
        <is>
          <t>ENERGY_TO_ARGENTINA</t>
        </is>
      </c>
      <c r="F620" s="6" t="inlineStr">
        <is>
          <t>YACYRETA</t>
        </is>
      </c>
      <c r="G620" s="6" t="inlineStr">
        <is>
          <t>YACYRETA</t>
        </is>
      </c>
      <c r="H620" s="6" t="inlineStr">
        <is>
          <t>SADI</t>
        </is>
      </c>
      <c r="I620" s="8" t="n">
        <v>1190040</v>
      </c>
      <c r="J620" s="6" t="inlineStr">
        <is>
          <t>MWh</t>
        </is>
      </c>
      <c r="K620" s="8" t="n">
        <v>1190040</v>
      </c>
      <c r="L620" s="6" t="inlineStr">
        <is>
          <t>MWh</t>
        </is>
      </c>
      <c r="M620" s="6" t="inlineStr">
        <is>
          <t>EBY</t>
        </is>
      </c>
      <c r="N620" s="6" t="inlineStr">
        <is>
          <t>OFFICIAL_PRIMARY</t>
        </is>
      </c>
      <c r="O620" s="9" t="inlineStr">
        <is>
          <t>OFFICIAL_AGGREGATE</t>
        </is>
      </c>
      <c r="P620" s="8" t="n">
        <v>1</v>
      </c>
      <c r="Q620" s="8" t="n">
        <v>50</v>
      </c>
      <c r="R620" s="7" t="inlineStr">
        <is>
          <t>https://www.eby.gov.py/wp-content/uploads/2019/12/YacyretaEnergiasMensualesDesdePuestaenMarcha.pdf</t>
        </is>
      </c>
      <c r="S620" s="6" t="inlineStr">
        <is>
          <t>EBY-MONTHLY-1994-2012</t>
        </is>
      </c>
      <c r="T620" s="6" t="inlineStr"/>
      <c r="U620" s="4" t="inlineStr">
        <is>
          <t>2026-09-10 23:00:00</t>
        </is>
      </c>
      <c r="V620" s="4" t="inlineStr">
        <is>
          <t>Energia mensual entregada al SADI.</t>
        </is>
      </c>
    </row>
    <row r="621">
      <c r="A621" s="6" t="inlineStr">
        <is>
          <t>R0000625</t>
        </is>
      </c>
      <c r="B621" s="6" t="inlineStr">
        <is>
          <t>2007-07-01</t>
        </is>
      </c>
      <c r="C621" s="6" t="inlineStr">
        <is>
          <t>2007-07-31</t>
        </is>
      </c>
      <c r="D621" s="6" t="inlineStr">
        <is>
          <t>month</t>
        </is>
      </c>
      <c r="E621" s="6" t="inlineStr">
        <is>
          <t>ENERGY_TO_PY</t>
        </is>
      </c>
      <c r="F621" s="6" t="inlineStr">
        <is>
          <t>YACYRETA</t>
        </is>
      </c>
      <c r="G621" s="6" t="inlineStr">
        <is>
          <t>YACYRETA</t>
        </is>
      </c>
      <c r="H621" s="6" t="inlineStr">
        <is>
          <t>SINP</t>
        </is>
      </c>
      <c r="I621" s="8" t="n">
        <v>19594</v>
      </c>
      <c r="J621" s="6" t="inlineStr">
        <is>
          <t>MWh</t>
        </is>
      </c>
      <c r="K621" s="8" t="n">
        <v>19594</v>
      </c>
      <c r="L621" s="6" t="inlineStr">
        <is>
          <t>MWh</t>
        </is>
      </c>
      <c r="M621" s="6" t="inlineStr">
        <is>
          <t>EBY</t>
        </is>
      </c>
      <c r="N621" s="6" t="inlineStr">
        <is>
          <t>OFFICIAL_PRIMARY</t>
        </is>
      </c>
      <c r="O621" s="9" t="inlineStr">
        <is>
          <t>OFFICIAL_AGGREGATE</t>
        </is>
      </c>
      <c r="P621" s="8" t="n">
        <v>1</v>
      </c>
      <c r="Q621" s="8" t="n">
        <v>50</v>
      </c>
      <c r="R621" s="7" t="inlineStr">
        <is>
          <t>https://www.eby.gov.py/wp-content/uploads/2019/12/YacyretaEnergiasMensualesDesdePuestaenMarcha.pdf</t>
        </is>
      </c>
      <c r="S621" s="6" t="inlineStr">
        <is>
          <t>EBY-MONTHLY-1994-2012</t>
        </is>
      </c>
      <c r="T621" s="6" t="inlineStr"/>
      <c r="U621" s="4" t="inlineStr">
        <is>
          <t>2026-09-10 23:00:00</t>
        </is>
      </c>
      <c r="V621" s="4" t="inlineStr">
        <is>
          <t>Energia mensual entregada al SINP.</t>
        </is>
      </c>
    </row>
    <row r="622">
      <c r="A622" s="6" t="inlineStr">
        <is>
          <t>R0000626</t>
        </is>
      </c>
      <c r="B622" s="6" t="inlineStr">
        <is>
          <t>2007-08-01</t>
        </is>
      </c>
      <c r="C622" s="6" t="inlineStr">
        <is>
          <t>2007-08-31</t>
        </is>
      </c>
      <c r="D622" s="6" t="inlineStr">
        <is>
          <t>month</t>
        </is>
      </c>
      <c r="E622" s="6" t="inlineStr">
        <is>
          <t>YACYRETA_NET_ENERGY</t>
        </is>
      </c>
      <c r="F622" s="6" t="inlineStr">
        <is>
          <t>YACYRETA</t>
        </is>
      </c>
      <c r="G622" s="6" t="inlineStr">
        <is>
          <t>YACYRETA</t>
        </is>
      </c>
      <c r="H622" s="6" t="inlineStr">
        <is>
          <t>TOTAL</t>
        </is>
      </c>
      <c r="I622" s="8" t="n">
        <v>1160662</v>
      </c>
      <c r="J622" s="6" t="inlineStr">
        <is>
          <t>MWh</t>
        </is>
      </c>
      <c r="K622" s="8" t="n">
        <v>1160662</v>
      </c>
      <c r="L622" s="6" t="inlineStr">
        <is>
          <t>MWh</t>
        </is>
      </c>
      <c r="M622" s="6" t="inlineStr">
        <is>
          <t>EBY</t>
        </is>
      </c>
      <c r="N622" s="6" t="inlineStr">
        <is>
          <t>OFFICIAL_PRIMARY</t>
        </is>
      </c>
      <c r="O622" s="9" t="inlineStr">
        <is>
          <t>OFFICIAL_AGGREGATE</t>
        </is>
      </c>
      <c r="P622" s="8" t="n">
        <v>1</v>
      </c>
      <c r="Q622" s="8" t="n">
        <v>50</v>
      </c>
      <c r="R622" s="7" t="inlineStr">
        <is>
          <t>https://www.eby.gov.py/wp-content/uploads/2019/12/YacyretaEnergiasMensualesDesdePuestaenMarcha.pdf</t>
        </is>
      </c>
      <c r="S622" s="6" t="inlineStr">
        <is>
          <t>EBY-MONTHLY-1994-2012</t>
        </is>
      </c>
      <c r="T622" s="6" t="inlineStr"/>
      <c r="U622" s="4" t="inlineStr">
        <is>
          <t>2026-09-10 23:00:00</t>
        </is>
      </c>
      <c r="V622" s="4" t="inlineStr">
        <is>
          <t>Energia mensual Yacyreta desde puesta en marcha.</t>
        </is>
      </c>
    </row>
    <row r="623">
      <c r="A623" s="6" t="inlineStr">
        <is>
          <t>R0000627</t>
        </is>
      </c>
      <c r="B623" s="6" t="inlineStr">
        <is>
          <t>2007-08-01</t>
        </is>
      </c>
      <c r="C623" s="6" t="inlineStr">
        <is>
          <t>2007-08-31</t>
        </is>
      </c>
      <c r="D623" s="6" t="inlineStr">
        <is>
          <t>month</t>
        </is>
      </c>
      <c r="E623" s="6" t="inlineStr">
        <is>
          <t>ENERGY_TO_ARGENTINA</t>
        </is>
      </c>
      <c r="F623" s="6" t="inlineStr">
        <is>
          <t>YACYRETA</t>
        </is>
      </c>
      <c r="G623" s="6" t="inlineStr">
        <is>
          <t>YACYRETA</t>
        </is>
      </c>
      <c r="H623" s="6" t="inlineStr">
        <is>
          <t>SADI</t>
        </is>
      </c>
      <c r="I623" s="8" t="n">
        <v>1142218</v>
      </c>
      <c r="J623" s="6" t="inlineStr">
        <is>
          <t>MWh</t>
        </is>
      </c>
      <c r="K623" s="8" t="n">
        <v>1142218</v>
      </c>
      <c r="L623" s="6" t="inlineStr">
        <is>
          <t>MWh</t>
        </is>
      </c>
      <c r="M623" s="6" t="inlineStr">
        <is>
          <t>EBY</t>
        </is>
      </c>
      <c r="N623" s="6" t="inlineStr">
        <is>
          <t>OFFICIAL_PRIMARY</t>
        </is>
      </c>
      <c r="O623" s="9" t="inlineStr">
        <is>
          <t>OFFICIAL_AGGREGATE</t>
        </is>
      </c>
      <c r="P623" s="8" t="n">
        <v>1</v>
      </c>
      <c r="Q623" s="8" t="n">
        <v>50</v>
      </c>
      <c r="R623" s="7" t="inlineStr">
        <is>
          <t>https://www.eby.gov.py/wp-content/uploads/2019/12/YacyretaEnergiasMensualesDesdePuestaenMarcha.pdf</t>
        </is>
      </c>
      <c r="S623" s="6" t="inlineStr">
        <is>
          <t>EBY-MONTHLY-1994-2012</t>
        </is>
      </c>
      <c r="T623" s="6" t="inlineStr"/>
      <c r="U623" s="4" t="inlineStr">
        <is>
          <t>2026-09-10 23:00:00</t>
        </is>
      </c>
      <c r="V623" s="4" t="inlineStr">
        <is>
          <t>Energia mensual entregada al SADI.</t>
        </is>
      </c>
    </row>
    <row r="624">
      <c r="A624" s="6" t="inlineStr">
        <is>
          <t>R0000628</t>
        </is>
      </c>
      <c r="B624" s="6" t="inlineStr">
        <is>
          <t>2007-08-01</t>
        </is>
      </c>
      <c r="C624" s="6" t="inlineStr">
        <is>
          <t>2007-08-31</t>
        </is>
      </c>
      <c r="D624" s="6" t="inlineStr">
        <is>
          <t>month</t>
        </is>
      </c>
      <c r="E624" s="6" t="inlineStr">
        <is>
          <t>ENERGY_TO_PY</t>
        </is>
      </c>
      <c r="F624" s="6" t="inlineStr">
        <is>
          <t>YACYRETA</t>
        </is>
      </c>
      <c r="G624" s="6" t="inlineStr">
        <is>
          <t>YACYRETA</t>
        </is>
      </c>
      <c r="H624" s="6" t="inlineStr">
        <is>
          <t>SINP</t>
        </is>
      </c>
      <c r="I624" s="8" t="n">
        <v>18444</v>
      </c>
      <c r="J624" s="6" t="inlineStr">
        <is>
          <t>MWh</t>
        </is>
      </c>
      <c r="K624" s="8" t="n">
        <v>18444</v>
      </c>
      <c r="L624" s="6" t="inlineStr">
        <is>
          <t>MWh</t>
        </is>
      </c>
      <c r="M624" s="6" t="inlineStr">
        <is>
          <t>EBY</t>
        </is>
      </c>
      <c r="N624" s="6" t="inlineStr">
        <is>
          <t>OFFICIAL_PRIMARY</t>
        </is>
      </c>
      <c r="O624" s="9" t="inlineStr">
        <is>
          <t>OFFICIAL_AGGREGATE</t>
        </is>
      </c>
      <c r="P624" s="8" t="n">
        <v>1</v>
      </c>
      <c r="Q624" s="8" t="n">
        <v>50</v>
      </c>
      <c r="R624" s="7" t="inlineStr">
        <is>
          <t>https://www.eby.gov.py/wp-content/uploads/2019/12/YacyretaEnergiasMensualesDesdePuestaenMarcha.pdf</t>
        </is>
      </c>
      <c r="S624" s="6" t="inlineStr">
        <is>
          <t>EBY-MONTHLY-1994-2012</t>
        </is>
      </c>
      <c r="T624" s="6" t="inlineStr"/>
      <c r="U624" s="4" t="inlineStr">
        <is>
          <t>2026-09-10 23:00:00</t>
        </is>
      </c>
      <c r="V624" s="4" t="inlineStr">
        <is>
          <t>Energia mensual entregada al SINP.</t>
        </is>
      </c>
    </row>
    <row r="625">
      <c r="A625" s="6" t="inlineStr">
        <is>
          <t>R0000629</t>
        </is>
      </c>
      <c r="B625" s="6" t="inlineStr">
        <is>
          <t>2007-09-01</t>
        </is>
      </c>
      <c r="C625" s="6" t="inlineStr">
        <is>
          <t>2007-09-30</t>
        </is>
      </c>
      <c r="D625" s="6" t="inlineStr">
        <is>
          <t>month</t>
        </is>
      </c>
      <c r="E625" s="6" t="inlineStr">
        <is>
          <t>YACYRETA_NET_ENERGY</t>
        </is>
      </c>
      <c r="F625" s="6" t="inlineStr">
        <is>
          <t>YACYRETA</t>
        </is>
      </c>
      <c r="G625" s="6" t="inlineStr">
        <is>
          <t>YACYRETA</t>
        </is>
      </c>
      <c r="H625" s="6" t="inlineStr">
        <is>
          <t>TOTAL</t>
        </is>
      </c>
      <c r="I625" s="8" t="n">
        <v>1106892</v>
      </c>
      <c r="J625" s="6" t="inlineStr">
        <is>
          <t>MWh</t>
        </is>
      </c>
      <c r="K625" s="8" t="n">
        <v>1106892</v>
      </c>
      <c r="L625" s="6" t="inlineStr">
        <is>
          <t>MWh</t>
        </is>
      </c>
      <c r="M625" s="6" t="inlineStr">
        <is>
          <t>EBY</t>
        </is>
      </c>
      <c r="N625" s="6" t="inlineStr">
        <is>
          <t>OFFICIAL_PRIMARY</t>
        </is>
      </c>
      <c r="O625" s="9" t="inlineStr">
        <is>
          <t>OFFICIAL_AGGREGATE</t>
        </is>
      </c>
      <c r="P625" s="8" t="n">
        <v>1</v>
      </c>
      <c r="Q625" s="8" t="n">
        <v>50</v>
      </c>
      <c r="R625" s="7" t="inlineStr">
        <is>
          <t>https://www.eby.gov.py/wp-content/uploads/2019/12/YacyretaEnergiasMensualesDesdePuestaenMarcha.pdf</t>
        </is>
      </c>
      <c r="S625" s="6" t="inlineStr">
        <is>
          <t>EBY-MONTHLY-1994-2012</t>
        </is>
      </c>
      <c r="T625" s="6" t="inlineStr"/>
      <c r="U625" s="4" t="inlineStr">
        <is>
          <t>2026-09-10 23:00:00</t>
        </is>
      </c>
      <c r="V625" s="4" t="inlineStr">
        <is>
          <t>Energia mensual Yacyreta desde puesta en marcha.</t>
        </is>
      </c>
    </row>
    <row r="626">
      <c r="A626" s="6" t="inlineStr">
        <is>
          <t>R0000630</t>
        </is>
      </c>
      <c r="B626" s="6" t="inlineStr">
        <is>
          <t>2007-09-01</t>
        </is>
      </c>
      <c r="C626" s="6" t="inlineStr">
        <is>
          <t>2007-09-30</t>
        </is>
      </c>
      <c r="D626" s="6" t="inlineStr">
        <is>
          <t>month</t>
        </is>
      </c>
      <c r="E626" s="6" t="inlineStr">
        <is>
          <t>ENERGY_TO_ARGENTINA</t>
        </is>
      </c>
      <c r="F626" s="6" t="inlineStr">
        <is>
          <t>YACYRETA</t>
        </is>
      </c>
      <c r="G626" s="6" t="inlineStr">
        <is>
          <t>YACYRETA</t>
        </is>
      </c>
      <c r="H626" s="6" t="inlineStr">
        <is>
          <t>SADI</t>
        </is>
      </c>
      <c r="I626" s="8" t="n">
        <v>1062676</v>
      </c>
      <c r="J626" s="6" t="inlineStr">
        <is>
          <t>MWh</t>
        </is>
      </c>
      <c r="K626" s="8" t="n">
        <v>1062676</v>
      </c>
      <c r="L626" s="6" t="inlineStr">
        <is>
          <t>MWh</t>
        </is>
      </c>
      <c r="M626" s="6" t="inlineStr">
        <is>
          <t>EBY</t>
        </is>
      </c>
      <c r="N626" s="6" t="inlineStr">
        <is>
          <t>OFFICIAL_PRIMARY</t>
        </is>
      </c>
      <c r="O626" s="9" t="inlineStr">
        <is>
          <t>OFFICIAL_AGGREGATE</t>
        </is>
      </c>
      <c r="P626" s="8" t="n">
        <v>1</v>
      </c>
      <c r="Q626" s="8" t="n">
        <v>50</v>
      </c>
      <c r="R626" s="7" t="inlineStr">
        <is>
          <t>https://www.eby.gov.py/wp-content/uploads/2019/12/YacyretaEnergiasMensualesDesdePuestaenMarcha.pdf</t>
        </is>
      </c>
      <c r="S626" s="6" t="inlineStr">
        <is>
          <t>EBY-MONTHLY-1994-2012</t>
        </is>
      </c>
      <c r="T626" s="6" t="inlineStr"/>
      <c r="U626" s="4" t="inlineStr">
        <is>
          <t>2026-09-10 23:00:00</t>
        </is>
      </c>
      <c r="V626" s="4" t="inlineStr">
        <is>
          <t>Energia mensual entregada al SADI.</t>
        </is>
      </c>
    </row>
    <row r="627">
      <c r="A627" s="6" t="inlineStr">
        <is>
          <t>R0000631</t>
        </is>
      </c>
      <c r="B627" s="6" t="inlineStr">
        <is>
          <t>2007-09-01</t>
        </is>
      </c>
      <c r="C627" s="6" t="inlineStr">
        <is>
          <t>2007-09-30</t>
        </is>
      </c>
      <c r="D627" s="6" t="inlineStr">
        <is>
          <t>month</t>
        </is>
      </c>
      <c r="E627" s="6" t="inlineStr">
        <is>
          <t>ENERGY_TO_PY</t>
        </is>
      </c>
      <c r="F627" s="6" t="inlineStr">
        <is>
          <t>YACYRETA</t>
        </is>
      </c>
      <c r="G627" s="6" t="inlineStr">
        <is>
          <t>YACYRETA</t>
        </is>
      </c>
      <c r="H627" s="6" t="inlineStr">
        <is>
          <t>SINP</t>
        </is>
      </c>
      <c r="I627" s="8" t="n">
        <v>44216</v>
      </c>
      <c r="J627" s="6" t="inlineStr">
        <is>
          <t>MWh</t>
        </is>
      </c>
      <c r="K627" s="8" t="n">
        <v>44216</v>
      </c>
      <c r="L627" s="6" t="inlineStr">
        <is>
          <t>MWh</t>
        </is>
      </c>
      <c r="M627" s="6" t="inlineStr">
        <is>
          <t>EBY</t>
        </is>
      </c>
      <c r="N627" s="6" t="inlineStr">
        <is>
          <t>OFFICIAL_PRIMARY</t>
        </is>
      </c>
      <c r="O627" s="9" t="inlineStr">
        <is>
          <t>OFFICIAL_AGGREGATE</t>
        </is>
      </c>
      <c r="P627" s="8" t="n">
        <v>1</v>
      </c>
      <c r="Q627" s="8" t="n">
        <v>50</v>
      </c>
      <c r="R627" s="7" t="inlineStr">
        <is>
          <t>https://www.eby.gov.py/wp-content/uploads/2019/12/YacyretaEnergiasMensualesDesdePuestaenMarcha.pdf</t>
        </is>
      </c>
      <c r="S627" s="6" t="inlineStr">
        <is>
          <t>EBY-MONTHLY-1994-2012</t>
        </is>
      </c>
      <c r="T627" s="6" t="inlineStr"/>
      <c r="U627" s="4" t="inlineStr">
        <is>
          <t>2026-09-10 23:00:00</t>
        </is>
      </c>
      <c r="V627" s="4" t="inlineStr">
        <is>
          <t>Energia mensual entregada al SINP.</t>
        </is>
      </c>
    </row>
    <row r="628">
      <c r="A628" s="6" t="inlineStr">
        <is>
          <t>R0000632</t>
        </is>
      </c>
      <c r="B628" s="6" t="inlineStr">
        <is>
          <t>2007-10-01</t>
        </is>
      </c>
      <c r="C628" s="6" t="inlineStr">
        <is>
          <t>2007-10-31</t>
        </is>
      </c>
      <c r="D628" s="6" t="inlineStr">
        <is>
          <t>month</t>
        </is>
      </c>
      <c r="E628" s="6" t="inlineStr">
        <is>
          <t>YACYRETA_NET_ENERGY</t>
        </is>
      </c>
      <c r="F628" s="6" t="inlineStr">
        <is>
          <t>YACYRETA</t>
        </is>
      </c>
      <c r="G628" s="6" t="inlineStr">
        <is>
          <t>YACYRETA</t>
        </is>
      </c>
      <c r="H628" s="6" t="inlineStr">
        <is>
          <t>TOTAL</t>
        </is>
      </c>
      <c r="I628" s="8" t="n">
        <v>1186129</v>
      </c>
      <c r="J628" s="6" t="inlineStr">
        <is>
          <t>MWh</t>
        </is>
      </c>
      <c r="K628" s="8" t="n">
        <v>1186129</v>
      </c>
      <c r="L628" s="6" t="inlineStr">
        <is>
          <t>MWh</t>
        </is>
      </c>
      <c r="M628" s="6" t="inlineStr">
        <is>
          <t>EBY</t>
        </is>
      </c>
      <c r="N628" s="6" t="inlineStr">
        <is>
          <t>OFFICIAL_PRIMARY</t>
        </is>
      </c>
      <c r="O628" s="9" t="inlineStr">
        <is>
          <t>OFFICIAL_AGGREGATE</t>
        </is>
      </c>
      <c r="P628" s="8" t="n">
        <v>1</v>
      </c>
      <c r="Q628" s="8" t="n">
        <v>50</v>
      </c>
      <c r="R628" s="7" t="inlineStr">
        <is>
          <t>https://www.eby.gov.py/wp-content/uploads/2019/12/YacyretaEnergiasMensualesDesdePuestaenMarcha.pdf</t>
        </is>
      </c>
      <c r="S628" s="6" t="inlineStr">
        <is>
          <t>EBY-MONTHLY-1994-2012</t>
        </is>
      </c>
      <c r="T628" s="6" t="inlineStr"/>
      <c r="U628" s="4" t="inlineStr">
        <is>
          <t>2026-09-10 23:00:00</t>
        </is>
      </c>
      <c r="V628" s="4" t="inlineStr">
        <is>
          <t>Energia mensual Yacyreta desde puesta en marcha.</t>
        </is>
      </c>
    </row>
    <row r="629">
      <c r="A629" s="6" t="inlineStr">
        <is>
          <t>R0000633</t>
        </is>
      </c>
      <c r="B629" s="6" t="inlineStr">
        <is>
          <t>2007-10-01</t>
        </is>
      </c>
      <c r="C629" s="6" t="inlineStr">
        <is>
          <t>2007-10-31</t>
        </is>
      </c>
      <c r="D629" s="6" t="inlineStr">
        <is>
          <t>month</t>
        </is>
      </c>
      <c r="E629" s="6" t="inlineStr">
        <is>
          <t>ENERGY_TO_ARGENTINA</t>
        </is>
      </c>
      <c r="F629" s="6" t="inlineStr">
        <is>
          <t>YACYRETA</t>
        </is>
      </c>
      <c r="G629" s="6" t="inlineStr">
        <is>
          <t>YACYRETA</t>
        </is>
      </c>
      <c r="H629" s="6" t="inlineStr">
        <is>
          <t>SADI</t>
        </is>
      </c>
      <c r="I629" s="8" t="n">
        <v>1135684</v>
      </c>
      <c r="J629" s="6" t="inlineStr">
        <is>
          <t>MWh</t>
        </is>
      </c>
      <c r="K629" s="8" t="n">
        <v>1135684</v>
      </c>
      <c r="L629" s="6" t="inlineStr">
        <is>
          <t>MWh</t>
        </is>
      </c>
      <c r="M629" s="6" t="inlineStr">
        <is>
          <t>EBY</t>
        </is>
      </c>
      <c r="N629" s="6" t="inlineStr">
        <is>
          <t>OFFICIAL_PRIMARY</t>
        </is>
      </c>
      <c r="O629" s="9" t="inlineStr">
        <is>
          <t>OFFICIAL_AGGREGATE</t>
        </is>
      </c>
      <c r="P629" s="8" t="n">
        <v>1</v>
      </c>
      <c r="Q629" s="8" t="n">
        <v>50</v>
      </c>
      <c r="R629" s="7" t="inlineStr">
        <is>
          <t>https://www.eby.gov.py/wp-content/uploads/2019/12/YacyretaEnergiasMensualesDesdePuestaenMarcha.pdf</t>
        </is>
      </c>
      <c r="S629" s="6" t="inlineStr">
        <is>
          <t>EBY-MONTHLY-1994-2012</t>
        </is>
      </c>
      <c r="T629" s="6" t="inlineStr"/>
      <c r="U629" s="4" t="inlineStr">
        <is>
          <t>2026-09-10 23:00:00</t>
        </is>
      </c>
      <c r="V629" s="4" t="inlineStr">
        <is>
          <t>Energia mensual entregada al SADI.</t>
        </is>
      </c>
    </row>
    <row r="630">
      <c r="A630" s="6" t="inlineStr">
        <is>
          <t>R0000634</t>
        </is>
      </c>
      <c r="B630" s="6" t="inlineStr">
        <is>
          <t>2007-10-01</t>
        </is>
      </c>
      <c r="C630" s="6" t="inlineStr">
        <is>
          <t>2007-10-31</t>
        </is>
      </c>
      <c r="D630" s="6" t="inlineStr">
        <is>
          <t>month</t>
        </is>
      </c>
      <c r="E630" s="6" t="inlineStr">
        <is>
          <t>ENERGY_TO_PY</t>
        </is>
      </c>
      <c r="F630" s="6" t="inlineStr">
        <is>
          <t>YACYRETA</t>
        </is>
      </c>
      <c r="G630" s="6" t="inlineStr">
        <is>
          <t>YACYRETA</t>
        </is>
      </c>
      <c r="H630" s="6" t="inlineStr">
        <is>
          <t>SINP</t>
        </is>
      </c>
      <c r="I630" s="8" t="n">
        <v>50445</v>
      </c>
      <c r="J630" s="6" t="inlineStr">
        <is>
          <t>MWh</t>
        </is>
      </c>
      <c r="K630" s="8" t="n">
        <v>50445</v>
      </c>
      <c r="L630" s="6" t="inlineStr">
        <is>
          <t>MWh</t>
        </is>
      </c>
      <c r="M630" s="6" t="inlineStr">
        <is>
          <t>EBY</t>
        </is>
      </c>
      <c r="N630" s="6" t="inlineStr">
        <is>
          <t>OFFICIAL_PRIMARY</t>
        </is>
      </c>
      <c r="O630" s="9" t="inlineStr">
        <is>
          <t>OFFICIAL_AGGREGATE</t>
        </is>
      </c>
      <c r="P630" s="8" t="n">
        <v>1</v>
      </c>
      <c r="Q630" s="8" t="n">
        <v>50</v>
      </c>
      <c r="R630" s="7" t="inlineStr">
        <is>
          <t>https://www.eby.gov.py/wp-content/uploads/2019/12/YacyretaEnergiasMensualesDesdePuestaenMarcha.pdf</t>
        </is>
      </c>
      <c r="S630" s="6" t="inlineStr">
        <is>
          <t>EBY-MONTHLY-1994-2012</t>
        </is>
      </c>
      <c r="T630" s="6" t="inlineStr"/>
      <c r="U630" s="4" t="inlineStr">
        <is>
          <t>2026-09-10 23:00:00</t>
        </is>
      </c>
      <c r="V630" s="4" t="inlineStr">
        <is>
          <t>Energia mensual entregada al SINP.</t>
        </is>
      </c>
    </row>
    <row r="631">
      <c r="A631" s="6" t="inlineStr">
        <is>
          <t>R0000635</t>
        </is>
      </c>
      <c r="B631" s="6" t="inlineStr">
        <is>
          <t>2007-11-01</t>
        </is>
      </c>
      <c r="C631" s="6" t="inlineStr">
        <is>
          <t>2007-11-30</t>
        </is>
      </c>
      <c r="D631" s="6" t="inlineStr">
        <is>
          <t>month</t>
        </is>
      </c>
      <c r="E631" s="6" t="inlineStr">
        <is>
          <t>YACYRETA_NET_ENERGY</t>
        </is>
      </c>
      <c r="F631" s="6" t="inlineStr">
        <is>
          <t>YACYRETA</t>
        </is>
      </c>
      <c r="G631" s="6" t="inlineStr">
        <is>
          <t>YACYRETA</t>
        </is>
      </c>
      <c r="H631" s="6" t="inlineStr">
        <is>
          <t>TOTAL</t>
        </is>
      </c>
      <c r="I631" s="8" t="n">
        <v>1279204</v>
      </c>
      <c r="J631" s="6" t="inlineStr">
        <is>
          <t>MWh</t>
        </is>
      </c>
      <c r="K631" s="8" t="n">
        <v>1279204</v>
      </c>
      <c r="L631" s="6" t="inlineStr">
        <is>
          <t>MWh</t>
        </is>
      </c>
      <c r="M631" s="6" t="inlineStr">
        <is>
          <t>EBY</t>
        </is>
      </c>
      <c r="N631" s="6" t="inlineStr">
        <is>
          <t>OFFICIAL_PRIMARY</t>
        </is>
      </c>
      <c r="O631" s="9" t="inlineStr">
        <is>
          <t>OFFICIAL_AGGREGATE</t>
        </is>
      </c>
      <c r="P631" s="8" t="n">
        <v>1</v>
      </c>
      <c r="Q631" s="8" t="n">
        <v>50</v>
      </c>
      <c r="R631" s="7" t="inlineStr">
        <is>
          <t>https://www.eby.gov.py/wp-content/uploads/2019/12/YacyretaEnergiasMensualesDesdePuestaenMarcha.pdf</t>
        </is>
      </c>
      <c r="S631" s="6" t="inlineStr">
        <is>
          <t>EBY-MONTHLY-1994-2012</t>
        </is>
      </c>
      <c r="T631" s="6" t="inlineStr"/>
      <c r="U631" s="4" t="inlineStr">
        <is>
          <t>2026-09-10 23:00:00</t>
        </is>
      </c>
      <c r="V631" s="4" t="inlineStr">
        <is>
          <t>Energia mensual Yacyreta desde puesta en marcha.</t>
        </is>
      </c>
    </row>
    <row r="632">
      <c r="A632" s="6" t="inlineStr">
        <is>
          <t>R0000636</t>
        </is>
      </c>
      <c r="B632" s="6" t="inlineStr">
        <is>
          <t>2007-11-01</t>
        </is>
      </c>
      <c r="C632" s="6" t="inlineStr">
        <is>
          <t>2007-11-30</t>
        </is>
      </c>
      <c r="D632" s="6" t="inlineStr">
        <is>
          <t>month</t>
        </is>
      </c>
      <c r="E632" s="6" t="inlineStr">
        <is>
          <t>ENERGY_TO_ARGENTINA</t>
        </is>
      </c>
      <c r="F632" s="6" t="inlineStr">
        <is>
          <t>YACYRETA</t>
        </is>
      </c>
      <c r="G632" s="6" t="inlineStr">
        <is>
          <t>YACYRETA</t>
        </is>
      </c>
      <c r="H632" s="6" t="inlineStr">
        <is>
          <t>SADI</t>
        </is>
      </c>
      <c r="I632" s="8" t="n">
        <v>1210150</v>
      </c>
      <c r="J632" s="6" t="inlineStr">
        <is>
          <t>MWh</t>
        </is>
      </c>
      <c r="K632" s="8" t="n">
        <v>1210150</v>
      </c>
      <c r="L632" s="6" t="inlineStr">
        <is>
          <t>MWh</t>
        </is>
      </c>
      <c r="M632" s="6" t="inlineStr">
        <is>
          <t>EBY</t>
        </is>
      </c>
      <c r="N632" s="6" t="inlineStr">
        <is>
          <t>OFFICIAL_PRIMARY</t>
        </is>
      </c>
      <c r="O632" s="9" t="inlineStr">
        <is>
          <t>OFFICIAL_AGGREGATE</t>
        </is>
      </c>
      <c r="P632" s="8" t="n">
        <v>1</v>
      </c>
      <c r="Q632" s="8" t="n">
        <v>50</v>
      </c>
      <c r="R632" s="7" t="inlineStr">
        <is>
          <t>https://www.eby.gov.py/wp-content/uploads/2019/12/YacyretaEnergiasMensualesDesdePuestaenMarcha.pdf</t>
        </is>
      </c>
      <c r="S632" s="6" t="inlineStr">
        <is>
          <t>EBY-MONTHLY-1994-2012</t>
        </is>
      </c>
      <c r="T632" s="6" t="inlineStr"/>
      <c r="U632" s="4" t="inlineStr">
        <is>
          <t>2026-09-10 23:00:00</t>
        </is>
      </c>
      <c r="V632" s="4" t="inlineStr">
        <is>
          <t>Energia mensual entregada al SADI.</t>
        </is>
      </c>
    </row>
    <row r="633">
      <c r="A633" s="6" t="inlineStr">
        <is>
          <t>R0000637</t>
        </is>
      </c>
      <c r="B633" s="6" t="inlineStr">
        <is>
          <t>2007-11-01</t>
        </is>
      </c>
      <c r="C633" s="6" t="inlineStr">
        <is>
          <t>2007-11-30</t>
        </is>
      </c>
      <c r="D633" s="6" t="inlineStr">
        <is>
          <t>month</t>
        </is>
      </c>
      <c r="E633" s="6" t="inlineStr">
        <is>
          <t>ENERGY_TO_PY</t>
        </is>
      </c>
      <c r="F633" s="6" t="inlineStr">
        <is>
          <t>YACYRETA</t>
        </is>
      </c>
      <c r="G633" s="6" t="inlineStr">
        <is>
          <t>YACYRETA</t>
        </is>
      </c>
      <c r="H633" s="6" t="inlineStr">
        <is>
          <t>SINP</t>
        </is>
      </c>
      <c r="I633" s="8" t="n">
        <v>69054</v>
      </c>
      <c r="J633" s="6" t="inlineStr">
        <is>
          <t>MWh</t>
        </is>
      </c>
      <c r="K633" s="8" t="n">
        <v>69054</v>
      </c>
      <c r="L633" s="6" t="inlineStr">
        <is>
          <t>MWh</t>
        </is>
      </c>
      <c r="M633" s="6" t="inlineStr">
        <is>
          <t>EBY</t>
        </is>
      </c>
      <c r="N633" s="6" t="inlineStr">
        <is>
          <t>OFFICIAL_PRIMARY</t>
        </is>
      </c>
      <c r="O633" s="9" t="inlineStr">
        <is>
          <t>OFFICIAL_AGGREGATE</t>
        </is>
      </c>
      <c r="P633" s="8" t="n">
        <v>1</v>
      </c>
      <c r="Q633" s="8" t="n">
        <v>50</v>
      </c>
      <c r="R633" s="7" t="inlineStr">
        <is>
          <t>https://www.eby.gov.py/wp-content/uploads/2019/12/YacyretaEnergiasMensualesDesdePuestaenMarcha.pdf</t>
        </is>
      </c>
      <c r="S633" s="6" t="inlineStr">
        <is>
          <t>EBY-MONTHLY-1994-2012</t>
        </is>
      </c>
      <c r="T633" s="6" t="inlineStr"/>
      <c r="U633" s="4" t="inlineStr">
        <is>
          <t>2026-09-10 23:00:00</t>
        </is>
      </c>
      <c r="V633" s="4" t="inlineStr">
        <is>
          <t>Energia mensual entregada al SINP.</t>
        </is>
      </c>
    </row>
    <row r="634">
      <c r="A634" s="6" t="inlineStr">
        <is>
          <t>R0000638</t>
        </is>
      </c>
      <c r="B634" s="6" t="inlineStr">
        <is>
          <t>2007-12-01</t>
        </is>
      </c>
      <c r="C634" s="6" t="inlineStr">
        <is>
          <t>2007-12-31</t>
        </is>
      </c>
      <c r="D634" s="6" t="inlineStr">
        <is>
          <t>month</t>
        </is>
      </c>
      <c r="E634" s="6" t="inlineStr">
        <is>
          <t>YACYRETA_NET_ENERGY</t>
        </is>
      </c>
      <c r="F634" s="6" t="inlineStr">
        <is>
          <t>YACYRETA</t>
        </is>
      </c>
      <c r="G634" s="6" t="inlineStr">
        <is>
          <t>YACYRETA</t>
        </is>
      </c>
      <c r="H634" s="6" t="inlineStr">
        <is>
          <t>TOTAL</t>
        </is>
      </c>
      <c r="I634" s="8" t="n">
        <v>1241673</v>
      </c>
      <c r="J634" s="6" t="inlineStr">
        <is>
          <t>MWh</t>
        </is>
      </c>
      <c r="K634" s="8" t="n">
        <v>1241673</v>
      </c>
      <c r="L634" s="6" t="inlineStr">
        <is>
          <t>MWh</t>
        </is>
      </c>
      <c r="M634" s="6" t="inlineStr">
        <is>
          <t>EBY</t>
        </is>
      </c>
      <c r="N634" s="6" t="inlineStr">
        <is>
          <t>OFFICIAL_PRIMARY</t>
        </is>
      </c>
      <c r="O634" s="9" t="inlineStr">
        <is>
          <t>OFFICIAL_AGGREGATE</t>
        </is>
      </c>
      <c r="P634" s="8" t="n">
        <v>1</v>
      </c>
      <c r="Q634" s="8" t="n">
        <v>50</v>
      </c>
      <c r="R634" s="7" t="inlineStr">
        <is>
          <t>https://www.eby.gov.py/wp-content/uploads/2019/12/YacyretaEnergiasMensualesDesdePuestaenMarcha.pdf</t>
        </is>
      </c>
      <c r="S634" s="6" t="inlineStr">
        <is>
          <t>EBY-MONTHLY-1994-2012</t>
        </is>
      </c>
      <c r="T634" s="6" t="inlineStr"/>
      <c r="U634" s="4" t="inlineStr">
        <is>
          <t>2026-09-10 23:00:00</t>
        </is>
      </c>
      <c r="V634" s="4" t="inlineStr">
        <is>
          <t>Energia mensual Yacyreta desde puesta en marcha.</t>
        </is>
      </c>
    </row>
    <row r="635">
      <c r="A635" s="6" t="inlineStr">
        <is>
          <t>R0000639</t>
        </is>
      </c>
      <c r="B635" s="6" t="inlineStr">
        <is>
          <t>2007-12-01</t>
        </is>
      </c>
      <c r="C635" s="6" t="inlineStr">
        <is>
          <t>2007-12-31</t>
        </is>
      </c>
      <c r="D635" s="6" t="inlineStr">
        <is>
          <t>month</t>
        </is>
      </c>
      <c r="E635" s="6" t="inlineStr">
        <is>
          <t>ENERGY_TO_ARGENTINA</t>
        </is>
      </c>
      <c r="F635" s="6" t="inlineStr">
        <is>
          <t>YACYRETA</t>
        </is>
      </c>
      <c r="G635" s="6" t="inlineStr">
        <is>
          <t>YACYRETA</t>
        </is>
      </c>
      <c r="H635" s="6" t="inlineStr">
        <is>
          <t>SADI</t>
        </is>
      </c>
      <c r="I635" s="8" t="n">
        <v>1138324</v>
      </c>
      <c r="J635" s="6" t="inlineStr">
        <is>
          <t>MWh</t>
        </is>
      </c>
      <c r="K635" s="8" t="n">
        <v>1138324</v>
      </c>
      <c r="L635" s="6" t="inlineStr">
        <is>
          <t>MWh</t>
        </is>
      </c>
      <c r="M635" s="6" t="inlineStr">
        <is>
          <t>EBY</t>
        </is>
      </c>
      <c r="N635" s="6" t="inlineStr">
        <is>
          <t>OFFICIAL_PRIMARY</t>
        </is>
      </c>
      <c r="O635" s="9" t="inlineStr">
        <is>
          <t>OFFICIAL_AGGREGATE</t>
        </is>
      </c>
      <c r="P635" s="8" t="n">
        <v>1</v>
      </c>
      <c r="Q635" s="8" t="n">
        <v>50</v>
      </c>
      <c r="R635" s="7" t="inlineStr">
        <is>
          <t>https://www.eby.gov.py/wp-content/uploads/2019/12/YacyretaEnergiasMensualesDesdePuestaenMarcha.pdf</t>
        </is>
      </c>
      <c r="S635" s="6" t="inlineStr">
        <is>
          <t>EBY-MONTHLY-1994-2012</t>
        </is>
      </c>
      <c r="T635" s="6" t="inlineStr"/>
      <c r="U635" s="4" t="inlineStr">
        <is>
          <t>2026-09-10 23:00:00</t>
        </is>
      </c>
      <c r="V635" s="4" t="inlineStr">
        <is>
          <t>Energia mensual entregada al SADI.</t>
        </is>
      </c>
    </row>
    <row r="636">
      <c r="A636" s="6" t="inlineStr">
        <is>
          <t>R0000640</t>
        </is>
      </c>
      <c r="B636" s="6" t="inlineStr">
        <is>
          <t>2007-12-01</t>
        </is>
      </c>
      <c r="C636" s="6" t="inlineStr">
        <is>
          <t>2007-12-31</t>
        </is>
      </c>
      <c r="D636" s="6" t="inlineStr">
        <is>
          <t>month</t>
        </is>
      </c>
      <c r="E636" s="6" t="inlineStr">
        <is>
          <t>ENERGY_TO_PY</t>
        </is>
      </c>
      <c r="F636" s="6" t="inlineStr">
        <is>
          <t>YACYRETA</t>
        </is>
      </c>
      <c r="G636" s="6" t="inlineStr">
        <is>
          <t>YACYRETA</t>
        </is>
      </c>
      <c r="H636" s="6" t="inlineStr">
        <is>
          <t>SINP</t>
        </is>
      </c>
      <c r="I636" s="8" t="n">
        <v>103349</v>
      </c>
      <c r="J636" s="6" t="inlineStr">
        <is>
          <t>MWh</t>
        </is>
      </c>
      <c r="K636" s="8" t="n">
        <v>103349</v>
      </c>
      <c r="L636" s="6" t="inlineStr">
        <is>
          <t>MWh</t>
        </is>
      </c>
      <c r="M636" s="6" t="inlineStr">
        <is>
          <t>EBY</t>
        </is>
      </c>
      <c r="N636" s="6" t="inlineStr">
        <is>
          <t>OFFICIAL_PRIMARY</t>
        </is>
      </c>
      <c r="O636" s="9" t="inlineStr">
        <is>
          <t>OFFICIAL_AGGREGATE</t>
        </is>
      </c>
      <c r="P636" s="8" t="n">
        <v>1</v>
      </c>
      <c r="Q636" s="8" t="n">
        <v>50</v>
      </c>
      <c r="R636" s="7" t="inlineStr">
        <is>
          <t>https://www.eby.gov.py/wp-content/uploads/2019/12/YacyretaEnergiasMensualesDesdePuestaenMarcha.pdf</t>
        </is>
      </c>
      <c r="S636" s="6" t="inlineStr">
        <is>
          <t>EBY-MONTHLY-1994-2012</t>
        </is>
      </c>
      <c r="T636" s="6" t="inlineStr"/>
      <c r="U636" s="4" t="inlineStr">
        <is>
          <t>2026-09-10 23:00:00</t>
        </is>
      </c>
      <c r="V636" s="4" t="inlineStr">
        <is>
          <t>Energia mensual entregada al SINP.</t>
        </is>
      </c>
    </row>
    <row r="637">
      <c r="A637" s="6" t="inlineStr">
        <is>
          <t>R0000641</t>
        </is>
      </c>
      <c r="B637" s="6" t="inlineStr">
        <is>
          <t>2008-01-01</t>
        </is>
      </c>
      <c r="C637" s="6" t="inlineStr">
        <is>
          <t>2008-01-31</t>
        </is>
      </c>
      <c r="D637" s="6" t="inlineStr">
        <is>
          <t>month</t>
        </is>
      </c>
      <c r="E637" s="6" t="inlineStr">
        <is>
          <t>YACYRETA_NET_ENERGY</t>
        </is>
      </c>
      <c r="F637" s="6" t="inlineStr">
        <is>
          <t>YACYRETA</t>
        </is>
      </c>
      <c r="G637" s="6" t="inlineStr">
        <is>
          <t>YACYRETA</t>
        </is>
      </c>
      <c r="H637" s="6" t="inlineStr">
        <is>
          <t>TOTAL</t>
        </is>
      </c>
      <c r="I637" s="8" t="n">
        <v>1218521</v>
      </c>
      <c r="J637" s="6" t="inlineStr">
        <is>
          <t>MWh</t>
        </is>
      </c>
      <c r="K637" s="8" t="n">
        <v>1218521</v>
      </c>
      <c r="L637" s="6" t="inlineStr">
        <is>
          <t>MWh</t>
        </is>
      </c>
      <c r="M637" s="6" t="inlineStr">
        <is>
          <t>EBY</t>
        </is>
      </c>
      <c r="N637" s="6" t="inlineStr">
        <is>
          <t>OFFICIAL_PRIMARY</t>
        </is>
      </c>
      <c r="O637" s="9" t="inlineStr">
        <is>
          <t>OFFICIAL_AGGREGATE</t>
        </is>
      </c>
      <c r="P637" s="8" t="n">
        <v>1</v>
      </c>
      <c r="Q637" s="8" t="n">
        <v>50</v>
      </c>
      <c r="R637" s="7" t="inlineStr">
        <is>
          <t>https://www.eby.gov.py/wp-content/uploads/2019/12/YacyretaEnergiasMensualesDesdePuestaenMarcha.pdf</t>
        </is>
      </c>
      <c r="S637" s="6" t="inlineStr">
        <is>
          <t>EBY-MONTHLY-1994-2012</t>
        </is>
      </c>
      <c r="T637" s="6" t="inlineStr"/>
      <c r="U637" s="4" t="inlineStr">
        <is>
          <t>2026-09-10 23:00:00</t>
        </is>
      </c>
      <c r="V637" s="4" t="inlineStr">
        <is>
          <t>Energia mensual Yacyreta desde puesta en marcha.</t>
        </is>
      </c>
    </row>
    <row r="638">
      <c r="A638" s="6" t="inlineStr">
        <is>
          <t>R0000642</t>
        </is>
      </c>
      <c r="B638" s="6" t="inlineStr">
        <is>
          <t>2008-01-01</t>
        </is>
      </c>
      <c r="C638" s="6" t="inlineStr">
        <is>
          <t>2008-01-31</t>
        </is>
      </c>
      <c r="D638" s="6" t="inlineStr">
        <is>
          <t>month</t>
        </is>
      </c>
      <c r="E638" s="6" t="inlineStr">
        <is>
          <t>ENERGY_TO_ARGENTINA</t>
        </is>
      </c>
      <c r="F638" s="6" t="inlineStr">
        <is>
          <t>YACYRETA</t>
        </is>
      </c>
      <c r="G638" s="6" t="inlineStr">
        <is>
          <t>YACYRETA</t>
        </is>
      </c>
      <c r="H638" s="6" t="inlineStr">
        <is>
          <t>SADI</t>
        </is>
      </c>
      <c r="I638" s="8" t="n">
        <v>1102080</v>
      </c>
      <c r="J638" s="6" t="inlineStr">
        <is>
          <t>MWh</t>
        </is>
      </c>
      <c r="K638" s="8" t="n">
        <v>1102080</v>
      </c>
      <c r="L638" s="6" t="inlineStr">
        <is>
          <t>MWh</t>
        </is>
      </c>
      <c r="M638" s="6" t="inlineStr">
        <is>
          <t>EBY</t>
        </is>
      </c>
      <c r="N638" s="6" t="inlineStr">
        <is>
          <t>OFFICIAL_PRIMARY</t>
        </is>
      </c>
      <c r="O638" s="9" t="inlineStr">
        <is>
          <t>OFFICIAL_AGGREGATE</t>
        </is>
      </c>
      <c r="P638" s="8" t="n">
        <v>1</v>
      </c>
      <c r="Q638" s="8" t="n">
        <v>50</v>
      </c>
      <c r="R638" s="7" t="inlineStr">
        <is>
          <t>https://www.eby.gov.py/wp-content/uploads/2019/12/YacyretaEnergiasMensualesDesdePuestaenMarcha.pdf</t>
        </is>
      </c>
      <c r="S638" s="6" t="inlineStr">
        <is>
          <t>EBY-MONTHLY-1994-2012</t>
        </is>
      </c>
      <c r="T638" s="6" t="inlineStr"/>
      <c r="U638" s="4" t="inlineStr">
        <is>
          <t>2026-09-10 23:00:00</t>
        </is>
      </c>
      <c r="V638" s="4" t="inlineStr">
        <is>
          <t>Energia mensual entregada al SADI.</t>
        </is>
      </c>
    </row>
    <row r="639">
      <c r="A639" s="6" t="inlineStr">
        <is>
          <t>R0000643</t>
        </is>
      </c>
      <c r="B639" s="6" t="inlineStr">
        <is>
          <t>2008-01-01</t>
        </is>
      </c>
      <c r="C639" s="6" t="inlineStr">
        <is>
          <t>2008-01-31</t>
        </is>
      </c>
      <c r="D639" s="6" t="inlineStr">
        <is>
          <t>month</t>
        </is>
      </c>
      <c r="E639" s="6" t="inlineStr">
        <is>
          <t>ENERGY_TO_PY</t>
        </is>
      </c>
      <c r="F639" s="6" t="inlineStr">
        <is>
          <t>YACYRETA</t>
        </is>
      </c>
      <c r="G639" s="6" t="inlineStr">
        <is>
          <t>YACYRETA</t>
        </is>
      </c>
      <c r="H639" s="6" t="inlineStr">
        <is>
          <t>SINP</t>
        </is>
      </c>
      <c r="I639" s="8" t="n">
        <v>116441</v>
      </c>
      <c r="J639" s="6" t="inlineStr">
        <is>
          <t>MWh</t>
        </is>
      </c>
      <c r="K639" s="8" t="n">
        <v>116441</v>
      </c>
      <c r="L639" s="6" t="inlineStr">
        <is>
          <t>MWh</t>
        </is>
      </c>
      <c r="M639" s="6" t="inlineStr">
        <is>
          <t>EBY</t>
        </is>
      </c>
      <c r="N639" s="6" t="inlineStr">
        <is>
          <t>OFFICIAL_PRIMARY</t>
        </is>
      </c>
      <c r="O639" s="9" t="inlineStr">
        <is>
          <t>OFFICIAL_AGGREGATE</t>
        </is>
      </c>
      <c r="P639" s="8" t="n">
        <v>1</v>
      </c>
      <c r="Q639" s="8" t="n">
        <v>50</v>
      </c>
      <c r="R639" s="7" t="inlineStr">
        <is>
          <t>https://www.eby.gov.py/wp-content/uploads/2019/12/YacyretaEnergiasMensualesDesdePuestaenMarcha.pdf</t>
        </is>
      </c>
      <c r="S639" s="6" t="inlineStr">
        <is>
          <t>EBY-MONTHLY-1994-2012</t>
        </is>
      </c>
      <c r="T639" s="6" t="inlineStr"/>
      <c r="U639" s="4" t="inlineStr">
        <is>
          <t>2026-09-10 23:00:00</t>
        </is>
      </c>
      <c r="V639" s="4" t="inlineStr">
        <is>
          <t>Energia mensual entregada al SINP.</t>
        </is>
      </c>
    </row>
    <row r="640">
      <c r="A640" s="6" t="inlineStr">
        <is>
          <t>R0000644</t>
        </is>
      </c>
      <c r="B640" s="6" t="inlineStr">
        <is>
          <t>2008-02-01</t>
        </is>
      </c>
      <c r="C640" s="6" t="inlineStr">
        <is>
          <t>2008-02-29</t>
        </is>
      </c>
      <c r="D640" s="6" t="inlineStr">
        <is>
          <t>month</t>
        </is>
      </c>
      <c r="E640" s="6" t="inlineStr">
        <is>
          <t>YACYRETA_NET_ENERGY</t>
        </is>
      </c>
      <c r="F640" s="6" t="inlineStr">
        <is>
          <t>YACYRETA</t>
        </is>
      </c>
      <c r="G640" s="6" t="inlineStr">
        <is>
          <t>YACYRETA</t>
        </is>
      </c>
      <c r="H640" s="6" t="inlineStr">
        <is>
          <t>TOTAL</t>
        </is>
      </c>
      <c r="I640" s="8" t="n">
        <v>1083946</v>
      </c>
      <c r="J640" s="6" t="inlineStr">
        <is>
          <t>MWh</t>
        </is>
      </c>
      <c r="K640" s="8" t="n">
        <v>1083946</v>
      </c>
      <c r="L640" s="6" t="inlineStr">
        <is>
          <t>MWh</t>
        </is>
      </c>
      <c r="M640" s="6" t="inlineStr">
        <is>
          <t>EBY</t>
        </is>
      </c>
      <c r="N640" s="6" t="inlineStr">
        <is>
          <t>OFFICIAL_PRIMARY</t>
        </is>
      </c>
      <c r="O640" s="9" t="inlineStr">
        <is>
          <t>OFFICIAL_AGGREGATE</t>
        </is>
      </c>
      <c r="P640" s="8" t="n">
        <v>1</v>
      </c>
      <c r="Q640" s="8" t="n">
        <v>50</v>
      </c>
      <c r="R640" s="7" t="inlineStr">
        <is>
          <t>https://www.eby.gov.py/wp-content/uploads/2019/12/YacyretaEnergiasMensualesDesdePuestaenMarcha.pdf</t>
        </is>
      </c>
      <c r="S640" s="6" t="inlineStr">
        <is>
          <t>EBY-MONTHLY-1994-2012</t>
        </is>
      </c>
      <c r="T640" s="6" t="inlineStr"/>
      <c r="U640" s="4" t="inlineStr">
        <is>
          <t>2026-09-10 23:00:00</t>
        </is>
      </c>
      <c r="V640" s="4" t="inlineStr">
        <is>
          <t>Energia mensual Yacyreta desde puesta en marcha.</t>
        </is>
      </c>
    </row>
    <row r="641">
      <c r="A641" s="6" t="inlineStr">
        <is>
          <t>R0000645</t>
        </is>
      </c>
      <c r="B641" s="6" t="inlineStr">
        <is>
          <t>2008-02-01</t>
        </is>
      </c>
      <c r="C641" s="6" t="inlineStr">
        <is>
          <t>2008-02-29</t>
        </is>
      </c>
      <c r="D641" s="6" t="inlineStr">
        <is>
          <t>month</t>
        </is>
      </c>
      <c r="E641" s="6" t="inlineStr">
        <is>
          <t>ENERGY_TO_ARGENTINA</t>
        </is>
      </c>
      <c r="F641" s="6" t="inlineStr">
        <is>
          <t>YACYRETA</t>
        </is>
      </c>
      <c r="G641" s="6" t="inlineStr">
        <is>
          <t>YACYRETA</t>
        </is>
      </c>
      <c r="H641" s="6" t="inlineStr">
        <is>
          <t>SADI</t>
        </is>
      </c>
      <c r="I641" s="8" t="n">
        <v>972838</v>
      </c>
      <c r="J641" s="6" t="inlineStr">
        <is>
          <t>MWh</t>
        </is>
      </c>
      <c r="K641" s="8" t="n">
        <v>972838</v>
      </c>
      <c r="L641" s="6" t="inlineStr">
        <is>
          <t>MWh</t>
        </is>
      </c>
      <c r="M641" s="6" t="inlineStr">
        <is>
          <t>EBY</t>
        </is>
      </c>
      <c r="N641" s="6" t="inlineStr">
        <is>
          <t>OFFICIAL_PRIMARY</t>
        </is>
      </c>
      <c r="O641" s="9" t="inlineStr">
        <is>
          <t>OFFICIAL_AGGREGATE</t>
        </is>
      </c>
      <c r="P641" s="8" t="n">
        <v>1</v>
      </c>
      <c r="Q641" s="8" t="n">
        <v>50</v>
      </c>
      <c r="R641" s="7" t="inlineStr">
        <is>
          <t>https://www.eby.gov.py/wp-content/uploads/2019/12/YacyretaEnergiasMensualesDesdePuestaenMarcha.pdf</t>
        </is>
      </c>
      <c r="S641" s="6" t="inlineStr">
        <is>
          <t>EBY-MONTHLY-1994-2012</t>
        </is>
      </c>
      <c r="T641" s="6" t="inlineStr"/>
      <c r="U641" s="4" t="inlineStr">
        <is>
          <t>2026-09-10 23:00:00</t>
        </is>
      </c>
      <c r="V641" s="4" t="inlineStr">
        <is>
          <t>Energia mensual entregada al SADI.</t>
        </is>
      </c>
    </row>
    <row r="642">
      <c r="A642" s="6" t="inlineStr">
        <is>
          <t>R0000646</t>
        </is>
      </c>
      <c r="B642" s="6" t="inlineStr">
        <is>
          <t>2008-02-01</t>
        </is>
      </c>
      <c r="C642" s="6" t="inlineStr">
        <is>
          <t>2008-02-29</t>
        </is>
      </c>
      <c r="D642" s="6" t="inlineStr">
        <is>
          <t>month</t>
        </is>
      </c>
      <c r="E642" s="6" t="inlineStr">
        <is>
          <t>ENERGY_TO_PY</t>
        </is>
      </c>
      <c r="F642" s="6" t="inlineStr">
        <is>
          <t>YACYRETA</t>
        </is>
      </c>
      <c r="G642" s="6" t="inlineStr">
        <is>
          <t>YACYRETA</t>
        </is>
      </c>
      <c r="H642" s="6" t="inlineStr">
        <is>
          <t>SINP</t>
        </is>
      </c>
      <c r="I642" s="8" t="n">
        <v>111108</v>
      </c>
      <c r="J642" s="6" t="inlineStr">
        <is>
          <t>MWh</t>
        </is>
      </c>
      <c r="K642" s="8" t="n">
        <v>111108</v>
      </c>
      <c r="L642" s="6" t="inlineStr">
        <is>
          <t>MWh</t>
        </is>
      </c>
      <c r="M642" s="6" t="inlineStr">
        <is>
          <t>EBY</t>
        </is>
      </c>
      <c r="N642" s="6" t="inlineStr">
        <is>
          <t>OFFICIAL_PRIMARY</t>
        </is>
      </c>
      <c r="O642" s="9" t="inlineStr">
        <is>
          <t>OFFICIAL_AGGREGATE</t>
        </is>
      </c>
      <c r="P642" s="8" t="n">
        <v>1</v>
      </c>
      <c r="Q642" s="8" t="n">
        <v>50</v>
      </c>
      <c r="R642" s="7" t="inlineStr">
        <is>
          <t>https://www.eby.gov.py/wp-content/uploads/2019/12/YacyretaEnergiasMensualesDesdePuestaenMarcha.pdf</t>
        </is>
      </c>
      <c r="S642" s="6" t="inlineStr">
        <is>
          <t>EBY-MONTHLY-1994-2012</t>
        </is>
      </c>
      <c r="T642" s="6" t="inlineStr"/>
      <c r="U642" s="4" t="inlineStr">
        <is>
          <t>2026-09-10 23:00:00</t>
        </is>
      </c>
      <c r="V642" s="4" t="inlineStr">
        <is>
          <t>Energia mensual entregada al SINP.</t>
        </is>
      </c>
    </row>
    <row r="643">
      <c r="A643" s="6" t="inlineStr">
        <is>
          <t>R0000647</t>
        </is>
      </c>
      <c r="B643" s="6" t="inlineStr">
        <is>
          <t>2008-03-01</t>
        </is>
      </c>
      <c r="C643" s="6" t="inlineStr">
        <is>
          <t>2008-03-31</t>
        </is>
      </c>
      <c r="D643" s="6" t="inlineStr">
        <is>
          <t>month</t>
        </is>
      </c>
      <c r="E643" s="6" t="inlineStr">
        <is>
          <t>YACYRETA_NET_ENERGY</t>
        </is>
      </c>
      <c r="F643" s="6" t="inlineStr">
        <is>
          <t>YACYRETA</t>
        </is>
      </c>
      <c r="G643" s="6" t="inlineStr">
        <is>
          <t>YACYRETA</t>
        </is>
      </c>
      <c r="H643" s="6" t="inlineStr">
        <is>
          <t>TOTAL</t>
        </is>
      </c>
      <c r="I643" s="8" t="n">
        <v>1209133</v>
      </c>
      <c r="J643" s="6" t="inlineStr">
        <is>
          <t>MWh</t>
        </is>
      </c>
      <c r="K643" s="8" t="n">
        <v>1209133</v>
      </c>
      <c r="L643" s="6" t="inlineStr">
        <is>
          <t>MWh</t>
        </is>
      </c>
      <c r="M643" s="6" t="inlineStr">
        <is>
          <t>EBY</t>
        </is>
      </c>
      <c r="N643" s="6" t="inlineStr">
        <is>
          <t>OFFICIAL_PRIMARY</t>
        </is>
      </c>
      <c r="O643" s="9" t="inlineStr">
        <is>
          <t>OFFICIAL_AGGREGATE</t>
        </is>
      </c>
      <c r="P643" s="8" t="n">
        <v>1</v>
      </c>
      <c r="Q643" s="8" t="n">
        <v>50</v>
      </c>
      <c r="R643" s="7" t="inlineStr">
        <is>
          <t>https://www.eby.gov.py/wp-content/uploads/2019/12/YacyretaEnergiasMensualesDesdePuestaenMarcha.pdf</t>
        </is>
      </c>
      <c r="S643" s="6" t="inlineStr">
        <is>
          <t>EBY-MONTHLY-1994-2012</t>
        </is>
      </c>
      <c r="T643" s="6" t="inlineStr"/>
      <c r="U643" s="4" t="inlineStr">
        <is>
          <t>2026-09-10 23:00:00</t>
        </is>
      </c>
      <c r="V643" s="4" t="inlineStr">
        <is>
          <t>Energia mensual Yacyreta desde puesta en marcha.</t>
        </is>
      </c>
    </row>
    <row r="644">
      <c r="A644" s="6" t="inlineStr">
        <is>
          <t>R0000648</t>
        </is>
      </c>
      <c r="B644" s="6" t="inlineStr">
        <is>
          <t>2008-03-01</t>
        </is>
      </c>
      <c r="C644" s="6" t="inlineStr">
        <is>
          <t>2008-03-31</t>
        </is>
      </c>
      <c r="D644" s="6" t="inlineStr">
        <is>
          <t>month</t>
        </is>
      </c>
      <c r="E644" s="6" t="inlineStr">
        <is>
          <t>ENERGY_TO_ARGENTINA</t>
        </is>
      </c>
      <c r="F644" s="6" t="inlineStr">
        <is>
          <t>YACYRETA</t>
        </is>
      </c>
      <c r="G644" s="6" t="inlineStr">
        <is>
          <t>YACYRETA</t>
        </is>
      </c>
      <c r="H644" s="6" t="inlineStr">
        <is>
          <t>SADI</t>
        </is>
      </c>
      <c r="I644" s="8" t="n">
        <v>1098754</v>
      </c>
      <c r="J644" s="6" t="inlineStr">
        <is>
          <t>MWh</t>
        </is>
      </c>
      <c r="K644" s="8" t="n">
        <v>1098754</v>
      </c>
      <c r="L644" s="6" t="inlineStr">
        <is>
          <t>MWh</t>
        </is>
      </c>
      <c r="M644" s="6" t="inlineStr">
        <is>
          <t>EBY</t>
        </is>
      </c>
      <c r="N644" s="6" t="inlineStr">
        <is>
          <t>OFFICIAL_PRIMARY</t>
        </is>
      </c>
      <c r="O644" s="9" t="inlineStr">
        <is>
          <t>OFFICIAL_AGGREGATE</t>
        </is>
      </c>
      <c r="P644" s="8" t="n">
        <v>1</v>
      </c>
      <c r="Q644" s="8" t="n">
        <v>50</v>
      </c>
      <c r="R644" s="7" t="inlineStr">
        <is>
          <t>https://www.eby.gov.py/wp-content/uploads/2019/12/YacyretaEnergiasMensualesDesdePuestaenMarcha.pdf</t>
        </is>
      </c>
      <c r="S644" s="6" t="inlineStr">
        <is>
          <t>EBY-MONTHLY-1994-2012</t>
        </is>
      </c>
      <c r="T644" s="6" t="inlineStr"/>
      <c r="U644" s="4" t="inlineStr">
        <is>
          <t>2026-09-10 23:00:00</t>
        </is>
      </c>
      <c r="V644" s="4" t="inlineStr">
        <is>
          <t>Energia mensual entregada al SADI.</t>
        </is>
      </c>
    </row>
    <row r="645">
      <c r="A645" s="6" t="inlineStr">
        <is>
          <t>R0000649</t>
        </is>
      </c>
      <c r="B645" s="6" t="inlineStr">
        <is>
          <t>2008-03-01</t>
        </is>
      </c>
      <c r="C645" s="6" t="inlineStr">
        <is>
          <t>2008-03-31</t>
        </is>
      </c>
      <c r="D645" s="6" t="inlineStr">
        <is>
          <t>month</t>
        </is>
      </c>
      <c r="E645" s="6" t="inlineStr">
        <is>
          <t>ENERGY_TO_PY</t>
        </is>
      </c>
      <c r="F645" s="6" t="inlineStr">
        <is>
          <t>YACYRETA</t>
        </is>
      </c>
      <c r="G645" s="6" t="inlineStr">
        <is>
          <t>YACYRETA</t>
        </is>
      </c>
      <c r="H645" s="6" t="inlineStr">
        <is>
          <t>SINP</t>
        </is>
      </c>
      <c r="I645" s="8" t="n">
        <v>110379</v>
      </c>
      <c r="J645" s="6" t="inlineStr">
        <is>
          <t>MWh</t>
        </is>
      </c>
      <c r="K645" s="8" t="n">
        <v>110379</v>
      </c>
      <c r="L645" s="6" t="inlineStr">
        <is>
          <t>MWh</t>
        </is>
      </c>
      <c r="M645" s="6" t="inlineStr">
        <is>
          <t>EBY</t>
        </is>
      </c>
      <c r="N645" s="6" t="inlineStr">
        <is>
          <t>OFFICIAL_PRIMARY</t>
        </is>
      </c>
      <c r="O645" s="9" t="inlineStr">
        <is>
          <t>OFFICIAL_AGGREGATE</t>
        </is>
      </c>
      <c r="P645" s="8" t="n">
        <v>1</v>
      </c>
      <c r="Q645" s="8" t="n">
        <v>50</v>
      </c>
      <c r="R645" s="7" t="inlineStr">
        <is>
          <t>https://www.eby.gov.py/wp-content/uploads/2019/12/YacyretaEnergiasMensualesDesdePuestaenMarcha.pdf</t>
        </is>
      </c>
      <c r="S645" s="6" t="inlineStr">
        <is>
          <t>EBY-MONTHLY-1994-2012</t>
        </is>
      </c>
      <c r="T645" s="6" t="inlineStr"/>
      <c r="U645" s="4" t="inlineStr">
        <is>
          <t>2026-09-10 23:00:00</t>
        </is>
      </c>
      <c r="V645" s="4" t="inlineStr">
        <is>
          <t>Energia mensual entregada al SINP.</t>
        </is>
      </c>
    </row>
    <row r="646">
      <c r="A646" s="6" t="inlineStr">
        <is>
          <t>R0000650</t>
        </is>
      </c>
      <c r="B646" s="6" t="inlineStr">
        <is>
          <t>2008-04-01</t>
        </is>
      </c>
      <c r="C646" s="6" t="inlineStr">
        <is>
          <t>2008-04-30</t>
        </is>
      </c>
      <c r="D646" s="6" t="inlineStr">
        <is>
          <t>month</t>
        </is>
      </c>
      <c r="E646" s="6" t="inlineStr">
        <is>
          <t>YACYRETA_NET_ENERGY</t>
        </is>
      </c>
      <c r="F646" s="6" t="inlineStr">
        <is>
          <t>YACYRETA</t>
        </is>
      </c>
      <c r="G646" s="6" t="inlineStr">
        <is>
          <t>YACYRETA</t>
        </is>
      </c>
      <c r="H646" s="6" t="inlineStr">
        <is>
          <t>TOTAL</t>
        </is>
      </c>
      <c r="I646" s="8" t="n">
        <v>1317078</v>
      </c>
      <c r="J646" s="6" t="inlineStr">
        <is>
          <t>MWh</t>
        </is>
      </c>
      <c r="K646" s="8" t="n">
        <v>1317078</v>
      </c>
      <c r="L646" s="6" t="inlineStr">
        <is>
          <t>MWh</t>
        </is>
      </c>
      <c r="M646" s="6" t="inlineStr">
        <is>
          <t>EBY</t>
        </is>
      </c>
      <c r="N646" s="6" t="inlineStr">
        <is>
          <t>OFFICIAL_PRIMARY</t>
        </is>
      </c>
      <c r="O646" s="9" t="inlineStr">
        <is>
          <t>OFFICIAL_AGGREGATE</t>
        </is>
      </c>
      <c r="P646" s="8" t="n">
        <v>1</v>
      </c>
      <c r="Q646" s="8" t="n">
        <v>50</v>
      </c>
      <c r="R646" s="7" t="inlineStr">
        <is>
          <t>https://www.eby.gov.py/wp-content/uploads/2019/12/YacyretaEnergiasMensualesDesdePuestaenMarcha.pdf</t>
        </is>
      </c>
      <c r="S646" s="6" t="inlineStr">
        <is>
          <t>EBY-MONTHLY-1994-2012</t>
        </is>
      </c>
      <c r="T646" s="6" t="inlineStr"/>
      <c r="U646" s="4" t="inlineStr">
        <is>
          <t>2026-09-10 23:00:00</t>
        </is>
      </c>
      <c r="V646" s="4" t="inlineStr">
        <is>
          <t>Energia mensual Yacyreta desde puesta en marcha.</t>
        </is>
      </c>
    </row>
    <row r="647">
      <c r="A647" s="6" t="inlineStr">
        <is>
          <t>R0000651</t>
        </is>
      </c>
      <c r="B647" s="6" t="inlineStr">
        <is>
          <t>2008-04-01</t>
        </is>
      </c>
      <c r="C647" s="6" t="inlineStr">
        <is>
          <t>2008-04-30</t>
        </is>
      </c>
      <c r="D647" s="6" t="inlineStr">
        <is>
          <t>month</t>
        </is>
      </c>
      <c r="E647" s="6" t="inlineStr">
        <is>
          <t>ENERGY_TO_ARGENTINA</t>
        </is>
      </c>
      <c r="F647" s="6" t="inlineStr">
        <is>
          <t>YACYRETA</t>
        </is>
      </c>
      <c r="G647" s="6" t="inlineStr">
        <is>
          <t>YACYRETA</t>
        </is>
      </c>
      <c r="H647" s="6" t="inlineStr">
        <is>
          <t>SADI</t>
        </is>
      </c>
      <c r="I647" s="8" t="n">
        <v>1232714</v>
      </c>
      <c r="J647" s="6" t="inlineStr">
        <is>
          <t>MWh</t>
        </is>
      </c>
      <c r="K647" s="8" t="n">
        <v>1232714</v>
      </c>
      <c r="L647" s="6" t="inlineStr">
        <is>
          <t>MWh</t>
        </is>
      </c>
      <c r="M647" s="6" t="inlineStr">
        <is>
          <t>EBY</t>
        </is>
      </c>
      <c r="N647" s="6" t="inlineStr">
        <is>
          <t>OFFICIAL_PRIMARY</t>
        </is>
      </c>
      <c r="O647" s="9" t="inlineStr">
        <is>
          <t>OFFICIAL_AGGREGATE</t>
        </is>
      </c>
      <c r="P647" s="8" t="n">
        <v>1</v>
      </c>
      <c r="Q647" s="8" t="n">
        <v>50</v>
      </c>
      <c r="R647" s="7" t="inlineStr">
        <is>
          <t>https://www.eby.gov.py/wp-content/uploads/2019/12/YacyretaEnergiasMensualesDesdePuestaenMarcha.pdf</t>
        </is>
      </c>
      <c r="S647" s="6" t="inlineStr">
        <is>
          <t>EBY-MONTHLY-1994-2012</t>
        </is>
      </c>
      <c r="T647" s="6" t="inlineStr"/>
      <c r="U647" s="4" t="inlineStr">
        <is>
          <t>2026-09-10 23:00:00</t>
        </is>
      </c>
      <c r="V647" s="4" t="inlineStr">
        <is>
          <t>Energia mensual entregada al SADI.</t>
        </is>
      </c>
    </row>
    <row r="648">
      <c r="A648" s="6" t="inlineStr">
        <is>
          <t>R0000652</t>
        </is>
      </c>
      <c r="B648" s="6" t="inlineStr">
        <is>
          <t>2008-04-01</t>
        </is>
      </c>
      <c r="C648" s="6" t="inlineStr">
        <is>
          <t>2008-04-30</t>
        </is>
      </c>
      <c r="D648" s="6" t="inlineStr">
        <is>
          <t>month</t>
        </is>
      </c>
      <c r="E648" s="6" t="inlineStr">
        <is>
          <t>ENERGY_TO_PY</t>
        </is>
      </c>
      <c r="F648" s="6" t="inlineStr">
        <is>
          <t>YACYRETA</t>
        </is>
      </c>
      <c r="G648" s="6" t="inlineStr">
        <is>
          <t>YACYRETA</t>
        </is>
      </c>
      <c r="H648" s="6" t="inlineStr">
        <is>
          <t>SINP</t>
        </is>
      </c>
      <c r="I648" s="8" t="n">
        <v>84364</v>
      </c>
      <c r="J648" s="6" t="inlineStr">
        <is>
          <t>MWh</t>
        </is>
      </c>
      <c r="K648" s="8" t="n">
        <v>84364</v>
      </c>
      <c r="L648" s="6" t="inlineStr">
        <is>
          <t>MWh</t>
        </is>
      </c>
      <c r="M648" s="6" t="inlineStr">
        <is>
          <t>EBY</t>
        </is>
      </c>
      <c r="N648" s="6" t="inlineStr">
        <is>
          <t>OFFICIAL_PRIMARY</t>
        </is>
      </c>
      <c r="O648" s="9" t="inlineStr">
        <is>
          <t>OFFICIAL_AGGREGATE</t>
        </is>
      </c>
      <c r="P648" s="8" t="n">
        <v>1</v>
      </c>
      <c r="Q648" s="8" t="n">
        <v>50</v>
      </c>
      <c r="R648" s="7" t="inlineStr">
        <is>
          <t>https://www.eby.gov.py/wp-content/uploads/2019/12/YacyretaEnergiasMensualesDesdePuestaenMarcha.pdf</t>
        </is>
      </c>
      <c r="S648" s="6" t="inlineStr">
        <is>
          <t>EBY-MONTHLY-1994-2012</t>
        </is>
      </c>
      <c r="T648" s="6" t="inlineStr"/>
      <c r="U648" s="4" t="inlineStr">
        <is>
          <t>2026-09-10 23:00:00</t>
        </is>
      </c>
      <c r="V648" s="4" t="inlineStr">
        <is>
          <t>Energia mensual entregada al SINP.</t>
        </is>
      </c>
    </row>
    <row r="649">
      <c r="A649" s="6" t="inlineStr">
        <is>
          <t>R0000653</t>
        </is>
      </c>
      <c r="B649" s="6" t="inlineStr">
        <is>
          <t>2008-05-01</t>
        </is>
      </c>
      <c r="C649" s="6" t="inlineStr">
        <is>
          <t>2008-05-31</t>
        </is>
      </c>
      <c r="D649" s="6" t="inlineStr">
        <is>
          <t>month</t>
        </is>
      </c>
      <c r="E649" s="6" t="inlineStr">
        <is>
          <t>YACYRETA_NET_ENERGY</t>
        </is>
      </c>
      <c r="F649" s="6" t="inlineStr">
        <is>
          <t>YACYRETA</t>
        </is>
      </c>
      <c r="G649" s="6" t="inlineStr">
        <is>
          <t>YACYRETA</t>
        </is>
      </c>
      <c r="H649" s="6" t="inlineStr">
        <is>
          <t>TOTAL</t>
        </is>
      </c>
      <c r="I649" s="8" t="n">
        <v>1240590</v>
      </c>
      <c r="J649" s="6" t="inlineStr">
        <is>
          <t>MWh</t>
        </is>
      </c>
      <c r="K649" s="8" t="n">
        <v>1240590</v>
      </c>
      <c r="L649" s="6" t="inlineStr">
        <is>
          <t>MWh</t>
        </is>
      </c>
      <c r="M649" s="6" t="inlineStr">
        <is>
          <t>EBY</t>
        </is>
      </c>
      <c r="N649" s="6" t="inlineStr">
        <is>
          <t>OFFICIAL_PRIMARY</t>
        </is>
      </c>
      <c r="O649" s="9" t="inlineStr">
        <is>
          <t>OFFICIAL_AGGREGATE</t>
        </is>
      </c>
      <c r="P649" s="8" t="n">
        <v>1</v>
      </c>
      <c r="Q649" s="8" t="n">
        <v>50</v>
      </c>
      <c r="R649" s="7" t="inlineStr">
        <is>
          <t>https://www.eby.gov.py/wp-content/uploads/2019/12/YacyretaEnergiasMensualesDesdePuestaenMarcha.pdf</t>
        </is>
      </c>
      <c r="S649" s="6" t="inlineStr">
        <is>
          <t>EBY-MONTHLY-1994-2012</t>
        </is>
      </c>
      <c r="T649" s="6" t="inlineStr"/>
      <c r="U649" s="4" t="inlineStr">
        <is>
          <t>2026-09-10 23:00:00</t>
        </is>
      </c>
      <c r="V649" s="4" t="inlineStr">
        <is>
          <t>Energia mensual Yacyreta desde puesta en marcha.</t>
        </is>
      </c>
    </row>
    <row r="650">
      <c r="A650" s="6" t="inlineStr">
        <is>
          <t>R0000654</t>
        </is>
      </c>
      <c r="B650" s="6" t="inlineStr">
        <is>
          <t>2008-05-01</t>
        </is>
      </c>
      <c r="C650" s="6" t="inlineStr">
        <is>
          <t>2008-05-31</t>
        </is>
      </c>
      <c r="D650" s="6" t="inlineStr">
        <is>
          <t>month</t>
        </is>
      </c>
      <c r="E650" s="6" t="inlineStr">
        <is>
          <t>ENERGY_TO_ARGENTINA</t>
        </is>
      </c>
      <c r="F650" s="6" t="inlineStr">
        <is>
          <t>YACYRETA</t>
        </is>
      </c>
      <c r="G650" s="6" t="inlineStr">
        <is>
          <t>YACYRETA</t>
        </is>
      </c>
      <c r="H650" s="6" t="inlineStr">
        <is>
          <t>SADI</t>
        </is>
      </c>
      <c r="I650" s="8" t="n">
        <v>1147350</v>
      </c>
      <c r="J650" s="6" t="inlineStr">
        <is>
          <t>MWh</t>
        </is>
      </c>
      <c r="K650" s="8" t="n">
        <v>1147350</v>
      </c>
      <c r="L650" s="6" t="inlineStr">
        <is>
          <t>MWh</t>
        </is>
      </c>
      <c r="M650" s="6" t="inlineStr">
        <is>
          <t>EBY</t>
        </is>
      </c>
      <c r="N650" s="6" t="inlineStr">
        <is>
          <t>OFFICIAL_PRIMARY</t>
        </is>
      </c>
      <c r="O650" s="9" t="inlineStr">
        <is>
          <t>OFFICIAL_AGGREGATE</t>
        </is>
      </c>
      <c r="P650" s="8" t="n">
        <v>1</v>
      </c>
      <c r="Q650" s="8" t="n">
        <v>50</v>
      </c>
      <c r="R650" s="7" t="inlineStr">
        <is>
          <t>https://www.eby.gov.py/wp-content/uploads/2019/12/YacyretaEnergiasMensualesDesdePuestaenMarcha.pdf</t>
        </is>
      </c>
      <c r="S650" s="6" t="inlineStr">
        <is>
          <t>EBY-MONTHLY-1994-2012</t>
        </is>
      </c>
      <c r="T650" s="6" t="inlineStr"/>
      <c r="U650" s="4" t="inlineStr">
        <is>
          <t>2026-09-10 23:00:00</t>
        </is>
      </c>
      <c r="V650" s="4" t="inlineStr">
        <is>
          <t>Energia mensual entregada al SADI.</t>
        </is>
      </c>
    </row>
    <row r="651">
      <c r="A651" s="6" t="inlineStr">
        <is>
          <t>R0000655</t>
        </is>
      </c>
      <c r="B651" s="6" t="inlineStr">
        <is>
          <t>2008-05-01</t>
        </is>
      </c>
      <c r="C651" s="6" t="inlineStr">
        <is>
          <t>2008-05-31</t>
        </is>
      </c>
      <c r="D651" s="6" t="inlineStr">
        <is>
          <t>month</t>
        </is>
      </c>
      <c r="E651" s="6" t="inlineStr">
        <is>
          <t>ENERGY_TO_PY</t>
        </is>
      </c>
      <c r="F651" s="6" t="inlineStr">
        <is>
          <t>YACYRETA</t>
        </is>
      </c>
      <c r="G651" s="6" t="inlineStr">
        <is>
          <t>YACYRETA</t>
        </is>
      </c>
      <c r="H651" s="6" t="inlineStr">
        <is>
          <t>SINP</t>
        </is>
      </c>
      <c r="I651" s="8" t="n">
        <v>93240</v>
      </c>
      <c r="J651" s="6" t="inlineStr">
        <is>
          <t>MWh</t>
        </is>
      </c>
      <c r="K651" s="8" t="n">
        <v>93240</v>
      </c>
      <c r="L651" s="6" t="inlineStr">
        <is>
          <t>MWh</t>
        </is>
      </c>
      <c r="M651" s="6" t="inlineStr">
        <is>
          <t>EBY</t>
        </is>
      </c>
      <c r="N651" s="6" t="inlineStr">
        <is>
          <t>OFFICIAL_PRIMARY</t>
        </is>
      </c>
      <c r="O651" s="9" t="inlineStr">
        <is>
          <t>OFFICIAL_AGGREGATE</t>
        </is>
      </c>
      <c r="P651" s="8" t="n">
        <v>1</v>
      </c>
      <c r="Q651" s="8" t="n">
        <v>50</v>
      </c>
      <c r="R651" s="7" t="inlineStr">
        <is>
          <t>https://www.eby.gov.py/wp-content/uploads/2019/12/YacyretaEnergiasMensualesDesdePuestaenMarcha.pdf</t>
        </is>
      </c>
      <c r="S651" s="6" t="inlineStr">
        <is>
          <t>EBY-MONTHLY-1994-2012</t>
        </is>
      </c>
      <c r="T651" s="6" t="inlineStr"/>
      <c r="U651" s="4" t="inlineStr">
        <is>
          <t>2026-09-10 23:00:00</t>
        </is>
      </c>
      <c r="V651" s="4" t="inlineStr">
        <is>
          <t>Energia mensual entregada al SINP.</t>
        </is>
      </c>
    </row>
    <row r="652">
      <c r="A652" s="6" t="inlineStr">
        <is>
          <t>R0000656</t>
        </is>
      </c>
      <c r="B652" s="6" t="inlineStr">
        <is>
          <t>2008-06-01</t>
        </is>
      </c>
      <c r="C652" s="6" t="inlineStr">
        <is>
          <t>2008-06-30</t>
        </is>
      </c>
      <c r="D652" s="6" t="inlineStr">
        <is>
          <t>month</t>
        </is>
      </c>
      <c r="E652" s="6" t="inlineStr">
        <is>
          <t>YACYRETA_NET_ENERGY</t>
        </is>
      </c>
      <c r="F652" s="6" t="inlineStr">
        <is>
          <t>YACYRETA</t>
        </is>
      </c>
      <c r="G652" s="6" t="inlineStr">
        <is>
          <t>YACYRETA</t>
        </is>
      </c>
      <c r="H652" s="6" t="inlineStr">
        <is>
          <t>TOTAL</t>
        </is>
      </c>
      <c r="I652" s="8" t="n">
        <v>1266174</v>
      </c>
      <c r="J652" s="6" t="inlineStr">
        <is>
          <t>MWh</t>
        </is>
      </c>
      <c r="K652" s="8" t="n">
        <v>1266174</v>
      </c>
      <c r="L652" s="6" t="inlineStr">
        <is>
          <t>MWh</t>
        </is>
      </c>
      <c r="M652" s="6" t="inlineStr">
        <is>
          <t>EBY</t>
        </is>
      </c>
      <c r="N652" s="6" t="inlineStr">
        <is>
          <t>OFFICIAL_PRIMARY</t>
        </is>
      </c>
      <c r="O652" s="9" t="inlineStr">
        <is>
          <t>OFFICIAL_AGGREGATE</t>
        </is>
      </c>
      <c r="P652" s="8" t="n">
        <v>1</v>
      </c>
      <c r="Q652" s="8" t="n">
        <v>50</v>
      </c>
      <c r="R652" s="7" t="inlineStr">
        <is>
          <t>https://www.eby.gov.py/wp-content/uploads/2019/12/YacyretaEnergiasMensualesDesdePuestaenMarcha.pdf</t>
        </is>
      </c>
      <c r="S652" s="6" t="inlineStr">
        <is>
          <t>EBY-MONTHLY-1994-2012</t>
        </is>
      </c>
      <c r="T652" s="6" t="inlineStr"/>
      <c r="U652" s="4" t="inlineStr">
        <is>
          <t>2026-09-10 23:00:00</t>
        </is>
      </c>
      <c r="V652" s="4" t="inlineStr">
        <is>
          <t>Energia mensual Yacyreta desde puesta en marcha.</t>
        </is>
      </c>
    </row>
    <row r="653">
      <c r="A653" s="6" t="inlineStr">
        <is>
          <t>R0000657</t>
        </is>
      </c>
      <c r="B653" s="6" t="inlineStr">
        <is>
          <t>2008-06-01</t>
        </is>
      </c>
      <c r="C653" s="6" t="inlineStr">
        <is>
          <t>2008-06-30</t>
        </is>
      </c>
      <c r="D653" s="6" t="inlineStr">
        <is>
          <t>month</t>
        </is>
      </c>
      <c r="E653" s="6" t="inlineStr">
        <is>
          <t>ENERGY_TO_ARGENTINA</t>
        </is>
      </c>
      <c r="F653" s="6" t="inlineStr">
        <is>
          <t>YACYRETA</t>
        </is>
      </c>
      <c r="G653" s="6" t="inlineStr">
        <is>
          <t>YACYRETA</t>
        </is>
      </c>
      <c r="H653" s="6" t="inlineStr">
        <is>
          <t>SADI</t>
        </is>
      </c>
      <c r="I653" s="8" t="n">
        <v>1223762</v>
      </c>
      <c r="J653" s="6" t="inlineStr">
        <is>
          <t>MWh</t>
        </is>
      </c>
      <c r="K653" s="8" t="n">
        <v>1223762</v>
      </c>
      <c r="L653" s="6" t="inlineStr">
        <is>
          <t>MWh</t>
        </is>
      </c>
      <c r="M653" s="6" t="inlineStr">
        <is>
          <t>EBY</t>
        </is>
      </c>
      <c r="N653" s="6" t="inlineStr">
        <is>
          <t>OFFICIAL_PRIMARY</t>
        </is>
      </c>
      <c r="O653" s="9" t="inlineStr">
        <is>
          <t>OFFICIAL_AGGREGATE</t>
        </is>
      </c>
      <c r="P653" s="8" t="n">
        <v>1</v>
      </c>
      <c r="Q653" s="8" t="n">
        <v>50</v>
      </c>
      <c r="R653" s="7" t="inlineStr">
        <is>
          <t>https://www.eby.gov.py/wp-content/uploads/2019/12/YacyretaEnergiasMensualesDesdePuestaenMarcha.pdf</t>
        </is>
      </c>
      <c r="S653" s="6" t="inlineStr">
        <is>
          <t>EBY-MONTHLY-1994-2012</t>
        </is>
      </c>
      <c r="T653" s="6" t="inlineStr"/>
      <c r="U653" s="4" t="inlineStr">
        <is>
          <t>2026-09-10 23:00:00</t>
        </is>
      </c>
      <c r="V653" s="4" t="inlineStr">
        <is>
          <t>Energia mensual entregada al SADI.</t>
        </is>
      </c>
    </row>
    <row r="654">
      <c r="A654" s="6" t="inlineStr">
        <is>
          <t>R0000658</t>
        </is>
      </c>
      <c r="B654" s="6" t="inlineStr">
        <is>
          <t>2008-06-01</t>
        </is>
      </c>
      <c r="C654" s="6" t="inlineStr">
        <is>
          <t>2008-06-30</t>
        </is>
      </c>
      <c r="D654" s="6" t="inlineStr">
        <is>
          <t>month</t>
        </is>
      </c>
      <c r="E654" s="6" t="inlineStr">
        <is>
          <t>ENERGY_TO_PY</t>
        </is>
      </c>
      <c r="F654" s="6" t="inlineStr">
        <is>
          <t>YACYRETA</t>
        </is>
      </c>
      <c r="G654" s="6" t="inlineStr">
        <is>
          <t>YACYRETA</t>
        </is>
      </c>
      <c r="H654" s="6" t="inlineStr">
        <is>
          <t>SINP</t>
        </is>
      </c>
      <c r="I654" s="8" t="n">
        <v>42412</v>
      </c>
      <c r="J654" s="6" t="inlineStr">
        <is>
          <t>MWh</t>
        </is>
      </c>
      <c r="K654" s="8" t="n">
        <v>42412</v>
      </c>
      <c r="L654" s="6" t="inlineStr">
        <is>
          <t>MWh</t>
        </is>
      </c>
      <c r="M654" s="6" t="inlineStr">
        <is>
          <t>EBY</t>
        </is>
      </c>
      <c r="N654" s="6" t="inlineStr">
        <is>
          <t>OFFICIAL_PRIMARY</t>
        </is>
      </c>
      <c r="O654" s="9" t="inlineStr">
        <is>
          <t>OFFICIAL_AGGREGATE</t>
        </is>
      </c>
      <c r="P654" s="8" t="n">
        <v>1</v>
      </c>
      <c r="Q654" s="8" t="n">
        <v>50</v>
      </c>
      <c r="R654" s="7" t="inlineStr">
        <is>
          <t>https://www.eby.gov.py/wp-content/uploads/2019/12/YacyretaEnergiasMensualesDesdePuestaenMarcha.pdf</t>
        </is>
      </c>
      <c r="S654" s="6" t="inlineStr">
        <is>
          <t>EBY-MONTHLY-1994-2012</t>
        </is>
      </c>
      <c r="T654" s="6" t="inlineStr"/>
      <c r="U654" s="4" t="inlineStr">
        <is>
          <t>2026-09-10 23:00:00</t>
        </is>
      </c>
      <c r="V654" s="4" t="inlineStr">
        <is>
          <t>Energia mensual entregada al SINP.</t>
        </is>
      </c>
    </row>
    <row r="655">
      <c r="A655" s="6" t="inlineStr">
        <is>
          <t>R0000659</t>
        </is>
      </c>
      <c r="B655" s="6" t="inlineStr">
        <is>
          <t>2008-07-01</t>
        </is>
      </c>
      <c r="C655" s="6" t="inlineStr">
        <is>
          <t>2008-07-31</t>
        </is>
      </c>
      <c r="D655" s="6" t="inlineStr">
        <is>
          <t>month</t>
        </is>
      </c>
      <c r="E655" s="6" t="inlineStr">
        <is>
          <t>YACYRETA_NET_ENERGY</t>
        </is>
      </c>
      <c r="F655" s="6" t="inlineStr">
        <is>
          <t>YACYRETA</t>
        </is>
      </c>
      <c r="G655" s="6" t="inlineStr">
        <is>
          <t>YACYRETA</t>
        </is>
      </c>
      <c r="H655" s="6" t="inlineStr">
        <is>
          <t>TOTAL</t>
        </is>
      </c>
      <c r="I655" s="8" t="n">
        <v>1233797</v>
      </c>
      <c r="J655" s="6" t="inlineStr">
        <is>
          <t>MWh</t>
        </is>
      </c>
      <c r="K655" s="8" t="n">
        <v>1233797</v>
      </c>
      <c r="L655" s="6" t="inlineStr">
        <is>
          <t>MWh</t>
        </is>
      </c>
      <c r="M655" s="6" t="inlineStr">
        <is>
          <t>EBY</t>
        </is>
      </c>
      <c r="N655" s="6" t="inlineStr">
        <is>
          <t>OFFICIAL_PRIMARY</t>
        </is>
      </c>
      <c r="O655" s="9" t="inlineStr">
        <is>
          <t>OFFICIAL_AGGREGATE</t>
        </is>
      </c>
      <c r="P655" s="8" t="n">
        <v>1</v>
      </c>
      <c r="Q655" s="8" t="n">
        <v>50</v>
      </c>
      <c r="R655" s="7" t="inlineStr">
        <is>
          <t>https://www.eby.gov.py/wp-content/uploads/2019/12/YacyretaEnergiasMensualesDesdePuestaenMarcha.pdf</t>
        </is>
      </c>
      <c r="S655" s="6" t="inlineStr">
        <is>
          <t>EBY-MONTHLY-1994-2012</t>
        </is>
      </c>
      <c r="T655" s="6" t="inlineStr"/>
      <c r="U655" s="4" t="inlineStr">
        <is>
          <t>2026-09-10 23:00:00</t>
        </is>
      </c>
      <c r="V655" s="4" t="inlineStr">
        <is>
          <t>Energia mensual Yacyreta desde puesta en marcha.</t>
        </is>
      </c>
    </row>
    <row r="656">
      <c r="A656" s="6" t="inlineStr">
        <is>
          <t>R0000660</t>
        </is>
      </c>
      <c r="B656" s="6" t="inlineStr">
        <is>
          <t>2008-07-01</t>
        </is>
      </c>
      <c r="C656" s="6" t="inlineStr">
        <is>
          <t>2008-07-31</t>
        </is>
      </c>
      <c r="D656" s="6" t="inlineStr">
        <is>
          <t>month</t>
        </is>
      </c>
      <c r="E656" s="6" t="inlineStr">
        <is>
          <t>ENERGY_TO_ARGENTINA</t>
        </is>
      </c>
      <c r="F656" s="6" t="inlineStr">
        <is>
          <t>YACYRETA</t>
        </is>
      </c>
      <c r="G656" s="6" t="inlineStr">
        <is>
          <t>YACYRETA</t>
        </is>
      </c>
      <c r="H656" s="6" t="inlineStr">
        <is>
          <t>SADI</t>
        </is>
      </c>
      <c r="I656" s="8" t="n">
        <v>1184080</v>
      </c>
      <c r="J656" s="6" t="inlineStr">
        <is>
          <t>MWh</t>
        </is>
      </c>
      <c r="K656" s="8" t="n">
        <v>1184080</v>
      </c>
      <c r="L656" s="6" t="inlineStr">
        <is>
          <t>MWh</t>
        </is>
      </c>
      <c r="M656" s="6" t="inlineStr">
        <is>
          <t>EBY</t>
        </is>
      </c>
      <c r="N656" s="6" t="inlineStr">
        <is>
          <t>OFFICIAL_PRIMARY</t>
        </is>
      </c>
      <c r="O656" s="9" t="inlineStr">
        <is>
          <t>OFFICIAL_AGGREGATE</t>
        </is>
      </c>
      <c r="P656" s="8" t="n">
        <v>1</v>
      </c>
      <c r="Q656" s="8" t="n">
        <v>50</v>
      </c>
      <c r="R656" s="7" t="inlineStr">
        <is>
          <t>https://www.eby.gov.py/wp-content/uploads/2019/12/YacyretaEnergiasMensualesDesdePuestaenMarcha.pdf</t>
        </is>
      </c>
      <c r="S656" s="6" t="inlineStr">
        <is>
          <t>EBY-MONTHLY-1994-2012</t>
        </is>
      </c>
      <c r="T656" s="6" t="inlineStr"/>
      <c r="U656" s="4" t="inlineStr">
        <is>
          <t>2026-09-10 23:00:00</t>
        </is>
      </c>
      <c r="V656" s="4" t="inlineStr">
        <is>
          <t>Energia mensual entregada al SADI.</t>
        </is>
      </c>
    </row>
    <row r="657">
      <c r="A657" s="6" t="inlineStr">
        <is>
          <t>R0000661</t>
        </is>
      </c>
      <c r="B657" s="6" t="inlineStr">
        <is>
          <t>2008-07-01</t>
        </is>
      </c>
      <c r="C657" s="6" t="inlineStr">
        <is>
          <t>2008-07-31</t>
        </is>
      </c>
      <c r="D657" s="6" t="inlineStr">
        <is>
          <t>month</t>
        </is>
      </c>
      <c r="E657" s="6" t="inlineStr">
        <is>
          <t>ENERGY_TO_PY</t>
        </is>
      </c>
      <c r="F657" s="6" t="inlineStr">
        <is>
          <t>YACYRETA</t>
        </is>
      </c>
      <c r="G657" s="6" t="inlineStr">
        <is>
          <t>YACYRETA</t>
        </is>
      </c>
      <c r="H657" s="6" t="inlineStr">
        <is>
          <t>SINP</t>
        </is>
      </c>
      <c r="I657" s="8" t="n">
        <v>49717</v>
      </c>
      <c r="J657" s="6" t="inlineStr">
        <is>
          <t>MWh</t>
        </is>
      </c>
      <c r="K657" s="8" t="n">
        <v>49717</v>
      </c>
      <c r="L657" s="6" t="inlineStr">
        <is>
          <t>MWh</t>
        </is>
      </c>
      <c r="M657" s="6" t="inlineStr">
        <is>
          <t>EBY</t>
        </is>
      </c>
      <c r="N657" s="6" t="inlineStr">
        <is>
          <t>OFFICIAL_PRIMARY</t>
        </is>
      </c>
      <c r="O657" s="9" t="inlineStr">
        <is>
          <t>OFFICIAL_AGGREGATE</t>
        </is>
      </c>
      <c r="P657" s="8" t="n">
        <v>1</v>
      </c>
      <c r="Q657" s="8" t="n">
        <v>50</v>
      </c>
      <c r="R657" s="7" t="inlineStr">
        <is>
          <t>https://www.eby.gov.py/wp-content/uploads/2019/12/YacyretaEnergiasMensualesDesdePuestaenMarcha.pdf</t>
        </is>
      </c>
      <c r="S657" s="6" t="inlineStr">
        <is>
          <t>EBY-MONTHLY-1994-2012</t>
        </is>
      </c>
      <c r="T657" s="6" t="inlineStr"/>
      <c r="U657" s="4" t="inlineStr">
        <is>
          <t>2026-09-10 23:00:00</t>
        </is>
      </c>
      <c r="V657" s="4" t="inlineStr">
        <is>
          <t>Energia mensual entregada al SINP.</t>
        </is>
      </c>
    </row>
    <row r="658">
      <c r="A658" s="6" t="inlineStr">
        <is>
          <t>R0000662</t>
        </is>
      </c>
      <c r="B658" s="6" t="inlineStr">
        <is>
          <t>2008-08-01</t>
        </is>
      </c>
      <c r="C658" s="6" t="inlineStr">
        <is>
          <t>2008-08-31</t>
        </is>
      </c>
      <c r="D658" s="6" t="inlineStr">
        <is>
          <t>month</t>
        </is>
      </c>
      <c r="E658" s="6" t="inlineStr">
        <is>
          <t>YACYRETA_NET_ENERGY</t>
        </is>
      </c>
      <c r="F658" s="6" t="inlineStr">
        <is>
          <t>YACYRETA</t>
        </is>
      </c>
      <c r="G658" s="6" t="inlineStr">
        <is>
          <t>YACYRETA</t>
        </is>
      </c>
      <c r="H658" s="6" t="inlineStr">
        <is>
          <t>TOTAL</t>
        </is>
      </c>
      <c r="I658" s="8" t="n">
        <v>1438480</v>
      </c>
      <c r="J658" s="6" t="inlineStr">
        <is>
          <t>MWh</t>
        </is>
      </c>
      <c r="K658" s="8" t="n">
        <v>1438480</v>
      </c>
      <c r="L658" s="6" t="inlineStr">
        <is>
          <t>MWh</t>
        </is>
      </c>
      <c r="M658" s="6" t="inlineStr">
        <is>
          <t>EBY</t>
        </is>
      </c>
      <c r="N658" s="6" t="inlineStr">
        <is>
          <t>OFFICIAL_PRIMARY</t>
        </is>
      </c>
      <c r="O658" s="9" t="inlineStr">
        <is>
          <t>OFFICIAL_AGGREGATE</t>
        </is>
      </c>
      <c r="P658" s="8" t="n">
        <v>1</v>
      </c>
      <c r="Q658" s="8" t="n">
        <v>50</v>
      </c>
      <c r="R658" s="7" t="inlineStr">
        <is>
          <t>https://www.eby.gov.py/wp-content/uploads/2019/12/YacyretaEnergiasMensualesDesdePuestaenMarcha.pdf</t>
        </is>
      </c>
      <c r="S658" s="6" t="inlineStr">
        <is>
          <t>EBY-MONTHLY-1994-2012</t>
        </is>
      </c>
      <c r="T658" s="6" t="inlineStr"/>
      <c r="U658" s="4" t="inlineStr">
        <is>
          <t>2026-09-10 23:00:00</t>
        </is>
      </c>
      <c r="V658" s="4" t="inlineStr">
        <is>
          <t>Energia mensual Yacyreta desde puesta en marcha.</t>
        </is>
      </c>
    </row>
    <row r="659">
      <c r="A659" s="6" t="inlineStr">
        <is>
          <t>R0000663</t>
        </is>
      </c>
      <c r="B659" s="6" t="inlineStr">
        <is>
          <t>2008-08-01</t>
        </is>
      </c>
      <c r="C659" s="6" t="inlineStr">
        <is>
          <t>2008-08-31</t>
        </is>
      </c>
      <c r="D659" s="6" t="inlineStr">
        <is>
          <t>month</t>
        </is>
      </c>
      <c r="E659" s="6" t="inlineStr">
        <is>
          <t>ENERGY_TO_ARGENTINA</t>
        </is>
      </c>
      <c r="F659" s="6" t="inlineStr">
        <is>
          <t>YACYRETA</t>
        </is>
      </c>
      <c r="G659" s="6" t="inlineStr">
        <is>
          <t>YACYRETA</t>
        </is>
      </c>
      <c r="H659" s="6" t="inlineStr">
        <is>
          <t>SADI</t>
        </is>
      </c>
      <c r="I659" s="8" t="n">
        <v>1376542</v>
      </c>
      <c r="J659" s="6" t="inlineStr">
        <is>
          <t>MWh</t>
        </is>
      </c>
      <c r="K659" s="8" t="n">
        <v>1376542</v>
      </c>
      <c r="L659" s="6" t="inlineStr">
        <is>
          <t>MWh</t>
        </is>
      </c>
      <c r="M659" s="6" t="inlineStr">
        <is>
          <t>EBY</t>
        </is>
      </c>
      <c r="N659" s="6" t="inlineStr">
        <is>
          <t>OFFICIAL_PRIMARY</t>
        </is>
      </c>
      <c r="O659" s="9" t="inlineStr">
        <is>
          <t>OFFICIAL_AGGREGATE</t>
        </is>
      </c>
      <c r="P659" s="8" t="n">
        <v>1</v>
      </c>
      <c r="Q659" s="8" t="n">
        <v>50</v>
      </c>
      <c r="R659" s="7" t="inlineStr">
        <is>
          <t>https://www.eby.gov.py/wp-content/uploads/2019/12/YacyretaEnergiasMensualesDesdePuestaenMarcha.pdf</t>
        </is>
      </c>
      <c r="S659" s="6" t="inlineStr">
        <is>
          <t>EBY-MONTHLY-1994-2012</t>
        </is>
      </c>
      <c r="T659" s="6" t="inlineStr"/>
      <c r="U659" s="4" t="inlineStr">
        <is>
          <t>2026-09-10 23:00:00</t>
        </is>
      </c>
      <c r="V659" s="4" t="inlineStr">
        <is>
          <t>Energia mensual entregada al SADI.</t>
        </is>
      </c>
    </row>
    <row r="660">
      <c r="A660" s="6" t="inlineStr">
        <is>
          <t>R0000664</t>
        </is>
      </c>
      <c r="B660" s="6" t="inlineStr">
        <is>
          <t>2008-08-01</t>
        </is>
      </c>
      <c r="C660" s="6" t="inlineStr">
        <is>
          <t>2008-08-31</t>
        </is>
      </c>
      <c r="D660" s="6" t="inlineStr">
        <is>
          <t>month</t>
        </is>
      </c>
      <c r="E660" s="6" t="inlineStr">
        <is>
          <t>ENERGY_TO_PY</t>
        </is>
      </c>
      <c r="F660" s="6" t="inlineStr">
        <is>
          <t>YACYRETA</t>
        </is>
      </c>
      <c r="G660" s="6" t="inlineStr">
        <is>
          <t>YACYRETA</t>
        </is>
      </c>
      <c r="H660" s="6" t="inlineStr">
        <is>
          <t>SINP</t>
        </is>
      </c>
      <c r="I660" s="8" t="n">
        <v>61938</v>
      </c>
      <c r="J660" s="6" t="inlineStr">
        <is>
          <t>MWh</t>
        </is>
      </c>
      <c r="K660" s="8" t="n">
        <v>61938</v>
      </c>
      <c r="L660" s="6" t="inlineStr">
        <is>
          <t>MWh</t>
        </is>
      </c>
      <c r="M660" s="6" t="inlineStr">
        <is>
          <t>EBY</t>
        </is>
      </c>
      <c r="N660" s="6" t="inlineStr">
        <is>
          <t>OFFICIAL_PRIMARY</t>
        </is>
      </c>
      <c r="O660" s="9" t="inlineStr">
        <is>
          <t>OFFICIAL_AGGREGATE</t>
        </is>
      </c>
      <c r="P660" s="8" t="n">
        <v>1</v>
      </c>
      <c r="Q660" s="8" t="n">
        <v>50</v>
      </c>
      <c r="R660" s="7" t="inlineStr">
        <is>
          <t>https://www.eby.gov.py/wp-content/uploads/2019/12/YacyretaEnergiasMensualesDesdePuestaenMarcha.pdf</t>
        </is>
      </c>
      <c r="S660" s="6" t="inlineStr">
        <is>
          <t>EBY-MONTHLY-1994-2012</t>
        </is>
      </c>
      <c r="T660" s="6" t="inlineStr"/>
      <c r="U660" s="4" t="inlineStr">
        <is>
          <t>2026-09-10 23:00:00</t>
        </is>
      </c>
      <c r="V660" s="4" t="inlineStr">
        <is>
          <t>Energia mensual entregada al SINP.</t>
        </is>
      </c>
    </row>
    <row r="661">
      <c r="A661" s="6" t="inlineStr">
        <is>
          <t>R0000665</t>
        </is>
      </c>
      <c r="B661" s="6" t="inlineStr">
        <is>
          <t>2008-09-01</t>
        </is>
      </c>
      <c r="C661" s="6" t="inlineStr">
        <is>
          <t>2008-09-30</t>
        </is>
      </c>
      <c r="D661" s="6" t="inlineStr">
        <is>
          <t>month</t>
        </is>
      </c>
      <c r="E661" s="6" t="inlineStr">
        <is>
          <t>YACYRETA_NET_ENERGY</t>
        </is>
      </c>
      <c r="F661" s="6" t="inlineStr">
        <is>
          <t>YACYRETA</t>
        </is>
      </c>
      <c r="G661" s="6" t="inlineStr">
        <is>
          <t>YACYRETA</t>
        </is>
      </c>
      <c r="H661" s="6" t="inlineStr">
        <is>
          <t>TOTAL</t>
        </is>
      </c>
      <c r="I661" s="8" t="n">
        <v>1146781</v>
      </c>
      <c r="J661" s="6" t="inlineStr">
        <is>
          <t>MWh</t>
        </is>
      </c>
      <c r="K661" s="8" t="n">
        <v>1146781</v>
      </c>
      <c r="L661" s="6" t="inlineStr">
        <is>
          <t>MWh</t>
        </is>
      </c>
      <c r="M661" s="6" t="inlineStr">
        <is>
          <t>EBY</t>
        </is>
      </c>
      <c r="N661" s="6" t="inlineStr">
        <is>
          <t>OFFICIAL_PRIMARY</t>
        </is>
      </c>
      <c r="O661" s="9" t="inlineStr">
        <is>
          <t>OFFICIAL_AGGREGATE</t>
        </is>
      </c>
      <c r="P661" s="8" t="n">
        <v>1</v>
      </c>
      <c r="Q661" s="8" t="n">
        <v>50</v>
      </c>
      <c r="R661" s="7" t="inlineStr">
        <is>
          <t>https://www.eby.gov.py/wp-content/uploads/2019/12/YacyretaEnergiasMensualesDesdePuestaenMarcha.pdf</t>
        </is>
      </c>
      <c r="S661" s="6" t="inlineStr">
        <is>
          <t>EBY-MONTHLY-1994-2012</t>
        </is>
      </c>
      <c r="T661" s="6" t="inlineStr"/>
      <c r="U661" s="4" t="inlineStr">
        <is>
          <t>2026-09-10 23:00:00</t>
        </is>
      </c>
      <c r="V661" s="4" t="inlineStr">
        <is>
          <t>Energia mensual Yacyreta desde puesta en marcha.</t>
        </is>
      </c>
    </row>
    <row r="662">
      <c r="A662" s="6" t="inlineStr">
        <is>
          <t>R0000666</t>
        </is>
      </c>
      <c r="B662" s="6" t="inlineStr">
        <is>
          <t>2008-09-01</t>
        </is>
      </c>
      <c r="C662" s="6" t="inlineStr">
        <is>
          <t>2008-09-30</t>
        </is>
      </c>
      <c r="D662" s="6" t="inlineStr">
        <is>
          <t>month</t>
        </is>
      </c>
      <c r="E662" s="6" t="inlineStr">
        <is>
          <t>ENERGY_TO_ARGENTINA</t>
        </is>
      </c>
      <c r="F662" s="6" t="inlineStr">
        <is>
          <t>YACYRETA</t>
        </is>
      </c>
      <c r="G662" s="6" t="inlineStr">
        <is>
          <t>YACYRETA</t>
        </is>
      </c>
      <c r="H662" s="6" t="inlineStr">
        <is>
          <t>SADI</t>
        </is>
      </c>
      <c r="I662" s="8" t="n">
        <v>1054674</v>
      </c>
      <c r="J662" s="6" t="inlineStr">
        <is>
          <t>MWh</t>
        </is>
      </c>
      <c r="K662" s="8" t="n">
        <v>1054674</v>
      </c>
      <c r="L662" s="6" t="inlineStr">
        <is>
          <t>MWh</t>
        </is>
      </c>
      <c r="M662" s="6" t="inlineStr">
        <is>
          <t>EBY</t>
        </is>
      </c>
      <c r="N662" s="6" t="inlineStr">
        <is>
          <t>OFFICIAL_PRIMARY</t>
        </is>
      </c>
      <c r="O662" s="9" t="inlineStr">
        <is>
          <t>OFFICIAL_AGGREGATE</t>
        </is>
      </c>
      <c r="P662" s="8" t="n">
        <v>1</v>
      </c>
      <c r="Q662" s="8" t="n">
        <v>50</v>
      </c>
      <c r="R662" s="7" t="inlineStr">
        <is>
          <t>https://www.eby.gov.py/wp-content/uploads/2019/12/YacyretaEnergiasMensualesDesdePuestaenMarcha.pdf</t>
        </is>
      </c>
      <c r="S662" s="6" t="inlineStr">
        <is>
          <t>EBY-MONTHLY-1994-2012</t>
        </is>
      </c>
      <c r="T662" s="6" t="inlineStr"/>
      <c r="U662" s="4" t="inlineStr">
        <is>
          <t>2026-09-10 23:00:00</t>
        </is>
      </c>
      <c r="V662" s="4" t="inlineStr">
        <is>
          <t>Energia mensual entregada al SADI.</t>
        </is>
      </c>
    </row>
    <row r="663">
      <c r="A663" s="6" t="inlineStr">
        <is>
          <t>R0000667</t>
        </is>
      </c>
      <c r="B663" s="6" t="inlineStr">
        <is>
          <t>2008-09-01</t>
        </is>
      </c>
      <c r="C663" s="6" t="inlineStr">
        <is>
          <t>2008-09-30</t>
        </is>
      </c>
      <c r="D663" s="6" t="inlineStr">
        <is>
          <t>month</t>
        </is>
      </c>
      <c r="E663" s="6" t="inlineStr">
        <is>
          <t>ENERGY_TO_PY</t>
        </is>
      </c>
      <c r="F663" s="6" t="inlineStr">
        <is>
          <t>YACYRETA</t>
        </is>
      </c>
      <c r="G663" s="6" t="inlineStr">
        <is>
          <t>YACYRETA</t>
        </is>
      </c>
      <c r="H663" s="6" t="inlineStr">
        <is>
          <t>SINP</t>
        </is>
      </c>
      <c r="I663" s="8" t="n">
        <v>92107</v>
      </c>
      <c r="J663" s="6" t="inlineStr">
        <is>
          <t>MWh</t>
        </is>
      </c>
      <c r="K663" s="8" t="n">
        <v>92107</v>
      </c>
      <c r="L663" s="6" t="inlineStr">
        <is>
          <t>MWh</t>
        </is>
      </c>
      <c r="M663" s="6" t="inlineStr">
        <is>
          <t>EBY</t>
        </is>
      </c>
      <c r="N663" s="6" t="inlineStr">
        <is>
          <t>OFFICIAL_PRIMARY</t>
        </is>
      </c>
      <c r="O663" s="9" t="inlineStr">
        <is>
          <t>OFFICIAL_AGGREGATE</t>
        </is>
      </c>
      <c r="P663" s="8" t="n">
        <v>1</v>
      </c>
      <c r="Q663" s="8" t="n">
        <v>50</v>
      </c>
      <c r="R663" s="7" t="inlineStr">
        <is>
          <t>https://www.eby.gov.py/wp-content/uploads/2019/12/YacyretaEnergiasMensualesDesdePuestaenMarcha.pdf</t>
        </is>
      </c>
      <c r="S663" s="6" t="inlineStr">
        <is>
          <t>EBY-MONTHLY-1994-2012</t>
        </is>
      </c>
      <c r="T663" s="6" t="inlineStr"/>
      <c r="U663" s="4" t="inlineStr">
        <is>
          <t>2026-09-10 23:00:00</t>
        </is>
      </c>
      <c r="V663" s="4" t="inlineStr">
        <is>
          <t>Energia mensual entregada al SINP.</t>
        </is>
      </c>
    </row>
    <row r="664">
      <c r="A664" s="6" t="inlineStr">
        <is>
          <t>R0000668</t>
        </is>
      </c>
      <c r="B664" s="6" t="inlineStr">
        <is>
          <t>2008-10-01</t>
        </is>
      </c>
      <c r="C664" s="6" t="inlineStr">
        <is>
          <t>2008-10-31</t>
        </is>
      </c>
      <c r="D664" s="6" t="inlineStr">
        <is>
          <t>month</t>
        </is>
      </c>
      <c r="E664" s="6" t="inlineStr">
        <is>
          <t>YACYRETA_NET_ENERGY</t>
        </is>
      </c>
      <c r="F664" s="6" t="inlineStr">
        <is>
          <t>YACYRETA</t>
        </is>
      </c>
      <c r="G664" s="6" t="inlineStr">
        <is>
          <t>YACYRETA</t>
        </is>
      </c>
      <c r="H664" s="6" t="inlineStr">
        <is>
          <t>TOTAL</t>
        </is>
      </c>
      <c r="I664" s="8" t="n">
        <v>1399238</v>
      </c>
      <c r="J664" s="6" t="inlineStr">
        <is>
          <t>MWh</t>
        </is>
      </c>
      <c r="K664" s="8" t="n">
        <v>1399238</v>
      </c>
      <c r="L664" s="6" t="inlineStr">
        <is>
          <t>MWh</t>
        </is>
      </c>
      <c r="M664" s="6" t="inlineStr">
        <is>
          <t>EBY</t>
        </is>
      </c>
      <c r="N664" s="6" t="inlineStr">
        <is>
          <t>OFFICIAL_PRIMARY</t>
        </is>
      </c>
      <c r="O664" s="9" t="inlineStr">
        <is>
          <t>OFFICIAL_AGGREGATE</t>
        </is>
      </c>
      <c r="P664" s="8" t="n">
        <v>1</v>
      </c>
      <c r="Q664" s="8" t="n">
        <v>50</v>
      </c>
      <c r="R664" s="7" t="inlineStr">
        <is>
          <t>https://www.eby.gov.py/wp-content/uploads/2019/12/YacyretaEnergiasMensualesDesdePuestaenMarcha.pdf</t>
        </is>
      </c>
      <c r="S664" s="6" t="inlineStr">
        <is>
          <t>EBY-MONTHLY-1994-2012</t>
        </is>
      </c>
      <c r="T664" s="6" t="inlineStr"/>
      <c r="U664" s="4" t="inlineStr">
        <is>
          <t>2026-09-10 23:00:00</t>
        </is>
      </c>
      <c r="V664" s="4" t="inlineStr">
        <is>
          <t>Energia mensual Yacyreta desde puesta en marcha.</t>
        </is>
      </c>
    </row>
    <row r="665">
      <c r="A665" s="6" t="inlineStr">
        <is>
          <t>R0000669</t>
        </is>
      </c>
      <c r="B665" s="6" t="inlineStr">
        <is>
          <t>2008-10-01</t>
        </is>
      </c>
      <c r="C665" s="6" t="inlineStr">
        <is>
          <t>2008-10-31</t>
        </is>
      </c>
      <c r="D665" s="6" t="inlineStr">
        <is>
          <t>month</t>
        </is>
      </c>
      <c r="E665" s="6" t="inlineStr">
        <is>
          <t>ENERGY_TO_ARGENTINA</t>
        </is>
      </c>
      <c r="F665" s="6" t="inlineStr">
        <is>
          <t>YACYRETA</t>
        </is>
      </c>
      <c r="G665" s="6" t="inlineStr">
        <is>
          <t>YACYRETA</t>
        </is>
      </c>
      <c r="H665" s="6" t="inlineStr">
        <is>
          <t>SADI</t>
        </is>
      </c>
      <c r="I665" s="8" t="n">
        <v>1284036</v>
      </c>
      <c r="J665" s="6" t="inlineStr">
        <is>
          <t>MWh</t>
        </is>
      </c>
      <c r="K665" s="8" t="n">
        <v>1284036</v>
      </c>
      <c r="L665" s="6" t="inlineStr">
        <is>
          <t>MWh</t>
        </is>
      </c>
      <c r="M665" s="6" t="inlineStr">
        <is>
          <t>EBY</t>
        </is>
      </c>
      <c r="N665" s="6" t="inlineStr">
        <is>
          <t>OFFICIAL_PRIMARY</t>
        </is>
      </c>
      <c r="O665" s="9" t="inlineStr">
        <is>
          <t>OFFICIAL_AGGREGATE</t>
        </is>
      </c>
      <c r="P665" s="8" t="n">
        <v>1</v>
      </c>
      <c r="Q665" s="8" t="n">
        <v>50</v>
      </c>
      <c r="R665" s="7" t="inlineStr">
        <is>
          <t>https://www.eby.gov.py/wp-content/uploads/2019/12/YacyretaEnergiasMensualesDesdePuestaenMarcha.pdf</t>
        </is>
      </c>
      <c r="S665" s="6" t="inlineStr">
        <is>
          <t>EBY-MONTHLY-1994-2012</t>
        </is>
      </c>
      <c r="T665" s="6" t="inlineStr"/>
      <c r="U665" s="4" t="inlineStr">
        <is>
          <t>2026-09-10 23:00:00</t>
        </is>
      </c>
      <c r="V665" s="4" t="inlineStr">
        <is>
          <t>Energia mensual entregada al SADI.</t>
        </is>
      </c>
    </row>
    <row r="666">
      <c r="A666" s="6" t="inlineStr">
        <is>
          <t>R0000670</t>
        </is>
      </c>
      <c r="B666" s="6" t="inlineStr">
        <is>
          <t>2008-10-01</t>
        </is>
      </c>
      <c r="C666" s="6" t="inlineStr">
        <is>
          <t>2008-10-31</t>
        </is>
      </c>
      <c r="D666" s="6" t="inlineStr">
        <is>
          <t>month</t>
        </is>
      </c>
      <c r="E666" s="6" t="inlineStr">
        <is>
          <t>ENERGY_TO_PY</t>
        </is>
      </c>
      <c r="F666" s="6" t="inlineStr">
        <is>
          <t>YACYRETA</t>
        </is>
      </c>
      <c r="G666" s="6" t="inlineStr">
        <is>
          <t>YACYRETA</t>
        </is>
      </c>
      <c r="H666" s="6" t="inlineStr">
        <is>
          <t>SINP</t>
        </is>
      </c>
      <c r="I666" s="8" t="n">
        <v>115202</v>
      </c>
      <c r="J666" s="6" t="inlineStr">
        <is>
          <t>MWh</t>
        </is>
      </c>
      <c r="K666" s="8" t="n">
        <v>115202</v>
      </c>
      <c r="L666" s="6" t="inlineStr">
        <is>
          <t>MWh</t>
        </is>
      </c>
      <c r="M666" s="6" t="inlineStr">
        <is>
          <t>EBY</t>
        </is>
      </c>
      <c r="N666" s="6" t="inlineStr">
        <is>
          <t>OFFICIAL_PRIMARY</t>
        </is>
      </c>
      <c r="O666" s="9" t="inlineStr">
        <is>
          <t>OFFICIAL_AGGREGATE</t>
        </is>
      </c>
      <c r="P666" s="8" t="n">
        <v>1</v>
      </c>
      <c r="Q666" s="8" t="n">
        <v>50</v>
      </c>
      <c r="R666" s="7" t="inlineStr">
        <is>
          <t>https://www.eby.gov.py/wp-content/uploads/2019/12/YacyretaEnergiasMensualesDesdePuestaenMarcha.pdf</t>
        </is>
      </c>
      <c r="S666" s="6" t="inlineStr">
        <is>
          <t>EBY-MONTHLY-1994-2012</t>
        </is>
      </c>
      <c r="T666" s="6" t="inlineStr"/>
      <c r="U666" s="4" t="inlineStr">
        <is>
          <t>2026-09-10 23:00:00</t>
        </is>
      </c>
      <c r="V666" s="4" t="inlineStr">
        <is>
          <t>Energia mensual entregada al SINP.</t>
        </is>
      </c>
    </row>
    <row r="667">
      <c r="A667" s="6" t="inlineStr">
        <is>
          <t>R0000671</t>
        </is>
      </c>
      <c r="B667" s="6" t="inlineStr">
        <is>
          <t>2008-11-01</t>
        </is>
      </c>
      <c r="C667" s="6" t="inlineStr">
        <is>
          <t>2008-11-30</t>
        </is>
      </c>
      <c r="D667" s="6" t="inlineStr">
        <is>
          <t>month</t>
        </is>
      </c>
      <c r="E667" s="6" t="inlineStr">
        <is>
          <t>YACYRETA_NET_ENERGY</t>
        </is>
      </c>
      <c r="F667" s="6" t="inlineStr">
        <is>
          <t>YACYRETA</t>
        </is>
      </c>
      <c r="G667" s="6" t="inlineStr">
        <is>
          <t>YACYRETA</t>
        </is>
      </c>
      <c r="H667" s="6" t="inlineStr">
        <is>
          <t>TOTAL</t>
        </is>
      </c>
      <c r="I667" s="8" t="n">
        <v>1392275</v>
      </c>
      <c r="J667" s="6" t="inlineStr">
        <is>
          <t>MWh</t>
        </is>
      </c>
      <c r="K667" s="8" t="n">
        <v>1392275</v>
      </c>
      <c r="L667" s="6" t="inlineStr">
        <is>
          <t>MWh</t>
        </is>
      </c>
      <c r="M667" s="6" t="inlineStr">
        <is>
          <t>EBY</t>
        </is>
      </c>
      <c r="N667" s="6" t="inlineStr">
        <is>
          <t>OFFICIAL_PRIMARY</t>
        </is>
      </c>
      <c r="O667" s="9" t="inlineStr">
        <is>
          <t>OFFICIAL_AGGREGATE</t>
        </is>
      </c>
      <c r="P667" s="8" t="n">
        <v>1</v>
      </c>
      <c r="Q667" s="8" t="n">
        <v>50</v>
      </c>
      <c r="R667" s="7" t="inlineStr">
        <is>
          <t>https://www.eby.gov.py/wp-content/uploads/2019/12/YacyretaEnergiasMensualesDesdePuestaenMarcha.pdf</t>
        </is>
      </c>
      <c r="S667" s="6" t="inlineStr">
        <is>
          <t>EBY-MONTHLY-1994-2012</t>
        </is>
      </c>
      <c r="T667" s="6" t="inlineStr"/>
      <c r="U667" s="4" t="inlineStr">
        <is>
          <t>2026-09-10 23:00:00</t>
        </is>
      </c>
      <c r="V667" s="4" t="inlineStr">
        <is>
          <t>Energia mensual Yacyreta desde puesta en marcha.</t>
        </is>
      </c>
    </row>
    <row r="668">
      <c r="A668" s="6" t="inlineStr">
        <is>
          <t>R0000672</t>
        </is>
      </c>
      <c r="B668" s="6" t="inlineStr">
        <is>
          <t>2008-11-01</t>
        </is>
      </c>
      <c r="C668" s="6" t="inlineStr">
        <is>
          <t>2008-11-30</t>
        </is>
      </c>
      <c r="D668" s="6" t="inlineStr">
        <is>
          <t>month</t>
        </is>
      </c>
      <c r="E668" s="6" t="inlineStr">
        <is>
          <t>ENERGY_TO_ARGENTINA</t>
        </is>
      </c>
      <c r="F668" s="6" t="inlineStr">
        <is>
          <t>YACYRETA</t>
        </is>
      </c>
      <c r="G668" s="6" t="inlineStr">
        <is>
          <t>YACYRETA</t>
        </is>
      </c>
      <c r="H668" s="6" t="inlineStr">
        <is>
          <t>SADI</t>
        </is>
      </c>
      <c r="I668" s="8" t="n">
        <v>1256608</v>
      </c>
      <c r="J668" s="6" t="inlineStr">
        <is>
          <t>MWh</t>
        </is>
      </c>
      <c r="K668" s="8" t="n">
        <v>1256608</v>
      </c>
      <c r="L668" s="6" t="inlineStr">
        <is>
          <t>MWh</t>
        </is>
      </c>
      <c r="M668" s="6" t="inlineStr">
        <is>
          <t>EBY</t>
        </is>
      </c>
      <c r="N668" s="6" t="inlineStr">
        <is>
          <t>OFFICIAL_PRIMARY</t>
        </is>
      </c>
      <c r="O668" s="9" t="inlineStr">
        <is>
          <t>OFFICIAL_AGGREGATE</t>
        </is>
      </c>
      <c r="P668" s="8" t="n">
        <v>1</v>
      </c>
      <c r="Q668" s="8" t="n">
        <v>50</v>
      </c>
      <c r="R668" s="7" t="inlineStr">
        <is>
          <t>https://www.eby.gov.py/wp-content/uploads/2019/12/YacyretaEnergiasMensualesDesdePuestaenMarcha.pdf</t>
        </is>
      </c>
      <c r="S668" s="6" t="inlineStr">
        <is>
          <t>EBY-MONTHLY-1994-2012</t>
        </is>
      </c>
      <c r="T668" s="6" t="inlineStr"/>
      <c r="U668" s="4" t="inlineStr">
        <is>
          <t>2026-09-10 23:00:00</t>
        </is>
      </c>
      <c r="V668" s="4" t="inlineStr">
        <is>
          <t>Energia mensual entregada al SADI.</t>
        </is>
      </c>
    </row>
    <row r="669">
      <c r="A669" s="6" t="inlineStr">
        <is>
          <t>R0000673</t>
        </is>
      </c>
      <c r="B669" s="6" t="inlineStr">
        <is>
          <t>2008-11-01</t>
        </is>
      </c>
      <c r="C669" s="6" t="inlineStr">
        <is>
          <t>2008-11-30</t>
        </is>
      </c>
      <c r="D669" s="6" t="inlineStr">
        <is>
          <t>month</t>
        </is>
      </c>
      <c r="E669" s="6" t="inlineStr">
        <is>
          <t>ENERGY_TO_PY</t>
        </is>
      </c>
      <c r="F669" s="6" t="inlineStr">
        <is>
          <t>YACYRETA</t>
        </is>
      </c>
      <c r="G669" s="6" t="inlineStr">
        <is>
          <t>YACYRETA</t>
        </is>
      </c>
      <c r="H669" s="6" t="inlineStr">
        <is>
          <t>SINP</t>
        </is>
      </c>
      <c r="I669" s="8" t="n">
        <v>135667</v>
      </c>
      <c r="J669" s="6" t="inlineStr">
        <is>
          <t>MWh</t>
        </is>
      </c>
      <c r="K669" s="8" t="n">
        <v>135667</v>
      </c>
      <c r="L669" s="6" t="inlineStr">
        <is>
          <t>MWh</t>
        </is>
      </c>
      <c r="M669" s="6" t="inlineStr">
        <is>
          <t>EBY</t>
        </is>
      </c>
      <c r="N669" s="6" t="inlineStr">
        <is>
          <t>OFFICIAL_PRIMARY</t>
        </is>
      </c>
      <c r="O669" s="9" t="inlineStr">
        <is>
          <t>OFFICIAL_AGGREGATE</t>
        </is>
      </c>
      <c r="P669" s="8" t="n">
        <v>1</v>
      </c>
      <c r="Q669" s="8" t="n">
        <v>50</v>
      </c>
      <c r="R669" s="7" t="inlineStr">
        <is>
          <t>https://www.eby.gov.py/wp-content/uploads/2019/12/YacyretaEnergiasMensualesDesdePuestaenMarcha.pdf</t>
        </is>
      </c>
      <c r="S669" s="6" t="inlineStr">
        <is>
          <t>EBY-MONTHLY-1994-2012</t>
        </is>
      </c>
      <c r="T669" s="6" t="inlineStr"/>
      <c r="U669" s="4" t="inlineStr">
        <is>
          <t>2026-09-10 23:00:00</t>
        </is>
      </c>
      <c r="V669" s="4" t="inlineStr">
        <is>
          <t>Energia mensual entregada al SINP.</t>
        </is>
      </c>
    </row>
    <row r="670">
      <c r="A670" s="6" t="inlineStr">
        <is>
          <t>R0000674</t>
        </is>
      </c>
      <c r="B670" s="6" t="inlineStr">
        <is>
          <t>2008-12-01</t>
        </is>
      </c>
      <c r="C670" s="6" t="inlineStr">
        <is>
          <t>2008-12-31</t>
        </is>
      </c>
      <c r="D670" s="6" t="inlineStr">
        <is>
          <t>month</t>
        </is>
      </c>
      <c r="E670" s="6" t="inlineStr">
        <is>
          <t>YACYRETA_NET_ENERGY</t>
        </is>
      </c>
      <c r="F670" s="6" t="inlineStr">
        <is>
          <t>YACYRETA</t>
        </is>
      </c>
      <c r="G670" s="6" t="inlineStr">
        <is>
          <t>YACYRETA</t>
        </is>
      </c>
      <c r="H670" s="6" t="inlineStr">
        <is>
          <t>TOTAL</t>
        </is>
      </c>
      <c r="I670" s="8" t="n">
        <v>1171158</v>
      </c>
      <c r="J670" s="6" t="inlineStr">
        <is>
          <t>MWh</t>
        </is>
      </c>
      <c r="K670" s="8" t="n">
        <v>1171158</v>
      </c>
      <c r="L670" s="6" t="inlineStr">
        <is>
          <t>MWh</t>
        </is>
      </c>
      <c r="M670" s="6" t="inlineStr">
        <is>
          <t>EBY</t>
        </is>
      </c>
      <c r="N670" s="6" t="inlineStr">
        <is>
          <t>OFFICIAL_PRIMARY</t>
        </is>
      </c>
      <c r="O670" s="9" t="inlineStr">
        <is>
          <t>OFFICIAL_AGGREGATE</t>
        </is>
      </c>
      <c r="P670" s="8" t="n">
        <v>1</v>
      </c>
      <c r="Q670" s="8" t="n">
        <v>50</v>
      </c>
      <c r="R670" s="7" t="inlineStr">
        <is>
          <t>https://www.eby.gov.py/wp-content/uploads/2019/12/YacyretaEnergiasMensualesDesdePuestaenMarcha.pdf</t>
        </is>
      </c>
      <c r="S670" s="6" t="inlineStr">
        <is>
          <t>EBY-MONTHLY-1994-2012</t>
        </is>
      </c>
      <c r="T670" s="6" t="inlineStr"/>
      <c r="U670" s="4" t="inlineStr">
        <is>
          <t>2026-09-10 23:00:00</t>
        </is>
      </c>
      <c r="V670" s="4" t="inlineStr">
        <is>
          <t>Energia mensual Yacyreta desde puesta en marcha.</t>
        </is>
      </c>
    </row>
    <row r="671">
      <c r="A671" s="6" t="inlineStr">
        <is>
          <t>R0000675</t>
        </is>
      </c>
      <c r="B671" s="6" t="inlineStr">
        <is>
          <t>2008-12-01</t>
        </is>
      </c>
      <c r="C671" s="6" t="inlineStr">
        <is>
          <t>2008-12-31</t>
        </is>
      </c>
      <c r="D671" s="6" t="inlineStr">
        <is>
          <t>month</t>
        </is>
      </c>
      <c r="E671" s="6" t="inlineStr">
        <is>
          <t>ENERGY_TO_ARGENTINA</t>
        </is>
      </c>
      <c r="F671" s="6" t="inlineStr">
        <is>
          <t>YACYRETA</t>
        </is>
      </c>
      <c r="G671" s="6" t="inlineStr">
        <is>
          <t>YACYRETA</t>
        </is>
      </c>
      <c r="H671" s="6" t="inlineStr">
        <is>
          <t>SADI</t>
        </is>
      </c>
      <c r="I671" s="8" t="n">
        <v>1009566</v>
      </c>
      <c r="J671" s="6" t="inlineStr">
        <is>
          <t>MWh</t>
        </is>
      </c>
      <c r="K671" s="8" t="n">
        <v>1009566</v>
      </c>
      <c r="L671" s="6" t="inlineStr">
        <is>
          <t>MWh</t>
        </is>
      </c>
      <c r="M671" s="6" t="inlineStr">
        <is>
          <t>EBY</t>
        </is>
      </c>
      <c r="N671" s="6" t="inlineStr">
        <is>
          <t>OFFICIAL_PRIMARY</t>
        </is>
      </c>
      <c r="O671" s="9" t="inlineStr">
        <is>
          <t>OFFICIAL_AGGREGATE</t>
        </is>
      </c>
      <c r="P671" s="8" t="n">
        <v>1</v>
      </c>
      <c r="Q671" s="8" t="n">
        <v>50</v>
      </c>
      <c r="R671" s="7" t="inlineStr">
        <is>
          <t>https://www.eby.gov.py/wp-content/uploads/2019/12/YacyretaEnergiasMensualesDesdePuestaenMarcha.pdf</t>
        </is>
      </c>
      <c r="S671" s="6" t="inlineStr">
        <is>
          <t>EBY-MONTHLY-1994-2012</t>
        </is>
      </c>
      <c r="T671" s="6" t="inlineStr"/>
      <c r="U671" s="4" t="inlineStr">
        <is>
          <t>2026-09-10 23:00:00</t>
        </is>
      </c>
      <c r="V671" s="4" t="inlineStr">
        <is>
          <t>Energia mensual entregada al SADI.</t>
        </is>
      </c>
    </row>
    <row r="672">
      <c r="A672" s="6" t="inlineStr">
        <is>
          <t>R0000676</t>
        </is>
      </c>
      <c r="B672" s="6" t="inlineStr">
        <is>
          <t>2008-12-01</t>
        </is>
      </c>
      <c r="C672" s="6" t="inlineStr">
        <is>
          <t>2008-12-31</t>
        </is>
      </c>
      <c r="D672" s="6" t="inlineStr">
        <is>
          <t>month</t>
        </is>
      </c>
      <c r="E672" s="6" t="inlineStr">
        <is>
          <t>ENERGY_TO_PY</t>
        </is>
      </c>
      <c r="F672" s="6" t="inlineStr">
        <is>
          <t>YACYRETA</t>
        </is>
      </c>
      <c r="G672" s="6" t="inlineStr">
        <is>
          <t>YACYRETA</t>
        </is>
      </c>
      <c r="H672" s="6" t="inlineStr">
        <is>
          <t>SINP</t>
        </is>
      </c>
      <c r="I672" s="8" t="n">
        <v>161592</v>
      </c>
      <c r="J672" s="6" t="inlineStr">
        <is>
          <t>MWh</t>
        </is>
      </c>
      <c r="K672" s="8" t="n">
        <v>161592</v>
      </c>
      <c r="L672" s="6" t="inlineStr">
        <is>
          <t>MWh</t>
        </is>
      </c>
      <c r="M672" s="6" t="inlineStr">
        <is>
          <t>EBY</t>
        </is>
      </c>
      <c r="N672" s="6" t="inlineStr">
        <is>
          <t>OFFICIAL_PRIMARY</t>
        </is>
      </c>
      <c r="O672" s="9" t="inlineStr">
        <is>
          <t>OFFICIAL_AGGREGATE</t>
        </is>
      </c>
      <c r="P672" s="8" t="n">
        <v>1</v>
      </c>
      <c r="Q672" s="8" t="n">
        <v>50</v>
      </c>
      <c r="R672" s="7" t="inlineStr">
        <is>
          <t>https://www.eby.gov.py/wp-content/uploads/2019/12/YacyretaEnergiasMensualesDesdePuestaenMarcha.pdf</t>
        </is>
      </c>
      <c r="S672" s="6" t="inlineStr">
        <is>
          <t>EBY-MONTHLY-1994-2012</t>
        </is>
      </c>
      <c r="T672" s="6" t="inlineStr"/>
      <c r="U672" s="4" t="inlineStr">
        <is>
          <t>2026-09-10 23:00:00</t>
        </is>
      </c>
      <c r="V672" s="4" t="inlineStr">
        <is>
          <t>Energia mensual entregada al SINP.</t>
        </is>
      </c>
    </row>
    <row r="673">
      <c r="A673" s="6" t="inlineStr">
        <is>
          <t>R0000677</t>
        </is>
      </c>
      <c r="B673" s="6" t="inlineStr">
        <is>
          <t>2009-01-01</t>
        </is>
      </c>
      <c r="C673" s="6" t="inlineStr">
        <is>
          <t>2009-01-31</t>
        </is>
      </c>
      <c r="D673" s="6" t="inlineStr">
        <is>
          <t>month</t>
        </is>
      </c>
      <c r="E673" s="6" t="inlineStr">
        <is>
          <t>YACYRETA_NET_ENERGY</t>
        </is>
      </c>
      <c r="F673" s="6" t="inlineStr">
        <is>
          <t>YACYRETA</t>
        </is>
      </c>
      <c r="G673" s="6" t="inlineStr">
        <is>
          <t>YACYRETA</t>
        </is>
      </c>
      <c r="H673" s="6" t="inlineStr">
        <is>
          <t>TOTAL</t>
        </is>
      </c>
      <c r="I673" s="8" t="n">
        <v>1150738</v>
      </c>
      <c r="J673" s="6" t="inlineStr">
        <is>
          <t>MWh</t>
        </is>
      </c>
      <c r="K673" s="8" t="n">
        <v>1150738</v>
      </c>
      <c r="L673" s="6" t="inlineStr">
        <is>
          <t>MWh</t>
        </is>
      </c>
      <c r="M673" s="6" t="inlineStr">
        <is>
          <t>EBY</t>
        </is>
      </c>
      <c r="N673" s="6" t="inlineStr">
        <is>
          <t>OFFICIAL_PRIMARY</t>
        </is>
      </c>
      <c r="O673" s="9" t="inlineStr">
        <is>
          <t>OFFICIAL_AGGREGATE</t>
        </is>
      </c>
      <c r="P673" s="8" t="n">
        <v>1</v>
      </c>
      <c r="Q673" s="8" t="n">
        <v>50</v>
      </c>
      <c r="R673" s="7" t="inlineStr">
        <is>
          <t>https://www.eby.gov.py/wp-content/uploads/2019/12/YacyretaEnergiasMensualesDesdePuestaenMarcha.pdf</t>
        </is>
      </c>
      <c r="S673" s="6" t="inlineStr">
        <is>
          <t>EBY-MONTHLY-1994-2012</t>
        </is>
      </c>
      <c r="T673" s="6" t="inlineStr"/>
      <c r="U673" s="4" t="inlineStr">
        <is>
          <t>2026-09-10 23:00:00</t>
        </is>
      </c>
      <c r="V673" s="4" t="inlineStr">
        <is>
          <t>Energia mensual Yacyreta desde puesta en marcha.</t>
        </is>
      </c>
    </row>
    <row r="674">
      <c r="A674" s="6" t="inlineStr">
        <is>
          <t>R0000678</t>
        </is>
      </c>
      <c r="B674" s="6" t="inlineStr">
        <is>
          <t>2009-01-01</t>
        </is>
      </c>
      <c r="C674" s="6" t="inlineStr">
        <is>
          <t>2009-01-31</t>
        </is>
      </c>
      <c r="D674" s="6" t="inlineStr">
        <is>
          <t>month</t>
        </is>
      </c>
      <c r="E674" s="6" t="inlineStr">
        <is>
          <t>ENERGY_TO_ARGENTINA</t>
        </is>
      </c>
      <c r="F674" s="6" t="inlineStr">
        <is>
          <t>YACYRETA</t>
        </is>
      </c>
      <c r="G674" s="6" t="inlineStr">
        <is>
          <t>YACYRETA</t>
        </is>
      </c>
      <c r="H674" s="6" t="inlineStr">
        <is>
          <t>SADI</t>
        </is>
      </c>
      <c r="I674" s="8" t="n">
        <v>1005924</v>
      </c>
      <c r="J674" s="6" t="inlineStr">
        <is>
          <t>MWh</t>
        </is>
      </c>
      <c r="K674" s="8" t="n">
        <v>1005924</v>
      </c>
      <c r="L674" s="6" t="inlineStr">
        <is>
          <t>MWh</t>
        </is>
      </c>
      <c r="M674" s="6" t="inlineStr">
        <is>
          <t>EBY</t>
        </is>
      </c>
      <c r="N674" s="6" t="inlineStr">
        <is>
          <t>OFFICIAL_PRIMARY</t>
        </is>
      </c>
      <c r="O674" s="9" t="inlineStr">
        <is>
          <t>OFFICIAL_AGGREGATE</t>
        </is>
      </c>
      <c r="P674" s="8" t="n">
        <v>1</v>
      </c>
      <c r="Q674" s="8" t="n">
        <v>50</v>
      </c>
      <c r="R674" s="7" t="inlineStr">
        <is>
          <t>https://www.eby.gov.py/wp-content/uploads/2019/12/YacyretaEnergiasMensualesDesdePuestaenMarcha.pdf</t>
        </is>
      </c>
      <c r="S674" s="6" t="inlineStr">
        <is>
          <t>EBY-MONTHLY-1994-2012</t>
        </is>
      </c>
      <c r="T674" s="6" t="inlineStr"/>
      <c r="U674" s="4" t="inlineStr">
        <is>
          <t>2026-09-10 23:00:00</t>
        </is>
      </c>
      <c r="V674" s="4" t="inlineStr">
        <is>
          <t>Energia mensual entregada al SADI.</t>
        </is>
      </c>
    </row>
    <row r="675">
      <c r="A675" s="6" t="inlineStr">
        <is>
          <t>R0000679</t>
        </is>
      </c>
      <c r="B675" s="6" t="inlineStr">
        <is>
          <t>2009-01-01</t>
        </is>
      </c>
      <c r="C675" s="6" t="inlineStr">
        <is>
          <t>2009-01-31</t>
        </is>
      </c>
      <c r="D675" s="6" t="inlineStr">
        <is>
          <t>month</t>
        </is>
      </c>
      <c r="E675" s="6" t="inlineStr">
        <is>
          <t>ENERGY_TO_PY</t>
        </is>
      </c>
      <c r="F675" s="6" t="inlineStr">
        <is>
          <t>YACYRETA</t>
        </is>
      </c>
      <c r="G675" s="6" t="inlineStr">
        <is>
          <t>YACYRETA</t>
        </is>
      </c>
      <c r="H675" s="6" t="inlineStr">
        <is>
          <t>SINP</t>
        </is>
      </c>
      <c r="I675" s="8" t="n">
        <v>144814</v>
      </c>
      <c r="J675" s="6" t="inlineStr">
        <is>
          <t>MWh</t>
        </is>
      </c>
      <c r="K675" s="8" t="n">
        <v>144814</v>
      </c>
      <c r="L675" s="6" t="inlineStr">
        <is>
          <t>MWh</t>
        </is>
      </c>
      <c r="M675" s="6" t="inlineStr">
        <is>
          <t>EBY</t>
        </is>
      </c>
      <c r="N675" s="6" t="inlineStr">
        <is>
          <t>OFFICIAL_PRIMARY</t>
        </is>
      </c>
      <c r="O675" s="9" t="inlineStr">
        <is>
          <t>OFFICIAL_AGGREGATE</t>
        </is>
      </c>
      <c r="P675" s="8" t="n">
        <v>1</v>
      </c>
      <c r="Q675" s="8" t="n">
        <v>50</v>
      </c>
      <c r="R675" s="7" t="inlineStr">
        <is>
          <t>https://www.eby.gov.py/wp-content/uploads/2019/12/YacyretaEnergiasMensualesDesdePuestaenMarcha.pdf</t>
        </is>
      </c>
      <c r="S675" s="6" t="inlineStr">
        <is>
          <t>EBY-MONTHLY-1994-2012</t>
        </is>
      </c>
      <c r="T675" s="6" t="inlineStr"/>
      <c r="U675" s="4" t="inlineStr">
        <is>
          <t>2026-09-10 23:00:00</t>
        </is>
      </c>
      <c r="V675" s="4" t="inlineStr">
        <is>
          <t>Energia mensual entregada al SINP.</t>
        </is>
      </c>
    </row>
    <row r="676">
      <c r="A676" s="6" t="inlineStr">
        <is>
          <t>R0000680</t>
        </is>
      </c>
      <c r="B676" s="6" t="inlineStr">
        <is>
          <t>2009-02-01</t>
        </is>
      </c>
      <c r="C676" s="6" t="inlineStr">
        <is>
          <t>2009-02-28</t>
        </is>
      </c>
      <c r="D676" s="6" t="inlineStr">
        <is>
          <t>month</t>
        </is>
      </c>
      <c r="E676" s="6" t="inlineStr">
        <is>
          <t>YACYRETA_NET_ENERGY</t>
        </is>
      </c>
      <c r="F676" s="6" t="inlineStr">
        <is>
          <t>YACYRETA</t>
        </is>
      </c>
      <c r="G676" s="6" t="inlineStr">
        <is>
          <t>YACYRETA</t>
        </is>
      </c>
      <c r="H676" s="6" t="inlineStr">
        <is>
          <t>TOTAL</t>
        </is>
      </c>
      <c r="I676" s="8" t="n">
        <v>1123298</v>
      </c>
      <c r="J676" s="6" t="inlineStr">
        <is>
          <t>MWh</t>
        </is>
      </c>
      <c r="K676" s="8" t="n">
        <v>1123298</v>
      </c>
      <c r="L676" s="6" t="inlineStr">
        <is>
          <t>MWh</t>
        </is>
      </c>
      <c r="M676" s="6" t="inlineStr">
        <is>
          <t>EBY</t>
        </is>
      </c>
      <c r="N676" s="6" t="inlineStr">
        <is>
          <t>OFFICIAL_PRIMARY</t>
        </is>
      </c>
      <c r="O676" s="9" t="inlineStr">
        <is>
          <t>OFFICIAL_AGGREGATE</t>
        </is>
      </c>
      <c r="P676" s="8" t="n">
        <v>1</v>
      </c>
      <c r="Q676" s="8" t="n">
        <v>50</v>
      </c>
      <c r="R676" s="7" t="inlineStr">
        <is>
          <t>https://www.eby.gov.py/wp-content/uploads/2019/12/YacyretaEnergiasMensualesDesdePuestaenMarcha.pdf</t>
        </is>
      </c>
      <c r="S676" s="6" t="inlineStr">
        <is>
          <t>EBY-MONTHLY-1994-2012</t>
        </is>
      </c>
      <c r="T676" s="6" t="inlineStr"/>
      <c r="U676" s="4" t="inlineStr">
        <is>
          <t>2026-09-10 23:00:00</t>
        </is>
      </c>
      <c r="V676" s="4" t="inlineStr">
        <is>
          <t>Energia mensual Yacyreta desde puesta en marcha.</t>
        </is>
      </c>
    </row>
    <row r="677">
      <c r="A677" s="6" t="inlineStr">
        <is>
          <t>R0000681</t>
        </is>
      </c>
      <c r="B677" s="6" t="inlineStr">
        <is>
          <t>2009-02-01</t>
        </is>
      </c>
      <c r="C677" s="6" t="inlineStr">
        <is>
          <t>2009-02-28</t>
        </is>
      </c>
      <c r="D677" s="6" t="inlineStr">
        <is>
          <t>month</t>
        </is>
      </c>
      <c r="E677" s="6" t="inlineStr">
        <is>
          <t>ENERGY_TO_ARGENTINA</t>
        </is>
      </c>
      <c r="F677" s="6" t="inlineStr">
        <is>
          <t>YACYRETA</t>
        </is>
      </c>
      <c r="G677" s="6" t="inlineStr">
        <is>
          <t>YACYRETA</t>
        </is>
      </c>
      <c r="H677" s="6" t="inlineStr">
        <is>
          <t>SADI</t>
        </is>
      </c>
      <c r="I677" s="8" t="n">
        <v>981834</v>
      </c>
      <c r="J677" s="6" t="inlineStr">
        <is>
          <t>MWh</t>
        </is>
      </c>
      <c r="K677" s="8" t="n">
        <v>981834</v>
      </c>
      <c r="L677" s="6" t="inlineStr">
        <is>
          <t>MWh</t>
        </is>
      </c>
      <c r="M677" s="6" t="inlineStr">
        <is>
          <t>EBY</t>
        </is>
      </c>
      <c r="N677" s="6" t="inlineStr">
        <is>
          <t>OFFICIAL_PRIMARY</t>
        </is>
      </c>
      <c r="O677" s="9" t="inlineStr">
        <is>
          <t>OFFICIAL_AGGREGATE</t>
        </is>
      </c>
      <c r="P677" s="8" t="n">
        <v>1</v>
      </c>
      <c r="Q677" s="8" t="n">
        <v>50</v>
      </c>
      <c r="R677" s="7" t="inlineStr">
        <is>
          <t>https://www.eby.gov.py/wp-content/uploads/2019/12/YacyretaEnergiasMensualesDesdePuestaenMarcha.pdf</t>
        </is>
      </c>
      <c r="S677" s="6" t="inlineStr">
        <is>
          <t>EBY-MONTHLY-1994-2012</t>
        </is>
      </c>
      <c r="T677" s="6" t="inlineStr"/>
      <c r="U677" s="4" t="inlineStr">
        <is>
          <t>2026-09-10 23:00:00</t>
        </is>
      </c>
      <c r="V677" s="4" t="inlineStr">
        <is>
          <t>Energia mensual entregada al SADI.</t>
        </is>
      </c>
    </row>
    <row r="678">
      <c r="A678" s="6" t="inlineStr">
        <is>
          <t>R0000682</t>
        </is>
      </c>
      <c r="B678" s="6" t="inlineStr">
        <is>
          <t>2009-02-01</t>
        </is>
      </c>
      <c r="C678" s="6" t="inlineStr">
        <is>
          <t>2009-02-28</t>
        </is>
      </c>
      <c r="D678" s="6" t="inlineStr">
        <is>
          <t>month</t>
        </is>
      </c>
      <c r="E678" s="6" t="inlineStr">
        <is>
          <t>ENERGY_TO_PY</t>
        </is>
      </c>
      <c r="F678" s="6" t="inlineStr">
        <is>
          <t>YACYRETA</t>
        </is>
      </c>
      <c r="G678" s="6" t="inlineStr">
        <is>
          <t>YACYRETA</t>
        </is>
      </c>
      <c r="H678" s="6" t="inlineStr">
        <is>
          <t>SINP</t>
        </is>
      </c>
      <c r="I678" s="8" t="n">
        <v>141464</v>
      </c>
      <c r="J678" s="6" t="inlineStr">
        <is>
          <t>MWh</t>
        </is>
      </c>
      <c r="K678" s="8" t="n">
        <v>141464</v>
      </c>
      <c r="L678" s="6" t="inlineStr">
        <is>
          <t>MWh</t>
        </is>
      </c>
      <c r="M678" s="6" t="inlineStr">
        <is>
          <t>EBY</t>
        </is>
      </c>
      <c r="N678" s="6" t="inlineStr">
        <is>
          <t>OFFICIAL_PRIMARY</t>
        </is>
      </c>
      <c r="O678" s="9" t="inlineStr">
        <is>
          <t>OFFICIAL_AGGREGATE</t>
        </is>
      </c>
      <c r="P678" s="8" t="n">
        <v>1</v>
      </c>
      <c r="Q678" s="8" t="n">
        <v>50</v>
      </c>
      <c r="R678" s="7" t="inlineStr">
        <is>
          <t>https://www.eby.gov.py/wp-content/uploads/2019/12/YacyretaEnergiasMensualesDesdePuestaenMarcha.pdf</t>
        </is>
      </c>
      <c r="S678" s="6" t="inlineStr">
        <is>
          <t>EBY-MONTHLY-1994-2012</t>
        </is>
      </c>
      <c r="T678" s="6" t="inlineStr"/>
      <c r="U678" s="4" t="inlineStr">
        <is>
          <t>2026-09-10 23:00:00</t>
        </is>
      </c>
      <c r="V678" s="4" t="inlineStr">
        <is>
          <t>Energia mensual entregada al SINP.</t>
        </is>
      </c>
    </row>
    <row r="679">
      <c r="A679" s="6" t="inlineStr">
        <is>
          <t>R0000683</t>
        </is>
      </c>
      <c r="B679" s="6" t="inlineStr">
        <is>
          <t>2009-03-01</t>
        </is>
      </c>
      <c r="C679" s="6" t="inlineStr">
        <is>
          <t>2009-03-31</t>
        </is>
      </c>
      <c r="D679" s="6" t="inlineStr">
        <is>
          <t>month</t>
        </is>
      </c>
      <c r="E679" s="6" t="inlineStr">
        <is>
          <t>YACYRETA_NET_ENERGY</t>
        </is>
      </c>
      <c r="F679" s="6" t="inlineStr">
        <is>
          <t>YACYRETA</t>
        </is>
      </c>
      <c r="G679" s="6" t="inlineStr">
        <is>
          <t>YACYRETA</t>
        </is>
      </c>
      <c r="H679" s="6" t="inlineStr">
        <is>
          <t>TOTAL</t>
        </is>
      </c>
      <c r="I679" s="8" t="n">
        <v>1269799</v>
      </c>
      <c r="J679" s="6" t="inlineStr">
        <is>
          <t>MWh</t>
        </is>
      </c>
      <c r="K679" s="8" t="n">
        <v>1269799</v>
      </c>
      <c r="L679" s="6" t="inlineStr">
        <is>
          <t>MWh</t>
        </is>
      </c>
      <c r="M679" s="6" t="inlineStr">
        <is>
          <t>EBY</t>
        </is>
      </c>
      <c r="N679" s="6" t="inlineStr">
        <is>
          <t>OFFICIAL_PRIMARY</t>
        </is>
      </c>
      <c r="O679" s="9" t="inlineStr">
        <is>
          <t>OFFICIAL_AGGREGATE</t>
        </is>
      </c>
      <c r="P679" s="8" t="n">
        <v>1</v>
      </c>
      <c r="Q679" s="8" t="n">
        <v>50</v>
      </c>
      <c r="R679" s="7" t="inlineStr">
        <is>
          <t>https://www.eby.gov.py/wp-content/uploads/2019/12/YacyretaEnergiasMensualesDesdePuestaenMarcha.pdf</t>
        </is>
      </c>
      <c r="S679" s="6" t="inlineStr">
        <is>
          <t>EBY-MONTHLY-1994-2012</t>
        </is>
      </c>
      <c r="T679" s="6" t="inlineStr"/>
      <c r="U679" s="4" t="inlineStr">
        <is>
          <t>2026-09-10 23:00:00</t>
        </is>
      </c>
      <c r="V679" s="4" t="inlineStr">
        <is>
          <t>Energia mensual Yacyreta desde puesta en marcha.</t>
        </is>
      </c>
    </row>
    <row r="680">
      <c r="A680" s="6" t="inlineStr">
        <is>
          <t>R0000684</t>
        </is>
      </c>
      <c r="B680" s="6" t="inlineStr">
        <is>
          <t>2009-03-01</t>
        </is>
      </c>
      <c r="C680" s="6" t="inlineStr">
        <is>
          <t>2009-03-31</t>
        </is>
      </c>
      <c r="D680" s="6" t="inlineStr">
        <is>
          <t>month</t>
        </is>
      </c>
      <c r="E680" s="6" t="inlineStr">
        <is>
          <t>ENERGY_TO_ARGENTINA</t>
        </is>
      </c>
      <c r="F680" s="6" t="inlineStr">
        <is>
          <t>YACYRETA</t>
        </is>
      </c>
      <c r="G680" s="6" t="inlineStr">
        <is>
          <t>YACYRETA</t>
        </is>
      </c>
      <c r="H680" s="6" t="inlineStr">
        <is>
          <t>SADI</t>
        </is>
      </c>
      <c r="I680" s="8" t="n">
        <v>1070414</v>
      </c>
      <c r="J680" s="6" t="inlineStr">
        <is>
          <t>MWh</t>
        </is>
      </c>
      <c r="K680" s="8" t="n">
        <v>1070414</v>
      </c>
      <c r="L680" s="6" t="inlineStr">
        <is>
          <t>MWh</t>
        </is>
      </c>
      <c r="M680" s="6" t="inlineStr">
        <is>
          <t>EBY</t>
        </is>
      </c>
      <c r="N680" s="6" t="inlineStr">
        <is>
          <t>OFFICIAL_PRIMARY</t>
        </is>
      </c>
      <c r="O680" s="9" t="inlineStr">
        <is>
          <t>OFFICIAL_AGGREGATE</t>
        </is>
      </c>
      <c r="P680" s="8" t="n">
        <v>1</v>
      </c>
      <c r="Q680" s="8" t="n">
        <v>50</v>
      </c>
      <c r="R680" s="7" t="inlineStr">
        <is>
          <t>https://www.eby.gov.py/wp-content/uploads/2019/12/YacyretaEnergiasMensualesDesdePuestaenMarcha.pdf</t>
        </is>
      </c>
      <c r="S680" s="6" t="inlineStr">
        <is>
          <t>EBY-MONTHLY-1994-2012</t>
        </is>
      </c>
      <c r="T680" s="6" t="inlineStr"/>
      <c r="U680" s="4" t="inlineStr">
        <is>
          <t>2026-09-10 23:00:00</t>
        </is>
      </c>
      <c r="V680" s="4" t="inlineStr">
        <is>
          <t>Energia mensual entregada al SADI.</t>
        </is>
      </c>
    </row>
    <row r="681">
      <c r="A681" s="6" t="inlineStr">
        <is>
          <t>R0000685</t>
        </is>
      </c>
      <c r="B681" s="6" t="inlineStr">
        <is>
          <t>2009-03-01</t>
        </is>
      </c>
      <c r="C681" s="6" t="inlineStr">
        <is>
          <t>2009-03-31</t>
        </is>
      </c>
      <c r="D681" s="6" t="inlineStr">
        <is>
          <t>month</t>
        </is>
      </c>
      <c r="E681" s="6" t="inlineStr">
        <is>
          <t>ENERGY_TO_PY</t>
        </is>
      </c>
      <c r="F681" s="6" t="inlineStr">
        <is>
          <t>YACYRETA</t>
        </is>
      </c>
      <c r="G681" s="6" t="inlineStr">
        <is>
          <t>YACYRETA</t>
        </is>
      </c>
      <c r="H681" s="6" t="inlineStr">
        <is>
          <t>SINP</t>
        </is>
      </c>
      <c r="I681" s="8" t="n">
        <v>199385</v>
      </c>
      <c r="J681" s="6" t="inlineStr">
        <is>
          <t>MWh</t>
        </is>
      </c>
      <c r="K681" s="8" t="n">
        <v>199385</v>
      </c>
      <c r="L681" s="6" t="inlineStr">
        <is>
          <t>MWh</t>
        </is>
      </c>
      <c r="M681" s="6" t="inlineStr">
        <is>
          <t>EBY</t>
        </is>
      </c>
      <c r="N681" s="6" t="inlineStr">
        <is>
          <t>OFFICIAL_PRIMARY</t>
        </is>
      </c>
      <c r="O681" s="9" t="inlineStr">
        <is>
          <t>OFFICIAL_AGGREGATE</t>
        </is>
      </c>
      <c r="P681" s="8" t="n">
        <v>1</v>
      </c>
      <c r="Q681" s="8" t="n">
        <v>50</v>
      </c>
      <c r="R681" s="7" t="inlineStr">
        <is>
          <t>https://www.eby.gov.py/wp-content/uploads/2019/12/YacyretaEnergiasMensualesDesdePuestaenMarcha.pdf</t>
        </is>
      </c>
      <c r="S681" s="6" t="inlineStr">
        <is>
          <t>EBY-MONTHLY-1994-2012</t>
        </is>
      </c>
      <c r="T681" s="6" t="inlineStr"/>
      <c r="U681" s="4" t="inlineStr">
        <is>
          <t>2026-09-10 23:00:00</t>
        </is>
      </c>
      <c r="V681" s="4" t="inlineStr">
        <is>
          <t>Energia mensual entregada al SINP.</t>
        </is>
      </c>
    </row>
    <row r="682">
      <c r="A682" s="6" t="inlineStr">
        <is>
          <t>R0000686</t>
        </is>
      </c>
      <c r="B682" s="6" t="inlineStr">
        <is>
          <t>2009-04-01</t>
        </is>
      </c>
      <c r="C682" s="6" t="inlineStr">
        <is>
          <t>2009-04-30</t>
        </is>
      </c>
      <c r="D682" s="6" t="inlineStr">
        <is>
          <t>month</t>
        </is>
      </c>
      <c r="E682" s="6" t="inlineStr">
        <is>
          <t>YACYRETA_NET_ENERGY</t>
        </is>
      </c>
      <c r="F682" s="6" t="inlineStr">
        <is>
          <t>YACYRETA</t>
        </is>
      </c>
      <c r="G682" s="6" t="inlineStr">
        <is>
          <t>YACYRETA</t>
        </is>
      </c>
      <c r="H682" s="6" t="inlineStr">
        <is>
          <t>TOTAL</t>
        </is>
      </c>
      <c r="I682" s="8" t="n">
        <v>1170735</v>
      </c>
      <c r="J682" s="6" t="inlineStr">
        <is>
          <t>MWh</t>
        </is>
      </c>
      <c r="K682" s="8" t="n">
        <v>1170735</v>
      </c>
      <c r="L682" s="6" t="inlineStr">
        <is>
          <t>MWh</t>
        </is>
      </c>
      <c r="M682" s="6" t="inlineStr">
        <is>
          <t>EBY</t>
        </is>
      </c>
      <c r="N682" s="6" t="inlineStr">
        <is>
          <t>OFFICIAL_PRIMARY</t>
        </is>
      </c>
      <c r="O682" s="9" t="inlineStr">
        <is>
          <t>OFFICIAL_AGGREGATE</t>
        </is>
      </c>
      <c r="P682" s="8" t="n">
        <v>1</v>
      </c>
      <c r="Q682" s="8" t="n">
        <v>50</v>
      </c>
      <c r="R682" s="7" t="inlineStr">
        <is>
          <t>https://www.eby.gov.py/wp-content/uploads/2019/12/YacyretaEnergiasMensualesDesdePuestaenMarcha.pdf</t>
        </is>
      </c>
      <c r="S682" s="6" t="inlineStr">
        <is>
          <t>EBY-MONTHLY-1994-2012</t>
        </is>
      </c>
      <c r="T682" s="6" t="inlineStr"/>
      <c r="U682" s="4" t="inlineStr">
        <is>
          <t>2026-09-10 23:00:00</t>
        </is>
      </c>
      <c r="V682" s="4" t="inlineStr">
        <is>
          <t>Energia mensual Yacyreta desde puesta en marcha.</t>
        </is>
      </c>
    </row>
    <row r="683">
      <c r="A683" s="6" t="inlineStr">
        <is>
          <t>R0000687</t>
        </is>
      </c>
      <c r="B683" s="6" t="inlineStr">
        <is>
          <t>2009-04-01</t>
        </is>
      </c>
      <c r="C683" s="6" t="inlineStr">
        <is>
          <t>2009-04-30</t>
        </is>
      </c>
      <c r="D683" s="6" t="inlineStr">
        <is>
          <t>month</t>
        </is>
      </c>
      <c r="E683" s="6" t="inlineStr">
        <is>
          <t>ENERGY_TO_ARGENTINA</t>
        </is>
      </c>
      <c r="F683" s="6" t="inlineStr">
        <is>
          <t>YACYRETA</t>
        </is>
      </c>
      <c r="G683" s="6" t="inlineStr">
        <is>
          <t>YACYRETA</t>
        </is>
      </c>
      <c r="H683" s="6" t="inlineStr">
        <is>
          <t>SADI</t>
        </is>
      </c>
      <c r="I683" s="8" t="n">
        <v>1000388</v>
      </c>
      <c r="J683" s="6" t="inlineStr">
        <is>
          <t>MWh</t>
        </is>
      </c>
      <c r="K683" s="8" t="n">
        <v>1000388</v>
      </c>
      <c r="L683" s="6" t="inlineStr">
        <is>
          <t>MWh</t>
        </is>
      </c>
      <c r="M683" s="6" t="inlineStr">
        <is>
          <t>EBY</t>
        </is>
      </c>
      <c r="N683" s="6" t="inlineStr">
        <is>
          <t>OFFICIAL_PRIMARY</t>
        </is>
      </c>
      <c r="O683" s="9" t="inlineStr">
        <is>
          <t>OFFICIAL_AGGREGATE</t>
        </is>
      </c>
      <c r="P683" s="8" t="n">
        <v>1</v>
      </c>
      <c r="Q683" s="8" t="n">
        <v>50</v>
      </c>
      <c r="R683" s="7" t="inlineStr">
        <is>
          <t>https://www.eby.gov.py/wp-content/uploads/2019/12/YacyretaEnergiasMensualesDesdePuestaenMarcha.pdf</t>
        </is>
      </c>
      <c r="S683" s="6" t="inlineStr">
        <is>
          <t>EBY-MONTHLY-1994-2012</t>
        </is>
      </c>
      <c r="T683" s="6" t="inlineStr"/>
      <c r="U683" s="4" t="inlineStr">
        <is>
          <t>2026-09-10 23:00:00</t>
        </is>
      </c>
      <c r="V683" s="4" t="inlineStr">
        <is>
          <t>Energia mensual entregada al SADI.</t>
        </is>
      </c>
    </row>
    <row r="684">
      <c r="A684" s="6" t="inlineStr">
        <is>
          <t>R0000688</t>
        </is>
      </c>
      <c r="B684" s="6" t="inlineStr">
        <is>
          <t>2009-04-01</t>
        </is>
      </c>
      <c r="C684" s="6" t="inlineStr">
        <is>
          <t>2009-04-30</t>
        </is>
      </c>
      <c r="D684" s="6" t="inlineStr">
        <is>
          <t>month</t>
        </is>
      </c>
      <c r="E684" s="6" t="inlineStr">
        <is>
          <t>ENERGY_TO_PY</t>
        </is>
      </c>
      <c r="F684" s="6" t="inlineStr">
        <is>
          <t>YACYRETA</t>
        </is>
      </c>
      <c r="G684" s="6" t="inlineStr">
        <is>
          <t>YACYRETA</t>
        </is>
      </c>
      <c r="H684" s="6" t="inlineStr">
        <is>
          <t>SINP</t>
        </is>
      </c>
      <c r="I684" s="8" t="n">
        <v>170347</v>
      </c>
      <c r="J684" s="6" t="inlineStr">
        <is>
          <t>MWh</t>
        </is>
      </c>
      <c r="K684" s="8" t="n">
        <v>170347</v>
      </c>
      <c r="L684" s="6" t="inlineStr">
        <is>
          <t>MWh</t>
        </is>
      </c>
      <c r="M684" s="6" t="inlineStr">
        <is>
          <t>EBY</t>
        </is>
      </c>
      <c r="N684" s="6" t="inlineStr">
        <is>
          <t>OFFICIAL_PRIMARY</t>
        </is>
      </c>
      <c r="O684" s="9" t="inlineStr">
        <is>
          <t>OFFICIAL_AGGREGATE</t>
        </is>
      </c>
      <c r="P684" s="8" t="n">
        <v>1</v>
      </c>
      <c r="Q684" s="8" t="n">
        <v>50</v>
      </c>
      <c r="R684" s="7" t="inlineStr">
        <is>
          <t>https://www.eby.gov.py/wp-content/uploads/2019/12/YacyretaEnergiasMensualesDesdePuestaenMarcha.pdf</t>
        </is>
      </c>
      <c r="S684" s="6" t="inlineStr">
        <is>
          <t>EBY-MONTHLY-1994-2012</t>
        </is>
      </c>
      <c r="T684" s="6" t="inlineStr"/>
      <c r="U684" s="4" t="inlineStr">
        <is>
          <t>2026-09-10 23:00:00</t>
        </is>
      </c>
      <c r="V684" s="4" t="inlineStr">
        <is>
          <t>Energia mensual entregada al SINP.</t>
        </is>
      </c>
    </row>
    <row r="685">
      <c r="A685" s="6" t="inlineStr">
        <is>
          <t>R0000689</t>
        </is>
      </c>
      <c r="B685" s="6" t="inlineStr">
        <is>
          <t>2009-05-01</t>
        </is>
      </c>
      <c r="C685" s="6" t="inlineStr">
        <is>
          <t>2009-05-31</t>
        </is>
      </c>
      <c r="D685" s="6" t="inlineStr">
        <is>
          <t>month</t>
        </is>
      </c>
      <c r="E685" s="6" t="inlineStr">
        <is>
          <t>YACYRETA_NET_ENERGY</t>
        </is>
      </c>
      <c r="F685" s="6" t="inlineStr">
        <is>
          <t>YACYRETA</t>
        </is>
      </c>
      <c r="G685" s="6" t="inlineStr">
        <is>
          <t>YACYRETA</t>
        </is>
      </c>
      <c r="H685" s="6" t="inlineStr">
        <is>
          <t>TOTAL</t>
        </is>
      </c>
      <c r="I685" s="8" t="n">
        <v>1090187</v>
      </c>
      <c r="J685" s="6" t="inlineStr">
        <is>
          <t>MWh</t>
        </is>
      </c>
      <c r="K685" s="8" t="n">
        <v>1090187</v>
      </c>
      <c r="L685" s="6" t="inlineStr">
        <is>
          <t>MWh</t>
        </is>
      </c>
      <c r="M685" s="6" t="inlineStr">
        <is>
          <t>EBY</t>
        </is>
      </c>
      <c r="N685" s="6" t="inlineStr">
        <is>
          <t>OFFICIAL_PRIMARY</t>
        </is>
      </c>
      <c r="O685" s="9" t="inlineStr">
        <is>
          <t>OFFICIAL_AGGREGATE</t>
        </is>
      </c>
      <c r="P685" s="8" t="n">
        <v>1</v>
      </c>
      <c r="Q685" s="8" t="n">
        <v>50</v>
      </c>
      <c r="R685" s="7" t="inlineStr">
        <is>
          <t>https://www.eby.gov.py/wp-content/uploads/2019/12/YacyretaEnergiasMensualesDesdePuestaenMarcha.pdf</t>
        </is>
      </c>
      <c r="S685" s="6" t="inlineStr">
        <is>
          <t>EBY-MONTHLY-1994-2012</t>
        </is>
      </c>
      <c r="T685" s="6" t="inlineStr"/>
      <c r="U685" s="4" t="inlineStr">
        <is>
          <t>2026-09-10 23:00:00</t>
        </is>
      </c>
      <c r="V685" s="4" t="inlineStr">
        <is>
          <t>Energia mensual Yacyreta desde puesta en marcha.</t>
        </is>
      </c>
    </row>
    <row r="686">
      <c r="A686" s="6" t="inlineStr">
        <is>
          <t>R0000690</t>
        </is>
      </c>
      <c r="B686" s="6" t="inlineStr">
        <is>
          <t>2009-05-01</t>
        </is>
      </c>
      <c r="C686" s="6" t="inlineStr">
        <is>
          <t>2009-05-31</t>
        </is>
      </c>
      <c r="D686" s="6" t="inlineStr">
        <is>
          <t>month</t>
        </is>
      </c>
      <c r="E686" s="6" t="inlineStr">
        <is>
          <t>ENERGY_TO_ARGENTINA</t>
        </is>
      </c>
      <c r="F686" s="6" t="inlineStr">
        <is>
          <t>YACYRETA</t>
        </is>
      </c>
      <c r="G686" s="6" t="inlineStr">
        <is>
          <t>YACYRETA</t>
        </is>
      </c>
      <c r="H686" s="6" t="inlineStr">
        <is>
          <t>SADI</t>
        </is>
      </c>
      <c r="I686" s="8" t="n">
        <v>936052</v>
      </c>
      <c r="J686" s="6" t="inlineStr">
        <is>
          <t>MWh</t>
        </is>
      </c>
      <c r="K686" s="8" t="n">
        <v>936052</v>
      </c>
      <c r="L686" s="6" t="inlineStr">
        <is>
          <t>MWh</t>
        </is>
      </c>
      <c r="M686" s="6" t="inlineStr">
        <is>
          <t>EBY</t>
        </is>
      </c>
      <c r="N686" s="6" t="inlineStr">
        <is>
          <t>OFFICIAL_PRIMARY</t>
        </is>
      </c>
      <c r="O686" s="9" t="inlineStr">
        <is>
          <t>OFFICIAL_AGGREGATE</t>
        </is>
      </c>
      <c r="P686" s="8" t="n">
        <v>1</v>
      </c>
      <c r="Q686" s="8" t="n">
        <v>50</v>
      </c>
      <c r="R686" s="7" t="inlineStr">
        <is>
          <t>https://www.eby.gov.py/wp-content/uploads/2019/12/YacyretaEnergiasMensualesDesdePuestaenMarcha.pdf</t>
        </is>
      </c>
      <c r="S686" s="6" t="inlineStr">
        <is>
          <t>EBY-MONTHLY-1994-2012</t>
        </is>
      </c>
      <c r="T686" s="6" t="inlineStr"/>
      <c r="U686" s="4" t="inlineStr">
        <is>
          <t>2026-09-10 23:00:00</t>
        </is>
      </c>
      <c r="V686" s="4" t="inlineStr">
        <is>
          <t>Energia mensual entregada al SADI.</t>
        </is>
      </c>
    </row>
    <row r="687">
      <c r="A687" s="6" t="inlineStr">
        <is>
          <t>R0000691</t>
        </is>
      </c>
      <c r="B687" s="6" t="inlineStr">
        <is>
          <t>2009-05-01</t>
        </is>
      </c>
      <c r="C687" s="6" t="inlineStr">
        <is>
          <t>2009-05-31</t>
        </is>
      </c>
      <c r="D687" s="6" t="inlineStr">
        <is>
          <t>month</t>
        </is>
      </c>
      <c r="E687" s="6" t="inlineStr">
        <is>
          <t>ENERGY_TO_PY</t>
        </is>
      </c>
      <c r="F687" s="6" t="inlineStr">
        <is>
          <t>YACYRETA</t>
        </is>
      </c>
      <c r="G687" s="6" t="inlineStr">
        <is>
          <t>YACYRETA</t>
        </is>
      </c>
      <c r="H687" s="6" t="inlineStr">
        <is>
          <t>SINP</t>
        </is>
      </c>
      <c r="I687" s="8" t="n">
        <v>154135</v>
      </c>
      <c r="J687" s="6" t="inlineStr">
        <is>
          <t>MWh</t>
        </is>
      </c>
      <c r="K687" s="8" t="n">
        <v>154135</v>
      </c>
      <c r="L687" s="6" t="inlineStr">
        <is>
          <t>MWh</t>
        </is>
      </c>
      <c r="M687" s="6" t="inlineStr">
        <is>
          <t>EBY</t>
        </is>
      </c>
      <c r="N687" s="6" t="inlineStr">
        <is>
          <t>OFFICIAL_PRIMARY</t>
        </is>
      </c>
      <c r="O687" s="9" t="inlineStr">
        <is>
          <t>OFFICIAL_AGGREGATE</t>
        </is>
      </c>
      <c r="P687" s="8" t="n">
        <v>1</v>
      </c>
      <c r="Q687" s="8" t="n">
        <v>50</v>
      </c>
      <c r="R687" s="7" t="inlineStr">
        <is>
          <t>https://www.eby.gov.py/wp-content/uploads/2019/12/YacyretaEnergiasMensualesDesdePuestaenMarcha.pdf</t>
        </is>
      </c>
      <c r="S687" s="6" t="inlineStr">
        <is>
          <t>EBY-MONTHLY-1994-2012</t>
        </is>
      </c>
      <c r="T687" s="6" t="inlineStr"/>
      <c r="U687" s="4" t="inlineStr">
        <is>
          <t>2026-09-10 23:00:00</t>
        </is>
      </c>
      <c r="V687" s="4" t="inlineStr">
        <is>
          <t>Energia mensual entregada al SINP.</t>
        </is>
      </c>
    </row>
    <row r="688">
      <c r="A688" s="6" t="inlineStr">
        <is>
          <t>R0000692</t>
        </is>
      </c>
      <c r="B688" s="6" t="inlineStr">
        <is>
          <t>2009-06-01</t>
        </is>
      </c>
      <c r="C688" s="6" t="inlineStr">
        <is>
          <t>2009-06-30</t>
        </is>
      </c>
      <c r="D688" s="6" t="inlineStr">
        <is>
          <t>month</t>
        </is>
      </c>
      <c r="E688" s="6" t="inlineStr">
        <is>
          <t>YACYRETA_NET_ENERGY</t>
        </is>
      </c>
      <c r="F688" s="6" t="inlineStr">
        <is>
          <t>YACYRETA</t>
        </is>
      </c>
      <c r="G688" s="6" t="inlineStr">
        <is>
          <t>YACYRETA</t>
        </is>
      </c>
      <c r="H688" s="6" t="inlineStr">
        <is>
          <t>TOTAL</t>
        </is>
      </c>
      <c r="I688" s="8" t="n">
        <v>1140370</v>
      </c>
      <c r="J688" s="6" t="inlineStr">
        <is>
          <t>MWh</t>
        </is>
      </c>
      <c r="K688" s="8" t="n">
        <v>1140370</v>
      </c>
      <c r="L688" s="6" t="inlineStr">
        <is>
          <t>MWh</t>
        </is>
      </c>
      <c r="M688" s="6" t="inlineStr">
        <is>
          <t>EBY</t>
        </is>
      </c>
      <c r="N688" s="6" t="inlineStr">
        <is>
          <t>OFFICIAL_PRIMARY</t>
        </is>
      </c>
      <c r="O688" s="9" t="inlineStr">
        <is>
          <t>OFFICIAL_AGGREGATE</t>
        </is>
      </c>
      <c r="P688" s="8" t="n">
        <v>1</v>
      </c>
      <c r="Q688" s="8" t="n">
        <v>50</v>
      </c>
      <c r="R688" s="7" t="inlineStr">
        <is>
          <t>https://www.eby.gov.py/wp-content/uploads/2019/12/YacyretaEnergiasMensualesDesdePuestaenMarcha.pdf</t>
        </is>
      </c>
      <c r="S688" s="6" t="inlineStr">
        <is>
          <t>EBY-MONTHLY-1994-2012</t>
        </is>
      </c>
      <c r="T688" s="6" t="inlineStr"/>
      <c r="U688" s="4" t="inlineStr">
        <is>
          <t>2026-09-10 23:00:00</t>
        </is>
      </c>
      <c r="V688" s="4" t="inlineStr">
        <is>
          <t>Energia mensual Yacyreta desde puesta en marcha.</t>
        </is>
      </c>
    </row>
    <row r="689">
      <c r="A689" s="6" t="inlineStr">
        <is>
          <t>R0000693</t>
        </is>
      </c>
      <c r="B689" s="6" t="inlineStr">
        <is>
          <t>2009-06-01</t>
        </is>
      </c>
      <c r="C689" s="6" t="inlineStr">
        <is>
          <t>2009-06-30</t>
        </is>
      </c>
      <c r="D689" s="6" t="inlineStr">
        <is>
          <t>month</t>
        </is>
      </c>
      <c r="E689" s="6" t="inlineStr">
        <is>
          <t>ENERGY_TO_ARGENTINA</t>
        </is>
      </c>
      <c r="F689" s="6" t="inlineStr">
        <is>
          <t>YACYRETA</t>
        </is>
      </c>
      <c r="G689" s="6" t="inlineStr">
        <is>
          <t>YACYRETA</t>
        </is>
      </c>
      <c r="H689" s="6" t="inlineStr">
        <is>
          <t>SADI</t>
        </is>
      </c>
      <c r="I689" s="8" t="n">
        <v>989972</v>
      </c>
      <c r="J689" s="6" t="inlineStr">
        <is>
          <t>MWh</t>
        </is>
      </c>
      <c r="K689" s="8" t="n">
        <v>989972</v>
      </c>
      <c r="L689" s="6" t="inlineStr">
        <is>
          <t>MWh</t>
        </is>
      </c>
      <c r="M689" s="6" t="inlineStr">
        <is>
          <t>EBY</t>
        </is>
      </c>
      <c r="N689" s="6" t="inlineStr">
        <is>
          <t>OFFICIAL_PRIMARY</t>
        </is>
      </c>
      <c r="O689" s="9" t="inlineStr">
        <is>
          <t>OFFICIAL_AGGREGATE</t>
        </is>
      </c>
      <c r="P689" s="8" t="n">
        <v>1</v>
      </c>
      <c r="Q689" s="8" t="n">
        <v>50</v>
      </c>
      <c r="R689" s="7" t="inlineStr">
        <is>
          <t>https://www.eby.gov.py/wp-content/uploads/2019/12/YacyretaEnergiasMensualesDesdePuestaenMarcha.pdf</t>
        </is>
      </c>
      <c r="S689" s="6" t="inlineStr">
        <is>
          <t>EBY-MONTHLY-1994-2012</t>
        </is>
      </c>
      <c r="T689" s="6" t="inlineStr"/>
      <c r="U689" s="4" t="inlineStr">
        <is>
          <t>2026-09-10 23:00:00</t>
        </is>
      </c>
      <c r="V689" s="4" t="inlineStr">
        <is>
          <t>Energia mensual entregada al SADI.</t>
        </is>
      </c>
    </row>
    <row r="690">
      <c r="A690" s="6" t="inlineStr">
        <is>
          <t>R0000694</t>
        </is>
      </c>
      <c r="B690" s="6" t="inlineStr">
        <is>
          <t>2009-06-01</t>
        </is>
      </c>
      <c r="C690" s="6" t="inlineStr">
        <is>
          <t>2009-06-30</t>
        </is>
      </c>
      <c r="D690" s="6" t="inlineStr">
        <is>
          <t>month</t>
        </is>
      </c>
      <c r="E690" s="6" t="inlineStr">
        <is>
          <t>ENERGY_TO_PY</t>
        </is>
      </c>
      <c r="F690" s="6" t="inlineStr">
        <is>
          <t>YACYRETA</t>
        </is>
      </c>
      <c r="G690" s="6" t="inlineStr">
        <is>
          <t>YACYRETA</t>
        </is>
      </c>
      <c r="H690" s="6" t="inlineStr">
        <is>
          <t>SINP</t>
        </is>
      </c>
      <c r="I690" s="8" t="n">
        <v>150398</v>
      </c>
      <c r="J690" s="6" t="inlineStr">
        <is>
          <t>MWh</t>
        </is>
      </c>
      <c r="K690" s="8" t="n">
        <v>150398</v>
      </c>
      <c r="L690" s="6" t="inlineStr">
        <is>
          <t>MWh</t>
        </is>
      </c>
      <c r="M690" s="6" t="inlineStr">
        <is>
          <t>EBY</t>
        </is>
      </c>
      <c r="N690" s="6" t="inlineStr">
        <is>
          <t>OFFICIAL_PRIMARY</t>
        </is>
      </c>
      <c r="O690" s="9" t="inlineStr">
        <is>
          <t>OFFICIAL_AGGREGATE</t>
        </is>
      </c>
      <c r="P690" s="8" t="n">
        <v>1</v>
      </c>
      <c r="Q690" s="8" t="n">
        <v>50</v>
      </c>
      <c r="R690" s="7" t="inlineStr">
        <is>
          <t>https://www.eby.gov.py/wp-content/uploads/2019/12/YacyretaEnergiasMensualesDesdePuestaenMarcha.pdf</t>
        </is>
      </c>
      <c r="S690" s="6" t="inlineStr">
        <is>
          <t>EBY-MONTHLY-1994-2012</t>
        </is>
      </c>
      <c r="T690" s="6" t="inlineStr"/>
      <c r="U690" s="4" t="inlineStr">
        <is>
          <t>2026-09-10 23:00:00</t>
        </is>
      </c>
      <c r="V690" s="4" t="inlineStr">
        <is>
          <t>Energia mensual entregada al SINP.</t>
        </is>
      </c>
    </row>
    <row r="691">
      <c r="A691" s="6" t="inlineStr">
        <is>
          <t>R0000695</t>
        </is>
      </c>
      <c r="B691" s="6" t="inlineStr">
        <is>
          <t>2009-07-01</t>
        </is>
      </c>
      <c r="C691" s="6" t="inlineStr">
        <is>
          <t>2009-07-31</t>
        </is>
      </c>
      <c r="D691" s="6" t="inlineStr">
        <is>
          <t>month</t>
        </is>
      </c>
      <c r="E691" s="6" t="inlineStr">
        <is>
          <t>YACYRETA_NET_ENERGY</t>
        </is>
      </c>
      <c r="F691" s="6" t="inlineStr">
        <is>
          <t>YACYRETA</t>
        </is>
      </c>
      <c r="G691" s="6" t="inlineStr">
        <is>
          <t>YACYRETA</t>
        </is>
      </c>
      <c r="H691" s="6" t="inlineStr">
        <is>
          <t>TOTAL</t>
        </is>
      </c>
      <c r="I691" s="8" t="n">
        <v>1361786</v>
      </c>
      <c r="J691" s="6" t="inlineStr">
        <is>
          <t>MWh</t>
        </is>
      </c>
      <c r="K691" s="8" t="n">
        <v>1361786</v>
      </c>
      <c r="L691" s="6" t="inlineStr">
        <is>
          <t>MWh</t>
        </is>
      </c>
      <c r="M691" s="6" t="inlineStr">
        <is>
          <t>EBY</t>
        </is>
      </c>
      <c r="N691" s="6" t="inlineStr">
        <is>
          <t>OFFICIAL_PRIMARY</t>
        </is>
      </c>
      <c r="O691" s="9" t="inlineStr">
        <is>
          <t>OFFICIAL_AGGREGATE</t>
        </is>
      </c>
      <c r="P691" s="8" t="n">
        <v>1</v>
      </c>
      <c r="Q691" s="8" t="n">
        <v>50</v>
      </c>
      <c r="R691" s="7" t="inlineStr">
        <is>
          <t>https://www.eby.gov.py/wp-content/uploads/2019/12/YacyretaEnergiasMensualesDesdePuestaenMarcha.pdf</t>
        </is>
      </c>
      <c r="S691" s="6" t="inlineStr">
        <is>
          <t>EBY-MONTHLY-1994-2012</t>
        </is>
      </c>
      <c r="T691" s="6" t="inlineStr"/>
      <c r="U691" s="4" t="inlineStr">
        <is>
          <t>2026-09-10 23:00:00</t>
        </is>
      </c>
      <c r="V691" s="4" t="inlineStr">
        <is>
          <t>Energia mensual Yacyreta desde puesta en marcha.</t>
        </is>
      </c>
    </row>
    <row r="692">
      <c r="A692" s="6" t="inlineStr">
        <is>
          <t>R0000696</t>
        </is>
      </c>
      <c r="B692" s="6" t="inlineStr">
        <is>
          <t>2009-07-01</t>
        </is>
      </c>
      <c r="C692" s="6" t="inlineStr">
        <is>
          <t>2009-07-31</t>
        </is>
      </c>
      <c r="D692" s="6" t="inlineStr">
        <is>
          <t>month</t>
        </is>
      </c>
      <c r="E692" s="6" t="inlineStr">
        <is>
          <t>ENERGY_TO_ARGENTINA</t>
        </is>
      </c>
      <c r="F692" s="6" t="inlineStr">
        <is>
          <t>YACYRETA</t>
        </is>
      </c>
      <c r="G692" s="6" t="inlineStr">
        <is>
          <t>YACYRETA</t>
        </is>
      </c>
      <c r="H692" s="6" t="inlineStr">
        <is>
          <t>SADI</t>
        </is>
      </c>
      <c r="I692" s="8" t="n">
        <v>1212000</v>
      </c>
      <c r="J692" s="6" t="inlineStr">
        <is>
          <t>MWh</t>
        </is>
      </c>
      <c r="K692" s="8" t="n">
        <v>1212000</v>
      </c>
      <c r="L692" s="6" t="inlineStr">
        <is>
          <t>MWh</t>
        </is>
      </c>
      <c r="M692" s="6" t="inlineStr">
        <is>
          <t>EBY</t>
        </is>
      </c>
      <c r="N692" s="6" t="inlineStr">
        <is>
          <t>OFFICIAL_PRIMARY</t>
        </is>
      </c>
      <c r="O692" s="9" t="inlineStr">
        <is>
          <t>OFFICIAL_AGGREGATE</t>
        </is>
      </c>
      <c r="P692" s="8" t="n">
        <v>1</v>
      </c>
      <c r="Q692" s="8" t="n">
        <v>50</v>
      </c>
      <c r="R692" s="7" t="inlineStr">
        <is>
          <t>https://www.eby.gov.py/wp-content/uploads/2019/12/YacyretaEnergiasMensualesDesdePuestaenMarcha.pdf</t>
        </is>
      </c>
      <c r="S692" s="6" t="inlineStr">
        <is>
          <t>EBY-MONTHLY-1994-2012</t>
        </is>
      </c>
      <c r="T692" s="6" t="inlineStr"/>
      <c r="U692" s="4" t="inlineStr">
        <is>
          <t>2026-09-10 23:00:00</t>
        </is>
      </c>
      <c r="V692" s="4" t="inlineStr">
        <is>
          <t>Energia mensual entregada al SADI.</t>
        </is>
      </c>
    </row>
    <row r="693">
      <c r="A693" s="6" t="inlineStr">
        <is>
          <t>R0000697</t>
        </is>
      </c>
      <c r="B693" s="6" t="inlineStr">
        <is>
          <t>2009-07-01</t>
        </is>
      </c>
      <c r="C693" s="6" t="inlineStr">
        <is>
          <t>2009-07-31</t>
        </is>
      </c>
      <c r="D693" s="6" t="inlineStr">
        <is>
          <t>month</t>
        </is>
      </c>
      <c r="E693" s="6" t="inlineStr">
        <is>
          <t>ENERGY_TO_PY</t>
        </is>
      </c>
      <c r="F693" s="6" t="inlineStr">
        <is>
          <t>YACYRETA</t>
        </is>
      </c>
      <c r="G693" s="6" t="inlineStr">
        <is>
          <t>YACYRETA</t>
        </is>
      </c>
      <c r="H693" s="6" t="inlineStr">
        <is>
          <t>SINP</t>
        </is>
      </c>
      <c r="I693" s="8" t="n">
        <v>149786</v>
      </c>
      <c r="J693" s="6" t="inlineStr">
        <is>
          <t>MWh</t>
        </is>
      </c>
      <c r="K693" s="8" t="n">
        <v>149786</v>
      </c>
      <c r="L693" s="6" t="inlineStr">
        <is>
          <t>MWh</t>
        </is>
      </c>
      <c r="M693" s="6" t="inlineStr">
        <is>
          <t>EBY</t>
        </is>
      </c>
      <c r="N693" s="6" t="inlineStr">
        <is>
          <t>OFFICIAL_PRIMARY</t>
        </is>
      </c>
      <c r="O693" s="9" t="inlineStr">
        <is>
          <t>OFFICIAL_AGGREGATE</t>
        </is>
      </c>
      <c r="P693" s="8" t="n">
        <v>1</v>
      </c>
      <c r="Q693" s="8" t="n">
        <v>50</v>
      </c>
      <c r="R693" s="7" t="inlineStr">
        <is>
          <t>https://www.eby.gov.py/wp-content/uploads/2019/12/YacyretaEnergiasMensualesDesdePuestaenMarcha.pdf</t>
        </is>
      </c>
      <c r="S693" s="6" t="inlineStr">
        <is>
          <t>EBY-MONTHLY-1994-2012</t>
        </is>
      </c>
      <c r="T693" s="6" t="inlineStr"/>
      <c r="U693" s="4" t="inlineStr">
        <is>
          <t>2026-09-10 23:00:00</t>
        </is>
      </c>
      <c r="V693" s="4" t="inlineStr">
        <is>
          <t>Energia mensual entregada al SINP.</t>
        </is>
      </c>
    </row>
    <row r="694">
      <c r="A694" s="6" t="inlineStr">
        <is>
          <t>R0000698</t>
        </is>
      </c>
      <c r="B694" s="6" t="inlineStr">
        <is>
          <t>2009-08-01</t>
        </is>
      </c>
      <c r="C694" s="6" t="inlineStr">
        <is>
          <t>2009-08-31</t>
        </is>
      </c>
      <c r="D694" s="6" t="inlineStr">
        <is>
          <t>month</t>
        </is>
      </c>
      <c r="E694" s="6" t="inlineStr">
        <is>
          <t>YACYRETA_NET_ENERGY</t>
        </is>
      </c>
      <c r="F694" s="6" t="inlineStr">
        <is>
          <t>YACYRETA</t>
        </is>
      </c>
      <c r="G694" s="6" t="inlineStr">
        <is>
          <t>YACYRETA</t>
        </is>
      </c>
      <c r="H694" s="6" t="inlineStr">
        <is>
          <t>TOTAL</t>
        </is>
      </c>
      <c r="I694" s="8" t="n">
        <v>1435938</v>
      </c>
      <c r="J694" s="6" t="inlineStr">
        <is>
          <t>MWh</t>
        </is>
      </c>
      <c r="K694" s="8" t="n">
        <v>1435938</v>
      </c>
      <c r="L694" s="6" t="inlineStr">
        <is>
          <t>MWh</t>
        </is>
      </c>
      <c r="M694" s="6" t="inlineStr">
        <is>
          <t>EBY</t>
        </is>
      </c>
      <c r="N694" s="6" t="inlineStr">
        <is>
          <t>OFFICIAL_PRIMARY</t>
        </is>
      </c>
      <c r="O694" s="9" t="inlineStr">
        <is>
          <t>OFFICIAL_AGGREGATE</t>
        </is>
      </c>
      <c r="P694" s="8" t="n">
        <v>1</v>
      </c>
      <c r="Q694" s="8" t="n">
        <v>50</v>
      </c>
      <c r="R694" s="7" t="inlineStr">
        <is>
          <t>https://www.eby.gov.py/wp-content/uploads/2019/12/YacyretaEnergiasMensualesDesdePuestaenMarcha.pdf</t>
        </is>
      </c>
      <c r="S694" s="6" t="inlineStr">
        <is>
          <t>EBY-MONTHLY-1994-2012</t>
        </is>
      </c>
      <c r="T694" s="6" t="inlineStr"/>
      <c r="U694" s="4" t="inlineStr">
        <is>
          <t>2026-09-10 23:00:00</t>
        </is>
      </c>
      <c r="V694" s="4" t="inlineStr">
        <is>
          <t>Energia mensual Yacyreta desde puesta en marcha.</t>
        </is>
      </c>
    </row>
    <row r="695">
      <c r="A695" s="6" t="inlineStr">
        <is>
          <t>R0000699</t>
        </is>
      </c>
      <c r="B695" s="6" t="inlineStr">
        <is>
          <t>2009-08-01</t>
        </is>
      </c>
      <c r="C695" s="6" t="inlineStr">
        <is>
          <t>2009-08-31</t>
        </is>
      </c>
      <c r="D695" s="6" t="inlineStr">
        <is>
          <t>month</t>
        </is>
      </c>
      <c r="E695" s="6" t="inlineStr">
        <is>
          <t>ENERGY_TO_ARGENTINA</t>
        </is>
      </c>
      <c r="F695" s="6" t="inlineStr">
        <is>
          <t>YACYRETA</t>
        </is>
      </c>
      <c r="G695" s="6" t="inlineStr">
        <is>
          <t>YACYRETA</t>
        </is>
      </c>
      <c r="H695" s="6" t="inlineStr">
        <is>
          <t>SADI</t>
        </is>
      </c>
      <c r="I695" s="8" t="n">
        <v>1279492</v>
      </c>
      <c r="J695" s="6" t="inlineStr">
        <is>
          <t>MWh</t>
        </is>
      </c>
      <c r="K695" s="8" t="n">
        <v>1279492</v>
      </c>
      <c r="L695" s="6" t="inlineStr">
        <is>
          <t>MWh</t>
        </is>
      </c>
      <c r="M695" s="6" t="inlineStr">
        <is>
          <t>EBY</t>
        </is>
      </c>
      <c r="N695" s="6" t="inlineStr">
        <is>
          <t>OFFICIAL_PRIMARY</t>
        </is>
      </c>
      <c r="O695" s="9" t="inlineStr">
        <is>
          <t>OFFICIAL_AGGREGATE</t>
        </is>
      </c>
      <c r="P695" s="8" t="n">
        <v>1</v>
      </c>
      <c r="Q695" s="8" t="n">
        <v>50</v>
      </c>
      <c r="R695" s="7" t="inlineStr">
        <is>
          <t>https://www.eby.gov.py/wp-content/uploads/2019/12/YacyretaEnergiasMensualesDesdePuestaenMarcha.pdf</t>
        </is>
      </c>
      <c r="S695" s="6" t="inlineStr">
        <is>
          <t>EBY-MONTHLY-1994-2012</t>
        </is>
      </c>
      <c r="T695" s="6" t="inlineStr"/>
      <c r="U695" s="4" t="inlineStr">
        <is>
          <t>2026-09-10 23:00:00</t>
        </is>
      </c>
      <c r="V695" s="4" t="inlineStr">
        <is>
          <t>Energia mensual entregada al SADI.</t>
        </is>
      </c>
    </row>
    <row r="696">
      <c r="A696" s="6" t="inlineStr">
        <is>
          <t>R0000700</t>
        </is>
      </c>
      <c r="B696" s="6" t="inlineStr">
        <is>
          <t>2009-08-01</t>
        </is>
      </c>
      <c r="C696" s="6" t="inlineStr">
        <is>
          <t>2009-08-31</t>
        </is>
      </c>
      <c r="D696" s="6" t="inlineStr">
        <is>
          <t>month</t>
        </is>
      </c>
      <c r="E696" s="6" t="inlineStr">
        <is>
          <t>ENERGY_TO_PY</t>
        </is>
      </c>
      <c r="F696" s="6" t="inlineStr">
        <is>
          <t>YACYRETA</t>
        </is>
      </c>
      <c r="G696" s="6" t="inlineStr">
        <is>
          <t>YACYRETA</t>
        </is>
      </c>
      <c r="H696" s="6" t="inlineStr">
        <is>
          <t>SINP</t>
        </is>
      </c>
      <c r="I696" s="8" t="n">
        <v>156446</v>
      </c>
      <c r="J696" s="6" t="inlineStr">
        <is>
          <t>MWh</t>
        </is>
      </c>
      <c r="K696" s="8" t="n">
        <v>156446</v>
      </c>
      <c r="L696" s="6" t="inlineStr">
        <is>
          <t>MWh</t>
        </is>
      </c>
      <c r="M696" s="6" t="inlineStr">
        <is>
          <t>EBY</t>
        </is>
      </c>
      <c r="N696" s="6" t="inlineStr">
        <is>
          <t>OFFICIAL_PRIMARY</t>
        </is>
      </c>
      <c r="O696" s="9" t="inlineStr">
        <is>
          <t>OFFICIAL_AGGREGATE</t>
        </is>
      </c>
      <c r="P696" s="8" t="n">
        <v>1</v>
      </c>
      <c r="Q696" s="8" t="n">
        <v>50</v>
      </c>
      <c r="R696" s="7" t="inlineStr">
        <is>
          <t>https://www.eby.gov.py/wp-content/uploads/2019/12/YacyretaEnergiasMensualesDesdePuestaenMarcha.pdf</t>
        </is>
      </c>
      <c r="S696" s="6" t="inlineStr">
        <is>
          <t>EBY-MONTHLY-1994-2012</t>
        </is>
      </c>
      <c r="T696" s="6" t="inlineStr"/>
      <c r="U696" s="4" t="inlineStr">
        <is>
          <t>2026-09-10 23:00:00</t>
        </is>
      </c>
      <c r="V696" s="4" t="inlineStr">
        <is>
          <t>Energia mensual entregada al SINP.</t>
        </is>
      </c>
    </row>
    <row r="697">
      <c r="A697" s="6" t="inlineStr">
        <is>
          <t>R0000701</t>
        </is>
      </c>
      <c r="B697" s="6" t="inlineStr">
        <is>
          <t>2009-09-01</t>
        </is>
      </c>
      <c r="C697" s="6" t="inlineStr">
        <is>
          <t>2009-09-30</t>
        </is>
      </c>
      <c r="D697" s="6" t="inlineStr">
        <is>
          <t>month</t>
        </is>
      </c>
      <c r="E697" s="6" t="inlineStr">
        <is>
          <t>YACYRETA_NET_ENERGY</t>
        </is>
      </c>
      <c r="F697" s="6" t="inlineStr">
        <is>
          <t>YACYRETA</t>
        </is>
      </c>
      <c r="G697" s="6" t="inlineStr">
        <is>
          <t>YACYRETA</t>
        </is>
      </c>
      <c r="H697" s="6" t="inlineStr">
        <is>
          <t>TOTAL</t>
        </is>
      </c>
      <c r="I697" s="8" t="n">
        <v>1470246</v>
      </c>
      <c r="J697" s="6" t="inlineStr">
        <is>
          <t>MWh</t>
        </is>
      </c>
      <c r="K697" s="8" t="n">
        <v>1470246</v>
      </c>
      <c r="L697" s="6" t="inlineStr">
        <is>
          <t>MWh</t>
        </is>
      </c>
      <c r="M697" s="6" t="inlineStr">
        <is>
          <t>EBY</t>
        </is>
      </c>
      <c r="N697" s="6" t="inlineStr">
        <is>
          <t>OFFICIAL_PRIMARY</t>
        </is>
      </c>
      <c r="O697" s="9" t="inlineStr">
        <is>
          <t>OFFICIAL_AGGREGATE</t>
        </is>
      </c>
      <c r="P697" s="8" t="n">
        <v>1</v>
      </c>
      <c r="Q697" s="8" t="n">
        <v>50</v>
      </c>
      <c r="R697" s="7" t="inlineStr">
        <is>
          <t>https://www.eby.gov.py/wp-content/uploads/2019/12/YacyretaEnergiasMensualesDesdePuestaenMarcha.pdf</t>
        </is>
      </c>
      <c r="S697" s="6" t="inlineStr">
        <is>
          <t>EBY-MONTHLY-1994-2012</t>
        </is>
      </c>
      <c r="T697" s="6" t="inlineStr"/>
      <c r="U697" s="4" t="inlineStr">
        <is>
          <t>2026-09-10 23:00:00</t>
        </is>
      </c>
      <c r="V697" s="4" t="inlineStr">
        <is>
          <t>Energia mensual Yacyreta desde puesta en marcha.</t>
        </is>
      </c>
    </row>
    <row r="698">
      <c r="A698" s="6" t="inlineStr">
        <is>
          <t>R0000702</t>
        </is>
      </c>
      <c r="B698" s="6" t="inlineStr">
        <is>
          <t>2009-09-01</t>
        </is>
      </c>
      <c r="C698" s="6" t="inlineStr">
        <is>
          <t>2009-09-30</t>
        </is>
      </c>
      <c r="D698" s="6" t="inlineStr">
        <is>
          <t>month</t>
        </is>
      </c>
      <c r="E698" s="6" t="inlineStr">
        <is>
          <t>ENERGY_TO_ARGENTINA</t>
        </is>
      </c>
      <c r="F698" s="6" t="inlineStr">
        <is>
          <t>YACYRETA</t>
        </is>
      </c>
      <c r="G698" s="6" t="inlineStr">
        <is>
          <t>YACYRETA</t>
        </is>
      </c>
      <c r="H698" s="6" t="inlineStr">
        <is>
          <t>SADI</t>
        </is>
      </c>
      <c r="I698" s="8" t="n">
        <v>1312352</v>
      </c>
      <c r="J698" s="6" t="inlineStr">
        <is>
          <t>MWh</t>
        </is>
      </c>
      <c r="K698" s="8" t="n">
        <v>1312352</v>
      </c>
      <c r="L698" s="6" t="inlineStr">
        <is>
          <t>MWh</t>
        </is>
      </c>
      <c r="M698" s="6" t="inlineStr">
        <is>
          <t>EBY</t>
        </is>
      </c>
      <c r="N698" s="6" t="inlineStr">
        <is>
          <t>OFFICIAL_PRIMARY</t>
        </is>
      </c>
      <c r="O698" s="9" t="inlineStr">
        <is>
          <t>OFFICIAL_AGGREGATE</t>
        </is>
      </c>
      <c r="P698" s="8" t="n">
        <v>1</v>
      </c>
      <c r="Q698" s="8" t="n">
        <v>50</v>
      </c>
      <c r="R698" s="7" t="inlineStr">
        <is>
          <t>https://www.eby.gov.py/wp-content/uploads/2019/12/YacyretaEnergiasMensualesDesdePuestaenMarcha.pdf</t>
        </is>
      </c>
      <c r="S698" s="6" t="inlineStr">
        <is>
          <t>EBY-MONTHLY-1994-2012</t>
        </is>
      </c>
      <c r="T698" s="6" t="inlineStr"/>
      <c r="U698" s="4" t="inlineStr">
        <is>
          <t>2026-09-10 23:00:00</t>
        </is>
      </c>
      <c r="V698" s="4" t="inlineStr">
        <is>
          <t>Energia mensual entregada al SADI.</t>
        </is>
      </c>
    </row>
    <row r="699">
      <c r="A699" s="6" t="inlineStr">
        <is>
          <t>R0000703</t>
        </is>
      </c>
      <c r="B699" s="6" t="inlineStr">
        <is>
          <t>2009-09-01</t>
        </is>
      </c>
      <c r="C699" s="6" t="inlineStr">
        <is>
          <t>2009-09-30</t>
        </is>
      </c>
      <c r="D699" s="6" t="inlineStr">
        <is>
          <t>month</t>
        </is>
      </c>
      <c r="E699" s="6" t="inlineStr">
        <is>
          <t>ENERGY_TO_PY</t>
        </is>
      </c>
      <c r="F699" s="6" t="inlineStr">
        <is>
          <t>YACYRETA</t>
        </is>
      </c>
      <c r="G699" s="6" t="inlineStr">
        <is>
          <t>YACYRETA</t>
        </is>
      </c>
      <c r="H699" s="6" t="inlineStr">
        <is>
          <t>SINP</t>
        </is>
      </c>
      <c r="I699" s="8" t="n">
        <v>157894</v>
      </c>
      <c r="J699" s="6" t="inlineStr">
        <is>
          <t>MWh</t>
        </is>
      </c>
      <c r="K699" s="8" t="n">
        <v>157894</v>
      </c>
      <c r="L699" s="6" t="inlineStr">
        <is>
          <t>MWh</t>
        </is>
      </c>
      <c r="M699" s="6" t="inlineStr">
        <is>
          <t>EBY</t>
        </is>
      </c>
      <c r="N699" s="6" t="inlineStr">
        <is>
          <t>OFFICIAL_PRIMARY</t>
        </is>
      </c>
      <c r="O699" s="9" t="inlineStr">
        <is>
          <t>OFFICIAL_AGGREGATE</t>
        </is>
      </c>
      <c r="P699" s="8" t="n">
        <v>1</v>
      </c>
      <c r="Q699" s="8" t="n">
        <v>50</v>
      </c>
      <c r="R699" s="7" t="inlineStr">
        <is>
          <t>https://www.eby.gov.py/wp-content/uploads/2019/12/YacyretaEnergiasMensualesDesdePuestaenMarcha.pdf</t>
        </is>
      </c>
      <c r="S699" s="6" t="inlineStr">
        <is>
          <t>EBY-MONTHLY-1994-2012</t>
        </is>
      </c>
      <c r="T699" s="6" t="inlineStr"/>
      <c r="U699" s="4" t="inlineStr">
        <is>
          <t>2026-09-10 23:00:00</t>
        </is>
      </c>
      <c r="V699" s="4" t="inlineStr">
        <is>
          <t>Energia mensual entregada al SINP.</t>
        </is>
      </c>
    </row>
    <row r="700">
      <c r="A700" s="6" t="inlineStr">
        <is>
          <t>R0000704</t>
        </is>
      </c>
      <c r="B700" s="6" t="inlineStr">
        <is>
          <t>2009-10-01</t>
        </is>
      </c>
      <c r="C700" s="6" t="inlineStr">
        <is>
          <t>2009-10-31</t>
        </is>
      </c>
      <c r="D700" s="6" t="inlineStr">
        <is>
          <t>month</t>
        </is>
      </c>
      <c r="E700" s="6" t="inlineStr">
        <is>
          <t>YACYRETA_NET_ENERGY</t>
        </is>
      </c>
      <c r="F700" s="6" t="inlineStr">
        <is>
          <t>YACYRETA</t>
        </is>
      </c>
      <c r="G700" s="6" t="inlineStr">
        <is>
          <t>YACYRETA</t>
        </is>
      </c>
      <c r="H700" s="6" t="inlineStr">
        <is>
          <t>TOTAL</t>
        </is>
      </c>
      <c r="I700" s="8" t="n">
        <v>1689822</v>
      </c>
      <c r="J700" s="6" t="inlineStr">
        <is>
          <t>MWh</t>
        </is>
      </c>
      <c r="K700" s="8" t="n">
        <v>1689822</v>
      </c>
      <c r="L700" s="6" t="inlineStr">
        <is>
          <t>MWh</t>
        </is>
      </c>
      <c r="M700" s="6" t="inlineStr">
        <is>
          <t>EBY</t>
        </is>
      </c>
      <c r="N700" s="6" t="inlineStr">
        <is>
          <t>OFFICIAL_PRIMARY</t>
        </is>
      </c>
      <c r="O700" s="9" t="inlineStr">
        <is>
          <t>OFFICIAL_AGGREGATE</t>
        </is>
      </c>
      <c r="P700" s="8" t="n">
        <v>1</v>
      </c>
      <c r="Q700" s="8" t="n">
        <v>50</v>
      </c>
      <c r="R700" s="7" t="inlineStr">
        <is>
          <t>https://www.eby.gov.py/wp-content/uploads/2019/12/YacyretaEnergiasMensualesDesdePuestaenMarcha.pdf</t>
        </is>
      </c>
      <c r="S700" s="6" t="inlineStr">
        <is>
          <t>EBY-MONTHLY-1994-2012</t>
        </is>
      </c>
      <c r="T700" s="6" t="inlineStr"/>
      <c r="U700" s="4" t="inlineStr">
        <is>
          <t>2026-09-10 23:00:00</t>
        </is>
      </c>
      <c r="V700" s="4" t="inlineStr">
        <is>
          <t>Energia mensual Yacyreta desde puesta en marcha.</t>
        </is>
      </c>
    </row>
    <row r="701">
      <c r="A701" s="6" t="inlineStr">
        <is>
          <t>R0000705</t>
        </is>
      </c>
      <c r="B701" s="6" t="inlineStr">
        <is>
          <t>2009-10-01</t>
        </is>
      </c>
      <c r="C701" s="6" t="inlineStr">
        <is>
          <t>2009-10-31</t>
        </is>
      </c>
      <c r="D701" s="6" t="inlineStr">
        <is>
          <t>month</t>
        </is>
      </c>
      <c r="E701" s="6" t="inlineStr">
        <is>
          <t>ENERGY_TO_ARGENTINA</t>
        </is>
      </c>
      <c r="F701" s="6" t="inlineStr">
        <is>
          <t>YACYRETA</t>
        </is>
      </c>
      <c r="G701" s="6" t="inlineStr">
        <is>
          <t>YACYRETA</t>
        </is>
      </c>
      <c r="H701" s="6" t="inlineStr">
        <is>
          <t>SADI</t>
        </is>
      </c>
      <c r="I701" s="8" t="n">
        <v>1513176</v>
      </c>
      <c r="J701" s="6" t="inlineStr">
        <is>
          <t>MWh</t>
        </is>
      </c>
      <c r="K701" s="8" t="n">
        <v>1513176</v>
      </c>
      <c r="L701" s="6" t="inlineStr">
        <is>
          <t>MWh</t>
        </is>
      </c>
      <c r="M701" s="6" t="inlineStr">
        <is>
          <t>EBY</t>
        </is>
      </c>
      <c r="N701" s="6" t="inlineStr">
        <is>
          <t>OFFICIAL_PRIMARY</t>
        </is>
      </c>
      <c r="O701" s="9" t="inlineStr">
        <is>
          <t>OFFICIAL_AGGREGATE</t>
        </is>
      </c>
      <c r="P701" s="8" t="n">
        <v>1</v>
      </c>
      <c r="Q701" s="8" t="n">
        <v>50</v>
      </c>
      <c r="R701" s="7" t="inlineStr">
        <is>
          <t>https://www.eby.gov.py/wp-content/uploads/2019/12/YacyretaEnergiasMensualesDesdePuestaenMarcha.pdf</t>
        </is>
      </c>
      <c r="S701" s="6" t="inlineStr">
        <is>
          <t>EBY-MONTHLY-1994-2012</t>
        </is>
      </c>
      <c r="T701" s="6" t="inlineStr"/>
      <c r="U701" s="4" t="inlineStr">
        <is>
          <t>2026-09-10 23:00:00</t>
        </is>
      </c>
      <c r="V701" s="4" t="inlineStr">
        <is>
          <t>Energia mensual entregada al SADI.</t>
        </is>
      </c>
    </row>
    <row r="702">
      <c r="A702" s="6" t="inlineStr">
        <is>
          <t>R0000706</t>
        </is>
      </c>
      <c r="B702" s="6" t="inlineStr">
        <is>
          <t>2009-10-01</t>
        </is>
      </c>
      <c r="C702" s="6" t="inlineStr">
        <is>
          <t>2009-10-31</t>
        </is>
      </c>
      <c r="D702" s="6" t="inlineStr">
        <is>
          <t>month</t>
        </is>
      </c>
      <c r="E702" s="6" t="inlineStr">
        <is>
          <t>ENERGY_TO_PY</t>
        </is>
      </c>
      <c r="F702" s="6" t="inlineStr">
        <is>
          <t>YACYRETA</t>
        </is>
      </c>
      <c r="G702" s="6" t="inlineStr">
        <is>
          <t>YACYRETA</t>
        </is>
      </c>
      <c r="H702" s="6" t="inlineStr">
        <is>
          <t>SINP</t>
        </is>
      </c>
      <c r="I702" s="8" t="n">
        <v>176646</v>
      </c>
      <c r="J702" s="6" t="inlineStr">
        <is>
          <t>MWh</t>
        </is>
      </c>
      <c r="K702" s="8" t="n">
        <v>176646</v>
      </c>
      <c r="L702" s="6" t="inlineStr">
        <is>
          <t>MWh</t>
        </is>
      </c>
      <c r="M702" s="6" t="inlineStr">
        <is>
          <t>EBY</t>
        </is>
      </c>
      <c r="N702" s="6" t="inlineStr">
        <is>
          <t>OFFICIAL_PRIMARY</t>
        </is>
      </c>
      <c r="O702" s="9" t="inlineStr">
        <is>
          <t>OFFICIAL_AGGREGATE</t>
        </is>
      </c>
      <c r="P702" s="8" t="n">
        <v>1</v>
      </c>
      <c r="Q702" s="8" t="n">
        <v>50</v>
      </c>
      <c r="R702" s="7" t="inlineStr">
        <is>
          <t>https://www.eby.gov.py/wp-content/uploads/2019/12/YacyretaEnergiasMensualesDesdePuestaenMarcha.pdf</t>
        </is>
      </c>
      <c r="S702" s="6" t="inlineStr">
        <is>
          <t>EBY-MONTHLY-1994-2012</t>
        </is>
      </c>
      <c r="T702" s="6" t="inlineStr"/>
      <c r="U702" s="4" t="inlineStr">
        <is>
          <t>2026-09-10 23:00:00</t>
        </is>
      </c>
      <c r="V702" s="4" t="inlineStr">
        <is>
          <t>Energia mensual entregada al SINP.</t>
        </is>
      </c>
    </row>
    <row r="703">
      <c r="A703" s="6" t="inlineStr">
        <is>
          <t>R0000707</t>
        </is>
      </c>
      <c r="B703" s="6" t="inlineStr">
        <is>
          <t>2009-11-01</t>
        </is>
      </c>
      <c r="C703" s="6" t="inlineStr">
        <is>
          <t>2009-11-30</t>
        </is>
      </c>
      <c r="D703" s="6" t="inlineStr">
        <is>
          <t>month</t>
        </is>
      </c>
      <c r="E703" s="6" t="inlineStr">
        <is>
          <t>YACYRETA_NET_ENERGY</t>
        </is>
      </c>
      <c r="F703" s="6" t="inlineStr">
        <is>
          <t>YACYRETA</t>
        </is>
      </c>
      <c r="G703" s="6" t="inlineStr">
        <is>
          <t>YACYRETA</t>
        </is>
      </c>
      <c r="H703" s="6" t="inlineStr">
        <is>
          <t>TOTAL</t>
        </is>
      </c>
      <c r="I703" s="8" t="n">
        <v>1777960</v>
      </c>
      <c r="J703" s="6" t="inlineStr">
        <is>
          <t>MWh</t>
        </is>
      </c>
      <c r="K703" s="8" t="n">
        <v>1777960</v>
      </c>
      <c r="L703" s="6" t="inlineStr">
        <is>
          <t>MWh</t>
        </is>
      </c>
      <c r="M703" s="6" t="inlineStr">
        <is>
          <t>EBY</t>
        </is>
      </c>
      <c r="N703" s="6" t="inlineStr">
        <is>
          <t>OFFICIAL_PRIMARY</t>
        </is>
      </c>
      <c r="O703" s="9" t="inlineStr">
        <is>
          <t>OFFICIAL_AGGREGATE</t>
        </is>
      </c>
      <c r="P703" s="8" t="n">
        <v>1</v>
      </c>
      <c r="Q703" s="8" t="n">
        <v>50</v>
      </c>
      <c r="R703" s="7" t="inlineStr">
        <is>
          <t>https://www.eby.gov.py/wp-content/uploads/2019/12/YacyretaEnergiasMensualesDesdePuestaenMarcha.pdf</t>
        </is>
      </c>
      <c r="S703" s="6" t="inlineStr">
        <is>
          <t>EBY-MONTHLY-1994-2012</t>
        </is>
      </c>
      <c r="T703" s="6" t="inlineStr"/>
      <c r="U703" s="4" t="inlineStr">
        <is>
          <t>2026-09-10 23:00:00</t>
        </is>
      </c>
      <c r="V703" s="4" t="inlineStr">
        <is>
          <t>Energia mensual Yacyreta desde puesta en marcha.</t>
        </is>
      </c>
    </row>
    <row r="704">
      <c r="A704" s="6" t="inlineStr">
        <is>
          <t>R0000708</t>
        </is>
      </c>
      <c r="B704" s="6" t="inlineStr">
        <is>
          <t>2009-11-01</t>
        </is>
      </c>
      <c r="C704" s="6" t="inlineStr">
        <is>
          <t>2009-11-30</t>
        </is>
      </c>
      <c r="D704" s="6" t="inlineStr">
        <is>
          <t>month</t>
        </is>
      </c>
      <c r="E704" s="6" t="inlineStr">
        <is>
          <t>ENERGY_TO_ARGENTINA</t>
        </is>
      </c>
      <c r="F704" s="6" t="inlineStr">
        <is>
          <t>YACYRETA</t>
        </is>
      </c>
      <c r="G704" s="6" t="inlineStr">
        <is>
          <t>YACYRETA</t>
        </is>
      </c>
      <c r="H704" s="6" t="inlineStr">
        <is>
          <t>SADI</t>
        </is>
      </c>
      <c r="I704" s="8" t="n">
        <v>1566736</v>
      </c>
      <c r="J704" s="6" t="inlineStr">
        <is>
          <t>MWh</t>
        </is>
      </c>
      <c r="K704" s="8" t="n">
        <v>1566736</v>
      </c>
      <c r="L704" s="6" t="inlineStr">
        <is>
          <t>MWh</t>
        </is>
      </c>
      <c r="M704" s="6" t="inlineStr">
        <is>
          <t>EBY</t>
        </is>
      </c>
      <c r="N704" s="6" t="inlineStr">
        <is>
          <t>OFFICIAL_PRIMARY</t>
        </is>
      </c>
      <c r="O704" s="9" t="inlineStr">
        <is>
          <t>OFFICIAL_AGGREGATE</t>
        </is>
      </c>
      <c r="P704" s="8" t="n">
        <v>1</v>
      </c>
      <c r="Q704" s="8" t="n">
        <v>50</v>
      </c>
      <c r="R704" s="7" t="inlineStr">
        <is>
          <t>https://www.eby.gov.py/wp-content/uploads/2019/12/YacyretaEnergiasMensualesDesdePuestaenMarcha.pdf</t>
        </is>
      </c>
      <c r="S704" s="6" t="inlineStr">
        <is>
          <t>EBY-MONTHLY-1994-2012</t>
        </is>
      </c>
      <c r="T704" s="6" t="inlineStr"/>
      <c r="U704" s="4" t="inlineStr">
        <is>
          <t>2026-09-10 23:00:00</t>
        </is>
      </c>
      <c r="V704" s="4" t="inlineStr">
        <is>
          <t>Energia mensual entregada al SADI.</t>
        </is>
      </c>
    </row>
    <row r="705">
      <c r="A705" s="6" t="inlineStr">
        <is>
          <t>R0000709</t>
        </is>
      </c>
      <c r="B705" s="6" t="inlineStr">
        <is>
          <t>2009-11-01</t>
        </is>
      </c>
      <c r="C705" s="6" t="inlineStr">
        <is>
          <t>2009-11-30</t>
        </is>
      </c>
      <c r="D705" s="6" t="inlineStr">
        <is>
          <t>month</t>
        </is>
      </c>
      <c r="E705" s="6" t="inlineStr">
        <is>
          <t>ENERGY_TO_PY</t>
        </is>
      </c>
      <c r="F705" s="6" t="inlineStr">
        <is>
          <t>YACYRETA</t>
        </is>
      </c>
      <c r="G705" s="6" t="inlineStr">
        <is>
          <t>YACYRETA</t>
        </is>
      </c>
      <c r="H705" s="6" t="inlineStr">
        <is>
          <t>SINP</t>
        </is>
      </c>
      <c r="I705" s="8" t="n">
        <v>211224</v>
      </c>
      <c r="J705" s="6" t="inlineStr">
        <is>
          <t>MWh</t>
        </is>
      </c>
      <c r="K705" s="8" t="n">
        <v>211224</v>
      </c>
      <c r="L705" s="6" t="inlineStr">
        <is>
          <t>MWh</t>
        </is>
      </c>
      <c r="M705" s="6" t="inlineStr">
        <is>
          <t>EBY</t>
        </is>
      </c>
      <c r="N705" s="6" t="inlineStr">
        <is>
          <t>OFFICIAL_PRIMARY</t>
        </is>
      </c>
      <c r="O705" s="9" t="inlineStr">
        <is>
          <t>OFFICIAL_AGGREGATE</t>
        </is>
      </c>
      <c r="P705" s="8" t="n">
        <v>1</v>
      </c>
      <c r="Q705" s="8" t="n">
        <v>50</v>
      </c>
      <c r="R705" s="7" t="inlineStr">
        <is>
          <t>https://www.eby.gov.py/wp-content/uploads/2019/12/YacyretaEnergiasMensualesDesdePuestaenMarcha.pdf</t>
        </is>
      </c>
      <c r="S705" s="6" t="inlineStr">
        <is>
          <t>EBY-MONTHLY-1994-2012</t>
        </is>
      </c>
      <c r="T705" s="6" t="inlineStr"/>
      <c r="U705" s="4" t="inlineStr">
        <is>
          <t>2026-09-10 23:00:00</t>
        </is>
      </c>
      <c r="V705" s="4" t="inlineStr">
        <is>
          <t>Energia mensual entregada al SINP.</t>
        </is>
      </c>
    </row>
    <row r="706">
      <c r="A706" s="6" t="inlineStr">
        <is>
          <t>R0000710</t>
        </is>
      </c>
      <c r="B706" s="6" t="inlineStr">
        <is>
          <t>2009-12-01</t>
        </is>
      </c>
      <c r="C706" s="6" t="inlineStr">
        <is>
          <t>2009-12-31</t>
        </is>
      </c>
      <c r="D706" s="6" t="inlineStr">
        <is>
          <t>month</t>
        </is>
      </c>
      <c r="E706" s="6" t="inlineStr">
        <is>
          <t>YACYRETA_NET_ENERGY</t>
        </is>
      </c>
      <c r="F706" s="6" t="inlineStr">
        <is>
          <t>YACYRETA</t>
        </is>
      </c>
      <c r="G706" s="6" t="inlineStr">
        <is>
          <t>YACYRETA</t>
        </is>
      </c>
      <c r="H706" s="6" t="inlineStr">
        <is>
          <t>TOTAL</t>
        </is>
      </c>
      <c r="I706" s="8" t="n">
        <v>1863609</v>
      </c>
      <c r="J706" s="6" t="inlineStr">
        <is>
          <t>MWh</t>
        </is>
      </c>
      <c r="K706" s="8" t="n">
        <v>1863609</v>
      </c>
      <c r="L706" s="6" t="inlineStr">
        <is>
          <t>MWh</t>
        </is>
      </c>
      <c r="M706" s="6" t="inlineStr">
        <is>
          <t>EBY</t>
        </is>
      </c>
      <c r="N706" s="6" t="inlineStr">
        <is>
          <t>OFFICIAL_PRIMARY</t>
        </is>
      </c>
      <c r="O706" s="9" t="inlineStr">
        <is>
          <t>OFFICIAL_AGGREGATE</t>
        </is>
      </c>
      <c r="P706" s="8" t="n">
        <v>1</v>
      </c>
      <c r="Q706" s="8" t="n">
        <v>50</v>
      </c>
      <c r="R706" s="7" t="inlineStr">
        <is>
          <t>https://www.eby.gov.py/wp-content/uploads/2019/12/YacyretaEnergiasMensualesDesdePuestaenMarcha.pdf</t>
        </is>
      </c>
      <c r="S706" s="6" t="inlineStr">
        <is>
          <t>EBY-MONTHLY-1994-2012</t>
        </is>
      </c>
      <c r="T706" s="6" t="inlineStr"/>
      <c r="U706" s="4" t="inlineStr">
        <is>
          <t>2026-09-10 23:00:00</t>
        </is>
      </c>
      <c r="V706" s="4" t="inlineStr">
        <is>
          <t>Energia mensual Yacyreta desde puesta en marcha.</t>
        </is>
      </c>
    </row>
    <row r="707">
      <c r="A707" s="6" t="inlineStr">
        <is>
          <t>R0000711</t>
        </is>
      </c>
      <c r="B707" s="6" t="inlineStr">
        <is>
          <t>2009-12-01</t>
        </is>
      </c>
      <c r="C707" s="6" t="inlineStr">
        <is>
          <t>2009-12-31</t>
        </is>
      </c>
      <c r="D707" s="6" t="inlineStr">
        <is>
          <t>month</t>
        </is>
      </c>
      <c r="E707" s="6" t="inlineStr">
        <is>
          <t>ENERGY_TO_ARGENTINA</t>
        </is>
      </c>
      <c r="F707" s="6" t="inlineStr">
        <is>
          <t>YACYRETA</t>
        </is>
      </c>
      <c r="G707" s="6" t="inlineStr">
        <is>
          <t>YACYRETA</t>
        </is>
      </c>
      <c r="H707" s="6" t="inlineStr">
        <is>
          <t>SADI</t>
        </is>
      </c>
      <c r="I707" s="8" t="n">
        <v>1648332</v>
      </c>
      <c r="J707" s="6" t="inlineStr">
        <is>
          <t>MWh</t>
        </is>
      </c>
      <c r="K707" s="8" t="n">
        <v>1648332</v>
      </c>
      <c r="L707" s="6" t="inlineStr">
        <is>
          <t>MWh</t>
        </is>
      </c>
      <c r="M707" s="6" t="inlineStr">
        <is>
          <t>EBY</t>
        </is>
      </c>
      <c r="N707" s="6" t="inlineStr">
        <is>
          <t>OFFICIAL_PRIMARY</t>
        </is>
      </c>
      <c r="O707" s="9" t="inlineStr">
        <is>
          <t>OFFICIAL_AGGREGATE</t>
        </is>
      </c>
      <c r="P707" s="8" t="n">
        <v>1</v>
      </c>
      <c r="Q707" s="8" t="n">
        <v>50</v>
      </c>
      <c r="R707" s="7" t="inlineStr">
        <is>
          <t>https://www.eby.gov.py/wp-content/uploads/2019/12/YacyretaEnergiasMensualesDesdePuestaenMarcha.pdf</t>
        </is>
      </c>
      <c r="S707" s="6" t="inlineStr">
        <is>
          <t>EBY-MONTHLY-1994-2012</t>
        </is>
      </c>
      <c r="T707" s="6" t="inlineStr"/>
      <c r="U707" s="4" t="inlineStr">
        <is>
          <t>2026-09-10 23:00:00</t>
        </is>
      </c>
      <c r="V707" s="4" t="inlineStr">
        <is>
          <t>Energia mensual entregada al SADI.</t>
        </is>
      </c>
    </row>
    <row r="708">
      <c r="A708" s="6" t="inlineStr">
        <is>
          <t>R0000712</t>
        </is>
      </c>
      <c r="B708" s="6" t="inlineStr">
        <is>
          <t>2009-12-01</t>
        </is>
      </c>
      <c r="C708" s="6" t="inlineStr">
        <is>
          <t>2009-12-31</t>
        </is>
      </c>
      <c r="D708" s="6" t="inlineStr">
        <is>
          <t>month</t>
        </is>
      </c>
      <c r="E708" s="6" t="inlineStr">
        <is>
          <t>ENERGY_TO_PY</t>
        </is>
      </c>
      <c r="F708" s="6" t="inlineStr">
        <is>
          <t>YACYRETA</t>
        </is>
      </c>
      <c r="G708" s="6" t="inlineStr">
        <is>
          <t>YACYRETA</t>
        </is>
      </c>
      <c r="H708" s="6" t="inlineStr">
        <is>
          <t>SINP</t>
        </is>
      </c>
      <c r="I708" s="8" t="n">
        <v>215277</v>
      </c>
      <c r="J708" s="6" t="inlineStr">
        <is>
          <t>MWh</t>
        </is>
      </c>
      <c r="K708" s="8" t="n">
        <v>215277</v>
      </c>
      <c r="L708" s="6" t="inlineStr">
        <is>
          <t>MWh</t>
        </is>
      </c>
      <c r="M708" s="6" t="inlineStr">
        <is>
          <t>EBY</t>
        </is>
      </c>
      <c r="N708" s="6" t="inlineStr">
        <is>
          <t>OFFICIAL_PRIMARY</t>
        </is>
      </c>
      <c r="O708" s="9" t="inlineStr">
        <is>
          <t>OFFICIAL_AGGREGATE</t>
        </is>
      </c>
      <c r="P708" s="8" t="n">
        <v>1</v>
      </c>
      <c r="Q708" s="8" t="n">
        <v>50</v>
      </c>
      <c r="R708" s="7" t="inlineStr">
        <is>
          <t>https://www.eby.gov.py/wp-content/uploads/2019/12/YacyretaEnergiasMensualesDesdePuestaenMarcha.pdf</t>
        </is>
      </c>
      <c r="S708" s="6" t="inlineStr">
        <is>
          <t>EBY-MONTHLY-1994-2012</t>
        </is>
      </c>
      <c r="T708" s="6" t="inlineStr"/>
      <c r="U708" s="4" t="inlineStr">
        <is>
          <t>2026-09-10 23:00:00</t>
        </is>
      </c>
      <c r="V708" s="4" t="inlineStr">
        <is>
          <t>Energia mensual entregada al SINP.</t>
        </is>
      </c>
    </row>
    <row r="709">
      <c r="A709" s="6" t="inlineStr">
        <is>
          <t>R0000713</t>
        </is>
      </c>
      <c r="B709" s="6" t="inlineStr">
        <is>
          <t>2010-01-01</t>
        </is>
      </c>
      <c r="C709" s="6" t="inlineStr">
        <is>
          <t>2010-01-31</t>
        </is>
      </c>
      <c r="D709" s="6" t="inlineStr">
        <is>
          <t>month</t>
        </is>
      </c>
      <c r="E709" s="6" t="inlineStr">
        <is>
          <t>YACYRETA_NET_ENERGY</t>
        </is>
      </c>
      <c r="F709" s="6" t="inlineStr">
        <is>
          <t>YACYRETA</t>
        </is>
      </c>
      <c r="G709" s="6" t="inlineStr">
        <is>
          <t>YACYRETA</t>
        </is>
      </c>
      <c r="H709" s="6" t="inlineStr">
        <is>
          <t>TOTAL</t>
        </is>
      </c>
      <c r="I709" s="8" t="n">
        <v>1814730</v>
      </c>
      <c r="J709" s="6" t="inlineStr">
        <is>
          <t>MWh</t>
        </is>
      </c>
      <c r="K709" s="8" t="n">
        <v>1814730</v>
      </c>
      <c r="L709" s="6" t="inlineStr">
        <is>
          <t>MWh</t>
        </is>
      </c>
      <c r="M709" s="6" t="inlineStr">
        <is>
          <t>EBY</t>
        </is>
      </c>
      <c r="N709" s="6" t="inlineStr">
        <is>
          <t>OFFICIAL_PRIMARY</t>
        </is>
      </c>
      <c r="O709" s="9" t="inlineStr">
        <is>
          <t>OFFICIAL_AGGREGATE</t>
        </is>
      </c>
      <c r="P709" s="8" t="n">
        <v>1</v>
      </c>
      <c r="Q709" s="8" t="n">
        <v>50</v>
      </c>
      <c r="R709" s="7" t="inlineStr">
        <is>
          <t>https://www.eby.gov.py/wp-content/uploads/2019/12/YacyretaEnergiasMensualesDesdePuestaenMarcha.pdf</t>
        </is>
      </c>
      <c r="S709" s="6" t="inlineStr">
        <is>
          <t>EBY-MONTHLY-1994-2012</t>
        </is>
      </c>
      <c r="T709" s="6" t="inlineStr"/>
      <c r="U709" s="4" t="inlineStr">
        <is>
          <t>2026-09-10 23:00:00</t>
        </is>
      </c>
      <c r="V709" s="4" t="inlineStr">
        <is>
          <t>Energia mensual Yacyreta desde puesta en marcha.</t>
        </is>
      </c>
    </row>
    <row r="710">
      <c r="A710" s="6" t="inlineStr">
        <is>
          <t>R0000714</t>
        </is>
      </c>
      <c r="B710" s="6" t="inlineStr">
        <is>
          <t>2010-01-01</t>
        </is>
      </c>
      <c r="C710" s="6" t="inlineStr">
        <is>
          <t>2010-01-31</t>
        </is>
      </c>
      <c r="D710" s="6" t="inlineStr">
        <is>
          <t>month</t>
        </is>
      </c>
      <c r="E710" s="6" t="inlineStr">
        <is>
          <t>ENERGY_TO_ARGENTINA</t>
        </is>
      </c>
      <c r="F710" s="6" t="inlineStr">
        <is>
          <t>YACYRETA</t>
        </is>
      </c>
      <c r="G710" s="6" t="inlineStr">
        <is>
          <t>YACYRETA</t>
        </is>
      </c>
      <c r="H710" s="6" t="inlineStr">
        <is>
          <t>SADI</t>
        </is>
      </c>
      <c r="I710" s="8" t="n">
        <v>1578822</v>
      </c>
      <c r="J710" s="6" t="inlineStr">
        <is>
          <t>MWh</t>
        </is>
      </c>
      <c r="K710" s="8" t="n">
        <v>1578822</v>
      </c>
      <c r="L710" s="6" t="inlineStr">
        <is>
          <t>MWh</t>
        </is>
      </c>
      <c r="M710" s="6" t="inlineStr">
        <is>
          <t>EBY</t>
        </is>
      </c>
      <c r="N710" s="6" t="inlineStr">
        <is>
          <t>OFFICIAL_PRIMARY</t>
        </is>
      </c>
      <c r="O710" s="9" t="inlineStr">
        <is>
          <t>OFFICIAL_AGGREGATE</t>
        </is>
      </c>
      <c r="P710" s="8" t="n">
        <v>1</v>
      </c>
      <c r="Q710" s="8" t="n">
        <v>50</v>
      </c>
      <c r="R710" s="7" t="inlineStr">
        <is>
          <t>https://www.eby.gov.py/wp-content/uploads/2019/12/YacyretaEnergiasMensualesDesdePuestaenMarcha.pdf</t>
        </is>
      </c>
      <c r="S710" s="6" t="inlineStr">
        <is>
          <t>EBY-MONTHLY-1994-2012</t>
        </is>
      </c>
      <c r="T710" s="6" t="inlineStr"/>
      <c r="U710" s="4" t="inlineStr">
        <is>
          <t>2026-09-10 23:00:00</t>
        </is>
      </c>
      <c r="V710" s="4" t="inlineStr">
        <is>
          <t>Energia mensual entregada al SADI.</t>
        </is>
      </c>
    </row>
    <row r="711">
      <c r="A711" s="6" t="inlineStr">
        <is>
          <t>R0000715</t>
        </is>
      </c>
      <c r="B711" s="6" t="inlineStr">
        <is>
          <t>2010-01-01</t>
        </is>
      </c>
      <c r="C711" s="6" t="inlineStr">
        <is>
          <t>2010-01-31</t>
        </is>
      </c>
      <c r="D711" s="6" t="inlineStr">
        <is>
          <t>month</t>
        </is>
      </c>
      <c r="E711" s="6" t="inlineStr">
        <is>
          <t>ENERGY_TO_PY</t>
        </is>
      </c>
      <c r="F711" s="6" t="inlineStr">
        <is>
          <t>YACYRETA</t>
        </is>
      </c>
      <c r="G711" s="6" t="inlineStr">
        <is>
          <t>YACYRETA</t>
        </is>
      </c>
      <c r="H711" s="6" t="inlineStr">
        <is>
          <t>SINP</t>
        </is>
      </c>
      <c r="I711" s="8" t="n">
        <v>235908</v>
      </c>
      <c r="J711" s="6" t="inlineStr">
        <is>
          <t>MWh</t>
        </is>
      </c>
      <c r="K711" s="8" t="n">
        <v>235908</v>
      </c>
      <c r="L711" s="6" t="inlineStr">
        <is>
          <t>MWh</t>
        </is>
      </c>
      <c r="M711" s="6" t="inlineStr">
        <is>
          <t>EBY</t>
        </is>
      </c>
      <c r="N711" s="6" t="inlineStr">
        <is>
          <t>OFFICIAL_PRIMARY</t>
        </is>
      </c>
      <c r="O711" s="9" t="inlineStr">
        <is>
          <t>OFFICIAL_AGGREGATE</t>
        </is>
      </c>
      <c r="P711" s="8" t="n">
        <v>1</v>
      </c>
      <c r="Q711" s="8" t="n">
        <v>50</v>
      </c>
      <c r="R711" s="7" t="inlineStr">
        <is>
          <t>https://www.eby.gov.py/wp-content/uploads/2019/12/YacyretaEnergiasMensualesDesdePuestaenMarcha.pdf</t>
        </is>
      </c>
      <c r="S711" s="6" t="inlineStr">
        <is>
          <t>EBY-MONTHLY-1994-2012</t>
        </is>
      </c>
      <c r="T711" s="6" t="inlineStr"/>
      <c r="U711" s="4" t="inlineStr">
        <is>
          <t>2026-09-10 23:00:00</t>
        </is>
      </c>
      <c r="V711" s="4" t="inlineStr">
        <is>
          <t>Energia mensual entregada al SINP.</t>
        </is>
      </c>
    </row>
    <row r="712">
      <c r="A712" s="6" t="inlineStr">
        <is>
          <t>R0000716</t>
        </is>
      </c>
      <c r="B712" s="6" t="inlineStr">
        <is>
          <t>2010-02-01</t>
        </is>
      </c>
      <c r="C712" s="6" t="inlineStr">
        <is>
          <t>2010-02-28</t>
        </is>
      </c>
      <c r="D712" s="6" t="inlineStr">
        <is>
          <t>month</t>
        </is>
      </c>
      <c r="E712" s="6" t="inlineStr">
        <is>
          <t>YACYRETA_NET_ENERGY</t>
        </is>
      </c>
      <c r="F712" s="6" t="inlineStr">
        <is>
          <t>YACYRETA</t>
        </is>
      </c>
      <c r="G712" s="6" t="inlineStr">
        <is>
          <t>YACYRETA</t>
        </is>
      </c>
      <c r="H712" s="6" t="inlineStr">
        <is>
          <t>TOTAL</t>
        </is>
      </c>
      <c r="I712" s="8" t="n">
        <v>1698207</v>
      </c>
      <c r="J712" s="6" t="inlineStr">
        <is>
          <t>MWh</t>
        </is>
      </c>
      <c r="K712" s="8" t="n">
        <v>1698207</v>
      </c>
      <c r="L712" s="6" t="inlineStr">
        <is>
          <t>MWh</t>
        </is>
      </c>
      <c r="M712" s="6" t="inlineStr">
        <is>
          <t>EBY</t>
        </is>
      </c>
      <c r="N712" s="6" t="inlineStr">
        <is>
          <t>OFFICIAL_PRIMARY</t>
        </is>
      </c>
      <c r="O712" s="9" t="inlineStr">
        <is>
          <t>OFFICIAL_AGGREGATE</t>
        </is>
      </c>
      <c r="P712" s="8" t="n">
        <v>1</v>
      </c>
      <c r="Q712" s="8" t="n">
        <v>50</v>
      </c>
      <c r="R712" s="7" t="inlineStr">
        <is>
          <t>https://www.eby.gov.py/wp-content/uploads/2019/12/YacyretaEnergiasMensualesDesdePuestaenMarcha.pdf</t>
        </is>
      </c>
      <c r="S712" s="6" t="inlineStr">
        <is>
          <t>EBY-MONTHLY-1994-2012</t>
        </is>
      </c>
      <c r="T712" s="6" t="inlineStr"/>
      <c r="U712" s="4" t="inlineStr">
        <is>
          <t>2026-09-10 23:00:00</t>
        </is>
      </c>
      <c r="V712" s="4" t="inlineStr">
        <is>
          <t>Energia mensual Yacyreta desde puesta en marcha.</t>
        </is>
      </c>
    </row>
    <row r="713">
      <c r="A713" s="6" t="inlineStr">
        <is>
          <t>R0000717</t>
        </is>
      </c>
      <c r="B713" s="6" t="inlineStr">
        <is>
          <t>2010-02-01</t>
        </is>
      </c>
      <c r="C713" s="6" t="inlineStr">
        <is>
          <t>2010-02-28</t>
        </is>
      </c>
      <c r="D713" s="6" t="inlineStr">
        <is>
          <t>month</t>
        </is>
      </c>
      <c r="E713" s="6" t="inlineStr">
        <is>
          <t>ENERGY_TO_ARGENTINA</t>
        </is>
      </c>
      <c r="F713" s="6" t="inlineStr">
        <is>
          <t>YACYRETA</t>
        </is>
      </c>
      <c r="G713" s="6" t="inlineStr">
        <is>
          <t>YACYRETA</t>
        </is>
      </c>
      <c r="H713" s="6" t="inlineStr">
        <is>
          <t>SADI</t>
        </is>
      </c>
      <c r="I713" s="8" t="n">
        <v>1471162</v>
      </c>
      <c r="J713" s="6" t="inlineStr">
        <is>
          <t>MWh</t>
        </is>
      </c>
      <c r="K713" s="8" t="n">
        <v>1471162</v>
      </c>
      <c r="L713" s="6" t="inlineStr">
        <is>
          <t>MWh</t>
        </is>
      </c>
      <c r="M713" s="6" t="inlineStr">
        <is>
          <t>EBY</t>
        </is>
      </c>
      <c r="N713" s="6" t="inlineStr">
        <is>
          <t>OFFICIAL_PRIMARY</t>
        </is>
      </c>
      <c r="O713" s="9" t="inlineStr">
        <is>
          <t>OFFICIAL_AGGREGATE</t>
        </is>
      </c>
      <c r="P713" s="8" t="n">
        <v>1</v>
      </c>
      <c r="Q713" s="8" t="n">
        <v>50</v>
      </c>
      <c r="R713" s="7" t="inlineStr">
        <is>
          <t>https://www.eby.gov.py/wp-content/uploads/2019/12/YacyretaEnergiasMensualesDesdePuestaenMarcha.pdf</t>
        </is>
      </c>
      <c r="S713" s="6" t="inlineStr">
        <is>
          <t>EBY-MONTHLY-1994-2012</t>
        </is>
      </c>
      <c r="T713" s="6" t="inlineStr"/>
      <c r="U713" s="4" t="inlineStr">
        <is>
          <t>2026-09-10 23:00:00</t>
        </is>
      </c>
      <c r="V713" s="4" t="inlineStr">
        <is>
          <t>Energia mensual entregada al SADI.</t>
        </is>
      </c>
    </row>
    <row r="714">
      <c r="A714" s="6" t="inlineStr">
        <is>
          <t>R0000718</t>
        </is>
      </c>
      <c r="B714" s="6" t="inlineStr">
        <is>
          <t>2010-02-01</t>
        </is>
      </c>
      <c r="C714" s="6" t="inlineStr">
        <is>
          <t>2010-02-28</t>
        </is>
      </c>
      <c r="D714" s="6" t="inlineStr">
        <is>
          <t>month</t>
        </is>
      </c>
      <c r="E714" s="6" t="inlineStr">
        <is>
          <t>ENERGY_TO_PY</t>
        </is>
      </c>
      <c r="F714" s="6" t="inlineStr">
        <is>
          <t>YACYRETA</t>
        </is>
      </c>
      <c r="G714" s="6" t="inlineStr">
        <is>
          <t>YACYRETA</t>
        </is>
      </c>
      <c r="H714" s="6" t="inlineStr">
        <is>
          <t>SINP</t>
        </is>
      </c>
      <c r="I714" s="8" t="n">
        <v>227045</v>
      </c>
      <c r="J714" s="6" t="inlineStr">
        <is>
          <t>MWh</t>
        </is>
      </c>
      <c r="K714" s="8" t="n">
        <v>227045</v>
      </c>
      <c r="L714" s="6" t="inlineStr">
        <is>
          <t>MWh</t>
        </is>
      </c>
      <c r="M714" s="6" t="inlineStr">
        <is>
          <t>EBY</t>
        </is>
      </c>
      <c r="N714" s="6" t="inlineStr">
        <is>
          <t>OFFICIAL_PRIMARY</t>
        </is>
      </c>
      <c r="O714" s="9" t="inlineStr">
        <is>
          <t>OFFICIAL_AGGREGATE</t>
        </is>
      </c>
      <c r="P714" s="8" t="n">
        <v>1</v>
      </c>
      <c r="Q714" s="8" t="n">
        <v>50</v>
      </c>
      <c r="R714" s="7" t="inlineStr">
        <is>
          <t>https://www.eby.gov.py/wp-content/uploads/2019/12/YacyretaEnergiasMensualesDesdePuestaenMarcha.pdf</t>
        </is>
      </c>
      <c r="S714" s="6" t="inlineStr">
        <is>
          <t>EBY-MONTHLY-1994-2012</t>
        </is>
      </c>
      <c r="T714" s="6" t="inlineStr"/>
      <c r="U714" s="4" t="inlineStr">
        <is>
          <t>2026-09-10 23:00:00</t>
        </is>
      </c>
      <c r="V714" s="4" t="inlineStr">
        <is>
          <t>Energia mensual entregada al SINP.</t>
        </is>
      </c>
    </row>
    <row r="715">
      <c r="A715" s="6" t="inlineStr">
        <is>
          <t>R0000719</t>
        </is>
      </c>
      <c r="B715" s="6" t="inlineStr">
        <is>
          <t>2010-03-01</t>
        </is>
      </c>
      <c r="C715" s="6" t="inlineStr">
        <is>
          <t>2010-03-31</t>
        </is>
      </c>
      <c r="D715" s="6" t="inlineStr">
        <is>
          <t>month</t>
        </is>
      </c>
      <c r="E715" s="6" t="inlineStr">
        <is>
          <t>YACYRETA_NET_ENERGY</t>
        </is>
      </c>
      <c r="F715" s="6" t="inlineStr">
        <is>
          <t>YACYRETA</t>
        </is>
      </c>
      <c r="G715" s="6" t="inlineStr">
        <is>
          <t>YACYRETA</t>
        </is>
      </c>
      <c r="H715" s="6" t="inlineStr">
        <is>
          <t>TOTAL</t>
        </is>
      </c>
      <c r="I715" s="8" t="n">
        <v>1856386</v>
      </c>
      <c r="J715" s="6" t="inlineStr">
        <is>
          <t>MWh</t>
        </is>
      </c>
      <c r="K715" s="8" t="n">
        <v>1856386</v>
      </c>
      <c r="L715" s="6" t="inlineStr">
        <is>
          <t>MWh</t>
        </is>
      </c>
      <c r="M715" s="6" t="inlineStr">
        <is>
          <t>EBY</t>
        </is>
      </c>
      <c r="N715" s="6" t="inlineStr">
        <is>
          <t>OFFICIAL_PRIMARY</t>
        </is>
      </c>
      <c r="O715" s="9" t="inlineStr">
        <is>
          <t>OFFICIAL_AGGREGATE</t>
        </is>
      </c>
      <c r="P715" s="8" t="n">
        <v>1</v>
      </c>
      <c r="Q715" s="8" t="n">
        <v>50</v>
      </c>
      <c r="R715" s="7" t="inlineStr">
        <is>
          <t>https://www.eby.gov.py/wp-content/uploads/2019/12/YacyretaEnergiasMensualesDesdePuestaenMarcha.pdf</t>
        </is>
      </c>
      <c r="S715" s="6" t="inlineStr">
        <is>
          <t>EBY-MONTHLY-1994-2012</t>
        </is>
      </c>
      <c r="T715" s="6" t="inlineStr"/>
      <c r="U715" s="4" t="inlineStr">
        <is>
          <t>2026-09-10 23:00:00</t>
        </is>
      </c>
      <c r="V715" s="4" t="inlineStr">
        <is>
          <t>Energia mensual Yacyreta desde puesta en marcha.</t>
        </is>
      </c>
    </row>
    <row r="716">
      <c r="A716" s="6" t="inlineStr">
        <is>
          <t>R0000720</t>
        </is>
      </c>
      <c r="B716" s="6" t="inlineStr">
        <is>
          <t>2010-03-01</t>
        </is>
      </c>
      <c r="C716" s="6" t="inlineStr">
        <is>
          <t>2010-03-31</t>
        </is>
      </c>
      <c r="D716" s="6" t="inlineStr">
        <is>
          <t>month</t>
        </is>
      </c>
      <c r="E716" s="6" t="inlineStr">
        <is>
          <t>ENERGY_TO_ARGENTINA</t>
        </is>
      </c>
      <c r="F716" s="6" t="inlineStr">
        <is>
          <t>YACYRETA</t>
        </is>
      </c>
      <c r="G716" s="6" t="inlineStr">
        <is>
          <t>YACYRETA</t>
        </is>
      </c>
      <c r="H716" s="6" t="inlineStr">
        <is>
          <t>SADI</t>
        </is>
      </c>
      <c r="I716" s="8" t="n">
        <v>1626838</v>
      </c>
      <c r="J716" s="6" t="inlineStr">
        <is>
          <t>MWh</t>
        </is>
      </c>
      <c r="K716" s="8" t="n">
        <v>1626838</v>
      </c>
      <c r="L716" s="6" t="inlineStr">
        <is>
          <t>MWh</t>
        </is>
      </c>
      <c r="M716" s="6" t="inlineStr">
        <is>
          <t>EBY</t>
        </is>
      </c>
      <c r="N716" s="6" t="inlineStr">
        <is>
          <t>OFFICIAL_PRIMARY</t>
        </is>
      </c>
      <c r="O716" s="9" t="inlineStr">
        <is>
          <t>OFFICIAL_AGGREGATE</t>
        </is>
      </c>
      <c r="P716" s="8" t="n">
        <v>1</v>
      </c>
      <c r="Q716" s="8" t="n">
        <v>50</v>
      </c>
      <c r="R716" s="7" t="inlineStr">
        <is>
          <t>https://www.eby.gov.py/wp-content/uploads/2019/12/YacyretaEnergiasMensualesDesdePuestaenMarcha.pdf</t>
        </is>
      </c>
      <c r="S716" s="6" t="inlineStr">
        <is>
          <t>EBY-MONTHLY-1994-2012</t>
        </is>
      </c>
      <c r="T716" s="6" t="inlineStr"/>
      <c r="U716" s="4" t="inlineStr">
        <is>
          <t>2026-09-10 23:00:00</t>
        </is>
      </c>
      <c r="V716" s="4" t="inlineStr">
        <is>
          <t>Energia mensual entregada al SADI.</t>
        </is>
      </c>
    </row>
    <row r="717">
      <c r="A717" s="6" t="inlineStr">
        <is>
          <t>R0000721</t>
        </is>
      </c>
      <c r="B717" s="6" t="inlineStr">
        <is>
          <t>2010-03-01</t>
        </is>
      </c>
      <c r="C717" s="6" t="inlineStr">
        <is>
          <t>2010-03-31</t>
        </is>
      </c>
      <c r="D717" s="6" t="inlineStr">
        <is>
          <t>month</t>
        </is>
      </c>
      <c r="E717" s="6" t="inlineStr">
        <is>
          <t>ENERGY_TO_PY</t>
        </is>
      </c>
      <c r="F717" s="6" t="inlineStr">
        <is>
          <t>YACYRETA</t>
        </is>
      </c>
      <c r="G717" s="6" t="inlineStr">
        <is>
          <t>YACYRETA</t>
        </is>
      </c>
      <c r="H717" s="6" t="inlineStr">
        <is>
          <t>SINP</t>
        </is>
      </c>
      <c r="I717" s="8" t="n">
        <v>229548</v>
      </c>
      <c r="J717" s="6" t="inlineStr">
        <is>
          <t>MWh</t>
        </is>
      </c>
      <c r="K717" s="8" t="n">
        <v>229548</v>
      </c>
      <c r="L717" s="6" t="inlineStr">
        <is>
          <t>MWh</t>
        </is>
      </c>
      <c r="M717" s="6" t="inlineStr">
        <is>
          <t>EBY</t>
        </is>
      </c>
      <c r="N717" s="6" t="inlineStr">
        <is>
          <t>OFFICIAL_PRIMARY</t>
        </is>
      </c>
      <c r="O717" s="9" t="inlineStr">
        <is>
          <t>OFFICIAL_AGGREGATE</t>
        </is>
      </c>
      <c r="P717" s="8" t="n">
        <v>1</v>
      </c>
      <c r="Q717" s="8" t="n">
        <v>50</v>
      </c>
      <c r="R717" s="7" t="inlineStr">
        <is>
          <t>https://www.eby.gov.py/wp-content/uploads/2019/12/YacyretaEnergiasMensualesDesdePuestaenMarcha.pdf</t>
        </is>
      </c>
      <c r="S717" s="6" t="inlineStr">
        <is>
          <t>EBY-MONTHLY-1994-2012</t>
        </is>
      </c>
      <c r="T717" s="6" t="inlineStr"/>
      <c r="U717" s="4" t="inlineStr">
        <is>
          <t>2026-09-10 23:00:00</t>
        </is>
      </c>
      <c r="V717" s="4" t="inlineStr">
        <is>
          <t>Energia mensual entregada al SINP.</t>
        </is>
      </c>
    </row>
    <row r="718">
      <c r="A718" s="6" t="inlineStr">
        <is>
          <t>R0000722</t>
        </is>
      </c>
      <c r="B718" s="6" t="inlineStr">
        <is>
          <t>2010-04-01</t>
        </is>
      </c>
      <c r="C718" s="6" t="inlineStr">
        <is>
          <t>2010-04-30</t>
        </is>
      </c>
      <c r="D718" s="6" t="inlineStr">
        <is>
          <t>month</t>
        </is>
      </c>
      <c r="E718" s="6" t="inlineStr">
        <is>
          <t>YACYRETA_NET_ENERGY</t>
        </is>
      </c>
      <c r="F718" s="6" t="inlineStr">
        <is>
          <t>YACYRETA</t>
        </is>
      </c>
      <c r="G718" s="6" t="inlineStr">
        <is>
          <t>YACYRETA</t>
        </is>
      </c>
      <c r="H718" s="6" t="inlineStr">
        <is>
          <t>TOTAL</t>
        </is>
      </c>
      <c r="I718" s="8" t="n">
        <v>1744126</v>
      </c>
      <c r="J718" s="6" t="inlineStr">
        <is>
          <t>MWh</t>
        </is>
      </c>
      <c r="K718" s="8" t="n">
        <v>1744126</v>
      </c>
      <c r="L718" s="6" t="inlineStr">
        <is>
          <t>MWh</t>
        </is>
      </c>
      <c r="M718" s="6" t="inlineStr">
        <is>
          <t>EBY</t>
        </is>
      </c>
      <c r="N718" s="6" t="inlineStr">
        <is>
          <t>OFFICIAL_PRIMARY</t>
        </is>
      </c>
      <c r="O718" s="9" t="inlineStr">
        <is>
          <t>OFFICIAL_AGGREGATE</t>
        </is>
      </c>
      <c r="P718" s="8" t="n">
        <v>1</v>
      </c>
      <c r="Q718" s="8" t="n">
        <v>50</v>
      </c>
      <c r="R718" s="7" t="inlineStr">
        <is>
          <t>https://www.eby.gov.py/wp-content/uploads/2019/12/YacyretaEnergiasMensualesDesdePuestaenMarcha.pdf</t>
        </is>
      </c>
      <c r="S718" s="6" t="inlineStr">
        <is>
          <t>EBY-MONTHLY-1994-2012</t>
        </is>
      </c>
      <c r="T718" s="6" t="inlineStr"/>
      <c r="U718" s="4" t="inlineStr">
        <is>
          <t>2026-09-10 23:00:00</t>
        </is>
      </c>
      <c r="V718" s="4" t="inlineStr">
        <is>
          <t>Energia mensual Yacyreta desde puesta en marcha.</t>
        </is>
      </c>
    </row>
    <row r="719">
      <c r="A719" s="6" t="inlineStr">
        <is>
          <t>R0000723</t>
        </is>
      </c>
      <c r="B719" s="6" t="inlineStr">
        <is>
          <t>2010-04-01</t>
        </is>
      </c>
      <c r="C719" s="6" t="inlineStr">
        <is>
          <t>2010-04-30</t>
        </is>
      </c>
      <c r="D719" s="6" t="inlineStr">
        <is>
          <t>month</t>
        </is>
      </c>
      <c r="E719" s="6" t="inlineStr">
        <is>
          <t>ENERGY_TO_ARGENTINA</t>
        </is>
      </c>
      <c r="F719" s="6" t="inlineStr">
        <is>
          <t>YACYRETA</t>
        </is>
      </c>
      <c r="G719" s="6" t="inlineStr">
        <is>
          <t>YACYRETA</t>
        </is>
      </c>
      <c r="H719" s="6" t="inlineStr">
        <is>
          <t>SADI</t>
        </is>
      </c>
      <c r="I719" s="8" t="n">
        <v>1548502</v>
      </c>
      <c r="J719" s="6" t="inlineStr">
        <is>
          <t>MWh</t>
        </is>
      </c>
      <c r="K719" s="8" t="n">
        <v>1548502</v>
      </c>
      <c r="L719" s="6" t="inlineStr">
        <is>
          <t>MWh</t>
        </is>
      </c>
      <c r="M719" s="6" t="inlineStr">
        <is>
          <t>EBY</t>
        </is>
      </c>
      <c r="N719" s="6" t="inlineStr">
        <is>
          <t>OFFICIAL_PRIMARY</t>
        </is>
      </c>
      <c r="O719" s="9" t="inlineStr">
        <is>
          <t>OFFICIAL_AGGREGATE</t>
        </is>
      </c>
      <c r="P719" s="8" t="n">
        <v>1</v>
      </c>
      <c r="Q719" s="8" t="n">
        <v>50</v>
      </c>
      <c r="R719" s="7" t="inlineStr">
        <is>
          <t>https://www.eby.gov.py/wp-content/uploads/2019/12/YacyretaEnergiasMensualesDesdePuestaenMarcha.pdf</t>
        </is>
      </c>
      <c r="S719" s="6" t="inlineStr">
        <is>
          <t>EBY-MONTHLY-1994-2012</t>
        </is>
      </c>
      <c r="T719" s="6" t="inlineStr"/>
      <c r="U719" s="4" t="inlineStr">
        <is>
          <t>2026-09-10 23:00:00</t>
        </is>
      </c>
      <c r="V719" s="4" t="inlineStr">
        <is>
          <t>Energia mensual entregada al SADI.</t>
        </is>
      </c>
    </row>
    <row r="720">
      <c r="A720" s="6" t="inlineStr">
        <is>
          <t>R0000724</t>
        </is>
      </c>
      <c r="B720" s="6" t="inlineStr">
        <is>
          <t>2010-04-01</t>
        </is>
      </c>
      <c r="C720" s="6" t="inlineStr">
        <is>
          <t>2010-04-30</t>
        </is>
      </c>
      <c r="D720" s="6" t="inlineStr">
        <is>
          <t>month</t>
        </is>
      </c>
      <c r="E720" s="6" t="inlineStr">
        <is>
          <t>ENERGY_TO_PY</t>
        </is>
      </c>
      <c r="F720" s="6" t="inlineStr">
        <is>
          <t>YACYRETA</t>
        </is>
      </c>
      <c r="G720" s="6" t="inlineStr">
        <is>
          <t>YACYRETA</t>
        </is>
      </c>
      <c r="H720" s="6" t="inlineStr">
        <is>
          <t>SINP</t>
        </is>
      </c>
      <c r="I720" s="8" t="n">
        <v>195624</v>
      </c>
      <c r="J720" s="6" t="inlineStr">
        <is>
          <t>MWh</t>
        </is>
      </c>
      <c r="K720" s="8" t="n">
        <v>195624</v>
      </c>
      <c r="L720" s="6" t="inlineStr">
        <is>
          <t>MWh</t>
        </is>
      </c>
      <c r="M720" s="6" t="inlineStr">
        <is>
          <t>EBY</t>
        </is>
      </c>
      <c r="N720" s="6" t="inlineStr">
        <is>
          <t>OFFICIAL_PRIMARY</t>
        </is>
      </c>
      <c r="O720" s="9" t="inlineStr">
        <is>
          <t>OFFICIAL_AGGREGATE</t>
        </is>
      </c>
      <c r="P720" s="8" t="n">
        <v>1</v>
      </c>
      <c r="Q720" s="8" t="n">
        <v>50</v>
      </c>
      <c r="R720" s="7" t="inlineStr">
        <is>
          <t>https://www.eby.gov.py/wp-content/uploads/2019/12/YacyretaEnergiasMensualesDesdePuestaenMarcha.pdf</t>
        </is>
      </c>
      <c r="S720" s="6" t="inlineStr">
        <is>
          <t>EBY-MONTHLY-1994-2012</t>
        </is>
      </c>
      <c r="T720" s="6" t="inlineStr"/>
      <c r="U720" s="4" t="inlineStr">
        <is>
          <t>2026-09-10 23:00:00</t>
        </is>
      </c>
      <c r="V720" s="4" t="inlineStr">
        <is>
          <t>Energia mensual entregada al SINP.</t>
        </is>
      </c>
    </row>
    <row r="721">
      <c r="A721" s="6" t="inlineStr">
        <is>
          <t>R0000725</t>
        </is>
      </c>
      <c r="B721" s="6" t="inlineStr">
        <is>
          <t>2010-05-01</t>
        </is>
      </c>
      <c r="C721" s="6" t="inlineStr">
        <is>
          <t>2010-05-31</t>
        </is>
      </c>
      <c r="D721" s="6" t="inlineStr">
        <is>
          <t>month</t>
        </is>
      </c>
      <c r="E721" s="6" t="inlineStr">
        <is>
          <t>YACYRETA_NET_ENERGY</t>
        </is>
      </c>
      <c r="F721" s="6" t="inlineStr">
        <is>
          <t>YACYRETA</t>
        </is>
      </c>
      <c r="G721" s="6" t="inlineStr">
        <is>
          <t>YACYRETA</t>
        </is>
      </c>
      <c r="H721" s="6" t="inlineStr">
        <is>
          <t>TOTAL</t>
        </is>
      </c>
      <c r="I721" s="8" t="n">
        <v>1793947</v>
      </c>
      <c r="J721" s="6" t="inlineStr">
        <is>
          <t>MWh</t>
        </is>
      </c>
      <c r="K721" s="8" t="n">
        <v>1793947</v>
      </c>
      <c r="L721" s="6" t="inlineStr">
        <is>
          <t>MWh</t>
        </is>
      </c>
      <c r="M721" s="6" t="inlineStr">
        <is>
          <t>EBY</t>
        </is>
      </c>
      <c r="N721" s="6" t="inlineStr">
        <is>
          <t>OFFICIAL_PRIMARY</t>
        </is>
      </c>
      <c r="O721" s="9" t="inlineStr">
        <is>
          <t>OFFICIAL_AGGREGATE</t>
        </is>
      </c>
      <c r="P721" s="8" t="n">
        <v>1</v>
      </c>
      <c r="Q721" s="8" t="n">
        <v>50</v>
      </c>
      <c r="R721" s="7" t="inlineStr">
        <is>
          <t>https://www.eby.gov.py/wp-content/uploads/2019/12/YacyretaEnergiasMensualesDesdePuestaenMarcha.pdf</t>
        </is>
      </c>
      <c r="S721" s="6" t="inlineStr">
        <is>
          <t>EBY-MONTHLY-1994-2012</t>
        </is>
      </c>
      <c r="T721" s="6" t="inlineStr"/>
      <c r="U721" s="4" t="inlineStr">
        <is>
          <t>2026-09-10 23:00:00</t>
        </is>
      </c>
      <c r="V721" s="4" t="inlineStr">
        <is>
          <t>Energia mensual Yacyreta desde puesta en marcha.</t>
        </is>
      </c>
    </row>
    <row r="722">
      <c r="A722" s="6" t="inlineStr">
        <is>
          <t>R0000726</t>
        </is>
      </c>
      <c r="B722" s="6" t="inlineStr">
        <is>
          <t>2010-05-01</t>
        </is>
      </c>
      <c r="C722" s="6" t="inlineStr">
        <is>
          <t>2010-05-31</t>
        </is>
      </c>
      <c r="D722" s="6" t="inlineStr">
        <is>
          <t>month</t>
        </is>
      </c>
      <c r="E722" s="6" t="inlineStr">
        <is>
          <t>ENERGY_TO_ARGENTINA</t>
        </is>
      </c>
      <c r="F722" s="6" t="inlineStr">
        <is>
          <t>YACYRETA</t>
        </is>
      </c>
      <c r="G722" s="6" t="inlineStr">
        <is>
          <t>YACYRETA</t>
        </is>
      </c>
      <c r="H722" s="6" t="inlineStr">
        <is>
          <t>SADI</t>
        </is>
      </c>
      <c r="I722" s="8" t="n">
        <v>1611396</v>
      </c>
      <c r="J722" s="6" t="inlineStr">
        <is>
          <t>MWh</t>
        </is>
      </c>
      <c r="K722" s="8" t="n">
        <v>1611396</v>
      </c>
      <c r="L722" s="6" t="inlineStr">
        <is>
          <t>MWh</t>
        </is>
      </c>
      <c r="M722" s="6" t="inlineStr">
        <is>
          <t>EBY</t>
        </is>
      </c>
      <c r="N722" s="6" t="inlineStr">
        <is>
          <t>OFFICIAL_PRIMARY</t>
        </is>
      </c>
      <c r="O722" s="9" t="inlineStr">
        <is>
          <t>OFFICIAL_AGGREGATE</t>
        </is>
      </c>
      <c r="P722" s="8" t="n">
        <v>1</v>
      </c>
      <c r="Q722" s="8" t="n">
        <v>50</v>
      </c>
      <c r="R722" s="7" t="inlineStr">
        <is>
          <t>https://www.eby.gov.py/wp-content/uploads/2019/12/YacyretaEnergiasMensualesDesdePuestaenMarcha.pdf</t>
        </is>
      </c>
      <c r="S722" s="6" t="inlineStr">
        <is>
          <t>EBY-MONTHLY-1994-2012</t>
        </is>
      </c>
      <c r="T722" s="6" t="inlineStr"/>
      <c r="U722" s="4" t="inlineStr">
        <is>
          <t>2026-09-10 23:00:00</t>
        </is>
      </c>
      <c r="V722" s="4" t="inlineStr">
        <is>
          <t>Energia mensual entregada al SADI.</t>
        </is>
      </c>
    </row>
    <row r="723">
      <c r="A723" s="6" t="inlineStr">
        <is>
          <t>R0000727</t>
        </is>
      </c>
      <c r="B723" s="6" t="inlineStr">
        <is>
          <t>2010-05-01</t>
        </is>
      </c>
      <c r="C723" s="6" t="inlineStr">
        <is>
          <t>2010-05-31</t>
        </is>
      </c>
      <c r="D723" s="6" t="inlineStr">
        <is>
          <t>month</t>
        </is>
      </c>
      <c r="E723" s="6" t="inlineStr">
        <is>
          <t>ENERGY_TO_PY</t>
        </is>
      </c>
      <c r="F723" s="6" t="inlineStr">
        <is>
          <t>YACYRETA</t>
        </is>
      </c>
      <c r="G723" s="6" t="inlineStr">
        <is>
          <t>YACYRETA</t>
        </is>
      </c>
      <c r="H723" s="6" t="inlineStr">
        <is>
          <t>SINP</t>
        </is>
      </c>
      <c r="I723" s="8" t="n">
        <v>182551</v>
      </c>
      <c r="J723" s="6" t="inlineStr">
        <is>
          <t>MWh</t>
        </is>
      </c>
      <c r="K723" s="8" t="n">
        <v>182551</v>
      </c>
      <c r="L723" s="6" t="inlineStr">
        <is>
          <t>MWh</t>
        </is>
      </c>
      <c r="M723" s="6" t="inlineStr">
        <is>
          <t>EBY</t>
        </is>
      </c>
      <c r="N723" s="6" t="inlineStr">
        <is>
          <t>OFFICIAL_PRIMARY</t>
        </is>
      </c>
      <c r="O723" s="9" t="inlineStr">
        <is>
          <t>OFFICIAL_AGGREGATE</t>
        </is>
      </c>
      <c r="P723" s="8" t="n">
        <v>1</v>
      </c>
      <c r="Q723" s="8" t="n">
        <v>50</v>
      </c>
      <c r="R723" s="7" t="inlineStr">
        <is>
          <t>https://www.eby.gov.py/wp-content/uploads/2019/12/YacyretaEnergiasMensualesDesdePuestaenMarcha.pdf</t>
        </is>
      </c>
      <c r="S723" s="6" t="inlineStr">
        <is>
          <t>EBY-MONTHLY-1994-2012</t>
        </is>
      </c>
      <c r="T723" s="6" t="inlineStr"/>
      <c r="U723" s="4" t="inlineStr">
        <is>
          <t>2026-09-10 23:00:00</t>
        </is>
      </c>
      <c r="V723" s="4" t="inlineStr">
        <is>
          <t>Energia mensual entregada al SINP.</t>
        </is>
      </c>
    </row>
    <row r="724">
      <c r="A724" s="6" t="inlineStr">
        <is>
          <t>R0000728</t>
        </is>
      </c>
      <c r="B724" s="6" t="inlineStr">
        <is>
          <t>2010-06-01</t>
        </is>
      </c>
      <c r="C724" s="6" t="inlineStr">
        <is>
          <t>2010-06-30</t>
        </is>
      </c>
      <c r="D724" s="6" t="inlineStr">
        <is>
          <t>month</t>
        </is>
      </c>
      <c r="E724" s="6" t="inlineStr">
        <is>
          <t>YACYRETA_NET_ENERGY</t>
        </is>
      </c>
      <c r="F724" s="6" t="inlineStr">
        <is>
          <t>YACYRETA</t>
        </is>
      </c>
      <c r="G724" s="6" t="inlineStr">
        <is>
          <t>YACYRETA</t>
        </is>
      </c>
      <c r="H724" s="6" t="inlineStr">
        <is>
          <t>TOTAL</t>
        </is>
      </c>
      <c r="I724" s="8" t="n">
        <v>1481551</v>
      </c>
      <c r="J724" s="6" t="inlineStr">
        <is>
          <t>MWh</t>
        </is>
      </c>
      <c r="K724" s="8" t="n">
        <v>1481551</v>
      </c>
      <c r="L724" s="6" t="inlineStr">
        <is>
          <t>MWh</t>
        </is>
      </c>
      <c r="M724" s="6" t="inlineStr">
        <is>
          <t>EBY</t>
        </is>
      </c>
      <c r="N724" s="6" t="inlineStr">
        <is>
          <t>OFFICIAL_PRIMARY</t>
        </is>
      </c>
      <c r="O724" s="9" t="inlineStr">
        <is>
          <t>OFFICIAL_AGGREGATE</t>
        </is>
      </c>
      <c r="P724" s="8" t="n">
        <v>1</v>
      </c>
      <c r="Q724" s="8" t="n">
        <v>50</v>
      </c>
      <c r="R724" s="7" t="inlineStr">
        <is>
          <t>https://www.eby.gov.py/wp-content/uploads/2019/12/YacyretaEnergiasMensualesDesdePuestaenMarcha.pdf</t>
        </is>
      </c>
      <c r="S724" s="6" t="inlineStr">
        <is>
          <t>EBY-MONTHLY-1994-2012</t>
        </is>
      </c>
      <c r="T724" s="6" t="inlineStr"/>
      <c r="U724" s="4" t="inlineStr">
        <is>
          <t>2026-09-10 23:00:00</t>
        </is>
      </c>
      <c r="V724" s="4" t="inlineStr">
        <is>
          <t>Energia mensual Yacyreta desde puesta en marcha.</t>
        </is>
      </c>
    </row>
    <row r="725">
      <c r="A725" s="6" t="inlineStr">
        <is>
          <t>R0000729</t>
        </is>
      </c>
      <c r="B725" s="6" t="inlineStr">
        <is>
          <t>2010-06-01</t>
        </is>
      </c>
      <c r="C725" s="6" t="inlineStr">
        <is>
          <t>2010-06-30</t>
        </is>
      </c>
      <c r="D725" s="6" t="inlineStr">
        <is>
          <t>month</t>
        </is>
      </c>
      <c r="E725" s="6" t="inlineStr">
        <is>
          <t>ENERGY_TO_ARGENTINA</t>
        </is>
      </c>
      <c r="F725" s="6" t="inlineStr">
        <is>
          <t>YACYRETA</t>
        </is>
      </c>
      <c r="G725" s="6" t="inlineStr">
        <is>
          <t>YACYRETA</t>
        </is>
      </c>
      <c r="H725" s="6" t="inlineStr">
        <is>
          <t>SADI</t>
        </is>
      </c>
      <c r="I725" s="8" t="n">
        <v>1323134</v>
      </c>
      <c r="J725" s="6" t="inlineStr">
        <is>
          <t>MWh</t>
        </is>
      </c>
      <c r="K725" s="8" t="n">
        <v>1323134</v>
      </c>
      <c r="L725" s="6" t="inlineStr">
        <is>
          <t>MWh</t>
        </is>
      </c>
      <c r="M725" s="6" t="inlineStr">
        <is>
          <t>EBY</t>
        </is>
      </c>
      <c r="N725" s="6" t="inlineStr">
        <is>
          <t>OFFICIAL_PRIMARY</t>
        </is>
      </c>
      <c r="O725" s="9" t="inlineStr">
        <is>
          <t>OFFICIAL_AGGREGATE</t>
        </is>
      </c>
      <c r="P725" s="8" t="n">
        <v>1</v>
      </c>
      <c r="Q725" s="8" t="n">
        <v>50</v>
      </c>
      <c r="R725" s="7" t="inlineStr">
        <is>
          <t>https://www.eby.gov.py/wp-content/uploads/2019/12/YacyretaEnergiasMensualesDesdePuestaenMarcha.pdf</t>
        </is>
      </c>
      <c r="S725" s="6" t="inlineStr">
        <is>
          <t>EBY-MONTHLY-1994-2012</t>
        </is>
      </c>
      <c r="T725" s="6" t="inlineStr"/>
      <c r="U725" s="4" t="inlineStr">
        <is>
          <t>2026-09-10 23:00:00</t>
        </is>
      </c>
      <c r="V725" s="4" t="inlineStr">
        <is>
          <t>Energia mensual entregada al SADI.</t>
        </is>
      </c>
    </row>
    <row r="726">
      <c r="A726" s="6" t="inlineStr">
        <is>
          <t>R0000730</t>
        </is>
      </c>
      <c r="B726" s="6" t="inlineStr">
        <is>
          <t>2010-06-01</t>
        </is>
      </c>
      <c r="C726" s="6" t="inlineStr">
        <is>
          <t>2010-06-30</t>
        </is>
      </c>
      <c r="D726" s="6" t="inlineStr">
        <is>
          <t>month</t>
        </is>
      </c>
      <c r="E726" s="6" t="inlineStr">
        <is>
          <t>ENERGY_TO_PY</t>
        </is>
      </c>
      <c r="F726" s="6" t="inlineStr">
        <is>
          <t>YACYRETA</t>
        </is>
      </c>
      <c r="G726" s="6" t="inlineStr">
        <is>
          <t>YACYRETA</t>
        </is>
      </c>
      <c r="H726" s="6" t="inlineStr">
        <is>
          <t>SINP</t>
        </is>
      </c>
      <c r="I726" s="8" t="n">
        <v>158417</v>
      </c>
      <c r="J726" s="6" t="inlineStr">
        <is>
          <t>MWh</t>
        </is>
      </c>
      <c r="K726" s="8" t="n">
        <v>158417</v>
      </c>
      <c r="L726" s="6" t="inlineStr">
        <is>
          <t>MWh</t>
        </is>
      </c>
      <c r="M726" s="6" t="inlineStr">
        <is>
          <t>EBY</t>
        </is>
      </c>
      <c r="N726" s="6" t="inlineStr">
        <is>
          <t>OFFICIAL_PRIMARY</t>
        </is>
      </c>
      <c r="O726" s="9" t="inlineStr">
        <is>
          <t>OFFICIAL_AGGREGATE</t>
        </is>
      </c>
      <c r="P726" s="8" t="n">
        <v>1</v>
      </c>
      <c r="Q726" s="8" t="n">
        <v>50</v>
      </c>
      <c r="R726" s="7" t="inlineStr">
        <is>
          <t>https://www.eby.gov.py/wp-content/uploads/2019/12/YacyretaEnergiasMensualesDesdePuestaenMarcha.pdf</t>
        </is>
      </c>
      <c r="S726" s="6" t="inlineStr">
        <is>
          <t>EBY-MONTHLY-1994-2012</t>
        </is>
      </c>
      <c r="T726" s="6" t="inlineStr"/>
      <c r="U726" s="4" t="inlineStr">
        <is>
          <t>2026-09-10 23:00:00</t>
        </is>
      </c>
      <c r="V726" s="4" t="inlineStr">
        <is>
          <t>Energia mensual entregada al SINP.</t>
        </is>
      </c>
    </row>
    <row r="727">
      <c r="A727" s="6" t="inlineStr">
        <is>
          <t>R0000731</t>
        </is>
      </c>
      <c r="B727" s="6" t="inlineStr">
        <is>
          <t>2010-07-01</t>
        </is>
      </c>
      <c r="C727" s="6" t="inlineStr">
        <is>
          <t>2010-07-31</t>
        </is>
      </c>
      <c r="D727" s="6" t="inlineStr">
        <is>
          <t>month</t>
        </is>
      </c>
      <c r="E727" s="6" t="inlineStr">
        <is>
          <t>YACYRETA_NET_ENERGY</t>
        </is>
      </c>
      <c r="F727" s="6" t="inlineStr">
        <is>
          <t>YACYRETA</t>
        </is>
      </c>
      <c r="G727" s="6" t="inlineStr">
        <is>
          <t>YACYRETA</t>
        </is>
      </c>
      <c r="H727" s="6" t="inlineStr">
        <is>
          <t>TOTAL</t>
        </is>
      </c>
      <c r="I727" s="8" t="n">
        <v>1530434</v>
      </c>
      <c r="J727" s="6" t="inlineStr">
        <is>
          <t>MWh</t>
        </is>
      </c>
      <c r="K727" s="8" t="n">
        <v>1530434</v>
      </c>
      <c r="L727" s="6" t="inlineStr">
        <is>
          <t>MWh</t>
        </is>
      </c>
      <c r="M727" s="6" t="inlineStr">
        <is>
          <t>EBY</t>
        </is>
      </c>
      <c r="N727" s="6" t="inlineStr">
        <is>
          <t>OFFICIAL_PRIMARY</t>
        </is>
      </c>
      <c r="O727" s="9" t="inlineStr">
        <is>
          <t>OFFICIAL_AGGREGATE</t>
        </is>
      </c>
      <c r="P727" s="8" t="n">
        <v>1</v>
      </c>
      <c r="Q727" s="8" t="n">
        <v>50</v>
      </c>
      <c r="R727" s="7" t="inlineStr">
        <is>
          <t>https://www.eby.gov.py/wp-content/uploads/2019/12/YacyretaEnergiasMensualesDesdePuestaenMarcha.pdf</t>
        </is>
      </c>
      <c r="S727" s="6" t="inlineStr">
        <is>
          <t>EBY-MONTHLY-1994-2012</t>
        </is>
      </c>
      <c r="T727" s="6" t="inlineStr"/>
      <c r="U727" s="4" t="inlineStr">
        <is>
          <t>2026-09-10 23:00:00</t>
        </is>
      </c>
      <c r="V727" s="4" t="inlineStr">
        <is>
          <t>Energia mensual Yacyreta desde puesta en marcha.</t>
        </is>
      </c>
    </row>
    <row r="728">
      <c r="A728" s="6" t="inlineStr">
        <is>
          <t>R0000732</t>
        </is>
      </c>
      <c r="B728" s="6" t="inlineStr">
        <is>
          <t>2010-07-01</t>
        </is>
      </c>
      <c r="C728" s="6" t="inlineStr">
        <is>
          <t>2010-07-31</t>
        </is>
      </c>
      <c r="D728" s="6" t="inlineStr">
        <is>
          <t>month</t>
        </is>
      </c>
      <c r="E728" s="6" t="inlineStr">
        <is>
          <t>ENERGY_TO_ARGENTINA</t>
        </is>
      </c>
      <c r="F728" s="6" t="inlineStr">
        <is>
          <t>YACYRETA</t>
        </is>
      </c>
      <c r="G728" s="6" t="inlineStr">
        <is>
          <t>YACYRETA</t>
        </is>
      </c>
      <c r="H728" s="6" t="inlineStr">
        <is>
          <t>SADI</t>
        </is>
      </c>
      <c r="I728" s="8" t="n">
        <v>1362830</v>
      </c>
      <c r="J728" s="6" t="inlineStr">
        <is>
          <t>MWh</t>
        </is>
      </c>
      <c r="K728" s="8" t="n">
        <v>1362830</v>
      </c>
      <c r="L728" s="6" t="inlineStr">
        <is>
          <t>MWh</t>
        </is>
      </c>
      <c r="M728" s="6" t="inlineStr">
        <is>
          <t>EBY</t>
        </is>
      </c>
      <c r="N728" s="6" t="inlineStr">
        <is>
          <t>OFFICIAL_PRIMARY</t>
        </is>
      </c>
      <c r="O728" s="9" t="inlineStr">
        <is>
          <t>OFFICIAL_AGGREGATE</t>
        </is>
      </c>
      <c r="P728" s="8" t="n">
        <v>1</v>
      </c>
      <c r="Q728" s="8" t="n">
        <v>50</v>
      </c>
      <c r="R728" s="7" t="inlineStr">
        <is>
          <t>https://www.eby.gov.py/wp-content/uploads/2019/12/YacyretaEnergiasMensualesDesdePuestaenMarcha.pdf</t>
        </is>
      </c>
      <c r="S728" s="6" t="inlineStr">
        <is>
          <t>EBY-MONTHLY-1994-2012</t>
        </is>
      </c>
      <c r="T728" s="6" t="inlineStr"/>
      <c r="U728" s="4" t="inlineStr">
        <is>
          <t>2026-09-10 23:00:00</t>
        </is>
      </c>
      <c r="V728" s="4" t="inlineStr">
        <is>
          <t>Energia mensual entregada al SADI.</t>
        </is>
      </c>
    </row>
    <row r="729">
      <c r="A729" s="6" t="inlineStr">
        <is>
          <t>R0000733</t>
        </is>
      </c>
      <c r="B729" s="6" t="inlineStr">
        <is>
          <t>2010-07-01</t>
        </is>
      </c>
      <c r="C729" s="6" t="inlineStr">
        <is>
          <t>2010-07-31</t>
        </is>
      </c>
      <c r="D729" s="6" t="inlineStr">
        <is>
          <t>month</t>
        </is>
      </c>
      <c r="E729" s="6" t="inlineStr">
        <is>
          <t>ENERGY_TO_PY</t>
        </is>
      </c>
      <c r="F729" s="6" t="inlineStr">
        <is>
          <t>YACYRETA</t>
        </is>
      </c>
      <c r="G729" s="6" t="inlineStr">
        <is>
          <t>YACYRETA</t>
        </is>
      </c>
      <c r="H729" s="6" t="inlineStr">
        <is>
          <t>SINP</t>
        </is>
      </c>
      <c r="I729" s="8" t="n">
        <v>167604</v>
      </c>
      <c r="J729" s="6" t="inlineStr">
        <is>
          <t>MWh</t>
        </is>
      </c>
      <c r="K729" s="8" t="n">
        <v>167604</v>
      </c>
      <c r="L729" s="6" t="inlineStr">
        <is>
          <t>MWh</t>
        </is>
      </c>
      <c r="M729" s="6" t="inlineStr">
        <is>
          <t>EBY</t>
        </is>
      </c>
      <c r="N729" s="6" t="inlineStr">
        <is>
          <t>OFFICIAL_PRIMARY</t>
        </is>
      </c>
      <c r="O729" s="9" t="inlineStr">
        <is>
          <t>OFFICIAL_AGGREGATE</t>
        </is>
      </c>
      <c r="P729" s="8" t="n">
        <v>1</v>
      </c>
      <c r="Q729" s="8" t="n">
        <v>50</v>
      </c>
      <c r="R729" s="7" t="inlineStr">
        <is>
          <t>https://www.eby.gov.py/wp-content/uploads/2019/12/YacyretaEnergiasMensualesDesdePuestaenMarcha.pdf</t>
        </is>
      </c>
      <c r="S729" s="6" t="inlineStr">
        <is>
          <t>EBY-MONTHLY-1994-2012</t>
        </is>
      </c>
      <c r="T729" s="6" t="inlineStr"/>
      <c r="U729" s="4" t="inlineStr">
        <is>
          <t>2026-09-10 23:00:00</t>
        </is>
      </c>
      <c r="V729" s="4" t="inlineStr">
        <is>
          <t>Energia mensual entregada al SINP.</t>
        </is>
      </c>
    </row>
    <row r="730">
      <c r="A730" s="6" t="inlineStr">
        <is>
          <t>R0000734</t>
        </is>
      </c>
      <c r="B730" s="6" t="inlineStr">
        <is>
          <t>2010-08-01</t>
        </is>
      </c>
      <c r="C730" s="6" t="inlineStr">
        <is>
          <t>2010-08-31</t>
        </is>
      </c>
      <c r="D730" s="6" t="inlineStr">
        <is>
          <t>month</t>
        </is>
      </c>
      <c r="E730" s="6" t="inlineStr">
        <is>
          <t>YACYRETA_NET_ENERGY</t>
        </is>
      </c>
      <c r="F730" s="6" t="inlineStr">
        <is>
          <t>YACYRETA</t>
        </is>
      </c>
      <c r="G730" s="6" t="inlineStr">
        <is>
          <t>YACYRETA</t>
        </is>
      </c>
      <c r="H730" s="6" t="inlineStr">
        <is>
          <t>TOTAL</t>
        </is>
      </c>
      <c r="I730" s="8" t="n">
        <v>1418559</v>
      </c>
      <c r="J730" s="6" t="inlineStr">
        <is>
          <t>MWh</t>
        </is>
      </c>
      <c r="K730" s="8" t="n">
        <v>1418559</v>
      </c>
      <c r="L730" s="6" t="inlineStr">
        <is>
          <t>MWh</t>
        </is>
      </c>
      <c r="M730" s="6" t="inlineStr">
        <is>
          <t>EBY</t>
        </is>
      </c>
      <c r="N730" s="6" t="inlineStr">
        <is>
          <t>OFFICIAL_PRIMARY</t>
        </is>
      </c>
      <c r="O730" s="9" t="inlineStr">
        <is>
          <t>OFFICIAL_AGGREGATE</t>
        </is>
      </c>
      <c r="P730" s="8" t="n">
        <v>1</v>
      </c>
      <c r="Q730" s="8" t="n">
        <v>50</v>
      </c>
      <c r="R730" s="7" t="inlineStr">
        <is>
          <t>https://www.eby.gov.py/wp-content/uploads/2019/12/YacyretaEnergiasMensualesDesdePuestaenMarcha.pdf</t>
        </is>
      </c>
      <c r="S730" s="6" t="inlineStr">
        <is>
          <t>EBY-MONTHLY-1994-2012</t>
        </is>
      </c>
      <c r="T730" s="6" t="inlineStr"/>
      <c r="U730" s="4" t="inlineStr">
        <is>
          <t>2026-09-10 23:00:00</t>
        </is>
      </c>
      <c r="V730" s="4" t="inlineStr">
        <is>
          <t>Energia mensual Yacyreta desde puesta en marcha.</t>
        </is>
      </c>
    </row>
    <row r="731">
      <c r="A731" s="6" t="inlineStr">
        <is>
          <t>R0000735</t>
        </is>
      </c>
      <c r="B731" s="6" t="inlineStr">
        <is>
          <t>2010-08-01</t>
        </is>
      </c>
      <c r="C731" s="6" t="inlineStr">
        <is>
          <t>2010-08-31</t>
        </is>
      </c>
      <c r="D731" s="6" t="inlineStr">
        <is>
          <t>month</t>
        </is>
      </c>
      <c r="E731" s="6" t="inlineStr">
        <is>
          <t>ENERGY_TO_ARGENTINA</t>
        </is>
      </c>
      <c r="F731" s="6" t="inlineStr">
        <is>
          <t>YACYRETA</t>
        </is>
      </c>
      <c r="G731" s="6" t="inlineStr">
        <is>
          <t>YACYRETA</t>
        </is>
      </c>
      <c r="H731" s="6" t="inlineStr">
        <is>
          <t>SADI</t>
        </is>
      </c>
      <c r="I731" s="8" t="n">
        <v>1253464</v>
      </c>
      <c r="J731" s="6" t="inlineStr">
        <is>
          <t>MWh</t>
        </is>
      </c>
      <c r="K731" s="8" t="n">
        <v>1253464</v>
      </c>
      <c r="L731" s="6" t="inlineStr">
        <is>
          <t>MWh</t>
        </is>
      </c>
      <c r="M731" s="6" t="inlineStr">
        <is>
          <t>EBY</t>
        </is>
      </c>
      <c r="N731" s="6" t="inlineStr">
        <is>
          <t>OFFICIAL_PRIMARY</t>
        </is>
      </c>
      <c r="O731" s="9" t="inlineStr">
        <is>
          <t>OFFICIAL_AGGREGATE</t>
        </is>
      </c>
      <c r="P731" s="8" t="n">
        <v>1</v>
      </c>
      <c r="Q731" s="8" t="n">
        <v>50</v>
      </c>
      <c r="R731" s="7" t="inlineStr">
        <is>
          <t>https://www.eby.gov.py/wp-content/uploads/2019/12/YacyretaEnergiasMensualesDesdePuestaenMarcha.pdf</t>
        </is>
      </c>
      <c r="S731" s="6" t="inlineStr">
        <is>
          <t>EBY-MONTHLY-1994-2012</t>
        </is>
      </c>
      <c r="T731" s="6" t="inlineStr"/>
      <c r="U731" s="4" t="inlineStr">
        <is>
          <t>2026-09-10 23:00:00</t>
        </is>
      </c>
      <c r="V731" s="4" t="inlineStr">
        <is>
          <t>Energia mensual entregada al SADI.</t>
        </is>
      </c>
    </row>
    <row r="732">
      <c r="A732" s="6" t="inlineStr">
        <is>
          <t>R0000736</t>
        </is>
      </c>
      <c r="B732" s="6" t="inlineStr">
        <is>
          <t>2010-08-01</t>
        </is>
      </c>
      <c r="C732" s="6" t="inlineStr">
        <is>
          <t>2010-08-31</t>
        </is>
      </c>
      <c r="D732" s="6" t="inlineStr">
        <is>
          <t>month</t>
        </is>
      </c>
      <c r="E732" s="6" t="inlineStr">
        <is>
          <t>ENERGY_TO_PY</t>
        </is>
      </c>
      <c r="F732" s="6" t="inlineStr">
        <is>
          <t>YACYRETA</t>
        </is>
      </c>
      <c r="G732" s="6" t="inlineStr">
        <is>
          <t>YACYRETA</t>
        </is>
      </c>
      <c r="H732" s="6" t="inlineStr">
        <is>
          <t>SINP</t>
        </is>
      </c>
      <c r="I732" s="8" t="n">
        <v>165095</v>
      </c>
      <c r="J732" s="6" t="inlineStr">
        <is>
          <t>MWh</t>
        </is>
      </c>
      <c r="K732" s="8" t="n">
        <v>165095</v>
      </c>
      <c r="L732" s="6" t="inlineStr">
        <is>
          <t>MWh</t>
        </is>
      </c>
      <c r="M732" s="6" t="inlineStr">
        <is>
          <t>EBY</t>
        </is>
      </c>
      <c r="N732" s="6" t="inlineStr">
        <is>
          <t>OFFICIAL_PRIMARY</t>
        </is>
      </c>
      <c r="O732" s="9" t="inlineStr">
        <is>
          <t>OFFICIAL_AGGREGATE</t>
        </is>
      </c>
      <c r="P732" s="8" t="n">
        <v>1</v>
      </c>
      <c r="Q732" s="8" t="n">
        <v>50</v>
      </c>
      <c r="R732" s="7" t="inlineStr">
        <is>
          <t>https://www.eby.gov.py/wp-content/uploads/2019/12/YacyretaEnergiasMensualesDesdePuestaenMarcha.pdf</t>
        </is>
      </c>
      <c r="S732" s="6" t="inlineStr">
        <is>
          <t>EBY-MONTHLY-1994-2012</t>
        </is>
      </c>
      <c r="T732" s="6" t="inlineStr"/>
      <c r="U732" s="4" t="inlineStr">
        <is>
          <t>2026-09-10 23:00:00</t>
        </is>
      </c>
      <c r="V732" s="4" t="inlineStr">
        <is>
          <t>Energia mensual entregada al SINP.</t>
        </is>
      </c>
    </row>
    <row r="733">
      <c r="A733" s="6" t="inlineStr">
        <is>
          <t>R0000737</t>
        </is>
      </c>
      <c r="B733" s="6" t="inlineStr">
        <is>
          <t>2010-09-01</t>
        </is>
      </c>
      <c r="C733" s="6" t="inlineStr">
        <is>
          <t>2010-09-30</t>
        </is>
      </c>
      <c r="D733" s="6" t="inlineStr">
        <is>
          <t>month</t>
        </is>
      </c>
      <c r="E733" s="6" t="inlineStr">
        <is>
          <t>YACYRETA_NET_ENERGY</t>
        </is>
      </c>
      <c r="F733" s="6" t="inlineStr">
        <is>
          <t>YACYRETA</t>
        </is>
      </c>
      <c r="G733" s="6" t="inlineStr">
        <is>
          <t>YACYRETA</t>
        </is>
      </c>
      <c r="H733" s="6" t="inlineStr">
        <is>
          <t>TOTAL</t>
        </is>
      </c>
      <c r="I733" s="8" t="n">
        <v>1346356</v>
      </c>
      <c r="J733" s="6" t="inlineStr">
        <is>
          <t>MWh</t>
        </is>
      </c>
      <c r="K733" s="8" t="n">
        <v>1346356</v>
      </c>
      <c r="L733" s="6" t="inlineStr">
        <is>
          <t>MWh</t>
        </is>
      </c>
      <c r="M733" s="6" t="inlineStr">
        <is>
          <t>EBY</t>
        </is>
      </c>
      <c r="N733" s="6" t="inlineStr">
        <is>
          <t>OFFICIAL_PRIMARY</t>
        </is>
      </c>
      <c r="O733" s="9" t="inlineStr">
        <is>
          <t>OFFICIAL_AGGREGATE</t>
        </is>
      </c>
      <c r="P733" s="8" t="n">
        <v>1</v>
      </c>
      <c r="Q733" s="8" t="n">
        <v>50</v>
      </c>
      <c r="R733" s="7" t="inlineStr">
        <is>
          <t>https://www.eby.gov.py/wp-content/uploads/2019/12/YacyretaEnergiasMensualesDesdePuestaenMarcha.pdf</t>
        </is>
      </c>
      <c r="S733" s="6" t="inlineStr">
        <is>
          <t>EBY-MONTHLY-1994-2012</t>
        </is>
      </c>
      <c r="T733" s="6" t="inlineStr"/>
      <c r="U733" s="4" t="inlineStr">
        <is>
          <t>2026-09-10 23:00:00</t>
        </is>
      </c>
      <c r="V733" s="4" t="inlineStr">
        <is>
          <t>Energia mensual Yacyreta desde puesta en marcha.</t>
        </is>
      </c>
    </row>
    <row r="734">
      <c r="A734" s="6" t="inlineStr">
        <is>
          <t>R0000738</t>
        </is>
      </c>
      <c r="B734" s="6" t="inlineStr">
        <is>
          <t>2010-09-01</t>
        </is>
      </c>
      <c r="C734" s="6" t="inlineStr">
        <is>
          <t>2010-09-30</t>
        </is>
      </c>
      <c r="D734" s="6" t="inlineStr">
        <is>
          <t>month</t>
        </is>
      </c>
      <c r="E734" s="6" t="inlineStr">
        <is>
          <t>ENERGY_TO_ARGENTINA</t>
        </is>
      </c>
      <c r="F734" s="6" t="inlineStr">
        <is>
          <t>YACYRETA</t>
        </is>
      </c>
      <c r="G734" s="6" t="inlineStr">
        <is>
          <t>YACYRETA</t>
        </is>
      </c>
      <c r="H734" s="6" t="inlineStr">
        <is>
          <t>SADI</t>
        </is>
      </c>
      <c r="I734" s="8" t="n">
        <v>1178654</v>
      </c>
      <c r="J734" s="6" t="inlineStr">
        <is>
          <t>MWh</t>
        </is>
      </c>
      <c r="K734" s="8" t="n">
        <v>1178654</v>
      </c>
      <c r="L734" s="6" t="inlineStr">
        <is>
          <t>MWh</t>
        </is>
      </c>
      <c r="M734" s="6" t="inlineStr">
        <is>
          <t>EBY</t>
        </is>
      </c>
      <c r="N734" s="6" t="inlineStr">
        <is>
          <t>OFFICIAL_PRIMARY</t>
        </is>
      </c>
      <c r="O734" s="9" t="inlineStr">
        <is>
          <t>OFFICIAL_AGGREGATE</t>
        </is>
      </c>
      <c r="P734" s="8" t="n">
        <v>1</v>
      </c>
      <c r="Q734" s="8" t="n">
        <v>50</v>
      </c>
      <c r="R734" s="7" t="inlineStr">
        <is>
          <t>https://www.eby.gov.py/wp-content/uploads/2019/12/YacyretaEnergiasMensualesDesdePuestaenMarcha.pdf</t>
        </is>
      </c>
      <c r="S734" s="6" t="inlineStr">
        <is>
          <t>EBY-MONTHLY-1994-2012</t>
        </is>
      </c>
      <c r="T734" s="6" t="inlineStr"/>
      <c r="U734" s="4" t="inlineStr">
        <is>
          <t>2026-09-10 23:00:00</t>
        </is>
      </c>
      <c r="V734" s="4" t="inlineStr">
        <is>
          <t>Energia mensual entregada al SADI.</t>
        </is>
      </c>
    </row>
    <row r="735">
      <c r="A735" s="6" t="inlineStr">
        <is>
          <t>R0000739</t>
        </is>
      </c>
      <c r="B735" s="6" t="inlineStr">
        <is>
          <t>2010-09-01</t>
        </is>
      </c>
      <c r="C735" s="6" t="inlineStr">
        <is>
          <t>2010-09-30</t>
        </is>
      </c>
      <c r="D735" s="6" t="inlineStr">
        <is>
          <t>month</t>
        </is>
      </c>
      <c r="E735" s="6" t="inlineStr">
        <is>
          <t>ENERGY_TO_PY</t>
        </is>
      </c>
      <c r="F735" s="6" t="inlineStr">
        <is>
          <t>YACYRETA</t>
        </is>
      </c>
      <c r="G735" s="6" t="inlineStr">
        <is>
          <t>YACYRETA</t>
        </is>
      </c>
      <c r="H735" s="6" t="inlineStr">
        <is>
          <t>SINP</t>
        </is>
      </c>
      <c r="I735" s="8" t="n">
        <v>167702</v>
      </c>
      <c r="J735" s="6" t="inlineStr">
        <is>
          <t>MWh</t>
        </is>
      </c>
      <c r="K735" s="8" t="n">
        <v>167702</v>
      </c>
      <c r="L735" s="6" t="inlineStr">
        <is>
          <t>MWh</t>
        </is>
      </c>
      <c r="M735" s="6" t="inlineStr">
        <is>
          <t>EBY</t>
        </is>
      </c>
      <c r="N735" s="6" t="inlineStr">
        <is>
          <t>OFFICIAL_PRIMARY</t>
        </is>
      </c>
      <c r="O735" s="9" t="inlineStr">
        <is>
          <t>OFFICIAL_AGGREGATE</t>
        </is>
      </c>
      <c r="P735" s="8" t="n">
        <v>1</v>
      </c>
      <c r="Q735" s="8" t="n">
        <v>50</v>
      </c>
      <c r="R735" s="7" t="inlineStr">
        <is>
          <t>https://www.eby.gov.py/wp-content/uploads/2019/12/YacyretaEnergiasMensualesDesdePuestaenMarcha.pdf</t>
        </is>
      </c>
      <c r="S735" s="6" t="inlineStr">
        <is>
          <t>EBY-MONTHLY-1994-2012</t>
        </is>
      </c>
      <c r="T735" s="6" t="inlineStr"/>
      <c r="U735" s="4" t="inlineStr">
        <is>
          <t>2026-09-10 23:00:00</t>
        </is>
      </c>
      <c r="V735" s="4" t="inlineStr">
        <is>
          <t>Energia mensual entregada al SINP.</t>
        </is>
      </c>
    </row>
    <row r="736">
      <c r="A736" s="6" t="inlineStr">
        <is>
          <t>R0000740</t>
        </is>
      </c>
      <c r="B736" s="6" t="inlineStr">
        <is>
          <t>2010-10-01</t>
        </is>
      </c>
      <c r="C736" s="6" t="inlineStr">
        <is>
          <t>2010-10-31</t>
        </is>
      </c>
      <c r="D736" s="6" t="inlineStr">
        <is>
          <t>month</t>
        </is>
      </c>
      <c r="E736" s="6" t="inlineStr">
        <is>
          <t>YACYRETA_NET_ENERGY</t>
        </is>
      </c>
      <c r="F736" s="6" t="inlineStr">
        <is>
          <t>YACYRETA</t>
        </is>
      </c>
      <c r="G736" s="6" t="inlineStr">
        <is>
          <t>YACYRETA</t>
        </is>
      </c>
      <c r="H736" s="6" t="inlineStr">
        <is>
          <t>TOTAL</t>
        </is>
      </c>
      <c r="I736" s="8" t="n">
        <v>1621476</v>
      </c>
      <c r="J736" s="6" t="inlineStr">
        <is>
          <t>MWh</t>
        </is>
      </c>
      <c r="K736" s="8" t="n">
        <v>1621476</v>
      </c>
      <c r="L736" s="6" t="inlineStr">
        <is>
          <t>MWh</t>
        </is>
      </c>
      <c r="M736" s="6" t="inlineStr">
        <is>
          <t>EBY</t>
        </is>
      </c>
      <c r="N736" s="6" t="inlineStr">
        <is>
          <t>OFFICIAL_PRIMARY</t>
        </is>
      </c>
      <c r="O736" s="9" t="inlineStr">
        <is>
          <t>OFFICIAL_AGGREGATE</t>
        </is>
      </c>
      <c r="P736" s="8" t="n">
        <v>1</v>
      </c>
      <c r="Q736" s="8" t="n">
        <v>50</v>
      </c>
      <c r="R736" s="7" t="inlineStr">
        <is>
          <t>https://www.eby.gov.py/wp-content/uploads/2019/12/YacyretaEnergiasMensualesDesdePuestaenMarcha.pdf</t>
        </is>
      </c>
      <c r="S736" s="6" t="inlineStr">
        <is>
          <t>EBY-MONTHLY-1994-2012</t>
        </is>
      </c>
      <c r="T736" s="6" t="inlineStr"/>
      <c r="U736" s="4" t="inlineStr">
        <is>
          <t>2026-09-10 23:00:00</t>
        </is>
      </c>
      <c r="V736" s="4" t="inlineStr">
        <is>
          <t>Energia mensual Yacyreta desde puesta en marcha.</t>
        </is>
      </c>
    </row>
    <row r="737">
      <c r="A737" s="6" t="inlineStr">
        <is>
          <t>R0000741</t>
        </is>
      </c>
      <c r="B737" s="6" t="inlineStr">
        <is>
          <t>2010-10-01</t>
        </is>
      </c>
      <c r="C737" s="6" t="inlineStr">
        <is>
          <t>2010-10-31</t>
        </is>
      </c>
      <c r="D737" s="6" t="inlineStr">
        <is>
          <t>month</t>
        </is>
      </c>
      <c r="E737" s="6" t="inlineStr">
        <is>
          <t>ENERGY_TO_ARGENTINA</t>
        </is>
      </c>
      <c r="F737" s="6" t="inlineStr">
        <is>
          <t>YACYRETA</t>
        </is>
      </c>
      <c r="G737" s="6" t="inlineStr">
        <is>
          <t>YACYRETA</t>
        </is>
      </c>
      <c r="H737" s="6" t="inlineStr">
        <is>
          <t>SADI</t>
        </is>
      </c>
      <c r="I737" s="8" t="n">
        <v>1461716</v>
      </c>
      <c r="J737" s="6" t="inlineStr">
        <is>
          <t>MWh</t>
        </is>
      </c>
      <c r="K737" s="8" t="n">
        <v>1461716</v>
      </c>
      <c r="L737" s="6" t="inlineStr">
        <is>
          <t>MWh</t>
        </is>
      </c>
      <c r="M737" s="6" t="inlineStr">
        <is>
          <t>EBY</t>
        </is>
      </c>
      <c r="N737" s="6" t="inlineStr">
        <is>
          <t>OFFICIAL_PRIMARY</t>
        </is>
      </c>
      <c r="O737" s="9" t="inlineStr">
        <is>
          <t>OFFICIAL_AGGREGATE</t>
        </is>
      </c>
      <c r="P737" s="8" t="n">
        <v>1</v>
      </c>
      <c r="Q737" s="8" t="n">
        <v>50</v>
      </c>
      <c r="R737" s="7" t="inlineStr">
        <is>
          <t>https://www.eby.gov.py/wp-content/uploads/2019/12/YacyretaEnergiasMensualesDesdePuestaenMarcha.pdf</t>
        </is>
      </c>
      <c r="S737" s="6" t="inlineStr">
        <is>
          <t>EBY-MONTHLY-1994-2012</t>
        </is>
      </c>
      <c r="T737" s="6" t="inlineStr"/>
      <c r="U737" s="4" t="inlineStr">
        <is>
          <t>2026-09-10 23:00:00</t>
        </is>
      </c>
      <c r="V737" s="4" t="inlineStr">
        <is>
          <t>Energia mensual entregada al SADI.</t>
        </is>
      </c>
    </row>
    <row r="738">
      <c r="A738" s="6" t="inlineStr">
        <is>
          <t>R0000742</t>
        </is>
      </c>
      <c r="B738" s="6" t="inlineStr">
        <is>
          <t>2010-10-01</t>
        </is>
      </c>
      <c r="C738" s="6" t="inlineStr">
        <is>
          <t>2010-10-31</t>
        </is>
      </c>
      <c r="D738" s="6" t="inlineStr">
        <is>
          <t>month</t>
        </is>
      </c>
      <c r="E738" s="6" t="inlineStr">
        <is>
          <t>ENERGY_TO_PY</t>
        </is>
      </c>
      <c r="F738" s="6" t="inlineStr">
        <is>
          <t>YACYRETA</t>
        </is>
      </c>
      <c r="G738" s="6" t="inlineStr">
        <is>
          <t>YACYRETA</t>
        </is>
      </c>
      <c r="H738" s="6" t="inlineStr">
        <is>
          <t>SINP</t>
        </is>
      </c>
      <c r="I738" s="8" t="n">
        <v>159760</v>
      </c>
      <c r="J738" s="6" t="inlineStr">
        <is>
          <t>MWh</t>
        </is>
      </c>
      <c r="K738" s="8" t="n">
        <v>159760</v>
      </c>
      <c r="L738" s="6" t="inlineStr">
        <is>
          <t>MWh</t>
        </is>
      </c>
      <c r="M738" s="6" t="inlineStr">
        <is>
          <t>EBY</t>
        </is>
      </c>
      <c r="N738" s="6" t="inlineStr">
        <is>
          <t>OFFICIAL_PRIMARY</t>
        </is>
      </c>
      <c r="O738" s="9" t="inlineStr">
        <is>
          <t>OFFICIAL_AGGREGATE</t>
        </is>
      </c>
      <c r="P738" s="8" t="n">
        <v>1</v>
      </c>
      <c r="Q738" s="8" t="n">
        <v>50</v>
      </c>
      <c r="R738" s="7" t="inlineStr">
        <is>
          <t>https://www.eby.gov.py/wp-content/uploads/2019/12/YacyretaEnergiasMensualesDesdePuestaenMarcha.pdf</t>
        </is>
      </c>
      <c r="S738" s="6" t="inlineStr">
        <is>
          <t>EBY-MONTHLY-1994-2012</t>
        </is>
      </c>
      <c r="T738" s="6" t="inlineStr"/>
      <c r="U738" s="4" t="inlineStr">
        <is>
          <t>2026-09-10 23:00:00</t>
        </is>
      </c>
      <c r="V738" s="4" t="inlineStr">
        <is>
          <t>Energia mensual entregada al SINP.</t>
        </is>
      </c>
    </row>
    <row r="739">
      <c r="A739" s="6" t="inlineStr">
        <is>
          <t>R0000743</t>
        </is>
      </c>
      <c r="B739" s="6" t="inlineStr">
        <is>
          <t>2010-11-01</t>
        </is>
      </c>
      <c r="C739" s="6" t="inlineStr">
        <is>
          <t>2010-11-30</t>
        </is>
      </c>
      <c r="D739" s="6" t="inlineStr">
        <is>
          <t>month</t>
        </is>
      </c>
      <c r="E739" s="6" t="inlineStr">
        <is>
          <t>YACYRETA_NET_ENERGY</t>
        </is>
      </c>
      <c r="F739" s="6" t="inlineStr">
        <is>
          <t>YACYRETA</t>
        </is>
      </c>
      <c r="G739" s="6" t="inlineStr">
        <is>
          <t>YACYRETA</t>
        </is>
      </c>
      <c r="H739" s="6" t="inlineStr">
        <is>
          <t>TOTAL</t>
        </is>
      </c>
      <c r="I739" s="8" t="n">
        <v>1530280</v>
      </c>
      <c r="J739" s="6" t="inlineStr">
        <is>
          <t>MWh</t>
        </is>
      </c>
      <c r="K739" s="8" t="n">
        <v>1530280</v>
      </c>
      <c r="L739" s="6" t="inlineStr">
        <is>
          <t>MWh</t>
        </is>
      </c>
      <c r="M739" s="6" t="inlineStr">
        <is>
          <t>EBY</t>
        </is>
      </c>
      <c r="N739" s="6" t="inlineStr">
        <is>
          <t>OFFICIAL_PRIMARY</t>
        </is>
      </c>
      <c r="O739" s="9" t="inlineStr">
        <is>
          <t>OFFICIAL_AGGREGATE</t>
        </is>
      </c>
      <c r="P739" s="8" t="n">
        <v>1</v>
      </c>
      <c r="Q739" s="8" t="n">
        <v>50</v>
      </c>
      <c r="R739" s="7" t="inlineStr">
        <is>
          <t>https://www.eby.gov.py/wp-content/uploads/2019/12/YacyretaEnergiasMensualesDesdePuestaenMarcha.pdf</t>
        </is>
      </c>
      <c r="S739" s="6" t="inlineStr">
        <is>
          <t>EBY-MONTHLY-1994-2012</t>
        </is>
      </c>
      <c r="T739" s="6" t="inlineStr"/>
      <c r="U739" s="4" t="inlineStr">
        <is>
          <t>2026-09-10 23:00:00</t>
        </is>
      </c>
      <c r="V739" s="4" t="inlineStr">
        <is>
          <t>Energia mensual Yacyreta desde puesta en marcha.</t>
        </is>
      </c>
    </row>
    <row r="740">
      <c r="A740" s="6" t="inlineStr">
        <is>
          <t>R0000744</t>
        </is>
      </c>
      <c r="B740" s="6" t="inlineStr">
        <is>
          <t>2010-11-01</t>
        </is>
      </c>
      <c r="C740" s="6" t="inlineStr">
        <is>
          <t>2010-11-30</t>
        </is>
      </c>
      <c r="D740" s="6" t="inlineStr">
        <is>
          <t>month</t>
        </is>
      </c>
      <c r="E740" s="6" t="inlineStr">
        <is>
          <t>ENERGY_TO_ARGENTINA</t>
        </is>
      </c>
      <c r="F740" s="6" t="inlineStr">
        <is>
          <t>YACYRETA</t>
        </is>
      </c>
      <c r="G740" s="6" t="inlineStr">
        <is>
          <t>YACYRETA</t>
        </is>
      </c>
      <c r="H740" s="6" t="inlineStr">
        <is>
          <t>SADI</t>
        </is>
      </c>
      <c r="I740" s="8" t="n">
        <v>1351964</v>
      </c>
      <c r="J740" s="6" t="inlineStr">
        <is>
          <t>MWh</t>
        </is>
      </c>
      <c r="K740" s="8" t="n">
        <v>1351964</v>
      </c>
      <c r="L740" s="6" t="inlineStr">
        <is>
          <t>MWh</t>
        </is>
      </c>
      <c r="M740" s="6" t="inlineStr">
        <is>
          <t>EBY</t>
        </is>
      </c>
      <c r="N740" s="6" t="inlineStr">
        <is>
          <t>OFFICIAL_PRIMARY</t>
        </is>
      </c>
      <c r="O740" s="9" t="inlineStr">
        <is>
          <t>OFFICIAL_AGGREGATE</t>
        </is>
      </c>
      <c r="P740" s="8" t="n">
        <v>1</v>
      </c>
      <c r="Q740" s="8" t="n">
        <v>50</v>
      </c>
      <c r="R740" s="7" t="inlineStr">
        <is>
          <t>https://www.eby.gov.py/wp-content/uploads/2019/12/YacyretaEnergiasMensualesDesdePuestaenMarcha.pdf</t>
        </is>
      </c>
      <c r="S740" s="6" t="inlineStr">
        <is>
          <t>EBY-MONTHLY-1994-2012</t>
        </is>
      </c>
      <c r="T740" s="6" t="inlineStr"/>
      <c r="U740" s="4" t="inlineStr">
        <is>
          <t>2026-09-10 23:00:00</t>
        </is>
      </c>
      <c r="V740" s="4" t="inlineStr">
        <is>
          <t>Energia mensual entregada al SADI.</t>
        </is>
      </c>
    </row>
    <row r="741">
      <c r="A741" s="6" t="inlineStr">
        <is>
          <t>R0000745</t>
        </is>
      </c>
      <c r="B741" s="6" t="inlineStr">
        <is>
          <t>2010-11-01</t>
        </is>
      </c>
      <c r="C741" s="6" t="inlineStr">
        <is>
          <t>2010-11-30</t>
        </is>
      </c>
      <c r="D741" s="6" t="inlineStr">
        <is>
          <t>month</t>
        </is>
      </c>
      <c r="E741" s="6" t="inlineStr">
        <is>
          <t>ENERGY_TO_PY</t>
        </is>
      </c>
      <c r="F741" s="6" t="inlineStr">
        <is>
          <t>YACYRETA</t>
        </is>
      </c>
      <c r="G741" s="6" t="inlineStr">
        <is>
          <t>YACYRETA</t>
        </is>
      </c>
      <c r="H741" s="6" t="inlineStr">
        <is>
          <t>SINP</t>
        </is>
      </c>
      <c r="I741" s="8" t="n">
        <v>178316</v>
      </c>
      <c r="J741" s="6" t="inlineStr">
        <is>
          <t>MWh</t>
        </is>
      </c>
      <c r="K741" s="8" t="n">
        <v>178316</v>
      </c>
      <c r="L741" s="6" t="inlineStr">
        <is>
          <t>MWh</t>
        </is>
      </c>
      <c r="M741" s="6" t="inlineStr">
        <is>
          <t>EBY</t>
        </is>
      </c>
      <c r="N741" s="6" t="inlineStr">
        <is>
          <t>OFFICIAL_PRIMARY</t>
        </is>
      </c>
      <c r="O741" s="9" t="inlineStr">
        <is>
          <t>OFFICIAL_AGGREGATE</t>
        </is>
      </c>
      <c r="P741" s="8" t="n">
        <v>1</v>
      </c>
      <c r="Q741" s="8" t="n">
        <v>50</v>
      </c>
      <c r="R741" s="7" t="inlineStr">
        <is>
          <t>https://www.eby.gov.py/wp-content/uploads/2019/12/YacyretaEnergiasMensualesDesdePuestaenMarcha.pdf</t>
        </is>
      </c>
      <c r="S741" s="6" t="inlineStr">
        <is>
          <t>EBY-MONTHLY-1994-2012</t>
        </is>
      </c>
      <c r="T741" s="6" t="inlineStr"/>
      <c r="U741" s="4" t="inlineStr">
        <is>
          <t>2026-09-10 23:00:00</t>
        </is>
      </c>
      <c r="V741" s="4" t="inlineStr">
        <is>
          <t>Energia mensual entregada al SINP.</t>
        </is>
      </c>
    </row>
    <row r="742">
      <c r="A742" s="6" t="inlineStr">
        <is>
          <t>R0000746</t>
        </is>
      </c>
      <c r="B742" s="6" t="inlineStr">
        <is>
          <t>2010-12-01</t>
        </is>
      </c>
      <c r="C742" s="6" t="inlineStr">
        <is>
          <t>2010-12-31</t>
        </is>
      </c>
      <c r="D742" s="6" t="inlineStr">
        <is>
          <t>month</t>
        </is>
      </c>
      <c r="E742" s="6" t="inlineStr">
        <is>
          <t>YACYRETA_NET_ENERGY</t>
        </is>
      </c>
      <c r="F742" s="6" t="inlineStr">
        <is>
          <t>YACYRETA</t>
        </is>
      </c>
      <c r="G742" s="6" t="inlineStr">
        <is>
          <t>YACYRETA</t>
        </is>
      </c>
      <c r="H742" s="6" t="inlineStr">
        <is>
          <t>TOTAL</t>
        </is>
      </c>
      <c r="I742" s="8" t="n">
        <v>1820630</v>
      </c>
      <c r="J742" s="6" t="inlineStr">
        <is>
          <t>MWh</t>
        </is>
      </c>
      <c r="K742" s="8" t="n">
        <v>1820630</v>
      </c>
      <c r="L742" s="6" t="inlineStr">
        <is>
          <t>MWh</t>
        </is>
      </c>
      <c r="M742" s="6" t="inlineStr">
        <is>
          <t>EBY</t>
        </is>
      </c>
      <c r="N742" s="6" t="inlineStr">
        <is>
          <t>OFFICIAL_PRIMARY</t>
        </is>
      </c>
      <c r="O742" s="9" t="inlineStr">
        <is>
          <t>OFFICIAL_AGGREGATE</t>
        </is>
      </c>
      <c r="P742" s="8" t="n">
        <v>1</v>
      </c>
      <c r="Q742" s="8" t="n">
        <v>50</v>
      </c>
      <c r="R742" s="7" t="inlineStr">
        <is>
          <t>https://www.eby.gov.py/wp-content/uploads/2019/12/YacyretaEnergiasMensualesDesdePuestaenMarcha.pdf</t>
        </is>
      </c>
      <c r="S742" s="6" t="inlineStr">
        <is>
          <t>EBY-MONTHLY-1994-2012</t>
        </is>
      </c>
      <c r="T742" s="6" t="inlineStr"/>
      <c r="U742" s="4" t="inlineStr">
        <is>
          <t>2026-09-10 23:00:00</t>
        </is>
      </c>
      <c r="V742" s="4" t="inlineStr">
        <is>
          <t>Energia mensual Yacyreta desde puesta en marcha.</t>
        </is>
      </c>
    </row>
    <row r="743">
      <c r="A743" s="6" t="inlineStr">
        <is>
          <t>R0000747</t>
        </is>
      </c>
      <c r="B743" s="6" t="inlineStr">
        <is>
          <t>2010-12-01</t>
        </is>
      </c>
      <c r="C743" s="6" t="inlineStr">
        <is>
          <t>2010-12-31</t>
        </is>
      </c>
      <c r="D743" s="6" t="inlineStr">
        <is>
          <t>month</t>
        </is>
      </c>
      <c r="E743" s="6" t="inlineStr">
        <is>
          <t>ENERGY_TO_ARGENTINA</t>
        </is>
      </c>
      <c r="F743" s="6" t="inlineStr">
        <is>
          <t>YACYRETA</t>
        </is>
      </c>
      <c r="G743" s="6" t="inlineStr">
        <is>
          <t>YACYRETA</t>
        </is>
      </c>
      <c r="H743" s="6" t="inlineStr">
        <is>
          <t>SADI</t>
        </is>
      </c>
      <c r="I743" s="8" t="n">
        <v>1613854</v>
      </c>
      <c r="J743" s="6" t="inlineStr">
        <is>
          <t>MWh</t>
        </is>
      </c>
      <c r="K743" s="8" t="n">
        <v>1613854</v>
      </c>
      <c r="L743" s="6" t="inlineStr">
        <is>
          <t>MWh</t>
        </is>
      </c>
      <c r="M743" s="6" t="inlineStr">
        <is>
          <t>EBY</t>
        </is>
      </c>
      <c r="N743" s="6" t="inlineStr">
        <is>
          <t>OFFICIAL_PRIMARY</t>
        </is>
      </c>
      <c r="O743" s="9" t="inlineStr">
        <is>
          <t>OFFICIAL_AGGREGATE</t>
        </is>
      </c>
      <c r="P743" s="8" t="n">
        <v>1</v>
      </c>
      <c r="Q743" s="8" t="n">
        <v>50</v>
      </c>
      <c r="R743" s="7" t="inlineStr">
        <is>
          <t>https://www.eby.gov.py/wp-content/uploads/2019/12/YacyretaEnergiasMensualesDesdePuestaenMarcha.pdf</t>
        </is>
      </c>
      <c r="S743" s="6" t="inlineStr">
        <is>
          <t>EBY-MONTHLY-1994-2012</t>
        </is>
      </c>
      <c r="T743" s="6" t="inlineStr"/>
      <c r="U743" s="4" t="inlineStr">
        <is>
          <t>2026-09-10 23:00:00</t>
        </is>
      </c>
      <c r="V743" s="4" t="inlineStr">
        <is>
          <t>Energia mensual entregada al SADI.</t>
        </is>
      </c>
    </row>
    <row r="744">
      <c r="A744" s="6" t="inlineStr">
        <is>
          <t>R0000748</t>
        </is>
      </c>
      <c r="B744" s="6" t="inlineStr">
        <is>
          <t>2010-12-01</t>
        </is>
      </c>
      <c r="C744" s="6" t="inlineStr">
        <is>
          <t>2010-12-31</t>
        </is>
      </c>
      <c r="D744" s="6" t="inlineStr">
        <is>
          <t>month</t>
        </is>
      </c>
      <c r="E744" s="6" t="inlineStr">
        <is>
          <t>ENERGY_TO_PY</t>
        </is>
      </c>
      <c r="F744" s="6" t="inlineStr">
        <is>
          <t>YACYRETA</t>
        </is>
      </c>
      <c r="G744" s="6" t="inlineStr">
        <is>
          <t>YACYRETA</t>
        </is>
      </c>
      <c r="H744" s="6" t="inlineStr">
        <is>
          <t>SINP</t>
        </is>
      </c>
      <c r="I744" s="8" t="n">
        <v>206776</v>
      </c>
      <c r="J744" s="6" t="inlineStr">
        <is>
          <t>MWh</t>
        </is>
      </c>
      <c r="K744" s="8" t="n">
        <v>206776</v>
      </c>
      <c r="L744" s="6" t="inlineStr">
        <is>
          <t>MWh</t>
        </is>
      </c>
      <c r="M744" s="6" t="inlineStr">
        <is>
          <t>EBY</t>
        </is>
      </c>
      <c r="N744" s="6" t="inlineStr">
        <is>
          <t>OFFICIAL_PRIMARY</t>
        </is>
      </c>
      <c r="O744" s="9" t="inlineStr">
        <is>
          <t>OFFICIAL_AGGREGATE</t>
        </is>
      </c>
      <c r="P744" s="8" t="n">
        <v>1</v>
      </c>
      <c r="Q744" s="8" t="n">
        <v>50</v>
      </c>
      <c r="R744" s="7" t="inlineStr">
        <is>
          <t>https://www.eby.gov.py/wp-content/uploads/2019/12/YacyretaEnergiasMensualesDesdePuestaenMarcha.pdf</t>
        </is>
      </c>
      <c r="S744" s="6" t="inlineStr">
        <is>
          <t>EBY-MONTHLY-1994-2012</t>
        </is>
      </c>
      <c r="T744" s="6" t="inlineStr"/>
      <c r="U744" s="4" t="inlineStr">
        <is>
          <t>2026-09-10 23:00:00</t>
        </is>
      </c>
      <c r="V744" s="4" t="inlineStr">
        <is>
          <t>Energia mensual entregada al SINP.</t>
        </is>
      </c>
    </row>
    <row r="745">
      <c r="A745" s="6" t="inlineStr">
        <is>
          <t>R0000749</t>
        </is>
      </c>
      <c r="B745" s="6" t="inlineStr">
        <is>
          <t>2011-01-01</t>
        </is>
      </c>
      <c r="C745" s="6" t="inlineStr">
        <is>
          <t>2011-01-31</t>
        </is>
      </c>
      <c r="D745" s="6" t="inlineStr">
        <is>
          <t>month</t>
        </is>
      </c>
      <c r="E745" s="6" t="inlineStr">
        <is>
          <t>YACYRETA_NET_ENERGY</t>
        </is>
      </c>
      <c r="F745" s="6" t="inlineStr">
        <is>
          <t>YACYRETA</t>
        </is>
      </c>
      <c r="G745" s="6" t="inlineStr">
        <is>
          <t>YACYRETA</t>
        </is>
      </c>
      <c r="H745" s="6" t="inlineStr">
        <is>
          <t>TOTAL</t>
        </is>
      </c>
      <c r="I745" s="8" t="n">
        <v>1855668</v>
      </c>
      <c r="J745" s="6" t="inlineStr">
        <is>
          <t>MWh</t>
        </is>
      </c>
      <c r="K745" s="8" t="n">
        <v>1855668</v>
      </c>
      <c r="L745" s="6" t="inlineStr">
        <is>
          <t>MWh</t>
        </is>
      </c>
      <c r="M745" s="6" t="inlineStr">
        <is>
          <t>EBY</t>
        </is>
      </c>
      <c r="N745" s="6" t="inlineStr">
        <is>
          <t>OFFICIAL_PRIMARY</t>
        </is>
      </c>
      <c r="O745" s="9" t="inlineStr">
        <is>
          <t>OFFICIAL_AGGREGATE</t>
        </is>
      </c>
      <c r="P745" s="8" t="n">
        <v>1</v>
      </c>
      <c r="Q745" s="8" t="n">
        <v>50</v>
      </c>
      <c r="R745" s="7" t="inlineStr">
        <is>
          <t>https://www.eby.gov.py/wp-content/uploads/2019/12/YacyretaEnergiasMensualesDesdePuestaenMarcha.pdf</t>
        </is>
      </c>
      <c r="S745" s="6" t="inlineStr">
        <is>
          <t>EBY-MONTHLY-1994-2012</t>
        </is>
      </c>
      <c r="T745" s="6" t="inlineStr"/>
      <c r="U745" s="4" t="inlineStr">
        <is>
          <t>2026-09-10 23:00:00</t>
        </is>
      </c>
      <c r="V745" s="4" t="inlineStr">
        <is>
          <t>Energia mensual Yacyreta desde puesta en marcha.</t>
        </is>
      </c>
    </row>
    <row r="746">
      <c r="A746" s="6" t="inlineStr">
        <is>
          <t>R0000750</t>
        </is>
      </c>
      <c r="B746" s="6" t="inlineStr">
        <is>
          <t>2011-01-01</t>
        </is>
      </c>
      <c r="C746" s="6" t="inlineStr">
        <is>
          <t>2011-01-31</t>
        </is>
      </c>
      <c r="D746" s="6" t="inlineStr">
        <is>
          <t>month</t>
        </is>
      </c>
      <c r="E746" s="6" t="inlineStr">
        <is>
          <t>ENERGY_TO_ARGENTINA</t>
        </is>
      </c>
      <c r="F746" s="6" t="inlineStr">
        <is>
          <t>YACYRETA</t>
        </is>
      </c>
      <c r="G746" s="6" t="inlineStr">
        <is>
          <t>YACYRETA</t>
        </is>
      </c>
      <c r="H746" s="6" t="inlineStr">
        <is>
          <t>SADI</t>
        </is>
      </c>
      <c r="I746" s="8" t="n">
        <v>1648188</v>
      </c>
      <c r="J746" s="6" t="inlineStr">
        <is>
          <t>MWh</t>
        </is>
      </c>
      <c r="K746" s="8" t="n">
        <v>1648188</v>
      </c>
      <c r="L746" s="6" t="inlineStr">
        <is>
          <t>MWh</t>
        </is>
      </c>
      <c r="M746" s="6" t="inlineStr">
        <is>
          <t>EBY</t>
        </is>
      </c>
      <c r="N746" s="6" t="inlineStr">
        <is>
          <t>OFFICIAL_PRIMARY</t>
        </is>
      </c>
      <c r="O746" s="9" t="inlineStr">
        <is>
          <t>OFFICIAL_AGGREGATE</t>
        </is>
      </c>
      <c r="P746" s="8" t="n">
        <v>1</v>
      </c>
      <c r="Q746" s="8" t="n">
        <v>50</v>
      </c>
      <c r="R746" s="7" t="inlineStr">
        <is>
          <t>https://www.eby.gov.py/wp-content/uploads/2019/12/YacyretaEnergiasMensualesDesdePuestaenMarcha.pdf</t>
        </is>
      </c>
      <c r="S746" s="6" t="inlineStr">
        <is>
          <t>EBY-MONTHLY-1994-2012</t>
        </is>
      </c>
      <c r="T746" s="6" t="inlineStr"/>
      <c r="U746" s="4" t="inlineStr">
        <is>
          <t>2026-09-10 23:00:00</t>
        </is>
      </c>
      <c r="V746" s="4" t="inlineStr">
        <is>
          <t>Energia mensual entregada al SADI.</t>
        </is>
      </c>
    </row>
    <row r="747">
      <c r="A747" s="6" t="inlineStr">
        <is>
          <t>R0000751</t>
        </is>
      </c>
      <c r="B747" s="6" t="inlineStr">
        <is>
          <t>2011-01-01</t>
        </is>
      </c>
      <c r="C747" s="6" t="inlineStr">
        <is>
          <t>2011-01-31</t>
        </is>
      </c>
      <c r="D747" s="6" t="inlineStr">
        <is>
          <t>month</t>
        </is>
      </c>
      <c r="E747" s="6" t="inlineStr">
        <is>
          <t>ENERGY_TO_PY</t>
        </is>
      </c>
      <c r="F747" s="6" t="inlineStr">
        <is>
          <t>YACYRETA</t>
        </is>
      </c>
      <c r="G747" s="6" t="inlineStr">
        <is>
          <t>YACYRETA</t>
        </is>
      </c>
      <c r="H747" s="6" t="inlineStr">
        <is>
          <t>SINP</t>
        </is>
      </c>
      <c r="I747" s="8" t="n">
        <v>207480</v>
      </c>
      <c r="J747" s="6" t="inlineStr">
        <is>
          <t>MWh</t>
        </is>
      </c>
      <c r="K747" s="8" t="n">
        <v>207480</v>
      </c>
      <c r="L747" s="6" t="inlineStr">
        <is>
          <t>MWh</t>
        </is>
      </c>
      <c r="M747" s="6" t="inlineStr">
        <is>
          <t>EBY</t>
        </is>
      </c>
      <c r="N747" s="6" t="inlineStr">
        <is>
          <t>OFFICIAL_PRIMARY</t>
        </is>
      </c>
      <c r="O747" s="9" t="inlineStr">
        <is>
          <t>OFFICIAL_AGGREGATE</t>
        </is>
      </c>
      <c r="P747" s="8" t="n">
        <v>1</v>
      </c>
      <c r="Q747" s="8" t="n">
        <v>50</v>
      </c>
      <c r="R747" s="7" t="inlineStr">
        <is>
          <t>https://www.eby.gov.py/wp-content/uploads/2019/12/YacyretaEnergiasMensualesDesdePuestaenMarcha.pdf</t>
        </is>
      </c>
      <c r="S747" s="6" t="inlineStr">
        <is>
          <t>EBY-MONTHLY-1994-2012</t>
        </is>
      </c>
      <c r="T747" s="6" t="inlineStr"/>
      <c r="U747" s="4" t="inlineStr">
        <is>
          <t>2026-09-10 23:00:00</t>
        </is>
      </c>
      <c r="V747" s="4" t="inlineStr">
        <is>
          <t>Energia mensual entregada al SINP.</t>
        </is>
      </c>
    </row>
    <row r="748">
      <c r="A748" s="6" t="inlineStr">
        <is>
          <t>R0000752</t>
        </is>
      </c>
      <c r="B748" s="6" t="inlineStr">
        <is>
          <t>2011-02-01</t>
        </is>
      </c>
      <c r="C748" s="6" t="inlineStr">
        <is>
          <t>2011-02-28</t>
        </is>
      </c>
      <c r="D748" s="6" t="inlineStr">
        <is>
          <t>month</t>
        </is>
      </c>
      <c r="E748" s="6" t="inlineStr">
        <is>
          <t>YACYRETA_NET_ENERGY</t>
        </is>
      </c>
      <c r="F748" s="6" t="inlineStr">
        <is>
          <t>YACYRETA</t>
        </is>
      </c>
      <c r="G748" s="6" t="inlineStr">
        <is>
          <t>YACYRETA</t>
        </is>
      </c>
      <c r="H748" s="6" t="inlineStr">
        <is>
          <t>TOTAL</t>
        </is>
      </c>
      <c r="I748" s="8" t="n">
        <v>1787512</v>
      </c>
      <c r="J748" s="6" t="inlineStr">
        <is>
          <t>MWh</t>
        </is>
      </c>
      <c r="K748" s="8" t="n">
        <v>1787512</v>
      </c>
      <c r="L748" s="6" t="inlineStr">
        <is>
          <t>MWh</t>
        </is>
      </c>
      <c r="M748" s="6" t="inlineStr">
        <is>
          <t>EBY</t>
        </is>
      </c>
      <c r="N748" s="6" t="inlineStr">
        <is>
          <t>OFFICIAL_PRIMARY</t>
        </is>
      </c>
      <c r="O748" s="9" t="inlineStr">
        <is>
          <t>OFFICIAL_AGGREGATE</t>
        </is>
      </c>
      <c r="P748" s="8" t="n">
        <v>1</v>
      </c>
      <c r="Q748" s="8" t="n">
        <v>50</v>
      </c>
      <c r="R748" s="7" t="inlineStr">
        <is>
          <t>https://www.eby.gov.py/wp-content/uploads/2019/12/YacyretaEnergiasMensualesDesdePuestaenMarcha.pdf</t>
        </is>
      </c>
      <c r="S748" s="6" t="inlineStr">
        <is>
          <t>EBY-MONTHLY-1994-2012</t>
        </is>
      </c>
      <c r="T748" s="6" t="inlineStr"/>
      <c r="U748" s="4" t="inlineStr">
        <is>
          <t>2026-09-10 23:00:00</t>
        </is>
      </c>
      <c r="V748" s="4" t="inlineStr">
        <is>
          <t>Energia mensual Yacyreta desde puesta en marcha.</t>
        </is>
      </c>
    </row>
    <row r="749">
      <c r="A749" s="6" t="inlineStr">
        <is>
          <t>R0000753</t>
        </is>
      </c>
      <c r="B749" s="6" t="inlineStr">
        <is>
          <t>2011-02-01</t>
        </is>
      </c>
      <c r="C749" s="6" t="inlineStr">
        <is>
          <t>2011-02-28</t>
        </is>
      </c>
      <c r="D749" s="6" t="inlineStr">
        <is>
          <t>month</t>
        </is>
      </c>
      <c r="E749" s="6" t="inlineStr">
        <is>
          <t>ENERGY_TO_ARGENTINA</t>
        </is>
      </c>
      <c r="F749" s="6" t="inlineStr">
        <is>
          <t>YACYRETA</t>
        </is>
      </c>
      <c r="G749" s="6" t="inlineStr">
        <is>
          <t>YACYRETA</t>
        </is>
      </c>
      <c r="H749" s="6" t="inlineStr">
        <is>
          <t>SADI</t>
        </is>
      </c>
      <c r="I749" s="8" t="n">
        <v>1604916</v>
      </c>
      <c r="J749" s="6" t="inlineStr">
        <is>
          <t>MWh</t>
        </is>
      </c>
      <c r="K749" s="8" t="n">
        <v>1604916</v>
      </c>
      <c r="L749" s="6" t="inlineStr">
        <is>
          <t>MWh</t>
        </is>
      </c>
      <c r="M749" s="6" t="inlineStr">
        <is>
          <t>EBY</t>
        </is>
      </c>
      <c r="N749" s="6" t="inlineStr">
        <is>
          <t>OFFICIAL_PRIMARY</t>
        </is>
      </c>
      <c r="O749" s="9" t="inlineStr">
        <is>
          <t>OFFICIAL_AGGREGATE</t>
        </is>
      </c>
      <c r="P749" s="8" t="n">
        <v>1</v>
      </c>
      <c r="Q749" s="8" t="n">
        <v>50</v>
      </c>
      <c r="R749" s="7" t="inlineStr">
        <is>
          <t>https://www.eby.gov.py/wp-content/uploads/2019/12/YacyretaEnergiasMensualesDesdePuestaenMarcha.pdf</t>
        </is>
      </c>
      <c r="S749" s="6" t="inlineStr">
        <is>
          <t>EBY-MONTHLY-1994-2012</t>
        </is>
      </c>
      <c r="T749" s="6" t="inlineStr"/>
      <c r="U749" s="4" t="inlineStr">
        <is>
          <t>2026-09-10 23:00:00</t>
        </is>
      </c>
      <c r="V749" s="4" t="inlineStr">
        <is>
          <t>Energia mensual entregada al SADI.</t>
        </is>
      </c>
    </row>
    <row r="750">
      <c r="A750" s="6" t="inlineStr">
        <is>
          <t>R0000754</t>
        </is>
      </c>
      <c r="B750" s="6" t="inlineStr">
        <is>
          <t>2011-02-01</t>
        </is>
      </c>
      <c r="C750" s="6" t="inlineStr">
        <is>
          <t>2011-02-28</t>
        </is>
      </c>
      <c r="D750" s="6" t="inlineStr">
        <is>
          <t>month</t>
        </is>
      </c>
      <c r="E750" s="6" t="inlineStr">
        <is>
          <t>ENERGY_TO_PY</t>
        </is>
      </c>
      <c r="F750" s="6" t="inlineStr">
        <is>
          <t>YACYRETA</t>
        </is>
      </c>
      <c r="G750" s="6" t="inlineStr">
        <is>
          <t>YACYRETA</t>
        </is>
      </c>
      <c r="H750" s="6" t="inlineStr">
        <is>
          <t>SINP</t>
        </is>
      </c>
      <c r="I750" s="8" t="n">
        <v>182596</v>
      </c>
      <c r="J750" s="6" t="inlineStr">
        <is>
          <t>MWh</t>
        </is>
      </c>
      <c r="K750" s="8" t="n">
        <v>182596</v>
      </c>
      <c r="L750" s="6" t="inlineStr">
        <is>
          <t>MWh</t>
        </is>
      </c>
      <c r="M750" s="6" t="inlineStr">
        <is>
          <t>EBY</t>
        </is>
      </c>
      <c r="N750" s="6" t="inlineStr">
        <is>
          <t>OFFICIAL_PRIMARY</t>
        </is>
      </c>
      <c r="O750" s="9" t="inlineStr">
        <is>
          <t>OFFICIAL_AGGREGATE</t>
        </is>
      </c>
      <c r="P750" s="8" t="n">
        <v>1</v>
      </c>
      <c r="Q750" s="8" t="n">
        <v>50</v>
      </c>
      <c r="R750" s="7" t="inlineStr">
        <is>
          <t>https://www.eby.gov.py/wp-content/uploads/2019/12/YacyretaEnergiasMensualesDesdePuestaenMarcha.pdf</t>
        </is>
      </c>
      <c r="S750" s="6" t="inlineStr">
        <is>
          <t>EBY-MONTHLY-1994-2012</t>
        </is>
      </c>
      <c r="T750" s="6" t="inlineStr"/>
      <c r="U750" s="4" t="inlineStr">
        <is>
          <t>2026-09-10 23:00:00</t>
        </is>
      </c>
      <c r="V750" s="4" t="inlineStr">
        <is>
          <t>Energia mensual entregada al SINP.</t>
        </is>
      </c>
    </row>
    <row r="751">
      <c r="A751" s="6" t="inlineStr">
        <is>
          <t>R0000755</t>
        </is>
      </c>
      <c r="B751" s="6" t="inlineStr">
        <is>
          <t>2011-03-01</t>
        </is>
      </c>
      <c r="C751" s="6" t="inlineStr">
        <is>
          <t>2011-03-31</t>
        </is>
      </c>
      <c r="D751" s="6" t="inlineStr">
        <is>
          <t>month</t>
        </is>
      </c>
      <c r="E751" s="6" t="inlineStr">
        <is>
          <t>YACYRETA_NET_ENERGY</t>
        </is>
      </c>
      <c r="F751" s="6" t="inlineStr">
        <is>
          <t>YACYRETA</t>
        </is>
      </c>
      <c r="G751" s="6" t="inlineStr">
        <is>
          <t>YACYRETA</t>
        </is>
      </c>
      <c r="H751" s="6" t="inlineStr">
        <is>
          <t>TOTAL</t>
        </is>
      </c>
      <c r="I751" s="8" t="n">
        <v>1837484</v>
      </c>
      <c r="J751" s="6" t="inlineStr">
        <is>
          <t>MWh</t>
        </is>
      </c>
      <c r="K751" s="8" t="n">
        <v>1837484</v>
      </c>
      <c r="L751" s="6" t="inlineStr">
        <is>
          <t>MWh</t>
        </is>
      </c>
      <c r="M751" s="6" t="inlineStr">
        <is>
          <t>EBY</t>
        </is>
      </c>
      <c r="N751" s="6" t="inlineStr">
        <is>
          <t>OFFICIAL_PRIMARY</t>
        </is>
      </c>
      <c r="O751" s="9" t="inlineStr">
        <is>
          <t>OFFICIAL_AGGREGATE</t>
        </is>
      </c>
      <c r="P751" s="8" t="n">
        <v>1</v>
      </c>
      <c r="Q751" s="8" t="n">
        <v>50</v>
      </c>
      <c r="R751" s="7" t="inlineStr">
        <is>
          <t>https://www.eby.gov.py/wp-content/uploads/2019/12/YacyretaEnergiasMensualesDesdePuestaenMarcha.pdf</t>
        </is>
      </c>
      <c r="S751" s="6" t="inlineStr">
        <is>
          <t>EBY-MONTHLY-1994-2012</t>
        </is>
      </c>
      <c r="T751" s="6" t="inlineStr"/>
      <c r="U751" s="4" t="inlineStr">
        <is>
          <t>2026-09-10 23:00:00</t>
        </is>
      </c>
      <c r="V751" s="4" t="inlineStr">
        <is>
          <t>Energia mensual Yacyreta desde puesta en marcha.</t>
        </is>
      </c>
    </row>
    <row r="752">
      <c r="A752" s="6" t="inlineStr">
        <is>
          <t>R0000756</t>
        </is>
      </c>
      <c r="B752" s="6" t="inlineStr">
        <is>
          <t>2011-03-01</t>
        </is>
      </c>
      <c r="C752" s="6" t="inlineStr">
        <is>
          <t>2011-03-31</t>
        </is>
      </c>
      <c r="D752" s="6" t="inlineStr">
        <is>
          <t>month</t>
        </is>
      </c>
      <c r="E752" s="6" t="inlineStr">
        <is>
          <t>ENERGY_TO_ARGENTINA</t>
        </is>
      </c>
      <c r="F752" s="6" t="inlineStr">
        <is>
          <t>YACYRETA</t>
        </is>
      </c>
      <c r="G752" s="6" t="inlineStr">
        <is>
          <t>YACYRETA</t>
        </is>
      </c>
      <c r="H752" s="6" t="inlineStr">
        <is>
          <t>SADI</t>
        </is>
      </c>
      <c r="I752" s="8" t="n">
        <v>1637610</v>
      </c>
      <c r="J752" s="6" t="inlineStr">
        <is>
          <t>MWh</t>
        </is>
      </c>
      <c r="K752" s="8" t="n">
        <v>1637610</v>
      </c>
      <c r="L752" s="6" t="inlineStr">
        <is>
          <t>MWh</t>
        </is>
      </c>
      <c r="M752" s="6" t="inlineStr">
        <is>
          <t>EBY</t>
        </is>
      </c>
      <c r="N752" s="6" t="inlineStr">
        <is>
          <t>OFFICIAL_PRIMARY</t>
        </is>
      </c>
      <c r="O752" s="9" t="inlineStr">
        <is>
          <t>OFFICIAL_AGGREGATE</t>
        </is>
      </c>
      <c r="P752" s="8" t="n">
        <v>1</v>
      </c>
      <c r="Q752" s="8" t="n">
        <v>50</v>
      </c>
      <c r="R752" s="7" t="inlineStr">
        <is>
          <t>https://www.eby.gov.py/wp-content/uploads/2019/12/YacyretaEnergiasMensualesDesdePuestaenMarcha.pdf</t>
        </is>
      </c>
      <c r="S752" s="6" t="inlineStr">
        <is>
          <t>EBY-MONTHLY-1994-2012</t>
        </is>
      </c>
      <c r="T752" s="6" t="inlineStr"/>
      <c r="U752" s="4" t="inlineStr">
        <is>
          <t>2026-09-10 23:00:00</t>
        </is>
      </c>
      <c r="V752" s="4" t="inlineStr">
        <is>
          <t>Energia mensual entregada al SADI.</t>
        </is>
      </c>
    </row>
    <row r="753">
      <c r="A753" s="6" t="inlineStr">
        <is>
          <t>R0000757</t>
        </is>
      </c>
      <c r="B753" s="6" t="inlineStr">
        <is>
          <t>2011-03-01</t>
        </is>
      </c>
      <c r="C753" s="6" t="inlineStr">
        <is>
          <t>2011-03-31</t>
        </is>
      </c>
      <c r="D753" s="6" t="inlineStr">
        <is>
          <t>month</t>
        </is>
      </c>
      <c r="E753" s="6" t="inlineStr">
        <is>
          <t>ENERGY_TO_PY</t>
        </is>
      </c>
      <c r="F753" s="6" t="inlineStr">
        <is>
          <t>YACYRETA</t>
        </is>
      </c>
      <c r="G753" s="6" t="inlineStr">
        <is>
          <t>YACYRETA</t>
        </is>
      </c>
      <c r="H753" s="6" t="inlineStr">
        <is>
          <t>SINP</t>
        </is>
      </c>
      <c r="I753" s="8" t="n">
        <v>199874</v>
      </c>
      <c r="J753" s="6" t="inlineStr">
        <is>
          <t>MWh</t>
        </is>
      </c>
      <c r="K753" s="8" t="n">
        <v>199874</v>
      </c>
      <c r="L753" s="6" t="inlineStr">
        <is>
          <t>MWh</t>
        </is>
      </c>
      <c r="M753" s="6" t="inlineStr">
        <is>
          <t>EBY</t>
        </is>
      </c>
      <c r="N753" s="6" t="inlineStr">
        <is>
          <t>OFFICIAL_PRIMARY</t>
        </is>
      </c>
      <c r="O753" s="9" t="inlineStr">
        <is>
          <t>OFFICIAL_AGGREGATE</t>
        </is>
      </c>
      <c r="P753" s="8" t="n">
        <v>1</v>
      </c>
      <c r="Q753" s="8" t="n">
        <v>50</v>
      </c>
      <c r="R753" s="7" t="inlineStr">
        <is>
          <t>https://www.eby.gov.py/wp-content/uploads/2019/12/YacyretaEnergiasMensualesDesdePuestaenMarcha.pdf</t>
        </is>
      </c>
      <c r="S753" s="6" t="inlineStr">
        <is>
          <t>EBY-MONTHLY-1994-2012</t>
        </is>
      </c>
      <c r="T753" s="6" t="inlineStr"/>
      <c r="U753" s="4" t="inlineStr">
        <is>
          <t>2026-09-10 23:00:00</t>
        </is>
      </c>
      <c r="V753" s="4" t="inlineStr">
        <is>
          <t>Energia mensual entregada al SINP.</t>
        </is>
      </c>
    </row>
    <row r="754">
      <c r="A754" s="6" t="inlineStr">
        <is>
          <t>R0000758</t>
        </is>
      </c>
      <c r="B754" s="6" t="inlineStr">
        <is>
          <t>2011-04-01</t>
        </is>
      </c>
      <c r="C754" s="6" t="inlineStr">
        <is>
          <t>2011-04-30</t>
        </is>
      </c>
      <c r="D754" s="6" t="inlineStr">
        <is>
          <t>month</t>
        </is>
      </c>
      <c r="E754" s="6" t="inlineStr">
        <is>
          <t>YACYRETA_NET_ENERGY</t>
        </is>
      </c>
      <c r="F754" s="6" t="inlineStr">
        <is>
          <t>YACYRETA</t>
        </is>
      </c>
      <c r="G754" s="6" t="inlineStr">
        <is>
          <t>YACYRETA</t>
        </is>
      </c>
      <c r="H754" s="6" t="inlineStr">
        <is>
          <t>TOTAL</t>
        </is>
      </c>
      <c r="I754" s="8" t="n">
        <v>1825153</v>
      </c>
      <c r="J754" s="6" t="inlineStr">
        <is>
          <t>MWh</t>
        </is>
      </c>
      <c r="K754" s="8" t="n">
        <v>1825153</v>
      </c>
      <c r="L754" s="6" t="inlineStr">
        <is>
          <t>MWh</t>
        </is>
      </c>
      <c r="M754" s="6" t="inlineStr">
        <is>
          <t>EBY</t>
        </is>
      </c>
      <c r="N754" s="6" t="inlineStr">
        <is>
          <t>OFFICIAL_PRIMARY</t>
        </is>
      </c>
      <c r="O754" s="9" t="inlineStr">
        <is>
          <t>OFFICIAL_AGGREGATE</t>
        </is>
      </c>
      <c r="P754" s="8" t="n">
        <v>1</v>
      </c>
      <c r="Q754" s="8" t="n">
        <v>50</v>
      </c>
      <c r="R754" s="7" t="inlineStr">
        <is>
          <t>https://www.eby.gov.py/wp-content/uploads/2019/12/YacyretaEnergiasMensualesDesdePuestaenMarcha.pdf</t>
        </is>
      </c>
      <c r="S754" s="6" t="inlineStr">
        <is>
          <t>EBY-MONTHLY-1994-2012</t>
        </is>
      </c>
      <c r="T754" s="6" t="inlineStr"/>
      <c r="U754" s="4" t="inlineStr">
        <is>
          <t>2026-09-10 23:00:00</t>
        </is>
      </c>
      <c r="V754" s="4" t="inlineStr">
        <is>
          <t>Energia mensual Yacyreta desde puesta en marcha.</t>
        </is>
      </c>
    </row>
    <row r="755">
      <c r="A755" s="6" t="inlineStr">
        <is>
          <t>R0000759</t>
        </is>
      </c>
      <c r="B755" s="6" t="inlineStr">
        <is>
          <t>2011-04-01</t>
        </is>
      </c>
      <c r="C755" s="6" t="inlineStr">
        <is>
          <t>2011-04-30</t>
        </is>
      </c>
      <c r="D755" s="6" t="inlineStr">
        <is>
          <t>month</t>
        </is>
      </c>
      <c r="E755" s="6" t="inlineStr">
        <is>
          <t>ENERGY_TO_ARGENTINA</t>
        </is>
      </c>
      <c r="F755" s="6" t="inlineStr">
        <is>
          <t>YACYRETA</t>
        </is>
      </c>
      <c r="G755" s="6" t="inlineStr">
        <is>
          <t>YACYRETA</t>
        </is>
      </c>
      <c r="H755" s="6" t="inlineStr">
        <is>
          <t>SADI</t>
        </is>
      </c>
      <c r="I755" s="8" t="n">
        <v>1657496</v>
      </c>
      <c r="J755" s="6" t="inlineStr">
        <is>
          <t>MWh</t>
        </is>
      </c>
      <c r="K755" s="8" t="n">
        <v>1657496</v>
      </c>
      <c r="L755" s="6" t="inlineStr">
        <is>
          <t>MWh</t>
        </is>
      </c>
      <c r="M755" s="6" t="inlineStr">
        <is>
          <t>EBY</t>
        </is>
      </c>
      <c r="N755" s="6" t="inlineStr">
        <is>
          <t>OFFICIAL_PRIMARY</t>
        </is>
      </c>
      <c r="O755" s="9" t="inlineStr">
        <is>
          <t>OFFICIAL_AGGREGATE</t>
        </is>
      </c>
      <c r="P755" s="8" t="n">
        <v>1</v>
      </c>
      <c r="Q755" s="8" t="n">
        <v>50</v>
      </c>
      <c r="R755" s="7" t="inlineStr">
        <is>
          <t>https://www.eby.gov.py/wp-content/uploads/2019/12/YacyretaEnergiasMensualesDesdePuestaenMarcha.pdf</t>
        </is>
      </c>
      <c r="S755" s="6" t="inlineStr">
        <is>
          <t>EBY-MONTHLY-1994-2012</t>
        </is>
      </c>
      <c r="T755" s="6" t="inlineStr"/>
      <c r="U755" s="4" t="inlineStr">
        <is>
          <t>2026-09-10 23:00:00</t>
        </is>
      </c>
      <c r="V755" s="4" t="inlineStr">
        <is>
          <t>Energia mensual entregada al SADI.</t>
        </is>
      </c>
    </row>
    <row r="756">
      <c r="A756" s="6" t="inlineStr">
        <is>
          <t>R0000760</t>
        </is>
      </c>
      <c r="B756" s="6" t="inlineStr">
        <is>
          <t>2011-04-01</t>
        </is>
      </c>
      <c r="C756" s="6" t="inlineStr">
        <is>
          <t>2011-04-30</t>
        </is>
      </c>
      <c r="D756" s="6" t="inlineStr">
        <is>
          <t>month</t>
        </is>
      </c>
      <c r="E756" s="6" t="inlineStr">
        <is>
          <t>ENERGY_TO_PY</t>
        </is>
      </c>
      <c r="F756" s="6" t="inlineStr">
        <is>
          <t>YACYRETA</t>
        </is>
      </c>
      <c r="G756" s="6" t="inlineStr">
        <is>
          <t>YACYRETA</t>
        </is>
      </c>
      <c r="H756" s="6" t="inlineStr">
        <is>
          <t>SINP</t>
        </is>
      </c>
      <c r="I756" s="8" t="n">
        <v>167657</v>
      </c>
      <c r="J756" s="6" t="inlineStr">
        <is>
          <t>MWh</t>
        </is>
      </c>
      <c r="K756" s="8" t="n">
        <v>167657</v>
      </c>
      <c r="L756" s="6" t="inlineStr">
        <is>
          <t>MWh</t>
        </is>
      </c>
      <c r="M756" s="6" t="inlineStr">
        <is>
          <t>EBY</t>
        </is>
      </c>
      <c r="N756" s="6" t="inlineStr">
        <is>
          <t>OFFICIAL_PRIMARY</t>
        </is>
      </c>
      <c r="O756" s="9" t="inlineStr">
        <is>
          <t>OFFICIAL_AGGREGATE</t>
        </is>
      </c>
      <c r="P756" s="8" t="n">
        <v>1</v>
      </c>
      <c r="Q756" s="8" t="n">
        <v>50</v>
      </c>
      <c r="R756" s="7" t="inlineStr">
        <is>
          <t>https://www.eby.gov.py/wp-content/uploads/2019/12/YacyretaEnergiasMensualesDesdePuestaenMarcha.pdf</t>
        </is>
      </c>
      <c r="S756" s="6" t="inlineStr">
        <is>
          <t>EBY-MONTHLY-1994-2012</t>
        </is>
      </c>
      <c r="T756" s="6" t="inlineStr"/>
      <c r="U756" s="4" t="inlineStr">
        <is>
          <t>2026-09-10 23:00:00</t>
        </is>
      </c>
      <c r="V756" s="4" t="inlineStr">
        <is>
          <t>Energia mensual entregada al SINP.</t>
        </is>
      </c>
    </row>
    <row r="757">
      <c r="A757" s="6" t="inlineStr">
        <is>
          <t>R0000761</t>
        </is>
      </c>
      <c r="B757" s="6" t="inlineStr">
        <is>
          <t>2011-05-01</t>
        </is>
      </c>
      <c r="C757" s="6" t="inlineStr">
        <is>
          <t>2011-05-31</t>
        </is>
      </c>
      <c r="D757" s="6" t="inlineStr">
        <is>
          <t>month</t>
        </is>
      </c>
      <c r="E757" s="6" t="inlineStr">
        <is>
          <t>YACYRETA_NET_ENERGY</t>
        </is>
      </c>
      <c r="F757" s="6" t="inlineStr">
        <is>
          <t>YACYRETA</t>
        </is>
      </c>
      <c r="G757" s="6" t="inlineStr">
        <is>
          <t>YACYRETA</t>
        </is>
      </c>
      <c r="H757" s="6" t="inlineStr">
        <is>
          <t>TOTAL</t>
        </is>
      </c>
      <c r="I757" s="8" t="n">
        <v>1723623</v>
      </c>
      <c r="J757" s="6" t="inlineStr">
        <is>
          <t>MWh</t>
        </is>
      </c>
      <c r="K757" s="8" t="n">
        <v>1723623</v>
      </c>
      <c r="L757" s="6" t="inlineStr">
        <is>
          <t>MWh</t>
        </is>
      </c>
      <c r="M757" s="6" t="inlineStr">
        <is>
          <t>EBY</t>
        </is>
      </c>
      <c r="N757" s="6" t="inlineStr">
        <is>
          <t>OFFICIAL_PRIMARY</t>
        </is>
      </c>
      <c r="O757" s="9" t="inlineStr">
        <is>
          <t>OFFICIAL_AGGREGATE</t>
        </is>
      </c>
      <c r="P757" s="8" t="n">
        <v>1</v>
      </c>
      <c r="Q757" s="8" t="n">
        <v>50</v>
      </c>
      <c r="R757" s="7" t="inlineStr">
        <is>
          <t>https://www.eby.gov.py/wp-content/uploads/2019/12/YacyretaEnergiasMensualesDesdePuestaenMarcha.pdf</t>
        </is>
      </c>
      <c r="S757" s="6" t="inlineStr">
        <is>
          <t>EBY-MONTHLY-1994-2012</t>
        </is>
      </c>
      <c r="T757" s="6" t="inlineStr"/>
      <c r="U757" s="4" t="inlineStr">
        <is>
          <t>2026-09-10 23:00:00</t>
        </is>
      </c>
      <c r="V757" s="4" t="inlineStr">
        <is>
          <t>Energia mensual Yacyreta desde puesta en marcha.</t>
        </is>
      </c>
    </row>
    <row r="758">
      <c r="A758" s="6" t="inlineStr">
        <is>
          <t>R0000762</t>
        </is>
      </c>
      <c r="B758" s="6" t="inlineStr">
        <is>
          <t>2011-05-01</t>
        </is>
      </c>
      <c r="C758" s="6" t="inlineStr">
        <is>
          <t>2011-05-31</t>
        </is>
      </c>
      <c r="D758" s="6" t="inlineStr">
        <is>
          <t>month</t>
        </is>
      </c>
      <c r="E758" s="6" t="inlineStr">
        <is>
          <t>ENERGY_TO_ARGENTINA</t>
        </is>
      </c>
      <c r="F758" s="6" t="inlineStr">
        <is>
          <t>YACYRETA</t>
        </is>
      </c>
      <c r="G758" s="6" t="inlineStr">
        <is>
          <t>YACYRETA</t>
        </is>
      </c>
      <c r="H758" s="6" t="inlineStr">
        <is>
          <t>SADI</t>
        </is>
      </c>
      <c r="I758" s="8" t="n">
        <v>1562166</v>
      </c>
      <c r="J758" s="6" t="inlineStr">
        <is>
          <t>MWh</t>
        </is>
      </c>
      <c r="K758" s="8" t="n">
        <v>1562166</v>
      </c>
      <c r="L758" s="6" t="inlineStr">
        <is>
          <t>MWh</t>
        </is>
      </c>
      <c r="M758" s="6" t="inlineStr">
        <is>
          <t>EBY</t>
        </is>
      </c>
      <c r="N758" s="6" t="inlineStr">
        <is>
          <t>OFFICIAL_PRIMARY</t>
        </is>
      </c>
      <c r="O758" s="9" t="inlineStr">
        <is>
          <t>OFFICIAL_AGGREGATE</t>
        </is>
      </c>
      <c r="P758" s="8" t="n">
        <v>1</v>
      </c>
      <c r="Q758" s="8" t="n">
        <v>50</v>
      </c>
      <c r="R758" s="7" t="inlineStr">
        <is>
          <t>https://www.eby.gov.py/wp-content/uploads/2019/12/YacyretaEnergiasMensualesDesdePuestaenMarcha.pdf</t>
        </is>
      </c>
      <c r="S758" s="6" t="inlineStr">
        <is>
          <t>EBY-MONTHLY-1994-2012</t>
        </is>
      </c>
      <c r="T758" s="6" t="inlineStr"/>
      <c r="U758" s="4" t="inlineStr">
        <is>
          <t>2026-09-10 23:00:00</t>
        </is>
      </c>
      <c r="V758" s="4" t="inlineStr">
        <is>
          <t>Energia mensual entregada al SADI.</t>
        </is>
      </c>
    </row>
    <row r="759">
      <c r="A759" s="6" t="inlineStr">
        <is>
          <t>R0000763</t>
        </is>
      </c>
      <c r="B759" s="6" t="inlineStr">
        <is>
          <t>2011-05-01</t>
        </is>
      </c>
      <c r="C759" s="6" t="inlineStr">
        <is>
          <t>2011-05-31</t>
        </is>
      </c>
      <c r="D759" s="6" t="inlineStr">
        <is>
          <t>month</t>
        </is>
      </c>
      <c r="E759" s="6" t="inlineStr">
        <is>
          <t>ENERGY_TO_PY</t>
        </is>
      </c>
      <c r="F759" s="6" t="inlineStr">
        <is>
          <t>YACYRETA</t>
        </is>
      </c>
      <c r="G759" s="6" t="inlineStr">
        <is>
          <t>YACYRETA</t>
        </is>
      </c>
      <c r="H759" s="6" t="inlineStr">
        <is>
          <t>SINP</t>
        </is>
      </c>
      <c r="I759" s="8" t="n">
        <v>161457</v>
      </c>
      <c r="J759" s="6" t="inlineStr">
        <is>
          <t>MWh</t>
        </is>
      </c>
      <c r="K759" s="8" t="n">
        <v>161457</v>
      </c>
      <c r="L759" s="6" t="inlineStr">
        <is>
          <t>MWh</t>
        </is>
      </c>
      <c r="M759" s="6" t="inlineStr">
        <is>
          <t>EBY</t>
        </is>
      </c>
      <c r="N759" s="6" t="inlineStr">
        <is>
          <t>OFFICIAL_PRIMARY</t>
        </is>
      </c>
      <c r="O759" s="9" t="inlineStr">
        <is>
          <t>OFFICIAL_AGGREGATE</t>
        </is>
      </c>
      <c r="P759" s="8" t="n">
        <v>1</v>
      </c>
      <c r="Q759" s="8" t="n">
        <v>50</v>
      </c>
      <c r="R759" s="7" t="inlineStr">
        <is>
          <t>https://www.eby.gov.py/wp-content/uploads/2019/12/YacyretaEnergiasMensualesDesdePuestaenMarcha.pdf</t>
        </is>
      </c>
      <c r="S759" s="6" t="inlineStr">
        <is>
          <t>EBY-MONTHLY-1994-2012</t>
        </is>
      </c>
      <c r="T759" s="6" t="inlineStr"/>
      <c r="U759" s="4" t="inlineStr">
        <is>
          <t>2026-09-10 23:00:00</t>
        </is>
      </c>
      <c r="V759" s="4" t="inlineStr">
        <is>
          <t>Energia mensual entregada al SINP.</t>
        </is>
      </c>
    </row>
    <row r="760">
      <c r="A760" s="6" t="inlineStr">
        <is>
          <t>R0000764</t>
        </is>
      </c>
      <c r="B760" s="6" t="inlineStr">
        <is>
          <t>2011-06-01</t>
        </is>
      </c>
      <c r="C760" s="6" t="inlineStr">
        <is>
          <t>2011-06-30</t>
        </is>
      </c>
      <c r="D760" s="6" t="inlineStr">
        <is>
          <t>month</t>
        </is>
      </c>
      <c r="E760" s="6" t="inlineStr">
        <is>
          <t>YACYRETA_NET_ENERGY</t>
        </is>
      </c>
      <c r="F760" s="6" t="inlineStr">
        <is>
          <t>YACYRETA</t>
        </is>
      </c>
      <c r="G760" s="6" t="inlineStr">
        <is>
          <t>YACYRETA</t>
        </is>
      </c>
      <c r="H760" s="6" t="inlineStr">
        <is>
          <t>TOTAL</t>
        </is>
      </c>
      <c r="I760" s="8" t="n">
        <v>1633986</v>
      </c>
      <c r="J760" s="6" t="inlineStr">
        <is>
          <t>MWh</t>
        </is>
      </c>
      <c r="K760" s="8" t="n">
        <v>1633986</v>
      </c>
      <c r="L760" s="6" t="inlineStr">
        <is>
          <t>MWh</t>
        </is>
      </c>
      <c r="M760" s="6" t="inlineStr">
        <is>
          <t>EBY</t>
        </is>
      </c>
      <c r="N760" s="6" t="inlineStr">
        <is>
          <t>OFFICIAL_PRIMARY</t>
        </is>
      </c>
      <c r="O760" s="9" t="inlineStr">
        <is>
          <t>OFFICIAL_AGGREGATE</t>
        </is>
      </c>
      <c r="P760" s="8" t="n">
        <v>1</v>
      </c>
      <c r="Q760" s="8" t="n">
        <v>50</v>
      </c>
      <c r="R760" s="7" t="inlineStr">
        <is>
          <t>https://www.eby.gov.py/wp-content/uploads/2019/12/YacyretaEnergiasMensualesDesdePuestaenMarcha.pdf</t>
        </is>
      </c>
      <c r="S760" s="6" t="inlineStr">
        <is>
          <t>EBY-MONTHLY-1994-2012</t>
        </is>
      </c>
      <c r="T760" s="6" t="inlineStr"/>
      <c r="U760" s="4" t="inlineStr">
        <is>
          <t>2026-09-10 23:00:00</t>
        </is>
      </c>
      <c r="V760" s="4" t="inlineStr">
        <is>
          <t>Energia mensual Yacyreta desde puesta en marcha.</t>
        </is>
      </c>
    </row>
    <row r="761">
      <c r="A761" s="6" t="inlineStr">
        <is>
          <t>R0000765</t>
        </is>
      </c>
      <c r="B761" s="6" t="inlineStr">
        <is>
          <t>2011-06-01</t>
        </is>
      </c>
      <c r="C761" s="6" t="inlineStr">
        <is>
          <t>2011-06-30</t>
        </is>
      </c>
      <c r="D761" s="6" t="inlineStr">
        <is>
          <t>month</t>
        </is>
      </c>
      <c r="E761" s="6" t="inlineStr">
        <is>
          <t>ENERGY_TO_ARGENTINA</t>
        </is>
      </c>
      <c r="F761" s="6" t="inlineStr">
        <is>
          <t>YACYRETA</t>
        </is>
      </c>
      <c r="G761" s="6" t="inlineStr">
        <is>
          <t>YACYRETA</t>
        </is>
      </c>
      <c r="H761" s="6" t="inlineStr">
        <is>
          <t>SADI</t>
        </is>
      </c>
      <c r="I761" s="8" t="n">
        <v>1478906</v>
      </c>
      <c r="J761" s="6" t="inlineStr">
        <is>
          <t>MWh</t>
        </is>
      </c>
      <c r="K761" s="8" t="n">
        <v>1478906</v>
      </c>
      <c r="L761" s="6" t="inlineStr">
        <is>
          <t>MWh</t>
        </is>
      </c>
      <c r="M761" s="6" t="inlineStr">
        <is>
          <t>EBY</t>
        </is>
      </c>
      <c r="N761" s="6" t="inlineStr">
        <is>
          <t>OFFICIAL_PRIMARY</t>
        </is>
      </c>
      <c r="O761" s="9" t="inlineStr">
        <is>
          <t>OFFICIAL_AGGREGATE</t>
        </is>
      </c>
      <c r="P761" s="8" t="n">
        <v>1</v>
      </c>
      <c r="Q761" s="8" t="n">
        <v>50</v>
      </c>
      <c r="R761" s="7" t="inlineStr">
        <is>
          <t>https://www.eby.gov.py/wp-content/uploads/2019/12/YacyretaEnergiasMensualesDesdePuestaenMarcha.pdf</t>
        </is>
      </c>
      <c r="S761" s="6" t="inlineStr">
        <is>
          <t>EBY-MONTHLY-1994-2012</t>
        </is>
      </c>
      <c r="T761" s="6" t="inlineStr"/>
      <c r="U761" s="4" t="inlineStr">
        <is>
          <t>2026-09-10 23:00:00</t>
        </is>
      </c>
      <c r="V761" s="4" t="inlineStr">
        <is>
          <t>Energia mensual entregada al SADI.</t>
        </is>
      </c>
    </row>
    <row r="762">
      <c r="A762" s="6" t="inlineStr">
        <is>
          <t>R0000766</t>
        </is>
      </c>
      <c r="B762" s="6" t="inlineStr">
        <is>
          <t>2011-06-01</t>
        </is>
      </c>
      <c r="C762" s="6" t="inlineStr">
        <is>
          <t>2011-06-30</t>
        </is>
      </c>
      <c r="D762" s="6" t="inlineStr">
        <is>
          <t>month</t>
        </is>
      </c>
      <c r="E762" s="6" t="inlineStr">
        <is>
          <t>ENERGY_TO_PY</t>
        </is>
      </c>
      <c r="F762" s="6" t="inlineStr">
        <is>
          <t>YACYRETA</t>
        </is>
      </c>
      <c r="G762" s="6" t="inlineStr">
        <is>
          <t>YACYRETA</t>
        </is>
      </c>
      <c r="H762" s="6" t="inlineStr">
        <is>
          <t>SINP</t>
        </is>
      </c>
      <c r="I762" s="8" t="n">
        <v>155080</v>
      </c>
      <c r="J762" s="6" t="inlineStr">
        <is>
          <t>MWh</t>
        </is>
      </c>
      <c r="K762" s="8" t="n">
        <v>155080</v>
      </c>
      <c r="L762" s="6" t="inlineStr">
        <is>
          <t>MWh</t>
        </is>
      </c>
      <c r="M762" s="6" t="inlineStr">
        <is>
          <t>EBY</t>
        </is>
      </c>
      <c r="N762" s="6" t="inlineStr">
        <is>
          <t>OFFICIAL_PRIMARY</t>
        </is>
      </c>
      <c r="O762" s="9" t="inlineStr">
        <is>
          <t>OFFICIAL_AGGREGATE</t>
        </is>
      </c>
      <c r="P762" s="8" t="n">
        <v>1</v>
      </c>
      <c r="Q762" s="8" t="n">
        <v>50</v>
      </c>
      <c r="R762" s="7" t="inlineStr">
        <is>
          <t>https://www.eby.gov.py/wp-content/uploads/2019/12/YacyretaEnergiasMensualesDesdePuestaenMarcha.pdf</t>
        </is>
      </c>
      <c r="S762" s="6" t="inlineStr">
        <is>
          <t>EBY-MONTHLY-1994-2012</t>
        </is>
      </c>
      <c r="T762" s="6" t="inlineStr"/>
      <c r="U762" s="4" t="inlineStr">
        <is>
          <t>2026-09-10 23:00:00</t>
        </is>
      </c>
      <c r="V762" s="4" t="inlineStr">
        <is>
          <t>Energia mensual entregada al SINP.</t>
        </is>
      </c>
    </row>
    <row r="763">
      <c r="A763" s="6" t="inlineStr">
        <is>
          <t>R0000767</t>
        </is>
      </c>
      <c r="B763" s="6" t="inlineStr">
        <is>
          <t>2011-07-01</t>
        </is>
      </c>
      <c r="C763" s="6" t="inlineStr">
        <is>
          <t>2011-07-31</t>
        </is>
      </c>
      <c r="D763" s="6" t="inlineStr">
        <is>
          <t>month</t>
        </is>
      </c>
      <c r="E763" s="6" t="inlineStr">
        <is>
          <t>YACYRETA_NET_ENERGY</t>
        </is>
      </c>
      <c r="F763" s="6" t="inlineStr">
        <is>
          <t>YACYRETA</t>
        </is>
      </c>
      <c r="G763" s="6" t="inlineStr">
        <is>
          <t>YACYRETA</t>
        </is>
      </c>
      <c r="H763" s="6" t="inlineStr">
        <is>
          <t>TOTAL</t>
        </is>
      </c>
      <c r="I763" s="8" t="n">
        <v>1734016</v>
      </c>
      <c r="J763" s="6" t="inlineStr">
        <is>
          <t>MWh</t>
        </is>
      </c>
      <c r="K763" s="8" t="n">
        <v>1734016</v>
      </c>
      <c r="L763" s="6" t="inlineStr">
        <is>
          <t>MWh</t>
        </is>
      </c>
      <c r="M763" s="6" t="inlineStr">
        <is>
          <t>EBY</t>
        </is>
      </c>
      <c r="N763" s="6" t="inlineStr">
        <is>
          <t>OFFICIAL_PRIMARY</t>
        </is>
      </c>
      <c r="O763" s="9" t="inlineStr">
        <is>
          <t>OFFICIAL_AGGREGATE</t>
        </is>
      </c>
      <c r="P763" s="8" t="n">
        <v>1</v>
      </c>
      <c r="Q763" s="8" t="n">
        <v>50</v>
      </c>
      <c r="R763" s="7" t="inlineStr">
        <is>
          <t>https://www.eby.gov.py/wp-content/uploads/2019/12/YacyretaEnergiasMensualesDesdePuestaenMarcha.pdf</t>
        </is>
      </c>
      <c r="S763" s="6" t="inlineStr">
        <is>
          <t>EBY-MONTHLY-1994-2012</t>
        </is>
      </c>
      <c r="T763" s="6" t="inlineStr"/>
      <c r="U763" s="4" t="inlineStr">
        <is>
          <t>2026-09-10 23:00:00</t>
        </is>
      </c>
      <c r="V763" s="4" t="inlineStr">
        <is>
          <t>Energia mensual Yacyreta desde puesta en marcha.</t>
        </is>
      </c>
    </row>
    <row r="764">
      <c r="A764" s="6" t="inlineStr">
        <is>
          <t>R0000768</t>
        </is>
      </c>
      <c r="B764" s="6" t="inlineStr">
        <is>
          <t>2011-07-01</t>
        </is>
      </c>
      <c r="C764" s="6" t="inlineStr">
        <is>
          <t>2011-07-31</t>
        </is>
      </c>
      <c r="D764" s="6" t="inlineStr">
        <is>
          <t>month</t>
        </is>
      </c>
      <c r="E764" s="6" t="inlineStr">
        <is>
          <t>ENERGY_TO_ARGENTINA</t>
        </is>
      </c>
      <c r="F764" s="6" t="inlineStr">
        <is>
          <t>YACYRETA</t>
        </is>
      </c>
      <c r="G764" s="6" t="inlineStr">
        <is>
          <t>YACYRETA</t>
        </is>
      </c>
      <c r="H764" s="6" t="inlineStr">
        <is>
          <t>SADI</t>
        </is>
      </c>
      <c r="I764" s="8" t="n">
        <v>1564616</v>
      </c>
      <c r="J764" s="6" t="inlineStr">
        <is>
          <t>MWh</t>
        </is>
      </c>
      <c r="K764" s="8" t="n">
        <v>1564616</v>
      </c>
      <c r="L764" s="6" t="inlineStr">
        <is>
          <t>MWh</t>
        </is>
      </c>
      <c r="M764" s="6" t="inlineStr">
        <is>
          <t>EBY</t>
        </is>
      </c>
      <c r="N764" s="6" t="inlineStr">
        <is>
          <t>OFFICIAL_PRIMARY</t>
        </is>
      </c>
      <c r="O764" s="9" t="inlineStr">
        <is>
          <t>OFFICIAL_AGGREGATE</t>
        </is>
      </c>
      <c r="P764" s="8" t="n">
        <v>1</v>
      </c>
      <c r="Q764" s="8" t="n">
        <v>50</v>
      </c>
      <c r="R764" s="7" t="inlineStr">
        <is>
          <t>https://www.eby.gov.py/wp-content/uploads/2019/12/YacyretaEnergiasMensualesDesdePuestaenMarcha.pdf</t>
        </is>
      </c>
      <c r="S764" s="6" t="inlineStr">
        <is>
          <t>EBY-MONTHLY-1994-2012</t>
        </is>
      </c>
      <c r="T764" s="6" t="inlineStr"/>
      <c r="U764" s="4" t="inlineStr">
        <is>
          <t>2026-09-10 23:00:00</t>
        </is>
      </c>
      <c r="V764" s="4" t="inlineStr">
        <is>
          <t>Energia mensual entregada al SADI.</t>
        </is>
      </c>
    </row>
    <row r="765">
      <c r="A765" s="6" t="inlineStr">
        <is>
          <t>R0000769</t>
        </is>
      </c>
      <c r="B765" s="6" t="inlineStr">
        <is>
          <t>2011-07-01</t>
        </is>
      </c>
      <c r="C765" s="6" t="inlineStr">
        <is>
          <t>2011-07-31</t>
        </is>
      </c>
      <c r="D765" s="6" t="inlineStr">
        <is>
          <t>month</t>
        </is>
      </c>
      <c r="E765" s="6" t="inlineStr">
        <is>
          <t>ENERGY_TO_PY</t>
        </is>
      </c>
      <c r="F765" s="6" t="inlineStr">
        <is>
          <t>YACYRETA</t>
        </is>
      </c>
      <c r="G765" s="6" t="inlineStr">
        <is>
          <t>YACYRETA</t>
        </is>
      </c>
      <c r="H765" s="6" t="inlineStr">
        <is>
          <t>SINP</t>
        </is>
      </c>
      <c r="I765" s="8" t="n">
        <v>169400</v>
      </c>
      <c r="J765" s="6" t="inlineStr">
        <is>
          <t>MWh</t>
        </is>
      </c>
      <c r="K765" s="8" t="n">
        <v>169400</v>
      </c>
      <c r="L765" s="6" t="inlineStr">
        <is>
          <t>MWh</t>
        </is>
      </c>
      <c r="M765" s="6" t="inlineStr">
        <is>
          <t>EBY</t>
        </is>
      </c>
      <c r="N765" s="6" t="inlineStr">
        <is>
          <t>OFFICIAL_PRIMARY</t>
        </is>
      </c>
      <c r="O765" s="9" t="inlineStr">
        <is>
          <t>OFFICIAL_AGGREGATE</t>
        </is>
      </c>
      <c r="P765" s="8" t="n">
        <v>1</v>
      </c>
      <c r="Q765" s="8" t="n">
        <v>50</v>
      </c>
      <c r="R765" s="7" t="inlineStr">
        <is>
          <t>https://www.eby.gov.py/wp-content/uploads/2019/12/YacyretaEnergiasMensualesDesdePuestaenMarcha.pdf</t>
        </is>
      </c>
      <c r="S765" s="6" t="inlineStr">
        <is>
          <t>EBY-MONTHLY-1994-2012</t>
        </is>
      </c>
      <c r="T765" s="6" t="inlineStr"/>
      <c r="U765" s="4" t="inlineStr">
        <is>
          <t>2026-09-10 23:00:00</t>
        </is>
      </c>
      <c r="V765" s="4" t="inlineStr">
        <is>
          <t>Energia mensual entregada al SINP.</t>
        </is>
      </c>
    </row>
    <row r="766">
      <c r="A766" s="6" t="inlineStr">
        <is>
          <t>R0000770</t>
        </is>
      </c>
      <c r="B766" s="6" t="inlineStr">
        <is>
          <t>2011-08-01</t>
        </is>
      </c>
      <c r="C766" s="6" t="inlineStr">
        <is>
          <t>2011-08-31</t>
        </is>
      </c>
      <c r="D766" s="6" t="inlineStr">
        <is>
          <t>month</t>
        </is>
      </c>
      <c r="E766" s="6" t="inlineStr">
        <is>
          <t>YACYRETA_NET_ENERGY</t>
        </is>
      </c>
      <c r="F766" s="6" t="inlineStr">
        <is>
          <t>YACYRETA</t>
        </is>
      </c>
      <c r="G766" s="6" t="inlineStr">
        <is>
          <t>YACYRETA</t>
        </is>
      </c>
      <c r="H766" s="6" t="inlineStr">
        <is>
          <t>TOTAL</t>
        </is>
      </c>
      <c r="I766" s="8" t="n">
        <v>1700404</v>
      </c>
      <c r="J766" s="6" t="inlineStr">
        <is>
          <t>MWh</t>
        </is>
      </c>
      <c r="K766" s="8" t="n">
        <v>1700404</v>
      </c>
      <c r="L766" s="6" t="inlineStr">
        <is>
          <t>MWh</t>
        </is>
      </c>
      <c r="M766" s="6" t="inlineStr">
        <is>
          <t>EBY</t>
        </is>
      </c>
      <c r="N766" s="6" t="inlineStr">
        <is>
          <t>OFFICIAL_PRIMARY</t>
        </is>
      </c>
      <c r="O766" s="9" t="inlineStr">
        <is>
          <t>OFFICIAL_AGGREGATE</t>
        </is>
      </c>
      <c r="P766" s="8" t="n">
        <v>1</v>
      </c>
      <c r="Q766" s="8" t="n">
        <v>50</v>
      </c>
      <c r="R766" s="7" t="inlineStr">
        <is>
          <t>https://www.eby.gov.py/wp-content/uploads/2019/12/YacyretaEnergiasMensualesDesdePuestaenMarcha.pdf</t>
        </is>
      </c>
      <c r="S766" s="6" t="inlineStr">
        <is>
          <t>EBY-MONTHLY-1994-2012</t>
        </is>
      </c>
      <c r="T766" s="6" t="inlineStr"/>
      <c r="U766" s="4" t="inlineStr">
        <is>
          <t>2026-09-10 23:00:00</t>
        </is>
      </c>
      <c r="V766" s="4" t="inlineStr">
        <is>
          <t>Energia mensual Yacyreta desde puesta en marcha.</t>
        </is>
      </c>
    </row>
    <row r="767">
      <c r="A767" s="6" t="inlineStr">
        <is>
          <t>R0000771</t>
        </is>
      </c>
      <c r="B767" s="6" t="inlineStr">
        <is>
          <t>2011-08-01</t>
        </is>
      </c>
      <c r="C767" s="6" t="inlineStr">
        <is>
          <t>2011-08-31</t>
        </is>
      </c>
      <c r="D767" s="6" t="inlineStr">
        <is>
          <t>month</t>
        </is>
      </c>
      <c r="E767" s="6" t="inlineStr">
        <is>
          <t>ENERGY_TO_ARGENTINA</t>
        </is>
      </c>
      <c r="F767" s="6" t="inlineStr">
        <is>
          <t>YACYRETA</t>
        </is>
      </c>
      <c r="G767" s="6" t="inlineStr">
        <is>
          <t>YACYRETA</t>
        </is>
      </c>
      <c r="H767" s="6" t="inlineStr">
        <is>
          <t>SADI</t>
        </is>
      </c>
      <c r="I767" s="8" t="n">
        <v>1524886</v>
      </c>
      <c r="J767" s="6" t="inlineStr">
        <is>
          <t>MWh</t>
        </is>
      </c>
      <c r="K767" s="8" t="n">
        <v>1524886</v>
      </c>
      <c r="L767" s="6" t="inlineStr">
        <is>
          <t>MWh</t>
        </is>
      </c>
      <c r="M767" s="6" t="inlineStr">
        <is>
          <t>EBY</t>
        </is>
      </c>
      <c r="N767" s="6" t="inlineStr">
        <is>
          <t>OFFICIAL_PRIMARY</t>
        </is>
      </c>
      <c r="O767" s="9" t="inlineStr">
        <is>
          <t>OFFICIAL_AGGREGATE</t>
        </is>
      </c>
      <c r="P767" s="8" t="n">
        <v>1</v>
      </c>
      <c r="Q767" s="8" t="n">
        <v>50</v>
      </c>
      <c r="R767" s="7" t="inlineStr">
        <is>
          <t>https://www.eby.gov.py/wp-content/uploads/2019/12/YacyretaEnergiasMensualesDesdePuestaenMarcha.pdf</t>
        </is>
      </c>
      <c r="S767" s="6" t="inlineStr">
        <is>
          <t>EBY-MONTHLY-1994-2012</t>
        </is>
      </c>
      <c r="T767" s="6" t="inlineStr"/>
      <c r="U767" s="4" t="inlineStr">
        <is>
          <t>2026-09-10 23:00:00</t>
        </is>
      </c>
      <c r="V767" s="4" t="inlineStr">
        <is>
          <t>Energia mensual entregada al SADI.</t>
        </is>
      </c>
    </row>
    <row r="768">
      <c r="A768" s="6" t="inlineStr">
        <is>
          <t>R0000772</t>
        </is>
      </c>
      <c r="B768" s="6" t="inlineStr">
        <is>
          <t>2011-08-01</t>
        </is>
      </c>
      <c r="C768" s="6" t="inlineStr">
        <is>
          <t>2011-08-31</t>
        </is>
      </c>
      <c r="D768" s="6" t="inlineStr">
        <is>
          <t>month</t>
        </is>
      </c>
      <c r="E768" s="6" t="inlineStr">
        <is>
          <t>ENERGY_TO_PY</t>
        </is>
      </c>
      <c r="F768" s="6" t="inlineStr">
        <is>
          <t>YACYRETA</t>
        </is>
      </c>
      <c r="G768" s="6" t="inlineStr">
        <is>
          <t>YACYRETA</t>
        </is>
      </c>
      <c r="H768" s="6" t="inlineStr">
        <is>
          <t>SINP</t>
        </is>
      </c>
      <c r="I768" s="8" t="n">
        <v>175518</v>
      </c>
      <c r="J768" s="6" t="inlineStr">
        <is>
          <t>MWh</t>
        </is>
      </c>
      <c r="K768" s="8" t="n">
        <v>175518</v>
      </c>
      <c r="L768" s="6" t="inlineStr">
        <is>
          <t>MWh</t>
        </is>
      </c>
      <c r="M768" s="6" t="inlineStr">
        <is>
          <t>EBY</t>
        </is>
      </c>
      <c r="N768" s="6" t="inlineStr">
        <is>
          <t>OFFICIAL_PRIMARY</t>
        </is>
      </c>
      <c r="O768" s="9" t="inlineStr">
        <is>
          <t>OFFICIAL_AGGREGATE</t>
        </is>
      </c>
      <c r="P768" s="8" t="n">
        <v>1</v>
      </c>
      <c r="Q768" s="8" t="n">
        <v>50</v>
      </c>
      <c r="R768" s="7" t="inlineStr">
        <is>
          <t>https://www.eby.gov.py/wp-content/uploads/2019/12/YacyretaEnergiasMensualesDesdePuestaenMarcha.pdf</t>
        </is>
      </c>
      <c r="S768" s="6" t="inlineStr">
        <is>
          <t>EBY-MONTHLY-1994-2012</t>
        </is>
      </c>
      <c r="T768" s="6" t="inlineStr"/>
      <c r="U768" s="4" t="inlineStr">
        <is>
          <t>2026-09-10 23:00:00</t>
        </is>
      </c>
      <c r="V768" s="4" t="inlineStr">
        <is>
          <t>Energia mensual entregada al SINP.</t>
        </is>
      </c>
    </row>
    <row r="769">
      <c r="A769" s="6" t="inlineStr">
        <is>
          <t>R0000773</t>
        </is>
      </c>
      <c r="B769" s="6" t="inlineStr">
        <is>
          <t>2011-09-01</t>
        </is>
      </c>
      <c r="C769" s="6" t="inlineStr">
        <is>
          <t>2011-09-30</t>
        </is>
      </c>
      <c r="D769" s="6" t="inlineStr">
        <is>
          <t>month</t>
        </is>
      </c>
      <c r="E769" s="6" t="inlineStr">
        <is>
          <t>YACYRETA_NET_ENERGY</t>
        </is>
      </c>
      <c r="F769" s="6" t="inlineStr">
        <is>
          <t>YACYRETA</t>
        </is>
      </c>
      <c r="G769" s="6" t="inlineStr">
        <is>
          <t>YACYRETA</t>
        </is>
      </c>
      <c r="H769" s="6" t="inlineStr">
        <is>
          <t>TOTAL</t>
        </is>
      </c>
      <c r="I769" s="8" t="n">
        <v>1648050</v>
      </c>
      <c r="J769" s="6" t="inlineStr">
        <is>
          <t>MWh</t>
        </is>
      </c>
      <c r="K769" s="8" t="n">
        <v>1648050</v>
      </c>
      <c r="L769" s="6" t="inlineStr">
        <is>
          <t>MWh</t>
        </is>
      </c>
      <c r="M769" s="6" t="inlineStr">
        <is>
          <t>EBY</t>
        </is>
      </c>
      <c r="N769" s="6" t="inlineStr">
        <is>
          <t>OFFICIAL_PRIMARY</t>
        </is>
      </c>
      <c r="O769" s="9" t="inlineStr">
        <is>
          <t>OFFICIAL_AGGREGATE</t>
        </is>
      </c>
      <c r="P769" s="8" t="n">
        <v>1</v>
      </c>
      <c r="Q769" s="8" t="n">
        <v>50</v>
      </c>
      <c r="R769" s="7" t="inlineStr">
        <is>
          <t>https://www.eby.gov.py/wp-content/uploads/2019/12/YacyretaEnergiasMensualesDesdePuestaenMarcha.pdf</t>
        </is>
      </c>
      <c r="S769" s="6" t="inlineStr">
        <is>
          <t>EBY-MONTHLY-1994-2012</t>
        </is>
      </c>
      <c r="T769" s="6" t="inlineStr"/>
      <c r="U769" s="4" t="inlineStr">
        <is>
          <t>2026-09-10 23:00:00</t>
        </is>
      </c>
      <c r="V769" s="4" t="inlineStr">
        <is>
          <t>Energia mensual Yacyreta desde puesta en marcha.</t>
        </is>
      </c>
    </row>
    <row r="770">
      <c r="A770" s="6" t="inlineStr">
        <is>
          <t>R0000774</t>
        </is>
      </c>
      <c r="B770" s="6" t="inlineStr">
        <is>
          <t>2011-09-01</t>
        </is>
      </c>
      <c r="C770" s="6" t="inlineStr">
        <is>
          <t>2011-09-30</t>
        </is>
      </c>
      <c r="D770" s="6" t="inlineStr">
        <is>
          <t>month</t>
        </is>
      </c>
      <c r="E770" s="6" t="inlineStr">
        <is>
          <t>ENERGY_TO_ARGENTINA</t>
        </is>
      </c>
      <c r="F770" s="6" t="inlineStr">
        <is>
          <t>YACYRETA</t>
        </is>
      </c>
      <c r="G770" s="6" t="inlineStr">
        <is>
          <t>YACYRETA</t>
        </is>
      </c>
      <c r="H770" s="6" t="inlineStr">
        <is>
          <t>SADI</t>
        </is>
      </c>
      <c r="I770" s="8" t="n">
        <v>1485424</v>
      </c>
      <c r="J770" s="6" t="inlineStr">
        <is>
          <t>MWh</t>
        </is>
      </c>
      <c r="K770" s="8" t="n">
        <v>1485424</v>
      </c>
      <c r="L770" s="6" t="inlineStr">
        <is>
          <t>MWh</t>
        </is>
      </c>
      <c r="M770" s="6" t="inlineStr">
        <is>
          <t>EBY</t>
        </is>
      </c>
      <c r="N770" s="6" t="inlineStr">
        <is>
          <t>OFFICIAL_PRIMARY</t>
        </is>
      </c>
      <c r="O770" s="9" t="inlineStr">
        <is>
          <t>OFFICIAL_AGGREGATE</t>
        </is>
      </c>
      <c r="P770" s="8" t="n">
        <v>1</v>
      </c>
      <c r="Q770" s="8" t="n">
        <v>50</v>
      </c>
      <c r="R770" s="7" t="inlineStr">
        <is>
          <t>https://www.eby.gov.py/wp-content/uploads/2019/12/YacyretaEnergiasMensualesDesdePuestaenMarcha.pdf</t>
        </is>
      </c>
      <c r="S770" s="6" t="inlineStr">
        <is>
          <t>EBY-MONTHLY-1994-2012</t>
        </is>
      </c>
      <c r="T770" s="6" t="inlineStr"/>
      <c r="U770" s="4" t="inlineStr">
        <is>
          <t>2026-09-10 23:00:00</t>
        </is>
      </c>
      <c r="V770" s="4" t="inlineStr">
        <is>
          <t>Energia mensual entregada al SADI.</t>
        </is>
      </c>
    </row>
    <row r="771">
      <c r="A771" s="6" t="inlineStr">
        <is>
          <t>R0000775</t>
        </is>
      </c>
      <c r="B771" s="6" t="inlineStr">
        <is>
          <t>2011-09-01</t>
        </is>
      </c>
      <c r="C771" s="6" t="inlineStr">
        <is>
          <t>2011-09-30</t>
        </is>
      </c>
      <c r="D771" s="6" t="inlineStr">
        <is>
          <t>month</t>
        </is>
      </c>
      <c r="E771" s="6" t="inlineStr">
        <is>
          <t>ENERGY_TO_PY</t>
        </is>
      </c>
      <c r="F771" s="6" t="inlineStr">
        <is>
          <t>YACYRETA</t>
        </is>
      </c>
      <c r="G771" s="6" t="inlineStr">
        <is>
          <t>YACYRETA</t>
        </is>
      </c>
      <c r="H771" s="6" t="inlineStr">
        <is>
          <t>SINP</t>
        </is>
      </c>
      <c r="I771" s="8" t="n">
        <v>162626</v>
      </c>
      <c r="J771" s="6" t="inlineStr">
        <is>
          <t>MWh</t>
        </is>
      </c>
      <c r="K771" s="8" t="n">
        <v>162626</v>
      </c>
      <c r="L771" s="6" t="inlineStr">
        <is>
          <t>MWh</t>
        </is>
      </c>
      <c r="M771" s="6" t="inlineStr">
        <is>
          <t>EBY</t>
        </is>
      </c>
      <c r="N771" s="6" t="inlineStr">
        <is>
          <t>OFFICIAL_PRIMARY</t>
        </is>
      </c>
      <c r="O771" s="9" t="inlineStr">
        <is>
          <t>OFFICIAL_AGGREGATE</t>
        </is>
      </c>
      <c r="P771" s="8" t="n">
        <v>1</v>
      </c>
      <c r="Q771" s="8" t="n">
        <v>50</v>
      </c>
      <c r="R771" s="7" t="inlineStr">
        <is>
          <t>https://www.eby.gov.py/wp-content/uploads/2019/12/YacyretaEnergiasMensualesDesdePuestaenMarcha.pdf</t>
        </is>
      </c>
      <c r="S771" s="6" t="inlineStr">
        <is>
          <t>EBY-MONTHLY-1994-2012</t>
        </is>
      </c>
      <c r="T771" s="6" t="inlineStr"/>
      <c r="U771" s="4" t="inlineStr">
        <is>
          <t>2026-09-10 23:00:00</t>
        </is>
      </c>
      <c r="V771" s="4" t="inlineStr">
        <is>
          <t>Energia mensual entregada al SINP.</t>
        </is>
      </c>
    </row>
    <row r="772">
      <c r="A772" s="6" t="inlineStr">
        <is>
          <t>R0000776</t>
        </is>
      </c>
      <c r="B772" s="6" t="inlineStr">
        <is>
          <t>2011-10-01</t>
        </is>
      </c>
      <c r="C772" s="6" t="inlineStr">
        <is>
          <t>2011-10-31</t>
        </is>
      </c>
      <c r="D772" s="6" t="inlineStr">
        <is>
          <t>month</t>
        </is>
      </c>
      <c r="E772" s="6" t="inlineStr">
        <is>
          <t>YACYRETA_NET_ENERGY</t>
        </is>
      </c>
      <c r="F772" s="6" t="inlineStr">
        <is>
          <t>YACYRETA</t>
        </is>
      </c>
      <c r="G772" s="6" t="inlineStr">
        <is>
          <t>YACYRETA</t>
        </is>
      </c>
      <c r="H772" s="6" t="inlineStr">
        <is>
          <t>TOTAL</t>
        </is>
      </c>
      <c r="I772" s="8" t="n">
        <v>1732376</v>
      </c>
      <c r="J772" s="6" t="inlineStr">
        <is>
          <t>MWh</t>
        </is>
      </c>
      <c r="K772" s="8" t="n">
        <v>1732376</v>
      </c>
      <c r="L772" s="6" t="inlineStr">
        <is>
          <t>MWh</t>
        </is>
      </c>
      <c r="M772" s="6" t="inlineStr">
        <is>
          <t>EBY</t>
        </is>
      </c>
      <c r="N772" s="6" t="inlineStr">
        <is>
          <t>OFFICIAL_PRIMARY</t>
        </is>
      </c>
      <c r="O772" s="9" t="inlineStr">
        <is>
          <t>OFFICIAL_AGGREGATE</t>
        </is>
      </c>
      <c r="P772" s="8" t="n">
        <v>1</v>
      </c>
      <c r="Q772" s="8" t="n">
        <v>50</v>
      </c>
      <c r="R772" s="7" t="inlineStr">
        <is>
          <t>https://www.eby.gov.py/wp-content/uploads/2019/12/YacyretaEnergiasMensualesDesdePuestaenMarcha.pdf</t>
        </is>
      </c>
      <c r="S772" s="6" t="inlineStr">
        <is>
          <t>EBY-MONTHLY-1994-2012</t>
        </is>
      </c>
      <c r="T772" s="6" t="inlineStr"/>
      <c r="U772" s="4" t="inlineStr">
        <is>
          <t>2026-09-10 23:00:00</t>
        </is>
      </c>
      <c r="V772" s="4" t="inlineStr">
        <is>
          <t>Energia mensual Yacyreta desde puesta en marcha.</t>
        </is>
      </c>
    </row>
    <row r="773">
      <c r="A773" s="6" t="inlineStr">
        <is>
          <t>R0000777</t>
        </is>
      </c>
      <c r="B773" s="6" t="inlineStr">
        <is>
          <t>2011-10-01</t>
        </is>
      </c>
      <c r="C773" s="6" t="inlineStr">
        <is>
          <t>2011-10-31</t>
        </is>
      </c>
      <c r="D773" s="6" t="inlineStr">
        <is>
          <t>month</t>
        </is>
      </c>
      <c r="E773" s="6" t="inlineStr">
        <is>
          <t>ENERGY_TO_ARGENTINA</t>
        </is>
      </c>
      <c r="F773" s="6" t="inlineStr">
        <is>
          <t>YACYRETA</t>
        </is>
      </c>
      <c r="G773" s="6" t="inlineStr">
        <is>
          <t>YACYRETA</t>
        </is>
      </c>
      <c r="H773" s="6" t="inlineStr">
        <is>
          <t>SADI</t>
        </is>
      </c>
      <c r="I773" s="8" t="n">
        <v>1549638</v>
      </c>
      <c r="J773" s="6" t="inlineStr">
        <is>
          <t>MWh</t>
        </is>
      </c>
      <c r="K773" s="8" t="n">
        <v>1549638</v>
      </c>
      <c r="L773" s="6" t="inlineStr">
        <is>
          <t>MWh</t>
        </is>
      </c>
      <c r="M773" s="6" t="inlineStr">
        <is>
          <t>EBY</t>
        </is>
      </c>
      <c r="N773" s="6" t="inlineStr">
        <is>
          <t>OFFICIAL_PRIMARY</t>
        </is>
      </c>
      <c r="O773" s="9" t="inlineStr">
        <is>
          <t>OFFICIAL_AGGREGATE</t>
        </is>
      </c>
      <c r="P773" s="8" t="n">
        <v>1</v>
      </c>
      <c r="Q773" s="8" t="n">
        <v>50</v>
      </c>
      <c r="R773" s="7" t="inlineStr">
        <is>
          <t>https://www.eby.gov.py/wp-content/uploads/2019/12/YacyretaEnergiasMensualesDesdePuestaenMarcha.pdf</t>
        </is>
      </c>
      <c r="S773" s="6" t="inlineStr">
        <is>
          <t>EBY-MONTHLY-1994-2012</t>
        </is>
      </c>
      <c r="T773" s="6" t="inlineStr"/>
      <c r="U773" s="4" t="inlineStr">
        <is>
          <t>2026-09-10 23:00:00</t>
        </is>
      </c>
      <c r="V773" s="4" t="inlineStr">
        <is>
          <t>Energia mensual entregada al SADI.</t>
        </is>
      </c>
    </row>
    <row r="774">
      <c r="A774" s="6" t="inlineStr">
        <is>
          <t>R0000778</t>
        </is>
      </c>
      <c r="B774" s="6" t="inlineStr">
        <is>
          <t>2011-10-01</t>
        </is>
      </c>
      <c r="C774" s="6" t="inlineStr">
        <is>
          <t>2011-10-31</t>
        </is>
      </c>
      <c r="D774" s="6" t="inlineStr">
        <is>
          <t>month</t>
        </is>
      </c>
      <c r="E774" s="6" t="inlineStr">
        <is>
          <t>ENERGY_TO_PY</t>
        </is>
      </c>
      <c r="F774" s="6" t="inlineStr">
        <is>
          <t>YACYRETA</t>
        </is>
      </c>
      <c r="G774" s="6" t="inlineStr">
        <is>
          <t>YACYRETA</t>
        </is>
      </c>
      <c r="H774" s="6" t="inlineStr">
        <is>
          <t>SINP</t>
        </is>
      </c>
      <c r="I774" s="8" t="n">
        <v>182738</v>
      </c>
      <c r="J774" s="6" t="inlineStr">
        <is>
          <t>MWh</t>
        </is>
      </c>
      <c r="K774" s="8" t="n">
        <v>182738</v>
      </c>
      <c r="L774" s="6" t="inlineStr">
        <is>
          <t>MWh</t>
        </is>
      </c>
      <c r="M774" s="6" t="inlineStr">
        <is>
          <t>EBY</t>
        </is>
      </c>
      <c r="N774" s="6" t="inlineStr">
        <is>
          <t>OFFICIAL_PRIMARY</t>
        </is>
      </c>
      <c r="O774" s="9" t="inlineStr">
        <is>
          <t>OFFICIAL_AGGREGATE</t>
        </is>
      </c>
      <c r="P774" s="8" t="n">
        <v>1</v>
      </c>
      <c r="Q774" s="8" t="n">
        <v>50</v>
      </c>
      <c r="R774" s="7" t="inlineStr">
        <is>
          <t>https://www.eby.gov.py/wp-content/uploads/2019/12/YacyretaEnergiasMensualesDesdePuestaenMarcha.pdf</t>
        </is>
      </c>
      <c r="S774" s="6" t="inlineStr">
        <is>
          <t>EBY-MONTHLY-1994-2012</t>
        </is>
      </c>
      <c r="T774" s="6" t="inlineStr"/>
      <c r="U774" s="4" t="inlineStr">
        <is>
          <t>2026-09-10 23:00:00</t>
        </is>
      </c>
      <c r="V774" s="4" t="inlineStr">
        <is>
          <t>Energia mensual entregada al SINP.</t>
        </is>
      </c>
    </row>
    <row r="775">
      <c r="A775" s="6" t="inlineStr">
        <is>
          <t>R0000779</t>
        </is>
      </c>
      <c r="B775" s="6" t="inlineStr">
        <is>
          <t>2011-11-01</t>
        </is>
      </c>
      <c r="C775" s="6" t="inlineStr">
        <is>
          <t>2011-11-30</t>
        </is>
      </c>
      <c r="D775" s="6" t="inlineStr">
        <is>
          <t>month</t>
        </is>
      </c>
      <c r="E775" s="6" t="inlineStr">
        <is>
          <t>YACYRETA_NET_ENERGY</t>
        </is>
      </c>
      <c r="F775" s="6" t="inlineStr">
        <is>
          <t>YACYRETA</t>
        </is>
      </c>
      <c r="G775" s="6" t="inlineStr">
        <is>
          <t>YACYRETA</t>
        </is>
      </c>
      <c r="H775" s="6" t="inlineStr">
        <is>
          <t>TOTAL</t>
        </is>
      </c>
      <c r="I775" s="8" t="n">
        <v>1648367</v>
      </c>
      <c r="J775" s="6" t="inlineStr">
        <is>
          <t>MWh</t>
        </is>
      </c>
      <c r="K775" s="8" t="n">
        <v>1648367</v>
      </c>
      <c r="L775" s="6" t="inlineStr">
        <is>
          <t>MWh</t>
        </is>
      </c>
      <c r="M775" s="6" t="inlineStr">
        <is>
          <t>EBY</t>
        </is>
      </c>
      <c r="N775" s="6" t="inlineStr">
        <is>
          <t>OFFICIAL_PRIMARY</t>
        </is>
      </c>
      <c r="O775" s="9" t="inlineStr">
        <is>
          <t>OFFICIAL_AGGREGATE</t>
        </is>
      </c>
      <c r="P775" s="8" t="n">
        <v>1</v>
      </c>
      <c r="Q775" s="8" t="n">
        <v>50</v>
      </c>
      <c r="R775" s="7" t="inlineStr">
        <is>
          <t>https://www.eby.gov.py/wp-content/uploads/2019/12/YacyretaEnergiasMensualesDesdePuestaenMarcha.pdf</t>
        </is>
      </c>
      <c r="S775" s="6" t="inlineStr">
        <is>
          <t>EBY-MONTHLY-1994-2012</t>
        </is>
      </c>
      <c r="T775" s="6" t="inlineStr"/>
      <c r="U775" s="4" t="inlineStr">
        <is>
          <t>2026-09-10 23:00:00</t>
        </is>
      </c>
      <c r="V775" s="4" t="inlineStr">
        <is>
          <t>Energia mensual Yacyreta desde puesta en marcha.</t>
        </is>
      </c>
    </row>
    <row r="776">
      <c r="A776" s="6" t="inlineStr">
        <is>
          <t>R0000780</t>
        </is>
      </c>
      <c r="B776" s="6" t="inlineStr">
        <is>
          <t>2011-11-01</t>
        </is>
      </c>
      <c r="C776" s="6" t="inlineStr">
        <is>
          <t>2011-11-30</t>
        </is>
      </c>
      <c r="D776" s="6" t="inlineStr">
        <is>
          <t>month</t>
        </is>
      </c>
      <c r="E776" s="6" t="inlineStr">
        <is>
          <t>ENERGY_TO_ARGENTINA</t>
        </is>
      </c>
      <c r="F776" s="6" t="inlineStr">
        <is>
          <t>YACYRETA</t>
        </is>
      </c>
      <c r="G776" s="6" t="inlineStr">
        <is>
          <t>YACYRETA</t>
        </is>
      </c>
      <c r="H776" s="6" t="inlineStr">
        <is>
          <t>SADI</t>
        </is>
      </c>
      <c r="I776" s="8" t="n">
        <v>1456616</v>
      </c>
      <c r="J776" s="6" t="inlineStr">
        <is>
          <t>MWh</t>
        </is>
      </c>
      <c r="K776" s="8" t="n">
        <v>1456616</v>
      </c>
      <c r="L776" s="6" t="inlineStr">
        <is>
          <t>MWh</t>
        </is>
      </c>
      <c r="M776" s="6" t="inlineStr">
        <is>
          <t>EBY</t>
        </is>
      </c>
      <c r="N776" s="6" t="inlineStr">
        <is>
          <t>OFFICIAL_PRIMARY</t>
        </is>
      </c>
      <c r="O776" s="9" t="inlineStr">
        <is>
          <t>OFFICIAL_AGGREGATE</t>
        </is>
      </c>
      <c r="P776" s="8" t="n">
        <v>1</v>
      </c>
      <c r="Q776" s="8" t="n">
        <v>50</v>
      </c>
      <c r="R776" s="7" t="inlineStr">
        <is>
          <t>https://www.eby.gov.py/wp-content/uploads/2019/12/YacyretaEnergiasMensualesDesdePuestaenMarcha.pdf</t>
        </is>
      </c>
      <c r="S776" s="6" t="inlineStr">
        <is>
          <t>EBY-MONTHLY-1994-2012</t>
        </is>
      </c>
      <c r="T776" s="6" t="inlineStr"/>
      <c r="U776" s="4" t="inlineStr">
        <is>
          <t>2026-09-10 23:00:00</t>
        </is>
      </c>
      <c r="V776" s="4" t="inlineStr">
        <is>
          <t>Energia mensual entregada al SADI.</t>
        </is>
      </c>
    </row>
    <row r="777">
      <c r="A777" s="6" t="inlineStr">
        <is>
          <t>R0000781</t>
        </is>
      </c>
      <c r="B777" s="6" t="inlineStr">
        <is>
          <t>2011-11-01</t>
        </is>
      </c>
      <c r="C777" s="6" t="inlineStr">
        <is>
          <t>2011-11-30</t>
        </is>
      </c>
      <c r="D777" s="6" t="inlineStr">
        <is>
          <t>month</t>
        </is>
      </c>
      <c r="E777" s="6" t="inlineStr">
        <is>
          <t>ENERGY_TO_PY</t>
        </is>
      </c>
      <c r="F777" s="6" t="inlineStr">
        <is>
          <t>YACYRETA</t>
        </is>
      </c>
      <c r="G777" s="6" t="inlineStr">
        <is>
          <t>YACYRETA</t>
        </is>
      </c>
      <c r="H777" s="6" t="inlineStr">
        <is>
          <t>SINP</t>
        </is>
      </c>
      <c r="I777" s="8" t="n">
        <v>191751</v>
      </c>
      <c r="J777" s="6" t="inlineStr">
        <is>
          <t>MWh</t>
        </is>
      </c>
      <c r="K777" s="8" t="n">
        <v>191751</v>
      </c>
      <c r="L777" s="6" t="inlineStr">
        <is>
          <t>MWh</t>
        </is>
      </c>
      <c r="M777" s="6" t="inlineStr">
        <is>
          <t>EBY</t>
        </is>
      </c>
      <c r="N777" s="6" t="inlineStr">
        <is>
          <t>OFFICIAL_PRIMARY</t>
        </is>
      </c>
      <c r="O777" s="9" t="inlineStr">
        <is>
          <t>OFFICIAL_AGGREGATE</t>
        </is>
      </c>
      <c r="P777" s="8" t="n">
        <v>1</v>
      </c>
      <c r="Q777" s="8" t="n">
        <v>50</v>
      </c>
      <c r="R777" s="7" t="inlineStr">
        <is>
          <t>https://www.eby.gov.py/wp-content/uploads/2019/12/YacyretaEnergiasMensualesDesdePuestaenMarcha.pdf</t>
        </is>
      </c>
      <c r="S777" s="6" t="inlineStr">
        <is>
          <t>EBY-MONTHLY-1994-2012</t>
        </is>
      </c>
      <c r="T777" s="6" t="inlineStr"/>
      <c r="U777" s="4" t="inlineStr">
        <is>
          <t>2026-09-10 23:00:00</t>
        </is>
      </c>
      <c r="V777" s="4" t="inlineStr">
        <is>
          <t>Energia mensual entregada al SINP.</t>
        </is>
      </c>
    </row>
    <row r="778">
      <c r="A778" s="6" t="inlineStr">
        <is>
          <t>R0000782</t>
        </is>
      </c>
      <c r="B778" s="6" t="inlineStr">
        <is>
          <t>2011-12-01</t>
        </is>
      </c>
      <c r="C778" s="6" t="inlineStr">
        <is>
          <t>2011-12-31</t>
        </is>
      </c>
      <c r="D778" s="6" t="inlineStr">
        <is>
          <t>month</t>
        </is>
      </c>
      <c r="E778" s="6" t="inlineStr">
        <is>
          <t>YACYRETA_NET_ENERGY</t>
        </is>
      </c>
      <c r="F778" s="6" t="inlineStr">
        <is>
          <t>YACYRETA</t>
        </is>
      </c>
      <c r="G778" s="6" t="inlineStr">
        <is>
          <t>YACYRETA</t>
        </is>
      </c>
      <c r="H778" s="6" t="inlineStr">
        <is>
          <t>TOTAL</t>
        </is>
      </c>
      <c r="I778" s="8" t="n">
        <v>1739664</v>
      </c>
      <c r="J778" s="6" t="inlineStr">
        <is>
          <t>MWh</t>
        </is>
      </c>
      <c r="K778" s="8" t="n">
        <v>1739664</v>
      </c>
      <c r="L778" s="6" t="inlineStr">
        <is>
          <t>MWh</t>
        </is>
      </c>
      <c r="M778" s="6" t="inlineStr">
        <is>
          <t>EBY</t>
        </is>
      </c>
      <c r="N778" s="6" t="inlineStr">
        <is>
          <t>OFFICIAL_PRIMARY</t>
        </is>
      </c>
      <c r="O778" s="9" t="inlineStr">
        <is>
          <t>OFFICIAL_AGGREGATE</t>
        </is>
      </c>
      <c r="P778" s="8" t="n">
        <v>1</v>
      </c>
      <c r="Q778" s="8" t="n">
        <v>50</v>
      </c>
      <c r="R778" s="7" t="inlineStr">
        <is>
          <t>https://www.eby.gov.py/wp-content/uploads/2019/12/YacyretaEnergiasMensualesDesdePuestaenMarcha.pdf</t>
        </is>
      </c>
      <c r="S778" s="6" t="inlineStr">
        <is>
          <t>EBY-MONTHLY-1994-2012</t>
        </is>
      </c>
      <c r="T778" s="6" t="inlineStr"/>
      <c r="U778" s="4" t="inlineStr">
        <is>
          <t>2026-09-10 23:00:00</t>
        </is>
      </c>
      <c r="V778" s="4" t="inlineStr">
        <is>
          <t>Energia mensual Yacyreta desde puesta en marcha.</t>
        </is>
      </c>
    </row>
    <row r="779">
      <c r="A779" s="6" t="inlineStr">
        <is>
          <t>R0000783</t>
        </is>
      </c>
      <c r="B779" s="6" t="inlineStr">
        <is>
          <t>2011-12-01</t>
        </is>
      </c>
      <c r="C779" s="6" t="inlineStr">
        <is>
          <t>2011-12-31</t>
        </is>
      </c>
      <c r="D779" s="6" t="inlineStr">
        <is>
          <t>month</t>
        </is>
      </c>
      <c r="E779" s="6" t="inlineStr">
        <is>
          <t>ENERGY_TO_ARGENTINA</t>
        </is>
      </c>
      <c r="F779" s="6" t="inlineStr">
        <is>
          <t>YACYRETA</t>
        </is>
      </c>
      <c r="G779" s="6" t="inlineStr">
        <is>
          <t>YACYRETA</t>
        </is>
      </c>
      <c r="H779" s="6" t="inlineStr">
        <is>
          <t>SADI</t>
        </is>
      </c>
      <c r="I779" s="8" t="n">
        <v>1521236</v>
      </c>
      <c r="J779" s="6" t="inlineStr">
        <is>
          <t>MWh</t>
        </is>
      </c>
      <c r="K779" s="8" t="n">
        <v>1521236</v>
      </c>
      <c r="L779" s="6" t="inlineStr">
        <is>
          <t>MWh</t>
        </is>
      </c>
      <c r="M779" s="6" t="inlineStr">
        <is>
          <t>EBY</t>
        </is>
      </c>
      <c r="N779" s="6" t="inlineStr">
        <is>
          <t>OFFICIAL_PRIMARY</t>
        </is>
      </c>
      <c r="O779" s="9" t="inlineStr">
        <is>
          <t>OFFICIAL_AGGREGATE</t>
        </is>
      </c>
      <c r="P779" s="8" t="n">
        <v>1</v>
      </c>
      <c r="Q779" s="8" t="n">
        <v>50</v>
      </c>
      <c r="R779" s="7" t="inlineStr">
        <is>
          <t>https://www.eby.gov.py/wp-content/uploads/2019/12/YacyretaEnergiasMensualesDesdePuestaenMarcha.pdf</t>
        </is>
      </c>
      <c r="S779" s="6" t="inlineStr">
        <is>
          <t>EBY-MONTHLY-1994-2012</t>
        </is>
      </c>
      <c r="T779" s="6" t="inlineStr"/>
      <c r="U779" s="4" t="inlineStr">
        <is>
          <t>2026-09-10 23:00:00</t>
        </is>
      </c>
      <c r="V779" s="4" t="inlineStr">
        <is>
          <t>Energia mensual entregada al SADI.</t>
        </is>
      </c>
    </row>
    <row r="780">
      <c r="A780" s="6" t="inlineStr">
        <is>
          <t>R0000784</t>
        </is>
      </c>
      <c r="B780" s="6" t="inlineStr">
        <is>
          <t>2011-12-01</t>
        </is>
      </c>
      <c r="C780" s="6" t="inlineStr">
        <is>
          <t>2011-12-31</t>
        </is>
      </c>
      <c r="D780" s="6" t="inlineStr">
        <is>
          <t>month</t>
        </is>
      </c>
      <c r="E780" s="6" t="inlineStr">
        <is>
          <t>ENERGY_TO_PY</t>
        </is>
      </c>
      <c r="F780" s="6" t="inlineStr">
        <is>
          <t>YACYRETA</t>
        </is>
      </c>
      <c r="G780" s="6" t="inlineStr">
        <is>
          <t>YACYRETA</t>
        </is>
      </c>
      <c r="H780" s="6" t="inlineStr">
        <is>
          <t>SINP</t>
        </is>
      </c>
      <c r="I780" s="8" t="n">
        <v>218428</v>
      </c>
      <c r="J780" s="6" t="inlineStr">
        <is>
          <t>MWh</t>
        </is>
      </c>
      <c r="K780" s="8" t="n">
        <v>218428</v>
      </c>
      <c r="L780" s="6" t="inlineStr">
        <is>
          <t>MWh</t>
        </is>
      </c>
      <c r="M780" s="6" t="inlineStr">
        <is>
          <t>EBY</t>
        </is>
      </c>
      <c r="N780" s="6" t="inlineStr">
        <is>
          <t>OFFICIAL_PRIMARY</t>
        </is>
      </c>
      <c r="O780" s="9" t="inlineStr">
        <is>
          <t>OFFICIAL_AGGREGATE</t>
        </is>
      </c>
      <c r="P780" s="8" t="n">
        <v>1</v>
      </c>
      <c r="Q780" s="8" t="n">
        <v>50</v>
      </c>
      <c r="R780" s="7" t="inlineStr">
        <is>
          <t>https://www.eby.gov.py/wp-content/uploads/2019/12/YacyretaEnergiasMensualesDesdePuestaenMarcha.pdf</t>
        </is>
      </c>
      <c r="S780" s="6" t="inlineStr">
        <is>
          <t>EBY-MONTHLY-1994-2012</t>
        </is>
      </c>
      <c r="T780" s="6" t="inlineStr"/>
      <c r="U780" s="4" t="inlineStr">
        <is>
          <t>2026-09-10 23:00:00</t>
        </is>
      </c>
      <c r="V780" s="4" t="inlineStr">
        <is>
          <t>Energia mensual entregada al SINP.</t>
        </is>
      </c>
    </row>
    <row r="781">
      <c r="A781" s="6" t="inlineStr">
        <is>
          <t>R0000785</t>
        </is>
      </c>
      <c r="B781" s="6" t="inlineStr">
        <is>
          <t>2012-01-01</t>
        </is>
      </c>
      <c r="C781" s="6" t="inlineStr">
        <is>
          <t>2012-01-31</t>
        </is>
      </c>
      <c r="D781" s="6" t="inlineStr">
        <is>
          <t>month</t>
        </is>
      </c>
      <c r="E781" s="6" t="inlineStr">
        <is>
          <t>YACYRETA_NET_ENERGY</t>
        </is>
      </c>
      <c r="F781" s="6" t="inlineStr">
        <is>
          <t>YACYRETA</t>
        </is>
      </c>
      <c r="G781" s="6" t="inlineStr">
        <is>
          <t>YACYRETA</t>
        </is>
      </c>
      <c r="H781" s="6" t="inlineStr">
        <is>
          <t>TOTAL</t>
        </is>
      </c>
      <c r="I781" s="8" t="n">
        <v>1716579</v>
      </c>
      <c r="J781" s="6" t="inlineStr">
        <is>
          <t>MWh</t>
        </is>
      </c>
      <c r="K781" s="8" t="n">
        <v>1716579</v>
      </c>
      <c r="L781" s="6" t="inlineStr">
        <is>
          <t>MWh</t>
        </is>
      </c>
      <c r="M781" s="6" t="inlineStr">
        <is>
          <t>EBY</t>
        </is>
      </c>
      <c r="N781" s="6" t="inlineStr">
        <is>
          <t>OFFICIAL_PRIMARY</t>
        </is>
      </c>
      <c r="O781" s="9" t="inlineStr">
        <is>
          <t>OFFICIAL_AGGREGATE</t>
        </is>
      </c>
      <c r="P781" s="8" t="n">
        <v>1</v>
      </c>
      <c r="Q781" s="8" t="n">
        <v>50</v>
      </c>
      <c r="R781" s="7" t="inlineStr">
        <is>
          <t>https://www.eby.gov.py/wp-content/uploads/2019/12/YacyretaEnergiasMensualesDesdePuestaenMarcha.pdf</t>
        </is>
      </c>
      <c r="S781" s="6" t="inlineStr">
        <is>
          <t>EBY-MONTHLY-1994-2012</t>
        </is>
      </c>
      <c r="T781" s="6" t="inlineStr"/>
      <c r="U781" s="4" t="inlineStr">
        <is>
          <t>2026-09-10 23:00:00</t>
        </is>
      </c>
      <c r="V781" s="4" t="inlineStr">
        <is>
          <t>Energia mensual Yacyreta desde puesta en marcha.</t>
        </is>
      </c>
    </row>
    <row r="782">
      <c r="A782" s="6" t="inlineStr">
        <is>
          <t>R0000786</t>
        </is>
      </c>
      <c r="B782" s="6" t="inlineStr">
        <is>
          <t>2012-01-01</t>
        </is>
      </c>
      <c r="C782" s="6" t="inlineStr">
        <is>
          <t>2012-01-31</t>
        </is>
      </c>
      <c r="D782" s="6" t="inlineStr">
        <is>
          <t>month</t>
        </is>
      </c>
      <c r="E782" s="6" t="inlineStr">
        <is>
          <t>ENERGY_TO_ARGENTINA</t>
        </is>
      </c>
      <c r="F782" s="6" t="inlineStr">
        <is>
          <t>YACYRETA</t>
        </is>
      </c>
      <c r="G782" s="6" t="inlineStr">
        <is>
          <t>YACYRETA</t>
        </is>
      </c>
      <c r="H782" s="6" t="inlineStr">
        <is>
          <t>SADI</t>
        </is>
      </c>
      <c r="I782" s="8" t="n">
        <v>1481404</v>
      </c>
      <c r="J782" s="6" t="inlineStr">
        <is>
          <t>MWh</t>
        </is>
      </c>
      <c r="K782" s="8" t="n">
        <v>1481404</v>
      </c>
      <c r="L782" s="6" t="inlineStr">
        <is>
          <t>MWh</t>
        </is>
      </c>
      <c r="M782" s="6" t="inlineStr">
        <is>
          <t>EBY</t>
        </is>
      </c>
      <c r="N782" s="6" t="inlineStr">
        <is>
          <t>OFFICIAL_PRIMARY</t>
        </is>
      </c>
      <c r="O782" s="9" t="inlineStr">
        <is>
          <t>OFFICIAL_AGGREGATE</t>
        </is>
      </c>
      <c r="P782" s="8" t="n">
        <v>1</v>
      </c>
      <c r="Q782" s="8" t="n">
        <v>50</v>
      </c>
      <c r="R782" s="7" t="inlineStr">
        <is>
          <t>https://www.eby.gov.py/wp-content/uploads/2019/12/YacyretaEnergiasMensualesDesdePuestaenMarcha.pdf</t>
        </is>
      </c>
      <c r="S782" s="6" t="inlineStr">
        <is>
          <t>EBY-MONTHLY-1994-2012</t>
        </is>
      </c>
      <c r="T782" s="6" t="inlineStr"/>
      <c r="U782" s="4" t="inlineStr">
        <is>
          <t>2026-09-10 23:00:00</t>
        </is>
      </c>
      <c r="V782" s="4" t="inlineStr">
        <is>
          <t>Energia mensual entregada al SADI.</t>
        </is>
      </c>
    </row>
    <row r="783">
      <c r="A783" s="6" t="inlineStr">
        <is>
          <t>R0000787</t>
        </is>
      </c>
      <c r="B783" s="6" t="inlineStr">
        <is>
          <t>2012-01-01</t>
        </is>
      </c>
      <c r="C783" s="6" t="inlineStr">
        <is>
          <t>2012-01-31</t>
        </is>
      </c>
      <c r="D783" s="6" t="inlineStr">
        <is>
          <t>month</t>
        </is>
      </c>
      <c r="E783" s="6" t="inlineStr">
        <is>
          <t>ENERGY_TO_PY</t>
        </is>
      </c>
      <c r="F783" s="6" t="inlineStr">
        <is>
          <t>YACYRETA</t>
        </is>
      </c>
      <c r="G783" s="6" t="inlineStr">
        <is>
          <t>YACYRETA</t>
        </is>
      </c>
      <c r="H783" s="6" t="inlineStr">
        <is>
          <t>SINP</t>
        </is>
      </c>
      <c r="I783" s="8" t="n">
        <v>235175</v>
      </c>
      <c r="J783" s="6" t="inlineStr">
        <is>
          <t>MWh</t>
        </is>
      </c>
      <c r="K783" s="8" t="n">
        <v>235175</v>
      </c>
      <c r="L783" s="6" t="inlineStr">
        <is>
          <t>MWh</t>
        </is>
      </c>
      <c r="M783" s="6" t="inlineStr">
        <is>
          <t>EBY</t>
        </is>
      </c>
      <c r="N783" s="6" t="inlineStr">
        <is>
          <t>OFFICIAL_PRIMARY</t>
        </is>
      </c>
      <c r="O783" s="9" t="inlineStr">
        <is>
          <t>OFFICIAL_AGGREGATE</t>
        </is>
      </c>
      <c r="P783" s="8" t="n">
        <v>1</v>
      </c>
      <c r="Q783" s="8" t="n">
        <v>50</v>
      </c>
      <c r="R783" s="7" t="inlineStr">
        <is>
          <t>https://www.eby.gov.py/wp-content/uploads/2019/12/YacyretaEnergiasMensualesDesdePuestaenMarcha.pdf</t>
        </is>
      </c>
      <c r="S783" s="6" t="inlineStr">
        <is>
          <t>EBY-MONTHLY-1994-2012</t>
        </is>
      </c>
      <c r="T783" s="6" t="inlineStr"/>
      <c r="U783" s="4" t="inlineStr">
        <is>
          <t>2026-09-10 23:00:00</t>
        </is>
      </c>
      <c r="V783" s="4" t="inlineStr">
        <is>
          <t>Energia mensual entregada al SINP.</t>
        </is>
      </c>
    </row>
    <row r="784">
      <c r="A784" s="6" t="inlineStr">
        <is>
          <t>R0000788</t>
        </is>
      </c>
      <c r="B784" s="6" t="inlineStr">
        <is>
          <t>2012-02-01</t>
        </is>
      </c>
      <c r="C784" s="6" t="inlineStr">
        <is>
          <t>2012-02-29</t>
        </is>
      </c>
      <c r="D784" s="6" t="inlineStr">
        <is>
          <t>month</t>
        </is>
      </c>
      <c r="E784" s="6" t="inlineStr">
        <is>
          <t>YACYRETA_NET_ENERGY</t>
        </is>
      </c>
      <c r="F784" s="6" t="inlineStr">
        <is>
          <t>YACYRETA</t>
        </is>
      </c>
      <c r="G784" s="6" t="inlineStr">
        <is>
          <t>YACYRETA</t>
        </is>
      </c>
      <c r="H784" s="6" t="inlineStr">
        <is>
          <t>TOTAL</t>
        </is>
      </c>
      <c r="I784" s="8" t="n">
        <v>1606281</v>
      </c>
      <c r="J784" s="6" t="inlineStr">
        <is>
          <t>MWh</t>
        </is>
      </c>
      <c r="K784" s="8" t="n">
        <v>1606281</v>
      </c>
      <c r="L784" s="6" t="inlineStr">
        <is>
          <t>MWh</t>
        </is>
      </c>
      <c r="M784" s="6" t="inlineStr">
        <is>
          <t>EBY</t>
        </is>
      </c>
      <c r="N784" s="6" t="inlineStr">
        <is>
          <t>OFFICIAL_PRIMARY</t>
        </is>
      </c>
      <c r="O784" s="9" t="inlineStr">
        <is>
          <t>OFFICIAL_AGGREGATE</t>
        </is>
      </c>
      <c r="P784" s="8" t="n">
        <v>1</v>
      </c>
      <c r="Q784" s="8" t="n">
        <v>50</v>
      </c>
      <c r="R784" s="7" t="inlineStr">
        <is>
          <t>https://www.eby.gov.py/wp-content/uploads/2019/12/YacyretaEnergiasMensualesDesdePuestaenMarcha.pdf</t>
        </is>
      </c>
      <c r="S784" s="6" t="inlineStr">
        <is>
          <t>EBY-MONTHLY-1994-2012</t>
        </is>
      </c>
      <c r="T784" s="6" t="inlineStr"/>
      <c r="U784" s="4" t="inlineStr">
        <is>
          <t>2026-09-10 23:00:00</t>
        </is>
      </c>
      <c r="V784" s="4" t="inlineStr">
        <is>
          <t>Energia mensual Yacyreta desde puesta en marcha.</t>
        </is>
      </c>
    </row>
    <row r="785">
      <c r="A785" s="6" t="inlineStr">
        <is>
          <t>R0000789</t>
        </is>
      </c>
      <c r="B785" s="6" t="inlineStr">
        <is>
          <t>2012-02-01</t>
        </is>
      </c>
      <c r="C785" s="6" t="inlineStr">
        <is>
          <t>2012-02-29</t>
        </is>
      </c>
      <c r="D785" s="6" t="inlineStr">
        <is>
          <t>month</t>
        </is>
      </c>
      <c r="E785" s="6" t="inlineStr">
        <is>
          <t>ENERGY_TO_ARGENTINA</t>
        </is>
      </c>
      <c r="F785" s="6" t="inlineStr">
        <is>
          <t>YACYRETA</t>
        </is>
      </c>
      <c r="G785" s="6" t="inlineStr">
        <is>
          <t>YACYRETA</t>
        </is>
      </c>
      <c r="H785" s="6" t="inlineStr">
        <is>
          <t>SADI</t>
        </is>
      </c>
      <c r="I785" s="8" t="n">
        <v>1375254</v>
      </c>
      <c r="J785" s="6" t="inlineStr">
        <is>
          <t>MWh</t>
        </is>
      </c>
      <c r="K785" s="8" t="n">
        <v>1375254</v>
      </c>
      <c r="L785" s="6" t="inlineStr">
        <is>
          <t>MWh</t>
        </is>
      </c>
      <c r="M785" s="6" t="inlineStr">
        <is>
          <t>EBY</t>
        </is>
      </c>
      <c r="N785" s="6" t="inlineStr">
        <is>
          <t>OFFICIAL_PRIMARY</t>
        </is>
      </c>
      <c r="O785" s="9" t="inlineStr">
        <is>
          <t>OFFICIAL_AGGREGATE</t>
        </is>
      </c>
      <c r="P785" s="8" t="n">
        <v>1</v>
      </c>
      <c r="Q785" s="8" t="n">
        <v>50</v>
      </c>
      <c r="R785" s="7" t="inlineStr">
        <is>
          <t>https://www.eby.gov.py/wp-content/uploads/2019/12/YacyretaEnergiasMensualesDesdePuestaenMarcha.pdf</t>
        </is>
      </c>
      <c r="S785" s="6" t="inlineStr">
        <is>
          <t>EBY-MONTHLY-1994-2012</t>
        </is>
      </c>
      <c r="T785" s="6" t="inlineStr"/>
      <c r="U785" s="4" t="inlineStr">
        <is>
          <t>2026-09-10 23:00:00</t>
        </is>
      </c>
      <c r="V785" s="4" t="inlineStr">
        <is>
          <t>Energia mensual entregada al SADI.</t>
        </is>
      </c>
    </row>
    <row r="786">
      <c r="A786" s="6" t="inlineStr">
        <is>
          <t>R0000790</t>
        </is>
      </c>
      <c r="B786" s="6" t="inlineStr">
        <is>
          <t>2012-02-01</t>
        </is>
      </c>
      <c r="C786" s="6" t="inlineStr">
        <is>
          <t>2012-02-29</t>
        </is>
      </c>
      <c r="D786" s="6" t="inlineStr">
        <is>
          <t>month</t>
        </is>
      </c>
      <c r="E786" s="6" t="inlineStr">
        <is>
          <t>ENERGY_TO_PY</t>
        </is>
      </c>
      <c r="F786" s="6" t="inlineStr">
        <is>
          <t>YACYRETA</t>
        </is>
      </c>
      <c r="G786" s="6" t="inlineStr">
        <is>
          <t>YACYRETA</t>
        </is>
      </c>
      <c r="H786" s="6" t="inlineStr">
        <is>
          <t>SINP</t>
        </is>
      </c>
      <c r="I786" s="8" t="n">
        <v>231027</v>
      </c>
      <c r="J786" s="6" t="inlineStr">
        <is>
          <t>MWh</t>
        </is>
      </c>
      <c r="K786" s="8" t="n">
        <v>231027</v>
      </c>
      <c r="L786" s="6" t="inlineStr">
        <is>
          <t>MWh</t>
        </is>
      </c>
      <c r="M786" s="6" t="inlineStr">
        <is>
          <t>EBY</t>
        </is>
      </c>
      <c r="N786" s="6" t="inlineStr">
        <is>
          <t>OFFICIAL_PRIMARY</t>
        </is>
      </c>
      <c r="O786" s="9" t="inlineStr">
        <is>
          <t>OFFICIAL_AGGREGATE</t>
        </is>
      </c>
      <c r="P786" s="8" t="n">
        <v>1</v>
      </c>
      <c r="Q786" s="8" t="n">
        <v>50</v>
      </c>
      <c r="R786" s="7" t="inlineStr">
        <is>
          <t>https://www.eby.gov.py/wp-content/uploads/2019/12/YacyretaEnergiasMensualesDesdePuestaenMarcha.pdf</t>
        </is>
      </c>
      <c r="S786" s="6" t="inlineStr">
        <is>
          <t>EBY-MONTHLY-1994-2012</t>
        </is>
      </c>
      <c r="T786" s="6" t="inlineStr"/>
      <c r="U786" s="4" t="inlineStr">
        <is>
          <t>2026-09-10 23:00:00</t>
        </is>
      </c>
      <c r="V786" s="4" t="inlineStr">
        <is>
          <t>Energia mensual entregada al SINP.</t>
        </is>
      </c>
    </row>
    <row r="787">
      <c r="A787" s="6" t="inlineStr">
        <is>
          <t>R0000791</t>
        </is>
      </c>
      <c r="B787" s="6" t="inlineStr">
        <is>
          <t>2012-03-01</t>
        </is>
      </c>
      <c r="C787" s="6" t="inlineStr">
        <is>
          <t>2012-03-31</t>
        </is>
      </c>
      <c r="D787" s="6" t="inlineStr">
        <is>
          <t>month</t>
        </is>
      </c>
      <c r="E787" s="6" t="inlineStr">
        <is>
          <t>YACYRETA_NET_ENERGY</t>
        </is>
      </c>
      <c r="F787" s="6" t="inlineStr">
        <is>
          <t>YACYRETA</t>
        </is>
      </c>
      <c r="G787" s="6" t="inlineStr">
        <is>
          <t>YACYRETA</t>
        </is>
      </c>
      <c r="H787" s="6" t="inlineStr">
        <is>
          <t>TOTAL</t>
        </is>
      </c>
      <c r="I787" s="8" t="n">
        <v>1700230</v>
      </c>
      <c r="J787" s="6" t="inlineStr">
        <is>
          <t>MWh</t>
        </is>
      </c>
      <c r="K787" s="8" t="n">
        <v>1700230</v>
      </c>
      <c r="L787" s="6" t="inlineStr">
        <is>
          <t>MWh</t>
        </is>
      </c>
      <c r="M787" s="6" t="inlineStr">
        <is>
          <t>EBY</t>
        </is>
      </c>
      <c r="N787" s="6" t="inlineStr">
        <is>
          <t>OFFICIAL_PRIMARY</t>
        </is>
      </c>
      <c r="O787" s="9" t="inlineStr">
        <is>
          <t>OFFICIAL_AGGREGATE</t>
        </is>
      </c>
      <c r="P787" s="8" t="n">
        <v>1</v>
      </c>
      <c r="Q787" s="8" t="n">
        <v>50</v>
      </c>
      <c r="R787" s="7" t="inlineStr">
        <is>
          <t>https://www.eby.gov.py/wp-content/uploads/2019/12/YacyretaEnergiasMensualesDesdePuestaenMarcha.pdf</t>
        </is>
      </c>
      <c r="S787" s="6" t="inlineStr">
        <is>
          <t>EBY-MONTHLY-1994-2012</t>
        </is>
      </c>
      <c r="T787" s="6" t="inlineStr"/>
      <c r="U787" s="4" t="inlineStr">
        <is>
          <t>2026-09-10 23:00:00</t>
        </is>
      </c>
      <c r="V787" s="4" t="inlineStr">
        <is>
          <t>Energia mensual Yacyreta desde puesta en marcha.</t>
        </is>
      </c>
    </row>
    <row r="788">
      <c r="A788" s="6" t="inlineStr">
        <is>
          <t>R0000792</t>
        </is>
      </c>
      <c r="B788" s="6" t="inlineStr">
        <is>
          <t>2012-03-01</t>
        </is>
      </c>
      <c r="C788" s="6" t="inlineStr">
        <is>
          <t>2012-03-31</t>
        </is>
      </c>
      <c r="D788" s="6" t="inlineStr">
        <is>
          <t>month</t>
        </is>
      </c>
      <c r="E788" s="6" t="inlineStr">
        <is>
          <t>ENERGY_TO_ARGENTINA</t>
        </is>
      </c>
      <c r="F788" s="6" t="inlineStr">
        <is>
          <t>YACYRETA</t>
        </is>
      </c>
      <c r="G788" s="6" t="inlineStr">
        <is>
          <t>YACYRETA</t>
        </is>
      </c>
      <c r="H788" s="6" t="inlineStr">
        <is>
          <t>SADI</t>
        </is>
      </c>
      <c r="I788" s="8" t="n">
        <v>1483694</v>
      </c>
      <c r="J788" s="6" t="inlineStr">
        <is>
          <t>MWh</t>
        </is>
      </c>
      <c r="K788" s="8" t="n">
        <v>1483694</v>
      </c>
      <c r="L788" s="6" t="inlineStr">
        <is>
          <t>MWh</t>
        </is>
      </c>
      <c r="M788" s="6" t="inlineStr">
        <is>
          <t>EBY</t>
        </is>
      </c>
      <c r="N788" s="6" t="inlineStr">
        <is>
          <t>OFFICIAL_PRIMARY</t>
        </is>
      </c>
      <c r="O788" s="9" t="inlineStr">
        <is>
          <t>OFFICIAL_AGGREGATE</t>
        </is>
      </c>
      <c r="P788" s="8" t="n">
        <v>1</v>
      </c>
      <c r="Q788" s="8" t="n">
        <v>50</v>
      </c>
      <c r="R788" s="7" t="inlineStr">
        <is>
          <t>https://www.eby.gov.py/wp-content/uploads/2019/12/YacyretaEnergiasMensualesDesdePuestaenMarcha.pdf</t>
        </is>
      </c>
      <c r="S788" s="6" t="inlineStr">
        <is>
          <t>EBY-MONTHLY-1994-2012</t>
        </is>
      </c>
      <c r="T788" s="6" t="inlineStr"/>
      <c r="U788" s="4" t="inlineStr">
        <is>
          <t>2026-09-10 23:00:00</t>
        </is>
      </c>
      <c r="V788" s="4" t="inlineStr">
        <is>
          <t>Energia mensual entregada al SADI.</t>
        </is>
      </c>
    </row>
    <row r="789">
      <c r="A789" s="6" t="inlineStr">
        <is>
          <t>R0000793</t>
        </is>
      </c>
      <c r="B789" s="6" t="inlineStr">
        <is>
          <t>2012-03-01</t>
        </is>
      </c>
      <c r="C789" s="6" t="inlineStr">
        <is>
          <t>2012-03-31</t>
        </is>
      </c>
      <c r="D789" s="6" t="inlineStr">
        <is>
          <t>month</t>
        </is>
      </c>
      <c r="E789" s="6" t="inlineStr">
        <is>
          <t>ENERGY_TO_PY</t>
        </is>
      </c>
      <c r="F789" s="6" t="inlineStr">
        <is>
          <t>YACYRETA</t>
        </is>
      </c>
      <c r="G789" s="6" t="inlineStr">
        <is>
          <t>YACYRETA</t>
        </is>
      </c>
      <c r="H789" s="6" t="inlineStr">
        <is>
          <t>SINP</t>
        </is>
      </c>
      <c r="I789" s="8" t="n">
        <v>216536</v>
      </c>
      <c r="J789" s="6" t="inlineStr">
        <is>
          <t>MWh</t>
        </is>
      </c>
      <c r="K789" s="8" t="n">
        <v>216536</v>
      </c>
      <c r="L789" s="6" t="inlineStr">
        <is>
          <t>MWh</t>
        </is>
      </c>
      <c r="M789" s="6" t="inlineStr">
        <is>
          <t>EBY</t>
        </is>
      </c>
      <c r="N789" s="6" t="inlineStr">
        <is>
          <t>OFFICIAL_PRIMARY</t>
        </is>
      </c>
      <c r="O789" s="9" t="inlineStr">
        <is>
          <t>OFFICIAL_AGGREGATE</t>
        </is>
      </c>
      <c r="P789" s="8" t="n">
        <v>1</v>
      </c>
      <c r="Q789" s="8" t="n">
        <v>50</v>
      </c>
      <c r="R789" s="7" t="inlineStr">
        <is>
          <t>https://www.eby.gov.py/wp-content/uploads/2019/12/YacyretaEnergiasMensualesDesdePuestaenMarcha.pdf</t>
        </is>
      </c>
      <c r="S789" s="6" t="inlineStr">
        <is>
          <t>EBY-MONTHLY-1994-2012</t>
        </is>
      </c>
      <c r="T789" s="6" t="inlineStr"/>
      <c r="U789" s="4" t="inlineStr">
        <is>
          <t>2026-09-10 23:00:00</t>
        </is>
      </c>
      <c r="V789" s="4" t="inlineStr">
        <is>
          <t>Energia mensual entregada al SINP.</t>
        </is>
      </c>
    </row>
    <row r="790">
      <c r="A790" s="6" t="inlineStr">
        <is>
          <t>R0000794</t>
        </is>
      </c>
      <c r="B790" s="6" t="inlineStr">
        <is>
          <t>2012-04-01</t>
        </is>
      </c>
      <c r="C790" s="6" t="inlineStr">
        <is>
          <t>2012-04-30</t>
        </is>
      </c>
      <c r="D790" s="6" t="inlineStr">
        <is>
          <t>month</t>
        </is>
      </c>
      <c r="E790" s="6" t="inlineStr">
        <is>
          <t>YACYRETA_NET_ENERGY</t>
        </is>
      </c>
      <c r="F790" s="6" t="inlineStr">
        <is>
          <t>YACYRETA</t>
        </is>
      </c>
      <c r="G790" s="6" t="inlineStr">
        <is>
          <t>YACYRETA</t>
        </is>
      </c>
      <c r="H790" s="6" t="inlineStr">
        <is>
          <t>TOTAL</t>
        </is>
      </c>
      <c r="I790" s="8" t="n">
        <v>1623288</v>
      </c>
      <c r="J790" s="6" t="inlineStr">
        <is>
          <t>MWh</t>
        </is>
      </c>
      <c r="K790" s="8" t="n">
        <v>1623288</v>
      </c>
      <c r="L790" s="6" t="inlineStr">
        <is>
          <t>MWh</t>
        </is>
      </c>
      <c r="M790" s="6" t="inlineStr">
        <is>
          <t>EBY</t>
        </is>
      </c>
      <c r="N790" s="6" t="inlineStr">
        <is>
          <t>OFFICIAL_PRIMARY</t>
        </is>
      </c>
      <c r="O790" s="9" t="inlineStr">
        <is>
          <t>OFFICIAL_AGGREGATE</t>
        </is>
      </c>
      <c r="P790" s="8" t="n">
        <v>1</v>
      </c>
      <c r="Q790" s="8" t="n">
        <v>50</v>
      </c>
      <c r="R790" s="7" t="inlineStr">
        <is>
          <t>https://www.eby.gov.py/wp-content/uploads/2019/12/YacyretaEnergiasMensualesDesdePuestaenMarcha.pdf</t>
        </is>
      </c>
      <c r="S790" s="6" t="inlineStr">
        <is>
          <t>EBY-MONTHLY-1994-2012</t>
        </is>
      </c>
      <c r="T790" s="6" t="inlineStr"/>
      <c r="U790" s="4" t="inlineStr">
        <is>
          <t>2026-09-10 23:00:00</t>
        </is>
      </c>
      <c r="V790" s="4" t="inlineStr">
        <is>
          <t>Energia mensual Yacyreta desde puesta en marcha.</t>
        </is>
      </c>
    </row>
    <row r="791">
      <c r="A791" s="6" t="inlineStr">
        <is>
          <t>R0000795</t>
        </is>
      </c>
      <c r="B791" s="6" t="inlineStr">
        <is>
          <t>2012-04-01</t>
        </is>
      </c>
      <c r="C791" s="6" t="inlineStr">
        <is>
          <t>2012-04-30</t>
        </is>
      </c>
      <c r="D791" s="6" t="inlineStr">
        <is>
          <t>month</t>
        </is>
      </c>
      <c r="E791" s="6" t="inlineStr">
        <is>
          <t>ENERGY_TO_ARGENTINA</t>
        </is>
      </c>
      <c r="F791" s="6" t="inlineStr">
        <is>
          <t>YACYRETA</t>
        </is>
      </c>
      <c r="G791" s="6" t="inlineStr">
        <is>
          <t>YACYRETA</t>
        </is>
      </c>
      <c r="H791" s="6" t="inlineStr">
        <is>
          <t>SADI</t>
        </is>
      </c>
      <c r="I791" s="8" t="n">
        <v>1445518</v>
      </c>
      <c r="J791" s="6" t="inlineStr">
        <is>
          <t>MWh</t>
        </is>
      </c>
      <c r="K791" s="8" t="n">
        <v>1445518</v>
      </c>
      <c r="L791" s="6" t="inlineStr">
        <is>
          <t>MWh</t>
        </is>
      </c>
      <c r="M791" s="6" t="inlineStr">
        <is>
          <t>EBY</t>
        </is>
      </c>
      <c r="N791" s="6" t="inlineStr">
        <is>
          <t>OFFICIAL_PRIMARY</t>
        </is>
      </c>
      <c r="O791" s="9" t="inlineStr">
        <is>
          <t>OFFICIAL_AGGREGATE</t>
        </is>
      </c>
      <c r="P791" s="8" t="n">
        <v>1</v>
      </c>
      <c r="Q791" s="8" t="n">
        <v>50</v>
      </c>
      <c r="R791" s="7" t="inlineStr">
        <is>
          <t>https://www.eby.gov.py/wp-content/uploads/2019/12/YacyretaEnergiasMensualesDesdePuestaenMarcha.pdf</t>
        </is>
      </c>
      <c r="S791" s="6" t="inlineStr">
        <is>
          <t>EBY-MONTHLY-1994-2012</t>
        </is>
      </c>
      <c r="T791" s="6" t="inlineStr"/>
      <c r="U791" s="4" t="inlineStr">
        <is>
          <t>2026-09-10 23:00:00</t>
        </is>
      </c>
      <c r="V791" s="4" t="inlineStr">
        <is>
          <t>Energia mensual entregada al SADI.</t>
        </is>
      </c>
    </row>
    <row r="792">
      <c r="A792" s="6" t="inlineStr">
        <is>
          <t>R0000796</t>
        </is>
      </c>
      <c r="B792" s="6" t="inlineStr">
        <is>
          <t>2012-04-01</t>
        </is>
      </c>
      <c r="C792" s="6" t="inlineStr">
        <is>
          <t>2012-04-30</t>
        </is>
      </c>
      <c r="D792" s="6" t="inlineStr">
        <is>
          <t>month</t>
        </is>
      </c>
      <c r="E792" s="6" t="inlineStr">
        <is>
          <t>ENERGY_TO_PY</t>
        </is>
      </c>
      <c r="F792" s="6" t="inlineStr">
        <is>
          <t>YACYRETA</t>
        </is>
      </c>
      <c r="G792" s="6" t="inlineStr">
        <is>
          <t>YACYRETA</t>
        </is>
      </c>
      <c r="H792" s="6" t="inlineStr">
        <is>
          <t>SINP</t>
        </is>
      </c>
      <c r="I792" s="8" t="n">
        <v>177770</v>
      </c>
      <c r="J792" s="6" t="inlineStr">
        <is>
          <t>MWh</t>
        </is>
      </c>
      <c r="K792" s="8" t="n">
        <v>177770</v>
      </c>
      <c r="L792" s="6" t="inlineStr">
        <is>
          <t>MWh</t>
        </is>
      </c>
      <c r="M792" s="6" t="inlineStr">
        <is>
          <t>EBY</t>
        </is>
      </c>
      <c r="N792" s="6" t="inlineStr">
        <is>
          <t>OFFICIAL_PRIMARY</t>
        </is>
      </c>
      <c r="O792" s="9" t="inlineStr">
        <is>
          <t>OFFICIAL_AGGREGATE</t>
        </is>
      </c>
      <c r="P792" s="8" t="n">
        <v>1</v>
      </c>
      <c r="Q792" s="8" t="n">
        <v>50</v>
      </c>
      <c r="R792" s="7" t="inlineStr">
        <is>
          <t>https://www.eby.gov.py/wp-content/uploads/2019/12/YacyretaEnergiasMensualesDesdePuestaenMarcha.pdf</t>
        </is>
      </c>
      <c r="S792" s="6" t="inlineStr">
        <is>
          <t>EBY-MONTHLY-1994-2012</t>
        </is>
      </c>
      <c r="T792" s="6" t="inlineStr"/>
      <c r="U792" s="4" t="inlineStr">
        <is>
          <t>2026-09-10 23:00:00</t>
        </is>
      </c>
      <c r="V792" s="4" t="inlineStr">
        <is>
          <t>Energia mensual entregada al SINP.</t>
        </is>
      </c>
    </row>
    <row r="793">
      <c r="A793" s="6" t="inlineStr">
        <is>
          <t>R0000797</t>
        </is>
      </c>
      <c r="B793" s="6" t="inlineStr">
        <is>
          <t>2012-05-01</t>
        </is>
      </c>
      <c r="C793" s="6" t="inlineStr">
        <is>
          <t>2012-05-31</t>
        </is>
      </c>
      <c r="D793" s="6" t="inlineStr">
        <is>
          <t>month</t>
        </is>
      </c>
      <c r="E793" s="6" t="inlineStr">
        <is>
          <t>YACYRETA_NET_ENERGY</t>
        </is>
      </c>
      <c r="F793" s="6" t="inlineStr">
        <is>
          <t>YACYRETA</t>
        </is>
      </c>
      <c r="G793" s="6" t="inlineStr">
        <is>
          <t>YACYRETA</t>
        </is>
      </c>
      <c r="H793" s="6" t="inlineStr">
        <is>
          <t>TOTAL</t>
        </is>
      </c>
      <c r="I793" s="8" t="n">
        <v>1712564</v>
      </c>
      <c r="J793" s="6" t="inlineStr">
        <is>
          <t>MWh</t>
        </is>
      </c>
      <c r="K793" s="8" t="n">
        <v>1712564</v>
      </c>
      <c r="L793" s="6" t="inlineStr">
        <is>
          <t>MWh</t>
        </is>
      </c>
      <c r="M793" s="6" t="inlineStr">
        <is>
          <t>EBY</t>
        </is>
      </c>
      <c r="N793" s="6" t="inlineStr">
        <is>
          <t>OFFICIAL_PRIMARY</t>
        </is>
      </c>
      <c r="O793" s="9" t="inlineStr">
        <is>
          <t>OFFICIAL_AGGREGATE</t>
        </is>
      </c>
      <c r="P793" s="8" t="n">
        <v>1</v>
      </c>
      <c r="Q793" s="8" t="n">
        <v>50</v>
      </c>
      <c r="R793" s="7" t="inlineStr">
        <is>
          <t>https://www.eby.gov.py/wp-content/uploads/2019/12/YacyretaEnergiasMensualesDesdePuestaenMarcha.pdf</t>
        </is>
      </c>
      <c r="S793" s="6" t="inlineStr">
        <is>
          <t>EBY-MONTHLY-1994-2012</t>
        </is>
      </c>
      <c r="T793" s="6" t="inlineStr"/>
      <c r="U793" s="4" t="inlineStr">
        <is>
          <t>2026-09-10 23:00:00</t>
        </is>
      </c>
      <c r="V793" s="4" t="inlineStr">
        <is>
          <t>Energia mensual Yacyreta desde puesta en marcha.</t>
        </is>
      </c>
    </row>
    <row r="794">
      <c r="A794" s="6" t="inlineStr">
        <is>
          <t>R0000798</t>
        </is>
      </c>
      <c r="B794" s="6" t="inlineStr">
        <is>
          <t>2012-05-01</t>
        </is>
      </c>
      <c r="C794" s="6" t="inlineStr">
        <is>
          <t>2012-05-31</t>
        </is>
      </c>
      <c r="D794" s="6" t="inlineStr">
        <is>
          <t>month</t>
        </is>
      </c>
      <c r="E794" s="6" t="inlineStr">
        <is>
          <t>ENERGY_TO_ARGENTINA</t>
        </is>
      </c>
      <c r="F794" s="6" t="inlineStr">
        <is>
          <t>YACYRETA</t>
        </is>
      </c>
      <c r="G794" s="6" t="inlineStr">
        <is>
          <t>YACYRETA</t>
        </is>
      </c>
      <c r="H794" s="6" t="inlineStr">
        <is>
          <t>SADI</t>
        </is>
      </c>
      <c r="I794" s="8" t="n">
        <v>1524898</v>
      </c>
      <c r="J794" s="6" t="inlineStr">
        <is>
          <t>MWh</t>
        </is>
      </c>
      <c r="K794" s="8" t="n">
        <v>1524898</v>
      </c>
      <c r="L794" s="6" t="inlineStr">
        <is>
          <t>MWh</t>
        </is>
      </c>
      <c r="M794" s="6" t="inlineStr">
        <is>
          <t>EBY</t>
        </is>
      </c>
      <c r="N794" s="6" t="inlineStr">
        <is>
          <t>OFFICIAL_PRIMARY</t>
        </is>
      </c>
      <c r="O794" s="9" t="inlineStr">
        <is>
          <t>OFFICIAL_AGGREGATE</t>
        </is>
      </c>
      <c r="P794" s="8" t="n">
        <v>1</v>
      </c>
      <c r="Q794" s="8" t="n">
        <v>50</v>
      </c>
      <c r="R794" s="7" t="inlineStr">
        <is>
          <t>https://www.eby.gov.py/wp-content/uploads/2019/12/YacyretaEnergiasMensualesDesdePuestaenMarcha.pdf</t>
        </is>
      </c>
      <c r="S794" s="6" t="inlineStr">
        <is>
          <t>EBY-MONTHLY-1994-2012</t>
        </is>
      </c>
      <c r="T794" s="6" t="inlineStr"/>
      <c r="U794" s="4" t="inlineStr">
        <is>
          <t>2026-09-10 23:00:00</t>
        </is>
      </c>
      <c r="V794" s="4" t="inlineStr">
        <is>
          <t>Energia mensual entregada al SADI.</t>
        </is>
      </c>
    </row>
    <row r="795">
      <c r="A795" s="6" t="inlineStr">
        <is>
          <t>R0000799</t>
        </is>
      </c>
      <c r="B795" s="6" t="inlineStr">
        <is>
          <t>2012-05-01</t>
        </is>
      </c>
      <c r="C795" s="6" t="inlineStr">
        <is>
          <t>2012-05-31</t>
        </is>
      </c>
      <c r="D795" s="6" t="inlineStr">
        <is>
          <t>month</t>
        </is>
      </c>
      <c r="E795" s="6" t="inlineStr">
        <is>
          <t>ENERGY_TO_PY</t>
        </is>
      </c>
      <c r="F795" s="6" t="inlineStr">
        <is>
          <t>YACYRETA</t>
        </is>
      </c>
      <c r="G795" s="6" t="inlineStr">
        <is>
          <t>YACYRETA</t>
        </is>
      </c>
      <c r="H795" s="6" t="inlineStr">
        <is>
          <t>SINP</t>
        </is>
      </c>
      <c r="I795" s="8" t="n">
        <v>187666</v>
      </c>
      <c r="J795" s="6" t="inlineStr">
        <is>
          <t>MWh</t>
        </is>
      </c>
      <c r="K795" s="8" t="n">
        <v>187666</v>
      </c>
      <c r="L795" s="6" t="inlineStr">
        <is>
          <t>MWh</t>
        </is>
      </c>
      <c r="M795" s="6" t="inlineStr">
        <is>
          <t>EBY</t>
        </is>
      </c>
      <c r="N795" s="6" t="inlineStr">
        <is>
          <t>OFFICIAL_PRIMARY</t>
        </is>
      </c>
      <c r="O795" s="9" t="inlineStr">
        <is>
          <t>OFFICIAL_AGGREGATE</t>
        </is>
      </c>
      <c r="P795" s="8" t="n">
        <v>1</v>
      </c>
      <c r="Q795" s="8" t="n">
        <v>50</v>
      </c>
      <c r="R795" s="7" t="inlineStr">
        <is>
          <t>https://www.eby.gov.py/wp-content/uploads/2019/12/YacyretaEnergiasMensualesDesdePuestaenMarcha.pdf</t>
        </is>
      </c>
      <c r="S795" s="6" t="inlineStr">
        <is>
          <t>EBY-MONTHLY-1994-2012</t>
        </is>
      </c>
      <c r="T795" s="6" t="inlineStr"/>
      <c r="U795" s="4" t="inlineStr">
        <is>
          <t>2026-09-10 23:00:00</t>
        </is>
      </c>
      <c r="V795" s="4" t="inlineStr">
        <is>
          <t>Energia mensual entregada al SINP.</t>
        </is>
      </c>
    </row>
    <row r="796">
      <c r="A796" s="6" t="inlineStr">
        <is>
          <t>R0000800</t>
        </is>
      </c>
      <c r="B796" s="6" t="inlineStr">
        <is>
          <t>2012-06-01</t>
        </is>
      </c>
      <c r="C796" s="6" t="inlineStr">
        <is>
          <t>2012-06-30</t>
        </is>
      </c>
      <c r="D796" s="6" t="inlineStr">
        <is>
          <t>month</t>
        </is>
      </c>
      <c r="E796" s="6" t="inlineStr">
        <is>
          <t>YACYRETA_NET_ENERGY</t>
        </is>
      </c>
      <c r="F796" s="6" t="inlineStr">
        <is>
          <t>YACYRETA</t>
        </is>
      </c>
      <c r="G796" s="6" t="inlineStr">
        <is>
          <t>YACYRETA</t>
        </is>
      </c>
      <c r="H796" s="6" t="inlineStr">
        <is>
          <t>TOTAL</t>
        </is>
      </c>
      <c r="I796" s="8" t="n">
        <v>1771047</v>
      </c>
      <c r="J796" s="6" t="inlineStr">
        <is>
          <t>MWh</t>
        </is>
      </c>
      <c r="K796" s="8" t="n">
        <v>1771047</v>
      </c>
      <c r="L796" s="6" t="inlineStr">
        <is>
          <t>MWh</t>
        </is>
      </c>
      <c r="M796" s="6" t="inlineStr">
        <is>
          <t>EBY</t>
        </is>
      </c>
      <c r="N796" s="6" t="inlineStr">
        <is>
          <t>OFFICIAL_PRIMARY</t>
        </is>
      </c>
      <c r="O796" s="9" t="inlineStr">
        <is>
          <t>OFFICIAL_AGGREGATE</t>
        </is>
      </c>
      <c r="P796" s="8" t="n">
        <v>1</v>
      </c>
      <c r="Q796" s="8" t="n">
        <v>50</v>
      </c>
      <c r="R796" s="7" t="inlineStr">
        <is>
          <t>https://www.eby.gov.py/wp-content/uploads/2019/12/YacyretaEnergiasMensualesDesdePuestaenMarcha.pdf</t>
        </is>
      </c>
      <c r="S796" s="6" t="inlineStr">
        <is>
          <t>EBY-MONTHLY-1994-2012</t>
        </is>
      </c>
      <c r="T796" s="6" t="inlineStr"/>
      <c r="U796" s="4" t="inlineStr">
        <is>
          <t>2026-09-10 23:00:00</t>
        </is>
      </c>
      <c r="V796" s="4" t="inlineStr">
        <is>
          <t>Energia mensual Yacyreta desde puesta en marcha.</t>
        </is>
      </c>
    </row>
    <row r="797">
      <c r="A797" s="6" t="inlineStr">
        <is>
          <t>R0000801</t>
        </is>
      </c>
      <c r="B797" s="6" t="inlineStr">
        <is>
          <t>2012-06-01</t>
        </is>
      </c>
      <c r="C797" s="6" t="inlineStr">
        <is>
          <t>2012-06-30</t>
        </is>
      </c>
      <c r="D797" s="6" t="inlineStr">
        <is>
          <t>month</t>
        </is>
      </c>
      <c r="E797" s="6" t="inlineStr">
        <is>
          <t>ENERGY_TO_ARGENTINA</t>
        </is>
      </c>
      <c r="F797" s="6" t="inlineStr">
        <is>
          <t>YACYRETA</t>
        </is>
      </c>
      <c r="G797" s="6" t="inlineStr">
        <is>
          <t>YACYRETA</t>
        </is>
      </c>
      <c r="H797" s="6" t="inlineStr">
        <is>
          <t>SADI</t>
        </is>
      </c>
      <c r="I797" s="8" t="n">
        <v>1580578</v>
      </c>
      <c r="J797" s="6" t="inlineStr">
        <is>
          <t>MWh</t>
        </is>
      </c>
      <c r="K797" s="8" t="n">
        <v>1580578</v>
      </c>
      <c r="L797" s="6" t="inlineStr">
        <is>
          <t>MWh</t>
        </is>
      </c>
      <c r="M797" s="6" t="inlineStr">
        <is>
          <t>EBY</t>
        </is>
      </c>
      <c r="N797" s="6" t="inlineStr">
        <is>
          <t>OFFICIAL_PRIMARY</t>
        </is>
      </c>
      <c r="O797" s="9" t="inlineStr">
        <is>
          <t>OFFICIAL_AGGREGATE</t>
        </is>
      </c>
      <c r="P797" s="8" t="n">
        <v>1</v>
      </c>
      <c r="Q797" s="8" t="n">
        <v>50</v>
      </c>
      <c r="R797" s="7" t="inlineStr">
        <is>
          <t>https://www.eby.gov.py/wp-content/uploads/2019/12/YacyretaEnergiasMensualesDesdePuestaenMarcha.pdf</t>
        </is>
      </c>
      <c r="S797" s="6" t="inlineStr">
        <is>
          <t>EBY-MONTHLY-1994-2012</t>
        </is>
      </c>
      <c r="T797" s="6" t="inlineStr"/>
      <c r="U797" s="4" t="inlineStr">
        <is>
          <t>2026-09-10 23:00:00</t>
        </is>
      </c>
      <c r="V797" s="4" t="inlineStr">
        <is>
          <t>Energia mensual entregada al SADI.</t>
        </is>
      </c>
    </row>
    <row r="798">
      <c r="A798" s="6" t="inlineStr">
        <is>
          <t>R0000802</t>
        </is>
      </c>
      <c r="B798" s="6" t="inlineStr">
        <is>
          <t>2012-06-01</t>
        </is>
      </c>
      <c r="C798" s="6" t="inlineStr">
        <is>
          <t>2012-06-30</t>
        </is>
      </c>
      <c r="D798" s="6" t="inlineStr">
        <is>
          <t>month</t>
        </is>
      </c>
      <c r="E798" s="6" t="inlineStr">
        <is>
          <t>ENERGY_TO_PY</t>
        </is>
      </c>
      <c r="F798" s="6" t="inlineStr">
        <is>
          <t>YACYRETA</t>
        </is>
      </c>
      <c r="G798" s="6" t="inlineStr">
        <is>
          <t>YACYRETA</t>
        </is>
      </c>
      <c r="H798" s="6" t="inlineStr">
        <is>
          <t>SINP</t>
        </is>
      </c>
      <c r="I798" s="8" t="n">
        <v>190469</v>
      </c>
      <c r="J798" s="6" t="inlineStr">
        <is>
          <t>MWh</t>
        </is>
      </c>
      <c r="K798" s="8" t="n">
        <v>190469</v>
      </c>
      <c r="L798" s="6" t="inlineStr">
        <is>
          <t>MWh</t>
        </is>
      </c>
      <c r="M798" s="6" t="inlineStr">
        <is>
          <t>EBY</t>
        </is>
      </c>
      <c r="N798" s="6" t="inlineStr">
        <is>
          <t>OFFICIAL_PRIMARY</t>
        </is>
      </c>
      <c r="O798" s="9" t="inlineStr">
        <is>
          <t>OFFICIAL_AGGREGATE</t>
        </is>
      </c>
      <c r="P798" s="8" t="n">
        <v>1</v>
      </c>
      <c r="Q798" s="8" t="n">
        <v>50</v>
      </c>
      <c r="R798" s="7" t="inlineStr">
        <is>
          <t>https://www.eby.gov.py/wp-content/uploads/2019/12/YacyretaEnergiasMensualesDesdePuestaenMarcha.pdf</t>
        </is>
      </c>
      <c r="S798" s="6" t="inlineStr">
        <is>
          <t>EBY-MONTHLY-1994-2012</t>
        </is>
      </c>
      <c r="T798" s="6" t="inlineStr"/>
      <c r="U798" s="4" t="inlineStr">
        <is>
          <t>2026-09-10 23:00:00</t>
        </is>
      </c>
      <c r="V798" s="4" t="inlineStr">
        <is>
          <t>Energia mensual entregada al SINP.</t>
        </is>
      </c>
    </row>
    <row r="799">
      <c r="A799" s="6" t="inlineStr">
        <is>
          <t>R0000803</t>
        </is>
      </c>
      <c r="B799" s="6" t="inlineStr">
        <is>
          <t>1994-01-01</t>
        </is>
      </c>
      <c r="C799" s="6" t="inlineStr">
        <is>
          <t>1994-12-31</t>
        </is>
      </c>
      <c r="D799" s="6" t="inlineStr">
        <is>
          <t>year</t>
        </is>
      </c>
      <c r="E799" s="6" t="inlineStr">
        <is>
          <t>YACYRETA_NET_ENERGY</t>
        </is>
      </c>
      <c r="F799" s="6" t="inlineStr">
        <is>
          <t>YACYRETA</t>
        </is>
      </c>
      <c r="G799" s="6" t="inlineStr">
        <is>
          <t>YACYRETA</t>
        </is>
      </c>
      <c r="H799" s="6" t="inlineStr">
        <is>
          <t>TOTAL</t>
        </is>
      </c>
      <c r="I799" s="8" t="n">
        <v>355361</v>
      </c>
      <c r="J799" s="6" t="inlineStr">
        <is>
          <t>MWh</t>
        </is>
      </c>
      <c r="K799" s="8" t="n">
        <v>355361</v>
      </c>
      <c r="L799" s="6" t="inlineStr">
        <is>
          <t>MWh</t>
        </is>
      </c>
      <c r="M799" s="6" t="inlineStr">
        <is>
          <t>EBY</t>
        </is>
      </c>
      <c r="N799" s="6" t="inlineStr">
        <is>
          <t>OFFICIAL_PRIMARY</t>
        </is>
      </c>
      <c r="O799" s="9" t="inlineStr">
        <is>
          <t>OFFICIAL_AGGREGATE</t>
        </is>
      </c>
      <c r="P799" s="8" t="n">
        <v>1</v>
      </c>
      <c r="Q799" s="8" t="n">
        <v>50</v>
      </c>
      <c r="R799" s="7" t="inlineStr">
        <is>
          <t>https://www.eby.gov.py/wp-content/uploads/2019/12/YacyretaEnergiasMensualesDesdePuestaenMarcha.pdf</t>
        </is>
      </c>
      <c r="S799" s="6" t="inlineStr">
        <is>
          <t>EBY-MONTHLY-1994-2012</t>
        </is>
      </c>
      <c r="T799" s="6" t="inlineStr"/>
      <c r="U799" s="4" t="inlineStr">
        <is>
          <t>2026-09-10 23:00:00</t>
        </is>
      </c>
      <c r="V799" s="4" t="inlineStr">
        <is>
          <t>Total anual publicado.</t>
        </is>
      </c>
    </row>
    <row r="800">
      <c r="A800" s="6" t="inlineStr">
        <is>
          <t>R0000804</t>
        </is>
      </c>
      <c r="B800" s="6" t="inlineStr">
        <is>
          <t>1994-01-01</t>
        </is>
      </c>
      <c r="C800" s="6" t="inlineStr">
        <is>
          <t>1994-12-31</t>
        </is>
      </c>
      <c r="D800" s="6" t="inlineStr">
        <is>
          <t>year</t>
        </is>
      </c>
      <c r="E800" s="6" t="inlineStr">
        <is>
          <t>ENERGY_TO_ARGENTINA</t>
        </is>
      </c>
      <c r="F800" s="6" t="inlineStr">
        <is>
          <t>YACYRETA</t>
        </is>
      </c>
      <c r="G800" s="6" t="inlineStr">
        <is>
          <t>YACYRETA</t>
        </is>
      </c>
      <c r="H800" s="6" t="inlineStr">
        <is>
          <t>SADI</t>
        </is>
      </c>
      <c r="I800" s="8" t="n">
        <v>355361</v>
      </c>
      <c r="J800" s="6" t="inlineStr">
        <is>
          <t>MWh</t>
        </is>
      </c>
      <c r="K800" s="8" t="n">
        <v>355361</v>
      </c>
      <c r="L800" s="6" t="inlineStr">
        <is>
          <t>MWh</t>
        </is>
      </c>
      <c r="M800" s="6" t="inlineStr">
        <is>
          <t>EBY</t>
        </is>
      </c>
      <c r="N800" s="6" t="inlineStr">
        <is>
          <t>OFFICIAL_PRIMARY</t>
        </is>
      </c>
      <c r="O800" s="9" t="inlineStr">
        <is>
          <t>OFFICIAL_AGGREGATE</t>
        </is>
      </c>
      <c r="P800" s="8" t="n">
        <v>1</v>
      </c>
      <c r="Q800" s="8" t="n">
        <v>50</v>
      </c>
      <c r="R800" s="7" t="inlineStr">
        <is>
          <t>https://www.eby.gov.py/wp-content/uploads/2019/12/YacyretaEnergiasMensualesDesdePuestaenMarcha.pdf</t>
        </is>
      </c>
      <c r="S800" s="6" t="inlineStr">
        <is>
          <t>EBY-MONTHLY-1994-2012</t>
        </is>
      </c>
      <c r="T800" s="6" t="inlineStr"/>
      <c r="U800" s="4" t="inlineStr">
        <is>
          <t>2026-09-10 23:00:00</t>
        </is>
      </c>
      <c r="V800" s="4" t="inlineStr">
        <is>
          <t>Total anual publicado.</t>
        </is>
      </c>
    </row>
    <row r="801">
      <c r="A801" s="6" t="inlineStr">
        <is>
          <t>R0000805</t>
        </is>
      </c>
      <c r="B801" s="6" t="inlineStr">
        <is>
          <t>1994-01-01</t>
        </is>
      </c>
      <c r="C801" s="6" t="inlineStr">
        <is>
          <t>1994-12-31</t>
        </is>
      </c>
      <c r="D801" s="6" t="inlineStr">
        <is>
          <t>year</t>
        </is>
      </c>
      <c r="E801" s="6" t="inlineStr">
        <is>
          <t>ENERGY_TO_PY</t>
        </is>
      </c>
      <c r="F801" s="6" t="inlineStr">
        <is>
          <t>YACYRETA</t>
        </is>
      </c>
      <c r="G801" s="6" t="inlineStr">
        <is>
          <t>YACYRETA</t>
        </is>
      </c>
      <c r="H801" s="6" t="inlineStr">
        <is>
          <t>SINP</t>
        </is>
      </c>
      <c r="I801" s="8" t="n">
        <v>0</v>
      </c>
      <c r="J801" s="6" t="inlineStr">
        <is>
          <t>MWh</t>
        </is>
      </c>
      <c r="K801" s="8" t="n">
        <v>0</v>
      </c>
      <c r="L801" s="6" t="inlineStr">
        <is>
          <t>MWh</t>
        </is>
      </c>
      <c r="M801" s="6" t="inlineStr">
        <is>
          <t>EBY</t>
        </is>
      </c>
      <c r="N801" s="6" t="inlineStr">
        <is>
          <t>OFFICIAL_PRIMARY</t>
        </is>
      </c>
      <c r="O801" s="9" t="inlineStr">
        <is>
          <t>OFFICIAL_AGGREGATE</t>
        </is>
      </c>
      <c r="P801" s="8" t="n">
        <v>1</v>
      </c>
      <c r="Q801" s="8" t="n">
        <v>50</v>
      </c>
      <c r="R801" s="7" t="inlineStr">
        <is>
          <t>https://www.eby.gov.py/wp-content/uploads/2019/12/YacyretaEnergiasMensualesDesdePuestaenMarcha.pdf</t>
        </is>
      </c>
      <c r="S801" s="6" t="inlineStr">
        <is>
          <t>EBY-MONTHLY-1994-2012</t>
        </is>
      </c>
      <c r="T801" s="6" t="inlineStr"/>
      <c r="U801" s="4" t="inlineStr">
        <is>
          <t>2026-09-10 23:00:00</t>
        </is>
      </c>
      <c r="V801" s="4" t="inlineStr">
        <is>
          <t>Total anual publicado.</t>
        </is>
      </c>
    </row>
    <row r="802">
      <c r="A802" s="6" t="inlineStr">
        <is>
          <t>R0000806</t>
        </is>
      </c>
      <c r="B802" s="6" t="inlineStr">
        <is>
          <t>1995-01-01</t>
        </is>
      </c>
      <c r="C802" s="6" t="inlineStr">
        <is>
          <t>1995-12-31</t>
        </is>
      </c>
      <c r="D802" s="6" t="inlineStr">
        <is>
          <t>year</t>
        </is>
      </c>
      <c r="E802" s="6" t="inlineStr">
        <is>
          <t>YACYRETA_NET_ENERGY</t>
        </is>
      </c>
      <c r="F802" s="6" t="inlineStr">
        <is>
          <t>YACYRETA</t>
        </is>
      </c>
      <c r="G802" s="6" t="inlineStr">
        <is>
          <t>YACYRETA</t>
        </is>
      </c>
      <c r="H802" s="6" t="inlineStr">
        <is>
          <t>TOTAL</t>
        </is>
      </c>
      <c r="I802" s="8" t="n">
        <v>3792345</v>
      </c>
      <c r="J802" s="6" t="inlineStr">
        <is>
          <t>MWh</t>
        </is>
      </c>
      <c r="K802" s="8" t="n">
        <v>3792345</v>
      </c>
      <c r="L802" s="6" t="inlineStr">
        <is>
          <t>MWh</t>
        </is>
      </c>
      <c r="M802" s="6" t="inlineStr">
        <is>
          <t>EBY</t>
        </is>
      </c>
      <c r="N802" s="6" t="inlineStr">
        <is>
          <t>OFFICIAL_PRIMARY</t>
        </is>
      </c>
      <c r="O802" s="9" t="inlineStr">
        <is>
          <t>OFFICIAL_AGGREGATE</t>
        </is>
      </c>
      <c r="P802" s="8" t="n">
        <v>1</v>
      </c>
      <c r="Q802" s="8" t="n">
        <v>50</v>
      </c>
      <c r="R802" s="7" t="inlineStr">
        <is>
          <t>https://www.eby.gov.py/wp-content/uploads/2019/12/YacyretaEnergiasMensualesDesdePuestaenMarcha.pdf</t>
        </is>
      </c>
      <c r="S802" s="6" t="inlineStr">
        <is>
          <t>EBY-MONTHLY-1994-2012</t>
        </is>
      </c>
      <c r="T802" s="6" t="inlineStr"/>
      <c r="U802" s="4" t="inlineStr">
        <is>
          <t>2026-09-10 23:00:00</t>
        </is>
      </c>
      <c r="V802" s="4" t="inlineStr">
        <is>
          <t>Total anual publicado.</t>
        </is>
      </c>
    </row>
    <row r="803">
      <c r="A803" s="6" t="inlineStr">
        <is>
          <t>R0000807</t>
        </is>
      </c>
      <c r="B803" s="6" t="inlineStr">
        <is>
          <t>1995-01-01</t>
        </is>
      </c>
      <c r="C803" s="6" t="inlineStr">
        <is>
          <t>1995-12-31</t>
        </is>
      </c>
      <c r="D803" s="6" t="inlineStr">
        <is>
          <t>year</t>
        </is>
      </c>
      <c r="E803" s="6" t="inlineStr">
        <is>
          <t>ENERGY_TO_ARGENTINA</t>
        </is>
      </c>
      <c r="F803" s="6" t="inlineStr">
        <is>
          <t>YACYRETA</t>
        </is>
      </c>
      <c r="G803" s="6" t="inlineStr">
        <is>
          <t>YACYRETA</t>
        </is>
      </c>
      <c r="H803" s="6" t="inlineStr">
        <is>
          <t>SADI</t>
        </is>
      </c>
      <c r="I803" s="8" t="n">
        <v>3792345</v>
      </c>
      <c r="J803" s="6" t="inlineStr">
        <is>
          <t>MWh</t>
        </is>
      </c>
      <c r="K803" s="8" t="n">
        <v>3792345</v>
      </c>
      <c r="L803" s="6" t="inlineStr">
        <is>
          <t>MWh</t>
        </is>
      </c>
      <c r="M803" s="6" t="inlineStr">
        <is>
          <t>EBY</t>
        </is>
      </c>
      <c r="N803" s="6" t="inlineStr">
        <is>
          <t>OFFICIAL_PRIMARY</t>
        </is>
      </c>
      <c r="O803" s="9" t="inlineStr">
        <is>
          <t>OFFICIAL_AGGREGATE</t>
        </is>
      </c>
      <c r="P803" s="8" t="n">
        <v>1</v>
      </c>
      <c r="Q803" s="8" t="n">
        <v>50</v>
      </c>
      <c r="R803" s="7" t="inlineStr">
        <is>
          <t>https://www.eby.gov.py/wp-content/uploads/2019/12/YacyretaEnergiasMensualesDesdePuestaenMarcha.pdf</t>
        </is>
      </c>
      <c r="S803" s="6" t="inlineStr">
        <is>
          <t>EBY-MONTHLY-1994-2012</t>
        </is>
      </c>
      <c r="T803" s="6" t="inlineStr"/>
      <c r="U803" s="4" t="inlineStr">
        <is>
          <t>2026-09-10 23:00:00</t>
        </is>
      </c>
      <c r="V803" s="4" t="inlineStr">
        <is>
          <t>Total anual publicado.</t>
        </is>
      </c>
    </row>
    <row r="804">
      <c r="A804" s="6" t="inlineStr">
        <is>
          <t>R0000808</t>
        </is>
      </c>
      <c r="B804" s="6" t="inlineStr">
        <is>
          <t>1995-01-01</t>
        </is>
      </c>
      <c r="C804" s="6" t="inlineStr">
        <is>
          <t>1995-12-31</t>
        </is>
      </c>
      <c r="D804" s="6" t="inlineStr">
        <is>
          <t>year</t>
        </is>
      </c>
      <c r="E804" s="6" t="inlineStr">
        <is>
          <t>ENERGY_TO_PY</t>
        </is>
      </c>
      <c r="F804" s="6" t="inlineStr">
        <is>
          <t>YACYRETA</t>
        </is>
      </c>
      <c r="G804" s="6" t="inlineStr">
        <is>
          <t>YACYRETA</t>
        </is>
      </c>
      <c r="H804" s="6" t="inlineStr">
        <is>
          <t>SINP</t>
        </is>
      </c>
      <c r="I804" s="8" t="n">
        <v>0</v>
      </c>
      <c r="J804" s="6" t="inlineStr">
        <is>
          <t>MWh</t>
        </is>
      </c>
      <c r="K804" s="8" t="n">
        <v>0</v>
      </c>
      <c r="L804" s="6" t="inlineStr">
        <is>
          <t>MWh</t>
        </is>
      </c>
      <c r="M804" s="6" t="inlineStr">
        <is>
          <t>EBY</t>
        </is>
      </c>
      <c r="N804" s="6" t="inlineStr">
        <is>
          <t>OFFICIAL_PRIMARY</t>
        </is>
      </c>
      <c r="O804" s="9" t="inlineStr">
        <is>
          <t>OFFICIAL_AGGREGATE</t>
        </is>
      </c>
      <c r="P804" s="8" t="n">
        <v>1</v>
      </c>
      <c r="Q804" s="8" t="n">
        <v>50</v>
      </c>
      <c r="R804" s="7" t="inlineStr">
        <is>
          <t>https://www.eby.gov.py/wp-content/uploads/2019/12/YacyretaEnergiasMensualesDesdePuestaenMarcha.pdf</t>
        </is>
      </c>
      <c r="S804" s="6" t="inlineStr">
        <is>
          <t>EBY-MONTHLY-1994-2012</t>
        </is>
      </c>
      <c r="T804" s="6" t="inlineStr"/>
      <c r="U804" s="4" t="inlineStr">
        <is>
          <t>2026-09-10 23:00:00</t>
        </is>
      </c>
      <c r="V804" s="4" t="inlineStr">
        <is>
          <t>Total anual publicado.</t>
        </is>
      </c>
    </row>
    <row r="805">
      <c r="A805" s="6" t="inlineStr">
        <is>
          <t>R0000809</t>
        </is>
      </c>
      <c r="B805" s="6" t="inlineStr">
        <is>
          <t>1996-01-01</t>
        </is>
      </c>
      <c r="C805" s="6" t="inlineStr">
        <is>
          <t>1996-12-31</t>
        </is>
      </c>
      <c r="D805" s="6" t="inlineStr">
        <is>
          <t>year</t>
        </is>
      </c>
      <c r="E805" s="6" t="inlineStr">
        <is>
          <t>YACYRETA_NET_ENERGY</t>
        </is>
      </c>
      <c r="F805" s="6" t="inlineStr">
        <is>
          <t>YACYRETA</t>
        </is>
      </c>
      <c r="G805" s="6" t="inlineStr">
        <is>
          <t>YACYRETA</t>
        </is>
      </c>
      <c r="H805" s="6" t="inlineStr">
        <is>
          <t>TOTAL</t>
        </is>
      </c>
      <c r="I805" s="8" t="n">
        <v>6338424</v>
      </c>
      <c r="J805" s="6" t="inlineStr">
        <is>
          <t>MWh</t>
        </is>
      </c>
      <c r="K805" s="8" t="n">
        <v>6338424</v>
      </c>
      <c r="L805" s="6" t="inlineStr">
        <is>
          <t>MWh</t>
        </is>
      </c>
      <c r="M805" s="6" t="inlineStr">
        <is>
          <t>EBY</t>
        </is>
      </c>
      <c r="N805" s="6" t="inlineStr">
        <is>
          <t>OFFICIAL_PRIMARY</t>
        </is>
      </c>
      <c r="O805" s="9" t="inlineStr">
        <is>
          <t>OFFICIAL_AGGREGATE</t>
        </is>
      </c>
      <c r="P805" s="8" t="n">
        <v>1</v>
      </c>
      <c r="Q805" s="8" t="n">
        <v>50</v>
      </c>
      <c r="R805" s="7" t="inlineStr">
        <is>
          <t>https://www.eby.gov.py/wp-content/uploads/2019/12/YacyretaEnergiasMensualesDesdePuestaenMarcha.pdf</t>
        </is>
      </c>
      <c r="S805" s="6" t="inlineStr">
        <is>
          <t>EBY-MONTHLY-1994-2012</t>
        </is>
      </c>
      <c r="T805" s="6" t="inlineStr"/>
      <c r="U805" s="4" t="inlineStr">
        <is>
          <t>2026-09-10 23:00:00</t>
        </is>
      </c>
      <c r="V805" s="4" t="inlineStr">
        <is>
          <t>Total anual publicado.</t>
        </is>
      </c>
    </row>
    <row r="806">
      <c r="A806" s="6" t="inlineStr">
        <is>
          <t>R0000810</t>
        </is>
      </c>
      <c r="B806" s="6" t="inlineStr">
        <is>
          <t>1996-01-01</t>
        </is>
      </c>
      <c r="C806" s="6" t="inlineStr">
        <is>
          <t>1996-12-31</t>
        </is>
      </c>
      <c r="D806" s="6" t="inlineStr">
        <is>
          <t>year</t>
        </is>
      </c>
      <c r="E806" s="6" t="inlineStr">
        <is>
          <t>ENERGY_TO_ARGENTINA</t>
        </is>
      </c>
      <c r="F806" s="6" t="inlineStr">
        <is>
          <t>YACYRETA</t>
        </is>
      </c>
      <c r="G806" s="6" t="inlineStr">
        <is>
          <t>YACYRETA</t>
        </is>
      </c>
      <c r="H806" s="6" t="inlineStr">
        <is>
          <t>SADI</t>
        </is>
      </c>
      <c r="I806" s="8" t="n">
        <v>6332139</v>
      </c>
      <c r="J806" s="6" t="inlineStr">
        <is>
          <t>MWh</t>
        </is>
      </c>
      <c r="K806" s="8" t="n">
        <v>6332139</v>
      </c>
      <c r="L806" s="6" t="inlineStr">
        <is>
          <t>MWh</t>
        </is>
      </c>
      <c r="M806" s="6" t="inlineStr">
        <is>
          <t>EBY</t>
        </is>
      </c>
      <c r="N806" s="6" t="inlineStr">
        <is>
          <t>OFFICIAL_PRIMARY</t>
        </is>
      </c>
      <c r="O806" s="9" t="inlineStr">
        <is>
          <t>OFFICIAL_AGGREGATE</t>
        </is>
      </c>
      <c r="P806" s="8" t="n">
        <v>1</v>
      </c>
      <c r="Q806" s="8" t="n">
        <v>50</v>
      </c>
      <c r="R806" s="7" t="inlineStr">
        <is>
          <t>https://www.eby.gov.py/wp-content/uploads/2019/12/YacyretaEnergiasMensualesDesdePuestaenMarcha.pdf</t>
        </is>
      </c>
      <c r="S806" s="6" t="inlineStr">
        <is>
          <t>EBY-MONTHLY-1994-2012</t>
        </is>
      </c>
      <c r="T806" s="6" t="inlineStr"/>
      <c r="U806" s="4" t="inlineStr">
        <is>
          <t>2026-09-10 23:00:00</t>
        </is>
      </c>
      <c r="V806" s="4" t="inlineStr">
        <is>
          <t>Total anual publicado.</t>
        </is>
      </c>
    </row>
    <row r="807">
      <c r="A807" s="6" t="inlineStr">
        <is>
          <t>R0000811</t>
        </is>
      </c>
      <c r="B807" s="6" t="inlineStr">
        <is>
          <t>1996-01-01</t>
        </is>
      </c>
      <c r="C807" s="6" t="inlineStr">
        <is>
          <t>1996-12-31</t>
        </is>
      </c>
      <c r="D807" s="6" t="inlineStr">
        <is>
          <t>year</t>
        </is>
      </c>
      <c r="E807" s="6" t="inlineStr">
        <is>
          <t>ENERGY_TO_PY</t>
        </is>
      </c>
      <c r="F807" s="6" t="inlineStr">
        <is>
          <t>YACYRETA</t>
        </is>
      </c>
      <c r="G807" s="6" t="inlineStr">
        <is>
          <t>YACYRETA</t>
        </is>
      </c>
      <c r="H807" s="6" t="inlineStr">
        <is>
          <t>SINP</t>
        </is>
      </c>
      <c r="I807" s="8" t="n">
        <v>6284</v>
      </c>
      <c r="J807" s="6" t="inlineStr">
        <is>
          <t>MWh</t>
        </is>
      </c>
      <c r="K807" s="8" t="n">
        <v>6284</v>
      </c>
      <c r="L807" s="6" t="inlineStr">
        <is>
          <t>MWh</t>
        </is>
      </c>
      <c r="M807" s="6" t="inlineStr">
        <is>
          <t>EBY</t>
        </is>
      </c>
      <c r="N807" s="6" t="inlineStr">
        <is>
          <t>OFFICIAL_PRIMARY</t>
        </is>
      </c>
      <c r="O807" s="9" t="inlineStr">
        <is>
          <t>OFFICIAL_AGGREGATE</t>
        </is>
      </c>
      <c r="P807" s="8" t="n">
        <v>1</v>
      </c>
      <c r="Q807" s="8" t="n">
        <v>50</v>
      </c>
      <c r="R807" s="7" t="inlineStr">
        <is>
          <t>https://www.eby.gov.py/wp-content/uploads/2019/12/YacyretaEnergiasMensualesDesdePuestaenMarcha.pdf</t>
        </is>
      </c>
      <c r="S807" s="6" t="inlineStr">
        <is>
          <t>EBY-MONTHLY-1994-2012</t>
        </is>
      </c>
      <c r="T807" s="6" t="inlineStr"/>
      <c r="U807" s="4" t="inlineStr">
        <is>
          <t>2026-09-10 23:00:00</t>
        </is>
      </c>
      <c r="V807" s="4" t="inlineStr">
        <is>
          <t>Total anual publicado.</t>
        </is>
      </c>
    </row>
    <row r="808">
      <c r="A808" s="6" t="inlineStr">
        <is>
          <t>R0000812</t>
        </is>
      </c>
      <c r="B808" s="6" t="inlineStr">
        <is>
          <t>1997-01-01</t>
        </is>
      </c>
      <c r="C808" s="6" t="inlineStr">
        <is>
          <t>1997-12-31</t>
        </is>
      </c>
      <c r="D808" s="6" t="inlineStr">
        <is>
          <t>year</t>
        </is>
      </c>
      <c r="E808" s="6" t="inlineStr">
        <is>
          <t>YACYRETA_NET_ENERGY</t>
        </is>
      </c>
      <c r="F808" s="6" t="inlineStr">
        <is>
          <t>YACYRETA</t>
        </is>
      </c>
      <c r="G808" s="6" t="inlineStr">
        <is>
          <t>YACYRETA</t>
        </is>
      </c>
      <c r="H808" s="6" t="inlineStr">
        <is>
          <t>TOTAL</t>
        </is>
      </c>
      <c r="I808" s="8" t="n">
        <v>10242292</v>
      </c>
      <c r="J808" s="6" t="inlineStr">
        <is>
          <t>MWh</t>
        </is>
      </c>
      <c r="K808" s="8" t="n">
        <v>10242292</v>
      </c>
      <c r="L808" s="6" t="inlineStr">
        <is>
          <t>MWh</t>
        </is>
      </c>
      <c r="M808" s="6" t="inlineStr">
        <is>
          <t>EBY</t>
        </is>
      </c>
      <c r="N808" s="6" t="inlineStr">
        <is>
          <t>OFFICIAL_PRIMARY</t>
        </is>
      </c>
      <c r="O808" s="9" t="inlineStr">
        <is>
          <t>OFFICIAL_AGGREGATE</t>
        </is>
      </c>
      <c r="P808" s="8" t="n">
        <v>1</v>
      </c>
      <c r="Q808" s="8" t="n">
        <v>50</v>
      </c>
      <c r="R808" s="7" t="inlineStr">
        <is>
          <t>https://www.eby.gov.py/wp-content/uploads/2019/12/YacyretaEnergiasMensualesDesdePuestaenMarcha.pdf</t>
        </is>
      </c>
      <c r="S808" s="6" t="inlineStr">
        <is>
          <t>EBY-MONTHLY-1994-2012</t>
        </is>
      </c>
      <c r="T808" s="6" t="inlineStr"/>
      <c r="U808" s="4" t="inlineStr">
        <is>
          <t>2026-09-10 23:00:00</t>
        </is>
      </c>
      <c r="V808" s="4" t="inlineStr">
        <is>
          <t>Total anual publicado.</t>
        </is>
      </c>
    </row>
    <row r="809">
      <c r="A809" s="6" t="inlineStr">
        <is>
          <t>R0000813</t>
        </is>
      </c>
      <c r="B809" s="6" t="inlineStr">
        <is>
          <t>1997-01-01</t>
        </is>
      </c>
      <c r="C809" s="6" t="inlineStr">
        <is>
          <t>1997-12-31</t>
        </is>
      </c>
      <c r="D809" s="6" t="inlineStr">
        <is>
          <t>year</t>
        </is>
      </c>
      <c r="E809" s="6" t="inlineStr">
        <is>
          <t>ENERGY_TO_ARGENTINA</t>
        </is>
      </c>
      <c r="F809" s="6" t="inlineStr">
        <is>
          <t>YACYRETA</t>
        </is>
      </c>
      <c r="G809" s="6" t="inlineStr">
        <is>
          <t>YACYRETA</t>
        </is>
      </c>
      <c r="H809" s="6" t="inlineStr">
        <is>
          <t>SADI</t>
        </is>
      </c>
      <c r="I809" s="8" t="n">
        <v>10056989</v>
      </c>
      <c r="J809" s="6" t="inlineStr">
        <is>
          <t>MWh</t>
        </is>
      </c>
      <c r="K809" s="8" t="n">
        <v>10056989</v>
      </c>
      <c r="L809" s="6" t="inlineStr">
        <is>
          <t>MWh</t>
        </is>
      </c>
      <c r="M809" s="6" t="inlineStr">
        <is>
          <t>EBY</t>
        </is>
      </c>
      <c r="N809" s="6" t="inlineStr">
        <is>
          <t>OFFICIAL_PRIMARY</t>
        </is>
      </c>
      <c r="O809" s="9" t="inlineStr">
        <is>
          <t>OFFICIAL_AGGREGATE</t>
        </is>
      </c>
      <c r="P809" s="8" t="n">
        <v>1</v>
      </c>
      <c r="Q809" s="8" t="n">
        <v>50</v>
      </c>
      <c r="R809" s="7" t="inlineStr">
        <is>
          <t>https://www.eby.gov.py/wp-content/uploads/2019/12/YacyretaEnergiasMensualesDesdePuestaenMarcha.pdf</t>
        </is>
      </c>
      <c r="S809" s="6" t="inlineStr">
        <is>
          <t>EBY-MONTHLY-1994-2012</t>
        </is>
      </c>
      <c r="T809" s="6" t="inlineStr"/>
      <c r="U809" s="4" t="inlineStr">
        <is>
          <t>2026-09-10 23:00:00</t>
        </is>
      </c>
      <c r="V809" s="4" t="inlineStr">
        <is>
          <t>Total anual publicado.</t>
        </is>
      </c>
    </row>
    <row r="810">
      <c r="A810" s="6" t="inlineStr">
        <is>
          <t>R0000814</t>
        </is>
      </c>
      <c r="B810" s="6" t="inlineStr">
        <is>
          <t>1997-01-01</t>
        </is>
      </c>
      <c r="C810" s="6" t="inlineStr">
        <is>
          <t>1997-12-31</t>
        </is>
      </c>
      <c r="D810" s="6" t="inlineStr">
        <is>
          <t>year</t>
        </is>
      </c>
      <c r="E810" s="6" t="inlineStr">
        <is>
          <t>ENERGY_TO_PY</t>
        </is>
      </c>
      <c r="F810" s="6" t="inlineStr">
        <is>
          <t>YACYRETA</t>
        </is>
      </c>
      <c r="G810" s="6" t="inlineStr">
        <is>
          <t>YACYRETA</t>
        </is>
      </c>
      <c r="H810" s="6" t="inlineStr">
        <is>
          <t>SINP</t>
        </is>
      </c>
      <c r="I810" s="8" t="n">
        <v>185303</v>
      </c>
      <c r="J810" s="6" t="inlineStr">
        <is>
          <t>MWh</t>
        </is>
      </c>
      <c r="K810" s="8" t="n">
        <v>185303</v>
      </c>
      <c r="L810" s="6" t="inlineStr">
        <is>
          <t>MWh</t>
        </is>
      </c>
      <c r="M810" s="6" t="inlineStr">
        <is>
          <t>EBY</t>
        </is>
      </c>
      <c r="N810" s="6" t="inlineStr">
        <is>
          <t>OFFICIAL_PRIMARY</t>
        </is>
      </c>
      <c r="O810" s="9" t="inlineStr">
        <is>
          <t>OFFICIAL_AGGREGATE</t>
        </is>
      </c>
      <c r="P810" s="8" t="n">
        <v>1</v>
      </c>
      <c r="Q810" s="8" t="n">
        <v>50</v>
      </c>
      <c r="R810" s="7" t="inlineStr">
        <is>
          <t>https://www.eby.gov.py/wp-content/uploads/2019/12/YacyretaEnergiasMensualesDesdePuestaenMarcha.pdf</t>
        </is>
      </c>
      <c r="S810" s="6" t="inlineStr">
        <is>
          <t>EBY-MONTHLY-1994-2012</t>
        </is>
      </c>
      <c r="T810" s="6" t="inlineStr"/>
      <c r="U810" s="4" t="inlineStr">
        <is>
          <t>2026-09-10 23:00:00</t>
        </is>
      </c>
      <c r="V810" s="4" t="inlineStr">
        <is>
          <t>Total anual publicado.</t>
        </is>
      </c>
    </row>
    <row r="811">
      <c r="A811" s="6" t="inlineStr">
        <is>
          <t>R0000815</t>
        </is>
      </c>
      <c r="B811" s="6" t="inlineStr">
        <is>
          <t>1998-01-01</t>
        </is>
      </c>
      <c r="C811" s="6" t="inlineStr">
        <is>
          <t>1998-12-31</t>
        </is>
      </c>
      <c r="D811" s="6" t="inlineStr">
        <is>
          <t>year</t>
        </is>
      </c>
      <c r="E811" s="6" t="inlineStr">
        <is>
          <t>YACYRETA_NET_ENERGY</t>
        </is>
      </c>
      <c r="F811" s="6" t="inlineStr">
        <is>
          <t>YACYRETA</t>
        </is>
      </c>
      <c r="G811" s="6" t="inlineStr">
        <is>
          <t>YACYRETA</t>
        </is>
      </c>
      <c r="H811" s="6" t="inlineStr">
        <is>
          <t>TOTAL</t>
        </is>
      </c>
      <c r="I811" s="8" t="n">
        <v>11733715</v>
      </c>
      <c r="J811" s="6" t="inlineStr">
        <is>
          <t>MWh</t>
        </is>
      </c>
      <c r="K811" s="8" t="n">
        <v>11733715</v>
      </c>
      <c r="L811" s="6" t="inlineStr">
        <is>
          <t>MWh</t>
        </is>
      </c>
      <c r="M811" s="6" t="inlineStr">
        <is>
          <t>EBY</t>
        </is>
      </c>
      <c r="N811" s="6" t="inlineStr">
        <is>
          <t>OFFICIAL_PRIMARY</t>
        </is>
      </c>
      <c r="O811" s="9" t="inlineStr">
        <is>
          <t>OFFICIAL_AGGREGATE</t>
        </is>
      </c>
      <c r="P811" s="8" t="n">
        <v>1</v>
      </c>
      <c r="Q811" s="8" t="n">
        <v>50</v>
      </c>
      <c r="R811" s="7" t="inlineStr">
        <is>
          <t>https://www.eby.gov.py/wp-content/uploads/2019/12/YacyretaEnergiasMensualesDesdePuestaenMarcha.pdf</t>
        </is>
      </c>
      <c r="S811" s="6" t="inlineStr">
        <is>
          <t>EBY-MONTHLY-1994-2012</t>
        </is>
      </c>
      <c r="T811" s="6" t="inlineStr"/>
      <c r="U811" s="4" t="inlineStr">
        <is>
          <t>2026-09-10 23:00:00</t>
        </is>
      </c>
      <c r="V811" s="4" t="inlineStr">
        <is>
          <t>Total anual publicado.</t>
        </is>
      </c>
    </row>
    <row r="812">
      <c r="A812" s="6" t="inlineStr">
        <is>
          <t>R0000816</t>
        </is>
      </c>
      <c r="B812" s="6" t="inlineStr">
        <is>
          <t>1998-01-01</t>
        </is>
      </c>
      <c r="C812" s="6" t="inlineStr">
        <is>
          <t>1998-12-31</t>
        </is>
      </c>
      <c r="D812" s="6" t="inlineStr">
        <is>
          <t>year</t>
        </is>
      </c>
      <c r="E812" s="6" t="inlineStr">
        <is>
          <t>ENERGY_TO_ARGENTINA</t>
        </is>
      </c>
      <c r="F812" s="6" t="inlineStr">
        <is>
          <t>YACYRETA</t>
        </is>
      </c>
      <c r="G812" s="6" t="inlineStr">
        <is>
          <t>YACYRETA</t>
        </is>
      </c>
      <c r="H812" s="6" t="inlineStr">
        <is>
          <t>SADI</t>
        </is>
      </c>
      <c r="I812" s="8" t="n">
        <v>11617309</v>
      </c>
      <c r="J812" s="6" t="inlineStr">
        <is>
          <t>MWh</t>
        </is>
      </c>
      <c r="K812" s="8" t="n">
        <v>11617309</v>
      </c>
      <c r="L812" s="6" t="inlineStr">
        <is>
          <t>MWh</t>
        </is>
      </c>
      <c r="M812" s="6" t="inlineStr">
        <is>
          <t>EBY</t>
        </is>
      </c>
      <c r="N812" s="6" t="inlineStr">
        <is>
          <t>OFFICIAL_PRIMARY</t>
        </is>
      </c>
      <c r="O812" s="9" t="inlineStr">
        <is>
          <t>OFFICIAL_AGGREGATE</t>
        </is>
      </c>
      <c r="P812" s="8" t="n">
        <v>1</v>
      </c>
      <c r="Q812" s="8" t="n">
        <v>50</v>
      </c>
      <c r="R812" s="7" t="inlineStr">
        <is>
          <t>https://www.eby.gov.py/wp-content/uploads/2019/12/YacyretaEnergiasMensualesDesdePuestaenMarcha.pdf</t>
        </is>
      </c>
      <c r="S812" s="6" t="inlineStr">
        <is>
          <t>EBY-MONTHLY-1994-2012</t>
        </is>
      </c>
      <c r="T812" s="6" t="inlineStr"/>
      <c r="U812" s="4" t="inlineStr">
        <is>
          <t>2026-09-10 23:00:00</t>
        </is>
      </c>
      <c r="V812" s="4" t="inlineStr">
        <is>
          <t>Total anual publicado.</t>
        </is>
      </c>
    </row>
    <row r="813">
      <c r="A813" s="6" t="inlineStr">
        <is>
          <t>R0000817</t>
        </is>
      </c>
      <c r="B813" s="6" t="inlineStr">
        <is>
          <t>1998-01-01</t>
        </is>
      </c>
      <c r="C813" s="6" t="inlineStr">
        <is>
          <t>1998-12-31</t>
        </is>
      </c>
      <c r="D813" s="6" t="inlineStr">
        <is>
          <t>year</t>
        </is>
      </c>
      <c r="E813" s="6" t="inlineStr">
        <is>
          <t>ENERGY_TO_PY</t>
        </is>
      </c>
      <c r="F813" s="6" t="inlineStr">
        <is>
          <t>YACYRETA</t>
        </is>
      </c>
      <c r="G813" s="6" t="inlineStr">
        <is>
          <t>YACYRETA</t>
        </is>
      </c>
      <c r="H813" s="6" t="inlineStr">
        <is>
          <t>SINP</t>
        </is>
      </c>
      <c r="I813" s="8" t="n">
        <v>116405</v>
      </c>
      <c r="J813" s="6" t="inlineStr">
        <is>
          <t>MWh</t>
        </is>
      </c>
      <c r="K813" s="8" t="n">
        <v>116405</v>
      </c>
      <c r="L813" s="6" t="inlineStr">
        <is>
          <t>MWh</t>
        </is>
      </c>
      <c r="M813" s="6" t="inlineStr">
        <is>
          <t>EBY</t>
        </is>
      </c>
      <c r="N813" s="6" t="inlineStr">
        <is>
          <t>OFFICIAL_PRIMARY</t>
        </is>
      </c>
      <c r="O813" s="9" t="inlineStr">
        <is>
          <t>OFFICIAL_AGGREGATE</t>
        </is>
      </c>
      <c r="P813" s="8" t="n">
        <v>1</v>
      </c>
      <c r="Q813" s="8" t="n">
        <v>50</v>
      </c>
      <c r="R813" s="7" t="inlineStr">
        <is>
          <t>https://www.eby.gov.py/wp-content/uploads/2019/12/YacyretaEnergiasMensualesDesdePuestaenMarcha.pdf</t>
        </is>
      </c>
      <c r="S813" s="6" t="inlineStr">
        <is>
          <t>EBY-MONTHLY-1994-2012</t>
        </is>
      </c>
      <c r="T813" s="6" t="inlineStr"/>
      <c r="U813" s="4" t="inlineStr">
        <is>
          <t>2026-09-10 23:00:00</t>
        </is>
      </c>
      <c r="V813" s="4" t="inlineStr">
        <is>
          <t>Total anual publicado.</t>
        </is>
      </c>
    </row>
    <row r="814">
      <c r="A814" s="6" t="inlineStr">
        <is>
          <t>R0000818</t>
        </is>
      </c>
      <c r="B814" s="6" t="inlineStr">
        <is>
          <t>1999-01-01</t>
        </is>
      </c>
      <c r="C814" s="6" t="inlineStr">
        <is>
          <t>1999-12-31</t>
        </is>
      </c>
      <c r="D814" s="6" t="inlineStr">
        <is>
          <t>year</t>
        </is>
      </c>
      <c r="E814" s="6" t="inlineStr">
        <is>
          <t>YACYRETA_NET_ENERGY</t>
        </is>
      </c>
      <c r="F814" s="6" t="inlineStr">
        <is>
          <t>YACYRETA</t>
        </is>
      </c>
      <c r="G814" s="6" t="inlineStr">
        <is>
          <t>YACYRETA</t>
        </is>
      </c>
      <c r="H814" s="6" t="inlineStr">
        <is>
          <t>TOTAL</t>
        </is>
      </c>
      <c r="I814" s="8" t="n">
        <v>11879445</v>
      </c>
      <c r="J814" s="6" t="inlineStr">
        <is>
          <t>MWh</t>
        </is>
      </c>
      <c r="K814" s="8" t="n">
        <v>11879445</v>
      </c>
      <c r="L814" s="6" t="inlineStr">
        <is>
          <t>MWh</t>
        </is>
      </c>
      <c r="M814" s="6" t="inlineStr">
        <is>
          <t>EBY</t>
        </is>
      </c>
      <c r="N814" s="6" t="inlineStr">
        <is>
          <t>OFFICIAL_PRIMARY</t>
        </is>
      </c>
      <c r="O814" s="9" t="inlineStr">
        <is>
          <t>OFFICIAL_AGGREGATE</t>
        </is>
      </c>
      <c r="P814" s="8" t="n">
        <v>1</v>
      </c>
      <c r="Q814" s="8" t="n">
        <v>50</v>
      </c>
      <c r="R814" s="7" t="inlineStr">
        <is>
          <t>https://www.eby.gov.py/wp-content/uploads/2019/12/YacyretaEnergiasMensualesDesdePuestaenMarcha.pdf</t>
        </is>
      </c>
      <c r="S814" s="6" t="inlineStr">
        <is>
          <t>EBY-MONTHLY-1994-2012</t>
        </is>
      </c>
      <c r="T814" s="6" t="inlineStr"/>
      <c r="U814" s="4" t="inlineStr">
        <is>
          <t>2026-09-10 23:00:00</t>
        </is>
      </c>
      <c r="V814" s="4" t="inlineStr">
        <is>
          <t>Total anual publicado.</t>
        </is>
      </c>
    </row>
    <row r="815">
      <c r="A815" s="6" t="inlineStr">
        <is>
          <t>R0000819</t>
        </is>
      </c>
      <c r="B815" s="6" t="inlineStr">
        <is>
          <t>1999-01-01</t>
        </is>
      </c>
      <c r="C815" s="6" t="inlineStr">
        <is>
          <t>1999-12-31</t>
        </is>
      </c>
      <c r="D815" s="6" t="inlineStr">
        <is>
          <t>year</t>
        </is>
      </c>
      <c r="E815" s="6" t="inlineStr">
        <is>
          <t>ENERGY_TO_ARGENTINA</t>
        </is>
      </c>
      <c r="F815" s="6" t="inlineStr">
        <is>
          <t>YACYRETA</t>
        </is>
      </c>
      <c r="G815" s="6" t="inlineStr">
        <is>
          <t>YACYRETA</t>
        </is>
      </c>
      <c r="H815" s="6" t="inlineStr">
        <is>
          <t>SADI</t>
        </is>
      </c>
      <c r="I815" s="8" t="n">
        <v>11833638</v>
      </c>
      <c r="J815" s="6" t="inlineStr">
        <is>
          <t>MWh</t>
        </is>
      </c>
      <c r="K815" s="8" t="n">
        <v>11833638</v>
      </c>
      <c r="L815" s="6" t="inlineStr">
        <is>
          <t>MWh</t>
        </is>
      </c>
      <c r="M815" s="6" t="inlineStr">
        <is>
          <t>EBY</t>
        </is>
      </c>
      <c r="N815" s="6" t="inlineStr">
        <is>
          <t>OFFICIAL_PRIMARY</t>
        </is>
      </c>
      <c r="O815" s="9" t="inlineStr">
        <is>
          <t>OFFICIAL_AGGREGATE</t>
        </is>
      </c>
      <c r="P815" s="8" t="n">
        <v>1</v>
      </c>
      <c r="Q815" s="8" t="n">
        <v>50</v>
      </c>
      <c r="R815" s="7" t="inlineStr">
        <is>
          <t>https://www.eby.gov.py/wp-content/uploads/2019/12/YacyretaEnergiasMensualesDesdePuestaenMarcha.pdf</t>
        </is>
      </c>
      <c r="S815" s="6" t="inlineStr">
        <is>
          <t>EBY-MONTHLY-1994-2012</t>
        </is>
      </c>
      <c r="T815" s="6" t="inlineStr"/>
      <c r="U815" s="4" t="inlineStr">
        <is>
          <t>2026-09-10 23:00:00</t>
        </is>
      </c>
      <c r="V815" s="4" t="inlineStr">
        <is>
          <t>Total anual publicado.</t>
        </is>
      </c>
    </row>
    <row r="816">
      <c r="A816" s="6" t="inlineStr">
        <is>
          <t>R0000820</t>
        </is>
      </c>
      <c r="B816" s="6" t="inlineStr">
        <is>
          <t>1999-01-01</t>
        </is>
      </c>
      <c r="C816" s="6" t="inlineStr">
        <is>
          <t>1999-12-31</t>
        </is>
      </c>
      <c r="D816" s="6" t="inlineStr">
        <is>
          <t>year</t>
        </is>
      </c>
      <c r="E816" s="6" t="inlineStr">
        <is>
          <t>ENERGY_TO_PY</t>
        </is>
      </c>
      <c r="F816" s="6" t="inlineStr">
        <is>
          <t>YACYRETA</t>
        </is>
      </c>
      <c r="G816" s="6" t="inlineStr">
        <is>
          <t>YACYRETA</t>
        </is>
      </c>
      <c r="H816" s="6" t="inlineStr">
        <is>
          <t>SINP</t>
        </is>
      </c>
      <c r="I816" s="8" t="n">
        <v>45807</v>
      </c>
      <c r="J816" s="6" t="inlineStr">
        <is>
          <t>MWh</t>
        </is>
      </c>
      <c r="K816" s="8" t="n">
        <v>45807</v>
      </c>
      <c r="L816" s="6" t="inlineStr">
        <is>
          <t>MWh</t>
        </is>
      </c>
      <c r="M816" s="6" t="inlineStr">
        <is>
          <t>EBY</t>
        </is>
      </c>
      <c r="N816" s="6" t="inlineStr">
        <is>
          <t>OFFICIAL_PRIMARY</t>
        </is>
      </c>
      <c r="O816" s="9" t="inlineStr">
        <is>
          <t>OFFICIAL_AGGREGATE</t>
        </is>
      </c>
      <c r="P816" s="8" t="n">
        <v>1</v>
      </c>
      <c r="Q816" s="8" t="n">
        <v>50</v>
      </c>
      <c r="R816" s="7" t="inlineStr">
        <is>
          <t>https://www.eby.gov.py/wp-content/uploads/2019/12/YacyretaEnergiasMensualesDesdePuestaenMarcha.pdf</t>
        </is>
      </c>
      <c r="S816" s="6" t="inlineStr">
        <is>
          <t>EBY-MONTHLY-1994-2012</t>
        </is>
      </c>
      <c r="T816" s="6" t="inlineStr"/>
      <c r="U816" s="4" t="inlineStr">
        <is>
          <t>2026-09-10 23:00:00</t>
        </is>
      </c>
      <c r="V816" s="4" t="inlineStr">
        <is>
          <t>Total anual publicado.</t>
        </is>
      </c>
    </row>
    <row r="817">
      <c r="A817" s="6" t="inlineStr">
        <is>
          <t>R0000821</t>
        </is>
      </c>
      <c r="B817" s="6" t="inlineStr">
        <is>
          <t>2000-01-01</t>
        </is>
      </c>
      <c r="C817" s="6" t="inlineStr">
        <is>
          <t>2000-12-31</t>
        </is>
      </c>
      <c r="D817" s="6" t="inlineStr">
        <is>
          <t>year</t>
        </is>
      </c>
      <c r="E817" s="6" t="inlineStr">
        <is>
          <t>YACYRETA_NET_ENERGY</t>
        </is>
      </c>
      <c r="F817" s="6" t="inlineStr">
        <is>
          <t>YACYRETA</t>
        </is>
      </c>
      <c r="G817" s="6" t="inlineStr">
        <is>
          <t>YACYRETA</t>
        </is>
      </c>
      <c r="H817" s="6" t="inlineStr">
        <is>
          <t>TOTAL</t>
        </is>
      </c>
      <c r="I817" s="8" t="n">
        <v>11890356</v>
      </c>
      <c r="J817" s="6" t="inlineStr">
        <is>
          <t>MWh</t>
        </is>
      </c>
      <c r="K817" s="8" t="n">
        <v>11890356</v>
      </c>
      <c r="L817" s="6" t="inlineStr">
        <is>
          <t>MWh</t>
        </is>
      </c>
      <c r="M817" s="6" t="inlineStr">
        <is>
          <t>EBY</t>
        </is>
      </c>
      <c r="N817" s="6" t="inlineStr">
        <is>
          <t>OFFICIAL_PRIMARY</t>
        </is>
      </c>
      <c r="O817" s="9" t="inlineStr">
        <is>
          <t>OFFICIAL_AGGREGATE</t>
        </is>
      </c>
      <c r="P817" s="8" t="n">
        <v>1</v>
      </c>
      <c r="Q817" s="8" t="n">
        <v>50</v>
      </c>
      <c r="R817" s="7" t="inlineStr">
        <is>
          <t>https://www.eby.gov.py/wp-content/uploads/2019/12/YacyretaEnergiasMensualesDesdePuestaenMarcha.pdf</t>
        </is>
      </c>
      <c r="S817" s="6" t="inlineStr">
        <is>
          <t>EBY-MONTHLY-1994-2012</t>
        </is>
      </c>
      <c r="T817" s="6" t="inlineStr"/>
      <c r="U817" s="4" t="inlineStr">
        <is>
          <t>2026-09-10 23:00:00</t>
        </is>
      </c>
      <c r="V817" s="4" t="inlineStr">
        <is>
          <t>Total anual publicado.</t>
        </is>
      </c>
    </row>
    <row r="818">
      <c r="A818" s="6" t="inlineStr">
        <is>
          <t>R0000822</t>
        </is>
      </c>
      <c r="B818" s="6" t="inlineStr">
        <is>
          <t>2000-01-01</t>
        </is>
      </c>
      <c r="C818" s="6" t="inlineStr">
        <is>
          <t>2000-12-31</t>
        </is>
      </c>
      <c r="D818" s="6" t="inlineStr">
        <is>
          <t>year</t>
        </is>
      </c>
      <c r="E818" s="6" t="inlineStr">
        <is>
          <t>ENERGY_TO_ARGENTINA</t>
        </is>
      </c>
      <c r="F818" s="6" t="inlineStr">
        <is>
          <t>YACYRETA</t>
        </is>
      </c>
      <c r="G818" s="6" t="inlineStr">
        <is>
          <t>YACYRETA</t>
        </is>
      </c>
      <c r="H818" s="6" t="inlineStr">
        <is>
          <t>SADI</t>
        </is>
      </c>
      <c r="I818" s="8" t="n">
        <v>11860029</v>
      </c>
      <c r="J818" s="6" t="inlineStr">
        <is>
          <t>MWh</t>
        </is>
      </c>
      <c r="K818" s="8" t="n">
        <v>11860029</v>
      </c>
      <c r="L818" s="6" t="inlineStr">
        <is>
          <t>MWh</t>
        </is>
      </c>
      <c r="M818" s="6" t="inlineStr">
        <is>
          <t>EBY</t>
        </is>
      </c>
      <c r="N818" s="6" t="inlineStr">
        <is>
          <t>OFFICIAL_PRIMARY</t>
        </is>
      </c>
      <c r="O818" s="9" t="inlineStr">
        <is>
          <t>OFFICIAL_AGGREGATE</t>
        </is>
      </c>
      <c r="P818" s="8" t="n">
        <v>1</v>
      </c>
      <c r="Q818" s="8" t="n">
        <v>50</v>
      </c>
      <c r="R818" s="7" t="inlineStr">
        <is>
          <t>https://www.eby.gov.py/wp-content/uploads/2019/12/YacyretaEnergiasMensualesDesdePuestaenMarcha.pdf</t>
        </is>
      </c>
      <c r="S818" s="6" t="inlineStr">
        <is>
          <t>EBY-MONTHLY-1994-2012</t>
        </is>
      </c>
      <c r="T818" s="6" t="inlineStr"/>
      <c r="U818" s="4" t="inlineStr">
        <is>
          <t>2026-09-10 23:00:00</t>
        </is>
      </c>
      <c r="V818" s="4" t="inlineStr">
        <is>
          <t>Total anual publicado.</t>
        </is>
      </c>
    </row>
    <row r="819">
      <c r="A819" s="6" t="inlineStr">
        <is>
          <t>R0000823</t>
        </is>
      </c>
      <c r="B819" s="6" t="inlineStr">
        <is>
          <t>2000-01-01</t>
        </is>
      </c>
      <c r="C819" s="6" t="inlineStr">
        <is>
          <t>2000-12-31</t>
        </is>
      </c>
      <c r="D819" s="6" t="inlineStr">
        <is>
          <t>year</t>
        </is>
      </c>
      <c r="E819" s="6" t="inlineStr">
        <is>
          <t>ENERGY_TO_PY</t>
        </is>
      </c>
      <c r="F819" s="6" t="inlineStr">
        <is>
          <t>YACYRETA</t>
        </is>
      </c>
      <c r="G819" s="6" t="inlineStr">
        <is>
          <t>YACYRETA</t>
        </is>
      </c>
      <c r="H819" s="6" t="inlineStr">
        <is>
          <t>SINP</t>
        </is>
      </c>
      <c r="I819" s="8" t="n">
        <v>30327</v>
      </c>
      <c r="J819" s="6" t="inlineStr">
        <is>
          <t>MWh</t>
        </is>
      </c>
      <c r="K819" s="8" t="n">
        <v>30327</v>
      </c>
      <c r="L819" s="6" t="inlineStr">
        <is>
          <t>MWh</t>
        </is>
      </c>
      <c r="M819" s="6" t="inlineStr">
        <is>
          <t>EBY</t>
        </is>
      </c>
      <c r="N819" s="6" t="inlineStr">
        <is>
          <t>OFFICIAL_PRIMARY</t>
        </is>
      </c>
      <c r="O819" s="9" t="inlineStr">
        <is>
          <t>OFFICIAL_AGGREGATE</t>
        </is>
      </c>
      <c r="P819" s="8" t="n">
        <v>1</v>
      </c>
      <c r="Q819" s="8" t="n">
        <v>50</v>
      </c>
      <c r="R819" s="7" t="inlineStr">
        <is>
          <t>https://www.eby.gov.py/wp-content/uploads/2019/12/YacyretaEnergiasMensualesDesdePuestaenMarcha.pdf</t>
        </is>
      </c>
      <c r="S819" s="6" t="inlineStr">
        <is>
          <t>EBY-MONTHLY-1994-2012</t>
        </is>
      </c>
      <c r="T819" s="6" t="inlineStr"/>
      <c r="U819" s="4" t="inlineStr">
        <is>
          <t>2026-09-10 23:00:00</t>
        </is>
      </c>
      <c r="V819" s="4" t="inlineStr">
        <is>
          <t>Total anual publicado.</t>
        </is>
      </c>
    </row>
    <row r="820">
      <c r="A820" s="6" t="inlineStr">
        <is>
          <t>R0000824</t>
        </is>
      </c>
      <c r="B820" s="6" t="inlineStr">
        <is>
          <t>2001-01-01</t>
        </is>
      </c>
      <c r="C820" s="6" t="inlineStr">
        <is>
          <t>2001-12-31</t>
        </is>
      </c>
      <c r="D820" s="6" t="inlineStr">
        <is>
          <t>year</t>
        </is>
      </c>
      <c r="E820" s="6" t="inlineStr">
        <is>
          <t>YACYRETA_NET_ENERGY</t>
        </is>
      </c>
      <c r="F820" s="6" t="inlineStr">
        <is>
          <t>YACYRETA</t>
        </is>
      </c>
      <c r="G820" s="6" t="inlineStr">
        <is>
          <t>YACYRETA</t>
        </is>
      </c>
      <c r="H820" s="6" t="inlineStr">
        <is>
          <t>TOTAL</t>
        </is>
      </c>
      <c r="I820" s="8" t="n">
        <v>11507494</v>
      </c>
      <c r="J820" s="6" t="inlineStr">
        <is>
          <t>MWh</t>
        </is>
      </c>
      <c r="K820" s="8" t="n">
        <v>11507494</v>
      </c>
      <c r="L820" s="6" t="inlineStr">
        <is>
          <t>MWh</t>
        </is>
      </c>
      <c r="M820" s="6" t="inlineStr">
        <is>
          <t>EBY</t>
        </is>
      </c>
      <c r="N820" s="6" t="inlineStr">
        <is>
          <t>OFFICIAL_PRIMARY</t>
        </is>
      </c>
      <c r="O820" s="9" t="inlineStr">
        <is>
          <t>OFFICIAL_AGGREGATE</t>
        </is>
      </c>
      <c r="P820" s="8" t="n">
        <v>1</v>
      </c>
      <c r="Q820" s="8" t="n">
        <v>50</v>
      </c>
      <c r="R820" s="7" t="inlineStr">
        <is>
          <t>https://www.eby.gov.py/wp-content/uploads/2019/12/YacyretaEnergiasMensualesDesdePuestaenMarcha.pdf</t>
        </is>
      </c>
      <c r="S820" s="6" t="inlineStr">
        <is>
          <t>EBY-MONTHLY-1994-2012</t>
        </is>
      </c>
      <c r="T820" s="6" t="inlineStr"/>
      <c r="U820" s="4" t="inlineStr">
        <is>
          <t>2026-09-10 23:00:00</t>
        </is>
      </c>
      <c r="V820" s="4" t="inlineStr">
        <is>
          <t>Total anual publicado.</t>
        </is>
      </c>
    </row>
    <row r="821">
      <c r="A821" s="6" t="inlineStr">
        <is>
          <t>R0000825</t>
        </is>
      </c>
      <c r="B821" s="6" t="inlineStr">
        <is>
          <t>2001-01-01</t>
        </is>
      </c>
      <c r="C821" s="6" t="inlineStr">
        <is>
          <t>2001-12-31</t>
        </is>
      </c>
      <c r="D821" s="6" t="inlineStr">
        <is>
          <t>year</t>
        </is>
      </c>
      <c r="E821" s="6" t="inlineStr">
        <is>
          <t>ENERGY_TO_ARGENTINA</t>
        </is>
      </c>
      <c r="F821" s="6" t="inlineStr">
        <is>
          <t>YACYRETA</t>
        </is>
      </c>
      <c r="G821" s="6" t="inlineStr">
        <is>
          <t>YACYRETA</t>
        </is>
      </c>
      <c r="H821" s="6" t="inlineStr">
        <is>
          <t>SADI</t>
        </is>
      </c>
      <c r="I821" s="8" t="n">
        <v>11421675</v>
      </c>
      <c r="J821" s="6" t="inlineStr">
        <is>
          <t>MWh</t>
        </is>
      </c>
      <c r="K821" s="8" t="n">
        <v>11421675</v>
      </c>
      <c r="L821" s="6" t="inlineStr">
        <is>
          <t>MWh</t>
        </is>
      </c>
      <c r="M821" s="6" t="inlineStr">
        <is>
          <t>EBY</t>
        </is>
      </c>
      <c r="N821" s="6" t="inlineStr">
        <is>
          <t>OFFICIAL_PRIMARY</t>
        </is>
      </c>
      <c r="O821" s="9" t="inlineStr">
        <is>
          <t>OFFICIAL_AGGREGATE</t>
        </is>
      </c>
      <c r="P821" s="8" t="n">
        <v>1</v>
      </c>
      <c r="Q821" s="8" t="n">
        <v>50</v>
      </c>
      <c r="R821" s="7" t="inlineStr">
        <is>
          <t>https://www.eby.gov.py/wp-content/uploads/2019/12/YacyretaEnergiasMensualesDesdePuestaenMarcha.pdf</t>
        </is>
      </c>
      <c r="S821" s="6" t="inlineStr">
        <is>
          <t>EBY-MONTHLY-1994-2012</t>
        </is>
      </c>
      <c r="T821" s="6" t="inlineStr"/>
      <c r="U821" s="4" t="inlineStr">
        <is>
          <t>2026-09-10 23:00:00</t>
        </is>
      </c>
      <c r="V821" s="4" t="inlineStr">
        <is>
          <t>Total anual publicado.</t>
        </is>
      </c>
    </row>
    <row r="822">
      <c r="A822" s="6" t="inlineStr">
        <is>
          <t>R0000826</t>
        </is>
      </c>
      <c r="B822" s="6" t="inlineStr">
        <is>
          <t>2001-01-01</t>
        </is>
      </c>
      <c r="C822" s="6" t="inlineStr">
        <is>
          <t>2001-12-31</t>
        </is>
      </c>
      <c r="D822" s="6" t="inlineStr">
        <is>
          <t>year</t>
        </is>
      </c>
      <c r="E822" s="6" t="inlineStr">
        <is>
          <t>ENERGY_TO_PY</t>
        </is>
      </c>
      <c r="F822" s="6" t="inlineStr">
        <is>
          <t>YACYRETA</t>
        </is>
      </c>
      <c r="G822" s="6" t="inlineStr">
        <is>
          <t>YACYRETA</t>
        </is>
      </c>
      <c r="H822" s="6" t="inlineStr">
        <is>
          <t>SINP</t>
        </is>
      </c>
      <c r="I822" s="8" t="n">
        <v>85818</v>
      </c>
      <c r="J822" s="6" t="inlineStr">
        <is>
          <t>MWh</t>
        </is>
      </c>
      <c r="K822" s="8" t="n">
        <v>85818</v>
      </c>
      <c r="L822" s="6" t="inlineStr">
        <is>
          <t>MWh</t>
        </is>
      </c>
      <c r="M822" s="6" t="inlineStr">
        <is>
          <t>EBY</t>
        </is>
      </c>
      <c r="N822" s="6" t="inlineStr">
        <is>
          <t>OFFICIAL_PRIMARY</t>
        </is>
      </c>
      <c r="O822" s="9" t="inlineStr">
        <is>
          <t>OFFICIAL_AGGREGATE</t>
        </is>
      </c>
      <c r="P822" s="8" t="n">
        <v>1</v>
      </c>
      <c r="Q822" s="8" t="n">
        <v>50</v>
      </c>
      <c r="R822" s="7" t="inlineStr">
        <is>
          <t>https://www.eby.gov.py/wp-content/uploads/2019/12/YacyretaEnergiasMensualesDesdePuestaenMarcha.pdf</t>
        </is>
      </c>
      <c r="S822" s="6" t="inlineStr">
        <is>
          <t>EBY-MONTHLY-1994-2012</t>
        </is>
      </c>
      <c r="T822" s="6" t="inlineStr"/>
      <c r="U822" s="4" t="inlineStr">
        <is>
          <t>2026-09-10 23:00:00</t>
        </is>
      </c>
      <c r="V822" s="4" t="inlineStr">
        <is>
          <t>Total anual publicado.</t>
        </is>
      </c>
    </row>
    <row r="823">
      <c r="A823" s="6" t="inlineStr">
        <is>
          <t>R0000827</t>
        </is>
      </c>
      <c r="B823" s="6" t="inlineStr">
        <is>
          <t>2002-01-01</t>
        </is>
      </c>
      <c r="C823" s="6" t="inlineStr">
        <is>
          <t>2002-12-31</t>
        </is>
      </c>
      <c r="D823" s="6" t="inlineStr">
        <is>
          <t>year</t>
        </is>
      </c>
      <c r="E823" s="6" t="inlineStr">
        <is>
          <t>YACYRETA_NET_ENERGY</t>
        </is>
      </c>
      <c r="F823" s="6" t="inlineStr">
        <is>
          <t>YACYRETA</t>
        </is>
      </c>
      <c r="G823" s="6" t="inlineStr">
        <is>
          <t>YACYRETA</t>
        </is>
      </c>
      <c r="H823" s="6" t="inlineStr">
        <is>
          <t>TOTAL</t>
        </is>
      </c>
      <c r="I823" s="8" t="n">
        <v>12335237</v>
      </c>
      <c r="J823" s="6" t="inlineStr">
        <is>
          <t>MWh</t>
        </is>
      </c>
      <c r="K823" s="8" t="n">
        <v>12335237</v>
      </c>
      <c r="L823" s="6" t="inlineStr">
        <is>
          <t>MWh</t>
        </is>
      </c>
      <c r="M823" s="6" t="inlineStr">
        <is>
          <t>EBY</t>
        </is>
      </c>
      <c r="N823" s="6" t="inlineStr">
        <is>
          <t>OFFICIAL_PRIMARY</t>
        </is>
      </c>
      <c r="O823" s="9" t="inlineStr">
        <is>
          <t>OFFICIAL_AGGREGATE</t>
        </is>
      </c>
      <c r="P823" s="8" t="n">
        <v>1</v>
      </c>
      <c r="Q823" s="8" t="n">
        <v>50</v>
      </c>
      <c r="R823" s="7" t="inlineStr">
        <is>
          <t>https://www.eby.gov.py/wp-content/uploads/2019/12/YacyretaEnergiasMensualesDesdePuestaenMarcha.pdf</t>
        </is>
      </c>
      <c r="S823" s="6" t="inlineStr">
        <is>
          <t>EBY-MONTHLY-1994-2012</t>
        </is>
      </c>
      <c r="T823" s="6" t="inlineStr"/>
      <c r="U823" s="4" t="inlineStr">
        <is>
          <t>2026-09-10 23:00:00</t>
        </is>
      </c>
      <c r="V823" s="4" t="inlineStr">
        <is>
          <t>Total anual publicado.</t>
        </is>
      </c>
    </row>
    <row r="824">
      <c r="A824" s="6" t="inlineStr">
        <is>
          <t>R0000828</t>
        </is>
      </c>
      <c r="B824" s="6" t="inlineStr">
        <is>
          <t>2002-01-01</t>
        </is>
      </c>
      <c r="C824" s="6" t="inlineStr">
        <is>
          <t>2002-12-31</t>
        </is>
      </c>
      <c r="D824" s="6" t="inlineStr">
        <is>
          <t>year</t>
        </is>
      </c>
      <c r="E824" s="6" t="inlineStr">
        <is>
          <t>ENERGY_TO_ARGENTINA</t>
        </is>
      </c>
      <c r="F824" s="6" t="inlineStr">
        <is>
          <t>YACYRETA</t>
        </is>
      </c>
      <c r="G824" s="6" t="inlineStr">
        <is>
          <t>YACYRETA</t>
        </is>
      </c>
      <c r="H824" s="6" t="inlineStr">
        <is>
          <t>SADI</t>
        </is>
      </c>
      <c r="I824" s="8" t="n">
        <v>12286418</v>
      </c>
      <c r="J824" s="6" t="inlineStr">
        <is>
          <t>MWh</t>
        </is>
      </c>
      <c r="K824" s="8" t="n">
        <v>12286418</v>
      </c>
      <c r="L824" s="6" t="inlineStr">
        <is>
          <t>MWh</t>
        </is>
      </c>
      <c r="M824" s="6" t="inlineStr">
        <is>
          <t>EBY</t>
        </is>
      </c>
      <c r="N824" s="6" t="inlineStr">
        <is>
          <t>OFFICIAL_PRIMARY</t>
        </is>
      </c>
      <c r="O824" s="9" t="inlineStr">
        <is>
          <t>OFFICIAL_AGGREGATE</t>
        </is>
      </c>
      <c r="P824" s="8" t="n">
        <v>1</v>
      </c>
      <c r="Q824" s="8" t="n">
        <v>50</v>
      </c>
      <c r="R824" s="7" t="inlineStr">
        <is>
          <t>https://www.eby.gov.py/wp-content/uploads/2019/12/YacyretaEnergiasMensualesDesdePuestaenMarcha.pdf</t>
        </is>
      </c>
      <c r="S824" s="6" t="inlineStr">
        <is>
          <t>EBY-MONTHLY-1994-2012</t>
        </is>
      </c>
      <c r="T824" s="6" t="inlineStr"/>
      <c r="U824" s="4" t="inlineStr">
        <is>
          <t>2026-09-10 23:00:00</t>
        </is>
      </c>
      <c r="V824" s="4" t="inlineStr">
        <is>
          <t>Total anual publicado.</t>
        </is>
      </c>
    </row>
    <row r="825">
      <c r="A825" s="6" t="inlineStr">
        <is>
          <t>R0000829</t>
        </is>
      </c>
      <c r="B825" s="6" t="inlineStr">
        <is>
          <t>2002-01-01</t>
        </is>
      </c>
      <c r="C825" s="6" t="inlineStr">
        <is>
          <t>2002-12-31</t>
        </is>
      </c>
      <c r="D825" s="6" t="inlineStr">
        <is>
          <t>year</t>
        </is>
      </c>
      <c r="E825" s="6" t="inlineStr">
        <is>
          <t>ENERGY_TO_PY</t>
        </is>
      </c>
      <c r="F825" s="6" t="inlineStr">
        <is>
          <t>YACYRETA</t>
        </is>
      </c>
      <c r="G825" s="6" t="inlineStr">
        <is>
          <t>YACYRETA</t>
        </is>
      </c>
      <c r="H825" s="6" t="inlineStr">
        <is>
          <t>SINP</t>
        </is>
      </c>
      <c r="I825" s="8" t="n">
        <v>48819</v>
      </c>
      <c r="J825" s="6" t="inlineStr">
        <is>
          <t>MWh</t>
        </is>
      </c>
      <c r="K825" s="8" t="n">
        <v>48819</v>
      </c>
      <c r="L825" s="6" t="inlineStr">
        <is>
          <t>MWh</t>
        </is>
      </c>
      <c r="M825" s="6" t="inlineStr">
        <is>
          <t>EBY</t>
        </is>
      </c>
      <c r="N825" s="6" t="inlineStr">
        <is>
          <t>OFFICIAL_PRIMARY</t>
        </is>
      </c>
      <c r="O825" s="9" t="inlineStr">
        <is>
          <t>OFFICIAL_AGGREGATE</t>
        </is>
      </c>
      <c r="P825" s="8" t="n">
        <v>1</v>
      </c>
      <c r="Q825" s="8" t="n">
        <v>50</v>
      </c>
      <c r="R825" s="7" t="inlineStr">
        <is>
          <t>https://www.eby.gov.py/wp-content/uploads/2019/12/YacyretaEnergiasMensualesDesdePuestaenMarcha.pdf</t>
        </is>
      </c>
      <c r="S825" s="6" t="inlineStr">
        <is>
          <t>EBY-MONTHLY-1994-2012</t>
        </is>
      </c>
      <c r="T825" s="6" t="inlineStr"/>
      <c r="U825" s="4" t="inlineStr">
        <is>
          <t>2026-09-10 23:00:00</t>
        </is>
      </c>
      <c r="V825" s="4" t="inlineStr">
        <is>
          <t>Total anual publicado.</t>
        </is>
      </c>
    </row>
    <row r="826">
      <c r="A826" s="6" t="inlineStr">
        <is>
          <t>R0000830</t>
        </is>
      </c>
      <c r="B826" s="6" t="inlineStr">
        <is>
          <t>2003-01-01</t>
        </is>
      </c>
      <c r="C826" s="6" t="inlineStr">
        <is>
          <t>2003-12-31</t>
        </is>
      </c>
      <c r="D826" s="6" t="inlineStr">
        <is>
          <t>year</t>
        </is>
      </c>
      <c r="E826" s="6" t="inlineStr">
        <is>
          <t>YACYRETA_NET_ENERGY</t>
        </is>
      </c>
      <c r="F826" s="6" t="inlineStr">
        <is>
          <t>YACYRETA</t>
        </is>
      </c>
      <c r="G826" s="6" t="inlineStr">
        <is>
          <t>YACYRETA</t>
        </is>
      </c>
      <c r="H826" s="6" t="inlineStr">
        <is>
          <t>TOTAL</t>
        </is>
      </c>
      <c r="I826" s="8" t="n">
        <v>12131912</v>
      </c>
      <c r="J826" s="6" t="inlineStr">
        <is>
          <t>MWh</t>
        </is>
      </c>
      <c r="K826" s="8" t="n">
        <v>12131912</v>
      </c>
      <c r="L826" s="6" t="inlineStr">
        <is>
          <t>MWh</t>
        </is>
      </c>
      <c r="M826" s="6" t="inlineStr">
        <is>
          <t>EBY</t>
        </is>
      </c>
      <c r="N826" s="6" t="inlineStr">
        <is>
          <t>OFFICIAL_PRIMARY</t>
        </is>
      </c>
      <c r="O826" s="9" t="inlineStr">
        <is>
          <t>OFFICIAL_AGGREGATE</t>
        </is>
      </c>
      <c r="P826" s="8" t="n">
        <v>1</v>
      </c>
      <c r="Q826" s="8" t="n">
        <v>50</v>
      </c>
      <c r="R826" s="7" t="inlineStr">
        <is>
          <t>https://www.eby.gov.py/wp-content/uploads/2019/12/YacyretaEnergiasMensualesDesdePuestaenMarcha.pdf</t>
        </is>
      </c>
      <c r="S826" s="6" t="inlineStr">
        <is>
          <t>EBY-MONTHLY-1994-2012</t>
        </is>
      </c>
      <c r="T826" s="6" t="inlineStr"/>
      <c r="U826" s="4" t="inlineStr">
        <is>
          <t>2026-09-10 23:00:00</t>
        </is>
      </c>
      <c r="V826" s="4" t="inlineStr">
        <is>
          <t>Total anual publicado.</t>
        </is>
      </c>
    </row>
    <row r="827">
      <c r="A827" s="6" t="inlineStr">
        <is>
          <t>R0000831</t>
        </is>
      </c>
      <c r="B827" s="6" t="inlineStr">
        <is>
          <t>2003-01-01</t>
        </is>
      </c>
      <c r="C827" s="6" t="inlineStr">
        <is>
          <t>2003-12-31</t>
        </is>
      </c>
      <c r="D827" s="6" t="inlineStr">
        <is>
          <t>year</t>
        </is>
      </c>
      <c r="E827" s="6" t="inlineStr">
        <is>
          <t>ENERGY_TO_ARGENTINA</t>
        </is>
      </c>
      <c r="F827" s="6" t="inlineStr">
        <is>
          <t>YACYRETA</t>
        </is>
      </c>
      <c r="G827" s="6" t="inlineStr">
        <is>
          <t>YACYRETA</t>
        </is>
      </c>
      <c r="H827" s="6" t="inlineStr">
        <is>
          <t>SADI</t>
        </is>
      </c>
      <c r="I827" s="8" t="n">
        <v>12070800</v>
      </c>
      <c r="J827" s="6" t="inlineStr">
        <is>
          <t>MWh</t>
        </is>
      </c>
      <c r="K827" s="8" t="n">
        <v>12070800</v>
      </c>
      <c r="L827" s="6" t="inlineStr">
        <is>
          <t>MWh</t>
        </is>
      </c>
      <c r="M827" s="6" t="inlineStr">
        <is>
          <t>EBY</t>
        </is>
      </c>
      <c r="N827" s="6" t="inlineStr">
        <is>
          <t>OFFICIAL_PRIMARY</t>
        </is>
      </c>
      <c r="O827" s="9" t="inlineStr">
        <is>
          <t>OFFICIAL_AGGREGATE</t>
        </is>
      </c>
      <c r="P827" s="8" t="n">
        <v>1</v>
      </c>
      <c r="Q827" s="8" t="n">
        <v>50</v>
      </c>
      <c r="R827" s="7" t="inlineStr">
        <is>
          <t>https://www.eby.gov.py/wp-content/uploads/2019/12/YacyretaEnergiasMensualesDesdePuestaenMarcha.pdf</t>
        </is>
      </c>
      <c r="S827" s="6" t="inlineStr">
        <is>
          <t>EBY-MONTHLY-1994-2012</t>
        </is>
      </c>
      <c r="T827" s="6" t="inlineStr"/>
      <c r="U827" s="4" t="inlineStr">
        <is>
          <t>2026-09-10 23:00:00</t>
        </is>
      </c>
      <c r="V827" s="4" t="inlineStr">
        <is>
          <t>Total anual publicado.</t>
        </is>
      </c>
    </row>
    <row r="828">
      <c r="A828" s="6" t="inlineStr">
        <is>
          <t>R0000832</t>
        </is>
      </c>
      <c r="B828" s="6" t="inlineStr">
        <is>
          <t>2003-01-01</t>
        </is>
      </c>
      <c r="C828" s="6" t="inlineStr">
        <is>
          <t>2003-12-31</t>
        </is>
      </c>
      <c r="D828" s="6" t="inlineStr">
        <is>
          <t>year</t>
        </is>
      </c>
      <c r="E828" s="6" t="inlineStr">
        <is>
          <t>ENERGY_TO_PY</t>
        </is>
      </c>
      <c r="F828" s="6" t="inlineStr">
        <is>
          <t>YACYRETA</t>
        </is>
      </c>
      <c r="G828" s="6" t="inlineStr">
        <is>
          <t>YACYRETA</t>
        </is>
      </c>
      <c r="H828" s="6" t="inlineStr">
        <is>
          <t>SINP</t>
        </is>
      </c>
      <c r="I828" s="8" t="n">
        <v>61112</v>
      </c>
      <c r="J828" s="6" t="inlineStr">
        <is>
          <t>MWh</t>
        </is>
      </c>
      <c r="K828" s="8" t="n">
        <v>61112</v>
      </c>
      <c r="L828" s="6" t="inlineStr">
        <is>
          <t>MWh</t>
        </is>
      </c>
      <c r="M828" s="6" t="inlineStr">
        <is>
          <t>EBY</t>
        </is>
      </c>
      <c r="N828" s="6" t="inlineStr">
        <is>
          <t>OFFICIAL_PRIMARY</t>
        </is>
      </c>
      <c r="O828" s="9" t="inlineStr">
        <is>
          <t>OFFICIAL_AGGREGATE</t>
        </is>
      </c>
      <c r="P828" s="8" t="n">
        <v>1</v>
      </c>
      <c r="Q828" s="8" t="n">
        <v>50</v>
      </c>
      <c r="R828" s="7" t="inlineStr">
        <is>
          <t>https://www.eby.gov.py/wp-content/uploads/2019/12/YacyretaEnergiasMensualesDesdePuestaenMarcha.pdf</t>
        </is>
      </c>
      <c r="S828" s="6" t="inlineStr">
        <is>
          <t>EBY-MONTHLY-1994-2012</t>
        </is>
      </c>
      <c r="T828" s="6" t="inlineStr"/>
      <c r="U828" s="4" t="inlineStr">
        <is>
          <t>2026-09-10 23:00:00</t>
        </is>
      </c>
      <c r="V828" s="4" t="inlineStr">
        <is>
          <t>Total anual publicado.</t>
        </is>
      </c>
    </row>
    <row r="829">
      <c r="A829" s="6" t="inlineStr">
        <is>
          <t>R0000833</t>
        </is>
      </c>
      <c r="B829" s="6" t="inlineStr">
        <is>
          <t>2004-01-01</t>
        </is>
      </c>
      <c r="C829" s="6" t="inlineStr">
        <is>
          <t>2004-12-31</t>
        </is>
      </c>
      <c r="D829" s="6" t="inlineStr">
        <is>
          <t>year</t>
        </is>
      </c>
      <c r="E829" s="6" t="inlineStr">
        <is>
          <t>YACYRETA_NET_ENERGY</t>
        </is>
      </c>
      <c r="F829" s="6" t="inlineStr">
        <is>
          <t>YACYRETA</t>
        </is>
      </c>
      <c r="G829" s="6" t="inlineStr">
        <is>
          <t>YACYRETA</t>
        </is>
      </c>
      <c r="H829" s="6" t="inlineStr">
        <is>
          <t>TOTAL</t>
        </is>
      </c>
      <c r="I829" s="8" t="n">
        <v>11938790</v>
      </c>
      <c r="J829" s="6" t="inlineStr">
        <is>
          <t>MWh</t>
        </is>
      </c>
      <c r="K829" s="8" t="n">
        <v>11938790</v>
      </c>
      <c r="L829" s="6" t="inlineStr">
        <is>
          <t>MWh</t>
        </is>
      </c>
      <c r="M829" s="6" t="inlineStr">
        <is>
          <t>EBY</t>
        </is>
      </c>
      <c r="N829" s="6" t="inlineStr">
        <is>
          <t>OFFICIAL_PRIMARY</t>
        </is>
      </c>
      <c r="O829" s="9" t="inlineStr">
        <is>
          <t>OFFICIAL_AGGREGATE</t>
        </is>
      </c>
      <c r="P829" s="8" t="n">
        <v>1</v>
      </c>
      <c r="Q829" s="8" t="n">
        <v>50</v>
      </c>
      <c r="R829" s="7" t="inlineStr">
        <is>
          <t>https://www.eby.gov.py/wp-content/uploads/2019/12/YacyretaEnergiasMensualesDesdePuestaenMarcha.pdf</t>
        </is>
      </c>
      <c r="S829" s="6" t="inlineStr">
        <is>
          <t>EBY-MONTHLY-1994-2012</t>
        </is>
      </c>
      <c r="T829" s="6" t="inlineStr"/>
      <c r="U829" s="4" t="inlineStr">
        <is>
          <t>2026-09-10 23:00:00</t>
        </is>
      </c>
      <c r="V829" s="4" t="inlineStr">
        <is>
          <t>Total anual publicado.</t>
        </is>
      </c>
    </row>
    <row r="830">
      <c r="A830" s="6" t="inlineStr">
        <is>
          <t>R0000834</t>
        </is>
      </c>
      <c r="B830" s="6" t="inlineStr">
        <is>
          <t>2004-01-01</t>
        </is>
      </c>
      <c r="C830" s="6" t="inlineStr">
        <is>
          <t>2004-12-31</t>
        </is>
      </c>
      <c r="D830" s="6" t="inlineStr">
        <is>
          <t>year</t>
        </is>
      </c>
      <c r="E830" s="6" t="inlineStr">
        <is>
          <t>ENERGY_TO_ARGENTINA</t>
        </is>
      </c>
      <c r="F830" s="6" t="inlineStr">
        <is>
          <t>YACYRETA</t>
        </is>
      </c>
      <c r="G830" s="6" t="inlineStr">
        <is>
          <t>YACYRETA</t>
        </is>
      </c>
      <c r="H830" s="6" t="inlineStr">
        <is>
          <t>SADI</t>
        </is>
      </c>
      <c r="I830" s="8" t="n">
        <v>11861111</v>
      </c>
      <c r="J830" s="6" t="inlineStr">
        <is>
          <t>MWh</t>
        </is>
      </c>
      <c r="K830" s="8" t="n">
        <v>11861111</v>
      </c>
      <c r="L830" s="6" t="inlineStr">
        <is>
          <t>MWh</t>
        </is>
      </c>
      <c r="M830" s="6" t="inlineStr">
        <is>
          <t>EBY</t>
        </is>
      </c>
      <c r="N830" s="6" t="inlineStr">
        <is>
          <t>OFFICIAL_PRIMARY</t>
        </is>
      </c>
      <c r="O830" s="9" t="inlineStr">
        <is>
          <t>OFFICIAL_AGGREGATE</t>
        </is>
      </c>
      <c r="P830" s="8" t="n">
        <v>1</v>
      </c>
      <c r="Q830" s="8" t="n">
        <v>50</v>
      </c>
      <c r="R830" s="7" t="inlineStr">
        <is>
          <t>https://www.eby.gov.py/wp-content/uploads/2019/12/YacyretaEnergiasMensualesDesdePuestaenMarcha.pdf</t>
        </is>
      </c>
      <c r="S830" s="6" t="inlineStr">
        <is>
          <t>EBY-MONTHLY-1994-2012</t>
        </is>
      </c>
      <c r="T830" s="6" t="inlineStr"/>
      <c r="U830" s="4" t="inlineStr">
        <is>
          <t>2026-09-10 23:00:00</t>
        </is>
      </c>
      <c r="V830" s="4" t="inlineStr">
        <is>
          <t>Total anual publicado.</t>
        </is>
      </c>
    </row>
    <row r="831">
      <c r="A831" s="6" t="inlineStr">
        <is>
          <t>R0000835</t>
        </is>
      </c>
      <c r="B831" s="6" t="inlineStr">
        <is>
          <t>2004-01-01</t>
        </is>
      </c>
      <c r="C831" s="6" t="inlineStr">
        <is>
          <t>2004-12-31</t>
        </is>
      </c>
      <c r="D831" s="6" t="inlineStr">
        <is>
          <t>year</t>
        </is>
      </c>
      <c r="E831" s="6" t="inlineStr">
        <is>
          <t>ENERGY_TO_PY</t>
        </is>
      </c>
      <c r="F831" s="6" t="inlineStr">
        <is>
          <t>YACYRETA</t>
        </is>
      </c>
      <c r="G831" s="6" t="inlineStr">
        <is>
          <t>YACYRETA</t>
        </is>
      </c>
      <c r="H831" s="6" t="inlineStr">
        <is>
          <t>SINP</t>
        </is>
      </c>
      <c r="I831" s="8" t="n">
        <v>77680</v>
      </c>
      <c r="J831" s="6" t="inlineStr">
        <is>
          <t>MWh</t>
        </is>
      </c>
      <c r="K831" s="8" t="n">
        <v>77680</v>
      </c>
      <c r="L831" s="6" t="inlineStr">
        <is>
          <t>MWh</t>
        </is>
      </c>
      <c r="M831" s="6" t="inlineStr">
        <is>
          <t>EBY</t>
        </is>
      </c>
      <c r="N831" s="6" t="inlineStr">
        <is>
          <t>OFFICIAL_PRIMARY</t>
        </is>
      </c>
      <c r="O831" s="9" t="inlineStr">
        <is>
          <t>OFFICIAL_AGGREGATE</t>
        </is>
      </c>
      <c r="P831" s="8" t="n">
        <v>1</v>
      </c>
      <c r="Q831" s="8" t="n">
        <v>50</v>
      </c>
      <c r="R831" s="7" t="inlineStr">
        <is>
          <t>https://www.eby.gov.py/wp-content/uploads/2019/12/YacyretaEnergiasMensualesDesdePuestaenMarcha.pdf</t>
        </is>
      </c>
      <c r="S831" s="6" t="inlineStr">
        <is>
          <t>EBY-MONTHLY-1994-2012</t>
        </is>
      </c>
      <c r="T831" s="6" t="inlineStr"/>
      <c r="U831" s="4" t="inlineStr">
        <is>
          <t>2026-09-10 23:00:00</t>
        </is>
      </c>
      <c r="V831" s="4" t="inlineStr">
        <is>
          <t>Total anual publicado.</t>
        </is>
      </c>
    </row>
    <row r="832">
      <c r="A832" s="6" t="inlineStr">
        <is>
          <t>R0000836</t>
        </is>
      </c>
      <c r="B832" s="6" t="inlineStr">
        <is>
          <t>2005-01-01</t>
        </is>
      </c>
      <c r="C832" s="6" t="inlineStr">
        <is>
          <t>2005-12-31</t>
        </is>
      </c>
      <c r="D832" s="6" t="inlineStr">
        <is>
          <t>year</t>
        </is>
      </c>
      <c r="E832" s="6" t="inlineStr">
        <is>
          <t>YACYRETA_NET_ENERGY</t>
        </is>
      </c>
      <c r="F832" s="6" t="inlineStr">
        <is>
          <t>YACYRETA</t>
        </is>
      </c>
      <c r="G832" s="6" t="inlineStr">
        <is>
          <t>YACYRETA</t>
        </is>
      </c>
      <c r="H832" s="6" t="inlineStr">
        <is>
          <t>TOTAL</t>
        </is>
      </c>
      <c r="I832" s="8" t="n">
        <v>12591468</v>
      </c>
      <c r="J832" s="6" t="inlineStr">
        <is>
          <t>MWh</t>
        </is>
      </c>
      <c r="K832" s="8" t="n">
        <v>12591468</v>
      </c>
      <c r="L832" s="6" t="inlineStr">
        <is>
          <t>MWh</t>
        </is>
      </c>
      <c r="M832" s="6" t="inlineStr">
        <is>
          <t>EBY</t>
        </is>
      </c>
      <c r="N832" s="6" t="inlineStr">
        <is>
          <t>OFFICIAL_PRIMARY</t>
        </is>
      </c>
      <c r="O832" s="9" t="inlineStr">
        <is>
          <t>OFFICIAL_AGGREGATE</t>
        </is>
      </c>
      <c r="P832" s="8" t="n">
        <v>1</v>
      </c>
      <c r="Q832" s="8" t="n">
        <v>50</v>
      </c>
      <c r="R832" s="7" t="inlineStr">
        <is>
          <t>https://www.eby.gov.py/wp-content/uploads/2019/12/YacyretaEnergiasMensualesDesdePuestaenMarcha.pdf</t>
        </is>
      </c>
      <c r="S832" s="6" t="inlineStr">
        <is>
          <t>EBY-MONTHLY-1994-2012</t>
        </is>
      </c>
      <c r="T832" s="6" t="inlineStr"/>
      <c r="U832" s="4" t="inlineStr">
        <is>
          <t>2026-09-10 23:00:00</t>
        </is>
      </c>
      <c r="V832" s="4" t="inlineStr">
        <is>
          <t>Total anual publicado.</t>
        </is>
      </c>
    </row>
    <row r="833">
      <c r="A833" s="6" t="inlineStr">
        <is>
          <t>R0000837</t>
        </is>
      </c>
      <c r="B833" s="6" t="inlineStr">
        <is>
          <t>2005-01-01</t>
        </is>
      </c>
      <c r="C833" s="6" t="inlineStr">
        <is>
          <t>2005-12-31</t>
        </is>
      </c>
      <c r="D833" s="6" t="inlineStr">
        <is>
          <t>year</t>
        </is>
      </c>
      <c r="E833" s="6" t="inlineStr">
        <is>
          <t>ENERGY_TO_ARGENTINA</t>
        </is>
      </c>
      <c r="F833" s="6" t="inlineStr">
        <is>
          <t>YACYRETA</t>
        </is>
      </c>
      <c r="G833" s="6" t="inlineStr">
        <is>
          <t>YACYRETA</t>
        </is>
      </c>
      <c r="H833" s="6" t="inlineStr">
        <is>
          <t>SADI</t>
        </is>
      </c>
      <c r="I833" s="8" t="n">
        <v>12299152</v>
      </c>
      <c r="J833" s="6" t="inlineStr">
        <is>
          <t>MWh</t>
        </is>
      </c>
      <c r="K833" s="8" t="n">
        <v>12299152</v>
      </c>
      <c r="L833" s="6" t="inlineStr">
        <is>
          <t>MWh</t>
        </is>
      </c>
      <c r="M833" s="6" t="inlineStr">
        <is>
          <t>EBY</t>
        </is>
      </c>
      <c r="N833" s="6" t="inlineStr">
        <is>
          <t>OFFICIAL_PRIMARY</t>
        </is>
      </c>
      <c r="O833" s="9" t="inlineStr">
        <is>
          <t>OFFICIAL_AGGREGATE</t>
        </is>
      </c>
      <c r="P833" s="8" t="n">
        <v>1</v>
      </c>
      <c r="Q833" s="8" t="n">
        <v>50</v>
      </c>
      <c r="R833" s="7" t="inlineStr">
        <is>
          <t>https://www.eby.gov.py/wp-content/uploads/2019/12/YacyretaEnergiasMensualesDesdePuestaenMarcha.pdf</t>
        </is>
      </c>
      <c r="S833" s="6" t="inlineStr">
        <is>
          <t>EBY-MONTHLY-1994-2012</t>
        </is>
      </c>
      <c r="T833" s="6" t="inlineStr"/>
      <c r="U833" s="4" t="inlineStr">
        <is>
          <t>2026-09-10 23:00:00</t>
        </is>
      </c>
      <c r="V833" s="4" t="inlineStr">
        <is>
          <t>Total anual publicado.</t>
        </is>
      </c>
    </row>
    <row r="834">
      <c r="A834" s="6" t="inlineStr">
        <is>
          <t>R0000838</t>
        </is>
      </c>
      <c r="B834" s="6" t="inlineStr">
        <is>
          <t>2005-01-01</t>
        </is>
      </c>
      <c r="C834" s="6" t="inlineStr">
        <is>
          <t>2005-12-31</t>
        </is>
      </c>
      <c r="D834" s="6" t="inlineStr">
        <is>
          <t>year</t>
        </is>
      </c>
      <c r="E834" s="6" t="inlineStr">
        <is>
          <t>ENERGY_TO_PY</t>
        </is>
      </c>
      <c r="F834" s="6" t="inlineStr">
        <is>
          <t>YACYRETA</t>
        </is>
      </c>
      <c r="G834" s="6" t="inlineStr">
        <is>
          <t>YACYRETA</t>
        </is>
      </c>
      <c r="H834" s="6" t="inlineStr">
        <is>
          <t>SINP</t>
        </is>
      </c>
      <c r="I834" s="8" t="n">
        <v>292316</v>
      </c>
      <c r="J834" s="6" t="inlineStr">
        <is>
          <t>MWh</t>
        </is>
      </c>
      <c r="K834" s="8" t="n">
        <v>292316</v>
      </c>
      <c r="L834" s="6" t="inlineStr">
        <is>
          <t>MWh</t>
        </is>
      </c>
      <c r="M834" s="6" t="inlineStr">
        <is>
          <t>EBY</t>
        </is>
      </c>
      <c r="N834" s="6" t="inlineStr">
        <is>
          <t>OFFICIAL_PRIMARY</t>
        </is>
      </c>
      <c r="O834" s="9" t="inlineStr">
        <is>
          <t>OFFICIAL_AGGREGATE</t>
        </is>
      </c>
      <c r="P834" s="8" t="n">
        <v>1</v>
      </c>
      <c r="Q834" s="8" t="n">
        <v>50</v>
      </c>
      <c r="R834" s="7" t="inlineStr">
        <is>
          <t>https://www.eby.gov.py/wp-content/uploads/2019/12/YacyretaEnergiasMensualesDesdePuestaenMarcha.pdf</t>
        </is>
      </c>
      <c r="S834" s="6" t="inlineStr">
        <is>
          <t>EBY-MONTHLY-1994-2012</t>
        </is>
      </c>
      <c r="T834" s="6" t="inlineStr"/>
      <c r="U834" s="4" t="inlineStr">
        <is>
          <t>2026-09-10 23:00:00</t>
        </is>
      </c>
      <c r="V834" s="4" t="inlineStr">
        <is>
          <t>Total anual publicado.</t>
        </is>
      </c>
    </row>
    <row r="835">
      <c r="A835" s="6" t="inlineStr">
        <is>
          <t>R0000839</t>
        </is>
      </c>
      <c r="B835" s="6" t="inlineStr">
        <is>
          <t>2006-01-01</t>
        </is>
      </c>
      <c r="C835" s="6" t="inlineStr">
        <is>
          <t>2006-12-31</t>
        </is>
      </c>
      <c r="D835" s="6" t="inlineStr">
        <is>
          <t>year</t>
        </is>
      </c>
      <c r="E835" s="6" t="inlineStr">
        <is>
          <t>YACYRETA_NET_ENERGY</t>
        </is>
      </c>
      <c r="F835" s="6" t="inlineStr">
        <is>
          <t>YACYRETA</t>
        </is>
      </c>
      <c r="G835" s="6" t="inlineStr">
        <is>
          <t>YACYRETA</t>
        </is>
      </c>
      <c r="H835" s="6" t="inlineStr">
        <is>
          <t>TOTAL</t>
        </is>
      </c>
      <c r="I835" s="8" t="n">
        <v>13031055</v>
      </c>
      <c r="J835" s="6" t="inlineStr">
        <is>
          <t>MWh</t>
        </is>
      </c>
      <c r="K835" s="8" t="n">
        <v>13031055</v>
      </c>
      <c r="L835" s="6" t="inlineStr">
        <is>
          <t>MWh</t>
        </is>
      </c>
      <c r="M835" s="6" t="inlineStr">
        <is>
          <t>EBY</t>
        </is>
      </c>
      <c r="N835" s="6" t="inlineStr">
        <is>
          <t>OFFICIAL_PRIMARY</t>
        </is>
      </c>
      <c r="O835" s="9" t="inlineStr">
        <is>
          <t>OFFICIAL_AGGREGATE</t>
        </is>
      </c>
      <c r="P835" s="8" t="n">
        <v>1</v>
      </c>
      <c r="Q835" s="8" t="n">
        <v>50</v>
      </c>
      <c r="R835" s="7" t="inlineStr">
        <is>
          <t>https://www.eby.gov.py/wp-content/uploads/2019/12/YacyretaEnergiasMensualesDesdePuestaenMarcha.pdf</t>
        </is>
      </c>
      <c r="S835" s="6" t="inlineStr">
        <is>
          <t>EBY-MONTHLY-1994-2012</t>
        </is>
      </c>
      <c r="T835" s="6" t="inlineStr"/>
      <c r="U835" s="4" t="inlineStr">
        <is>
          <t>2026-09-10 23:00:00</t>
        </is>
      </c>
      <c r="V835" s="4" t="inlineStr">
        <is>
          <t>Total anual publicado.</t>
        </is>
      </c>
    </row>
    <row r="836">
      <c r="A836" s="6" t="inlineStr">
        <is>
          <t>R0000840</t>
        </is>
      </c>
      <c r="B836" s="6" t="inlineStr">
        <is>
          <t>2006-01-01</t>
        </is>
      </c>
      <c r="C836" s="6" t="inlineStr">
        <is>
          <t>2006-12-31</t>
        </is>
      </c>
      <c r="D836" s="6" t="inlineStr">
        <is>
          <t>year</t>
        </is>
      </c>
      <c r="E836" s="6" t="inlineStr">
        <is>
          <t>ENERGY_TO_ARGENTINA</t>
        </is>
      </c>
      <c r="F836" s="6" t="inlineStr">
        <is>
          <t>YACYRETA</t>
        </is>
      </c>
      <c r="G836" s="6" t="inlineStr">
        <is>
          <t>YACYRETA</t>
        </is>
      </c>
      <c r="H836" s="6" t="inlineStr">
        <is>
          <t>SADI</t>
        </is>
      </c>
      <c r="I836" s="8" t="n">
        <v>12609700</v>
      </c>
      <c r="J836" s="6" t="inlineStr">
        <is>
          <t>MWh</t>
        </is>
      </c>
      <c r="K836" s="8" t="n">
        <v>12609700</v>
      </c>
      <c r="L836" s="6" t="inlineStr">
        <is>
          <t>MWh</t>
        </is>
      </c>
      <c r="M836" s="6" t="inlineStr">
        <is>
          <t>EBY</t>
        </is>
      </c>
      <c r="N836" s="6" t="inlineStr">
        <is>
          <t>OFFICIAL_PRIMARY</t>
        </is>
      </c>
      <c r="O836" s="9" t="inlineStr">
        <is>
          <t>OFFICIAL_AGGREGATE</t>
        </is>
      </c>
      <c r="P836" s="8" t="n">
        <v>1</v>
      </c>
      <c r="Q836" s="8" t="n">
        <v>50</v>
      </c>
      <c r="R836" s="7" t="inlineStr">
        <is>
          <t>https://www.eby.gov.py/wp-content/uploads/2019/12/YacyretaEnergiasMensualesDesdePuestaenMarcha.pdf</t>
        </is>
      </c>
      <c r="S836" s="6" t="inlineStr">
        <is>
          <t>EBY-MONTHLY-1994-2012</t>
        </is>
      </c>
      <c r="T836" s="6" t="inlineStr"/>
      <c r="U836" s="4" t="inlineStr">
        <is>
          <t>2026-09-10 23:00:00</t>
        </is>
      </c>
      <c r="V836" s="4" t="inlineStr">
        <is>
          <t>Total anual publicado.</t>
        </is>
      </c>
    </row>
    <row r="837">
      <c r="A837" s="6" t="inlineStr">
        <is>
          <t>R0000841</t>
        </is>
      </c>
      <c r="B837" s="6" t="inlineStr">
        <is>
          <t>2006-01-01</t>
        </is>
      </c>
      <c r="C837" s="6" t="inlineStr">
        <is>
          <t>2006-12-31</t>
        </is>
      </c>
      <c r="D837" s="6" t="inlineStr">
        <is>
          <t>year</t>
        </is>
      </c>
      <c r="E837" s="6" t="inlineStr">
        <is>
          <t>ENERGY_TO_PY</t>
        </is>
      </c>
      <c r="F837" s="6" t="inlineStr">
        <is>
          <t>YACYRETA</t>
        </is>
      </c>
      <c r="G837" s="6" t="inlineStr">
        <is>
          <t>YACYRETA</t>
        </is>
      </c>
      <c r="H837" s="6" t="inlineStr">
        <is>
          <t>SINP</t>
        </is>
      </c>
      <c r="I837" s="8" t="n">
        <v>421355</v>
      </c>
      <c r="J837" s="6" t="inlineStr">
        <is>
          <t>MWh</t>
        </is>
      </c>
      <c r="K837" s="8" t="n">
        <v>421355</v>
      </c>
      <c r="L837" s="6" t="inlineStr">
        <is>
          <t>MWh</t>
        </is>
      </c>
      <c r="M837" s="6" t="inlineStr">
        <is>
          <t>EBY</t>
        </is>
      </c>
      <c r="N837" s="6" t="inlineStr">
        <is>
          <t>OFFICIAL_PRIMARY</t>
        </is>
      </c>
      <c r="O837" s="9" t="inlineStr">
        <is>
          <t>OFFICIAL_AGGREGATE</t>
        </is>
      </c>
      <c r="P837" s="8" t="n">
        <v>1</v>
      </c>
      <c r="Q837" s="8" t="n">
        <v>50</v>
      </c>
      <c r="R837" s="7" t="inlineStr">
        <is>
          <t>https://www.eby.gov.py/wp-content/uploads/2019/12/YacyretaEnergiasMensualesDesdePuestaenMarcha.pdf</t>
        </is>
      </c>
      <c r="S837" s="6" t="inlineStr">
        <is>
          <t>EBY-MONTHLY-1994-2012</t>
        </is>
      </c>
      <c r="T837" s="6" t="inlineStr"/>
      <c r="U837" s="4" t="inlineStr">
        <is>
          <t>2026-09-10 23:00:00</t>
        </is>
      </c>
      <c r="V837" s="4" t="inlineStr">
        <is>
          <t>Total anual publicado.</t>
        </is>
      </c>
    </row>
    <row r="838">
      <c r="A838" s="6" t="inlineStr">
        <is>
          <t>R0000842</t>
        </is>
      </c>
      <c r="B838" s="6" t="inlineStr">
        <is>
          <t>2007-01-01</t>
        </is>
      </c>
      <c r="C838" s="6" t="inlineStr">
        <is>
          <t>2007-12-31</t>
        </is>
      </c>
      <c r="D838" s="6" t="inlineStr">
        <is>
          <t>year</t>
        </is>
      </c>
      <c r="E838" s="6" t="inlineStr">
        <is>
          <t>YACYRETA_NET_ENERGY</t>
        </is>
      </c>
      <c r="F838" s="6" t="inlineStr">
        <is>
          <t>YACYRETA</t>
        </is>
      </c>
      <c r="G838" s="6" t="inlineStr">
        <is>
          <t>YACYRETA</t>
        </is>
      </c>
      <c r="H838" s="6" t="inlineStr">
        <is>
          <t>TOTAL</t>
        </is>
      </c>
      <c r="I838" s="8" t="n">
        <v>14674671</v>
      </c>
      <c r="J838" s="6" t="inlineStr">
        <is>
          <t>MWh</t>
        </is>
      </c>
      <c r="K838" s="8" t="n">
        <v>14674671</v>
      </c>
      <c r="L838" s="6" t="inlineStr">
        <is>
          <t>MWh</t>
        </is>
      </c>
      <c r="M838" s="6" t="inlineStr">
        <is>
          <t>EBY</t>
        </is>
      </c>
      <c r="N838" s="6" t="inlineStr">
        <is>
          <t>OFFICIAL_PRIMARY</t>
        </is>
      </c>
      <c r="O838" s="9" t="inlineStr">
        <is>
          <t>OFFICIAL_AGGREGATE</t>
        </is>
      </c>
      <c r="P838" s="8" t="n">
        <v>1</v>
      </c>
      <c r="Q838" s="8" t="n">
        <v>50</v>
      </c>
      <c r="R838" s="7" t="inlineStr">
        <is>
          <t>https://www.eby.gov.py/wp-content/uploads/2019/12/YacyretaEnergiasMensualesDesdePuestaenMarcha.pdf</t>
        </is>
      </c>
      <c r="S838" s="6" t="inlineStr">
        <is>
          <t>EBY-MONTHLY-1994-2012</t>
        </is>
      </c>
      <c r="T838" s="6" t="inlineStr"/>
      <c r="U838" s="4" t="inlineStr">
        <is>
          <t>2026-09-10 23:00:00</t>
        </is>
      </c>
      <c r="V838" s="4" t="inlineStr">
        <is>
          <t>Total anual publicado.</t>
        </is>
      </c>
    </row>
    <row r="839">
      <c r="A839" s="6" t="inlineStr">
        <is>
          <t>R0000843</t>
        </is>
      </c>
      <c r="B839" s="6" t="inlineStr">
        <is>
          <t>2007-01-01</t>
        </is>
      </c>
      <c r="C839" s="6" t="inlineStr">
        <is>
          <t>2007-12-31</t>
        </is>
      </c>
      <c r="D839" s="6" t="inlineStr">
        <is>
          <t>year</t>
        </is>
      </c>
      <c r="E839" s="6" t="inlineStr">
        <is>
          <t>ENERGY_TO_ARGENTINA</t>
        </is>
      </c>
      <c r="F839" s="6" t="inlineStr">
        <is>
          <t>YACYRETA</t>
        </is>
      </c>
      <c r="G839" s="6" t="inlineStr">
        <is>
          <t>YACYRETA</t>
        </is>
      </c>
      <c r="H839" s="6" t="inlineStr">
        <is>
          <t>SADI</t>
        </is>
      </c>
      <c r="I839" s="8" t="n">
        <v>14154114</v>
      </c>
      <c r="J839" s="6" t="inlineStr">
        <is>
          <t>MWh</t>
        </is>
      </c>
      <c r="K839" s="8" t="n">
        <v>14154114</v>
      </c>
      <c r="L839" s="6" t="inlineStr">
        <is>
          <t>MWh</t>
        </is>
      </c>
      <c r="M839" s="6" t="inlineStr">
        <is>
          <t>EBY</t>
        </is>
      </c>
      <c r="N839" s="6" t="inlineStr">
        <is>
          <t>OFFICIAL_PRIMARY</t>
        </is>
      </c>
      <c r="O839" s="9" t="inlineStr">
        <is>
          <t>OFFICIAL_AGGREGATE</t>
        </is>
      </c>
      <c r="P839" s="8" t="n">
        <v>1</v>
      </c>
      <c r="Q839" s="8" t="n">
        <v>50</v>
      </c>
      <c r="R839" s="7" t="inlineStr">
        <is>
          <t>https://www.eby.gov.py/wp-content/uploads/2019/12/YacyretaEnergiasMensualesDesdePuestaenMarcha.pdf</t>
        </is>
      </c>
      <c r="S839" s="6" t="inlineStr">
        <is>
          <t>EBY-MONTHLY-1994-2012</t>
        </is>
      </c>
      <c r="T839" s="6" t="inlineStr"/>
      <c r="U839" s="4" t="inlineStr">
        <is>
          <t>2026-09-10 23:00:00</t>
        </is>
      </c>
      <c r="V839" s="4" t="inlineStr">
        <is>
          <t>Total anual publicado.</t>
        </is>
      </c>
    </row>
    <row r="840">
      <c r="A840" s="6" t="inlineStr">
        <is>
          <t>R0000844</t>
        </is>
      </c>
      <c r="B840" s="6" t="inlineStr">
        <is>
          <t>2007-01-01</t>
        </is>
      </c>
      <c r="C840" s="6" t="inlineStr">
        <is>
          <t>2007-12-31</t>
        </is>
      </c>
      <c r="D840" s="6" t="inlineStr">
        <is>
          <t>year</t>
        </is>
      </c>
      <c r="E840" s="6" t="inlineStr">
        <is>
          <t>ENERGY_TO_PY</t>
        </is>
      </c>
      <c r="F840" s="6" t="inlineStr">
        <is>
          <t>YACYRETA</t>
        </is>
      </c>
      <c r="G840" s="6" t="inlineStr">
        <is>
          <t>YACYRETA</t>
        </is>
      </c>
      <c r="H840" s="6" t="inlineStr">
        <is>
          <t>SINP</t>
        </is>
      </c>
      <c r="I840" s="8" t="n">
        <v>520557</v>
      </c>
      <c r="J840" s="6" t="inlineStr">
        <is>
          <t>MWh</t>
        </is>
      </c>
      <c r="K840" s="8" t="n">
        <v>520557</v>
      </c>
      <c r="L840" s="6" t="inlineStr">
        <is>
          <t>MWh</t>
        </is>
      </c>
      <c r="M840" s="6" t="inlineStr">
        <is>
          <t>EBY</t>
        </is>
      </c>
      <c r="N840" s="6" t="inlineStr">
        <is>
          <t>OFFICIAL_PRIMARY</t>
        </is>
      </c>
      <c r="O840" s="9" t="inlineStr">
        <is>
          <t>OFFICIAL_AGGREGATE</t>
        </is>
      </c>
      <c r="P840" s="8" t="n">
        <v>1</v>
      </c>
      <c r="Q840" s="8" t="n">
        <v>50</v>
      </c>
      <c r="R840" s="7" t="inlineStr">
        <is>
          <t>https://www.eby.gov.py/wp-content/uploads/2019/12/YacyretaEnergiasMensualesDesdePuestaenMarcha.pdf</t>
        </is>
      </c>
      <c r="S840" s="6" t="inlineStr">
        <is>
          <t>EBY-MONTHLY-1994-2012</t>
        </is>
      </c>
      <c r="T840" s="6" t="inlineStr"/>
      <c r="U840" s="4" t="inlineStr">
        <is>
          <t>2026-09-10 23:00:00</t>
        </is>
      </c>
      <c r="V840" s="4" t="inlineStr">
        <is>
          <t>Total anual publicado.</t>
        </is>
      </c>
    </row>
    <row r="841">
      <c r="A841" s="6" t="inlineStr">
        <is>
          <t>R0000845</t>
        </is>
      </c>
      <c r="B841" s="6" t="inlineStr">
        <is>
          <t>2008-01-01</t>
        </is>
      </c>
      <c r="C841" s="6" t="inlineStr">
        <is>
          <t>2008-12-31</t>
        </is>
      </c>
      <c r="D841" s="6" t="inlineStr">
        <is>
          <t>year</t>
        </is>
      </c>
      <c r="E841" s="6" t="inlineStr">
        <is>
          <t>YACYRETA_NET_ENERGY</t>
        </is>
      </c>
      <c r="F841" s="6" t="inlineStr">
        <is>
          <t>YACYRETA</t>
        </is>
      </c>
      <c r="G841" s="6" t="inlineStr">
        <is>
          <t>YACYRETA</t>
        </is>
      </c>
      <c r="H841" s="6" t="inlineStr">
        <is>
          <t>TOTAL</t>
        </is>
      </c>
      <c r="I841" s="8" t="n">
        <v>15117172</v>
      </c>
      <c r="J841" s="6" t="inlineStr">
        <is>
          <t>MWh</t>
        </is>
      </c>
      <c r="K841" s="8" t="n">
        <v>15117172</v>
      </c>
      <c r="L841" s="6" t="inlineStr">
        <is>
          <t>MWh</t>
        </is>
      </c>
      <c r="M841" s="6" t="inlineStr">
        <is>
          <t>EBY</t>
        </is>
      </c>
      <c r="N841" s="6" t="inlineStr">
        <is>
          <t>OFFICIAL_PRIMARY</t>
        </is>
      </c>
      <c r="O841" s="9" t="inlineStr">
        <is>
          <t>OFFICIAL_AGGREGATE</t>
        </is>
      </c>
      <c r="P841" s="8" t="n">
        <v>1</v>
      </c>
      <c r="Q841" s="8" t="n">
        <v>50</v>
      </c>
      <c r="R841" s="7" t="inlineStr">
        <is>
          <t>https://www.eby.gov.py/wp-content/uploads/2019/12/YacyretaEnergiasMensualesDesdePuestaenMarcha.pdf</t>
        </is>
      </c>
      <c r="S841" s="6" t="inlineStr">
        <is>
          <t>EBY-MONTHLY-1994-2012</t>
        </is>
      </c>
      <c r="T841" s="6" t="inlineStr"/>
      <c r="U841" s="4" t="inlineStr">
        <is>
          <t>2026-09-10 23:00:00</t>
        </is>
      </c>
      <c r="V841" s="4" t="inlineStr">
        <is>
          <t>Total anual publicado.</t>
        </is>
      </c>
    </row>
    <row r="842">
      <c r="A842" s="6" t="inlineStr">
        <is>
          <t>R0000846</t>
        </is>
      </c>
      <c r="B842" s="6" t="inlineStr">
        <is>
          <t>2008-01-01</t>
        </is>
      </c>
      <c r="C842" s="6" t="inlineStr">
        <is>
          <t>2008-12-31</t>
        </is>
      </c>
      <c r="D842" s="6" t="inlineStr">
        <is>
          <t>year</t>
        </is>
      </c>
      <c r="E842" s="6" t="inlineStr">
        <is>
          <t>ENERGY_TO_ARGENTINA</t>
        </is>
      </c>
      <c r="F842" s="6" t="inlineStr">
        <is>
          <t>YACYRETA</t>
        </is>
      </c>
      <c r="G842" s="6" t="inlineStr">
        <is>
          <t>YACYRETA</t>
        </is>
      </c>
      <c r="H842" s="6" t="inlineStr">
        <is>
          <t>SADI</t>
        </is>
      </c>
      <c r="I842" s="8" t="n">
        <v>13943004</v>
      </c>
      <c r="J842" s="6" t="inlineStr">
        <is>
          <t>MWh</t>
        </is>
      </c>
      <c r="K842" s="8" t="n">
        <v>13943004</v>
      </c>
      <c r="L842" s="6" t="inlineStr">
        <is>
          <t>MWh</t>
        </is>
      </c>
      <c r="M842" s="6" t="inlineStr">
        <is>
          <t>EBY</t>
        </is>
      </c>
      <c r="N842" s="6" t="inlineStr">
        <is>
          <t>OFFICIAL_PRIMARY</t>
        </is>
      </c>
      <c r="O842" s="9" t="inlineStr">
        <is>
          <t>OFFICIAL_AGGREGATE</t>
        </is>
      </c>
      <c r="P842" s="8" t="n">
        <v>1</v>
      </c>
      <c r="Q842" s="8" t="n">
        <v>50</v>
      </c>
      <c r="R842" s="7" t="inlineStr">
        <is>
          <t>https://www.eby.gov.py/wp-content/uploads/2019/12/YacyretaEnergiasMensualesDesdePuestaenMarcha.pdf</t>
        </is>
      </c>
      <c r="S842" s="6" t="inlineStr">
        <is>
          <t>EBY-MONTHLY-1994-2012</t>
        </is>
      </c>
      <c r="T842" s="6" t="inlineStr"/>
      <c r="U842" s="4" t="inlineStr">
        <is>
          <t>2026-09-10 23:00:00</t>
        </is>
      </c>
      <c r="V842" s="4" t="inlineStr">
        <is>
          <t>Total anual publicado.</t>
        </is>
      </c>
    </row>
    <row r="843">
      <c r="A843" s="6" t="inlineStr">
        <is>
          <t>R0000847</t>
        </is>
      </c>
      <c r="B843" s="6" t="inlineStr">
        <is>
          <t>2008-01-01</t>
        </is>
      </c>
      <c r="C843" s="6" t="inlineStr">
        <is>
          <t>2008-12-31</t>
        </is>
      </c>
      <c r="D843" s="6" t="inlineStr">
        <is>
          <t>year</t>
        </is>
      </c>
      <c r="E843" s="6" t="inlineStr">
        <is>
          <t>ENERGY_TO_PY</t>
        </is>
      </c>
      <c r="F843" s="6" t="inlineStr">
        <is>
          <t>YACYRETA</t>
        </is>
      </c>
      <c r="G843" s="6" t="inlineStr">
        <is>
          <t>YACYRETA</t>
        </is>
      </c>
      <c r="H843" s="6" t="inlineStr">
        <is>
          <t>SINP</t>
        </is>
      </c>
      <c r="I843" s="8" t="n">
        <v>1174168</v>
      </c>
      <c r="J843" s="6" t="inlineStr">
        <is>
          <t>MWh</t>
        </is>
      </c>
      <c r="K843" s="8" t="n">
        <v>1174168</v>
      </c>
      <c r="L843" s="6" t="inlineStr">
        <is>
          <t>MWh</t>
        </is>
      </c>
      <c r="M843" s="6" t="inlineStr">
        <is>
          <t>EBY</t>
        </is>
      </c>
      <c r="N843" s="6" t="inlineStr">
        <is>
          <t>OFFICIAL_PRIMARY</t>
        </is>
      </c>
      <c r="O843" s="9" t="inlineStr">
        <is>
          <t>OFFICIAL_AGGREGATE</t>
        </is>
      </c>
      <c r="P843" s="8" t="n">
        <v>1</v>
      </c>
      <c r="Q843" s="8" t="n">
        <v>50</v>
      </c>
      <c r="R843" s="7" t="inlineStr">
        <is>
          <t>https://www.eby.gov.py/wp-content/uploads/2019/12/YacyretaEnergiasMensualesDesdePuestaenMarcha.pdf</t>
        </is>
      </c>
      <c r="S843" s="6" t="inlineStr">
        <is>
          <t>EBY-MONTHLY-1994-2012</t>
        </is>
      </c>
      <c r="T843" s="6" t="inlineStr"/>
      <c r="U843" s="4" t="inlineStr">
        <is>
          <t>2026-09-10 23:00:00</t>
        </is>
      </c>
      <c r="V843" s="4" t="inlineStr">
        <is>
          <t>Total anual publicado.</t>
        </is>
      </c>
    </row>
    <row r="844">
      <c r="A844" s="6" t="inlineStr">
        <is>
          <t>R0000848</t>
        </is>
      </c>
      <c r="B844" s="6" t="inlineStr">
        <is>
          <t>2009-01-01</t>
        </is>
      </c>
      <c r="C844" s="6" t="inlineStr">
        <is>
          <t>2009-12-31</t>
        </is>
      </c>
      <c r="D844" s="6" t="inlineStr">
        <is>
          <t>year</t>
        </is>
      </c>
      <c r="E844" s="6" t="inlineStr">
        <is>
          <t>YACYRETA_NET_ENERGY</t>
        </is>
      </c>
      <c r="F844" s="6" t="inlineStr">
        <is>
          <t>YACYRETA</t>
        </is>
      </c>
      <c r="G844" s="6" t="inlineStr">
        <is>
          <t>YACYRETA</t>
        </is>
      </c>
      <c r="H844" s="6" t="inlineStr">
        <is>
          <t>TOTAL</t>
        </is>
      </c>
      <c r="I844" s="8" t="n">
        <v>16544487</v>
      </c>
      <c r="J844" s="6" t="inlineStr">
        <is>
          <t>MWh</t>
        </is>
      </c>
      <c r="K844" s="8" t="n">
        <v>16544487</v>
      </c>
      <c r="L844" s="6" t="inlineStr">
        <is>
          <t>MWh</t>
        </is>
      </c>
      <c r="M844" s="6" t="inlineStr">
        <is>
          <t>EBY</t>
        </is>
      </c>
      <c r="N844" s="6" t="inlineStr">
        <is>
          <t>OFFICIAL_PRIMARY</t>
        </is>
      </c>
      <c r="O844" s="9" t="inlineStr">
        <is>
          <t>OFFICIAL_AGGREGATE</t>
        </is>
      </c>
      <c r="P844" s="8" t="n">
        <v>1</v>
      </c>
      <c r="Q844" s="8" t="n">
        <v>50</v>
      </c>
      <c r="R844" s="7" t="inlineStr">
        <is>
          <t>https://www.eby.gov.py/wp-content/uploads/2019/12/YacyretaEnergiasMensualesDesdePuestaenMarcha.pdf</t>
        </is>
      </c>
      <c r="S844" s="6" t="inlineStr">
        <is>
          <t>EBY-MONTHLY-1994-2012</t>
        </is>
      </c>
      <c r="T844" s="6" t="inlineStr"/>
      <c r="U844" s="4" t="inlineStr">
        <is>
          <t>2026-09-10 23:00:00</t>
        </is>
      </c>
      <c r="V844" s="4" t="inlineStr">
        <is>
          <t>Total anual publicado.</t>
        </is>
      </c>
    </row>
    <row r="845">
      <c r="A845" s="6" t="inlineStr">
        <is>
          <t>R0000849</t>
        </is>
      </c>
      <c r="B845" s="6" t="inlineStr">
        <is>
          <t>2009-01-01</t>
        </is>
      </c>
      <c r="C845" s="6" t="inlineStr">
        <is>
          <t>2009-12-31</t>
        </is>
      </c>
      <c r="D845" s="6" t="inlineStr">
        <is>
          <t>year</t>
        </is>
      </c>
      <c r="E845" s="6" t="inlineStr">
        <is>
          <t>ENERGY_TO_ARGENTINA</t>
        </is>
      </c>
      <c r="F845" s="6" t="inlineStr">
        <is>
          <t>YACYRETA</t>
        </is>
      </c>
      <c r="G845" s="6" t="inlineStr">
        <is>
          <t>YACYRETA</t>
        </is>
      </c>
      <c r="H845" s="6" t="inlineStr">
        <is>
          <t>SADI</t>
        </is>
      </c>
      <c r="I845" s="8" t="n">
        <v>14516672</v>
      </c>
      <c r="J845" s="6" t="inlineStr">
        <is>
          <t>MWh</t>
        </is>
      </c>
      <c r="K845" s="8" t="n">
        <v>14516672</v>
      </c>
      <c r="L845" s="6" t="inlineStr">
        <is>
          <t>MWh</t>
        </is>
      </c>
      <c r="M845" s="6" t="inlineStr">
        <is>
          <t>EBY</t>
        </is>
      </c>
      <c r="N845" s="6" t="inlineStr">
        <is>
          <t>OFFICIAL_PRIMARY</t>
        </is>
      </c>
      <c r="O845" s="9" t="inlineStr">
        <is>
          <t>OFFICIAL_AGGREGATE</t>
        </is>
      </c>
      <c r="P845" s="8" t="n">
        <v>1</v>
      </c>
      <c r="Q845" s="8" t="n">
        <v>50</v>
      </c>
      <c r="R845" s="7" t="inlineStr">
        <is>
          <t>https://www.eby.gov.py/wp-content/uploads/2019/12/YacyretaEnergiasMensualesDesdePuestaenMarcha.pdf</t>
        </is>
      </c>
      <c r="S845" s="6" t="inlineStr">
        <is>
          <t>EBY-MONTHLY-1994-2012</t>
        </is>
      </c>
      <c r="T845" s="6" t="inlineStr"/>
      <c r="U845" s="4" t="inlineStr">
        <is>
          <t>2026-09-10 23:00:00</t>
        </is>
      </c>
      <c r="V845" s="4" t="inlineStr">
        <is>
          <t>Total anual publicado.</t>
        </is>
      </c>
    </row>
    <row r="846">
      <c r="A846" s="6" t="inlineStr">
        <is>
          <t>R0000850</t>
        </is>
      </c>
      <c r="B846" s="6" t="inlineStr">
        <is>
          <t>2009-01-01</t>
        </is>
      </c>
      <c r="C846" s="6" t="inlineStr">
        <is>
          <t>2009-12-31</t>
        </is>
      </c>
      <c r="D846" s="6" t="inlineStr">
        <is>
          <t>year</t>
        </is>
      </c>
      <c r="E846" s="6" t="inlineStr">
        <is>
          <t>ENERGY_TO_PY</t>
        </is>
      </c>
      <c r="F846" s="6" t="inlineStr">
        <is>
          <t>YACYRETA</t>
        </is>
      </c>
      <c r="G846" s="6" t="inlineStr">
        <is>
          <t>YACYRETA</t>
        </is>
      </c>
      <c r="H846" s="6" t="inlineStr">
        <is>
          <t>SINP</t>
        </is>
      </c>
      <c r="I846" s="8" t="n">
        <v>2027815</v>
      </c>
      <c r="J846" s="6" t="inlineStr">
        <is>
          <t>MWh</t>
        </is>
      </c>
      <c r="K846" s="8" t="n">
        <v>2027815</v>
      </c>
      <c r="L846" s="6" t="inlineStr">
        <is>
          <t>MWh</t>
        </is>
      </c>
      <c r="M846" s="6" t="inlineStr">
        <is>
          <t>EBY</t>
        </is>
      </c>
      <c r="N846" s="6" t="inlineStr">
        <is>
          <t>OFFICIAL_PRIMARY</t>
        </is>
      </c>
      <c r="O846" s="9" t="inlineStr">
        <is>
          <t>OFFICIAL_AGGREGATE</t>
        </is>
      </c>
      <c r="P846" s="8" t="n">
        <v>1</v>
      </c>
      <c r="Q846" s="8" t="n">
        <v>50</v>
      </c>
      <c r="R846" s="7" t="inlineStr">
        <is>
          <t>https://www.eby.gov.py/wp-content/uploads/2019/12/YacyretaEnergiasMensualesDesdePuestaenMarcha.pdf</t>
        </is>
      </c>
      <c r="S846" s="6" t="inlineStr">
        <is>
          <t>EBY-MONTHLY-1994-2012</t>
        </is>
      </c>
      <c r="T846" s="6" t="inlineStr"/>
      <c r="U846" s="4" t="inlineStr">
        <is>
          <t>2026-09-10 23:00:00</t>
        </is>
      </c>
      <c r="V846" s="4" t="inlineStr">
        <is>
          <t>Total anual publicado.</t>
        </is>
      </c>
    </row>
    <row r="847">
      <c r="A847" s="6" t="inlineStr">
        <is>
          <t>R0000851</t>
        </is>
      </c>
      <c r="B847" s="6" t="inlineStr">
        <is>
          <t>2010-01-01</t>
        </is>
      </c>
      <c r="C847" s="6" t="inlineStr">
        <is>
          <t>2010-12-31</t>
        </is>
      </c>
      <c r="D847" s="6" t="inlineStr">
        <is>
          <t>year</t>
        </is>
      </c>
      <c r="E847" s="6" t="inlineStr">
        <is>
          <t>YACYRETA_NET_ENERGY</t>
        </is>
      </c>
      <c r="F847" s="6" t="inlineStr">
        <is>
          <t>YACYRETA</t>
        </is>
      </c>
      <c r="G847" s="6" t="inlineStr">
        <is>
          <t>YACYRETA</t>
        </is>
      </c>
      <c r="H847" s="6" t="inlineStr">
        <is>
          <t>TOTAL</t>
        </is>
      </c>
      <c r="I847" s="8" t="n">
        <v>19656681</v>
      </c>
      <c r="J847" s="6" t="inlineStr">
        <is>
          <t>MWh</t>
        </is>
      </c>
      <c r="K847" s="8" t="n">
        <v>19656681</v>
      </c>
      <c r="L847" s="6" t="inlineStr">
        <is>
          <t>MWh</t>
        </is>
      </c>
      <c r="M847" s="6" t="inlineStr">
        <is>
          <t>EBY</t>
        </is>
      </c>
      <c r="N847" s="6" t="inlineStr">
        <is>
          <t>OFFICIAL_PRIMARY</t>
        </is>
      </c>
      <c r="O847" s="9" t="inlineStr">
        <is>
          <t>OFFICIAL_AGGREGATE</t>
        </is>
      </c>
      <c r="P847" s="8" t="n">
        <v>1</v>
      </c>
      <c r="Q847" s="8" t="n">
        <v>50</v>
      </c>
      <c r="R847" s="7" t="inlineStr">
        <is>
          <t>https://www.eby.gov.py/wp-content/uploads/2019/12/YacyretaEnergiasMensualesDesdePuestaenMarcha.pdf</t>
        </is>
      </c>
      <c r="S847" s="6" t="inlineStr">
        <is>
          <t>EBY-MONTHLY-1994-2012</t>
        </is>
      </c>
      <c r="T847" s="6" t="inlineStr"/>
      <c r="U847" s="4" t="inlineStr">
        <is>
          <t>2026-09-10 23:00:00</t>
        </is>
      </c>
      <c r="V847" s="4" t="inlineStr">
        <is>
          <t>Total anual publicado.</t>
        </is>
      </c>
    </row>
    <row r="848">
      <c r="A848" s="6" t="inlineStr">
        <is>
          <t>R0000852</t>
        </is>
      </c>
      <c r="B848" s="6" t="inlineStr">
        <is>
          <t>2010-01-01</t>
        </is>
      </c>
      <c r="C848" s="6" t="inlineStr">
        <is>
          <t>2010-12-31</t>
        </is>
      </c>
      <c r="D848" s="6" t="inlineStr">
        <is>
          <t>year</t>
        </is>
      </c>
      <c r="E848" s="6" t="inlineStr">
        <is>
          <t>ENERGY_TO_ARGENTINA</t>
        </is>
      </c>
      <c r="F848" s="6" t="inlineStr">
        <is>
          <t>YACYRETA</t>
        </is>
      </c>
      <c r="G848" s="6" t="inlineStr">
        <is>
          <t>YACYRETA</t>
        </is>
      </c>
      <c r="H848" s="6" t="inlineStr">
        <is>
          <t>SADI</t>
        </is>
      </c>
      <c r="I848" s="8" t="n">
        <v>17382336</v>
      </c>
      <c r="J848" s="6" t="inlineStr">
        <is>
          <t>MWh</t>
        </is>
      </c>
      <c r="K848" s="8" t="n">
        <v>17382336</v>
      </c>
      <c r="L848" s="6" t="inlineStr">
        <is>
          <t>MWh</t>
        </is>
      </c>
      <c r="M848" s="6" t="inlineStr">
        <is>
          <t>EBY</t>
        </is>
      </c>
      <c r="N848" s="6" t="inlineStr">
        <is>
          <t>OFFICIAL_PRIMARY</t>
        </is>
      </c>
      <c r="O848" s="9" t="inlineStr">
        <is>
          <t>OFFICIAL_AGGREGATE</t>
        </is>
      </c>
      <c r="P848" s="8" t="n">
        <v>1</v>
      </c>
      <c r="Q848" s="8" t="n">
        <v>50</v>
      </c>
      <c r="R848" s="7" t="inlineStr">
        <is>
          <t>https://www.eby.gov.py/wp-content/uploads/2019/12/YacyretaEnergiasMensualesDesdePuestaenMarcha.pdf</t>
        </is>
      </c>
      <c r="S848" s="6" t="inlineStr">
        <is>
          <t>EBY-MONTHLY-1994-2012</t>
        </is>
      </c>
      <c r="T848" s="6" t="inlineStr"/>
      <c r="U848" s="4" t="inlineStr">
        <is>
          <t>2026-09-10 23:00:00</t>
        </is>
      </c>
      <c r="V848" s="4" t="inlineStr">
        <is>
          <t>Total anual publicado.</t>
        </is>
      </c>
    </row>
    <row r="849">
      <c r="A849" s="6" t="inlineStr">
        <is>
          <t>R0000853</t>
        </is>
      </c>
      <c r="B849" s="6" t="inlineStr">
        <is>
          <t>2010-01-01</t>
        </is>
      </c>
      <c r="C849" s="6" t="inlineStr">
        <is>
          <t>2010-12-31</t>
        </is>
      </c>
      <c r="D849" s="6" t="inlineStr">
        <is>
          <t>year</t>
        </is>
      </c>
      <c r="E849" s="6" t="inlineStr">
        <is>
          <t>ENERGY_TO_PY</t>
        </is>
      </c>
      <c r="F849" s="6" t="inlineStr">
        <is>
          <t>YACYRETA</t>
        </is>
      </c>
      <c r="G849" s="6" t="inlineStr">
        <is>
          <t>YACYRETA</t>
        </is>
      </c>
      <c r="H849" s="6" t="inlineStr">
        <is>
          <t>SINP</t>
        </is>
      </c>
      <c r="I849" s="8" t="n">
        <v>2274345</v>
      </c>
      <c r="J849" s="6" t="inlineStr">
        <is>
          <t>MWh</t>
        </is>
      </c>
      <c r="K849" s="8" t="n">
        <v>2274345</v>
      </c>
      <c r="L849" s="6" t="inlineStr">
        <is>
          <t>MWh</t>
        </is>
      </c>
      <c r="M849" s="6" t="inlineStr">
        <is>
          <t>EBY</t>
        </is>
      </c>
      <c r="N849" s="6" t="inlineStr">
        <is>
          <t>OFFICIAL_PRIMARY</t>
        </is>
      </c>
      <c r="O849" s="9" t="inlineStr">
        <is>
          <t>OFFICIAL_AGGREGATE</t>
        </is>
      </c>
      <c r="P849" s="8" t="n">
        <v>1</v>
      </c>
      <c r="Q849" s="8" t="n">
        <v>50</v>
      </c>
      <c r="R849" s="7" t="inlineStr">
        <is>
          <t>https://www.eby.gov.py/wp-content/uploads/2019/12/YacyretaEnergiasMensualesDesdePuestaenMarcha.pdf</t>
        </is>
      </c>
      <c r="S849" s="6" t="inlineStr">
        <is>
          <t>EBY-MONTHLY-1994-2012</t>
        </is>
      </c>
      <c r="T849" s="6" t="inlineStr"/>
      <c r="U849" s="4" t="inlineStr">
        <is>
          <t>2026-09-10 23:00:00</t>
        </is>
      </c>
      <c r="V849" s="4" t="inlineStr">
        <is>
          <t>Total anual publicado.</t>
        </is>
      </c>
    </row>
    <row r="850">
      <c r="A850" s="6" t="inlineStr">
        <is>
          <t>R0000854</t>
        </is>
      </c>
      <c r="B850" s="6" t="inlineStr">
        <is>
          <t>2011-01-01</t>
        </is>
      </c>
      <c r="C850" s="6" t="inlineStr">
        <is>
          <t>2011-12-31</t>
        </is>
      </c>
      <c r="D850" s="6" t="inlineStr">
        <is>
          <t>year</t>
        </is>
      </c>
      <c r="E850" s="6" t="inlineStr">
        <is>
          <t>YACYRETA_NET_ENERGY</t>
        </is>
      </c>
      <c r="F850" s="6" t="inlineStr">
        <is>
          <t>YACYRETA</t>
        </is>
      </c>
      <c r="G850" s="6" t="inlineStr">
        <is>
          <t>YACYRETA</t>
        </is>
      </c>
      <c r="H850" s="6" t="inlineStr">
        <is>
          <t>TOTAL</t>
        </is>
      </c>
      <c r="I850" s="8" t="n">
        <v>20866302</v>
      </c>
      <c r="J850" s="6" t="inlineStr">
        <is>
          <t>MWh</t>
        </is>
      </c>
      <c r="K850" s="8" t="n">
        <v>20866302</v>
      </c>
      <c r="L850" s="6" t="inlineStr">
        <is>
          <t>MWh</t>
        </is>
      </c>
      <c r="M850" s="6" t="inlineStr">
        <is>
          <t>EBY</t>
        </is>
      </c>
      <c r="N850" s="6" t="inlineStr">
        <is>
          <t>OFFICIAL_PRIMARY</t>
        </is>
      </c>
      <c r="O850" s="9" t="inlineStr">
        <is>
          <t>OFFICIAL_AGGREGATE</t>
        </is>
      </c>
      <c r="P850" s="8" t="n">
        <v>1</v>
      </c>
      <c r="Q850" s="8" t="n">
        <v>50</v>
      </c>
      <c r="R850" s="7" t="inlineStr">
        <is>
          <t>https://www.eby.gov.py/wp-content/uploads/2019/12/YacyretaEnergiasMensualesDesdePuestaenMarcha.pdf</t>
        </is>
      </c>
      <c r="S850" s="6" t="inlineStr">
        <is>
          <t>EBY-MONTHLY-1994-2012</t>
        </is>
      </c>
      <c r="T850" s="6" t="inlineStr"/>
      <c r="U850" s="4" t="inlineStr">
        <is>
          <t>2026-09-10 23:00:00</t>
        </is>
      </c>
      <c r="V850" s="4" t="inlineStr">
        <is>
          <t>Total anual publicado.</t>
        </is>
      </c>
    </row>
    <row r="851">
      <c r="A851" s="6" t="inlineStr">
        <is>
          <t>R0000855</t>
        </is>
      </c>
      <c r="B851" s="6" t="inlineStr">
        <is>
          <t>2011-01-01</t>
        </is>
      </c>
      <c r="C851" s="6" t="inlineStr">
        <is>
          <t>2011-12-31</t>
        </is>
      </c>
      <c r="D851" s="6" t="inlineStr">
        <is>
          <t>year</t>
        </is>
      </c>
      <c r="E851" s="6" t="inlineStr">
        <is>
          <t>ENERGY_TO_ARGENTINA</t>
        </is>
      </c>
      <c r="F851" s="6" t="inlineStr">
        <is>
          <t>YACYRETA</t>
        </is>
      </c>
      <c r="G851" s="6" t="inlineStr">
        <is>
          <t>YACYRETA</t>
        </is>
      </c>
      <c r="H851" s="6" t="inlineStr">
        <is>
          <t>SADI</t>
        </is>
      </c>
      <c r="I851" s="8" t="n">
        <v>18691698</v>
      </c>
      <c r="J851" s="6" t="inlineStr">
        <is>
          <t>MWh</t>
        </is>
      </c>
      <c r="K851" s="8" t="n">
        <v>18691698</v>
      </c>
      <c r="L851" s="6" t="inlineStr">
        <is>
          <t>MWh</t>
        </is>
      </c>
      <c r="M851" s="6" t="inlineStr">
        <is>
          <t>EBY</t>
        </is>
      </c>
      <c r="N851" s="6" t="inlineStr">
        <is>
          <t>OFFICIAL_PRIMARY</t>
        </is>
      </c>
      <c r="O851" s="9" t="inlineStr">
        <is>
          <t>OFFICIAL_AGGREGATE</t>
        </is>
      </c>
      <c r="P851" s="8" t="n">
        <v>1</v>
      </c>
      <c r="Q851" s="8" t="n">
        <v>50</v>
      </c>
      <c r="R851" s="7" t="inlineStr">
        <is>
          <t>https://www.eby.gov.py/wp-content/uploads/2019/12/YacyretaEnergiasMensualesDesdePuestaenMarcha.pdf</t>
        </is>
      </c>
      <c r="S851" s="6" t="inlineStr">
        <is>
          <t>EBY-MONTHLY-1994-2012</t>
        </is>
      </c>
      <c r="T851" s="6" t="inlineStr"/>
      <c r="U851" s="4" t="inlineStr">
        <is>
          <t>2026-09-10 23:00:00</t>
        </is>
      </c>
      <c r="V851" s="4" t="inlineStr">
        <is>
          <t>Total anual publicado.</t>
        </is>
      </c>
    </row>
    <row r="852">
      <c r="A852" s="6" t="inlineStr">
        <is>
          <t>R0000856</t>
        </is>
      </c>
      <c r="B852" s="6" t="inlineStr">
        <is>
          <t>2011-01-01</t>
        </is>
      </c>
      <c r="C852" s="6" t="inlineStr">
        <is>
          <t>2011-12-31</t>
        </is>
      </c>
      <c r="D852" s="6" t="inlineStr">
        <is>
          <t>year</t>
        </is>
      </c>
      <c r="E852" s="6" t="inlineStr">
        <is>
          <t>ENERGY_TO_PY</t>
        </is>
      </c>
      <c r="F852" s="6" t="inlineStr">
        <is>
          <t>YACYRETA</t>
        </is>
      </c>
      <c r="G852" s="6" t="inlineStr">
        <is>
          <t>YACYRETA</t>
        </is>
      </c>
      <c r="H852" s="6" t="inlineStr">
        <is>
          <t>SINP</t>
        </is>
      </c>
      <c r="I852" s="8" t="n">
        <v>2174604</v>
      </c>
      <c r="J852" s="6" t="inlineStr">
        <is>
          <t>MWh</t>
        </is>
      </c>
      <c r="K852" s="8" t="n">
        <v>2174604</v>
      </c>
      <c r="L852" s="6" t="inlineStr">
        <is>
          <t>MWh</t>
        </is>
      </c>
      <c r="M852" s="6" t="inlineStr">
        <is>
          <t>EBY</t>
        </is>
      </c>
      <c r="N852" s="6" t="inlineStr">
        <is>
          <t>OFFICIAL_PRIMARY</t>
        </is>
      </c>
      <c r="O852" s="9" t="inlineStr">
        <is>
          <t>OFFICIAL_AGGREGATE</t>
        </is>
      </c>
      <c r="P852" s="8" t="n">
        <v>1</v>
      </c>
      <c r="Q852" s="8" t="n">
        <v>50</v>
      </c>
      <c r="R852" s="7" t="inlineStr">
        <is>
          <t>https://www.eby.gov.py/wp-content/uploads/2019/12/YacyretaEnergiasMensualesDesdePuestaenMarcha.pdf</t>
        </is>
      </c>
      <c r="S852" s="6" t="inlineStr">
        <is>
          <t>EBY-MONTHLY-1994-2012</t>
        </is>
      </c>
      <c r="T852" s="6" t="inlineStr"/>
      <c r="U852" s="4" t="inlineStr">
        <is>
          <t>2026-09-10 23:00:00</t>
        </is>
      </c>
      <c r="V852" s="4" t="inlineStr">
        <is>
          <t>Total anual publicado.</t>
        </is>
      </c>
    </row>
    <row r="853">
      <c r="A853" s="6" t="inlineStr">
        <is>
          <t>R0000857</t>
        </is>
      </c>
      <c r="B853" s="6" t="inlineStr">
        <is>
          <t>2012-01-01</t>
        </is>
      </c>
      <c r="C853" s="6" t="inlineStr">
        <is>
          <t>2012-06-30</t>
        </is>
      </c>
      <c r="D853" s="6" t="inlineStr">
        <is>
          <t>year_partial</t>
        </is>
      </c>
      <c r="E853" s="6" t="inlineStr">
        <is>
          <t>YACYRETA_NET_ENERGY</t>
        </is>
      </c>
      <c r="F853" s="6" t="inlineStr">
        <is>
          <t>YACYRETA</t>
        </is>
      </c>
      <c r="G853" s="6" t="inlineStr">
        <is>
          <t>YACYRETA</t>
        </is>
      </c>
      <c r="H853" s="6" t="inlineStr">
        <is>
          <t>TOTAL</t>
        </is>
      </c>
      <c r="I853" s="8" t="n">
        <v>10129988</v>
      </c>
      <c r="J853" s="6" t="inlineStr">
        <is>
          <t>MWh</t>
        </is>
      </c>
      <c r="K853" s="8" t="n">
        <v>10129988</v>
      </c>
      <c r="L853" s="6" t="inlineStr">
        <is>
          <t>MWh</t>
        </is>
      </c>
      <c r="M853" s="6" t="inlineStr">
        <is>
          <t>EBY</t>
        </is>
      </c>
      <c r="N853" s="6" t="inlineStr">
        <is>
          <t>OFFICIAL_PRIMARY</t>
        </is>
      </c>
      <c r="O853" s="9" t="inlineStr">
        <is>
          <t>OFFICIAL_AGGREGATE</t>
        </is>
      </c>
      <c r="P853" s="8" t="n">
        <v>1</v>
      </c>
      <c r="Q853" s="8" t="n">
        <v>50</v>
      </c>
      <c r="R853" s="7" t="inlineStr">
        <is>
          <t>https://www.eby.gov.py/wp-content/uploads/2019/12/YacyretaEnergiasMensualesDesdePuestaenMarcha.pdf</t>
        </is>
      </c>
      <c r="S853" s="6" t="inlineStr">
        <is>
          <t>EBY-MONTHLY-1994-2012</t>
        </is>
      </c>
      <c r="T853" s="6" t="inlineStr"/>
      <c r="U853" s="4" t="inlineStr">
        <is>
          <t>2026-09-10 23:00:00</t>
        </is>
      </c>
      <c r="V853" s="4" t="inlineStr">
        <is>
          <t>Parcial enero-junio.</t>
        </is>
      </c>
    </row>
    <row r="854">
      <c r="A854" s="6" t="inlineStr">
        <is>
          <t>R0000858</t>
        </is>
      </c>
      <c r="B854" s="6" t="inlineStr">
        <is>
          <t>2012-01-01</t>
        </is>
      </c>
      <c r="C854" s="6" t="inlineStr">
        <is>
          <t>2012-06-30</t>
        </is>
      </c>
      <c r="D854" s="6" t="inlineStr">
        <is>
          <t>year_partial</t>
        </is>
      </c>
      <c r="E854" s="6" t="inlineStr">
        <is>
          <t>ENERGY_TO_ARGENTINA</t>
        </is>
      </c>
      <c r="F854" s="6" t="inlineStr">
        <is>
          <t>YACYRETA</t>
        </is>
      </c>
      <c r="G854" s="6" t="inlineStr">
        <is>
          <t>YACYRETA</t>
        </is>
      </c>
      <c r="H854" s="6" t="inlineStr">
        <is>
          <t>SADI</t>
        </is>
      </c>
      <c r="I854" s="8" t="n">
        <v>8891346</v>
      </c>
      <c r="J854" s="6" t="inlineStr">
        <is>
          <t>MWh</t>
        </is>
      </c>
      <c r="K854" s="8" t="n">
        <v>8891346</v>
      </c>
      <c r="L854" s="6" t="inlineStr">
        <is>
          <t>MWh</t>
        </is>
      </c>
      <c r="M854" s="6" t="inlineStr">
        <is>
          <t>EBY</t>
        </is>
      </c>
      <c r="N854" s="6" t="inlineStr">
        <is>
          <t>OFFICIAL_PRIMARY</t>
        </is>
      </c>
      <c r="O854" s="9" t="inlineStr">
        <is>
          <t>OFFICIAL_AGGREGATE</t>
        </is>
      </c>
      <c r="P854" s="8" t="n">
        <v>1</v>
      </c>
      <c r="Q854" s="8" t="n">
        <v>50</v>
      </c>
      <c r="R854" s="7" t="inlineStr">
        <is>
          <t>https://www.eby.gov.py/wp-content/uploads/2019/12/YacyretaEnergiasMensualesDesdePuestaenMarcha.pdf</t>
        </is>
      </c>
      <c r="S854" s="6" t="inlineStr">
        <is>
          <t>EBY-MONTHLY-1994-2012</t>
        </is>
      </c>
      <c r="T854" s="6" t="inlineStr"/>
      <c r="U854" s="4" t="inlineStr">
        <is>
          <t>2026-09-10 23:00:00</t>
        </is>
      </c>
      <c r="V854" s="4" t="inlineStr">
        <is>
          <t>Parcial enero-junio.</t>
        </is>
      </c>
    </row>
    <row r="855">
      <c r="A855" s="6" t="inlineStr">
        <is>
          <t>R0000859</t>
        </is>
      </c>
      <c r="B855" s="6" t="inlineStr">
        <is>
          <t>2012-01-01</t>
        </is>
      </c>
      <c r="C855" s="6" t="inlineStr">
        <is>
          <t>2012-06-30</t>
        </is>
      </c>
      <c r="D855" s="6" t="inlineStr">
        <is>
          <t>year_partial</t>
        </is>
      </c>
      <c r="E855" s="6" t="inlineStr">
        <is>
          <t>ENERGY_TO_PY</t>
        </is>
      </c>
      <c r="F855" s="6" t="inlineStr">
        <is>
          <t>YACYRETA</t>
        </is>
      </c>
      <c r="G855" s="6" t="inlineStr">
        <is>
          <t>YACYRETA</t>
        </is>
      </c>
      <c r="H855" s="6" t="inlineStr">
        <is>
          <t>SINP</t>
        </is>
      </c>
      <c r="I855" s="8" t="n">
        <v>1238642</v>
      </c>
      <c r="J855" s="6" t="inlineStr">
        <is>
          <t>MWh</t>
        </is>
      </c>
      <c r="K855" s="8" t="n">
        <v>1238642</v>
      </c>
      <c r="L855" s="6" t="inlineStr">
        <is>
          <t>MWh</t>
        </is>
      </c>
      <c r="M855" s="6" t="inlineStr">
        <is>
          <t>EBY</t>
        </is>
      </c>
      <c r="N855" s="6" t="inlineStr">
        <is>
          <t>OFFICIAL_PRIMARY</t>
        </is>
      </c>
      <c r="O855" s="9" t="inlineStr">
        <is>
          <t>OFFICIAL_AGGREGATE</t>
        </is>
      </c>
      <c r="P855" s="8" t="n">
        <v>1</v>
      </c>
      <c r="Q855" s="8" t="n">
        <v>50</v>
      </c>
      <c r="R855" s="7" t="inlineStr">
        <is>
          <t>https://www.eby.gov.py/wp-content/uploads/2019/12/YacyretaEnergiasMensualesDesdePuestaenMarcha.pdf</t>
        </is>
      </c>
      <c r="S855" s="6" t="inlineStr">
        <is>
          <t>EBY-MONTHLY-1994-2012</t>
        </is>
      </c>
      <c r="T855" s="6" t="inlineStr"/>
      <c r="U855" s="4" t="inlineStr">
        <is>
          <t>2026-09-10 23:00:00</t>
        </is>
      </c>
      <c r="V855" s="4" t="inlineStr">
        <is>
          <t>Parcial enero-junio.</t>
        </is>
      </c>
    </row>
    <row r="856">
      <c r="A856" s="6" t="inlineStr">
        <is>
          <t>R0000860</t>
        </is>
      </c>
      <c r="B856" s="6" t="inlineStr">
        <is>
          <t>2020-01-01</t>
        </is>
      </c>
      <c r="C856" s="6" t="inlineStr">
        <is>
          <t>2020-12-31</t>
        </is>
      </c>
      <c r="D856" s="6" t="inlineStr">
        <is>
          <t>year</t>
        </is>
      </c>
      <c r="E856" s="6" t="inlineStr">
        <is>
          <t>YACYRETA_GROSS_ENERGY</t>
        </is>
      </c>
      <c r="F856" s="6" t="inlineStr">
        <is>
          <t>YACYRETA</t>
        </is>
      </c>
      <c r="G856" s="6" t="inlineStr">
        <is>
          <t>YACYRETA</t>
        </is>
      </c>
      <c r="H856" s="6" t="inlineStr">
        <is>
          <t>TOTAL</t>
        </is>
      </c>
      <c r="I856" s="8" t="n">
        <v>15039934</v>
      </c>
      <c r="J856" s="6" t="inlineStr">
        <is>
          <t>MWh</t>
        </is>
      </c>
      <c r="K856" s="8" t="n">
        <v>15039934</v>
      </c>
      <c r="L856" s="6" t="inlineStr">
        <is>
          <t>MWh</t>
        </is>
      </c>
      <c r="M856" s="6" t="inlineStr">
        <is>
          <t>EBY</t>
        </is>
      </c>
      <c r="N856" s="6" t="inlineStr">
        <is>
          <t>OFFICIAL_PRIMARY</t>
        </is>
      </c>
      <c r="O856" s="9" t="inlineStr">
        <is>
          <t>OFFICIAL_AGGREGATE</t>
        </is>
      </c>
      <c r="P856" s="8" t="n">
        <v>1</v>
      </c>
      <c r="Q856" s="8" t="n">
        <v>50</v>
      </c>
      <c r="R856" s="7" t="inlineStr">
        <is>
          <t>https://www.eby.gov.py/informe-de-produccion-anual-de-la-central-hidroelectrica-yacyreta/</t>
        </is>
      </c>
      <c r="S856" s="6" t="inlineStr">
        <is>
          <t>EBY-ANNUAL-2020</t>
        </is>
      </c>
      <c r="T856" s="6" t="inlineStr"/>
      <c r="U856" s="4" t="inlineStr">
        <is>
          <t>2026-09-10 23:00:00</t>
        </is>
      </c>
      <c r="V856" s="4" t="inlineStr">
        <is>
          <t>Generacion bruta anual 2020.</t>
        </is>
      </c>
    </row>
    <row r="857">
      <c r="A857" s="6" t="inlineStr">
        <is>
          <t>R0000861</t>
        </is>
      </c>
      <c r="B857" s="6" t="inlineStr">
        <is>
          <t>2020-01-01</t>
        </is>
      </c>
      <c r="C857" s="6" t="inlineStr">
        <is>
          <t>2020-12-31</t>
        </is>
      </c>
      <c r="D857" s="6" t="inlineStr">
        <is>
          <t>year</t>
        </is>
      </c>
      <c r="E857" s="6" t="inlineStr">
        <is>
          <t>YACYRETA_NET_ENERGY</t>
        </is>
      </c>
      <c r="F857" s="6" t="inlineStr">
        <is>
          <t>YACYRETA</t>
        </is>
      </c>
      <c r="G857" s="6" t="inlineStr">
        <is>
          <t>YACYRETA</t>
        </is>
      </c>
      <c r="H857" s="6" t="inlineStr">
        <is>
          <t>TOTAL</t>
        </is>
      </c>
      <c r="I857" s="8" t="n">
        <v>14857292</v>
      </c>
      <c r="J857" s="6" t="inlineStr">
        <is>
          <t>MWh</t>
        </is>
      </c>
      <c r="K857" s="8" t="n">
        <v>14857292</v>
      </c>
      <c r="L857" s="6" t="inlineStr">
        <is>
          <t>MWh</t>
        </is>
      </c>
      <c r="M857" s="6" t="inlineStr">
        <is>
          <t>EBY</t>
        </is>
      </c>
      <c r="N857" s="6" t="inlineStr">
        <is>
          <t>OFFICIAL_PRIMARY</t>
        </is>
      </c>
      <c r="O857" s="9" t="inlineStr">
        <is>
          <t>OFFICIAL_AGGREGATE</t>
        </is>
      </c>
      <c r="P857" s="8" t="n">
        <v>1</v>
      </c>
      <c r="Q857" s="8" t="n">
        <v>50</v>
      </c>
      <c r="R857" s="7" t="inlineStr">
        <is>
          <t>https://www.eby.gov.py/informe-de-produccion-anual-de-la-central-hidroelectrica-yacyreta/</t>
        </is>
      </c>
      <c r="S857" s="6" t="inlineStr">
        <is>
          <t>EBY-ANNUAL-2020</t>
        </is>
      </c>
      <c r="T857" s="6" t="inlineStr"/>
      <c r="U857" s="4" t="inlineStr">
        <is>
          <t>2026-09-10 23:00:00</t>
        </is>
      </c>
      <c r="V857" s="4" t="inlineStr">
        <is>
          <t>Generacion neta anual 2020.</t>
        </is>
      </c>
    </row>
    <row r="858">
      <c r="A858" s="6" t="inlineStr">
        <is>
          <t>R0000862</t>
        </is>
      </c>
      <c r="B858" s="6" t="inlineStr">
        <is>
          <t>2020-01-01</t>
        </is>
      </c>
      <c r="C858" s="6" t="inlineStr">
        <is>
          <t>2020-12-31</t>
        </is>
      </c>
      <c r="D858" s="6" t="inlineStr">
        <is>
          <t>year</t>
        </is>
      </c>
      <c r="E858" s="6" t="inlineStr">
        <is>
          <t>ENERGY_TO_PY</t>
        </is>
      </c>
      <c r="F858" s="6" t="inlineStr">
        <is>
          <t>YACYRETA</t>
        </is>
      </c>
      <c r="G858" s="6" t="inlineStr">
        <is>
          <t>YACYRETA</t>
        </is>
      </c>
      <c r="H858" s="6" t="inlineStr">
        <is>
          <t>SINP</t>
        </is>
      </c>
      <c r="I858" s="8" t="n">
        <v>1664316.8</v>
      </c>
      <c r="J858" s="6" t="inlineStr">
        <is>
          <t>MWh</t>
        </is>
      </c>
      <c r="K858" s="8" t="n">
        <v>1664316.8</v>
      </c>
      <c r="L858" s="6" t="inlineStr">
        <is>
          <t>MWh</t>
        </is>
      </c>
      <c r="M858" s="6" t="inlineStr">
        <is>
          <t>EBY</t>
        </is>
      </c>
      <c r="N858" s="6" t="inlineStr">
        <is>
          <t>OFFICIAL_PRIMARY</t>
        </is>
      </c>
      <c r="O858" s="9" t="inlineStr">
        <is>
          <t>OFFICIAL_AGGREGATE</t>
        </is>
      </c>
      <c r="P858" s="8" t="n">
        <v>1</v>
      </c>
      <c r="Q858" s="8" t="n">
        <v>50</v>
      </c>
      <c r="R858" s="7" t="inlineStr">
        <is>
          <t>https://www.eby.gov.py/informe-de-produccion-anual-de-la-central-hidroelectrica-yacyreta/</t>
        </is>
      </c>
      <c r="S858" s="6" t="inlineStr">
        <is>
          <t>EBY-ANNUAL-2020</t>
        </is>
      </c>
      <c r="T858" s="6" t="inlineStr"/>
      <c r="U858" s="4" t="inlineStr">
        <is>
          <t>2026-09-10 23:00:00</t>
        </is>
      </c>
      <c r="V858" s="4" t="inlineStr">
        <is>
          <t>Energia entregada al SINP en 2020.</t>
        </is>
      </c>
    </row>
    <row r="859">
      <c r="A859" s="6" t="inlineStr">
        <is>
          <t>R0000863</t>
        </is>
      </c>
      <c r="B859" s="6" t="inlineStr">
        <is>
          <t>2020-01-01</t>
        </is>
      </c>
      <c r="C859" s="6" t="inlineStr">
        <is>
          <t>2020-12-31</t>
        </is>
      </c>
      <c r="D859" s="6" t="inlineStr">
        <is>
          <t>year</t>
        </is>
      </c>
      <c r="E859" s="6" t="inlineStr">
        <is>
          <t>ENERGY_TO_ARGENTINA</t>
        </is>
      </c>
      <c r="F859" s="6" t="inlineStr">
        <is>
          <t>YACYRETA</t>
        </is>
      </c>
      <c r="G859" s="6" t="inlineStr">
        <is>
          <t>YACYRETA</t>
        </is>
      </c>
      <c r="H859" s="6" t="inlineStr">
        <is>
          <t>SADI</t>
        </is>
      </c>
      <c r="I859" s="8" t="n">
        <v>13192975.2</v>
      </c>
      <c r="J859" s="6" t="inlineStr">
        <is>
          <t>MWh</t>
        </is>
      </c>
      <c r="K859" s="8" t="n">
        <v>13192975.2</v>
      </c>
      <c r="L859" s="6" t="inlineStr">
        <is>
          <t>MWh</t>
        </is>
      </c>
      <c r="M859" s="6" t="inlineStr">
        <is>
          <t>EBY</t>
        </is>
      </c>
      <c r="N859" s="6" t="inlineStr">
        <is>
          <t>OFFICIAL_PRIMARY</t>
        </is>
      </c>
      <c r="O859" s="9" t="inlineStr">
        <is>
          <t>OFFICIAL_AGGREGATE</t>
        </is>
      </c>
      <c r="P859" s="8" t="n">
        <v>1</v>
      </c>
      <c r="Q859" s="8" t="n">
        <v>50</v>
      </c>
      <c r="R859" s="7" t="inlineStr">
        <is>
          <t>https://www.eby.gov.py/informe-de-produccion-anual-de-la-central-hidroelectrica-yacyreta/</t>
        </is>
      </c>
      <c r="S859" s="6" t="inlineStr">
        <is>
          <t>EBY-ANNUAL-2020</t>
        </is>
      </c>
      <c r="T859" s="6" t="inlineStr"/>
      <c r="U859" s="4" t="inlineStr">
        <is>
          <t>2026-09-10 23:00:00</t>
        </is>
      </c>
      <c r="V859" s="4" t="inlineStr">
        <is>
          <t>Energia entregada al SADI en 2020.</t>
        </is>
      </c>
    </row>
    <row r="860">
      <c r="A860" s="6" t="inlineStr">
        <is>
          <t>R0000864</t>
        </is>
      </c>
      <c r="B860" s="6" t="inlineStr">
        <is>
          <t>1983-01-01</t>
        </is>
      </c>
      <c r="C860" s="6" t="inlineStr">
        <is>
          <t>1983-12-31</t>
        </is>
      </c>
      <c r="D860" s="6" t="inlineStr">
        <is>
          <t>year</t>
        </is>
      </c>
      <c r="E860" s="6" t="inlineStr">
        <is>
          <t>ANDE_BILLED_NATIONAL_ENERGY</t>
        </is>
      </c>
      <c r="F860" s="6" t="inlineStr">
        <is>
          <t>PY_SIN</t>
        </is>
      </c>
      <c r="G860" s="6" t="inlineStr">
        <is>
          <t>PY</t>
        </is>
      </c>
      <c r="H860" s="6" t="inlineStr">
        <is>
          <t>PY</t>
        </is>
      </c>
      <c r="I860" s="8" t="n">
        <v>827224.6850000001</v>
      </c>
      <c r="J860" s="6" t="inlineStr">
        <is>
          <t>MWh</t>
        </is>
      </c>
      <c r="K860" s="8" t="n">
        <v>827224.6850000001</v>
      </c>
      <c r="L860" s="6" t="inlineStr">
        <is>
          <t>MWh</t>
        </is>
      </c>
      <c r="M860" s="6" t="inlineStr">
        <is>
          <t>ANDE</t>
        </is>
      </c>
      <c r="N860" s="6" t="inlineStr">
        <is>
          <t>OFFICIAL_PRIMARY</t>
        </is>
      </c>
      <c r="O860" s="9" t="inlineStr">
        <is>
          <t>OFFICIAL_AGGREGATE</t>
        </is>
      </c>
      <c r="P860" s="8" t="n">
        <v>1</v>
      </c>
      <c r="Q860" s="8" t="n">
        <v>40</v>
      </c>
      <c r="R860" s="7" t="inlineStr">
        <is>
          <t>https://www.ande.gov.py/estadisticas/BalanceEnergia1983-2006/CompilacionEstadistica83-06.pdf</t>
        </is>
      </c>
      <c r="S860" s="6" t="inlineStr">
        <is>
          <t>ANDE-83-06</t>
        </is>
      </c>
      <c r="T860" s="6" t="inlineStr"/>
      <c r="U860" s="4" t="inlineStr">
        <is>
          <t>2026-09-11 00:05:00</t>
        </is>
      </c>
      <c r="V860" s="4" t="inlineStr">
        <is>
          <t>Serie historica antigua; usar compilaciones posteriores para solapes cuando existan.</t>
        </is>
      </c>
    </row>
    <row r="861">
      <c r="A861" s="6" t="inlineStr">
        <is>
          <t>R0000865</t>
        </is>
      </c>
      <c r="B861" s="6" t="inlineStr">
        <is>
          <t>1983-01-01</t>
        </is>
      </c>
      <c r="C861" s="6" t="inlineStr">
        <is>
          <t>1983-12-31</t>
        </is>
      </c>
      <c r="D861" s="6" t="inlineStr">
        <is>
          <t>year</t>
        </is>
      </c>
      <c r="E861" s="6" t="inlineStr">
        <is>
          <t>ANDE_TOTAL_ENERGY_SOLD</t>
        </is>
      </c>
      <c r="F861" s="6" t="inlineStr">
        <is>
          <t>PY_SIN</t>
        </is>
      </c>
      <c r="G861" s="6" t="inlineStr">
        <is>
          <t>PY</t>
        </is>
      </c>
      <c r="H861" s="6" t="inlineStr">
        <is>
          <t>PY</t>
        </is>
      </c>
      <c r="I861" s="8" t="n">
        <v>846937.882</v>
      </c>
      <c r="J861" s="6" t="inlineStr">
        <is>
          <t>MWh</t>
        </is>
      </c>
      <c r="K861" s="8" t="n">
        <v>846937.882</v>
      </c>
      <c r="L861" s="6" t="inlineStr">
        <is>
          <t>MWh</t>
        </is>
      </c>
      <c r="M861" s="6" t="inlineStr">
        <is>
          <t>ANDE</t>
        </is>
      </c>
      <c r="N861" s="6" t="inlineStr">
        <is>
          <t>OFFICIAL_PRIMARY</t>
        </is>
      </c>
      <c r="O861" s="9" t="inlineStr">
        <is>
          <t>OFFICIAL_AGGREGATE</t>
        </is>
      </c>
      <c r="P861" s="8" t="n">
        <v>1</v>
      </c>
      <c r="Q861" s="8" t="n">
        <v>40</v>
      </c>
      <c r="R861" s="7" t="inlineStr">
        <is>
          <t>https://www.ande.gov.py/estadisticas/BalanceEnergia1983-2006/CompilacionEstadistica83-06.pdf</t>
        </is>
      </c>
      <c r="S861" s="6" t="inlineStr">
        <is>
          <t>ANDE-83-06</t>
        </is>
      </c>
      <c r="T861" s="6" t="inlineStr"/>
      <c r="U861" s="4" t="inlineStr">
        <is>
          <t>2026-09-11 00:05:00</t>
        </is>
      </c>
      <c r="V861" s="4" t="inlineStr">
        <is>
          <t>Serie historica antigua; usar compilaciones posteriores para solapes cuando existan.</t>
        </is>
      </c>
    </row>
    <row r="862">
      <c r="A862" s="6" t="inlineStr">
        <is>
          <t>R0000866</t>
        </is>
      </c>
      <c r="B862" s="6" t="inlineStr">
        <is>
          <t>1983-01-01</t>
        </is>
      </c>
      <c r="C862" s="6" t="inlineStr">
        <is>
          <t>1983-12-31</t>
        </is>
      </c>
      <c r="D862" s="6" t="inlineStr">
        <is>
          <t>year</t>
        </is>
      </c>
      <c r="E862" s="6" t="inlineStr">
        <is>
          <t>ANDE_BILLED_RESIDENTIAL_ENERGY</t>
        </is>
      </c>
      <c r="F862" s="6" t="inlineStr">
        <is>
          <t>PY_SIN</t>
        </is>
      </c>
      <c r="G862" s="6" t="inlineStr">
        <is>
          <t>PY</t>
        </is>
      </c>
      <c r="H862" s="6" t="inlineStr">
        <is>
          <t>PY</t>
        </is>
      </c>
      <c r="I862" s="8" t="n">
        <v>492189.732</v>
      </c>
      <c r="J862" s="6" t="inlineStr">
        <is>
          <t>MWh</t>
        </is>
      </c>
      <c r="K862" s="8" t="n">
        <v>492189.732</v>
      </c>
      <c r="L862" s="6" t="inlineStr">
        <is>
          <t>MWh</t>
        </is>
      </c>
      <c r="M862" s="6" t="inlineStr">
        <is>
          <t>ANDE</t>
        </is>
      </c>
      <c r="N862" s="6" t="inlineStr">
        <is>
          <t>OFFICIAL_PRIMARY</t>
        </is>
      </c>
      <c r="O862" s="9" t="inlineStr">
        <is>
          <t>OFFICIAL_AGGREGATE</t>
        </is>
      </c>
      <c r="P862" s="8" t="n">
        <v>1</v>
      </c>
      <c r="Q862" s="8" t="n">
        <v>40</v>
      </c>
      <c r="R862" s="7" t="inlineStr">
        <is>
          <t>https://www.ande.gov.py/estadisticas/BalanceEnergia1983-2006/CompilacionEstadistica83-06.pdf</t>
        </is>
      </c>
      <c r="S862" s="6" t="inlineStr">
        <is>
          <t>ANDE-83-06</t>
        </is>
      </c>
      <c r="T862" s="6" t="inlineStr"/>
      <c r="U862" s="4" t="inlineStr">
        <is>
          <t>2026-09-11 00:05:00</t>
        </is>
      </c>
      <c r="V862" s="4" t="inlineStr">
        <is>
          <t>Serie historica antigua; usar compilaciones posteriores para solapes cuando existan.</t>
        </is>
      </c>
    </row>
    <row r="863">
      <c r="A863" s="6" t="inlineStr">
        <is>
          <t>R0000867</t>
        </is>
      </c>
      <c r="B863" s="6" t="inlineStr">
        <is>
          <t>1983-01-01</t>
        </is>
      </c>
      <c r="C863" s="6" t="inlineStr">
        <is>
          <t>1983-12-31</t>
        </is>
      </c>
      <c r="D863" s="6" t="inlineStr">
        <is>
          <t>year</t>
        </is>
      </c>
      <c r="E863" s="6" t="inlineStr">
        <is>
          <t>ANDE_BILLED_INDUSTRIAL_ENERGY</t>
        </is>
      </c>
      <c r="F863" s="6" t="inlineStr">
        <is>
          <t>PY_SIN</t>
        </is>
      </c>
      <c r="G863" s="6" t="inlineStr">
        <is>
          <t>PY</t>
        </is>
      </c>
      <c r="H863" s="6" t="inlineStr">
        <is>
          <t>PY</t>
        </is>
      </c>
      <c r="I863" s="8" t="n">
        <v>252620.96</v>
      </c>
      <c r="J863" s="6" t="inlineStr">
        <is>
          <t>MWh</t>
        </is>
      </c>
      <c r="K863" s="8" t="n">
        <v>252620.96</v>
      </c>
      <c r="L863" s="6" t="inlineStr">
        <is>
          <t>MWh</t>
        </is>
      </c>
      <c r="M863" s="6" t="inlineStr">
        <is>
          <t>ANDE</t>
        </is>
      </c>
      <c r="N863" s="6" t="inlineStr">
        <is>
          <t>OFFICIAL_PRIMARY</t>
        </is>
      </c>
      <c r="O863" s="9" t="inlineStr">
        <is>
          <t>OFFICIAL_AGGREGATE</t>
        </is>
      </c>
      <c r="P863" s="8" t="n">
        <v>1</v>
      </c>
      <c r="Q863" s="8" t="n">
        <v>40</v>
      </c>
      <c r="R863" s="7" t="inlineStr">
        <is>
          <t>https://www.ande.gov.py/estadisticas/BalanceEnergia1983-2006/CompilacionEstadistica83-06.pdf</t>
        </is>
      </c>
      <c r="S863" s="6" t="inlineStr">
        <is>
          <t>ANDE-83-06</t>
        </is>
      </c>
      <c r="T863" s="6" t="inlineStr"/>
      <c r="U863" s="4" t="inlineStr">
        <is>
          <t>2026-09-11 00:05:00</t>
        </is>
      </c>
      <c r="V863" s="4" t="inlineStr">
        <is>
          <t>Serie historica antigua; usar compilaciones posteriores para solapes cuando existan.</t>
        </is>
      </c>
    </row>
    <row r="864">
      <c r="A864" s="6" t="inlineStr">
        <is>
          <t>R0000868</t>
        </is>
      </c>
      <c r="B864" s="6" t="inlineStr">
        <is>
          <t>1983-01-01</t>
        </is>
      </c>
      <c r="C864" s="6" t="inlineStr">
        <is>
          <t>1983-12-31</t>
        </is>
      </c>
      <c r="D864" s="6" t="inlineStr">
        <is>
          <t>year</t>
        </is>
      </c>
      <c r="E864" s="6" t="inlineStr">
        <is>
          <t>ANDE_BILLED_OTHER_ENERGY</t>
        </is>
      </c>
      <c r="F864" s="6" t="inlineStr">
        <is>
          <t>PY_SIN</t>
        </is>
      </c>
      <c r="G864" s="6" t="inlineStr">
        <is>
          <t>PY</t>
        </is>
      </c>
      <c r="H864" s="6" t="inlineStr">
        <is>
          <t>PY</t>
        </is>
      </c>
      <c r="I864" s="8" t="n">
        <v>74872.45</v>
      </c>
      <c r="J864" s="6" t="inlineStr">
        <is>
          <t>MWh</t>
        </is>
      </c>
      <c r="K864" s="8" t="n">
        <v>74872.45</v>
      </c>
      <c r="L864" s="6" t="inlineStr">
        <is>
          <t>MWh</t>
        </is>
      </c>
      <c r="M864" s="6" t="inlineStr">
        <is>
          <t>ANDE</t>
        </is>
      </c>
      <c r="N864" s="6" t="inlineStr">
        <is>
          <t>OFFICIAL_PRIMARY</t>
        </is>
      </c>
      <c r="O864" s="9" t="inlineStr">
        <is>
          <t>OFFICIAL_AGGREGATE</t>
        </is>
      </c>
      <c r="P864" s="8" t="n">
        <v>1</v>
      </c>
      <c r="Q864" s="8" t="n">
        <v>40</v>
      </c>
      <c r="R864" s="7" t="inlineStr">
        <is>
          <t>https://www.ande.gov.py/estadisticas/BalanceEnergia1983-2006/CompilacionEstadistica83-06.pdf</t>
        </is>
      </c>
      <c r="S864" s="6" t="inlineStr">
        <is>
          <t>ANDE-83-06</t>
        </is>
      </c>
      <c r="T864" s="6" t="inlineStr"/>
      <c r="U864" s="4" t="inlineStr">
        <is>
          <t>2026-09-11 00:05:00</t>
        </is>
      </c>
      <c r="V864" s="4" t="inlineStr">
        <is>
          <t>Serie historica antigua; usar compilaciones posteriores para solapes cuando existan.</t>
        </is>
      </c>
    </row>
    <row r="865">
      <c r="A865" s="6" t="inlineStr">
        <is>
          <t>R0000869</t>
        </is>
      </c>
      <c r="B865" s="6" t="inlineStr">
        <is>
          <t>1983-01-01</t>
        </is>
      </c>
      <c r="C865" s="6" t="inlineStr">
        <is>
          <t>1983-12-31</t>
        </is>
      </c>
      <c r="D865" s="6" t="inlineStr">
        <is>
          <t>year</t>
        </is>
      </c>
      <c r="E865" s="6" t="inlineStr">
        <is>
          <t>ANDE_EXPORT_BILLED_ENERGY</t>
        </is>
      </c>
      <c r="F865" s="6" t="inlineStr">
        <is>
          <t>PY_SIN</t>
        </is>
      </c>
      <c r="G865" s="6" t="inlineStr">
        <is>
          <t>PY</t>
        </is>
      </c>
      <c r="H865" s="6" t="inlineStr">
        <is>
          <t>EXTERNAL</t>
        </is>
      </c>
      <c r="I865" s="8" t="n">
        <v>19713.197</v>
      </c>
      <c r="J865" s="6" t="inlineStr">
        <is>
          <t>MWh</t>
        </is>
      </c>
      <c r="K865" s="8" t="n">
        <v>19713.197</v>
      </c>
      <c r="L865" s="6" t="inlineStr">
        <is>
          <t>MWh</t>
        </is>
      </c>
      <c r="M865" s="6" t="inlineStr">
        <is>
          <t>ANDE</t>
        </is>
      </c>
      <c r="N865" s="6" t="inlineStr">
        <is>
          <t>OFFICIAL_PRIMARY</t>
        </is>
      </c>
      <c r="O865" s="9" t="inlineStr">
        <is>
          <t>OFFICIAL_AGGREGATE</t>
        </is>
      </c>
      <c r="P865" s="8" t="n">
        <v>1</v>
      </c>
      <c r="Q865" s="8" t="n">
        <v>40</v>
      </c>
      <c r="R865" s="7" t="inlineStr">
        <is>
          <t>https://www.ande.gov.py/estadisticas/BalanceEnergia1983-2006/CompilacionEstadistica83-06.pdf</t>
        </is>
      </c>
      <c r="S865" s="6" t="inlineStr">
        <is>
          <t>ANDE-83-06</t>
        </is>
      </c>
      <c r="T865" s="6" t="inlineStr"/>
      <c r="U865" s="4" t="inlineStr">
        <is>
          <t>2026-09-11 00:05:00</t>
        </is>
      </c>
      <c r="V865" s="4" t="inlineStr">
        <is>
          <t>Serie historica antigua; usar compilaciones posteriores para solapes cuando existan.</t>
        </is>
      </c>
    </row>
    <row r="866">
      <c r="A866" s="6" t="inlineStr">
        <is>
          <t>R0000870</t>
        </is>
      </c>
      <c r="B866" s="6" t="inlineStr">
        <is>
          <t>1984-01-01</t>
        </is>
      </c>
      <c r="C866" s="6" t="inlineStr">
        <is>
          <t>1984-12-31</t>
        </is>
      </c>
      <c r="D866" s="6" t="inlineStr">
        <is>
          <t>year</t>
        </is>
      </c>
      <c r="E866" s="6" t="inlineStr">
        <is>
          <t>ANDE_BILLED_NATIONAL_ENERGY</t>
        </is>
      </c>
      <c r="F866" s="6" t="inlineStr">
        <is>
          <t>PY_SIN</t>
        </is>
      </c>
      <c r="G866" s="6" t="inlineStr">
        <is>
          <t>PY</t>
        </is>
      </c>
      <c r="H866" s="6" t="inlineStr">
        <is>
          <t>PY</t>
        </is>
      </c>
      <c r="I866" s="8" t="n">
        <v>907326.727</v>
      </c>
      <c r="J866" s="6" t="inlineStr">
        <is>
          <t>MWh</t>
        </is>
      </c>
      <c r="K866" s="8" t="n">
        <v>907326.727</v>
      </c>
      <c r="L866" s="6" t="inlineStr">
        <is>
          <t>MWh</t>
        </is>
      </c>
      <c r="M866" s="6" t="inlineStr">
        <is>
          <t>ANDE</t>
        </is>
      </c>
      <c r="N866" s="6" t="inlineStr">
        <is>
          <t>OFFICIAL_PRIMARY</t>
        </is>
      </c>
      <c r="O866" s="9" t="inlineStr">
        <is>
          <t>OFFICIAL_AGGREGATE</t>
        </is>
      </c>
      <c r="P866" s="8" t="n">
        <v>1</v>
      </c>
      <c r="Q866" s="8" t="n">
        <v>40</v>
      </c>
      <c r="R866" s="7" t="inlineStr">
        <is>
          <t>https://www.ande.gov.py/estadisticas/BalanceEnergia1983-2006/CompilacionEstadistica83-06.pdf</t>
        </is>
      </c>
      <c r="S866" s="6" t="inlineStr">
        <is>
          <t>ANDE-83-06</t>
        </is>
      </c>
      <c r="T866" s="6" t="inlineStr"/>
      <c r="U866" s="4" t="inlineStr">
        <is>
          <t>2026-09-11 00:05:00</t>
        </is>
      </c>
      <c r="V866" s="4" t="inlineStr">
        <is>
          <t>Serie historica antigua; usar compilaciones posteriores para solapes cuando existan.</t>
        </is>
      </c>
    </row>
    <row r="867">
      <c r="A867" s="6" t="inlineStr">
        <is>
          <t>R0000871</t>
        </is>
      </c>
      <c r="B867" s="6" t="inlineStr">
        <is>
          <t>1984-01-01</t>
        </is>
      </c>
      <c r="C867" s="6" t="inlineStr">
        <is>
          <t>1984-12-31</t>
        </is>
      </c>
      <c r="D867" s="6" t="inlineStr">
        <is>
          <t>year</t>
        </is>
      </c>
      <c r="E867" s="6" t="inlineStr">
        <is>
          <t>ANDE_TOTAL_ENERGY_SOLD</t>
        </is>
      </c>
      <c r="F867" s="6" t="inlineStr">
        <is>
          <t>PY_SIN</t>
        </is>
      </c>
      <c r="G867" s="6" t="inlineStr">
        <is>
          <t>PY</t>
        </is>
      </c>
      <c r="H867" s="6" t="inlineStr">
        <is>
          <t>PY</t>
        </is>
      </c>
      <c r="I867" s="8" t="n">
        <v>933234.348</v>
      </c>
      <c r="J867" s="6" t="inlineStr">
        <is>
          <t>MWh</t>
        </is>
      </c>
      <c r="K867" s="8" t="n">
        <v>933234.348</v>
      </c>
      <c r="L867" s="6" t="inlineStr">
        <is>
          <t>MWh</t>
        </is>
      </c>
      <c r="M867" s="6" t="inlineStr">
        <is>
          <t>ANDE</t>
        </is>
      </c>
      <c r="N867" s="6" t="inlineStr">
        <is>
          <t>OFFICIAL_PRIMARY</t>
        </is>
      </c>
      <c r="O867" s="9" t="inlineStr">
        <is>
          <t>OFFICIAL_AGGREGATE</t>
        </is>
      </c>
      <c r="P867" s="8" t="n">
        <v>1</v>
      </c>
      <c r="Q867" s="8" t="n">
        <v>40</v>
      </c>
      <c r="R867" s="7" t="inlineStr">
        <is>
          <t>https://www.ande.gov.py/estadisticas/BalanceEnergia1983-2006/CompilacionEstadistica83-06.pdf</t>
        </is>
      </c>
      <c r="S867" s="6" t="inlineStr">
        <is>
          <t>ANDE-83-06</t>
        </is>
      </c>
      <c r="T867" s="6" t="inlineStr"/>
      <c r="U867" s="4" t="inlineStr">
        <is>
          <t>2026-09-11 00:05:00</t>
        </is>
      </c>
      <c r="V867" s="4" t="inlineStr">
        <is>
          <t>Serie historica antigua; usar compilaciones posteriores para solapes cuando existan.</t>
        </is>
      </c>
    </row>
    <row r="868">
      <c r="A868" s="6" t="inlineStr">
        <is>
          <t>R0000872</t>
        </is>
      </c>
      <c r="B868" s="6" t="inlineStr">
        <is>
          <t>1984-01-01</t>
        </is>
      </c>
      <c r="C868" s="6" t="inlineStr">
        <is>
          <t>1984-12-31</t>
        </is>
      </c>
      <c r="D868" s="6" t="inlineStr">
        <is>
          <t>year</t>
        </is>
      </c>
      <c r="E868" s="6" t="inlineStr">
        <is>
          <t>ANDE_BILLED_RESIDENTIAL_ENERGY</t>
        </is>
      </c>
      <c r="F868" s="6" t="inlineStr">
        <is>
          <t>PY_SIN</t>
        </is>
      </c>
      <c r="G868" s="6" t="inlineStr">
        <is>
          <t>PY</t>
        </is>
      </c>
      <c r="H868" s="6" t="inlineStr">
        <is>
          <t>PY</t>
        </is>
      </c>
      <c r="I868" s="8" t="n">
        <v>540703.223</v>
      </c>
      <c r="J868" s="6" t="inlineStr">
        <is>
          <t>MWh</t>
        </is>
      </c>
      <c r="K868" s="8" t="n">
        <v>540703.223</v>
      </c>
      <c r="L868" s="6" t="inlineStr">
        <is>
          <t>MWh</t>
        </is>
      </c>
      <c r="M868" s="6" t="inlineStr">
        <is>
          <t>ANDE</t>
        </is>
      </c>
      <c r="N868" s="6" t="inlineStr">
        <is>
          <t>OFFICIAL_PRIMARY</t>
        </is>
      </c>
      <c r="O868" s="9" t="inlineStr">
        <is>
          <t>OFFICIAL_AGGREGATE</t>
        </is>
      </c>
      <c r="P868" s="8" t="n">
        <v>1</v>
      </c>
      <c r="Q868" s="8" t="n">
        <v>40</v>
      </c>
      <c r="R868" s="7" t="inlineStr">
        <is>
          <t>https://www.ande.gov.py/estadisticas/BalanceEnergia1983-2006/CompilacionEstadistica83-06.pdf</t>
        </is>
      </c>
      <c r="S868" s="6" t="inlineStr">
        <is>
          <t>ANDE-83-06</t>
        </is>
      </c>
      <c r="T868" s="6" t="inlineStr"/>
      <c r="U868" s="4" t="inlineStr">
        <is>
          <t>2026-09-11 00:05:00</t>
        </is>
      </c>
      <c r="V868" s="4" t="inlineStr">
        <is>
          <t>Serie historica antigua; usar compilaciones posteriores para solapes cuando existan.</t>
        </is>
      </c>
    </row>
    <row r="869">
      <c r="A869" s="6" t="inlineStr">
        <is>
          <t>R0000873</t>
        </is>
      </c>
      <c r="B869" s="6" t="inlineStr">
        <is>
          <t>1984-01-01</t>
        </is>
      </c>
      <c r="C869" s="6" t="inlineStr">
        <is>
          <t>1984-12-31</t>
        </is>
      </c>
      <c r="D869" s="6" t="inlineStr">
        <is>
          <t>year</t>
        </is>
      </c>
      <c r="E869" s="6" t="inlineStr">
        <is>
          <t>ANDE_BILLED_INDUSTRIAL_ENERGY</t>
        </is>
      </c>
      <c r="F869" s="6" t="inlineStr">
        <is>
          <t>PY_SIN</t>
        </is>
      </c>
      <c r="G869" s="6" t="inlineStr">
        <is>
          <t>PY</t>
        </is>
      </c>
      <c r="H869" s="6" t="inlineStr">
        <is>
          <t>PY</t>
        </is>
      </c>
      <c r="I869" s="8" t="n">
        <v>286111.405</v>
      </c>
      <c r="J869" s="6" t="inlineStr">
        <is>
          <t>MWh</t>
        </is>
      </c>
      <c r="K869" s="8" t="n">
        <v>286111.405</v>
      </c>
      <c r="L869" s="6" t="inlineStr">
        <is>
          <t>MWh</t>
        </is>
      </c>
      <c r="M869" s="6" t="inlineStr">
        <is>
          <t>ANDE</t>
        </is>
      </c>
      <c r="N869" s="6" t="inlineStr">
        <is>
          <t>OFFICIAL_PRIMARY</t>
        </is>
      </c>
      <c r="O869" s="9" t="inlineStr">
        <is>
          <t>OFFICIAL_AGGREGATE</t>
        </is>
      </c>
      <c r="P869" s="8" t="n">
        <v>1</v>
      </c>
      <c r="Q869" s="8" t="n">
        <v>40</v>
      </c>
      <c r="R869" s="7" t="inlineStr">
        <is>
          <t>https://www.ande.gov.py/estadisticas/BalanceEnergia1983-2006/CompilacionEstadistica83-06.pdf</t>
        </is>
      </c>
      <c r="S869" s="6" t="inlineStr">
        <is>
          <t>ANDE-83-06</t>
        </is>
      </c>
      <c r="T869" s="6" t="inlineStr"/>
      <c r="U869" s="4" t="inlineStr">
        <is>
          <t>2026-09-11 00:05:00</t>
        </is>
      </c>
      <c r="V869" s="4" t="inlineStr">
        <is>
          <t>Serie historica antigua; usar compilaciones posteriores para solapes cuando existan.</t>
        </is>
      </c>
    </row>
    <row r="870">
      <c r="A870" s="6" t="inlineStr">
        <is>
          <t>R0000874</t>
        </is>
      </c>
      <c r="B870" s="6" t="inlineStr">
        <is>
          <t>1984-01-01</t>
        </is>
      </c>
      <c r="C870" s="6" t="inlineStr">
        <is>
          <t>1984-12-31</t>
        </is>
      </c>
      <c r="D870" s="6" t="inlineStr">
        <is>
          <t>year</t>
        </is>
      </c>
      <c r="E870" s="6" t="inlineStr">
        <is>
          <t>ANDE_BILLED_OTHER_ENERGY</t>
        </is>
      </c>
      <c r="F870" s="6" t="inlineStr">
        <is>
          <t>PY_SIN</t>
        </is>
      </c>
      <c r="G870" s="6" t="inlineStr">
        <is>
          <t>PY</t>
        </is>
      </c>
      <c r="H870" s="6" t="inlineStr">
        <is>
          <t>PY</t>
        </is>
      </c>
      <c r="I870" s="8" t="n">
        <v>80512.099</v>
      </c>
      <c r="J870" s="6" t="inlineStr">
        <is>
          <t>MWh</t>
        </is>
      </c>
      <c r="K870" s="8" t="n">
        <v>80512.099</v>
      </c>
      <c r="L870" s="6" t="inlineStr">
        <is>
          <t>MWh</t>
        </is>
      </c>
      <c r="M870" s="6" t="inlineStr">
        <is>
          <t>ANDE</t>
        </is>
      </c>
      <c r="N870" s="6" t="inlineStr">
        <is>
          <t>OFFICIAL_PRIMARY</t>
        </is>
      </c>
      <c r="O870" s="9" t="inlineStr">
        <is>
          <t>OFFICIAL_AGGREGATE</t>
        </is>
      </c>
      <c r="P870" s="8" t="n">
        <v>1</v>
      </c>
      <c r="Q870" s="8" t="n">
        <v>40</v>
      </c>
      <c r="R870" s="7" t="inlineStr">
        <is>
          <t>https://www.ande.gov.py/estadisticas/BalanceEnergia1983-2006/CompilacionEstadistica83-06.pdf</t>
        </is>
      </c>
      <c r="S870" s="6" t="inlineStr">
        <is>
          <t>ANDE-83-06</t>
        </is>
      </c>
      <c r="T870" s="6" t="inlineStr"/>
      <c r="U870" s="4" t="inlineStr">
        <is>
          <t>2026-09-11 00:05:00</t>
        </is>
      </c>
      <c r="V870" s="4" t="inlineStr">
        <is>
          <t>Serie historica antigua; usar compilaciones posteriores para solapes cuando existan.</t>
        </is>
      </c>
    </row>
    <row r="871">
      <c r="A871" s="6" t="inlineStr">
        <is>
          <t>R0000875</t>
        </is>
      </c>
      <c r="B871" s="6" t="inlineStr">
        <is>
          <t>1984-01-01</t>
        </is>
      </c>
      <c r="C871" s="6" t="inlineStr">
        <is>
          <t>1984-12-31</t>
        </is>
      </c>
      <c r="D871" s="6" t="inlineStr">
        <is>
          <t>year</t>
        </is>
      </c>
      <c r="E871" s="6" t="inlineStr">
        <is>
          <t>ANDE_EXPORT_BILLED_ENERGY</t>
        </is>
      </c>
      <c r="F871" s="6" t="inlineStr">
        <is>
          <t>PY_SIN</t>
        </is>
      </c>
      <c r="G871" s="6" t="inlineStr">
        <is>
          <t>PY</t>
        </is>
      </c>
      <c r="H871" s="6" t="inlineStr">
        <is>
          <t>EXTERNAL</t>
        </is>
      </c>
      <c r="I871" s="8" t="n">
        <v>25907.621</v>
      </c>
      <c r="J871" s="6" t="inlineStr">
        <is>
          <t>MWh</t>
        </is>
      </c>
      <c r="K871" s="8" t="n">
        <v>25907.621</v>
      </c>
      <c r="L871" s="6" t="inlineStr">
        <is>
          <t>MWh</t>
        </is>
      </c>
      <c r="M871" s="6" t="inlineStr">
        <is>
          <t>ANDE</t>
        </is>
      </c>
      <c r="N871" s="6" t="inlineStr">
        <is>
          <t>OFFICIAL_PRIMARY</t>
        </is>
      </c>
      <c r="O871" s="9" t="inlineStr">
        <is>
          <t>OFFICIAL_AGGREGATE</t>
        </is>
      </c>
      <c r="P871" s="8" t="n">
        <v>1</v>
      </c>
      <c r="Q871" s="8" t="n">
        <v>40</v>
      </c>
      <c r="R871" s="7" t="inlineStr">
        <is>
          <t>https://www.ande.gov.py/estadisticas/BalanceEnergia1983-2006/CompilacionEstadistica83-06.pdf</t>
        </is>
      </c>
      <c r="S871" s="6" t="inlineStr">
        <is>
          <t>ANDE-83-06</t>
        </is>
      </c>
      <c r="T871" s="6" t="inlineStr"/>
      <c r="U871" s="4" t="inlineStr">
        <is>
          <t>2026-09-11 00:05:00</t>
        </is>
      </c>
      <c r="V871" s="4" t="inlineStr">
        <is>
          <t>Serie historica antigua; usar compilaciones posteriores para solapes cuando existan.</t>
        </is>
      </c>
    </row>
    <row r="872">
      <c r="A872" s="6" t="inlineStr">
        <is>
          <t>R0000876</t>
        </is>
      </c>
      <c r="B872" s="6" t="inlineStr">
        <is>
          <t>1985-01-01</t>
        </is>
      </c>
      <c r="C872" s="6" t="inlineStr">
        <is>
          <t>1985-12-31</t>
        </is>
      </c>
      <c r="D872" s="6" t="inlineStr">
        <is>
          <t>year</t>
        </is>
      </c>
      <c r="E872" s="6" t="inlineStr">
        <is>
          <t>ANDE_BILLED_NATIONAL_ENERGY</t>
        </is>
      </c>
      <c r="F872" s="6" t="inlineStr">
        <is>
          <t>PY_SIN</t>
        </is>
      </c>
      <c r="G872" s="6" t="inlineStr">
        <is>
          <t>PY</t>
        </is>
      </c>
      <c r="H872" s="6" t="inlineStr">
        <is>
          <t>PY</t>
        </is>
      </c>
      <c r="I872" s="8" t="n">
        <v>999906.123</v>
      </c>
      <c r="J872" s="6" t="inlineStr">
        <is>
          <t>MWh</t>
        </is>
      </c>
      <c r="K872" s="8" t="n">
        <v>999906.123</v>
      </c>
      <c r="L872" s="6" t="inlineStr">
        <is>
          <t>MWh</t>
        </is>
      </c>
      <c r="M872" s="6" t="inlineStr">
        <is>
          <t>ANDE</t>
        </is>
      </c>
      <c r="N872" s="6" t="inlineStr">
        <is>
          <t>OFFICIAL_PRIMARY</t>
        </is>
      </c>
      <c r="O872" s="9" t="inlineStr">
        <is>
          <t>OFFICIAL_AGGREGATE</t>
        </is>
      </c>
      <c r="P872" s="8" t="n">
        <v>1</v>
      </c>
      <c r="Q872" s="8" t="n">
        <v>40</v>
      </c>
      <c r="R872" s="7" t="inlineStr">
        <is>
          <t>https://www.ande.gov.py/estadisticas/BalanceEnergia1983-2006/CompilacionEstadistica83-06.pdf</t>
        </is>
      </c>
      <c r="S872" s="6" t="inlineStr">
        <is>
          <t>ANDE-83-06</t>
        </is>
      </c>
      <c r="T872" s="6" t="inlineStr"/>
      <c r="U872" s="4" t="inlineStr">
        <is>
          <t>2026-09-11 00:05:00</t>
        </is>
      </c>
      <c r="V872" s="4" t="inlineStr">
        <is>
          <t>Serie historica antigua; usar compilaciones posteriores para solapes cuando existan.</t>
        </is>
      </c>
    </row>
    <row r="873">
      <c r="A873" s="6" t="inlineStr">
        <is>
          <t>R0000877</t>
        </is>
      </c>
      <c r="B873" s="6" t="inlineStr">
        <is>
          <t>1985-01-01</t>
        </is>
      </c>
      <c r="C873" s="6" t="inlineStr">
        <is>
          <t>1985-12-31</t>
        </is>
      </c>
      <c r="D873" s="6" t="inlineStr">
        <is>
          <t>year</t>
        </is>
      </c>
      <c r="E873" s="6" t="inlineStr">
        <is>
          <t>ANDE_TOTAL_ENERGY_SOLD</t>
        </is>
      </c>
      <c r="F873" s="6" t="inlineStr">
        <is>
          <t>PY_SIN</t>
        </is>
      </c>
      <c r="G873" s="6" t="inlineStr">
        <is>
          <t>PY</t>
        </is>
      </c>
      <c r="H873" s="6" t="inlineStr">
        <is>
          <t>PY</t>
        </is>
      </c>
      <c r="I873" s="8" t="n">
        <v>1031969.616</v>
      </c>
      <c r="J873" s="6" t="inlineStr">
        <is>
          <t>MWh</t>
        </is>
      </c>
      <c r="K873" s="8" t="n">
        <v>1031969.616</v>
      </c>
      <c r="L873" s="6" t="inlineStr">
        <is>
          <t>MWh</t>
        </is>
      </c>
      <c r="M873" s="6" t="inlineStr">
        <is>
          <t>ANDE</t>
        </is>
      </c>
      <c r="N873" s="6" t="inlineStr">
        <is>
          <t>OFFICIAL_PRIMARY</t>
        </is>
      </c>
      <c r="O873" s="9" t="inlineStr">
        <is>
          <t>OFFICIAL_AGGREGATE</t>
        </is>
      </c>
      <c r="P873" s="8" t="n">
        <v>1</v>
      </c>
      <c r="Q873" s="8" t="n">
        <v>40</v>
      </c>
      <c r="R873" s="7" t="inlineStr">
        <is>
          <t>https://www.ande.gov.py/estadisticas/BalanceEnergia1983-2006/CompilacionEstadistica83-06.pdf</t>
        </is>
      </c>
      <c r="S873" s="6" t="inlineStr">
        <is>
          <t>ANDE-83-06</t>
        </is>
      </c>
      <c r="T873" s="6" t="inlineStr"/>
      <c r="U873" s="4" t="inlineStr">
        <is>
          <t>2026-09-11 00:05:00</t>
        </is>
      </c>
      <c r="V873" s="4" t="inlineStr">
        <is>
          <t>Serie historica antigua; usar compilaciones posteriores para solapes cuando existan.</t>
        </is>
      </c>
    </row>
    <row r="874">
      <c r="A874" s="6" t="inlineStr">
        <is>
          <t>R0000878</t>
        </is>
      </c>
      <c r="B874" s="6" t="inlineStr">
        <is>
          <t>1985-01-01</t>
        </is>
      </c>
      <c r="C874" s="6" t="inlineStr">
        <is>
          <t>1985-12-31</t>
        </is>
      </c>
      <c r="D874" s="6" t="inlineStr">
        <is>
          <t>year</t>
        </is>
      </c>
      <c r="E874" s="6" t="inlineStr">
        <is>
          <t>ANDE_BILLED_RESIDENTIAL_ENERGY</t>
        </is>
      </c>
      <c r="F874" s="6" t="inlineStr">
        <is>
          <t>PY_SIN</t>
        </is>
      </c>
      <c r="G874" s="6" t="inlineStr">
        <is>
          <t>PY</t>
        </is>
      </c>
      <c r="H874" s="6" t="inlineStr">
        <is>
          <t>PY</t>
        </is>
      </c>
      <c r="I874" s="8" t="n">
        <v>399542.108</v>
      </c>
      <c r="J874" s="6" t="inlineStr">
        <is>
          <t>MWh</t>
        </is>
      </c>
      <c r="K874" s="8" t="n">
        <v>399542.108</v>
      </c>
      <c r="L874" s="6" t="inlineStr">
        <is>
          <t>MWh</t>
        </is>
      </c>
      <c r="M874" s="6" t="inlineStr">
        <is>
          <t>ANDE</t>
        </is>
      </c>
      <c r="N874" s="6" t="inlineStr">
        <is>
          <t>OFFICIAL_PRIMARY</t>
        </is>
      </c>
      <c r="O874" s="9" t="inlineStr">
        <is>
          <t>OFFICIAL_AGGREGATE</t>
        </is>
      </c>
      <c r="P874" s="8" t="n">
        <v>1</v>
      </c>
      <c r="Q874" s="8" t="n">
        <v>40</v>
      </c>
      <c r="R874" s="7" t="inlineStr">
        <is>
          <t>https://www.ande.gov.py/estadisticas/BalanceEnergia1983-2006/CompilacionEstadistica83-06.pdf</t>
        </is>
      </c>
      <c r="S874" s="6" t="inlineStr">
        <is>
          <t>ANDE-83-06</t>
        </is>
      </c>
      <c r="T874" s="6" t="inlineStr"/>
      <c r="U874" s="4" t="inlineStr">
        <is>
          <t>2026-09-11 00:05:00</t>
        </is>
      </c>
      <c r="V874" s="4" t="inlineStr">
        <is>
          <t>Serie historica antigua; usar compilaciones posteriores para solapes cuando existan.</t>
        </is>
      </c>
    </row>
    <row r="875">
      <c r="A875" s="6" t="inlineStr">
        <is>
          <t>R0000879</t>
        </is>
      </c>
      <c r="B875" s="6" t="inlineStr">
        <is>
          <t>1985-01-01</t>
        </is>
      </c>
      <c r="C875" s="6" t="inlineStr">
        <is>
          <t>1985-12-31</t>
        </is>
      </c>
      <c r="D875" s="6" t="inlineStr">
        <is>
          <t>year</t>
        </is>
      </c>
      <c r="E875" s="6" t="inlineStr">
        <is>
          <t>ANDE_BILLED_INDUSTRIAL_ENERGY</t>
        </is>
      </c>
      <c r="F875" s="6" t="inlineStr">
        <is>
          <t>PY_SIN</t>
        </is>
      </c>
      <c r="G875" s="6" t="inlineStr">
        <is>
          <t>PY</t>
        </is>
      </c>
      <c r="H875" s="6" t="inlineStr">
        <is>
          <t>PY</t>
        </is>
      </c>
      <c r="I875" s="8" t="n">
        <v>203952.32</v>
      </c>
      <c r="J875" s="6" t="inlineStr">
        <is>
          <t>MWh</t>
        </is>
      </c>
      <c r="K875" s="8" t="n">
        <v>203952.32</v>
      </c>
      <c r="L875" s="6" t="inlineStr">
        <is>
          <t>MWh</t>
        </is>
      </c>
      <c r="M875" s="6" t="inlineStr">
        <is>
          <t>ANDE</t>
        </is>
      </c>
      <c r="N875" s="6" t="inlineStr">
        <is>
          <t>OFFICIAL_PRIMARY</t>
        </is>
      </c>
      <c r="O875" s="9" t="inlineStr">
        <is>
          <t>OFFICIAL_AGGREGATE</t>
        </is>
      </c>
      <c r="P875" s="8" t="n">
        <v>1</v>
      </c>
      <c r="Q875" s="8" t="n">
        <v>40</v>
      </c>
      <c r="R875" s="7" t="inlineStr">
        <is>
          <t>https://www.ande.gov.py/estadisticas/BalanceEnergia1983-2006/CompilacionEstadistica83-06.pdf</t>
        </is>
      </c>
      <c r="S875" s="6" t="inlineStr">
        <is>
          <t>ANDE-83-06</t>
        </is>
      </c>
      <c r="T875" s="6" t="inlineStr"/>
      <c r="U875" s="4" t="inlineStr">
        <is>
          <t>2026-09-11 00:05:00</t>
        </is>
      </c>
      <c r="V875" s="4" t="inlineStr">
        <is>
          <t>Serie historica antigua; usar compilaciones posteriores para solapes cuando existan.</t>
        </is>
      </c>
    </row>
    <row r="876">
      <c r="A876" s="6" t="inlineStr">
        <is>
          <t>R0000880</t>
        </is>
      </c>
      <c r="B876" s="6" t="inlineStr">
        <is>
          <t>1985-01-01</t>
        </is>
      </c>
      <c r="C876" s="6" t="inlineStr">
        <is>
          <t>1985-12-31</t>
        </is>
      </c>
      <c r="D876" s="6" t="inlineStr">
        <is>
          <t>year</t>
        </is>
      </c>
      <c r="E876" s="6" t="inlineStr">
        <is>
          <t>ANDE_BILLED_OTHER_ENERGY</t>
        </is>
      </c>
      <c r="F876" s="6" t="inlineStr">
        <is>
          <t>PY_SIN</t>
        </is>
      </c>
      <c r="G876" s="6" t="inlineStr">
        <is>
          <t>PY</t>
        </is>
      </c>
      <c r="H876" s="6" t="inlineStr">
        <is>
          <t>PY</t>
        </is>
      </c>
      <c r="I876" s="8" t="n">
        <v>230246.741</v>
      </c>
      <c r="J876" s="6" t="inlineStr">
        <is>
          <t>MWh</t>
        </is>
      </c>
      <c r="K876" s="8" t="n">
        <v>230246.741</v>
      </c>
      <c r="L876" s="6" t="inlineStr">
        <is>
          <t>MWh</t>
        </is>
      </c>
      <c r="M876" s="6" t="inlineStr">
        <is>
          <t>ANDE</t>
        </is>
      </c>
      <c r="N876" s="6" t="inlineStr">
        <is>
          <t>OFFICIAL_PRIMARY</t>
        </is>
      </c>
      <c r="O876" s="9" t="inlineStr">
        <is>
          <t>OFFICIAL_AGGREGATE</t>
        </is>
      </c>
      <c r="P876" s="8" t="n">
        <v>1</v>
      </c>
      <c r="Q876" s="8" t="n">
        <v>40</v>
      </c>
      <c r="R876" s="7" t="inlineStr">
        <is>
          <t>https://www.ande.gov.py/estadisticas/BalanceEnergia1983-2006/CompilacionEstadistica83-06.pdf</t>
        </is>
      </c>
      <c r="S876" s="6" t="inlineStr">
        <is>
          <t>ANDE-83-06</t>
        </is>
      </c>
      <c r="T876" s="6" t="inlineStr"/>
      <c r="U876" s="4" t="inlineStr">
        <is>
          <t>2026-09-11 00:05:00</t>
        </is>
      </c>
      <c r="V876" s="4" t="inlineStr">
        <is>
          <t>Serie historica antigua; usar compilaciones posteriores para solapes cuando existan.</t>
        </is>
      </c>
    </row>
    <row r="877">
      <c r="A877" s="6" t="inlineStr">
        <is>
          <t>R0000881</t>
        </is>
      </c>
      <c r="B877" s="6" t="inlineStr">
        <is>
          <t>1985-01-01</t>
        </is>
      </c>
      <c r="C877" s="6" t="inlineStr">
        <is>
          <t>1985-12-31</t>
        </is>
      </c>
      <c r="D877" s="6" t="inlineStr">
        <is>
          <t>year</t>
        </is>
      </c>
      <c r="E877" s="6" t="inlineStr">
        <is>
          <t>ANDE_EXPORT_BILLED_ENERGY</t>
        </is>
      </c>
      <c r="F877" s="6" t="inlineStr">
        <is>
          <t>PY_SIN</t>
        </is>
      </c>
      <c r="G877" s="6" t="inlineStr">
        <is>
          <t>PY</t>
        </is>
      </c>
      <c r="H877" s="6" t="inlineStr">
        <is>
          <t>EXTERNAL</t>
        </is>
      </c>
      <c r="I877" s="8" t="n">
        <v>32063.493</v>
      </c>
      <c r="J877" s="6" t="inlineStr">
        <is>
          <t>MWh</t>
        </is>
      </c>
      <c r="K877" s="8" t="n">
        <v>32063.493</v>
      </c>
      <c r="L877" s="6" t="inlineStr">
        <is>
          <t>MWh</t>
        </is>
      </c>
      <c r="M877" s="6" t="inlineStr">
        <is>
          <t>ANDE</t>
        </is>
      </c>
      <c r="N877" s="6" t="inlineStr">
        <is>
          <t>OFFICIAL_PRIMARY</t>
        </is>
      </c>
      <c r="O877" s="9" t="inlineStr">
        <is>
          <t>OFFICIAL_AGGREGATE</t>
        </is>
      </c>
      <c r="P877" s="8" t="n">
        <v>1</v>
      </c>
      <c r="Q877" s="8" t="n">
        <v>40</v>
      </c>
      <c r="R877" s="7" t="inlineStr">
        <is>
          <t>https://www.ande.gov.py/estadisticas/BalanceEnergia1983-2006/CompilacionEstadistica83-06.pdf</t>
        </is>
      </c>
      <c r="S877" s="6" t="inlineStr">
        <is>
          <t>ANDE-83-06</t>
        </is>
      </c>
      <c r="T877" s="6" t="inlineStr"/>
      <c r="U877" s="4" t="inlineStr">
        <is>
          <t>2026-09-11 00:05:00</t>
        </is>
      </c>
      <c r="V877" s="4" t="inlineStr">
        <is>
          <t>Serie historica antigua; usar compilaciones posteriores para solapes cuando existan.</t>
        </is>
      </c>
    </row>
    <row r="878">
      <c r="A878" s="6" t="inlineStr">
        <is>
          <t>R0000882</t>
        </is>
      </c>
      <c r="B878" s="6" t="inlineStr">
        <is>
          <t>1986-01-01</t>
        </is>
      </c>
      <c r="C878" s="6" t="inlineStr">
        <is>
          <t>1986-12-31</t>
        </is>
      </c>
      <c r="D878" s="6" t="inlineStr">
        <is>
          <t>year</t>
        </is>
      </c>
      <c r="E878" s="6" t="inlineStr">
        <is>
          <t>ANDE_BILLED_NATIONAL_ENERGY</t>
        </is>
      </c>
      <c r="F878" s="6" t="inlineStr">
        <is>
          <t>PY_SIN</t>
        </is>
      </c>
      <c r="G878" s="6" t="inlineStr">
        <is>
          <t>PY</t>
        </is>
      </c>
      <c r="H878" s="6" t="inlineStr">
        <is>
          <t>PY</t>
        </is>
      </c>
      <c r="I878" s="8" t="n">
        <v>1109980.476</v>
      </c>
      <c r="J878" s="6" t="inlineStr">
        <is>
          <t>MWh</t>
        </is>
      </c>
      <c r="K878" s="8" t="n">
        <v>1109980.476</v>
      </c>
      <c r="L878" s="6" t="inlineStr">
        <is>
          <t>MWh</t>
        </is>
      </c>
      <c r="M878" s="6" t="inlineStr">
        <is>
          <t>ANDE</t>
        </is>
      </c>
      <c r="N878" s="6" t="inlineStr">
        <is>
          <t>OFFICIAL_PRIMARY</t>
        </is>
      </c>
      <c r="O878" s="9" t="inlineStr">
        <is>
          <t>OFFICIAL_AGGREGATE</t>
        </is>
      </c>
      <c r="P878" s="8" t="n">
        <v>1</v>
      </c>
      <c r="Q878" s="8" t="n">
        <v>40</v>
      </c>
      <c r="R878" s="7" t="inlineStr">
        <is>
          <t>https://www.ande.gov.py/estadisticas/BalanceEnergia1983-2006/CompilacionEstadistica83-06.pdf</t>
        </is>
      </c>
      <c r="S878" s="6" t="inlineStr">
        <is>
          <t>ANDE-83-06</t>
        </is>
      </c>
      <c r="T878" s="6" t="inlineStr"/>
      <c r="U878" s="4" t="inlineStr">
        <is>
          <t>2026-09-11 00:05:00</t>
        </is>
      </c>
      <c r="V878" s="4" t="inlineStr">
        <is>
          <t>Serie historica antigua; usar compilaciones posteriores para solapes cuando existan.</t>
        </is>
      </c>
    </row>
    <row r="879">
      <c r="A879" s="6" t="inlineStr">
        <is>
          <t>R0000883</t>
        </is>
      </c>
      <c r="B879" s="6" t="inlineStr">
        <is>
          <t>1986-01-01</t>
        </is>
      </c>
      <c r="C879" s="6" t="inlineStr">
        <is>
          <t>1986-12-31</t>
        </is>
      </c>
      <c r="D879" s="6" t="inlineStr">
        <is>
          <t>year</t>
        </is>
      </c>
      <c r="E879" s="6" t="inlineStr">
        <is>
          <t>ANDE_TOTAL_ENERGY_SOLD</t>
        </is>
      </c>
      <c r="F879" s="6" t="inlineStr">
        <is>
          <t>PY_SIN</t>
        </is>
      </c>
      <c r="G879" s="6" t="inlineStr">
        <is>
          <t>PY</t>
        </is>
      </c>
      <c r="H879" s="6" t="inlineStr">
        <is>
          <t>PY</t>
        </is>
      </c>
      <c r="I879" s="8" t="n">
        <v>1134529.616</v>
      </c>
      <c r="J879" s="6" t="inlineStr">
        <is>
          <t>MWh</t>
        </is>
      </c>
      <c r="K879" s="8" t="n">
        <v>1134529.616</v>
      </c>
      <c r="L879" s="6" t="inlineStr">
        <is>
          <t>MWh</t>
        </is>
      </c>
      <c r="M879" s="6" t="inlineStr">
        <is>
          <t>ANDE</t>
        </is>
      </c>
      <c r="N879" s="6" t="inlineStr">
        <is>
          <t>OFFICIAL_PRIMARY</t>
        </is>
      </c>
      <c r="O879" s="9" t="inlineStr">
        <is>
          <t>OFFICIAL_AGGREGATE</t>
        </is>
      </c>
      <c r="P879" s="8" t="n">
        <v>1</v>
      </c>
      <c r="Q879" s="8" t="n">
        <v>40</v>
      </c>
      <c r="R879" s="7" t="inlineStr">
        <is>
          <t>https://www.ande.gov.py/estadisticas/BalanceEnergia1983-2006/CompilacionEstadistica83-06.pdf</t>
        </is>
      </c>
      <c r="S879" s="6" t="inlineStr">
        <is>
          <t>ANDE-83-06</t>
        </is>
      </c>
      <c r="T879" s="6" t="inlineStr"/>
      <c r="U879" s="4" t="inlineStr">
        <is>
          <t>2026-09-11 00:05:00</t>
        </is>
      </c>
      <c r="V879" s="4" t="inlineStr">
        <is>
          <t>Serie historica antigua; usar compilaciones posteriores para solapes cuando existan.</t>
        </is>
      </c>
    </row>
    <row r="880">
      <c r="A880" s="6" t="inlineStr">
        <is>
          <t>R0000884</t>
        </is>
      </c>
      <c r="B880" s="6" t="inlineStr">
        <is>
          <t>1986-01-01</t>
        </is>
      </c>
      <c r="C880" s="6" t="inlineStr">
        <is>
          <t>1986-12-31</t>
        </is>
      </c>
      <c r="D880" s="6" t="inlineStr">
        <is>
          <t>year</t>
        </is>
      </c>
      <c r="E880" s="6" t="inlineStr">
        <is>
          <t>ANDE_BILLED_RESIDENTIAL_ENERGY</t>
        </is>
      </c>
      <c r="F880" s="6" t="inlineStr">
        <is>
          <t>PY_SIN</t>
        </is>
      </c>
      <c r="G880" s="6" t="inlineStr">
        <is>
          <t>PY</t>
        </is>
      </c>
      <c r="H880" s="6" t="inlineStr">
        <is>
          <t>PY</t>
        </is>
      </c>
      <c r="I880" s="8" t="n">
        <v>461227.696</v>
      </c>
      <c r="J880" s="6" t="inlineStr">
        <is>
          <t>MWh</t>
        </is>
      </c>
      <c r="K880" s="8" t="n">
        <v>461227.696</v>
      </c>
      <c r="L880" s="6" t="inlineStr">
        <is>
          <t>MWh</t>
        </is>
      </c>
      <c r="M880" s="6" t="inlineStr">
        <is>
          <t>ANDE</t>
        </is>
      </c>
      <c r="N880" s="6" t="inlineStr">
        <is>
          <t>OFFICIAL_PRIMARY</t>
        </is>
      </c>
      <c r="O880" s="9" t="inlineStr">
        <is>
          <t>OFFICIAL_AGGREGATE</t>
        </is>
      </c>
      <c r="P880" s="8" t="n">
        <v>1</v>
      </c>
      <c r="Q880" s="8" t="n">
        <v>40</v>
      </c>
      <c r="R880" s="7" t="inlineStr">
        <is>
          <t>https://www.ande.gov.py/estadisticas/BalanceEnergia1983-2006/CompilacionEstadistica83-06.pdf</t>
        </is>
      </c>
      <c r="S880" s="6" t="inlineStr">
        <is>
          <t>ANDE-83-06</t>
        </is>
      </c>
      <c r="T880" s="6" t="inlineStr"/>
      <c r="U880" s="4" t="inlineStr">
        <is>
          <t>2026-09-11 00:05:00</t>
        </is>
      </c>
      <c r="V880" s="4" t="inlineStr">
        <is>
          <t>Serie historica antigua; usar compilaciones posteriores para solapes cuando existan.</t>
        </is>
      </c>
    </row>
    <row r="881">
      <c r="A881" s="6" t="inlineStr">
        <is>
          <t>R0000885</t>
        </is>
      </c>
      <c r="B881" s="6" t="inlineStr">
        <is>
          <t>1986-01-01</t>
        </is>
      </c>
      <c r="C881" s="6" t="inlineStr">
        <is>
          <t>1986-12-31</t>
        </is>
      </c>
      <c r="D881" s="6" t="inlineStr">
        <is>
          <t>year</t>
        </is>
      </c>
      <c r="E881" s="6" t="inlineStr">
        <is>
          <t>ANDE_BILLED_INDUSTRIAL_ENERGY</t>
        </is>
      </c>
      <c r="F881" s="6" t="inlineStr">
        <is>
          <t>PY_SIN</t>
        </is>
      </c>
      <c r="G881" s="6" t="inlineStr">
        <is>
          <t>PY</t>
        </is>
      </c>
      <c r="H881" s="6" t="inlineStr">
        <is>
          <t>PY</t>
        </is>
      </c>
      <c r="I881" s="8" t="n">
        <v>211923.316</v>
      </c>
      <c r="J881" s="6" t="inlineStr">
        <is>
          <t>MWh</t>
        </is>
      </c>
      <c r="K881" s="8" t="n">
        <v>211923.316</v>
      </c>
      <c r="L881" s="6" t="inlineStr">
        <is>
          <t>MWh</t>
        </is>
      </c>
      <c r="M881" s="6" t="inlineStr">
        <is>
          <t>ANDE</t>
        </is>
      </c>
      <c r="N881" s="6" t="inlineStr">
        <is>
          <t>OFFICIAL_PRIMARY</t>
        </is>
      </c>
      <c r="O881" s="9" t="inlineStr">
        <is>
          <t>OFFICIAL_AGGREGATE</t>
        </is>
      </c>
      <c r="P881" s="8" t="n">
        <v>1</v>
      </c>
      <c r="Q881" s="8" t="n">
        <v>40</v>
      </c>
      <c r="R881" s="7" t="inlineStr">
        <is>
          <t>https://www.ande.gov.py/estadisticas/BalanceEnergia1983-2006/CompilacionEstadistica83-06.pdf</t>
        </is>
      </c>
      <c r="S881" s="6" t="inlineStr">
        <is>
          <t>ANDE-83-06</t>
        </is>
      </c>
      <c r="T881" s="6" t="inlineStr"/>
      <c r="U881" s="4" t="inlineStr">
        <is>
          <t>2026-09-11 00:05:00</t>
        </is>
      </c>
      <c r="V881" s="4" t="inlineStr">
        <is>
          <t>Serie historica antigua; usar compilaciones posteriores para solapes cuando existan.</t>
        </is>
      </c>
    </row>
    <row r="882">
      <c r="A882" s="6" t="inlineStr">
        <is>
          <t>R0000886</t>
        </is>
      </c>
      <c r="B882" s="6" t="inlineStr">
        <is>
          <t>1986-01-01</t>
        </is>
      </c>
      <c r="C882" s="6" t="inlineStr">
        <is>
          <t>1986-12-31</t>
        </is>
      </c>
      <c r="D882" s="6" t="inlineStr">
        <is>
          <t>year</t>
        </is>
      </c>
      <c r="E882" s="6" t="inlineStr">
        <is>
          <t>ANDE_BILLED_OTHER_ENERGY</t>
        </is>
      </c>
      <c r="F882" s="6" t="inlineStr">
        <is>
          <t>PY_SIN</t>
        </is>
      </c>
      <c r="G882" s="6" t="inlineStr">
        <is>
          <t>PY</t>
        </is>
      </c>
      <c r="H882" s="6" t="inlineStr">
        <is>
          <t>PY</t>
        </is>
      </c>
      <c r="I882" s="8" t="n">
        <v>260548.359</v>
      </c>
      <c r="J882" s="6" t="inlineStr">
        <is>
          <t>MWh</t>
        </is>
      </c>
      <c r="K882" s="8" t="n">
        <v>260548.359</v>
      </c>
      <c r="L882" s="6" t="inlineStr">
        <is>
          <t>MWh</t>
        </is>
      </c>
      <c r="M882" s="6" t="inlineStr">
        <is>
          <t>ANDE</t>
        </is>
      </c>
      <c r="N882" s="6" t="inlineStr">
        <is>
          <t>OFFICIAL_PRIMARY</t>
        </is>
      </c>
      <c r="O882" s="9" t="inlineStr">
        <is>
          <t>OFFICIAL_AGGREGATE</t>
        </is>
      </c>
      <c r="P882" s="8" t="n">
        <v>1</v>
      </c>
      <c r="Q882" s="8" t="n">
        <v>40</v>
      </c>
      <c r="R882" s="7" t="inlineStr">
        <is>
          <t>https://www.ande.gov.py/estadisticas/BalanceEnergia1983-2006/CompilacionEstadistica83-06.pdf</t>
        </is>
      </c>
      <c r="S882" s="6" t="inlineStr">
        <is>
          <t>ANDE-83-06</t>
        </is>
      </c>
      <c r="T882" s="6" t="inlineStr"/>
      <c r="U882" s="4" t="inlineStr">
        <is>
          <t>2026-09-11 00:05:00</t>
        </is>
      </c>
      <c r="V882" s="4" t="inlineStr">
        <is>
          <t>Serie historica antigua; usar compilaciones posteriores para solapes cuando existan.</t>
        </is>
      </c>
    </row>
    <row r="883">
      <c r="A883" s="6" t="inlineStr">
        <is>
          <t>R0000887</t>
        </is>
      </c>
      <c r="B883" s="6" t="inlineStr">
        <is>
          <t>1986-01-01</t>
        </is>
      </c>
      <c r="C883" s="6" t="inlineStr">
        <is>
          <t>1986-12-31</t>
        </is>
      </c>
      <c r="D883" s="6" t="inlineStr">
        <is>
          <t>year</t>
        </is>
      </c>
      <c r="E883" s="6" t="inlineStr">
        <is>
          <t>ANDE_EXPORT_BILLED_ENERGY</t>
        </is>
      </c>
      <c r="F883" s="6" t="inlineStr">
        <is>
          <t>PY_SIN</t>
        </is>
      </c>
      <c r="G883" s="6" t="inlineStr">
        <is>
          <t>PY</t>
        </is>
      </c>
      <c r="H883" s="6" t="inlineStr">
        <is>
          <t>EXTERNAL</t>
        </is>
      </c>
      <c r="I883" s="8" t="n">
        <v>24549.14</v>
      </c>
      <c r="J883" s="6" t="inlineStr">
        <is>
          <t>MWh</t>
        </is>
      </c>
      <c r="K883" s="8" t="n">
        <v>24549.14</v>
      </c>
      <c r="L883" s="6" t="inlineStr">
        <is>
          <t>MWh</t>
        </is>
      </c>
      <c r="M883" s="6" t="inlineStr">
        <is>
          <t>ANDE</t>
        </is>
      </c>
      <c r="N883" s="6" t="inlineStr">
        <is>
          <t>OFFICIAL_PRIMARY</t>
        </is>
      </c>
      <c r="O883" s="9" t="inlineStr">
        <is>
          <t>OFFICIAL_AGGREGATE</t>
        </is>
      </c>
      <c r="P883" s="8" t="n">
        <v>1</v>
      </c>
      <c r="Q883" s="8" t="n">
        <v>40</v>
      </c>
      <c r="R883" s="7" t="inlineStr">
        <is>
          <t>https://www.ande.gov.py/estadisticas/BalanceEnergia1983-2006/CompilacionEstadistica83-06.pdf</t>
        </is>
      </c>
      <c r="S883" s="6" t="inlineStr">
        <is>
          <t>ANDE-83-06</t>
        </is>
      </c>
      <c r="T883" s="6" t="inlineStr"/>
      <c r="U883" s="4" t="inlineStr">
        <is>
          <t>2026-09-11 00:05:00</t>
        </is>
      </c>
      <c r="V883" s="4" t="inlineStr">
        <is>
          <t>Serie historica antigua; usar compilaciones posteriores para solapes cuando existan.</t>
        </is>
      </c>
    </row>
    <row r="884">
      <c r="A884" s="6" t="inlineStr">
        <is>
          <t>R0000888</t>
        </is>
      </c>
      <c r="B884" s="6" t="inlineStr">
        <is>
          <t>1987-01-01</t>
        </is>
      </c>
      <c r="C884" s="6" t="inlineStr">
        <is>
          <t>1987-12-31</t>
        </is>
      </c>
      <c r="D884" s="6" t="inlineStr">
        <is>
          <t>year</t>
        </is>
      </c>
      <c r="E884" s="6" t="inlineStr">
        <is>
          <t>ANDE_BILLED_NATIONAL_ENERGY</t>
        </is>
      </c>
      <c r="F884" s="6" t="inlineStr">
        <is>
          <t>PY_SIN</t>
        </is>
      </c>
      <c r="G884" s="6" t="inlineStr">
        <is>
          <t>PY</t>
        </is>
      </c>
      <c r="H884" s="6" t="inlineStr">
        <is>
          <t>PY</t>
        </is>
      </c>
      <c r="I884" s="8" t="n">
        <v>1315833.442</v>
      </c>
      <c r="J884" s="6" t="inlineStr">
        <is>
          <t>MWh</t>
        </is>
      </c>
      <c r="K884" s="8" t="n">
        <v>1315833.442</v>
      </c>
      <c r="L884" s="6" t="inlineStr">
        <is>
          <t>MWh</t>
        </is>
      </c>
      <c r="M884" s="6" t="inlineStr">
        <is>
          <t>ANDE</t>
        </is>
      </c>
      <c r="N884" s="6" t="inlineStr">
        <is>
          <t>OFFICIAL_PRIMARY</t>
        </is>
      </c>
      <c r="O884" s="9" t="inlineStr">
        <is>
          <t>OFFICIAL_AGGREGATE</t>
        </is>
      </c>
      <c r="P884" s="8" t="n">
        <v>1</v>
      </c>
      <c r="Q884" s="8" t="n">
        <v>40</v>
      </c>
      <c r="R884" s="7" t="inlineStr">
        <is>
          <t>https://www.ande.gov.py/estadisticas/BalanceEnergia1983-2006/CompilacionEstadistica83-06.pdf</t>
        </is>
      </c>
      <c r="S884" s="6" t="inlineStr">
        <is>
          <t>ANDE-83-06</t>
        </is>
      </c>
      <c r="T884" s="6" t="inlineStr"/>
      <c r="U884" s="4" t="inlineStr">
        <is>
          <t>2026-09-11 00:05:00</t>
        </is>
      </c>
      <c r="V884" s="4" t="inlineStr">
        <is>
          <t>Serie historica antigua; usar compilaciones posteriores para solapes cuando existan.</t>
        </is>
      </c>
    </row>
    <row r="885">
      <c r="A885" s="6" t="inlineStr">
        <is>
          <t>R0000889</t>
        </is>
      </c>
      <c r="B885" s="6" t="inlineStr">
        <is>
          <t>1987-01-01</t>
        </is>
      </c>
      <c r="C885" s="6" t="inlineStr">
        <is>
          <t>1987-12-31</t>
        </is>
      </c>
      <c r="D885" s="6" t="inlineStr">
        <is>
          <t>year</t>
        </is>
      </c>
      <c r="E885" s="6" t="inlineStr">
        <is>
          <t>ANDE_TOTAL_ENERGY_SOLD</t>
        </is>
      </c>
      <c r="F885" s="6" t="inlineStr">
        <is>
          <t>PY_SIN</t>
        </is>
      </c>
      <c r="G885" s="6" t="inlineStr">
        <is>
          <t>PY</t>
        </is>
      </c>
      <c r="H885" s="6" t="inlineStr">
        <is>
          <t>PY</t>
        </is>
      </c>
      <c r="I885" s="8" t="n">
        <v>1457853.661</v>
      </c>
      <c r="J885" s="6" t="inlineStr">
        <is>
          <t>MWh</t>
        </is>
      </c>
      <c r="K885" s="8" t="n">
        <v>1457853.661</v>
      </c>
      <c r="L885" s="6" t="inlineStr">
        <is>
          <t>MWh</t>
        </is>
      </c>
      <c r="M885" s="6" t="inlineStr">
        <is>
          <t>ANDE</t>
        </is>
      </c>
      <c r="N885" s="6" t="inlineStr">
        <is>
          <t>OFFICIAL_PRIMARY</t>
        </is>
      </c>
      <c r="O885" s="9" t="inlineStr">
        <is>
          <t>OFFICIAL_AGGREGATE</t>
        </is>
      </c>
      <c r="P885" s="8" t="n">
        <v>1</v>
      </c>
      <c r="Q885" s="8" t="n">
        <v>40</v>
      </c>
      <c r="R885" s="7" t="inlineStr">
        <is>
          <t>https://www.ande.gov.py/estadisticas/BalanceEnergia1983-2006/CompilacionEstadistica83-06.pdf</t>
        </is>
      </c>
      <c r="S885" s="6" t="inlineStr">
        <is>
          <t>ANDE-83-06</t>
        </is>
      </c>
      <c r="T885" s="6" t="inlineStr"/>
      <c r="U885" s="4" t="inlineStr">
        <is>
          <t>2026-09-11 00:05:00</t>
        </is>
      </c>
      <c r="V885" s="4" t="inlineStr">
        <is>
          <t>Serie historica antigua; usar compilaciones posteriores para solapes cuando existan.</t>
        </is>
      </c>
    </row>
    <row r="886">
      <c r="A886" s="6" t="inlineStr">
        <is>
          <t>R0000890</t>
        </is>
      </c>
      <c r="B886" s="6" t="inlineStr">
        <is>
          <t>1987-01-01</t>
        </is>
      </c>
      <c r="C886" s="6" t="inlineStr">
        <is>
          <t>1987-12-31</t>
        </is>
      </c>
      <c r="D886" s="6" t="inlineStr">
        <is>
          <t>year</t>
        </is>
      </c>
      <c r="E886" s="6" t="inlineStr">
        <is>
          <t>ANDE_BILLED_RESIDENTIAL_ENERGY</t>
        </is>
      </c>
      <c r="F886" s="6" t="inlineStr">
        <is>
          <t>PY_SIN</t>
        </is>
      </c>
      <c r="G886" s="6" t="inlineStr">
        <is>
          <t>PY</t>
        </is>
      </c>
      <c r="H886" s="6" t="inlineStr">
        <is>
          <t>PY</t>
        </is>
      </c>
      <c r="I886" s="8" t="n">
        <v>504914.825</v>
      </c>
      <c r="J886" s="6" t="inlineStr">
        <is>
          <t>MWh</t>
        </is>
      </c>
      <c r="K886" s="8" t="n">
        <v>504914.825</v>
      </c>
      <c r="L886" s="6" t="inlineStr">
        <is>
          <t>MWh</t>
        </is>
      </c>
      <c r="M886" s="6" t="inlineStr">
        <is>
          <t>ANDE</t>
        </is>
      </c>
      <c r="N886" s="6" t="inlineStr">
        <is>
          <t>OFFICIAL_PRIMARY</t>
        </is>
      </c>
      <c r="O886" s="9" t="inlineStr">
        <is>
          <t>OFFICIAL_AGGREGATE</t>
        </is>
      </c>
      <c r="P886" s="8" t="n">
        <v>1</v>
      </c>
      <c r="Q886" s="8" t="n">
        <v>40</v>
      </c>
      <c r="R886" s="7" t="inlineStr">
        <is>
          <t>https://www.ande.gov.py/estadisticas/BalanceEnergia1983-2006/CompilacionEstadistica83-06.pdf</t>
        </is>
      </c>
      <c r="S886" s="6" t="inlineStr">
        <is>
          <t>ANDE-83-06</t>
        </is>
      </c>
      <c r="T886" s="6" t="inlineStr"/>
      <c r="U886" s="4" t="inlineStr">
        <is>
          <t>2026-09-11 00:05:00</t>
        </is>
      </c>
      <c r="V886" s="4" t="inlineStr">
        <is>
          <t>Serie historica antigua; usar compilaciones posteriores para solapes cuando existan.</t>
        </is>
      </c>
    </row>
    <row r="887">
      <c r="A887" s="6" t="inlineStr">
        <is>
          <t>R0000891</t>
        </is>
      </c>
      <c r="B887" s="6" t="inlineStr">
        <is>
          <t>1987-01-01</t>
        </is>
      </c>
      <c r="C887" s="6" t="inlineStr">
        <is>
          <t>1987-12-31</t>
        </is>
      </c>
      <c r="D887" s="6" t="inlineStr">
        <is>
          <t>year</t>
        </is>
      </c>
      <c r="E887" s="6" t="inlineStr">
        <is>
          <t>ANDE_BILLED_INDUSTRIAL_ENERGY</t>
        </is>
      </c>
      <c r="F887" s="6" t="inlineStr">
        <is>
          <t>PY_SIN</t>
        </is>
      </c>
      <c r="G887" s="6" t="inlineStr">
        <is>
          <t>PY</t>
        </is>
      </c>
      <c r="H887" s="6" t="inlineStr">
        <is>
          <t>PY</t>
        </is>
      </c>
      <c r="I887" s="8" t="n">
        <v>326236.682</v>
      </c>
      <c r="J887" s="6" t="inlineStr">
        <is>
          <t>MWh</t>
        </is>
      </c>
      <c r="K887" s="8" t="n">
        <v>326236.682</v>
      </c>
      <c r="L887" s="6" t="inlineStr">
        <is>
          <t>MWh</t>
        </is>
      </c>
      <c r="M887" s="6" t="inlineStr">
        <is>
          <t>ANDE</t>
        </is>
      </c>
      <c r="N887" s="6" t="inlineStr">
        <is>
          <t>OFFICIAL_PRIMARY</t>
        </is>
      </c>
      <c r="O887" s="9" t="inlineStr">
        <is>
          <t>OFFICIAL_AGGREGATE</t>
        </is>
      </c>
      <c r="P887" s="8" t="n">
        <v>1</v>
      </c>
      <c r="Q887" s="8" t="n">
        <v>40</v>
      </c>
      <c r="R887" s="7" t="inlineStr">
        <is>
          <t>https://www.ande.gov.py/estadisticas/BalanceEnergia1983-2006/CompilacionEstadistica83-06.pdf</t>
        </is>
      </c>
      <c r="S887" s="6" t="inlineStr">
        <is>
          <t>ANDE-83-06</t>
        </is>
      </c>
      <c r="T887" s="6" t="inlineStr"/>
      <c r="U887" s="4" t="inlineStr">
        <is>
          <t>2026-09-11 00:05:00</t>
        </is>
      </c>
      <c r="V887" s="4" t="inlineStr">
        <is>
          <t>Serie historica antigua; usar compilaciones posteriores para solapes cuando existan.</t>
        </is>
      </c>
    </row>
    <row r="888">
      <c r="A888" s="6" t="inlineStr">
        <is>
          <t>R0000892</t>
        </is>
      </c>
      <c r="B888" s="6" t="inlineStr">
        <is>
          <t>1987-01-01</t>
        </is>
      </c>
      <c r="C888" s="6" t="inlineStr">
        <is>
          <t>1987-12-31</t>
        </is>
      </c>
      <c r="D888" s="6" t="inlineStr">
        <is>
          <t>year</t>
        </is>
      </c>
      <c r="E888" s="6" t="inlineStr">
        <is>
          <t>ANDE_BILLED_OTHER_ENERGY</t>
        </is>
      </c>
      <c r="F888" s="6" t="inlineStr">
        <is>
          <t>PY_SIN</t>
        </is>
      </c>
      <c r="G888" s="6" t="inlineStr">
        <is>
          <t>PY</t>
        </is>
      </c>
      <c r="H888" s="6" t="inlineStr">
        <is>
          <t>PY</t>
        </is>
      </c>
      <c r="I888" s="8" t="n">
        <v>287718.495</v>
      </c>
      <c r="J888" s="6" t="inlineStr">
        <is>
          <t>MWh</t>
        </is>
      </c>
      <c r="K888" s="8" t="n">
        <v>287718.495</v>
      </c>
      <c r="L888" s="6" t="inlineStr">
        <is>
          <t>MWh</t>
        </is>
      </c>
      <c r="M888" s="6" t="inlineStr">
        <is>
          <t>ANDE</t>
        </is>
      </c>
      <c r="N888" s="6" t="inlineStr">
        <is>
          <t>OFFICIAL_PRIMARY</t>
        </is>
      </c>
      <c r="O888" s="9" t="inlineStr">
        <is>
          <t>OFFICIAL_AGGREGATE</t>
        </is>
      </c>
      <c r="P888" s="8" t="n">
        <v>1</v>
      </c>
      <c r="Q888" s="8" t="n">
        <v>40</v>
      </c>
      <c r="R888" s="7" t="inlineStr">
        <is>
          <t>https://www.ande.gov.py/estadisticas/BalanceEnergia1983-2006/CompilacionEstadistica83-06.pdf</t>
        </is>
      </c>
      <c r="S888" s="6" t="inlineStr">
        <is>
          <t>ANDE-83-06</t>
        </is>
      </c>
      <c r="T888" s="6" t="inlineStr"/>
      <c r="U888" s="4" t="inlineStr">
        <is>
          <t>2026-09-11 00:05:00</t>
        </is>
      </c>
      <c r="V888" s="4" t="inlineStr">
        <is>
          <t>Serie historica antigua; usar compilaciones posteriores para solapes cuando existan.</t>
        </is>
      </c>
    </row>
    <row r="889">
      <c r="A889" s="6" t="inlineStr">
        <is>
          <t>R0000893</t>
        </is>
      </c>
      <c r="B889" s="6" t="inlineStr">
        <is>
          <t>1987-01-01</t>
        </is>
      </c>
      <c r="C889" s="6" t="inlineStr">
        <is>
          <t>1987-12-31</t>
        </is>
      </c>
      <c r="D889" s="6" t="inlineStr">
        <is>
          <t>year</t>
        </is>
      </c>
      <c r="E889" s="6" t="inlineStr">
        <is>
          <t>ANDE_EXPORT_BILLED_ENERGY</t>
        </is>
      </c>
      <c r="F889" s="6" t="inlineStr">
        <is>
          <t>PY_SIN</t>
        </is>
      </c>
      <c r="G889" s="6" t="inlineStr">
        <is>
          <t>PY</t>
        </is>
      </c>
      <c r="H889" s="6" t="inlineStr">
        <is>
          <t>EXTERNAL</t>
        </is>
      </c>
      <c r="I889" s="8" t="n">
        <v>142020.219</v>
      </c>
      <c r="J889" s="6" t="inlineStr">
        <is>
          <t>MWh</t>
        </is>
      </c>
      <c r="K889" s="8" t="n">
        <v>142020.219</v>
      </c>
      <c r="L889" s="6" t="inlineStr">
        <is>
          <t>MWh</t>
        </is>
      </c>
      <c r="M889" s="6" t="inlineStr">
        <is>
          <t>ANDE</t>
        </is>
      </c>
      <c r="N889" s="6" t="inlineStr">
        <is>
          <t>OFFICIAL_PRIMARY</t>
        </is>
      </c>
      <c r="O889" s="9" t="inlineStr">
        <is>
          <t>OFFICIAL_AGGREGATE</t>
        </is>
      </c>
      <c r="P889" s="8" t="n">
        <v>1</v>
      </c>
      <c r="Q889" s="8" t="n">
        <v>40</v>
      </c>
      <c r="R889" s="7" t="inlineStr">
        <is>
          <t>https://www.ande.gov.py/estadisticas/BalanceEnergia1983-2006/CompilacionEstadistica83-06.pdf</t>
        </is>
      </c>
      <c r="S889" s="6" t="inlineStr">
        <is>
          <t>ANDE-83-06</t>
        </is>
      </c>
      <c r="T889" s="6" t="inlineStr"/>
      <c r="U889" s="4" t="inlineStr">
        <is>
          <t>2026-09-11 00:05:00</t>
        </is>
      </c>
      <c r="V889" s="4" t="inlineStr">
        <is>
          <t>Serie historica antigua; usar compilaciones posteriores para solapes cuando existan.</t>
        </is>
      </c>
    </row>
    <row r="890">
      <c r="A890" s="6" t="inlineStr">
        <is>
          <t>R0000894</t>
        </is>
      </c>
      <c r="B890" s="6" t="inlineStr">
        <is>
          <t>1988-01-01</t>
        </is>
      </c>
      <c r="C890" s="6" t="inlineStr">
        <is>
          <t>1988-12-31</t>
        </is>
      </c>
      <c r="D890" s="6" t="inlineStr">
        <is>
          <t>year</t>
        </is>
      </c>
      <c r="E890" s="6" t="inlineStr">
        <is>
          <t>ANDE_BILLED_NATIONAL_ENERGY</t>
        </is>
      </c>
      <c r="F890" s="6" t="inlineStr">
        <is>
          <t>PY_SIN</t>
        </is>
      </c>
      <c r="G890" s="6" t="inlineStr">
        <is>
          <t>PY</t>
        </is>
      </c>
      <c r="H890" s="6" t="inlineStr">
        <is>
          <t>PY</t>
        </is>
      </c>
      <c r="I890" s="8" t="n">
        <v>1579923.281</v>
      </c>
      <c r="J890" s="6" t="inlineStr">
        <is>
          <t>MWh</t>
        </is>
      </c>
      <c r="K890" s="8" t="n">
        <v>1579923.281</v>
      </c>
      <c r="L890" s="6" t="inlineStr">
        <is>
          <t>MWh</t>
        </is>
      </c>
      <c r="M890" s="6" t="inlineStr">
        <is>
          <t>ANDE</t>
        </is>
      </c>
      <c r="N890" s="6" t="inlineStr">
        <is>
          <t>OFFICIAL_PRIMARY</t>
        </is>
      </c>
      <c r="O890" s="9" t="inlineStr">
        <is>
          <t>OFFICIAL_AGGREGATE</t>
        </is>
      </c>
      <c r="P890" s="8" t="n">
        <v>1</v>
      </c>
      <c r="Q890" s="8" t="n">
        <v>40</v>
      </c>
      <c r="R890" s="7" t="inlineStr">
        <is>
          <t>https://www.ande.gov.py/estadisticas/BalanceEnergia1983-2006/CompilacionEstadistica83-06.pdf</t>
        </is>
      </c>
      <c r="S890" s="6" t="inlineStr">
        <is>
          <t>ANDE-83-06</t>
        </is>
      </c>
      <c r="T890" s="6" t="inlineStr"/>
      <c r="U890" s="4" t="inlineStr">
        <is>
          <t>2026-09-11 00:05:00</t>
        </is>
      </c>
      <c r="V890" s="4" t="inlineStr">
        <is>
          <t>Serie historica antigua; usar compilaciones posteriores para solapes cuando existan.</t>
        </is>
      </c>
    </row>
    <row r="891">
      <c r="A891" s="6" t="inlineStr">
        <is>
          <t>R0000895</t>
        </is>
      </c>
      <c r="B891" s="6" t="inlineStr">
        <is>
          <t>1988-01-01</t>
        </is>
      </c>
      <c r="C891" s="6" t="inlineStr">
        <is>
          <t>1988-12-31</t>
        </is>
      </c>
      <c r="D891" s="6" t="inlineStr">
        <is>
          <t>year</t>
        </is>
      </c>
      <c r="E891" s="6" t="inlineStr">
        <is>
          <t>ANDE_TOTAL_ENERGY_SOLD</t>
        </is>
      </c>
      <c r="F891" s="6" t="inlineStr">
        <is>
          <t>PY_SIN</t>
        </is>
      </c>
      <c r="G891" s="6" t="inlineStr">
        <is>
          <t>PY</t>
        </is>
      </c>
      <c r="H891" s="6" t="inlineStr">
        <is>
          <t>PY</t>
        </is>
      </c>
      <c r="I891" s="8" t="n">
        <v>1818308.731</v>
      </c>
      <c r="J891" s="6" t="inlineStr">
        <is>
          <t>MWh</t>
        </is>
      </c>
      <c r="K891" s="8" t="n">
        <v>1818308.731</v>
      </c>
      <c r="L891" s="6" t="inlineStr">
        <is>
          <t>MWh</t>
        </is>
      </c>
      <c r="M891" s="6" t="inlineStr">
        <is>
          <t>ANDE</t>
        </is>
      </c>
      <c r="N891" s="6" t="inlineStr">
        <is>
          <t>OFFICIAL_PRIMARY</t>
        </is>
      </c>
      <c r="O891" s="9" t="inlineStr">
        <is>
          <t>OFFICIAL_AGGREGATE</t>
        </is>
      </c>
      <c r="P891" s="8" t="n">
        <v>1</v>
      </c>
      <c r="Q891" s="8" t="n">
        <v>40</v>
      </c>
      <c r="R891" s="7" t="inlineStr">
        <is>
          <t>https://www.ande.gov.py/estadisticas/BalanceEnergia1983-2006/CompilacionEstadistica83-06.pdf</t>
        </is>
      </c>
      <c r="S891" s="6" t="inlineStr">
        <is>
          <t>ANDE-83-06</t>
        </is>
      </c>
      <c r="T891" s="6" t="inlineStr"/>
      <c r="U891" s="4" t="inlineStr">
        <is>
          <t>2026-09-11 00:05:00</t>
        </is>
      </c>
      <c r="V891" s="4" t="inlineStr">
        <is>
          <t>Serie historica antigua; usar compilaciones posteriores para solapes cuando existan.</t>
        </is>
      </c>
    </row>
    <row r="892">
      <c r="A892" s="6" t="inlineStr">
        <is>
          <t>R0000896</t>
        </is>
      </c>
      <c r="B892" s="6" t="inlineStr">
        <is>
          <t>1988-01-01</t>
        </is>
      </c>
      <c r="C892" s="6" t="inlineStr">
        <is>
          <t>1988-12-31</t>
        </is>
      </c>
      <c r="D892" s="6" t="inlineStr">
        <is>
          <t>year</t>
        </is>
      </c>
      <c r="E892" s="6" t="inlineStr">
        <is>
          <t>ANDE_BILLED_RESIDENTIAL_ENERGY</t>
        </is>
      </c>
      <c r="F892" s="6" t="inlineStr">
        <is>
          <t>PY_SIN</t>
        </is>
      </c>
      <c r="G892" s="6" t="inlineStr">
        <is>
          <t>PY</t>
        </is>
      </c>
      <c r="H892" s="6" t="inlineStr">
        <is>
          <t>PY</t>
        </is>
      </c>
      <c r="I892" s="8" t="n">
        <v>566682.773</v>
      </c>
      <c r="J892" s="6" t="inlineStr">
        <is>
          <t>MWh</t>
        </is>
      </c>
      <c r="K892" s="8" t="n">
        <v>566682.773</v>
      </c>
      <c r="L892" s="6" t="inlineStr">
        <is>
          <t>MWh</t>
        </is>
      </c>
      <c r="M892" s="6" t="inlineStr">
        <is>
          <t>ANDE</t>
        </is>
      </c>
      <c r="N892" s="6" t="inlineStr">
        <is>
          <t>OFFICIAL_PRIMARY</t>
        </is>
      </c>
      <c r="O892" s="9" t="inlineStr">
        <is>
          <t>OFFICIAL_AGGREGATE</t>
        </is>
      </c>
      <c r="P892" s="8" t="n">
        <v>1</v>
      </c>
      <c r="Q892" s="8" t="n">
        <v>40</v>
      </c>
      <c r="R892" s="7" t="inlineStr">
        <is>
          <t>https://www.ande.gov.py/estadisticas/BalanceEnergia1983-2006/CompilacionEstadistica83-06.pdf</t>
        </is>
      </c>
      <c r="S892" s="6" t="inlineStr">
        <is>
          <t>ANDE-83-06</t>
        </is>
      </c>
      <c r="T892" s="6" t="inlineStr"/>
      <c r="U892" s="4" t="inlineStr">
        <is>
          <t>2026-09-11 00:05:00</t>
        </is>
      </c>
      <c r="V892" s="4" t="inlineStr">
        <is>
          <t>Serie historica antigua; usar compilaciones posteriores para solapes cuando existan.</t>
        </is>
      </c>
    </row>
    <row r="893">
      <c r="A893" s="6" t="inlineStr">
        <is>
          <t>R0000897</t>
        </is>
      </c>
      <c r="B893" s="6" t="inlineStr">
        <is>
          <t>1988-01-01</t>
        </is>
      </c>
      <c r="C893" s="6" t="inlineStr">
        <is>
          <t>1988-12-31</t>
        </is>
      </c>
      <c r="D893" s="6" t="inlineStr">
        <is>
          <t>year</t>
        </is>
      </c>
      <c r="E893" s="6" t="inlineStr">
        <is>
          <t>ANDE_BILLED_INDUSTRIAL_ENERGY</t>
        </is>
      </c>
      <c r="F893" s="6" t="inlineStr">
        <is>
          <t>PY_SIN</t>
        </is>
      </c>
      <c r="G893" s="6" t="inlineStr">
        <is>
          <t>PY</t>
        </is>
      </c>
      <c r="H893" s="6" t="inlineStr">
        <is>
          <t>PY</t>
        </is>
      </c>
      <c r="I893" s="8" t="n">
        <v>392952.126</v>
      </c>
      <c r="J893" s="6" t="inlineStr">
        <is>
          <t>MWh</t>
        </is>
      </c>
      <c r="K893" s="8" t="n">
        <v>392952.126</v>
      </c>
      <c r="L893" s="6" t="inlineStr">
        <is>
          <t>MWh</t>
        </is>
      </c>
      <c r="M893" s="6" t="inlineStr">
        <is>
          <t>ANDE</t>
        </is>
      </c>
      <c r="N893" s="6" t="inlineStr">
        <is>
          <t>OFFICIAL_PRIMARY</t>
        </is>
      </c>
      <c r="O893" s="9" t="inlineStr">
        <is>
          <t>OFFICIAL_AGGREGATE</t>
        </is>
      </c>
      <c r="P893" s="8" t="n">
        <v>1</v>
      </c>
      <c r="Q893" s="8" t="n">
        <v>40</v>
      </c>
      <c r="R893" s="7" t="inlineStr">
        <is>
          <t>https://www.ande.gov.py/estadisticas/BalanceEnergia1983-2006/CompilacionEstadistica83-06.pdf</t>
        </is>
      </c>
      <c r="S893" s="6" t="inlineStr">
        <is>
          <t>ANDE-83-06</t>
        </is>
      </c>
      <c r="T893" s="6" t="inlineStr"/>
      <c r="U893" s="4" t="inlineStr">
        <is>
          <t>2026-09-11 00:05:00</t>
        </is>
      </c>
      <c r="V893" s="4" t="inlineStr">
        <is>
          <t>Serie historica antigua; usar compilaciones posteriores para solapes cuando existan.</t>
        </is>
      </c>
    </row>
    <row r="894">
      <c r="A894" s="6" t="inlineStr">
        <is>
          <t>R0000898</t>
        </is>
      </c>
      <c r="B894" s="6" t="inlineStr">
        <is>
          <t>1988-01-01</t>
        </is>
      </c>
      <c r="C894" s="6" t="inlineStr">
        <is>
          <t>1988-12-31</t>
        </is>
      </c>
      <c r="D894" s="6" t="inlineStr">
        <is>
          <t>year</t>
        </is>
      </c>
      <c r="E894" s="6" t="inlineStr">
        <is>
          <t>ANDE_BILLED_OTHER_ENERGY</t>
        </is>
      </c>
      <c r="F894" s="6" t="inlineStr">
        <is>
          <t>PY_SIN</t>
        </is>
      </c>
      <c r="G894" s="6" t="inlineStr">
        <is>
          <t>PY</t>
        </is>
      </c>
      <c r="H894" s="6" t="inlineStr">
        <is>
          <t>PY</t>
        </is>
      </c>
      <c r="I894" s="8" t="n">
        <v>317609.536</v>
      </c>
      <c r="J894" s="6" t="inlineStr">
        <is>
          <t>MWh</t>
        </is>
      </c>
      <c r="K894" s="8" t="n">
        <v>317609.536</v>
      </c>
      <c r="L894" s="6" t="inlineStr">
        <is>
          <t>MWh</t>
        </is>
      </c>
      <c r="M894" s="6" t="inlineStr">
        <is>
          <t>ANDE</t>
        </is>
      </c>
      <c r="N894" s="6" t="inlineStr">
        <is>
          <t>OFFICIAL_PRIMARY</t>
        </is>
      </c>
      <c r="O894" s="9" t="inlineStr">
        <is>
          <t>OFFICIAL_AGGREGATE</t>
        </is>
      </c>
      <c r="P894" s="8" t="n">
        <v>1</v>
      </c>
      <c r="Q894" s="8" t="n">
        <v>40</v>
      </c>
      <c r="R894" s="7" t="inlineStr">
        <is>
          <t>https://www.ande.gov.py/estadisticas/BalanceEnergia1983-2006/CompilacionEstadistica83-06.pdf</t>
        </is>
      </c>
      <c r="S894" s="6" t="inlineStr">
        <is>
          <t>ANDE-83-06</t>
        </is>
      </c>
      <c r="T894" s="6" t="inlineStr"/>
      <c r="U894" s="4" t="inlineStr">
        <is>
          <t>2026-09-11 00:05:00</t>
        </is>
      </c>
      <c r="V894" s="4" t="inlineStr">
        <is>
          <t>Serie historica antigua; usar compilaciones posteriores para solapes cuando existan.</t>
        </is>
      </c>
    </row>
    <row r="895">
      <c r="A895" s="6" t="inlineStr">
        <is>
          <t>R0000899</t>
        </is>
      </c>
      <c r="B895" s="6" t="inlineStr">
        <is>
          <t>1988-01-01</t>
        </is>
      </c>
      <c r="C895" s="6" t="inlineStr">
        <is>
          <t>1988-12-31</t>
        </is>
      </c>
      <c r="D895" s="6" t="inlineStr">
        <is>
          <t>year</t>
        </is>
      </c>
      <c r="E895" s="6" t="inlineStr">
        <is>
          <t>ANDE_EXPORT_BILLED_ENERGY</t>
        </is>
      </c>
      <c r="F895" s="6" t="inlineStr">
        <is>
          <t>PY_SIN</t>
        </is>
      </c>
      <c r="G895" s="6" t="inlineStr">
        <is>
          <t>PY</t>
        </is>
      </c>
      <c r="H895" s="6" t="inlineStr">
        <is>
          <t>EXTERNAL</t>
        </is>
      </c>
      <c r="I895" s="8" t="n">
        <v>238385.45</v>
      </c>
      <c r="J895" s="6" t="inlineStr">
        <is>
          <t>MWh</t>
        </is>
      </c>
      <c r="K895" s="8" t="n">
        <v>238385.45</v>
      </c>
      <c r="L895" s="6" t="inlineStr">
        <is>
          <t>MWh</t>
        </is>
      </c>
      <c r="M895" s="6" t="inlineStr">
        <is>
          <t>ANDE</t>
        </is>
      </c>
      <c r="N895" s="6" t="inlineStr">
        <is>
          <t>OFFICIAL_PRIMARY</t>
        </is>
      </c>
      <c r="O895" s="9" t="inlineStr">
        <is>
          <t>OFFICIAL_AGGREGATE</t>
        </is>
      </c>
      <c r="P895" s="8" t="n">
        <v>1</v>
      </c>
      <c r="Q895" s="8" t="n">
        <v>40</v>
      </c>
      <c r="R895" s="7" t="inlineStr">
        <is>
          <t>https://www.ande.gov.py/estadisticas/BalanceEnergia1983-2006/CompilacionEstadistica83-06.pdf</t>
        </is>
      </c>
      <c r="S895" s="6" t="inlineStr">
        <is>
          <t>ANDE-83-06</t>
        </is>
      </c>
      <c r="T895" s="6" t="inlineStr"/>
      <c r="U895" s="4" t="inlineStr">
        <is>
          <t>2026-09-11 00:05:00</t>
        </is>
      </c>
      <c r="V895" s="4" t="inlineStr">
        <is>
          <t>Serie historica antigua; usar compilaciones posteriores para solapes cuando existan.</t>
        </is>
      </c>
    </row>
    <row r="896">
      <c r="A896" s="6" t="inlineStr">
        <is>
          <t>R0000900</t>
        </is>
      </c>
      <c r="B896" s="6" t="inlineStr">
        <is>
          <t>1989-01-01</t>
        </is>
      </c>
      <c r="C896" s="6" t="inlineStr">
        <is>
          <t>1989-12-31</t>
        </is>
      </c>
      <c r="D896" s="6" t="inlineStr">
        <is>
          <t>year</t>
        </is>
      </c>
      <c r="E896" s="6" t="inlineStr">
        <is>
          <t>ANDE_BILLED_NATIONAL_ENERGY</t>
        </is>
      </c>
      <c r="F896" s="6" t="inlineStr">
        <is>
          <t>PY_SIN</t>
        </is>
      </c>
      <c r="G896" s="6" t="inlineStr">
        <is>
          <t>PY</t>
        </is>
      </c>
      <c r="H896" s="6" t="inlineStr">
        <is>
          <t>PY</t>
        </is>
      </c>
      <c r="I896" s="8" t="n">
        <v>1606633.549</v>
      </c>
      <c r="J896" s="6" t="inlineStr">
        <is>
          <t>MWh</t>
        </is>
      </c>
      <c r="K896" s="8" t="n">
        <v>1606633.549</v>
      </c>
      <c r="L896" s="6" t="inlineStr">
        <is>
          <t>MWh</t>
        </is>
      </c>
      <c r="M896" s="6" t="inlineStr">
        <is>
          <t>ANDE</t>
        </is>
      </c>
      <c r="N896" s="6" t="inlineStr">
        <is>
          <t>OFFICIAL_PRIMARY</t>
        </is>
      </c>
      <c r="O896" s="9" t="inlineStr">
        <is>
          <t>OFFICIAL_AGGREGATE</t>
        </is>
      </c>
      <c r="P896" s="8" t="n">
        <v>1</v>
      </c>
      <c r="Q896" s="8" t="n">
        <v>40</v>
      </c>
      <c r="R896" s="7" t="inlineStr">
        <is>
          <t>https://www.ande.gov.py/estadisticas/BalanceEnergia1983-2006/CompilacionEstadistica83-06.pdf</t>
        </is>
      </c>
      <c r="S896" s="6" t="inlineStr">
        <is>
          <t>ANDE-83-06</t>
        </is>
      </c>
      <c r="T896" s="6" t="inlineStr"/>
      <c r="U896" s="4" t="inlineStr">
        <is>
          <t>2026-09-11 00:05:00</t>
        </is>
      </c>
      <c r="V896" s="4" t="inlineStr">
        <is>
          <t>Serie historica antigua; usar compilaciones posteriores para solapes cuando existan.</t>
        </is>
      </c>
    </row>
    <row r="897">
      <c r="A897" s="6" t="inlineStr">
        <is>
          <t>R0000901</t>
        </is>
      </c>
      <c r="B897" s="6" t="inlineStr">
        <is>
          <t>1989-01-01</t>
        </is>
      </c>
      <c r="C897" s="6" t="inlineStr">
        <is>
          <t>1989-12-31</t>
        </is>
      </c>
      <c r="D897" s="6" t="inlineStr">
        <is>
          <t>year</t>
        </is>
      </c>
      <c r="E897" s="6" t="inlineStr">
        <is>
          <t>ANDE_TOTAL_ENERGY_SOLD</t>
        </is>
      </c>
      <c r="F897" s="6" t="inlineStr">
        <is>
          <t>PY_SIN</t>
        </is>
      </c>
      <c r="G897" s="6" t="inlineStr">
        <is>
          <t>PY</t>
        </is>
      </c>
      <c r="H897" s="6" t="inlineStr">
        <is>
          <t>PY</t>
        </is>
      </c>
      <c r="I897" s="8" t="n">
        <v>1867202.635</v>
      </c>
      <c r="J897" s="6" t="inlineStr">
        <is>
          <t>MWh</t>
        </is>
      </c>
      <c r="K897" s="8" t="n">
        <v>1867202.635</v>
      </c>
      <c r="L897" s="6" t="inlineStr">
        <is>
          <t>MWh</t>
        </is>
      </c>
      <c r="M897" s="6" t="inlineStr">
        <is>
          <t>ANDE</t>
        </is>
      </c>
      <c r="N897" s="6" t="inlineStr">
        <is>
          <t>OFFICIAL_PRIMARY</t>
        </is>
      </c>
      <c r="O897" s="9" t="inlineStr">
        <is>
          <t>OFFICIAL_AGGREGATE</t>
        </is>
      </c>
      <c r="P897" s="8" t="n">
        <v>1</v>
      </c>
      <c r="Q897" s="8" t="n">
        <v>40</v>
      </c>
      <c r="R897" s="7" t="inlineStr">
        <is>
          <t>https://www.ande.gov.py/estadisticas/BalanceEnergia1983-2006/CompilacionEstadistica83-06.pdf</t>
        </is>
      </c>
      <c r="S897" s="6" t="inlineStr">
        <is>
          <t>ANDE-83-06</t>
        </is>
      </c>
      <c r="T897" s="6" t="inlineStr"/>
      <c r="U897" s="4" t="inlineStr">
        <is>
          <t>2026-09-11 00:05:00</t>
        </is>
      </c>
      <c r="V897" s="4" t="inlineStr">
        <is>
          <t>Serie historica antigua; usar compilaciones posteriores para solapes cuando existan.</t>
        </is>
      </c>
    </row>
    <row r="898">
      <c r="A898" s="6" t="inlineStr">
        <is>
          <t>R0000902</t>
        </is>
      </c>
      <c r="B898" s="6" t="inlineStr">
        <is>
          <t>1989-01-01</t>
        </is>
      </c>
      <c r="C898" s="6" t="inlineStr">
        <is>
          <t>1989-12-31</t>
        </is>
      </c>
      <c r="D898" s="6" t="inlineStr">
        <is>
          <t>year</t>
        </is>
      </c>
      <c r="E898" s="6" t="inlineStr">
        <is>
          <t>ANDE_BILLED_RESIDENTIAL_ENERGY</t>
        </is>
      </c>
      <c r="F898" s="6" t="inlineStr">
        <is>
          <t>PY_SIN</t>
        </is>
      </c>
      <c r="G898" s="6" t="inlineStr">
        <is>
          <t>PY</t>
        </is>
      </c>
      <c r="H898" s="6" t="inlineStr">
        <is>
          <t>PY</t>
        </is>
      </c>
      <c r="I898" s="8" t="n">
        <v>580781.172</v>
      </c>
      <c r="J898" s="6" t="inlineStr">
        <is>
          <t>MWh</t>
        </is>
      </c>
      <c r="K898" s="8" t="n">
        <v>580781.172</v>
      </c>
      <c r="L898" s="6" t="inlineStr">
        <is>
          <t>MWh</t>
        </is>
      </c>
      <c r="M898" s="6" t="inlineStr">
        <is>
          <t>ANDE</t>
        </is>
      </c>
      <c r="N898" s="6" t="inlineStr">
        <is>
          <t>OFFICIAL_PRIMARY</t>
        </is>
      </c>
      <c r="O898" s="9" t="inlineStr">
        <is>
          <t>OFFICIAL_AGGREGATE</t>
        </is>
      </c>
      <c r="P898" s="8" t="n">
        <v>1</v>
      </c>
      <c r="Q898" s="8" t="n">
        <v>40</v>
      </c>
      <c r="R898" s="7" t="inlineStr">
        <is>
          <t>https://www.ande.gov.py/estadisticas/BalanceEnergia1983-2006/CompilacionEstadistica83-06.pdf</t>
        </is>
      </c>
      <c r="S898" s="6" t="inlineStr">
        <is>
          <t>ANDE-83-06</t>
        </is>
      </c>
      <c r="T898" s="6" t="inlineStr"/>
      <c r="U898" s="4" t="inlineStr">
        <is>
          <t>2026-09-11 00:05:00</t>
        </is>
      </c>
      <c r="V898" s="4" t="inlineStr">
        <is>
          <t>Serie historica antigua; usar compilaciones posteriores para solapes cuando existan.</t>
        </is>
      </c>
    </row>
    <row r="899">
      <c r="A899" s="6" t="inlineStr">
        <is>
          <t>R0000903</t>
        </is>
      </c>
      <c r="B899" s="6" t="inlineStr">
        <is>
          <t>1989-01-01</t>
        </is>
      </c>
      <c r="C899" s="6" t="inlineStr">
        <is>
          <t>1989-12-31</t>
        </is>
      </c>
      <c r="D899" s="6" t="inlineStr">
        <is>
          <t>year</t>
        </is>
      </c>
      <c r="E899" s="6" t="inlineStr">
        <is>
          <t>ANDE_BILLED_INDUSTRIAL_ENERGY</t>
        </is>
      </c>
      <c r="F899" s="6" t="inlineStr">
        <is>
          <t>PY_SIN</t>
        </is>
      </c>
      <c r="G899" s="6" t="inlineStr">
        <is>
          <t>PY</t>
        </is>
      </c>
      <c r="H899" s="6" t="inlineStr">
        <is>
          <t>PY</t>
        </is>
      </c>
      <c r="I899" s="8" t="n">
        <v>450567.409</v>
      </c>
      <c r="J899" s="6" t="inlineStr">
        <is>
          <t>MWh</t>
        </is>
      </c>
      <c r="K899" s="8" t="n">
        <v>450567.409</v>
      </c>
      <c r="L899" s="6" t="inlineStr">
        <is>
          <t>MWh</t>
        </is>
      </c>
      <c r="M899" s="6" t="inlineStr">
        <is>
          <t>ANDE</t>
        </is>
      </c>
      <c r="N899" s="6" t="inlineStr">
        <is>
          <t>OFFICIAL_PRIMARY</t>
        </is>
      </c>
      <c r="O899" s="9" t="inlineStr">
        <is>
          <t>OFFICIAL_AGGREGATE</t>
        </is>
      </c>
      <c r="P899" s="8" t="n">
        <v>1</v>
      </c>
      <c r="Q899" s="8" t="n">
        <v>40</v>
      </c>
      <c r="R899" s="7" t="inlineStr">
        <is>
          <t>https://www.ande.gov.py/estadisticas/BalanceEnergia1983-2006/CompilacionEstadistica83-06.pdf</t>
        </is>
      </c>
      <c r="S899" s="6" t="inlineStr">
        <is>
          <t>ANDE-83-06</t>
        </is>
      </c>
      <c r="T899" s="6" t="inlineStr"/>
      <c r="U899" s="4" t="inlineStr">
        <is>
          <t>2026-09-11 00:05:00</t>
        </is>
      </c>
      <c r="V899" s="4" t="inlineStr">
        <is>
          <t>Serie historica antigua; usar compilaciones posteriores para solapes cuando existan.</t>
        </is>
      </c>
    </row>
    <row r="900">
      <c r="A900" s="6" t="inlineStr">
        <is>
          <t>R0000904</t>
        </is>
      </c>
      <c r="B900" s="6" t="inlineStr">
        <is>
          <t>1989-01-01</t>
        </is>
      </c>
      <c r="C900" s="6" t="inlineStr">
        <is>
          <t>1989-12-31</t>
        </is>
      </c>
      <c r="D900" s="6" t="inlineStr">
        <is>
          <t>year</t>
        </is>
      </c>
      <c r="E900" s="6" t="inlineStr">
        <is>
          <t>ANDE_BILLED_OTHER_ENERGY</t>
        </is>
      </c>
      <c r="F900" s="6" t="inlineStr">
        <is>
          <t>PY_SIN</t>
        </is>
      </c>
      <c r="G900" s="6" t="inlineStr">
        <is>
          <t>PY</t>
        </is>
      </c>
      <c r="H900" s="6" t="inlineStr">
        <is>
          <t>PY</t>
        </is>
      </c>
      <c r="I900" s="8" t="n">
        <v>332414.7</v>
      </c>
      <c r="J900" s="6" t="inlineStr">
        <is>
          <t>MWh</t>
        </is>
      </c>
      <c r="K900" s="8" t="n">
        <v>332414.7</v>
      </c>
      <c r="L900" s="6" t="inlineStr">
        <is>
          <t>MWh</t>
        </is>
      </c>
      <c r="M900" s="6" t="inlineStr">
        <is>
          <t>ANDE</t>
        </is>
      </c>
      <c r="N900" s="6" t="inlineStr">
        <is>
          <t>OFFICIAL_PRIMARY</t>
        </is>
      </c>
      <c r="O900" s="9" t="inlineStr">
        <is>
          <t>OFFICIAL_AGGREGATE</t>
        </is>
      </c>
      <c r="P900" s="8" t="n">
        <v>1</v>
      </c>
      <c r="Q900" s="8" t="n">
        <v>40</v>
      </c>
      <c r="R900" s="7" t="inlineStr">
        <is>
          <t>https://www.ande.gov.py/estadisticas/BalanceEnergia1983-2006/CompilacionEstadistica83-06.pdf</t>
        </is>
      </c>
      <c r="S900" s="6" t="inlineStr">
        <is>
          <t>ANDE-83-06</t>
        </is>
      </c>
      <c r="T900" s="6" t="inlineStr"/>
      <c r="U900" s="4" t="inlineStr">
        <is>
          <t>2026-09-11 00:05:00</t>
        </is>
      </c>
      <c r="V900" s="4" t="inlineStr">
        <is>
          <t>Serie historica antigua; usar compilaciones posteriores para solapes cuando existan.</t>
        </is>
      </c>
    </row>
    <row r="901">
      <c r="A901" s="6" t="inlineStr">
        <is>
          <t>R0000905</t>
        </is>
      </c>
      <c r="B901" s="6" t="inlineStr">
        <is>
          <t>1989-01-01</t>
        </is>
      </c>
      <c r="C901" s="6" t="inlineStr">
        <is>
          <t>1989-12-31</t>
        </is>
      </c>
      <c r="D901" s="6" t="inlineStr">
        <is>
          <t>year</t>
        </is>
      </c>
      <c r="E901" s="6" t="inlineStr">
        <is>
          <t>ANDE_EXPORT_BILLED_ENERGY</t>
        </is>
      </c>
      <c r="F901" s="6" t="inlineStr">
        <is>
          <t>PY_SIN</t>
        </is>
      </c>
      <c r="G901" s="6" t="inlineStr">
        <is>
          <t>PY</t>
        </is>
      </c>
      <c r="H901" s="6" t="inlineStr">
        <is>
          <t>EXTERNAL</t>
        </is>
      </c>
      <c r="I901" s="8" t="n">
        <v>260569.086</v>
      </c>
      <c r="J901" s="6" t="inlineStr">
        <is>
          <t>MWh</t>
        </is>
      </c>
      <c r="K901" s="8" t="n">
        <v>260569.086</v>
      </c>
      <c r="L901" s="6" t="inlineStr">
        <is>
          <t>MWh</t>
        </is>
      </c>
      <c r="M901" s="6" t="inlineStr">
        <is>
          <t>ANDE</t>
        </is>
      </c>
      <c r="N901" s="6" t="inlineStr">
        <is>
          <t>OFFICIAL_PRIMARY</t>
        </is>
      </c>
      <c r="O901" s="9" t="inlineStr">
        <is>
          <t>OFFICIAL_AGGREGATE</t>
        </is>
      </c>
      <c r="P901" s="8" t="n">
        <v>1</v>
      </c>
      <c r="Q901" s="8" t="n">
        <v>40</v>
      </c>
      <c r="R901" s="7" t="inlineStr">
        <is>
          <t>https://www.ande.gov.py/estadisticas/BalanceEnergia1983-2006/CompilacionEstadistica83-06.pdf</t>
        </is>
      </c>
      <c r="S901" s="6" t="inlineStr">
        <is>
          <t>ANDE-83-06</t>
        </is>
      </c>
      <c r="T901" s="6" t="inlineStr"/>
      <c r="U901" s="4" t="inlineStr">
        <is>
          <t>2026-09-11 00:05:00</t>
        </is>
      </c>
      <c r="V901" s="4" t="inlineStr">
        <is>
          <t>Serie historica antigua; usar compilaciones posteriores para solapes cuando existan.</t>
        </is>
      </c>
    </row>
    <row r="902">
      <c r="A902" s="6" t="inlineStr">
        <is>
          <t>R0000906</t>
        </is>
      </c>
      <c r="B902" s="6" t="inlineStr">
        <is>
          <t>1990-01-01</t>
        </is>
      </c>
      <c r="C902" s="6" t="inlineStr">
        <is>
          <t>1990-12-31</t>
        </is>
      </c>
      <c r="D902" s="6" t="inlineStr">
        <is>
          <t>year</t>
        </is>
      </c>
      <c r="E902" s="6" t="inlineStr">
        <is>
          <t>ANDE_BILLED_NATIONAL_ENERGY</t>
        </is>
      </c>
      <c r="F902" s="6" t="inlineStr">
        <is>
          <t>PY_SIN</t>
        </is>
      </c>
      <c r="G902" s="6" t="inlineStr">
        <is>
          <t>PY</t>
        </is>
      </c>
      <c r="H902" s="6" t="inlineStr">
        <is>
          <t>PY</t>
        </is>
      </c>
      <c r="I902" s="8" t="n">
        <v>1827017.917</v>
      </c>
      <c r="J902" s="6" t="inlineStr">
        <is>
          <t>MWh</t>
        </is>
      </c>
      <c r="K902" s="8" t="n">
        <v>1827017.917</v>
      </c>
      <c r="L902" s="6" t="inlineStr">
        <is>
          <t>MWh</t>
        </is>
      </c>
      <c r="M902" s="6" t="inlineStr">
        <is>
          <t>ANDE</t>
        </is>
      </c>
      <c r="N902" s="6" t="inlineStr">
        <is>
          <t>OFFICIAL_PRIMARY</t>
        </is>
      </c>
      <c r="O902" s="9" t="inlineStr">
        <is>
          <t>OFFICIAL_AGGREGATE</t>
        </is>
      </c>
      <c r="P902" s="8" t="n">
        <v>1</v>
      </c>
      <c r="Q902" s="8" t="n">
        <v>40</v>
      </c>
      <c r="R902" s="7" t="inlineStr">
        <is>
          <t>https://www.ande.gov.py/estadisticas/BalanceEnergia1983-2006/CompilacionEstadistica83-06.pdf</t>
        </is>
      </c>
      <c r="S902" s="6" t="inlineStr">
        <is>
          <t>ANDE-83-06</t>
        </is>
      </c>
      <c r="T902" s="6" t="inlineStr"/>
      <c r="U902" s="4" t="inlineStr">
        <is>
          <t>2026-09-11 00:05:00</t>
        </is>
      </c>
      <c r="V902" s="4" t="inlineStr">
        <is>
          <t>Serie historica antigua; usar compilaciones posteriores para solapes cuando existan.</t>
        </is>
      </c>
    </row>
    <row r="903">
      <c r="A903" s="6" t="inlineStr">
        <is>
          <t>R0000907</t>
        </is>
      </c>
      <c r="B903" s="6" t="inlineStr">
        <is>
          <t>1990-01-01</t>
        </is>
      </c>
      <c r="C903" s="6" t="inlineStr">
        <is>
          <t>1990-12-31</t>
        </is>
      </c>
      <c r="D903" s="6" t="inlineStr">
        <is>
          <t>year</t>
        </is>
      </c>
      <c r="E903" s="6" t="inlineStr">
        <is>
          <t>ANDE_TOTAL_ENERGY_SOLD</t>
        </is>
      </c>
      <c r="F903" s="6" t="inlineStr">
        <is>
          <t>PY_SIN</t>
        </is>
      </c>
      <c r="G903" s="6" t="inlineStr">
        <is>
          <t>PY</t>
        </is>
      </c>
      <c r="H903" s="6" t="inlineStr">
        <is>
          <t>PY</t>
        </is>
      </c>
      <c r="I903" s="8" t="n">
        <v>2042234.993</v>
      </c>
      <c r="J903" s="6" t="inlineStr">
        <is>
          <t>MWh</t>
        </is>
      </c>
      <c r="K903" s="8" t="n">
        <v>2042234.993</v>
      </c>
      <c r="L903" s="6" t="inlineStr">
        <is>
          <t>MWh</t>
        </is>
      </c>
      <c r="M903" s="6" t="inlineStr">
        <is>
          <t>ANDE</t>
        </is>
      </c>
      <c r="N903" s="6" t="inlineStr">
        <is>
          <t>OFFICIAL_PRIMARY</t>
        </is>
      </c>
      <c r="O903" s="9" t="inlineStr">
        <is>
          <t>OFFICIAL_AGGREGATE</t>
        </is>
      </c>
      <c r="P903" s="8" t="n">
        <v>1</v>
      </c>
      <c r="Q903" s="8" t="n">
        <v>40</v>
      </c>
      <c r="R903" s="7" t="inlineStr">
        <is>
          <t>https://www.ande.gov.py/estadisticas/BalanceEnergia1983-2006/CompilacionEstadistica83-06.pdf</t>
        </is>
      </c>
      <c r="S903" s="6" t="inlineStr">
        <is>
          <t>ANDE-83-06</t>
        </is>
      </c>
      <c r="T903" s="6" t="inlineStr"/>
      <c r="U903" s="4" t="inlineStr">
        <is>
          <t>2026-09-11 00:05:00</t>
        </is>
      </c>
      <c r="V903" s="4" t="inlineStr">
        <is>
          <t>Serie historica antigua; usar compilaciones posteriores para solapes cuando existan.</t>
        </is>
      </c>
    </row>
    <row r="904">
      <c r="A904" s="6" t="inlineStr">
        <is>
          <t>R0000908</t>
        </is>
      </c>
      <c r="B904" s="6" t="inlineStr">
        <is>
          <t>1990-01-01</t>
        </is>
      </c>
      <c r="C904" s="6" t="inlineStr">
        <is>
          <t>1990-12-31</t>
        </is>
      </c>
      <c r="D904" s="6" t="inlineStr">
        <is>
          <t>year</t>
        </is>
      </c>
      <c r="E904" s="6" t="inlineStr">
        <is>
          <t>ANDE_BILLED_RESIDENTIAL_ENERGY</t>
        </is>
      </c>
      <c r="F904" s="6" t="inlineStr">
        <is>
          <t>PY_SIN</t>
        </is>
      </c>
      <c r="G904" s="6" t="inlineStr">
        <is>
          <t>PY</t>
        </is>
      </c>
      <c r="H904" s="6" t="inlineStr">
        <is>
          <t>PY</t>
        </is>
      </c>
      <c r="I904" s="8" t="n">
        <v>685627.884</v>
      </c>
      <c r="J904" s="6" t="inlineStr">
        <is>
          <t>MWh</t>
        </is>
      </c>
      <c r="K904" s="8" t="n">
        <v>685627.884</v>
      </c>
      <c r="L904" s="6" t="inlineStr">
        <is>
          <t>MWh</t>
        </is>
      </c>
      <c r="M904" s="6" t="inlineStr">
        <is>
          <t>ANDE</t>
        </is>
      </c>
      <c r="N904" s="6" t="inlineStr">
        <is>
          <t>OFFICIAL_PRIMARY</t>
        </is>
      </c>
      <c r="O904" s="9" t="inlineStr">
        <is>
          <t>OFFICIAL_AGGREGATE</t>
        </is>
      </c>
      <c r="P904" s="8" t="n">
        <v>1</v>
      </c>
      <c r="Q904" s="8" t="n">
        <v>40</v>
      </c>
      <c r="R904" s="7" t="inlineStr">
        <is>
          <t>https://www.ande.gov.py/estadisticas/BalanceEnergia1983-2006/CompilacionEstadistica83-06.pdf</t>
        </is>
      </c>
      <c r="S904" s="6" t="inlineStr">
        <is>
          <t>ANDE-83-06</t>
        </is>
      </c>
      <c r="T904" s="6" t="inlineStr"/>
      <c r="U904" s="4" t="inlineStr">
        <is>
          <t>2026-09-11 00:05:00</t>
        </is>
      </c>
      <c r="V904" s="4" t="inlineStr">
        <is>
          <t>Serie historica antigua; usar compilaciones posteriores para solapes cuando existan.</t>
        </is>
      </c>
    </row>
    <row r="905">
      <c r="A905" s="6" t="inlineStr">
        <is>
          <t>R0000909</t>
        </is>
      </c>
      <c r="B905" s="6" t="inlineStr">
        <is>
          <t>1990-01-01</t>
        </is>
      </c>
      <c r="C905" s="6" t="inlineStr">
        <is>
          <t>1990-12-31</t>
        </is>
      </c>
      <c r="D905" s="6" t="inlineStr">
        <is>
          <t>year</t>
        </is>
      </c>
      <c r="E905" s="6" t="inlineStr">
        <is>
          <t>ANDE_BILLED_INDUSTRIAL_ENERGY</t>
        </is>
      </c>
      <c r="F905" s="6" t="inlineStr">
        <is>
          <t>PY_SIN</t>
        </is>
      </c>
      <c r="G905" s="6" t="inlineStr">
        <is>
          <t>PY</t>
        </is>
      </c>
      <c r="H905" s="6" t="inlineStr">
        <is>
          <t>PY</t>
        </is>
      </c>
      <c r="I905" s="8" t="n">
        <v>489191.258</v>
      </c>
      <c r="J905" s="6" t="inlineStr">
        <is>
          <t>MWh</t>
        </is>
      </c>
      <c r="K905" s="8" t="n">
        <v>489191.258</v>
      </c>
      <c r="L905" s="6" t="inlineStr">
        <is>
          <t>MWh</t>
        </is>
      </c>
      <c r="M905" s="6" t="inlineStr">
        <is>
          <t>ANDE</t>
        </is>
      </c>
      <c r="N905" s="6" t="inlineStr">
        <is>
          <t>OFFICIAL_PRIMARY</t>
        </is>
      </c>
      <c r="O905" s="9" t="inlineStr">
        <is>
          <t>OFFICIAL_AGGREGATE</t>
        </is>
      </c>
      <c r="P905" s="8" t="n">
        <v>1</v>
      </c>
      <c r="Q905" s="8" t="n">
        <v>40</v>
      </c>
      <c r="R905" s="7" t="inlineStr">
        <is>
          <t>https://www.ande.gov.py/estadisticas/BalanceEnergia1983-2006/CompilacionEstadistica83-06.pdf</t>
        </is>
      </c>
      <c r="S905" s="6" t="inlineStr">
        <is>
          <t>ANDE-83-06</t>
        </is>
      </c>
      <c r="T905" s="6" t="inlineStr"/>
      <c r="U905" s="4" t="inlineStr">
        <is>
          <t>2026-09-11 00:05:00</t>
        </is>
      </c>
      <c r="V905" s="4" t="inlineStr">
        <is>
          <t>Serie historica antigua; usar compilaciones posteriores para solapes cuando existan.</t>
        </is>
      </c>
    </row>
    <row r="906">
      <c r="A906" s="6" t="inlineStr">
        <is>
          <t>R0000910</t>
        </is>
      </c>
      <c r="B906" s="6" t="inlineStr">
        <is>
          <t>1990-01-01</t>
        </is>
      </c>
      <c r="C906" s="6" t="inlineStr">
        <is>
          <t>1990-12-31</t>
        </is>
      </c>
      <c r="D906" s="6" t="inlineStr">
        <is>
          <t>year</t>
        </is>
      </c>
      <c r="E906" s="6" t="inlineStr">
        <is>
          <t>ANDE_BILLED_OTHER_ENERGY</t>
        </is>
      </c>
      <c r="F906" s="6" t="inlineStr">
        <is>
          <t>PY_SIN</t>
        </is>
      </c>
      <c r="G906" s="6" t="inlineStr">
        <is>
          <t>PY</t>
        </is>
      </c>
      <c r="H906" s="6" t="inlineStr">
        <is>
          <t>PY</t>
        </is>
      </c>
      <c r="I906" s="8" t="n">
        <v>370963.352</v>
      </c>
      <c r="J906" s="6" t="inlineStr">
        <is>
          <t>MWh</t>
        </is>
      </c>
      <c r="K906" s="8" t="n">
        <v>370963.352</v>
      </c>
      <c r="L906" s="6" t="inlineStr">
        <is>
          <t>MWh</t>
        </is>
      </c>
      <c r="M906" s="6" t="inlineStr">
        <is>
          <t>ANDE</t>
        </is>
      </c>
      <c r="N906" s="6" t="inlineStr">
        <is>
          <t>OFFICIAL_PRIMARY</t>
        </is>
      </c>
      <c r="O906" s="9" t="inlineStr">
        <is>
          <t>OFFICIAL_AGGREGATE</t>
        </is>
      </c>
      <c r="P906" s="8" t="n">
        <v>1</v>
      </c>
      <c r="Q906" s="8" t="n">
        <v>40</v>
      </c>
      <c r="R906" s="7" t="inlineStr">
        <is>
          <t>https://www.ande.gov.py/estadisticas/BalanceEnergia1983-2006/CompilacionEstadistica83-06.pdf</t>
        </is>
      </c>
      <c r="S906" s="6" t="inlineStr">
        <is>
          <t>ANDE-83-06</t>
        </is>
      </c>
      <c r="T906" s="6" t="inlineStr"/>
      <c r="U906" s="4" t="inlineStr">
        <is>
          <t>2026-09-11 00:05:00</t>
        </is>
      </c>
      <c r="V906" s="4" t="inlineStr">
        <is>
          <t>Serie historica antigua; usar compilaciones posteriores para solapes cuando existan.</t>
        </is>
      </c>
    </row>
    <row r="907">
      <c r="A907" s="6" t="inlineStr">
        <is>
          <t>R0000911</t>
        </is>
      </c>
      <c r="B907" s="6" t="inlineStr">
        <is>
          <t>1990-01-01</t>
        </is>
      </c>
      <c r="C907" s="6" t="inlineStr">
        <is>
          <t>1990-12-31</t>
        </is>
      </c>
      <c r="D907" s="6" t="inlineStr">
        <is>
          <t>year</t>
        </is>
      </c>
      <c r="E907" s="6" t="inlineStr">
        <is>
          <t>ANDE_EXPORT_BILLED_ENERGY</t>
        </is>
      </c>
      <c r="F907" s="6" t="inlineStr">
        <is>
          <t>PY_SIN</t>
        </is>
      </c>
      <c r="G907" s="6" t="inlineStr">
        <is>
          <t>PY</t>
        </is>
      </c>
      <c r="H907" s="6" t="inlineStr">
        <is>
          <t>EXTERNAL</t>
        </is>
      </c>
      <c r="I907" s="8" t="n">
        <v>215217.076</v>
      </c>
      <c r="J907" s="6" t="inlineStr">
        <is>
          <t>MWh</t>
        </is>
      </c>
      <c r="K907" s="8" t="n">
        <v>215217.076</v>
      </c>
      <c r="L907" s="6" t="inlineStr">
        <is>
          <t>MWh</t>
        </is>
      </c>
      <c r="M907" s="6" t="inlineStr">
        <is>
          <t>ANDE</t>
        </is>
      </c>
      <c r="N907" s="6" t="inlineStr">
        <is>
          <t>OFFICIAL_PRIMARY</t>
        </is>
      </c>
      <c r="O907" s="9" t="inlineStr">
        <is>
          <t>OFFICIAL_AGGREGATE</t>
        </is>
      </c>
      <c r="P907" s="8" t="n">
        <v>1</v>
      </c>
      <c r="Q907" s="8" t="n">
        <v>40</v>
      </c>
      <c r="R907" s="7" t="inlineStr">
        <is>
          <t>https://www.ande.gov.py/estadisticas/BalanceEnergia1983-2006/CompilacionEstadistica83-06.pdf</t>
        </is>
      </c>
      <c r="S907" s="6" t="inlineStr">
        <is>
          <t>ANDE-83-06</t>
        </is>
      </c>
      <c r="T907" s="6" t="inlineStr"/>
      <c r="U907" s="4" t="inlineStr">
        <is>
          <t>2026-09-11 00:05:00</t>
        </is>
      </c>
      <c r="V907" s="4" t="inlineStr">
        <is>
          <t>Serie historica antigua; usar compilaciones posteriores para solapes cuando existan.</t>
        </is>
      </c>
    </row>
    <row r="908">
      <c r="A908" s="6" t="inlineStr">
        <is>
          <t>R0000912</t>
        </is>
      </c>
      <c r="B908" s="6" t="inlineStr">
        <is>
          <t>1991-01-01</t>
        </is>
      </c>
      <c r="C908" s="6" t="inlineStr">
        <is>
          <t>1991-12-31</t>
        </is>
      </c>
      <c r="D908" s="6" t="inlineStr">
        <is>
          <t>year</t>
        </is>
      </c>
      <c r="E908" s="6" t="inlineStr">
        <is>
          <t>ANDE_BILLED_NATIONAL_ENERGY</t>
        </is>
      </c>
      <c r="F908" s="6" t="inlineStr">
        <is>
          <t>PY_SIN</t>
        </is>
      </c>
      <c r="G908" s="6" t="inlineStr">
        <is>
          <t>PY</t>
        </is>
      </c>
      <c r="H908" s="6" t="inlineStr">
        <is>
          <t>PY</t>
        </is>
      </c>
      <c r="I908" s="8" t="n">
        <v>2028875.343</v>
      </c>
      <c r="J908" s="6" t="inlineStr">
        <is>
          <t>MWh</t>
        </is>
      </c>
      <c r="K908" s="8" t="n">
        <v>2028875.343</v>
      </c>
      <c r="L908" s="6" t="inlineStr">
        <is>
          <t>MWh</t>
        </is>
      </c>
      <c r="M908" s="6" t="inlineStr">
        <is>
          <t>ANDE</t>
        </is>
      </c>
      <c r="N908" s="6" t="inlineStr">
        <is>
          <t>OFFICIAL_PRIMARY</t>
        </is>
      </c>
      <c r="O908" s="9" t="inlineStr">
        <is>
          <t>OFFICIAL_AGGREGATE</t>
        </is>
      </c>
      <c r="P908" s="8" t="n">
        <v>1</v>
      </c>
      <c r="Q908" s="8" t="n">
        <v>40</v>
      </c>
      <c r="R908" s="7" t="inlineStr">
        <is>
          <t>https://www.ande.gov.py/estadisticas/BalanceEnergia1983-2006/CompilacionEstadistica83-06.pdf</t>
        </is>
      </c>
      <c r="S908" s="6" t="inlineStr">
        <is>
          <t>ANDE-83-06</t>
        </is>
      </c>
      <c r="T908" s="6" t="inlineStr"/>
      <c r="U908" s="4" t="inlineStr">
        <is>
          <t>2026-09-11 00:05:00</t>
        </is>
      </c>
      <c r="V908" s="4" t="inlineStr">
        <is>
          <t>Serie historica antigua; usar compilaciones posteriores para solapes cuando existan.</t>
        </is>
      </c>
    </row>
    <row r="909">
      <c r="A909" s="6" t="inlineStr">
        <is>
          <t>R0000913</t>
        </is>
      </c>
      <c r="B909" s="6" t="inlineStr">
        <is>
          <t>1991-01-01</t>
        </is>
      </c>
      <c r="C909" s="6" t="inlineStr">
        <is>
          <t>1991-12-31</t>
        </is>
      </c>
      <c r="D909" s="6" t="inlineStr">
        <is>
          <t>year</t>
        </is>
      </c>
      <c r="E909" s="6" t="inlineStr">
        <is>
          <t>ANDE_TOTAL_ENERGY_SOLD</t>
        </is>
      </c>
      <c r="F909" s="6" t="inlineStr">
        <is>
          <t>PY_SIN</t>
        </is>
      </c>
      <c r="G909" s="6" t="inlineStr">
        <is>
          <t>PY</t>
        </is>
      </c>
      <c r="H909" s="6" t="inlineStr">
        <is>
          <t>PY</t>
        </is>
      </c>
      <c r="I909" s="8" t="n">
        <v>2175214.257</v>
      </c>
      <c r="J909" s="6" t="inlineStr">
        <is>
          <t>MWh</t>
        </is>
      </c>
      <c r="K909" s="8" t="n">
        <v>2175214.257</v>
      </c>
      <c r="L909" s="6" t="inlineStr">
        <is>
          <t>MWh</t>
        </is>
      </c>
      <c r="M909" s="6" t="inlineStr">
        <is>
          <t>ANDE</t>
        </is>
      </c>
      <c r="N909" s="6" t="inlineStr">
        <is>
          <t>OFFICIAL_PRIMARY</t>
        </is>
      </c>
      <c r="O909" s="9" t="inlineStr">
        <is>
          <t>OFFICIAL_AGGREGATE</t>
        </is>
      </c>
      <c r="P909" s="8" t="n">
        <v>1</v>
      </c>
      <c r="Q909" s="8" t="n">
        <v>40</v>
      </c>
      <c r="R909" s="7" t="inlineStr">
        <is>
          <t>https://www.ande.gov.py/estadisticas/BalanceEnergia1983-2006/CompilacionEstadistica83-06.pdf</t>
        </is>
      </c>
      <c r="S909" s="6" t="inlineStr">
        <is>
          <t>ANDE-83-06</t>
        </is>
      </c>
      <c r="T909" s="6" t="inlineStr"/>
      <c r="U909" s="4" t="inlineStr">
        <is>
          <t>2026-09-11 00:05:00</t>
        </is>
      </c>
      <c r="V909" s="4" t="inlineStr">
        <is>
          <t>Serie historica antigua; usar compilaciones posteriores para solapes cuando existan.</t>
        </is>
      </c>
    </row>
    <row r="910">
      <c r="A910" s="6" t="inlineStr">
        <is>
          <t>R0000914</t>
        </is>
      </c>
      <c r="B910" s="6" t="inlineStr">
        <is>
          <t>1991-01-01</t>
        </is>
      </c>
      <c r="C910" s="6" t="inlineStr">
        <is>
          <t>1991-12-31</t>
        </is>
      </c>
      <c r="D910" s="6" t="inlineStr">
        <is>
          <t>year</t>
        </is>
      </c>
      <c r="E910" s="6" t="inlineStr">
        <is>
          <t>ANDE_BILLED_RESIDENTIAL_ENERGY</t>
        </is>
      </c>
      <c r="F910" s="6" t="inlineStr">
        <is>
          <t>PY_SIN</t>
        </is>
      </c>
      <c r="G910" s="6" t="inlineStr">
        <is>
          <t>PY</t>
        </is>
      </c>
      <c r="H910" s="6" t="inlineStr">
        <is>
          <t>PY</t>
        </is>
      </c>
      <c r="I910" s="8" t="n">
        <v>778996.2879999999</v>
      </c>
      <c r="J910" s="6" t="inlineStr">
        <is>
          <t>MWh</t>
        </is>
      </c>
      <c r="K910" s="8" t="n">
        <v>778996.2879999999</v>
      </c>
      <c r="L910" s="6" t="inlineStr">
        <is>
          <t>MWh</t>
        </is>
      </c>
      <c r="M910" s="6" t="inlineStr">
        <is>
          <t>ANDE</t>
        </is>
      </c>
      <c r="N910" s="6" t="inlineStr">
        <is>
          <t>OFFICIAL_PRIMARY</t>
        </is>
      </c>
      <c r="O910" s="9" t="inlineStr">
        <is>
          <t>OFFICIAL_AGGREGATE</t>
        </is>
      </c>
      <c r="P910" s="8" t="n">
        <v>1</v>
      </c>
      <c r="Q910" s="8" t="n">
        <v>40</v>
      </c>
      <c r="R910" s="7" t="inlineStr">
        <is>
          <t>https://www.ande.gov.py/estadisticas/BalanceEnergia1983-2006/CompilacionEstadistica83-06.pdf</t>
        </is>
      </c>
      <c r="S910" s="6" t="inlineStr">
        <is>
          <t>ANDE-83-06</t>
        </is>
      </c>
      <c r="T910" s="6" t="inlineStr"/>
      <c r="U910" s="4" t="inlineStr">
        <is>
          <t>2026-09-11 00:05:00</t>
        </is>
      </c>
      <c r="V910" s="4" t="inlineStr">
        <is>
          <t>Serie historica antigua; usar compilaciones posteriores para solapes cuando existan.</t>
        </is>
      </c>
    </row>
    <row r="911">
      <c r="A911" s="6" t="inlineStr">
        <is>
          <t>R0000915</t>
        </is>
      </c>
      <c r="B911" s="6" t="inlineStr">
        <is>
          <t>1991-01-01</t>
        </is>
      </c>
      <c r="C911" s="6" t="inlineStr">
        <is>
          <t>1991-12-31</t>
        </is>
      </c>
      <c r="D911" s="6" t="inlineStr">
        <is>
          <t>year</t>
        </is>
      </c>
      <c r="E911" s="6" t="inlineStr">
        <is>
          <t>ANDE_BILLED_INDUSTRIAL_ENERGY</t>
        </is>
      </c>
      <c r="F911" s="6" t="inlineStr">
        <is>
          <t>PY_SIN</t>
        </is>
      </c>
      <c r="G911" s="6" t="inlineStr">
        <is>
          <t>PY</t>
        </is>
      </c>
      <c r="H911" s="6" t="inlineStr">
        <is>
          <t>PY</t>
        </is>
      </c>
      <c r="I911" s="8" t="n">
        <v>515949.711</v>
      </c>
      <c r="J911" s="6" t="inlineStr">
        <is>
          <t>MWh</t>
        </is>
      </c>
      <c r="K911" s="8" t="n">
        <v>515949.711</v>
      </c>
      <c r="L911" s="6" t="inlineStr">
        <is>
          <t>MWh</t>
        </is>
      </c>
      <c r="M911" s="6" t="inlineStr">
        <is>
          <t>ANDE</t>
        </is>
      </c>
      <c r="N911" s="6" t="inlineStr">
        <is>
          <t>OFFICIAL_PRIMARY</t>
        </is>
      </c>
      <c r="O911" s="9" t="inlineStr">
        <is>
          <t>OFFICIAL_AGGREGATE</t>
        </is>
      </c>
      <c r="P911" s="8" t="n">
        <v>1</v>
      </c>
      <c r="Q911" s="8" t="n">
        <v>40</v>
      </c>
      <c r="R911" s="7" t="inlineStr">
        <is>
          <t>https://www.ande.gov.py/estadisticas/BalanceEnergia1983-2006/CompilacionEstadistica83-06.pdf</t>
        </is>
      </c>
      <c r="S911" s="6" t="inlineStr">
        <is>
          <t>ANDE-83-06</t>
        </is>
      </c>
      <c r="T911" s="6" t="inlineStr"/>
      <c r="U911" s="4" t="inlineStr">
        <is>
          <t>2026-09-11 00:05:00</t>
        </is>
      </c>
      <c r="V911" s="4" t="inlineStr">
        <is>
          <t>Serie historica antigua; usar compilaciones posteriores para solapes cuando existan.</t>
        </is>
      </c>
    </row>
    <row r="912">
      <c r="A912" s="6" t="inlineStr">
        <is>
          <t>R0000916</t>
        </is>
      </c>
      <c r="B912" s="6" t="inlineStr">
        <is>
          <t>1991-01-01</t>
        </is>
      </c>
      <c r="C912" s="6" t="inlineStr">
        <is>
          <t>1991-12-31</t>
        </is>
      </c>
      <c r="D912" s="6" t="inlineStr">
        <is>
          <t>year</t>
        </is>
      </c>
      <c r="E912" s="6" t="inlineStr">
        <is>
          <t>ANDE_BILLED_OTHER_ENERGY</t>
        </is>
      </c>
      <c r="F912" s="6" t="inlineStr">
        <is>
          <t>PY_SIN</t>
        </is>
      </c>
      <c r="G912" s="6" t="inlineStr">
        <is>
          <t>PY</t>
        </is>
      </c>
      <c r="H912" s="6" t="inlineStr">
        <is>
          <t>PY</t>
        </is>
      </c>
      <c r="I912" s="8" t="n">
        <v>414823.427</v>
      </c>
      <c r="J912" s="6" t="inlineStr">
        <is>
          <t>MWh</t>
        </is>
      </c>
      <c r="K912" s="8" t="n">
        <v>414823.427</v>
      </c>
      <c r="L912" s="6" t="inlineStr">
        <is>
          <t>MWh</t>
        </is>
      </c>
      <c r="M912" s="6" t="inlineStr">
        <is>
          <t>ANDE</t>
        </is>
      </c>
      <c r="N912" s="6" t="inlineStr">
        <is>
          <t>OFFICIAL_PRIMARY</t>
        </is>
      </c>
      <c r="O912" s="9" t="inlineStr">
        <is>
          <t>OFFICIAL_AGGREGATE</t>
        </is>
      </c>
      <c r="P912" s="8" t="n">
        <v>1</v>
      </c>
      <c r="Q912" s="8" t="n">
        <v>40</v>
      </c>
      <c r="R912" s="7" t="inlineStr">
        <is>
          <t>https://www.ande.gov.py/estadisticas/BalanceEnergia1983-2006/CompilacionEstadistica83-06.pdf</t>
        </is>
      </c>
      <c r="S912" s="6" t="inlineStr">
        <is>
          <t>ANDE-83-06</t>
        </is>
      </c>
      <c r="T912" s="6" t="inlineStr"/>
      <c r="U912" s="4" t="inlineStr">
        <is>
          <t>2026-09-11 00:05:00</t>
        </is>
      </c>
      <c r="V912" s="4" t="inlineStr">
        <is>
          <t>Serie historica antigua; usar compilaciones posteriores para solapes cuando existan.</t>
        </is>
      </c>
    </row>
    <row r="913">
      <c r="A913" s="6" t="inlineStr">
        <is>
          <t>R0000917</t>
        </is>
      </c>
      <c r="B913" s="6" t="inlineStr">
        <is>
          <t>1991-01-01</t>
        </is>
      </c>
      <c r="C913" s="6" t="inlineStr">
        <is>
          <t>1991-12-31</t>
        </is>
      </c>
      <c r="D913" s="6" t="inlineStr">
        <is>
          <t>year</t>
        </is>
      </c>
      <c r="E913" s="6" t="inlineStr">
        <is>
          <t>ANDE_EXPORT_BILLED_ENERGY</t>
        </is>
      </c>
      <c r="F913" s="6" t="inlineStr">
        <is>
          <t>PY_SIN</t>
        </is>
      </c>
      <c r="G913" s="6" t="inlineStr">
        <is>
          <t>PY</t>
        </is>
      </c>
      <c r="H913" s="6" t="inlineStr">
        <is>
          <t>EXTERNAL</t>
        </is>
      </c>
      <c r="I913" s="8" t="n">
        <v>146338.914</v>
      </c>
      <c r="J913" s="6" t="inlineStr">
        <is>
          <t>MWh</t>
        </is>
      </c>
      <c r="K913" s="8" t="n">
        <v>146338.914</v>
      </c>
      <c r="L913" s="6" t="inlineStr">
        <is>
          <t>MWh</t>
        </is>
      </c>
      <c r="M913" s="6" t="inlineStr">
        <is>
          <t>ANDE</t>
        </is>
      </c>
      <c r="N913" s="6" t="inlineStr">
        <is>
          <t>OFFICIAL_PRIMARY</t>
        </is>
      </c>
      <c r="O913" s="9" t="inlineStr">
        <is>
          <t>OFFICIAL_AGGREGATE</t>
        </is>
      </c>
      <c r="P913" s="8" t="n">
        <v>1</v>
      </c>
      <c r="Q913" s="8" t="n">
        <v>40</v>
      </c>
      <c r="R913" s="7" t="inlineStr">
        <is>
          <t>https://www.ande.gov.py/estadisticas/BalanceEnergia1983-2006/CompilacionEstadistica83-06.pdf</t>
        </is>
      </c>
      <c r="S913" s="6" t="inlineStr">
        <is>
          <t>ANDE-83-06</t>
        </is>
      </c>
      <c r="T913" s="6" t="inlineStr"/>
      <c r="U913" s="4" t="inlineStr">
        <is>
          <t>2026-09-11 00:05:00</t>
        </is>
      </c>
      <c r="V913" s="4" t="inlineStr">
        <is>
          <t>Serie historica antigua; usar compilaciones posteriores para solapes cuando existan.</t>
        </is>
      </c>
    </row>
    <row r="914">
      <c r="A914" s="6" t="inlineStr">
        <is>
          <t>R0000918</t>
        </is>
      </c>
      <c r="B914" s="6" t="inlineStr">
        <is>
          <t>1992-01-01</t>
        </is>
      </c>
      <c r="C914" s="6" t="inlineStr">
        <is>
          <t>1992-12-31</t>
        </is>
      </c>
      <c r="D914" s="6" t="inlineStr">
        <is>
          <t>year</t>
        </is>
      </c>
      <c r="E914" s="6" t="inlineStr">
        <is>
          <t>ANDE_BILLED_NATIONAL_ENERGY</t>
        </is>
      </c>
      <c r="F914" s="6" t="inlineStr">
        <is>
          <t>PY_SIN</t>
        </is>
      </c>
      <c r="G914" s="6" t="inlineStr">
        <is>
          <t>PY</t>
        </is>
      </c>
      <c r="H914" s="6" t="inlineStr">
        <is>
          <t>PY</t>
        </is>
      </c>
      <c r="I914" s="8" t="n">
        <v>2286491.578</v>
      </c>
      <c r="J914" s="6" t="inlineStr">
        <is>
          <t>MWh</t>
        </is>
      </c>
      <c r="K914" s="8" t="n">
        <v>2286491.578</v>
      </c>
      <c r="L914" s="6" t="inlineStr">
        <is>
          <t>MWh</t>
        </is>
      </c>
      <c r="M914" s="6" t="inlineStr">
        <is>
          <t>ANDE</t>
        </is>
      </c>
      <c r="N914" s="6" t="inlineStr">
        <is>
          <t>OFFICIAL_PRIMARY</t>
        </is>
      </c>
      <c r="O914" s="9" t="inlineStr">
        <is>
          <t>OFFICIAL_AGGREGATE</t>
        </is>
      </c>
      <c r="P914" s="8" t="n">
        <v>1</v>
      </c>
      <c r="Q914" s="8" t="n">
        <v>40</v>
      </c>
      <c r="R914" s="7" t="inlineStr">
        <is>
          <t>https://www.ande.gov.py/estadisticas/BalanceEnergia1983-2006/CompilacionEstadistica83-06.pdf</t>
        </is>
      </c>
      <c r="S914" s="6" t="inlineStr">
        <is>
          <t>ANDE-83-06</t>
        </is>
      </c>
      <c r="T914" s="6" t="inlineStr"/>
      <c r="U914" s="4" t="inlineStr">
        <is>
          <t>2026-09-11 00:05:00</t>
        </is>
      </c>
      <c r="V914" s="4" t="inlineStr">
        <is>
          <t>Serie historica antigua; usar compilaciones posteriores para solapes cuando existan.</t>
        </is>
      </c>
    </row>
    <row r="915">
      <c r="A915" s="6" t="inlineStr">
        <is>
          <t>R0000919</t>
        </is>
      </c>
      <c r="B915" s="6" t="inlineStr">
        <is>
          <t>1992-01-01</t>
        </is>
      </c>
      <c r="C915" s="6" t="inlineStr">
        <is>
          <t>1992-12-31</t>
        </is>
      </c>
      <c r="D915" s="6" t="inlineStr">
        <is>
          <t>year</t>
        </is>
      </c>
      <c r="E915" s="6" t="inlineStr">
        <is>
          <t>ANDE_TOTAL_ENERGY_SOLD</t>
        </is>
      </c>
      <c r="F915" s="6" t="inlineStr">
        <is>
          <t>PY_SIN</t>
        </is>
      </c>
      <c r="G915" s="6" t="inlineStr">
        <is>
          <t>PY</t>
        </is>
      </c>
      <c r="H915" s="6" t="inlineStr">
        <is>
          <t>PY</t>
        </is>
      </c>
      <c r="I915" s="8" t="n">
        <v>2398712.823</v>
      </c>
      <c r="J915" s="6" t="inlineStr">
        <is>
          <t>MWh</t>
        </is>
      </c>
      <c r="K915" s="8" t="n">
        <v>2398712.823</v>
      </c>
      <c r="L915" s="6" t="inlineStr">
        <is>
          <t>MWh</t>
        </is>
      </c>
      <c r="M915" s="6" t="inlineStr">
        <is>
          <t>ANDE</t>
        </is>
      </c>
      <c r="N915" s="6" t="inlineStr">
        <is>
          <t>OFFICIAL_PRIMARY</t>
        </is>
      </c>
      <c r="O915" s="9" t="inlineStr">
        <is>
          <t>OFFICIAL_AGGREGATE</t>
        </is>
      </c>
      <c r="P915" s="8" t="n">
        <v>1</v>
      </c>
      <c r="Q915" s="8" t="n">
        <v>40</v>
      </c>
      <c r="R915" s="7" t="inlineStr">
        <is>
          <t>https://www.ande.gov.py/estadisticas/BalanceEnergia1983-2006/CompilacionEstadistica83-06.pdf</t>
        </is>
      </c>
      <c r="S915" s="6" t="inlineStr">
        <is>
          <t>ANDE-83-06</t>
        </is>
      </c>
      <c r="T915" s="6" t="inlineStr"/>
      <c r="U915" s="4" t="inlineStr">
        <is>
          <t>2026-09-11 00:05:00</t>
        </is>
      </c>
      <c r="V915" s="4" t="inlineStr">
        <is>
          <t>Serie historica antigua; usar compilaciones posteriores para solapes cuando existan.</t>
        </is>
      </c>
    </row>
    <row r="916">
      <c r="A916" s="6" t="inlineStr">
        <is>
          <t>R0000920</t>
        </is>
      </c>
      <c r="B916" s="6" t="inlineStr">
        <is>
          <t>1992-01-01</t>
        </is>
      </c>
      <c r="C916" s="6" t="inlineStr">
        <is>
          <t>1992-12-31</t>
        </is>
      </c>
      <c r="D916" s="6" t="inlineStr">
        <is>
          <t>year</t>
        </is>
      </c>
      <c r="E916" s="6" t="inlineStr">
        <is>
          <t>ANDE_BILLED_RESIDENTIAL_ENERGY</t>
        </is>
      </c>
      <c r="F916" s="6" t="inlineStr">
        <is>
          <t>PY_SIN</t>
        </is>
      </c>
      <c r="G916" s="6" t="inlineStr">
        <is>
          <t>PY</t>
        </is>
      </c>
      <c r="H916" s="6" t="inlineStr">
        <is>
          <t>PY</t>
        </is>
      </c>
      <c r="I916" s="8" t="n">
        <v>903195.376</v>
      </c>
      <c r="J916" s="6" t="inlineStr">
        <is>
          <t>MWh</t>
        </is>
      </c>
      <c r="K916" s="8" t="n">
        <v>903195.376</v>
      </c>
      <c r="L916" s="6" t="inlineStr">
        <is>
          <t>MWh</t>
        </is>
      </c>
      <c r="M916" s="6" t="inlineStr">
        <is>
          <t>ANDE</t>
        </is>
      </c>
      <c r="N916" s="6" t="inlineStr">
        <is>
          <t>OFFICIAL_PRIMARY</t>
        </is>
      </c>
      <c r="O916" s="9" t="inlineStr">
        <is>
          <t>OFFICIAL_AGGREGATE</t>
        </is>
      </c>
      <c r="P916" s="8" t="n">
        <v>1</v>
      </c>
      <c r="Q916" s="8" t="n">
        <v>40</v>
      </c>
      <c r="R916" s="7" t="inlineStr">
        <is>
          <t>https://www.ande.gov.py/estadisticas/BalanceEnergia1983-2006/CompilacionEstadistica83-06.pdf</t>
        </is>
      </c>
      <c r="S916" s="6" t="inlineStr">
        <is>
          <t>ANDE-83-06</t>
        </is>
      </c>
      <c r="T916" s="6" t="inlineStr"/>
      <c r="U916" s="4" t="inlineStr">
        <is>
          <t>2026-09-11 00:05:00</t>
        </is>
      </c>
      <c r="V916" s="4" t="inlineStr">
        <is>
          <t>Serie historica antigua; usar compilaciones posteriores para solapes cuando existan.</t>
        </is>
      </c>
    </row>
    <row r="917">
      <c r="A917" s="6" t="inlineStr">
        <is>
          <t>R0000921</t>
        </is>
      </c>
      <c r="B917" s="6" t="inlineStr">
        <is>
          <t>1992-01-01</t>
        </is>
      </c>
      <c r="C917" s="6" t="inlineStr">
        <is>
          <t>1992-12-31</t>
        </is>
      </c>
      <c r="D917" s="6" t="inlineStr">
        <is>
          <t>year</t>
        </is>
      </c>
      <c r="E917" s="6" t="inlineStr">
        <is>
          <t>ANDE_BILLED_INDUSTRIAL_ENERGY</t>
        </is>
      </c>
      <c r="F917" s="6" t="inlineStr">
        <is>
          <t>PY_SIN</t>
        </is>
      </c>
      <c r="G917" s="6" t="inlineStr">
        <is>
          <t>PY</t>
        </is>
      </c>
      <c r="H917" s="6" t="inlineStr">
        <is>
          <t>PY</t>
        </is>
      </c>
      <c r="I917" s="8" t="n">
        <v>578175.1360000001</v>
      </c>
      <c r="J917" s="6" t="inlineStr">
        <is>
          <t>MWh</t>
        </is>
      </c>
      <c r="K917" s="8" t="n">
        <v>578175.1360000001</v>
      </c>
      <c r="L917" s="6" t="inlineStr">
        <is>
          <t>MWh</t>
        </is>
      </c>
      <c r="M917" s="6" t="inlineStr">
        <is>
          <t>ANDE</t>
        </is>
      </c>
      <c r="N917" s="6" t="inlineStr">
        <is>
          <t>OFFICIAL_PRIMARY</t>
        </is>
      </c>
      <c r="O917" s="9" t="inlineStr">
        <is>
          <t>OFFICIAL_AGGREGATE</t>
        </is>
      </c>
      <c r="P917" s="8" t="n">
        <v>1</v>
      </c>
      <c r="Q917" s="8" t="n">
        <v>40</v>
      </c>
      <c r="R917" s="7" t="inlineStr">
        <is>
          <t>https://www.ande.gov.py/estadisticas/BalanceEnergia1983-2006/CompilacionEstadistica83-06.pdf</t>
        </is>
      </c>
      <c r="S917" s="6" t="inlineStr">
        <is>
          <t>ANDE-83-06</t>
        </is>
      </c>
      <c r="T917" s="6" t="inlineStr"/>
      <c r="U917" s="4" t="inlineStr">
        <is>
          <t>2026-09-11 00:05:00</t>
        </is>
      </c>
      <c r="V917" s="4" t="inlineStr">
        <is>
          <t>Serie historica antigua; usar compilaciones posteriores para solapes cuando existan.</t>
        </is>
      </c>
    </row>
    <row r="918">
      <c r="A918" s="6" t="inlineStr">
        <is>
          <t>R0000922</t>
        </is>
      </c>
      <c r="B918" s="6" t="inlineStr">
        <is>
          <t>1992-01-01</t>
        </is>
      </c>
      <c r="C918" s="6" t="inlineStr">
        <is>
          <t>1992-12-31</t>
        </is>
      </c>
      <c r="D918" s="6" t="inlineStr">
        <is>
          <t>year</t>
        </is>
      </c>
      <c r="E918" s="6" t="inlineStr">
        <is>
          <t>ANDE_BILLED_OTHER_ENERGY</t>
        </is>
      </c>
      <c r="F918" s="6" t="inlineStr">
        <is>
          <t>PY_SIN</t>
        </is>
      </c>
      <c r="G918" s="6" t="inlineStr">
        <is>
          <t>PY</t>
        </is>
      </c>
      <c r="H918" s="6" t="inlineStr">
        <is>
          <t>PY</t>
        </is>
      </c>
      <c r="I918" s="8" t="n">
        <v>448199.993</v>
      </c>
      <c r="J918" s="6" t="inlineStr">
        <is>
          <t>MWh</t>
        </is>
      </c>
      <c r="K918" s="8" t="n">
        <v>448199.993</v>
      </c>
      <c r="L918" s="6" t="inlineStr">
        <is>
          <t>MWh</t>
        </is>
      </c>
      <c r="M918" s="6" t="inlineStr">
        <is>
          <t>ANDE</t>
        </is>
      </c>
      <c r="N918" s="6" t="inlineStr">
        <is>
          <t>OFFICIAL_PRIMARY</t>
        </is>
      </c>
      <c r="O918" s="9" t="inlineStr">
        <is>
          <t>OFFICIAL_AGGREGATE</t>
        </is>
      </c>
      <c r="P918" s="8" t="n">
        <v>1</v>
      </c>
      <c r="Q918" s="8" t="n">
        <v>40</v>
      </c>
      <c r="R918" s="7" t="inlineStr">
        <is>
          <t>https://www.ande.gov.py/estadisticas/BalanceEnergia1983-2006/CompilacionEstadistica83-06.pdf</t>
        </is>
      </c>
      <c r="S918" s="6" t="inlineStr">
        <is>
          <t>ANDE-83-06</t>
        </is>
      </c>
      <c r="T918" s="6" t="inlineStr"/>
      <c r="U918" s="4" t="inlineStr">
        <is>
          <t>2026-09-11 00:05:00</t>
        </is>
      </c>
      <c r="V918" s="4" t="inlineStr">
        <is>
          <t>Serie historica antigua; usar compilaciones posteriores para solapes cuando existan.</t>
        </is>
      </c>
    </row>
    <row r="919">
      <c r="A919" s="6" t="inlineStr">
        <is>
          <t>R0000923</t>
        </is>
      </c>
      <c r="B919" s="6" t="inlineStr">
        <is>
          <t>1992-01-01</t>
        </is>
      </c>
      <c r="C919" s="6" t="inlineStr">
        <is>
          <t>1992-12-31</t>
        </is>
      </c>
      <c r="D919" s="6" t="inlineStr">
        <is>
          <t>year</t>
        </is>
      </c>
      <c r="E919" s="6" t="inlineStr">
        <is>
          <t>ANDE_EXPORT_BILLED_ENERGY</t>
        </is>
      </c>
      <c r="F919" s="6" t="inlineStr">
        <is>
          <t>PY_SIN</t>
        </is>
      </c>
      <c r="G919" s="6" t="inlineStr">
        <is>
          <t>PY</t>
        </is>
      </c>
      <c r="H919" s="6" t="inlineStr">
        <is>
          <t>EXTERNAL</t>
        </is>
      </c>
      <c r="I919" s="8" t="n">
        <v>112221.245</v>
      </c>
      <c r="J919" s="6" t="inlineStr">
        <is>
          <t>MWh</t>
        </is>
      </c>
      <c r="K919" s="8" t="n">
        <v>112221.245</v>
      </c>
      <c r="L919" s="6" t="inlineStr">
        <is>
          <t>MWh</t>
        </is>
      </c>
      <c r="M919" s="6" t="inlineStr">
        <is>
          <t>ANDE</t>
        </is>
      </c>
      <c r="N919" s="6" t="inlineStr">
        <is>
          <t>OFFICIAL_PRIMARY</t>
        </is>
      </c>
      <c r="O919" s="9" t="inlineStr">
        <is>
          <t>OFFICIAL_AGGREGATE</t>
        </is>
      </c>
      <c r="P919" s="8" t="n">
        <v>1</v>
      </c>
      <c r="Q919" s="8" t="n">
        <v>40</v>
      </c>
      <c r="R919" s="7" t="inlineStr">
        <is>
          <t>https://www.ande.gov.py/estadisticas/BalanceEnergia1983-2006/CompilacionEstadistica83-06.pdf</t>
        </is>
      </c>
      <c r="S919" s="6" t="inlineStr">
        <is>
          <t>ANDE-83-06</t>
        </is>
      </c>
      <c r="T919" s="6" t="inlineStr"/>
      <c r="U919" s="4" t="inlineStr">
        <is>
          <t>2026-09-11 00:05:00</t>
        </is>
      </c>
      <c r="V919" s="4" t="inlineStr">
        <is>
          <t>Serie historica antigua; usar compilaciones posteriores para solapes cuando existan.</t>
        </is>
      </c>
    </row>
    <row r="920">
      <c r="A920" s="6" t="inlineStr">
        <is>
          <t>R0000924</t>
        </is>
      </c>
      <c r="B920" s="6" t="inlineStr">
        <is>
          <t>1993-01-01</t>
        </is>
      </c>
      <c r="C920" s="6" t="inlineStr">
        <is>
          <t>1993-12-31</t>
        </is>
      </c>
      <c r="D920" s="6" t="inlineStr">
        <is>
          <t>year</t>
        </is>
      </c>
      <c r="E920" s="6" t="inlineStr">
        <is>
          <t>ANDE_BILLED_NATIONAL_ENERGY</t>
        </is>
      </c>
      <c r="F920" s="6" t="inlineStr">
        <is>
          <t>PY_SIN</t>
        </is>
      </c>
      <c r="G920" s="6" t="inlineStr">
        <is>
          <t>PY</t>
        </is>
      </c>
      <c r="H920" s="6" t="inlineStr">
        <is>
          <t>PY</t>
        </is>
      </c>
      <c r="I920" s="8" t="n">
        <v>2643395.838</v>
      </c>
      <c r="J920" s="6" t="inlineStr">
        <is>
          <t>MWh</t>
        </is>
      </c>
      <c r="K920" s="8" t="n">
        <v>2643395.838</v>
      </c>
      <c r="L920" s="6" t="inlineStr">
        <is>
          <t>MWh</t>
        </is>
      </c>
      <c r="M920" s="6" t="inlineStr">
        <is>
          <t>ANDE</t>
        </is>
      </c>
      <c r="N920" s="6" t="inlineStr">
        <is>
          <t>OFFICIAL_PRIMARY</t>
        </is>
      </c>
      <c r="O920" s="9" t="inlineStr">
        <is>
          <t>OFFICIAL_AGGREGATE</t>
        </is>
      </c>
      <c r="P920" s="8" t="n">
        <v>1</v>
      </c>
      <c r="Q920" s="8" t="n">
        <v>40</v>
      </c>
      <c r="R920" s="7" t="inlineStr">
        <is>
          <t>https://www.ande.gov.py/estadisticas/BalanceEnergia1983-2006/CompilacionEstadistica83-06.pdf</t>
        </is>
      </c>
      <c r="S920" s="6" t="inlineStr">
        <is>
          <t>ANDE-83-06</t>
        </is>
      </c>
      <c r="T920" s="6" t="inlineStr"/>
      <c r="U920" s="4" t="inlineStr">
        <is>
          <t>2026-09-11 00:05:00</t>
        </is>
      </c>
      <c r="V920" s="4" t="inlineStr">
        <is>
          <t>Serie historica antigua; usar compilaciones posteriores para solapes cuando existan.</t>
        </is>
      </c>
    </row>
    <row r="921">
      <c r="A921" s="6" t="inlineStr">
        <is>
          <t>R0000925</t>
        </is>
      </c>
      <c r="B921" s="6" t="inlineStr">
        <is>
          <t>1993-01-01</t>
        </is>
      </c>
      <c r="C921" s="6" t="inlineStr">
        <is>
          <t>1993-12-31</t>
        </is>
      </c>
      <c r="D921" s="6" t="inlineStr">
        <is>
          <t>year</t>
        </is>
      </c>
      <c r="E921" s="6" t="inlineStr">
        <is>
          <t>ANDE_TOTAL_ENERGY_SOLD</t>
        </is>
      </c>
      <c r="F921" s="6" t="inlineStr">
        <is>
          <t>PY_SIN</t>
        </is>
      </c>
      <c r="G921" s="6" t="inlineStr">
        <is>
          <t>PY</t>
        </is>
      </c>
      <c r="H921" s="6" t="inlineStr">
        <is>
          <t>PY</t>
        </is>
      </c>
      <c r="I921" s="8" t="n">
        <v>2757928.982</v>
      </c>
      <c r="J921" s="6" t="inlineStr">
        <is>
          <t>MWh</t>
        </is>
      </c>
      <c r="K921" s="8" t="n">
        <v>2757928.982</v>
      </c>
      <c r="L921" s="6" t="inlineStr">
        <is>
          <t>MWh</t>
        </is>
      </c>
      <c r="M921" s="6" t="inlineStr">
        <is>
          <t>ANDE</t>
        </is>
      </c>
      <c r="N921" s="6" t="inlineStr">
        <is>
          <t>OFFICIAL_PRIMARY</t>
        </is>
      </c>
      <c r="O921" s="9" t="inlineStr">
        <is>
          <t>OFFICIAL_AGGREGATE</t>
        </is>
      </c>
      <c r="P921" s="8" t="n">
        <v>1</v>
      </c>
      <c r="Q921" s="8" t="n">
        <v>40</v>
      </c>
      <c r="R921" s="7" t="inlineStr">
        <is>
          <t>https://www.ande.gov.py/estadisticas/BalanceEnergia1983-2006/CompilacionEstadistica83-06.pdf</t>
        </is>
      </c>
      <c r="S921" s="6" t="inlineStr">
        <is>
          <t>ANDE-83-06</t>
        </is>
      </c>
      <c r="T921" s="6" t="inlineStr"/>
      <c r="U921" s="4" t="inlineStr">
        <is>
          <t>2026-09-11 00:05:00</t>
        </is>
      </c>
      <c r="V921" s="4" t="inlineStr">
        <is>
          <t>Serie historica antigua; usar compilaciones posteriores para solapes cuando existan.</t>
        </is>
      </c>
    </row>
    <row r="922">
      <c r="A922" s="6" t="inlineStr">
        <is>
          <t>R0000926</t>
        </is>
      </c>
      <c r="B922" s="6" t="inlineStr">
        <is>
          <t>1993-01-01</t>
        </is>
      </c>
      <c r="C922" s="6" t="inlineStr">
        <is>
          <t>1993-12-31</t>
        </is>
      </c>
      <c r="D922" s="6" t="inlineStr">
        <is>
          <t>year</t>
        </is>
      </c>
      <c r="E922" s="6" t="inlineStr">
        <is>
          <t>ANDE_BILLED_RESIDENTIAL_ENERGY</t>
        </is>
      </c>
      <c r="F922" s="6" t="inlineStr">
        <is>
          <t>PY_SIN</t>
        </is>
      </c>
      <c r="G922" s="6" t="inlineStr">
        <is>
          <t>PY</t>
        </is>
      </c>
      <c r="H922" s="6" t="inlineStr">
        <is>
          <t>PY</t>
        </is>
      </c>
      <c r="I922" s="8" t="n">
        <v>1091985.853</v>
      </c>
      <c r="J922" s="6" t="inlineStr">
        <is>
          <t>MWh</t>
        </is>
      </c>
      <c r="K922" s="8" t="n">
        <v>1091985.853</v>
      </c>
      <c r="L922" s="6" t="inlineStr">
        <is>
          <t>MWh</t>
        </is>
      </c>
      <c r="M922" s="6" t="inlineStr">
        <is>
          <t>ANDE</t>
        </is>
      </c>
      <c r="N922" s="6" t="inlineStr">
        <is>
          <t>OFFICIAL_PRIMARY</t>
        </is>
      </c>
      <c r="O922" s="9" t="inlineStr">
        <is>
          <t>OFFICIAL_AGGREGATE</t>
        </is>
      </c>
      <c r="P922" s="8" t="n">
        <v>1</v>
      </c>
      <c r="Q922" s="8" t="n">
        <v>40</v>
      </c>
      <c r="R922" s="7" t="inlineStr">
        <is>
          <t>https://www.ande.gov.py/estadisticas/BalanceEnergia1983-2006/CompilacionEstadistica83-06.pdf</t>
        </is>
      </c>
      <c r="S922" s="6" t="inlineStr">
        <is>
          <t>ANDE-83-06</t>
        </is>
      </c>
      <c r="T922" s="6" t="inlineStr"/>
      <c r="U922" s="4" t="inlineStr">
        <is>
          <t>2026-09-11 00:05:00</t>
        </is>
      </c>
      <c r="V922" s="4" t="inlineStr">
        <is>
          <t>Serie historica antigua; usar compilaciones posteriores para solapes cuando existan.</t>
        </is>
      </c>
    </row>
    <row r="923">
      <c r="A923" s="6" t="inlineStr">
        <is>
          <t>R0000927</t>
        </is>
      </c>
      <c r="B923" s="6" t="inlineStr">
        <is>
          <t>1993-01-01</t>
        </is>
      </c>
      <c r="C923" s="6" t="inlineStr">
        <is>
          <t>1993-12-31</t>
        </is>
      </c>
      <c r="D923" s="6" t="inlineStr">
        <is>
          <t>year</t>
        </is>
      </c>
      <c r="E923" s="6" t="inlineStr">
        <is>
          <t>ANDE_BILLED_INDUSTRIAL_ENERGY</t>
        </is>
      </c>
      <c r="F923" s="6" t="inlineStr">
        <is>
          <t>PY_SIN</t>
        </is>
      </c>
      <c r="G923" s="6" t="inlineStr">
        <is>
          <t>PY</t>
        </is>
      </c>
      <c r="H923" s="6" t="inlineStr">
        <is>
          <t>PY</t>
        </is>
      </c>
      <c r="I923" s="8" t="n">
        <v>627802.925</v>
      </c>
      <c r="J923" s="6" t="inlineStr">
        <is>
          <t>MWh</t>
        </is>
      </c>
      <c r="K923" s="8" t="n">
        <v>627802.925</v>
      </c>
      <c r="L923" s="6" t="inlineStr">
        <is>
          <t>MWh</t>
        </is>
      </c>
      <c r="M923" s="6" t="inlineStr">
        <is>
          <t>ANDE</t>
        </is>
      </c>
      <c r="N923" s="6" t="inlineStr">
        <is>
          <t>OFFICIAL_PRIMARY</t>
        </is>
      </c>
      <c r="O923" s="9" t="inlineStr">
        <is>
          <t>OFFICIAL_AGGREGATE</t>
        </is>
      </c>
      <c r="P923" s="8" t="n">
        <v>1</v>
      </c>
      <c r="Q923" s="8" t="n">
        <v>40</v>
      </c>
      <c r="R923" s="7" t="inlineStr">
        <is>
          <t>https://www.ande.gov.py/estadisticas/BalanceEnergia1983-2006/CompilacionEstadistica83-06.pdf</t>
        </is>
      </c>
      <c r="S923" s="6" t="inlineStr">
        <is>
          <t>ANDE-83-06</t>
        </is>
      </c>
      <c r="T923" s="6" t="inlineStr"/>
      <c r="U923" s="4" t="inlineStr">
        <is>
          <t>2026-09-11 00:05:00</t>
        </is>
      </c>
      <c r="V923" s="4" t="inlineStr">
        <is>
          <t>Serie historica antigua; usar compilaciones posteriores para solapes cuando existan.</t>
        </is>
      </c>
    </row>
    <row r="924">
      <c r="A924" s="6" t="inlineStr">
        <is>
          <t>R0000928</t>
        </is>
      </c>
      <c r="B924" s="6" t="inlineStr">
        <is>
          <t>1993-01-01</t>
        </is>
      </c>
      <c r="C924" s="6" t="inlineStr">
        <is>
          <t>1993-12-31</t>
        </is>
      </c>
      <c r="D924" s="6" t="inlineStr">
        <is>
          <t>year</t>
        </is>
      </c>
      <c r="E924" s="6" t="inlineStr">
        <is>
          <t>ANDE_BILLED_OTHER_ENERGY</t>
        </is>
      </c>
      <c r="F924" s="6" t="inlineStr">
        <is>
          <t>PY_SIN</t>
        </is>
      </c>
      <c r="G924" s="6" t="inlineStr">
        <is>
          <t>PY</t>
        </is>
      </c>
      <c r="H924" s="6" t="inlineStr">
        <is>
          <t>PY</t>
        </is>
      </c>
      <c r="I924" s="8" t="n">
        <v>500635.413</v>
      </c>
      <c r="J924" s="6" t="inlineStr">
        <is>
          <t>MWh</t>
        </is>
      </c>
      <c r="K924" s="8" t="n">
        <v>500635.413</v>
      </c>
      <c r="L924" s="6" t="inlineStr">
        <is>
          <t>MWh</t>
        </is>
      </c>
      <c r="M924" s="6" t="inlineStr">
        <is>
          <t>ANDE</t>
        </is>
      </c>
      <c r="N924" s="6" t="inlineStr">
        <is>
          <t>OFFICIAL_PRIMARY</t>
        </is>
      </c>
      <c r="O924" s="9" t="inlineStr">
        <is>
          <t>OFFICIAL_AGGREGATE</t>
        </is>
      </c>
      <c r="P924" s="8" t="n">
        <v>1</v>
      </c>
      <c r="Q924" s="8" t="n">
        <v>40</v>
      </c>
      <c r="R924" s="7" t="inlineStr">
        <is>
          <t>https://www.ande.gov.py/estadisticas/BalanceEnergia1983-2006/CompilacionEstadistica83-06.pdf</t>
        </is>
      </c>
      <c r="S924" s="6" t="inlineStr">
        <is>
          <t>ANDE-83-06</t>
        </is>
      </c>
      <c r="T924" s="6" t="inlineStr"/>
      <c r="U924" s="4" t="inlineStr">
        <is>
          <t>2026-09-11 00:05:00</t>
        </is>
      </c>
      <c r="V924" s="4" t="inlineStr">
        <is>
          <t>Serie historica antigua; usar compilaciones posteriores para solapes cuando existan.</t>
        </is>
      </c>
    </row>
    <row r="925">
      <c r="A925" s="6" t="inlineStr">
        <is>
          <t>R0000929</t>
        </is>
      </c>
      <c r="B925" s="6" t="inlineStr">
        <is>
          <t>1993-01-01</t>
        </is>
      </c>
      <c r="C925" s="6" t="inlineStr">
        <is>
          <t>1993-12-31</t>
        </is>
      </c>
      <c r="D925" s="6" t="inlineStr">
        <is>
          <t>year</t>
        </is>
      </c>
      <c r="E925" s="6" t="inlineStr">
        <is>
          <t>ANDE_EXPORT_BILLED_ENERGY</t>
        </is>
      </c>
      <c r="F925" s="6" t="inlineStr">
        <is>
          <t>PY_SIN</t>
        </is>
      </c>
      <c r="G925" s="6" t="inlineStr">
        <is>
          <t>PY</t>
        </is>
      </c>
      <c r="H925" s="6" t="inlineStr">
        <is>
          <t>EXTERNAL</t>
        </is>
      </c>
      <c r="I925" s="8" t="n">
        <v>114533.144</v>
      </c>
      <c r="J925" s="6" t="inlineStr">
        <is>
          <t>MWh</t>
        </is>
      </c>
      <c r="K925" s="8" t="n">
        <v>114533.144</v>
      </c>
      <c r="L925" s="6" t="inlineStr">
        <is>
          <t>MWh</t>
        </is>
      </c>
      <c r="M925" s="6" t="inlineStr">
        <is>
          <t>ANDE</t>
        </is>
      </c>
      <c r="N925" s="6" t="inlineStr">
        <is>
          <t>OFFICIAL_PRIMARY</t>
        </is>
      </c>
      <c r="O925" s="9" t="inlineStr">
        <is>
          <t>OFFICIAL_AGGREGATE</t>
        </is>
      </c>
      <c r="P925" s="8" t="n">
        <v>1</v>
      </c>
      <c r="Q925" s="8" t="n">
        <v>40</v>
      </c>
      <c r="R925" s="7" t="inlineStr">
        <is>
          <t>https://www.ande.gov.py/estadisticas/BalanceEnergia1983-2006/CompilacionEstadistica83-06.pdf</t>
        </is>
      </c>
      <c r="S925" s="6" t="inlineStr">
        <is>
          <t>ANDE-83-06</t>
        </is>
      </c>
      <c r="T925" s="6" t="inlineStr"/>
      <c r="U925" s="4" t="inlineStr">
        <is>
          <t>2026-09-11 00:05:00</t>
        </is>
      </c>
      <c r="V925" s="4" t="inlineStr">
        <is>
          <t>Serie historica antigua; usar compilaciones posteriores para solapes cuando existan.</t>
        </is>
      </c>
    </row>
    <row r="926">
      <c r="A926" s="6" t="inlineStr">
        <is>
          <t>R0000930</t>
        </is>
      </c>
      <c r="B926" s="6" t="inlineStr">
        <is>
          <t>1994-01-01</t>
        </is>
      </c>
      <c r="C926" s="6" t="inlineStr">
        <is>
          <t>1994-12-31</t>
        </is>
      </c>
      <c r="D926" s="6" t="inlineStr">
        <is>
          <t>year</t>
        </is>
      </c>
      <c r="E926" s="6" t="inlineStr">
        <is>
          <t>ANDE_BILLED_NATIONAL_ENERGY</t>
        </is>
      </c>
      <c r="F926" s="6" t="inlineStr">
        <is>
          <t>PY_SIN</t>
        </is>
      </c>
      <c r="G926" s="6" t="inlineStr">
        <is>
          <t>PY</t>
        </is>
      </c>
      <c r="H926" s="6" t="inlineStr">
        <is>
          <t>PY</t>
        </is>
      </c>
      <c r="I926" s="8" t="n">
        <v>2961442.739</v>
      </c>
      <c r="J926" s="6" t="inlineStr">
        <is>
          <t>MWh</t>
        </is>
      </c>
      <c r="K926" s="8" t="n">
        <v>2961442.739</v>
      </c>
      <c r="L926" s="6" t="inlineStr">
        <is>
          <t>MWh</t>
        </is>
      </c>
      <c r="M926" s="6" t="inlineStr">
        <is>
          <t>ANDE</t>
        </is>
      </c>
      <c r="N926" s="6" t="inlineStr">
        <is>
          <t>OFFICIAL_PRIMARY</t>
        </is>
      </c>
      <c r="O926" s="9" t="inlineStr">
        <is>
          <t>OFFICIAL_AGGREGATE</t>
        </is>
      </c>
      <c r="P926" s="8" t="n">
        <v>1</v>
      </c>
      <c r="Q926" s="8" t="n">
        <v>40</v>
      </c>
      <c r="R926" s="7" t="inlineStr">
        <is>
          <t>https://www.ande.gov.py/estadisticas/BalanceEnergia1983-2006/CompilacionEstadistica83-06.pdf</t>
        </is>
      </c>
      <c r="S926" s="6" t="inlineStr">
        <is>
          <t>ANDE-83-06</t>
        </is>
      </c>
      <c r="T926" s="6" t="inlineStr"/>
      <c r="U926" s="4" t="inlineStr">
        <is>
          <t>2026-09-11 00:05:00</t>
        </is>
      </c>
      <c r="V926" s="4" t="inlineStr">
        <is>
          <t>Serie historica antigua; usar compilaciones posteriores para solapes cuando existan.</t>
        </is>
      </c>
    </row>
    <row r="927">
      <c r="A927" s="6" t="inlineStr">
        <is>
          <t>R0000931</t>
        </is>
      </c>
      <c r="B927" s="6" t="inlineStr">
        <is>
          <t>1994-01-01</t>
        </is>
      </c>
      <c r="C927" s="6" t="inlineStr">
        <is>
          <t>1994-12-31</t>
        </is>
      </c>
      <c r="D927" s="6" t="inlineStr">
        <is>
          <t>year</t>
        </is>
      </c>
      <c r="E927" s="6" t="inlineStr">
        <is>
          <t>ANDE_TOTAL_ENERGY_SOLD</t>
        </is>
      </c>
      <c r="F927" s="6" t="inlineStr">
        <is>
          <t>PY_SIN</t>
        </is>
      </c>
      <c r="G927" s="6" t="inlineStr">
        <is>
          <t>PY</t>
        </is>
      </c>
      <c r="H927" s="6" t="inlineStr">
        <is>
          <t>PY</t>
        </is>
      </c>
      <c r="I927" s="8" t="n">
        <v>3140874.443</v>
      </c>
      <c r="J927" s="6" t="inlineStr">
        <is>
          <t>MWh</t>
        </is>
      </c>
      <c r="K927" s="8" t="n">
        <v>3140874.443</v>
      </c>
      <c r="L927" s="6" t="inlineStr">
        <is>
          <t>MWh</t>
        </is>
      </c>
      <c r="M927" s="6" t="inlineStr">
        <is>
          <t>ANDE</t>
        </is>
      </c>
      <c r="N927" s="6" t="inlineStr">
        <is>
          <t>OFFICIAL_PRIMARY</t>
        </is>
      </c>
      <c r="O927" s="9" t="inlineStr">
        <is>
          <t>OFFICIAL_AGGREGATE</t>
        </is>
      </c>
      <c r="P927" s="8" t="n">
        <v>1</v>
      </c>
      <c r="Q927" s="8" t="n">
        <v>40</v>
      </c>
      <c r="R927" s="7" t="inlineStr">
        <is>
          <t>https://www.ande.gov.py/estadisticas/BalanceEnergia1983-2006/CompilacionEstadistica83-06.pdf</t>
        </is>
      </c>
      <c r="S927" s="6" t="inlineStr">
        <is>
          <t>ANDE-83-06</t>
        </is>
      </c>
      <c r="T927" s="6" t="inlineStr"/>
      <c r="U927" s="4" t="inlineStr">
        <is>
          <t>2026-09-11 00:05:00</t>
        </is>
      </c>
      <c r="V927" s="4" t="inlineStr">
        <is>
          <t>Serie historica antigua; usar compilaciones posteriores para solapes cuando existan.</t>
        </is>
      </c>
    </row>
    <row r="928">
      <c r="A928" s="6" t="inlineStr">
        <is>
          <t>R0000932</t>
        </is>
      </c>
      <c r="B928" s="6" t="inlineStr">
        <is>
          <t>1994-01-01</t>
        </is>
      </c>
      <c r="C928" s="6" t="inlineStr">
        <is>
          <t>1994-12-31</t>
        </is>
      </c>
      <c r="D928" s="6" t="inlineStr">
        <is>
          <t>year</t>
        </is>
      </c>
      <c r="E928" s="6" t="inlineStr">
        <is>
          <t>ANDE_BILLED_RESIDENTIAL_ENERGY</t>
        </is>
      </c>
      <c r="F928" s="6" t="inlineStr">
        <is>
          <t>PY_SIN</t>
        </is>
      </c>
      <c r="G928" s="6" t="inlineStr">
        <is>
          <t>PY</t>
        </is>
      </c>
      <c r="H928" s="6" t="inlineStr">
        <is>
          <t>PY</t>
        </is>
      </c>
      <c r="I928" s="8" t="n">
        <v>1237303.064</v>
      </c>
      <c r="J928" s="6" t="inlineStr">
        <is>
          <t>MWh</t>
        </is>
      </c>
      <c r="K928" s="8" t="n">
        <v>1237303.064</v>
      </c>
      <c r="L928" s="6" t="inlineStr">
        <is>
          <t>MWh</t>
        </is>
      </c>
      <c r="M928" s="6" t="inlineStr">
        <is>
          <t>ANDE</t>
        </is>
      </c>
      <c r="N928" s="6" t="inlineStr">
        <is>
          <t>OFFICIAL_PRIMARY</t>
        </is>
      </c>
      <c r="O928" s="9" t="inlineStr">
        <is>
          <t>OFFICIAL_AGGREGATE</t>
        </is>
      </c>
      <c r="P928" s="8" t="n">
        <v>1</v>
      </c>
      <c r="Q928" s="8" t="n">
        <v>40</v>
      </c>
      <c r="R928" s="7" t="inlineStr">
        <is>
          <t>https://www.ande.gov.py/estadisticas/BalanceEnergia1983-2006/CompilacionEstadistica83-06.pdf</t>
        </is>
      </c>
      <c r="S928" s="6" t="inlineStr">
        <is>
          <t>ANDE-83-06</t>
        </is>
      </c>
      <c r="T928" s="6" t="inlineStr"/>
      <c r="U928" s="4" t="inlineStr">
        <is>
          <t>2026-09-11 00:05:00</t>
        </is>
      </c>
      <c r="V928" s="4" t="inlineStr">
        <is>
          <t>Serie historica antigua; usar compilaciones posteriores para solapes cuando existan.</t>
        </is>
      </c>
    </row>
    <row r="929">
      <c r="A929" s="6" t="inlineStr">
        <is>
          <t>R0000933</t>
        </is>
      </c>
      <c r="B929" s="6" t="inlineStr">
        <is>
          <t>1994-01-01</t>
        </is>
      </c>
      <c r="C929" s="6" t="inlineStr">
        <is>
          <t>1994-12-31</t>
        </is>
      </c>
      <c r="D929" s="6" t="inlineStr">
        <is>
          <t>year</t>
        </is>
      </c>
      <c r="E929" s="6" t="inlineStr">
        <is>
          <t>ANDE_BILLED_INDUSTRIAL_ENERGY</t>
        </is>
      </c>
      <c r="F929" s="6" t="inlineStr">
        <is>
          <t>PY_SIN</t>
        </is>
      </c>
      <c r="G929" s="6" t="inlineStr">
        <is>
          <t>PY</t>
        </is>
      </c>
      <c r="H929" s="6" t="inlineStr">
        <is>
          <t>PY</t>
        </is>
      </c>
      <c r="I929" s="8" t="n">
        <v>697719.072</v>
      </c>
      <c r="J929" s="6" t="inlineStr">
        <is>
          <t>MWh</t>
        </is>
      </c>
      <c r="K929" s="8" t="n">
        <v>697719.072</v>
      </c>
      <c r="L929" s="6" t="inlineStr">
        <is>
          <t>MWh</t>
        </is>
      </c>
      <c r="M929" s="6" t="inlineStr">
        <is>
          <t>ANDE</t>
        </is>
      </c>
      <c r="N929" s="6" t="inlineStr">
        <is>
          <t>OFFICIAL_PRIMARY</t>
        </is>
      </c>
      <c r="O929" s="9" t="inlineStr">
        <is>
          <t>OFFICIAL_AGGREGATE</t>
        </is>
      </c>
      <c r="P929" s="8" t="n">
        <v>1</v>
      </c>
      <c r="Q929" s="8" t="n">
        <v>40</v>
      </c>
      <c r="R929" s="7" t="inlineStr">
        <is>
          <t>https://www.ande.gov.py/estadisticas/BalanceEnergia1983-2006/CompilacionEstadistica83-06.pdf</t>
        </is>
      </c>
      <c r="S929" s="6" t="inlineStr">
        <is>
          <t>ANDE-83-06</t>
        </is>
      </c>
      <c r="T929" s="6" t="inlineStr"/>
      <c r="U929" s="4" t="inlineStr">
        <is>
          <t>2026-09-11 00:05:00</t>
        </is>
      </c>
      <c r="V929" s="4" t="inlineStr">
        <is>
          <t>Serie historica antigua; usar compilaciones posteriores para solapes cuando existan.</t>
        </is>
      </c>
    </row>
    <row r="930">
      <c r="A930" s="6" t="inlineStr">
        <is>
          <t>R0000934</t>
        </is>
      </c>
      <c r="B930" s="6" t="inlineStr">
        <is>
          <t>1994-01-01</t>
        </is>
      </c>
      <c r="C930" s="6" t="inlineStr">
        <is>
          <t>1994-12-31</t>
        </is>
      </c>
      <c r="D930" s="6" t="inlineStr">
        <is>
          <t>year</t>
        </is>
      </c>
      <c r="E930" s="6" t="inlineStr">
        <is>
          <t>ANDE_BILLED_OTHER_ENERGY</t>
        </is>
      </c>
      <c r="F930" s="6" t="inlineStr">
        <is>
          <t>PY_SIN</t>
        </is>
      </c>
      <c r="G930" s="6" t="inlineStr">
        <is>
          <t>PY</t>
        </is>
      </c>
      <c r="H930" s="6" t="inlineStr">
        <is>
          <t>PY</t>
        </is>
      </c>
      <c r="I930" s="8" t="n">
        <v>496789.73</v>
      </c>
      <c r="J930" s="6" t="inlineStr">
        <is>
          <t>MWh</t>
        </is>
      </c>
      <c r="K930" s="8" t="n">
        <v>496789.73</v>
      </c>
      <c r="L930" s="6" t="inlineStr">
        <is>
          <t>MWh</t>
        </is>
      </c>
      <c r="M930" s="6" t="inlineStr">
        <is>
          <t>ANDE</t>
        </is>
      </c>
      <c r="N930" s="6" t="inlineStr">
        <is>
          <t>OFFICIAL_PRIMARY</t>
        </is>
      </c>
      <c r="O930" s="9" t="inlineStr">
        <is>
          <t>OFFICIAL_AGGREGATE</t>
        </is>
      </c>
      <c r="P930" s="8" t="n">
        <v>1</v>
      </c>
      <c r="Q930" s="8" t="n">
        <v>40</v>
      </c>
      <c r="R930" s="7" t="inlineStr">
        <is>
          <t>https://www.ande.gov.py/estadisticas/BalanceEnergia1983-2006/CompilacionEstadistica83-06.pdf</t>
        </is>
      </c>
      <c r="S930" s="6" t="inlineStr">
        <is>
          <t>ANDE-83-06</t>
        </is>
      </c>
      <c r="T930" s="6" t="inlineStr"/>
      <c r="U930" s="4" t="inlineStr">
        <is>
          <t>2026-09-11 00:05:00</t>
        </is>
      </c>
      <c r="V930" s="4" t="inlineStr">
        <is>
          <t>Serie historica antigua; usar compilaciones posteriores para solapes cuando existan.</t>
        </is>
      </c>
    </row>
    <row r="931">
      <c r="A931" s="6" t="inlineStr">
        <is>
          <t>R0000935</t>
        </is>
      </c>
      <c r="B931" s="6" t="inlineStr">
        <is>
          <t>1994-01-01</t>
        </is>
      </c>
      <c r="C931" s="6" t="inlineStr">
        <is>
          <t>1994-12-31</t>
        </is>
      </c>
      <c r="D931" s="6" t="inlineStr">
        <is>
          <t>year</t>
        </is>
      </c>
      <c r="E931" s="6" t="inlineStr">
        <is>
          <t>ANDE_EXPORT_BILLED_ENERGY</t>
        </is>
      </c>
      <c r="F931" s="6" t="inlineStr">
        <is>
          <t>PY_SIN</t>
        </is>
      </c>
      <c r="G931" s="6" t="inlineStr">
        <is>
          <t>PY</t>
        </is>
      </c>
      <c r="H931" s="6" t="inlineStr">
        <is>
          <t>EXTERNAL</t>
        </is>
      </c>
      <c r="I931" s="8" t="n">
        <v>179431.704</v>
      </c>
      <c r="J931" s="6" t="inlineStr">
        <is>
          <t>MWh</t>
        </is>
      </c>
      <c r="K931" s="8" t="n">
        <v>179431.704</v>
      </c>
      <c r="L931" s="6" t="inlineStr">
        <is>
          <t>MWh</t>
        </is>
      </c>
      <c r="M931" s="6" t="inlineStr">
        <is>
          <t>ANDE</t>
        </is>
      </c>
      <c r="N931" s="6" t="inlineStr">
        <is>
          <t>OFFICIAL_PRIMARY</t>
        </is>
      </c>
      <c r="O931" s="9" t="inlineStr">
        <is>
          <t>OFFICIAL_AGGREGATE</t>
        </is>
      </c>
      <c r="P931" s="8" t="n">
        <v>1</v>
      </c>
      <c r="Q931" s="8" t="n">
        <v>40</v>
      </c>
      <c r="R931" s="7" t="inlineStr">
        <is>
          <t>https://www.ande.gov.py/estadisticas/BalanceEnergia1983-2006/CompilacionEstadistica83-06.pdf</t>
        </is>
      </c>
      <c r="S931" s="6" t="inlineStr">
        <is>
          <t>ANDE-83-06</t>
        </is>
      </c>
      <c r="T931" s="6" t="inlineStr"/>
      <c r="U931" s="4" t="inlineStr">
        <is>
          <t>2026-09-11 00:05:00</t>
        </is>
      </c>
      <c r="V931" s="4" t="inlineStr">
        <is>
          <t>Serie historica antigua; usar compilaciones posteriores para solapes cuando existan.</t>
        </is>
      </c>
    </row>
    <row r="932">
      <c r="A932" s="6" t="inlineStr">
        <is>
          <t>R0000936</t>
        </is>
      </c>
      <c r="B932" s="6" t="inlineStr">
        <is>
          <t>1995-01-01</t>
        </is>
      </c>
      <c r="C932" s="6" t="inlineStr">
        <is>
          <t>1995-12-31</t>
        </is>
      </c>
      <c r="D932" s="6" t="inlineStr">
        <is>
          <t>year</t>
        </is>
      </c>
      <c r="E932" s="6" t="inlineStr">
        <is>
          <t>ANDE_BILLED_NATIONAL_ENERGY</t>
        </is>
      </c>
      <c r="F932" s="6" t="inlineStr">
        <is>
          <t>PY_SIN</t>
        </is>
      </c>
      <c r="G932" s="6" t="inlineStr">
        <is>
          <t>PY</t>
        </is>
      </c>
      <c r="H932" s="6" t="inlineStr">
        <is>
          <t>PY</t>
        </is>
      </c>
      <c r="I932" s="8" t="n">
        <v>3375568.804</v>
      </c>
      <c r="J932" s="6" t="inlineStr">
        <is>
          <t>MWh</t>
        </is>
      </c>
      <c r="K932" s="8" t="n">
        <v>3375568.804</v>
      </c>
      <c r="L932" s="6" t="inlineStr">
        <is>
          <t>MWh</t>
        </is>
      </c>
      <c r="M932" s="6" t="inlineStr">
        <is>
          <t>ANDE</t>
        </is>
      </c>
      <c r="N932" s="6" t="inlineStr">
        <is>
          <t>OFFICIAL_PRIMARY</t>
        </is>
      </c>
      <c r="O932" s="9" t="inlineStr">
        <is>
          <t>OFFICIAL_AGGREGATE</t>
        </is>
      </c>
      <c r="P932" s="8" t="n">
        <v>1</v>
      </c>
      <c r="Q932" s="8" t="n">
        <v>40</v>
      </c>
      <c r="R932" s="7" t="inlineStr">
        <is>
          <t>https://www.ande.gov.py/estadisticas/BalanceEnergia1983-2006/CompilacionEstadistica83-06.pdf</t>
        </is>
      </c>
      <c r="S932" s="6" t="inlineStr">
        <is>
          <t>ANDE-83-06</t>
        </is>
      </c>
      <c r="T932" s="6" t="inlineStr"/>
      <c r="U932" s="4" t="inlineStr">
        <is>
          <t>2026-09-11 00:05:00</t>
        </is>
      </c>
      <c r="V932" s="4" t="inlineStr">
        <is>
          <t>Serie historica antigua; usar compilaciones posteriores para solapes cuando existan.</t>
        </is>
      </c>
    </row>
    <row r="933">
      <c r="A933" s="6" t="inlineStr">
        <is>
          <t>R0000937</t>
        </is>
      </c>
      <c r="B933" s="6" t="inlineStr">
        <is>
          <t>1995-01-01</t>
        </is>
      </c>
      <c r="C933" s="6" t="inlineStr">
        <is>
          <t>1995-12-31</t>
        </is>
      </c>
      <c r="D933" s="6" t="inlineStr">
        <is>
          <t>year</t>
        </is>
      </c>
      <c r="E933" s="6" t="inlineStr">
        <is>
          <t>ANDE_TOTAL_ENERGY_SOLD</t>
        </is>
      </c>
      <c r="F933" s="6" t="inlineStr">
        <is>
          <t>PY_SIN</t>
        </is>
      </c>
      <c r="G933" s="6" t="inlineStr">
        <is>
          <t>PY</t>
        </is>
      </c>
      <c r="H933" s="6" t="inlineStr">
        <is>
          <t>PY</t>
        </is>
      </c>
      <c r="I933" s="8" t="n">
        <v>3605894.515</v>
      </c>
      <c r="J933" s="6" t="inlineStr">
        <is>
          <t>MWh</t>
        </is>
      </c>
      <c r="K933" s="8" t="n">
        <v>3605894.515</v>
      </c>
      <c r="L933" s="6" t="inlineStr">
        <is>
          <t>MWh</t>
        </is>
      </c>
      <c r="M933" s="6" t="inlineStr">
        <is>
          <t>ANDE</t>
        </is>
      </c>
      <c r="N933" s="6" t="inlineStr">
        <is>
          <t>OFFICIAL_PRIMARY</t>
        </is>
      </c>
      <c r="O933" s="9" t="inlineStr">
        <is>
          <t>OFFICIAL_AGGREGATE</t>
        </is>
      </c>
      <c r="P933" s="8" t="n">
        <v>1</v>
      </c>
      <c r="Q933" s="8" t="n">
        <v>40</v>
      </c>
      <c r="R933" s="7" t="inlineStr">
        <is>
          <t>https://www.ande.gov.py/estadisticas/BalanceEnergia1983-2006/CompilacionEstadistica83-06.pdf</t>
        </is>
      </c>
      <c r="S933" s="6" t="inlineStr">
        <is>
          <t>ANDE-83-06</t>
        </is>
      </c>
      <c r="T933" s="6" t="inlineStr"/>
      <c r="U933" s="4" t="inlineStr">
        <is>
          <t>2026-09-11 00:05:00</t>
        </is>
      </c>
      <c r="V933" s="4" t="inlineStr">
        <is>
          <t>Serie historica antigua; usar compilaciones posteriores para solapes cuando existan.</t>
        </is>
      </c>
    </row>
    <row r="934">
      <c r="A934" s="6" t="inlineStr">
        <is>
          <t>R0000938</t>
        </is>
      </c>
      <c r="B934" s="6" t="inlineStr">
        <is>
          <t>1995-01-01</t>
        </is>
      </c>
      <c r="C934" s="6" t="inlineStr">
        <is>
          <t>1995-12-31</t>
        </is>
      </c>
      <c r="D934" s="6" t="inlineStr">
        <is>
          <t>year</t>
        </is>
      </c>
      <c r="E934" s="6" t="inlineStr">
        <is>
          <t>ANDE_BILLED_RESIDENTIAL_ENERGY</t>
        </is>
      </c>
      <c r="F934" s="6" t="inlineStr">
        <is>
          <t>PY_SIN</t>
        </is>
      </c>
      <c r="G934" s="6" t="inlineStr">
        <is>
          <t>PY</t>
        </is>
      </c>
      <c r="H934" s="6" t="inlineStr">
        <is>
          <t>PY</t>
        </is>
      </c>
      <c r="I934" s="8" t="n">
        <v>1444914.624</v>
      </c>
      <c r="J934" s="6" t="inlineStr">
        <is>
          <t>MWh</t>
        </is>
      </c>
      <c r="K934" s="8" t="n">
        <v>1444914.624</v>
      </c>
      <c r="L934" s="6" t="inlineStr">
        <is>
          <t>MWh</t>
        </is>
      </c>
      <c r="M934" s="6" t="inlineStr">
        <is>
          <t>ANDE</t>
        </is>
      </c>
      <c r="N934" s="6" t="inlineStr">
        <is>
          <t>OFFICIAL_PRIMARY</t>
        </is>
      </c>
      <c r="O934" s="9" t="inlineStr">
        <is>
          <t>OFFICIAL_AGGREGATE</t>
        </is>
      </c>
      <c r="P934" s="8" t="n">
        <v>1</v>
      </c>
      <c r="Q934" s="8" t="n">
        <v>40</v>
      </c>
      <c r="R934" s="7" t="inlineStr">
        <is>
          <t>https://www.ande.gov.py/estadisticas/BalanceEnergia1983-2006/CompilacionEstadistica83-06.pdf</t>
        </is>
      </c>
      <c r="S934" s="6" t="inlineStr">
        <is>
          <t>ANDE-83-06</t>
        </is>
      </c>
      <c r="T934" s="6" t="inlineStr"/>
      <c r="U934" s="4" t="inlineStr">
        <is>
          <t>2026-09-11 00:05:00</t>
        </is>
      </c>
      <c r="V934" s="4" t="inlineStr">
        <is>
          <t>Serie historica antigua; usar compilaciones posteriores para solapes cuando existan.</t>
        </is>
      </c>
    </row>
    <row r="935">
      <c r="A935" s="6" t="inlineStr">
        <is>
          <t>R0000939</t>
        </is>
      </c>
      <c r="B935" s="6" t="inlineStr">
        <is>
          <t>1995-01-01</t>
        </is>
      </c>
      <c r="C935" s="6" t="inlineStr">
        <is>
          <t>1995-12-31</t>
        </is>
      </c>
      <c r="D935" s="6" t="inlineStr">
        <is>
          <t>year</t>
        </is>
      </c>
      <c r="E935" s="6" t="inlineStr">
        <is>
          <t>ANDE_BILLED_INDUSTRIAL_ENERGY</t>
        </is>
      </c>
      <c r="F935" s="6" t="inlineStr">
        <is>
          <t>PY_SIN</t>
        </is>
      </c>
      <c r="G935" s="6" t="inlineStr">
        <is>
          <t>PY</t>
        </is>
      </c>
      <c r="H935" s="6" t="inlineStr">
        <is>
          <t>PY</t>
        </is>
      </c>
      <c r="I935" s="8" t="n">
        <v>798335.6360000001</v>
      </c>
      <c r="J935" s="6" t="inlineStr">
        <is>
          <t>MWh</t>
        </is>
      </c>
      <c r="K935" s="8" t="n">
        <v>798335.6360000001</v>
      </c>
      <c r="L935" s="6" t="inlineStr">
        <is>
          <t>MWh</t>
        </is>
      </c>
      <c r="M935" s="6" t="inlineStr">
        <is>
          <t>ANDE</t>
        </is>
      </c>
      <c r="N935" s="6" t="inlineStr">
        <is>
          <t>OFFICIAL_PRIMARY</t>
        </is>
      </c>
      <c r="O935" s="9" t="inlineStr">
        <is>
          <t>OFFICIAL_AGGREGATE</t>
        </is>
      </c>
      <c r="P935" s="8" t="n">
        <v>1</v>
      </c>
      <c r="Q935" s="8" t="n">
        <v>40</v>
      </c>
      <c r="R935" s="7" t="inlineStr">
        <is>
          <t>https://www.ande.gov.py/estadisticas/BalanceEnergia1983-2006/CompilacionEstadistica83-06.pdf</t>
        </is>
      </c>
      <c r="S935" s="6" t="inlineStr">
        <is>
          <t>ANDE-83-06</t>
        </is>
      </c>
      <c r="T935" s="6" t="inlineStr"/>
      <c r="U935" s="4" t="inlineStr">
        <is>
          <t>2026-09-11 00:05:00</t>
        </is>
      </c>
      <c r="V935" s="4" t="inlineStr">
        <is>
          <t>Serie historica antigua; usar compilaciones posteriores para solapes cuando existan.</t>
        </is>
      </c>
    </row>
    <row r="936">
      <c r="A936" s="6" t="inlineStr">
        <is>
          <t>R0000940</t>
        </is>
      </c>
      <c r="B936" s="6" t="inlineStr">
        <is>
          <t>1995-01-01</t>
        </is>
      </c>
      <c r="C936" s="6" t="inlineStr">
        <is>
          <t>1995-12-31</t>
        </is>
      </c>
      <c r="D936" s="6" t="inlineStr">
        <is>
          <t>year</t>
        </is>
      </c>
      <c r="E936" s="6" t="inlineStr">
        <is>
          <t>ANDE_BILLED_OTHER_ENERGY</t>
        </is>
      </c>
      <c r="F936" s="6" t="inlineStr">
        <is>
          <t>PY_SIN</t>
        </is>
      </c>
      <c r="G936" s="6" t="inlineStr">
        <is>
          <t>PY</t>
        </is>
      </c>
      <c r="H936" s="6" t="inlineStr">
        <is>
          <t>PY</t>
        </is>
      </c>
      <c r="I936" s="8" t="n">
        <v>483045.037</v>
      </c>
      <c r="J936" s="6" t="inlineStr">
        <is>
          <t>MWh</t>
        </is>
      </c>
      <c r="K936" s="8" t="n">
        <v>483045.037</v>
      </c>
      <c r="L936" s="6" t="inlineStr">
        <is>
          <t>MWh</t>
        </is>
      </c>
      <c r="M936" s="6" t="inlineStr">
        <is>
          <t>ANDE</t>
        </is>
      </c>
      <c r="N936" s="6" t="inlineStr">
        <is>
          <t>OFFICIAL_PRIMARY</t>
        </is>
      </c>
      <c r="O936" s="9" t="inlineStr">
        <is>
          <t>OFFICIAL_AGGREGATE</t>
        </is>
      </c>
      <c r="P936" s="8" t="n">
        <v>1</v>
      </c>
      <c r="Q936" s="8" t="n">
        <v>40</v>
      </c>
      <c r="R936" s="7" t="inlineStr">
        <is>
          <t>https://www.ande.gov.py/estadisticas/BalanceEnergia1983-2006/CompilacionEstadistica83-06.pdf</t>
        </is>
      </c>
      <c r="S936" s="6" t="inlineStr">
        <is>
          <t>ANDE-83-06</t>
        </is>
      </c>
      <c r="T936" s="6" t="inlineStr"/>
      <c r="U936" s="4" t="inlineStr">
        <is>
          <t>2026-09-11 00:05:00</t>
        </is>
      </c>
      <c r="V936" s="4" t="inlineStr">
        <is>
          <t>Serie historica antigua; usar compilaciones posteriores para solapes cuando existan.</t>
        </is>
      </c>
    </row>
    <row r="937">
      <c r="A937" s="6" t="inlineStr">
        <is>
          <t>R0000941</t>
        </is>
      </c>
      <c r="B937" s="6" t="inlineStr">
        <is>
          <t>1995-01-01</t>
        </is>
      </c>
      <c r="C937" s="6" t="inlineStr">
        <is>
          <t>1995-12-31</t>
        </is>
      </c>
      <c r="D937" s="6" t="inlineStr">
        <is>
          <t>year</t>
        </is>
      </c>
      <c r="E937" s="6" t="inlineStr">
        <is>
          <t>ANDE_EXPORT_BILLED_ENERGY</t>
        </is>
      </c>
      <c r="F937" s="6" t="inlineStr">
        <is>
          <t>PY_SIN</t>
        </is>
      </c>
      <c r="G937" s="6" t="inlineStr">
        <is>
          <t>PY</t>
        </is>
      </c>
      <c r="H937" s="6" t="inlineStr">
        <is>
          <t>EXTERNAL</t>
        </is>
      </c>
      <c r="I937" s="8" t="n">
        <v>225696.357</v>
      </c>
      <c r="J937" s="6" t="inlineStr">
        <is>
          <t>MWh</t>
        </is>
      </c>
      <c r="K937" s="8" t="n">
        <v>225696.357</v>
      </c>
      <c r="L937" s="6" t="inlineStr">
        <is>
          <t>MWh</t>
        </is>
      </c>
      <c r="M937" s="6" t="inlineStr">
        <is>
          <t>ANDE</t>
        </is>
      </c>
      <c r="N937" s="6" t="inlineStr">
        <is>
          <t>OFFICIAL_PRIMARY</t>
        </is>
      </c>
      <c r="O937" s="9" t="inlineStr">
        <is>
          <t>OFFICIAL_AGGREGATE</t>
        </is>
      </c>
      <c r="P937" s="8" t="n">
        <v>1</v>
      </c>
      <c r="Q937" s="8" t="n">
        <v>40</v>
      </c>
      <c r="R937" s="7" t="inlineStr">
        <is>
          <t>https://www.ande.gov.py/estadisticas/BalanceEnergia1983-2006/CompilacionEstadistica83-06.pdf</t>
        </is>
      </c>
      <c r="S937" s="6" t="inlineStr">
        <is>
          <t>ANDE-83-06</t>
        </is>
      </c>
      <c r="T937" s="6" t="inlineStr"/>
      <c r="U937" s="4" t="inlineStr">
        <is>
          <t>2026-09-11 00:05:00</t>
        </is>
      </c>
      <c r="V937" s="4" t="inlineStr">
        <is>
          <t>Serie historica antigua; usar compilaciones posteriores para solapes cuando existan.</t>
        </is>
      </c>
    </row>
    <row r="938">
      <c r="A938" s="6" t="inlineStr">
        <is>
          <t>R0000942</t>
        </is>
      </c>
      <c r="B938" s="6" t="inlineStr">
        <is>
          <t>1996-01-01</t>
        </is>
      </c>
      <c r="C938" s="6" t="inlineStr">
        <is>
          <t>1996-12-31</t>
        </is>
      </c>
      <c r="D938" s="6" t="inlineStr">
        <is>
          <t>year</t>
        </is>
      </c>
      <c r="E938" s="6" t="inlineStr">
        <is>
          <t>ANDE_BILLED_NATIONAL_ENERGY</t>
        </is>
      </c>
      <c r="F938" s="6" t="inlineStr">
        <is>
          <t>PY_SIN</t>
        </is>
      </c>
      <c r="G938" s="6" t="inlineStr">
        <is>
          <t>PY</t>
        </is>
      </c>
      <c r="H938" s="6" t="inlineStr">
        <is>
          <t>PY</t>
        </is>
      </c>
      <c r="I938" s="8" t="n">
        <v>3582050.592</v>
      </c>
      <c r="J938" s="6" t="inlineStr">
        <is>
          <t>MWh</t>
        </is>
      </c>
      <c r="K938" s="8" t="n">
        <v>3582050.592</v>
      </c>
      <c r="L938" s="6" t="inlineStr">
        <is>
          <t>MWh</t>
        </is>
      </c>
      <c r="M938" s="6" t="inlineStr">
        <is>
          <t>ANDE</t>
        </is>
      </c>
      <c r="N938" s="6" t="inlineStr">
        <is>
          <t>OFFICIAL_PRIMARY</t>
        </is>
      </c>
      <c r="O938" s="9" t="inlineStr">
        <is>
          <t>OFFICIAL_AGGREGATE</t>
        </is>
      </c>
      <c r="P938" s="8" t="n">
        <v>1</v>
      </c>
      <c r="Q938" s="8" t="n">
        <v>40</v>
      </c>
      <c r="R938" s="7" t="inlineStr">
        <is>
          <t>https://www.ande.gov.py/estadisticas/BalanceEnergia1983-2006/CompilacionEstadistica83-06.pdf</t>
        </is>
      </c>
      <c r="S938" s="6" t="inlineStr">
        <is>
          <t>ANDE-83-06</t>
        </is>
      </c>
      <c r="T938" s="6" t="inlineStr"/>
      <c r="U938" s="4" t="inlineStr">
        <is>
          <t>2026-09-11 00:05:00</t>
        </is>
      </c>
      <c r="V938" s="4" t="inlineStr">
        <is>
          <t>Serie historica antigua; usar compilaciones posteriores para solapes cuando existan.</t>
        </is>
      </c>
    </row>
    <row r="939">
      <c r="A939" s="6" t="inlineStr">
        <is>
          <t>R0000943</t>
        </is>
      </c>
      <c r="B939" s="6" t="inlineStr">
        <is>
          <t>1996-01-01</t>
        </is>
      </c>
      <c r="C939" s="6" t="inlineStr">
        <is>
          <t>1996-12-31</t>
        </is>
      </c>
      <c r="D939" s="6" t="inlineStr">
        <is>
          <t>year</t>
        </is>
      </c>
      <c r="E939" s="6" t="inlineStr">
        <is>
          <t>ANDE_TOTAL_ENERGY_SOLD</t>
        </is>
      </c>
      <c r="F939" s="6" t="inlineStr">
        <is>
          <t>PY_SIN</t>
        </is>
      </c>
      <c r="G939" s="6" t="inlineStr">
        <is>
          <t>PY</t>
        </is>
      </c>
      <c r="H939" s="6" t="inlineStr">
        <is>
          <t>PY</t>
        </is>
      </c>
      <c r="I939" s="8" t="n">
        <v>3791966.915</v>
      </c>
      <c r="J939" s="6" t="inlineStr">
        <is>
          <t>MWh</t>
        </is>
      </c>
      <c r="K939" s="8" t="n">
        <v>3791966.915</v>
      </c>
      <c r="L939" s="6" t="inlineStr">
        <is>
          <t>MWh</t>
        </is>
      </c>
      <c r="M939" s="6" t="inlineStr">
        <is>
          <t>ANDE</t>
        </is>
      </c>
      <c r="N939" s="6" t="inlineStr">
        <is>
          <t>OFFICIAL_PRIMARY</t>
        </is>
      </c>
      <c r="O939" s="9" t="inlineStr">
        <is>
          <t>OFFICIAL_AGGREGATE</t>
        </is>
      </c>
      <c r="P939" s="8" t="n">
        <v>1</v>
      </c>
      <c r="Q939" s="8" t="n">
        <v>40</v>
      </c>
      <c r="R939" s="7" t="inlineStr">
        <is>
          <t>https://www.ande.gov.py/estadisticas/BalanceEnergia1983-2006/CompilacionEstadistica83-06.pdf</t>
        </is>
      </c>
      <c r="S939" s="6" t="inlineStr">
        <is>
          <t>ANDE-83-06</t>
        </is>
      </c>
      <c r="T939" s="6" t="inlineStr"/>
      <c r="U939" s="4" t="inlineStr">
        <is>
          <t>2026-09-11 00:05:00</t>
        </is>
      </c>
      <c r="V939" s="4" t="inlineStr">
        <is>
          <t>Serie historica antigua; usar compilaciones posteriores para solapes cuando existan.</t>
        </is>
      </c>
    </row>
    <row r="940">
      <c r="A940" s="6" t="inlineStr">
        <is>
          <t>R0000944</t>
        </is>
      </c>
      <c r="B940" s="6" t="inlineStr">
        <is>
          <t>1996-01-01</t>
        </is>
      </c>
      <c r="C940" s="6" t="inlineStr">
        <is>
          <t>1996-12-31</t>
        </is>
      </c>
      <c r="D940" s="6" t="inlineStr">
        <is>
          <t>year</t>
        </is>
      </c>
      <c r="E940" s="6" t="inlineStr">
        <is>
          <t>ANDE_BILLED_RESIDENTIAL_ENERGY</t>
        </is>
      </c>
      <c r="F940" s="6" t="inlineStr">
        <is>
          <t>PY_SIN</t>
        </is>
      </c>
      <c r="G940" s="6" t="inlineStr">
        <is>
          <t>PY</t>
        </is>
      </c>
      <c r="H940" s="6" t="inlineStr">
        <is>
          <t>PY</t>
        </is>
      </c>
      <c r="I940" s="8" t="n">
        <v>1590367.844</v>
      </c>
      <c r="J940" s="6" t="inlineStr">
        <is>
          <t>MWh</t>
        </is>
      </c>
      <c r="K940" s="8" t="n">
        <v>1590367.844</v>
      </c>
      <c r="L940" s="6" t="inlineStr">
        <is>
          <t>MWh</t>
        </is>
      </c>
      <c r="M940" s="6" t="inlineStr">
        <is>
          <t>ANDE</t>
        </is>
      </c>
      <c r="N940" s="6" t="inlineStr">
        <is>
          <t>OFFICIAL_PRIMARY</t>
        </is>
      </c>
      <c r="O940" s="9" t="inlineStr">
        <is>
          <t>OFFICIAL_AGGREGATE</t>
        </is>
      </c>
      <c r="P940" s="8" t="n">
        <v>1</v>
      </c>
      <c r="Q940" s="8" t="n">
        <v>40</v>
      </c>
      <c r="R940" s="7" t="inlineStr">
        <is>
          <t>https://www.ande.gov.py/estadisticas/BalanceEnergia1983-2006/CompilacionEstadistica83-06.pdf</t>
        </is>
      </c>
      <c r="S940" s="6" t="inlineStr">
        <is>
          <t>ANDE-83-06</t>
        </is>
      </c>
      <c r="T940" s="6" t="inlineStr"/>
      <c r="U940" s="4" t="inlineStr">
        <is>
          <t>2026-09-11 00:05:00</t>
        </is>
      </c>
      <c r="V940" s="4" t="inlineStr">
        <is>
          <t>Serie historica antigua; usar compilaciones posteriores para solapes cuando existan.</t>
        </is>
      </c>
    </row>
    <row r="941">
      <c r="A941" s="6" t="inlineStr">
        <is>
          <t>R0000945</t>
        </is>
      </c>
      <c r="B941" s="6" t="inlineStr">
        <is>
          <t>1996-01-01</t>
        </is>
      </c>
      <c r="C941" s="6" t="inlineStr">
        <is>
          <t>1996-12-31</t>
        </is>
      </c>
      <c r="D941" s="6" t="inlineStr">
        <is>
          <t>year</t>
        </is>
      </c>
      <c r="E941" s="6" t="inlineStr">
        <is>
          <t>ANDE_BILLED_INDUSTRIAL_ENERGY</t>
        </is>
      </c>
      <c r="F941" s="6" t="inlineStr">
        <is>
          <t>PY_SIN</t>
        </is>
      </c>
      <c r="G941" s="6" t="inlineStr">
        <is>
          <t>PY</t>
        </is>
      </c>
      <c r="H941" s="6" t="inlineStr">
        <is>
          <t>PY</t>
        </is>
      </c>
      <c r="I941" s="8" t="n">
        <v>767802.4889999999</v>
      </c>
      <c r="J941" s="6" t="inlineStr">
        <is>
          <t>MWh</t>
        </is>
      </c>
      <c r="K941" s="8" t="n">
        <v>767802.4889999999</v>
      </c>
      <c r="L941" s="6" t="inlineStr">
        <is>
          <t>MWh</t>
        </is>
      </c>
      <c r="M941" s="6" t="inlineStr">
        <is>
          <t>ANDE</t>
        </is>
      </c>
      <c r="N941" s="6" t="inlineStr">
        <is>
          <t>OFFICIAL_PRIMARY</t>
        </is>
      </c>
      <c r="O941" s="9" t="inlineStr">
        <is>
          <t>OFFICIAL_AGGREGATE</t>
        </is>
      </c>
      <c r="P941" s="8" t="n">
        <v>1</v>
      </c>
      <c r="Q941" s="8" t="n">
        <v>40</v>
      </c>
      <c r="R941" s="7" t="inlineStr">
        <is>
          <t>https://www.ande.gov.py/estadisticas/BalanceEnergia1983-2006/CompilacionEstadistica83-06.pdf</t>
        </is>
      </c>
      <c r="S941" s="6" t="inlineStr">
        <is>
          <t>ANDE-83-06</t>
        </is>
      </c>
      <c r="T941" s="6" t="inlineStr"/>
      <c r="U941" s="4" t="inlineStr">
        <is>
          <t>2026-09-11 00:05:00</t>
        </is>
      </c>
      <c r="V941" s="4" t="inlineStr">
        <is>
          <t>Serie historica antigua; usar compilaciones posteriores para solapes cuando existan.</t>
        </is>
      </c>
    </row>
    <row r="942">
      <c r="A942" s="6" t="inlineStr">
        <is>
          <t>R0000946</t>
        </is>
      </c>
      <c r="B942" s="6" t="inlineStr">
        <is>
          <t>1996-01-01</t>
        </is>
      </c>
      <c r="C942" s="6" t="inlineStr">
        <is>
          <t>1996-12-31</t>
        </is>
      </c>
      <c r="D942" s="6" t="inlineStr">
        <is>
          <t>year</t>
        </is>
      </c>
      <c r="E942" s="6" t="inlineStr">
        <is>
          <t>ANDE_BILLED_OTHER_ENERGY</t>
        </is>
      </c>
      <c r="F942" s="6" t="inlineStr">
        <is>
          <t>PY_SIN</t>
        </is>
      </c>
      <c r="G942" s="6" t="inlineStr">
        <is>
          <t>PY</t>
        </is>
      </c>
      <c r="H942" s="6" t="inlineStr">
        <is>
          <t>PY</t>
        </is>
      </c>
      <c r="I942" s="8" t="n">
        <v>526577.205</v>
      </c>
      <c r="J942" s="6" t="inlineStr">
        <is>
          <t>MWh</t>
        </is>
      </c>
      <c r="K942" s="8" t="n">
        <v>526577.205</v>
      </c>
      <c r="L942" s="6" t="inlineStr">
        <is>
          <t>MWh</t>
        </is>
      </c>
      <c r="M942" s="6" t="inlineStr">
        <is>
          <t>ANDE</t>
        </is>
      </c>
      <c r="N942" s="6" t="inlineStr">
        <is>
          <t>OFFICIAL_PRIMARY</t>
        </is>
      </c>
      <c r="O942" s="9" t="inlineStr">
        <is>
          <t>OFFICIAL_AGGREGATE</t>
        </is>
      </c>
      <c r="P942" s="8" t="n">
        <v>1</v>
      </c>
      <c r="Q942" s="8" t="n">
        <v>40</v>
      </c>
      <c r="R942" s="7" t="inlineStr">
        <is>
          <t>https://www.ande.gov.py/estadisticas/BalanceEnergia1983-2006/CompilacionEstadistica83-06.pdf</t>
        </is>
      </c>
      <c r="S942" s="6" t="inlineStr">
        <is>
          <t>ANDE-83-06</t>
        </is>
      </c>
      <c r="T942" s="6" t="inlineStr"/>
      <c r="U942" s="4" t="inlineStr">
        <is>
          <t>2026-09-11 00:05:00</t>
        </is>
      </c>
      <c r="V942" s="4" t="inlineStr">
        <is>
          <t>Serie historica antigua; usar compilaciones posteriores para solapes cuando existan.</t>
        </is>
      </c>
    </row>
    <row r="943">
      <c r="A943" s="6" t="inlineStr">
        <is>
          <t>R0000947</t>
        </is>
      </c>
      <c r="B943" s="6" t="inlineStr">
        <is>
          <t>1996-01-01</t>
        </is>
      </c>
      <c r="C943" s="6" t="inlineStr">
        <is>
          <t>1996-12-31</t>
        </is>
      </c>
      <c r="D943" s="6" t="inlineStr">
        <is>
          <t>year</t>
        </is>
      </c>
      <c r="E943" s="6" t="inlineStr">
        <is>
          <t>ANDE_EXPORT_BILLED_ENERGY</t>
        </is>
      </c>
      <c r="F943" s="6" t="inlineStr">
        <is>
          <t>PY_SIN</t>
        </is>
      </c>
      <c r="G943" s="6" t="inlineStr">
        <is>
          <t>PY</t>
        </is>
      </c>
      <c r="H943" s="6" t="inlineStr">
        <is>
          <t>EXTERNAL</t>
        </is>
      </c>
      <c r="I943" s="8" t="n">
        <v>207384.21</v>
      </c>
      <c r="J943" s="6" t="inlineStr">
        <is>
          <t>MWh</t>
        </is>
      </c>
      <c r="K943" s="8" t="n">
        <v>207384.21</v>
      </c>
      <c r="L943" s="6" t="inlineStr">
        <is>
          <t>MWh</t>
        </is>
      </c>
      <c r="M943" s="6" t="inlineStr">
        <is>
          <t>ANDE</t>
        </is>
      </c>
      <c r="N943" s="6" t="inlineStr">
        <is>
          <t>OFFICIAL_PRIMARY</t>
        </is>
      </c>
      <c r="O943" s="9" t="inlineStr">
        <is>
          <t>OFFICIAL_AGGREGATE</t>
        </is>
      </c>
      <c r="P943" s="8" t="n">
        <v>1</v>
      </c>
      <c r="Q943" s="8" t="n">
        <v>40</v>
      </c>
      <c r="R943" s="7" t="inlineStr">
        <is>
          <t>https://www.ande.gov.py/estadisticas/BalanceEnergia1983-2006/CompilacionEstadistica83-06.pdf</t>
        </is>
      </c>
      <c r="S943" s="6" t="inlineStr">
        <is>
          <t>ANDE-83-06</t>
        </is>
      </c>
      <c r="T943" s="6" t="inlineStr"/>
      <c r="U943" s="4" t="inlineStr">
        <is>
          <t>2026-09-11 00:05:00</t>
        </is>
      </c>
      <c r="V943" s="4" t="inlineStr">
        <is>
          <t>Serie historica antigua; usar compilaciones posteriores para solapes cuando existan.</t>
        </is>
      </c>
    </row>
    <row r="944">
      <c r="A944" s="6" t="inlineStr">
        <is>
          <t>R0000948</t>
        </is>
      </c>
      <c r="B944" s="6" t="inlineStr">
        <is>
          <t>1997-01-01</t>
        </is>
      </c>
      <c r="C944" s="6" t="inlineStr">
        <is>
          <t>1997-12-31</t>
        </is>
      </c>
      <c r="D944" s="6" t="inlineStr">
        <is>
          <t>year</t>
        </is>
      </c>
      <c r="E944" s="6" t="inlineStr">
        <is>
          <t>ANDE_BILLED_NATIONAL_ENERGY</t>
        </is>
      </c>
      <c r="F944" s="6" t="inlineStr">
        <is>
          <t>PY_SIN</t>
        </is>
      </c>
      <c r="G944" s="6" t="inlineStr">
        <is>
          <t>PY</t>
        </is>
      </c>
      <c r="H944" s="6" t="inlineStr">
        <is>
          <t>PY</t>
        </is>
      </c>
      <c r="I944" s="8" t="n">
        <v>3825266.1</v>
      </c>
      <c r="J944" s="6" t="inlineStr">
        <is>
          <t>MWh</t>
        </is>
      </c>
      <c r="K944" s="8" t="n">
        <v>3825266.1</v>
      </c>
      <c r="L944" s="6" t="inlineStr">
        <is>
          <t>MWh</t>
        </is>
      </c>
      <c r="M944" s="6" t="inlineStr">
        <is>
          <t>ANDE</t>
        </is>
      </c>
      <c r="N944" s="6" t="inlineStr">
        <is>
          <t>OFFICIAL_PRIMARY</t>
        </is>
      </c>
      <c r="O944" s="9" t="inlineStr">
        <is>
          <t>OFFICIAL_AGGREGATE</t>
        </is>
      </c>
      <c r="P944" s="8" t="n">
        <v>1</v>
      </c>
      <c r="Q944" s="8" t="n">
        <v>40</v>
      </c>
      <c r="R944" s="7" t="inlineStr">
        <is>
          <t>https://www.ande.gov.py/estadisticas/BalanceEnergia1983-2006/CompilacionEstadistica83-06.pdf</t>
        </is>
      </c>
      <c r="S944" s="6" t="inlineStr">
        <is>
          <t>ANDE-83-06</t>
        </is>
      </c>
      <c r="T944" s="6" t="inlineStr"/>
      <c r="U944" s="4" t="inlineStr">
        <is>
          <t>2026-09-11 00:05:00</t>
        </is>
      </c>
      <c r="V944" s="4" t="inlineStr">
        <is>
          <t>Serie historica antigua; usar compilaciones posteriores para solapes cuando existan.</t>
        </is>
      </c>
    </row>
    <row r="945">
      <c r="A945" s="6" t="inlineStr">
        <is>
          <t>R0000949</t>
        </is>
      </c>
      <c r="B945" s="6" t="inlineStr">
        <is>
          <t>1997-01-01</t>
        </is>
      </c>
      <c r="C945" s="6" t="inlineStr">
        <is>
          <t>1997-12-31</t>
        </is>
      </c>
      <c r="D945" s="6" t="inlineStr">
        <is>
          <t>year</t>
        </is>
      </c>
      <c r="E945" s="6" t="inlineStr">
        <is>
          <t>ANDE_TOTAL_ENERGY_SOLD</t>
        </is>
      </c>
      <c r="F945" s="6" t="inlineStr">
        <is>
          <t>PY_SIN</t>
        </is>
      </c>
      <c r="G945" s="6" t="inlineStr">
        <is>
          <t>PY</t>
        </is>
      </c>
      <c r="H945" s="6" t="inlineStr">
        <is>
          <t>PY</t>
        </is>
      </c>
      <c r="I945" s="8" t="n">
        <v>3973477.997</v>
      </c>
      <c r="J945" s="6" t="inlineStr">
        <is>
          <t>MWh</t>
        </is>
      </c>
      <c r="K945" s="8" t="n">
        <v>3973477.997</v>
      </c>
      <c r="L945" s="6" t="inlineStr">
        <is>
          <t>MWh</t>
        </is>
      </c>
      <c r="M945" s="6" t="inlineStr">
        <is>
          <t>ANDE</t>
        </is>
      </c>
      <c r="N945" s="6" t="inlineStr">
        <is>
          <t>OFFICIAL_PRIMARY</t>
        </is>
      </c>
      <c r="O945" s="9" t="inlineStr">
        <is>
          <t>OFFICIAL_AGGREGATE</t>
        </is>
      </c>
      <c r="P945" s="8" t="n">
        <v>1</v>
      </c>
      <c r="Q945" s="8" t="n">
        <v>40</v>
      </c>
      <c r="R945" s="7" t="inlineStr">
        <is>
          <t>https://www.ande.gov.py/estadisticas/BalanceEnergia1983-2006/CompilacionEstadistica83-06.pdf</t>
        </is>
      </c>
      <c r="S945" s="6" t="inlineStr">
        <is>
          <t>ANDE-83-06</t>
        </is>
      </c>
      <c r="T945" s="6" t="inlineStr"/>
      <c r="U945" s="4" t="inlineStr">
        <is>
          <t>2026-09-11 00:05:00</t>
        </is>
      </c>
      <c r="V945" s="4" t="inlineStr">
        <is>
          <t>Serie historica antigua; usar compilaciones posteriores para solapes cuando existan.</t>
        </is>
      </c>
    </row>
    <row r="946">
      <c r="A946" s="6" t="inlineStr">
        <is>
          <t>R0000950</t>
        </is>
      </c>
      <c r="B946" s="6" t="inlineStr">
        <is>
          <t>1997-01-01</t>
        </is>
      </c>
      <c r="C946" s="6" t="inlineStr">
        <is>
          <t>1997-12-31</t>
        </is>
      </c>
      <c r="D946" s="6" t="inlineStr">
        <is>
          <t>year</t>
        </is>
      </c>
      <c r="E946" s="6" t="inlineStr">
        <is>
          <t>ANDE_BILLED_RESIDENTIAL_ENERGY</t>
        </is>
      </c>
      <c r="F946" s="6" t="inlineStr">
        <is>
          <t>PY_SIN</t>
        </is>
      </c>
      <c r="G946" s="6" t="inlineStr">
        <is>
          <t>PY</t>
        </is>
      </c>
      <c r="H946" s="6" t="inlineStr">
        <is>
          <t>PY</t>
        </is>
      </c>
      <c r="I946" s="8" t="n">
        <v>1722163.68</v>
      </c>
      <c r="J946" s="6" t="inlineStr">
        <is>
          <t>MWh</t>
        </is>
      </c>
      <c r="K946" s="8" t="n">
        <v>1722163.68</v>
      </c>
      <c r="L946" s="6" t="inlineStr">
        <is>
          <t>MWh</t>
        </is>
      </c>
      <c r="M946" s="6" t="inlineStr">
        <is>
          <t>ANDE</t>
        </is>
      </c>
      <c r="N946" s="6" t="inlineStr">
        <is>
          <t>OFFICIAL_PRIMARY</t>
        </is>
      </c>
      <c r="O946" s="9" t="inlineStr">
        <is>
          <t>OFFICIAL_AGGREGATE</t>
        </is>
      </c>
      <c r="P946" s="8" t="n">
        <v>1</v>
      </c>
      <c r="Q946" s="8" t="n">
        <v>40</v>
      </c>
      <c r="R946" s="7" t="inlineStr">
        <is>
          <t>https://www.ande.gov.py/estadisticas/BalanceEnergia1983-2006/CompilacionEstadistica83-06.pdf</t>
        </is>
      </c>
      <c r="S946" s="6" t="inlineStr">
        <is>
          <t>ANDE-83-06</t>
        </is>
      </c>
      <c r="T946" s="6" t="inlineStr"/>
      <c r="U946" s="4" t="inlineStr">
        <is>
          <t>2026-09-11 00:05:00</t>
        </is>
      </c>
      <c r="V946" s="4" t="inlineStr">
        <is>
          <t>Serie historica antigua; usar compilaciones posteriores para solapes cuando existan.</t>
        </is>
      </c>
    </row>
    <row r="947">
      <c r="A947" s="6" t="inlineStr">
        <is>
          <t>R0000951</t>
        </is>
      </c>
      <c r="B947" s="6" t="inlineStr">
        <is>
          <t>1997-01-01</t>
        </is>
      </c>
      <c r="C947" s="6" t="inlineStr">
        <is>
          <t>1997-12-31</t>
        </is>
      </c>
      <c r="D947" s="6" t="inlineStr">
        <is>
          <t>year</t>
        </is>
      </c>
      <c r="E947" s="6" t="inlineStr">
        <is>
          <t>ANDE_BILLED_INDUSTRIAL_ENERGY</t>
        </is>
      </c>
      <c r="F947" s="6" t="inlineStr">
        <is>
          <t>PY_SIN</t>
        </is>
      </c>
      <c r="G947" s="6" t="inlineStr">
        <is>
          <t>PY</t>
        </is>
      </c>
      <c r="H947" s="6" t="inlineStr">
        <is>
          <t>PY</t>
        </is>
      </c>
      <c r="I947" s="8" t="n">
        <v>761709.871</v>
      </c>
      <c r="J947" s="6" t="inlineStr">
        <is>
          <t>MWh</t>
        </is>
      </c>
      <c r="K947" s="8" t="n">
        <v>761709.871</v>
      </c>
      <c r="L947" s="6" t="inlineStr">
        <is>
          <t>MWh</t>
        </is>
      </c>
      <c r="M947" s="6" t="inlineStr">
        <is>
          <t>ANDE</t>
        </is>
      </c>
      <c r="N947" s="6" t="inlineStr">
        <is>
          <t>OFFICIAL_PRIMARY</t>
        </is>
      </c>
      <c r="O947" s="9" t="inlineStr">
        <is>
          <t>OFFICIAL_AGGREGATE</t>
        </is>
      </c>
      <c r="P947" s="8" t="n">
        <v>1</v>
      </c>
      <c r="Q947" s="8" t="n">
        <v>40</v>
      </c>
      <c r="R947" s="7" t="inlineStr">
        <is>
          <t>https://www.ande.gov.py/estadisticas/BalanceEnergia1983-2006/CompilacionEstadistica83-06.pdf</t>
        </is>
      </c>
      <c r="S947" s="6" t="inlineStr">
        <is>
          <t>ANDE-83-06</t>
        </is>
      </c>
      <c r="T947" s="6" t="inlineStr"/>
      <c r="U947" s="4" t="inlineStr">
        <is>
          <t>2026-09-11 00:05:00</t>
        </is>
      </c>
      <c r="V947" s="4" t="inlineStr">
        <is>
          <t>Serie historica antigua; usar compilaciones posteriores para solapes cuando existan.</t>
        </is>
      </c>
    </row>
    <row r="948">
      <c r="A948" s="6" t="inlineStr">
        <is>
          <t>R0000952</t>
        </is>
      </c>
      <c r="B948" s="6" t="inlineStr">
        <is>
          <t>1997-01-01</t>
        </is>
      </c>
      <c r="C948" s="6" t="inlineStr">
        <is>
          <t>1997-12-31</t>
        </is>
      </c>
      <c r="D948" s="6" t="inlineStr">
        <is>
          <t>year</t>
        </is>
      </c>
      <c r="E948" s="6" t="inlineStr">
        <is>
          <t>ANDE_BILLED_OTHER_ENERGY</t>
        </is>
      </c>
      <c r="F948" s="6" t="inlineStr">
        <is>
          <t>PY_SIN</t>
        </is>
      </c>
      <c r="G948" s="6" t="inlineStr">
        <is>
          <t>PY</t>
        </is>
      </c>
      <c r="H948" s="6" t="inlineStr">
        <is>
          <t>PY</t>
        </is>
      </c>
      <c r="I948" s="8" t="n">
        <v>588447.313</v>
      </c>
      <c r="J948" s="6" t="inlineStr">
        <is>
          <t>MWh</t>
        </is>
      </c>
      <c r="K948" s="8" t="n">
        <v>588447.313</v>
      </c>
      <c r="L948" s="6" t="inlineStr">
        <is>
          <t>MWh</t>
        </is>
      </c>
      <c r="M948" s="6" t="inlineStr">
        <is>
          <t>ANDE</t>
        </is>
      </c>
      <c r="N948" s="6" t="inlineStr">
        <is>
          <t>OFFICIAL_PRIMARY</t>
        </is>
      </c>
      <c r="O948" s="9" t="inlineStr">
        <is>
          <t>OFFICIAL_AGGREGATE</t>
        </is>
      </c>
      <c r="P948" s="8" t="n">
        <v>1</v>
      </c>
      <c r="Q948" s="8" t="n">
        <v>40</v>
      </c>
      <c r="R948" s="7" t="inlineStr">
        <is>
          <t>https://www.ande.gov.py/estadisticas/BalanceEnergia1983-2006/CompilacionEstadistica83-06.pdf</t>
        </is>
      </c>
      <c r="S948" s="6" t="inlineStr">
        <is>
          <t>ANDE-83-06</t>
        </is>
      </c>
      <c r="T948" s="6" t="inlineStr"/>
      <c r="U948" s="4" t="inlineStr">
        <is>
          <t>2026-09-11 00:05:00</t>
        </is>
      </c>
      <c r="V948" s="4" t="inlineStr">
        <is>
          <t>Serie historica antigua; usar compilaciones posteriores para solapes cuando existan.</t>
        </is>
      </c>
    </row>
    <row r="949">
      <c r="A949" s="6" t="inlineStr">
        <is>
          <t>R0000953</t>
        </is>
      </c>
      <c r="B949" s="6" t="inlineStr">
        <is>
          <t>1997-01-01</t>
        </is>
      </c>
      <c r="C949" s="6" t="inlineStr">
        <is>
          <t>1997-12-31</t>
        </is>
      </c>
      <c r="D949" s="6" t="inlineStr">
        <is>
          <t>year</t>
        </is>
      </c>
      <c r="E949" s="6" t="inlineStr">
        <is>
          <t>ANDE_EXPORT_BILLED_ENERGY</t>
        </is>
      </c>
      <c r="F949" s="6" t="inlineStr">
        <is>
          <t>PY_SIN</t>
        </is>
      </c>
      <c r="G949" s="6" t="inlineStr">
        <is>
          <t>PY</t>
        </is>
      </c>
      <c r="H949" s="6" t="inlineStr">
        <is>
          <t>EXTERNAL</t>
        </is>
      </c>
      <c r="I949" s="8" t="n">
        <v>145666.528</v>
      </c>
      <c r="J949" s="6" t="inlineStr">
        <is>
          <t>MWh</t>
        </is>
      </c>
      <c r="K949" s="8" t="n">
        <v>145666.528</v>
      </c>
      <c r="L949" s="6" t="inlineStr">
        <is>
          <t>MWh</t>
        </is>
      </c>
      <c r="M949" s="6" t="inlineStr">
        <is>
          <t>ANDE</t>
        </is>
      </c>
      <c r="N949" s="6" t="inlineStr">
        <is>
          <t>OFFICIAL_PRIMARY</t>
        </is>
      </c>
      <c r="O949" s="9" t="inlineStr">
        <is>
          <t>OFFICIAL_AGGREGATE</t>
        </is>
      </c>
      <c r="P949" s="8" t="n">
        <v>1</v>
      </c>
      <c r="Q949" s="8" t="n">
        <v>40</v>
      </c>
      <c r="R949" s="7" t="inlineStr">
        <is>
          <t>https://www.ande.gov.py/estadisticas/BalanceEnergia1983-2006/CompilacionEstadistica83-06.pdf</t>
        </is>
      </c>
      <c r="S949" s="6" t="inlineStr">
        <is>
          <t>ANDE-83-06</t>
        </is>
      </c>
      <c r="T949" s="6" t="inlineStr"/>
      <c r="U949" s="4" t="inlineStr">
        <is>
          <t>2026-09-11 00:05:00</t>
        </is>
      </c>
      <c r="V949" s="4" t="inlineStr">
        <is>
          <t>Serie historica antigua; usar compilaciones posteriores para solapes cuando existan.</t>
        </is>
      </c>
    </row>
    <row r="950">
      <c r="A950" s="6" t="inlineStr">
        <is>
          <t>R0000954</t>
        </is>
      </c>
      <c r="B950" s="6" t="inlineStr">
        <is>
          <t>1998-01-01</t>
        </is>
      </c>
      <c r="C950" s="6" t="inlineStr">
        <is>
          <t>1998-12-31</t>
        </is>
      </c>
      <c r="D950" s="6" t="inlineStr">
        <is>
          <t>year</t>
        </is>
      </c>
      <c r="E950" s="6" t="inlineStr">
        <is>
          <t>ANDE_BILLED_RESIDENTIAL_ENERGY</t>
        </is>
      </c>
      <c r="F950" s="6" t="inlineStr">
        <is>
          <t>PY_SIN</t>
        </is>
      </c>
      <c r="G950" s="6" t="inlineStr">
        <is>
          <t>PY</t>
        </is>
      </c>
      <c r="H950" s="6" t="inlineStr">
        <is>
          <t>PY</t>
        </is>
      </c>
      <c r="I950" s="8" t="n">
        <v>1782023</v>
      </c>
      <c r="J950" s="6" t="inlineStr">
        <is>
          <t>MWh</t>
        </is>
      </c>
      <c r="K950" s="8" t="n">
        <v>1782023</v>
      </c>
      <c r="L950" s="6" t="inlineStr">
        <is>
          <t>MWh</t>
        </is>
      </c>
      <c r="M950" s="6" t="inlineStr">
        <is>
          <t>ANDE</t>
        </is>
      </c>
      <c r="N950" s="6" t="inlineStr">
        <is>
          <t>OFFICIAL_PRIMARY</t>
        </is>
      </c>
      <c r="O950" s="9" t="inlineStr">
        <is>
          <t>OFFICIAL_AGGREGATE</t>
        </is>
      </c>
      <c r="P950" s="8" t="n">
        <v>1</v>
      </c>
      <c r="Q950" s="8" t="n">
        <v>75</v>
      </c>
      <c r="R950" s="7" t="inlineStr">
        <is>
          <t>https://www.ande.gov.py/documentos_contables/650/compilacion_estadistica_1998-2018.pdf</t>
        </is>
      </c>
      <c r="S950" s="6" t="inlineStr">
        <is>
          <t>ANDE-98-18</t>
        </is>
      </c>
      <c r="T950" s="6" t="inlineStr"/>
      <c r="U950" s="4" t="inlineStr">
        <is>
          <t>2026-09-11 00:05:00</t>
        </is>
      </c>
      <c r="V950" s="4" t="inlineStr">
        <is>
          <t>Serie revisada; prioridad sobre compilacion 1983-2006 en años solapados.</t>
        </is>
      </c>
    </row>
    <row r="951">
      <c r="A951" s="6" t="inlineStr">
        <is>
          <t>R0000955</t>
        </is>
      </c>
      <c r="B951" s="6" t="inlineStr">
        <is>
          <t>1999-01-01</t>
        </is>
      </c>
      <c r="C951" s="6" t="inlineStr">
        <is>
          <t>1999-12-31</t>
        </is>
      </c>
      <c r="D951" s="6" t="inlineStr">
        <is>
          <t>year</t>
        </is>
      </c>
      <c r="E951" s="6" t="inlineStr">
        <is>
          <t>ANDE_BILLED_RESIDENTIAL_ENERGY</t>
        </is>
      </c>
      <c r="F951" s="6" t="inlineStr">
        <is>
          <t>PY_SIN</t>
        </is>
      </c>
      <c r="G951" s="6" t="inlineStr">
        <is>
          <t>PY</t>
        </is>
      </c>
      <c r="H951" s="6" t="inlineStr">
        <is>
          <t>PY</t>
        </is>
      </c>
      <c r="I951" s="8" t="n">
        <v>1903647</v>
      </c>
      <c r="J951" s="6" t="inlineStr">
        <is>
          <t>MWh</t>
        </is>
      </c>
      <c r="K951" s="8" t="n">
        <v>1903647</v>
      </c>
      <c r="L951" s="6" t="inlineStr">
        <is>
          <t>MWh</t>
        </is>
      </c>
      <c r="M951" s="6" t="inlineStr">
        <is>
          <t>ANDE</t>
        </is>
      </c>
      <c r="N951" s="6" t="inlineStr">
        <is>
          <t>OFFICIAL_PRIMARY</t>
        </is>
      </c>
      <c r="O951" s="9" t="inlineStr">
        <is>
          <t>OFFICIAL_AGGREGATE</t>
        </is>
      </c>
      <c r="P951" s="8" t="n">
        <v>1</v>
      </c>
      <c r="Q951" s="8" t="n">
        <v>75</v>
      </c>
      <c r="R951" s="7" t="inlineStr">
        <is>
          <t>https://www.ande.gov.py/documentos_contables/650/compilacion_estadistica_1998-2018.pdf</t>
        </is>
      </c>
      <c r="S951" s="6" t="inlineStr">
        <is>
          <t>ANDE-98-18</t>
        </is>
      </c>
      <c r="T951" s="6" t="inlineStr"/>
      <c r="U951" s="4" t="inlineStr">
        <is>
          <t>2026-09-11 00:05:00</t>
        </is>
      </c>
      <c r="V951" s="4" t="inlineStr">
        <is>
          <t>Serie revisada; prioridad sobre compilacion 1983-2006 en años solapados.</t>
        </is>
      </c>
    </row>
    <row r="952">
      <c r="A952" s="6" t="inlineStr">
        <is>
          <t>R0000956</t>
        </is>
      </c>
      <c r="B952" s="6" t="inlineStr">
        <is>
          <t>2000-01-01</t>
        </is>
      </c>
      <c r="C952" s="6" t="inlineStr">
        <is>
          <t>2000-12-31</t>
        </is>
      </c>
      <c r="D952" s="6" t="inlineStr">
        <is>
          <t>year</t>
        </is>
      </c>
      <c r="E952" s="6" t="inlineStr">
        <is>
          <t>ANDE_BILLED_RESIDENTIAL_ENERGY</t>
        </is>
      </c>
      <c r="F952" s="6" t="inlineStr">
        <is>
          <t>PY_SIN</t>
        </is>
      </c>
      <c r="G952" s="6" t="inlineStr">
        <is>
          <t>PY</t>
        </is>
      </c>
      <c r="H952" s="6" t="inlineStr">
        <is>
          <t>PY</t>
        </is>
      </c>
      <c r="I952" s="8" t="n">
        <v>2025445</v>
      </c>
      <c r="J952" s="6" t="inlineStr">
        <is>
          <t>MWh</t>
        </is>
      </c>
      <c r="K952" s="8" t="n">
        <v>2025445</v>
      </c>
      <c r="L952" s="6" t="inlineStr">
        <is>
          <t>MWh</t>
        </is>
      </c>
      <c r="M952" s="6" t="inlineStr">
        <is>
          <t>ANDE</t>
        </is>
      </c>
      <c r="N952" s="6" t="inlineStr">
        <is>
          <t>OFFICIAL_PRIMARY</t>
        </is>
      </c>
      <c r="O952" s="9" t="inlineStr">
        <is>
          <t>OFFICIAL_AGGREGATE</t>
        </is>
      </c>
      <c r="P952" s="8" t="n">
        <v>1</v>
      </c>
      <c r="Q952" s="8" t="n">
        <v>75</v>
      </c>
      <c r="R952" s="7" t="inlineStr">
        <is>
          <t>https://www.ande.gov.py/documentos_contables/650/compilacion_estadistica_1998-2018.pdf</t>
        </is>
      </c>
      <c r="S952" s="6" t="inlineStr">
        <is>
          <t>ANDE-98-18</t>
        </is>
      </c>
      <c r="T952" s="6" t="inlineStr"/>
      <c r="U952" s="4" t="inlineStr">
        <is>
          <t>2026-09-11 00:05:00</t>
        </is>
      </c>
      <c r="V952" s="4" t="inlineStr">
        <is>
          <t>Serie revisada; prioridad sobre compilacion 1983-2006 en años solapados.</t>
        </is>
      </c>
    </row>
    <row r="953">
      <c r="A953" s="6" t="inlineStr">
        <is>
          <t>R0000957</t>
        </is>
      </c>
      <c r="B953" s="6" t="inlineStr">
        <is>
          <t>2001-01-01</t>
        </is>
      </c>
      <c r="C953" s="6" t="inlineStr">
        <is>
          <t>2001-12-31</t>
        </is>
      </c>
      <c r="D953" s="6" t="inlineStr">
        <is>
          <t>year</t>
        </is>
      </c>
      <c r="E953" s="6" t="inlineStr">
        <is>
          <t>ANDE_BILLED_RESIDENTIAL_ENERGY</t>
        </is>
      </c>
      <c r="F953" s="6" t="inlineStr">
        <is>
          <t>PY_SIN</t>
        </is>
      </c>
      <c r="G953" s="6" t="inlineStr">
        <is>
          <t>PY</t>
        </is>
      </c>
      <c r="H953" s="6" t="inlineStr">
        <is>
          <t>PY</t>
        </is>
      </c>
      <c r="I953" s="8" t="n">
        <v>2019210</v>
      </c>
      <c r="J953" s="6" t="inlineStr">
        <is>
          <t>MWh</t>
        </is>
      </c>
      <c r="K953" s="8" t="n">
        <v>2019210</v>
      </c>
      <c r="L953" s="6" t="inlineStr">
        <is>
          <t>MWh</t>
        </is>
      </c>
      <c r="M953" s="6" t="inlineStr">
        <is>
          <t>ANDE</t>
        </is>
      </c>
      <c r="N953" s="6" t="inlineStr">
        <is>
          <t>OFFICIAL_PRIMARY</t>
        </is>
      </c>
      <c r="O953" s="9" t="inlineStr">
        <is>
          <t>OFFICIAL_AGGREGATE</t>
        </is>
      </c>
      <c r="P953" s="8" t="n">
        <v>1</v>
      </c>
      <c r="Q953" s="8" t="n">
        <v>75</v>
      </c>
      <c r="R953" s="7" t="inlineStr">
        <is>
          <t>https://www.ande.gov.py/documentos_contables/650/compilacion_estadistica_1998-2018.pdf</t>
        </is>
      </c>
      <c r="S953" s="6" t="inlineStr">
        <is>
          <t>ANDE-98-18</t>
        </is>
      </c>
      <c r="T953" s="6" t="inlineStr"/>
      <c r="U953" s="4" t="inlineStr">
        <is>
          <t>2026-09-11 00:05:00</t>
        </is>
      </c>
      <c r="V953" s="4" t="inlineStr">
        <is>
          <t>Serie revisada; prioridad sobre compilacion 1983-2006 en años solapados.</t>
        </is>
      </c>
    </row>
    <row r="954">
      <c r="A954" s="6" t="inlineStr">
        <is>
          <t>R0000958</t>
        </is>
      </c>
      <c r="B954" s="6" t="inlineStr">
        <is>
          <t>2002-01-01</t>
        </is>
      </c>
      <c r="C954" s="6" t="inlineStr">
        <is>
          <t>2002-12-31</t>
        </is>
      </c>
      <c r="D954" s="6" t="inlineStr">
        <is>
          <t>year</t>
        </is>
      </c>
      <c r="E954" s="6" t="inlineStr">
        <is>
          <t>ANDE_BILLED_RESIDENTIAL_ENERGY</t>
        </is>
      </c>
      <c r="F954" s="6" t="inlineStr">
        <is>
          <t>PY_SIN</t>
        </is>
      </c>
      <c r="G954" s="6" t="inlineStr">
        <is>
          <t>PY</t>
        </is>
      </c>
      <c r="H954" s="6" t="inlineStr">
        <is>
          <t>PY</t>
        </is>
      </c>
      <c r="I954" s="8" t="n">
        <v>1931244</v>
      </c>
      <c r="J954" s="6" t="inlineStr">
        <is>
          <t>MWh</t>
        </is>
      </c>
      <c r="K954" s="8" t="n">
        <v>1931244</v>
      </c>
      <c r="L954" s="6" t="inlineStr">
        <is>
          <t>MWh</t>
        </is>
      </c>
      <c r="M954" s="6" t="inlineStr">
        <is>
          <t>ANDE</t>
        </is>
      </c>
      <c r="N954" s="6" t="inlineStr">
        <is>
          <t>OFFICIAL_PRIMARY</t>
        </is>
      </c>
      <c r="O954" s="9" t="inlineStr">
        <is>
          <t>OFFICIAL_AGGREGATE</t>
        </is>
      </c>
      <c r="P954" s="8" t="n">
        <v>1</v>
      </c>
      <c r="Q954" s="8" t="n">
        <v>75</v>
      </c>
      <c r="R954" s="7" t="inlineStr">
        <is>
          <t>https://www.ande.gov.py/documentos_contables/650/compilacion_estadistica_1998-2018.pdf</t>
        </is>
      </c>
      <c r="S954" s="6" t="inlineStr">
        <is>
          <t>ANDE-98-18</t>
        </is>
      </c>
      <c r="T954" s="6" t="inlineStr"/>
      <c r="U954" s="4" t="inlineStr">
        <is>
          <t>2026-09-11 00:05:00</t>
        </is>
      </c>
      <c r="V954" s="4" t="inlineStr">
        <is>
          <t>Serie revisada; prioridad sobre compilacion 1983-2006 en años solapados.</t>
        </is>
      </c>
    </row>
    <row r="955">
      <c r="A955" s="6" t="inlineStr">
        <is>
          <t>R0000975</t>
        </is>
      </c>
      <c r="B955" s="6" t="inlineStr">
        <is>
          <t>1998-01-01</t>
        </is>
      </c>
      <c r="C955" s="6" t="inlineStr">
        <is>
          <t>1998-12-31</t>
        </is>
      </c>
      <c r="D955" s="6" t="inlineStr">
        <is>
          <t>year</t>
        </is>
      </c>
      <c r="E955" s="6" t="inlineStr">
        <is>
          <t>ANDE_BILLED_INDUSTRIAL_ENERGY</t>
        </is>
      </c>
      <c r="F955" s="6" t="inlineStr">
        <is>
          <t>PY_SIN</t>
        </is>
      </c>
      <c r="G955" s="6" t="inlineStr">
        <is>
          <t>PY</t>
        </is>
      </c>
      <c r="H955" s="6" t="inlineStr">
        <is>
          <t>PY</t>
        </is>
      </c>
      <c r="I955" s="8" t="n">
        <v>847784</v>
      </c>
      <c r="J955" s="6" t="inlineStr">
        <is>
          <t>MWh</t>
        </is>
      </c>
      <c r="K955" s="8" t="n">
        <v>847784</v>
      </c>
      <c r="L955" s="6" t="inlineStr">
        <is>
          <t>MWh</t>
        </is>
      </c>
      <c r="M955" s="6" t="inlineStr">
        <is>
          <t>ANDE</t>
        </is>
      </c>
      <c r="N955" s="6" t="inlineStr">
        <is>
          <t>OFFICIAL_PRIMARY</t>
        </is>
      </c>
      <c r="O955" s="9" t="inlineStr">
        <is>
          <t>OFFICIAL_AGGREGATE</t>
        </is>
      </c>
      <c r="P955" s="8" t="n">
        <v>1</v>
      </c>
      <c r="Q955" s="8" t="n">
        <v>75</v>
      </c>
      <c r="R955" s="7" t="inlineStr">
        <is>
          <t>https://www.ande.gov.py/documentos_contables/650/compilacion_estadistica_1998-2018.pdf</t>
        </is>
      </c>
      <c r="S955" s="6" t="inlineStr">
        <is>
          <t>ANDE-98-18</t>
        </is>
      </c>
      <c r="T955" s="6" t="inlineStr"/>
      <c r="U955" s="4" t="inlineStr">
        <is>
          <t>2026-09-11 00:05:00</t>
        </is>
      </c>
      <c r="V955" s="4" t="inlineStr">
        <is>
          <t>Serie revisada; prioridad sobre compilacion 1983-2006 en años solapados.</t>
        </is>
      </c>
    </row>
    <row r="956">
      <c r="A956" s="6" t="inlineStr">
        <is>
          <t>R0000976</t>
        </is>
      </c>
      <c r="B956" s="6" t="inlineStr">
        <is>
          <t>1999-01-01</t>
        </is>
      </c>
      <c r="C956" s="6" t="inlineStr">
        <is>
          <t>1999-12-31</t>
        </is>
      </c>
      <c r="D956" s="6" t="inlineStr">
        <is>
          <t>year</t>
        </is>
      </c>
      <c r="E956" s="6" t="inlineStr">
        <is>
          <t>ANDE_BILLED_INDUSTRIAL_ENERGY</t>
        </is>
      </c>
      <c r="F956" s="6" t="inlineStr">
        <is>
          <t>PY_SIN</t>
        </is>
      </c>
      <c r="G956" s="6" t="inlineStr">
        <is>
          <t>PY</t>
        </is>
      </c>
      <c r="H956" s="6" t="inlineStr">
        <is>
          <t>PY</t>
        </is>
      </c>
      <c r="I956" s="8" t="n">
        <v>979097</v>
      </c>
      <c r="J956" s="6" t="inlineStr">
        <is>
          <t>MWh</t>
        </is>
      </c>
      <c r="K956" s="8" t="n">
        <v>979097</v>
      </c>
      <c r="L956" s="6" t="inlineStr">
        <is>
          <t>MWh</t>
        </is>
      </c>
      <c r="M956" s="6" t="inlineStr">
        <is>
          <t>ANDE</t>
        </is>
      </c>
      <c r="N956" s="6" t="inlineStr">
        <is>
          <t>OFFICIAL_PRIMARY</t>
        </is>
      </c>
      <c r="O956" s="9" t="inlineStr">
        <is>
          <t>OFFICIAL_AGGREGATE</t>
        </is>
      </c>
      <c r="P956" s="8" t="n">
        <v>1</v>
      </c>
      <c r="Q956" s="8" t="n">
        <v>75</v>
      </c>
      <c r="R956" s="7" t="inlineStr">
        <is>
          <t>https://www.ande.gov.py/documentos_contables/650/compilacion_estadistica_1998-2018.pdf</t>
        </is>
      </c>
      <c r="S956" s="6" t="inlineStr">
        <is>
          <t>ANDE-98-18</t>
        </is>
      </c>
      <c r="T956" s="6" t="inlineStr"/>
      <c r="U956" s="4" t="inlineStr">
        <is>
          <t>2026-09-11 00:05:00</t>
        </is>
      </c>
      <c r="V956" s="4" t="inlineStr">
        <is>
          <t>Serie revisada; prioridad sobre compilacion 1983-2006 en años solapados.</t>
        </is>
      </c>
    </row>
    <row r="957">
      <c r="A957" s="6" t="inlineStr">
        <is>
          <t>R0000977</t>
        </is>
      </c>
      <c r="B957" s="6" t="inlineStr">
        <is>
          <t>2000-01-01</t>
        </is>
      </c>
      <c r="C957" s="6" t="inlineStr">
        <is>
          <t>2000-12-31</t>
        </is>
      </c>
      <c r="D957" s="6" t="inlineStr">
        <is>
          <t>year</t>
        </is>
      </c>
      <c r="E957" s="6" t="inlineStr">
        <is>
          <t>ANDE_BILLED_INDUSTRIAL_ENERGY</t>
        </is>
      </c>
      <c r="F957" s="6" t="inlineStr">
        <is>
          <t>PY_SIN</t>
        </is>
      </c>
      <c r="G957" s="6" t="inlineStr">
        <is>
          <t>PY</t>
        </is>
      </c>
      <c r="H957" s="6" t="inlineStr">
        <is>
          <t>PY</t>
        </is>
      </c>
      <c r="I957" s="8" t="n">
        <v>890791</v>
      </c>
      <c r="J957" s="6" t="inlineStr">
        <is>
          <t>MWh</t>
        </is>
      </c>
      <c r="K957" s="8" t="n">
        <v>890791</v>
      </c>
      <c r="L957" s="6" t="inlineStr">
        <is>
          <t>MWh</t>
        </is>
      </c>
      <c r="M957" s="6" t="inlineStr">
        <is>
          <t>ANDE</t>
        </is>
      </c>
      <c r="N957" s="6" t="inlineStr">
        <is>
          <t>OFFICIAL_PRIMARY</t>
        </is>
      </c>
      <c r="O957" s="9" t="inlineStr">
        <is>
          <t>OFFICIAL_AGGREGATE</t>
        </is>
      </c>
      <c r="P957" s="8" t="n">
        <v>1</v>
      </c>
      <c r="Q957" s="8" t="n">
        <v>75</v>
      </c>
      <c r="R957" s="7" t="inlineStr">
        <is>
          <t>https://www.ande.gov.py/documentos_contables/650/compilacion_estadistica_1998-2018.pdf</t>
        </is>
      </c>
      <c r="S957" s="6" t="inlineStr">
        <is>
          <t>ANDE-98-18</t>
        </is>
      </c>
      <c r="T957" s="6" t="inlineStr"/>
      <c r="U957" s="4" t="inlineStr">
        <is>
          <t>2026-09-11 00:05:00</t>
        </is>
      </c>
      <c r="V957" s="4" t="inlineStr">
        <is>
          <t>Serie revisada; prioridad sobre compilacion 1983-2006 en años solapados.</t>
        </is>
      </c>
    </row>
    <row r="958">
      <c r="A958" s="6" t="inlineStr">
        <is>
          <t>R0000978</t>
        </is>
      </c>
      <c r="B958" s="6" t="inlineStr">
        <is>
          <t>2001-01-01</t>
        </is>
      </c>
      <c r="C958" s="6" t="inlineStr">
        <is>
          <t>2001-12-31</t>
        </is>
      </c>
      <c r="D958" s="6" t="inlineStr">
        <is>
          <t>year</t>
        </is>
      </c>
      <c r="E958" s="6" t="inlineStr">
        <is>
          <t>ANDE_BILLED_INDUSTRIAL_ENERGY</t>
        </is>
      </c>
      <c r="F958" s="6" t="inlineStr">
        <is>
          <t>PY_SIN</t>
        </is>
      </c>
      <c r="G958" s="6" t="inlineStr">
        <is>
          <t>PY</t>
        </is>
      </c>
      <c r="H958" s="6" t="inlineStr">
        <is>
          <t>PY</t>
        </is>
      </c>
      <c r="I958" s="8" t="n">
        <v>919910</v>
      </c>
      <c r="J958" s="6" t="inlineStr">
        <is>
          <t>MWh</t>
        </is>
      </c>
      <c r="K958" s="8" t="n">
        <v>919910</v>
      </c>
      <c r="L958" s="6" t="inlineStr">
        <is>
          <t>MWh</t>
        </is>
      </c>
      <c r="M958" s="6" t="inlineStr">
        <is>
          <t>ANDE</t>
        </is>
      </c>
      <c r="N958" s="6" t="inlineStr">
        <is>
          <t>OFFICIAL_PRIMARY</t>
        </is>
      </c>
      <c r="O958" s="9" t="inlineStr">
        <is>
          <t>OFFICIAL_AGGREGATE</t>
        </is>
      </c>
      <c r="P958" s="8" t="n">
        <v>1</v>
      </c>
      <c r="Q958" s="8" t="n">
        <v>75</v>
      </c>
      <c r="R958" s="7" t="inlineStr">
        <is>
          <t>https://www.ande.gov.py/documentos_contables/650/compilacion_estadistica_1998-2018.pdf</t>
        </is>
      </c>
      <c r="S958" s="6" t="inlineStr">
        <is>
          <t>ANDE-98-18</t>
        </is>
      </c>
      <c r="T958" s="6" t="inlineStr"/>
      <c r="U958" s="4" t="inlineStr">
        <is>
          <t>2026-09-11 00:05:00</t>
        </is>
      </c>
      <c r="V958" s="4" t="inlineStr">
        <is>
          <t>Serie revisada; prioridad sobre compilacion 1983-2006 en años solapados.</t>
        </is>
      </c>
    </row>
    <row r="959">
      <c r="A959" s="6" t="inlineStr">
        <is>
          <t>R0000979</t>
        </is>
      </c>
      <c r="B959" s="6" t="inlineStr">
        <is>
          <t>2002-01-01</t>
        </is>
      </c>
      <c r="C959" s="6" t="inlineStr">
        <is>
          <t>2002-12-31</t>
        </is>
      </c>
      <c r="D959" s="6" t="inlineStr">
        <is>
          <t>year</t>
        </is>
      </c>
      <c r="E959" s="6" t="inlineStr">
        <is>
          <t>ANDE_BILLED_INDUSTRIAL_ENERGY</t>
        </is>
      </c>
      <c r="F959" s="6" t="inlineStr">
        <is>
          <t>PY_SIN</t>
        </is>
      </c>
      <c r="G959" s="6" t="inlineStr">
        <is>
          <t>PY</t>
        </is>
      </c>
      <c r="H959" s="6" t="inlineStr">
        <is>
          <t>PY</t>
        </is>
      </c>
      <c r="I959" s="8" t="n">
        <v>931350</v>
      </c>
      <c r="J959" s="6" t="inlineStr">
        <is>
          <t>MWh</t>
        </is>
      </c>
      <c r="K959" s="8" t="n">
        <v>931350</v>
      </c>
      <c r="L959" s="6" t="inlineStr">
        <is>
          <t>MWh</t>
        </is>
      </c>
      <c r="M959" s="6" t="inlineStr">
        <is>
          <t>ANDE</t>
        </is>
      </c>
      <c r="N959" s="6" t="inlineStr">
        <is>
          <t>OFFICIAL_PRIMARY</t>
        </is>
      </c>
      <c r="O959" s="9" t="inlineStr">
        <is>
          <t>OFFICIAL_AGGREGATE</t>
        </is>
      </c>
      <c r="P959" s="8" t="n">
        <v>1</v>
      </c>
      <c r="Q959" s="8" t="n">
        <v>75</v>
      </c>
      <c r="R959" s="7" t="inlineStr">
        <is>
          <t>https://www.ande.gov.py/documentos_contables/650/compilacion_estadistica_1998-2018.pdf</t>
        </is>
      </c>
      <c r="S959" s="6" t="inlineStr">
        <is>
          <t>ANDE-98-18</t>
        </is>
      </c>
      <c r="T959" s="6" t="inlineStr"/>
      <c r="U959" s="4" t="inlineStr">
        <is>
          <t>2026-09-11 00:05:00</t>
        </is>
      </c>
      <c r="V959" s="4" t="inlineStr">
        <is>
          <t>Serie revisada; prioridad sobre compilacion 1983-2006 en años solapados.</t>
        </is>
      </c>
    </row>
    <row r="960">
      <c r="A960" s="6" t="inlineStr">
        <is>
          <t>R0000996</t>
        </is>
      </c>
      <c r="B960" s="6" t="inlineStr">
        <is>
          <t>1998-01-01</t>
        </is>
      </c>
      <c r="C960" s="6" t="inlineStr">
        <is>
          <t>1998-12-31</t>
        </is>
      </c>
      <c r="D960" s="6" t="inlineStr">
        <is>
          <t>year</t>
        </is>
      </c>
      <c r="E960" s="6" t="inlineStr">
        <is>
          <t>ANDE_BILLED_OTHER_ENERGY</t>
        </is>
      </c>
      <c r="F960" s="6" t="inlineStr">
        <is>
          <t>PY_SIN</t>
        </is>
      </c>
      <c r="G960" s="6" t="inlineStr">
        <is>
          <t>PY</t>
        </is>
      </c>
      <c r="H960" s="6" t="inlineStr">
        <is>
          <t>PY</t>
        </is>
      </c>
      <c r="I960" s="8" t="n">
        <v>1153343</v>
      </c>
      <c r="J960" s="6" t="inlineStr">
        <is>
          <t>MWh</t>
        </is>
      </c>
      <c r="K960" s="8" t="n">
        <v>1153343</v>
      </c>
      <c r="L960" s="6" t="inlineStr">
        <is>
          <t>MWh</t>
        </is>
      </c>
      <c r="M960" s="6" t="inlineStr">
        <is>
          <t>ANDE</t>
        </is>
      </c>
      <c r="N960" s="6" t="inlineStr">
        <is>
          <t>OFFICIAL_PRIMARY</t>
        </is>
      </c>
      <c r="O960" s="9" t="inlineStr">
        <is>
          <t>OFFICIAL_AGGREGATE</t>
        </is>
      </c>
      <c r="P960" s="8" t="n">
        <v>1</v>
      </c>
      <c r="Q960" s="8" t="n">
        <v>75</v>
      </c>
      <c r="R960" s="7" t="inlineStr">
        <is>
          <t>https://www.ande.gov.py/documentos_contables/650/compilacion_estadistica_1998-2018.pdf</t>
        </is>
      </c>
      <c r="S960" s="6" t="inlineStr">
        <is>
          <t>ANDE-98-18</t>
        </is>
      </c>
      <c r="T960" s="6" t="inlineStr"/>
      <c r="U960" s="4" t="inlineStr">
        <is>
          <t>2026-09-11 00:05:00</t>
        </is>
      </c>
      <c r="V960" s="4" t="inlineStr">
        <is>
          <t>Serie revisada; prioridad sobre compilacion 1983-2006 en años solapados.</t>
        </is>
      </c>
    </row>
    <row r="961">
      <c r="A961" s="6" t="inlineStr">
        <is>
          <t>R0000997</t>
        </is>
      </c>
      <c r="B961" s="6" t="inlineStr">
        <is>
          <t>1999-01-01</t>
        </is>
      </c>
      <c r="C961" s="6" t="inlineStr">
        <is>
          <t>1999-12-31</t>
        </is>
      </c>
      <c r="D961" s="6" t="inlineStr">
        <is>
          <t>year</t>
        </is>
      </c>
      <c r="E961" s="6" t="inlineStr">
        <is>
          <t>ANDE_BILLED_OTHER_ENERGY</t>
        </is>
      </c>
      <c r="F961" s="6" t="inlineStr">
        <is>
          <t>PY_SIN</t>
        </is>
      </c>
      <c r="G961" s="6" t="inlineStr">
        <is>
          <t>PY</t>
        </is>
      </c>
      <c r="H961" s="6" t="inlineStr">
        <is>
          <t>PY</t>
        </is>
      </c>
      <c r="I961" s="8" t="n">
        <v>1215706</v>
      </c>
      <c r="J961" s="6" t="inlineStr">
        <is>
          <t>MWh</t>
        </is>
      </c>
      <c r="K961" s="8" t="n">
        <v>1215706</v>
      </c>
      <c r="L961" s="6" t="inlineStr">
        <is>
          <t>MWh</t>
        </is>
      </c>
      <c r="M961" s="6" t="inlineStr">
        <is>
          <t>ANDE</t>
        </is>
      </c>
      <c r="N961" s="6" t="inlineStr">
        <is>
          <t>OFFICIAL_PRIMARY</t>
        </is>
      </c>
      <c r="O961" s="9" t="inlineStr">
        <is>
          <t>OFFICIAL_AGGREGATE</t>
        </is>
      </c>
      <c r="P961" s="8" t="n">
        <v>1</v>
      </c>
      <c r="Q961" s="8" t="n">
        <v>75</v>
      </c>
      <c r="R961" s="7" t="inlineStr">
        <is>
          <t>https://www.ande.gov.py/documentos_contables/650/compilacion_estadistica_1998-2018.pdf</t>
        </is>
      </c>
      <c r="S961" s="6" t="inlineStr">
        <is>
          <t>ANDE-98-18</t>
        </is>
      </c>
      <c r="T961" s="6" t="inlineStr"/>
      <c r="U961" s="4" t="inlineStr">
        <is>
          <t>2026-09-11 00:05:00</t>
        </is>
      </c>
      <c r="V961" s="4" t="inlineStr">
        <is>
          <t>Serie revisada; prioridad sobre compilacion 1983-2006 en años solapados.</t>
        </is>
      </c>
    </row>
    <row r="962">
      <c r="A962" s="6" t="inlineStr">
        <is>
          <t>R0000998</t>
        </is>
      </c>
      <c r="B962" s="6" t="inlineStr">
        <is>
          <t>2000-01-01</t>
        </is>
      </c>
      <c r="C962" s="6" t="inlineStr">
        <is>
          <t>2000-12-31</t>
        </is>
      </c>
      <c r="D962" s="6" t="inlineStr">
        <is>
          <t>year</t>
        </is>
      </c>
      <c r="E962" s="6" t="inlineStr">
        <is>
          <t>ANDE_BILLED_OTHER_ENERGY</t>
        </is>
      </c>
      <c r="F962" s="6" t="inlineStr">
        <is>
          <t>PY_SIN</t>
        </is>
      </c>
      <c r="G962" s="6" t="inlineStr">
        <is>
          <t>PY</t>
        </is>
      </c>
      <c r="H962" s="6" t="inlineStr">
        <is>
          <t>PY</t>
        </is>
      </c>
      <c r="I962" s="8" t="n">
        <v>1284658</v>
      </c>
      <c r="J962" s="6" t="inlineStr">
        <is>
          <t>MWh</t>
        </is>
      </c>
      <c r="K962" s="8" t="n">
        <v>1284658</v>
      </c>
      <c r="L962" s="6" t="inlineStr">
        <is>
          <t>MWh</t>
        </is>
      </c>
      <c r="M962" s="6" t="inlineStr">
        <is>
          <t>ANDE</t>
        </is>
      </c>
      <c r="N962" s="6" t="inlineStr">
        <is>
          <t>OFFICIAL_PRIMARY</t>
        </is>
      </c>
      <c r="O962" s="9" t="inlineStr">
        <is>
          <t>OFFICIAL_AGGREGATE</t>
        </is>
      </c>
      <c r="P962" s="8" t="n">
        <v>1</v>
      </c>
      <c r="Q962" s="8" t="n">
        <v>75</v>
      </c>
      <c r="R962" s="7" t="inlineStr">
        <is>
          <t>https://www.ande.gov.py/documentos_contables/650/compilacion_estadistica_1998-2018.pdf</t>
        </is>
      </c>
      <c r="S962" s="6" t="inlineStr">
        <is>
          <t>ANDE-98-18</t>
        </is>
      </c>
      <c r="T962" s="6" t="inlineStr"/>
      <c r="U962" s="4" t="inlineStr">
        <is>
          <t>2026-09-11 00:05:00</t>
        </is>
      </c>
      <c r="V962" s="4" t="inlineStr">
        <is>
          <t>Serie revisada; prioridad sobre compilacion 1983-2006 en años solapados.</t>
        </is>
      </c>
    </row>
    <row r="963">
      <c r="A963" s="6" t="inlineStr">
        <is>
          <t>R0000999</t>
        </is>
      </c>
      <c r="B963" s="6" t="inlineStr">
        <is>
          <t>2001-01-01</t>
        </is>
      </c>
      <c r="C963" s="6" t="inlineStr">
        <is>
          <t>2001-12-31</t>
        </is>
      </c>
      <c r="D963" s="6" t="inlineStr">
        <is>
          <t>year</t>
        </is>
      </c>
      <c r="E963" s="6" t="inlineStr">
        <is>
          <t>ANDE_BILLED_OTHER_ENERGY</t>
        </is>
      </c>
      <c r="F963" s="6" t="inlineStr">
        <is>
          <t>PY_SIN</t>
        </is>
      </c>
      <c r="G963" s="6" t="inlineStr">
        <is>
          <t>PY</t>
        </is>
      </c>
      <c r="H963" s="6" t="inlineStr">
        <is>
          <t>PY</t>
        </is>
      </c>
      <c r="I963" s="8" t="n">
        <v>1292793</v>
      </c>
      <c r="J963" s="6" t="inlineStr">
        <is>
          <t>MWh</t>
        </is>
      </c>
      <c r="K963" s="8" t="n">
        <v>1292793</v>
      </c>
      <c r="L963" s="6" t="inlineStr">
        <is>
          <t>MWh</t>
        </is>
      </c>
      <c r="M963" s="6" t="inlineStr">
        <is>
          <t>ANDE</t>
        </is>
      </c>
      <c r="N963" s="6" t="inlineStr">
        <is>
          <t>OFFICIAL_PRIMARY</t>
        </is>
      </c>
      <c r="O963" s="9" t="inlineStr">
        <is>
          <t>OFFICIAL_AGGREGATE</t>
        </is>
      </c>
      <c r="P963" s="8" t="n">
        <v>1</v>
      </c>
      <c r="Q963" s="8" t="n">
        <v>75</v>
      </c>
      <c r="R963" s="7" t="inlineStr">
        <is>
          <t>https://www.ande.gov.py/documentos_contables/650/compilacion_estadistica_1998-2018.pdf</t>
        </is>
      </c>
      <c r="S963" s="6" t="inlineStr">
        <is>
          <t>ANDE-98-18</t>
        </is>
      </c>
      <c r="T963" s="6" t="inlineStr"/>
      <c r="U963" s="4" t="inlineStr">
        <is>
          <t>2026-09-11 00:05:00</t>
        </is>
      </c>
      <c r="V963" s="4" t="inlineStr">
        <is>
          <t>Serie revisada; prioridad sobre compilacion 1983-2006 en años solapados.</t>
        </is>
      </c>
    </row>
    <row r="964">
      <c r="A964" s="6" t="inlineStr">
        <is>
          <t>R0001000</t>
        </is>
      </c>
      <c r="B964" s="6" t="inlineStr">
        <is>
          <t>2002-01-01</t>
        </is>
      </c>
      <c r="C964" s="6" t="inlineStr">
        <is>
          <t>2002-12-31</t>
        </is>
      </c>
      <c r="D964" s="6" t="inlineStr">
        <is>
          <t>year</t>
        </is>
      </c>
      <c r="E964" s="6" t="inlineStr">
        <is>
          <t>ANDE_BILLED_OTHER_ENERGY</t>
        </is>
      </c>
      <c r="F964" s="6" t="inlineStr">
        <is>
          <t>PY_SIN</t>
        </is>
      </c>
      <c r="G964" s="6" t="inlineStr">
        <is>
          <t>PY</t>
        </is>
      </c>
      <c r="H964" s="6" t="inlineStr">
        <is>
          <t>PY</t>
        </is>
      </c>
      <c r="I964" s="8" t="n">
        <v>1270999</v>
      </c>
      <c r="J964" s="6" t="inlineStr">
        <is>
          <t>MWh</t>
        </is>
      </c>
      <c r="K964" s="8" t="n">
        <v>1270999</v>
      </c>
      <c r="L964" s="6" t="inlineStr">
        <is>
          <t>MWh</t>
        </is>
      </c>
      <c r="M964" s="6" t="inlineStr">
        <is>
          <t>ANDE</t>
        </is>
      </c>
      <c r="N964" s="6" t="inlineStr">
        <is>
          <t>OFFICIAL_PRIMARY</t>
        </is>
      </c>
      <c r="O964" s="9" t="inlineStr">
        <is>
          <t>OFFICIAL_AGGREGATE</t>
        </is>
      </c>
      <c r="P964" s="8" t="n">
        <v>1</v>
      </c>
      <c r="Q964" s="8" t="n">
        <v>75</v>
      </c>
      <c r="R964" s="7" t="inlineStr">
        <is>
          <t>https://www.ande.gov.py/documentos_contables/650/compilacion_estadistica_1998-2018.pdf</t>
        </is>
      </c>
      <c r="S964" s="6" t="inlineStr">
        <is>
          <t>ANDE-98-18</t>
        </is>
      </c>
      <c r="T964" s="6" t="inlineStr"/>
      <c r="U964" s="4" t="inlineStr">
        <is>
          <t>2026-09-11 00:05:00</t>
        </is>
      </c>
      <c r="V964" s="4" t="inlineStr">
        <is>
          <t>Serie revisada; prioridad sobre compilacion 1983-2006 en años solapados.</t>
        </is>
      </c>
    </row>
    <row r="965">
      <c r="A965" s="6" t="inlineStr">
        <is>
          <t>R0001017</t>
        </is>
      </c>
      <c r="B965" s="6" t="inlineStr">
        <is>
          <t>1998-01-01</t>
        </is>
      </c>
      <c r="C965" s="6" t="inlineStr">
        <is>
          <t>1998-12-31</t>
        </is>
      </c>
      <c r="D965" s="6" t="inlineStr">
        <is>
          <t>year</t>
        </is>
      </c>
      <c r="E965" s="6" t="inlineStr">
        <is>
          <t>ANDE_BILLED_GOV_ENERGY</t>
        </is>
      </c>
      <c r="F965" s="6" t="inlineStr">
        <is>
          <t>PY_SIN</t>
        </is>
      </c>
      <c r="G965" s="6" t="inlineStr">
        <is>
          <t>PY</t>
        </is>
      </c>
      <c r="H965" s="6" t="inlineStr">
        <is>
          <t>PY</t>
        </is>
      </c>
      <c r="I965" s="8" t="n">
        <v>84298</v>
      </c>
      <c r="J965" s="6" t="inlineStr">
        <is>
          <t>MWh</t>
        </is>
      </c>
      <c r="K965" s="8" t="n">
        <v>84298</v>
      </c>
      <c r="L965" s="6" t="inlineStr">
        <is>
          <t>MWh</t>
        </is>
      </c>
      <c r="M965" s="6" t="inlineStr">
        <is>
          <t>ANDE</t>
        </is>
      </c>
      <c r="N965" s="6" t="inlineStr">
        <is>
          <t>OFFICIAL_PRIMARY</t>
        </is>
      </c>
      <c r="O965" s="9" t="inlineStr">
        <is>
          <t>OFFICIAL_AGGREGATE</t>
        </is>
      </c>
      <c r="P965" s="8" t="n">
        <v>1</v>
      </c>
      <c r="Q965" s="8" t="n">
        <v>75</v>
      </c>
      <c r="R965" s="7" t="inlineStr">
        <is>
          <t>https://www.ande.gov.py/documentos_contables/650/compilacion_estadistica_1998-2018.pdf</t>
        </is>
      </c>
      <c r="S965" s="6" t="inlineStr">
        <is>
          <t>ANDE-98-18</t>
        </is>
      </c>
      <c r="T965" s="6" t="inlineStr"/>
      <c r="U965" s="4" t="inlineStr">
        <is>
          <t>2026-09-11 00:05:00</t>
        </is>
      </c>
      <c r="V965" s="4" t="inlineStr">
        <is>
          <t>Serie revisada; prioridad sobre compilacion 1983-2006 en años solapados.</t>
        </is>
      </c>
    </row>
    <row r="966">
      <c r="A966" s="6" t="inlineStr">
        <is>
          <t>R0001018</t>
        </is>
      </c>
      <c r="B966" s="6" t="inlineStr">
        <is>
          <t>1999-01-01</t>
        </is>
      </c>
      <c r="C966" s="6" t="inlineStr">
        <is>
          <t>1999-12-31</t>
        </is>
      </c>
      <c r="D966" s="6" t="inlineStr">
        <is>
          <t>year</t>
        </is>
      </c>
      <c r="E966" s="6" t="inlineStr">
        <is>
          <t>ANDE_BILLED_GOV_ENERGY</t>
        </is>
      </c>
      <c r="F966" s="6" t="inlineStr">
        <is>
          <t>PY_SIN</t>
        </is>
      </c>
      <c r="G966" s="6" t="inlineStr">
        <is>
          <t>PY</t>
        </is>
      </c>
      <c r="H966" s="6" t="inlineStr">
        <is>
          <t>PY</t>
        </is>
      </c>
      <c r="I966" s="8" t="n">
        <v>114685</v>
      </c>
      <c r="J966" s="6" t="inlineStr">
        <is>
          <t>MWh</t>
        </is>
      </c>
      <c r="K966" s="8" t="n">
        <v>114685</v>
      </c>
      <c r="L966" s="6" t="inlineStr">
        <is>
          <t>MWh</t>
        </is>
      </c>
      <c r="M966" s="6" t="inlineStr">
        <is>
          <t>ANDE</t>
        </is>
      </c>
      <c r="N966" s="6" t="inlineStr">
        <is>
          <t>OFFICIAL_PRIMARY</t>
        </is>
      </c>
      <c r="O966" s="9" t="inlineStr">
        <is>
          <t>OFFICIAL_AGGREGATE</t>
        </is>
      </c>
      <c r="P966" s="8" t="n">
        <v>1</v>
      </c>
      <c r="Q966" s="8" t="n">
        <v>75</v>
      </c>
      <c r="R966" s="7" t="inlineStr">
        <is>
          <t>https://www.ande.gov.py/documentos_contables/650/compilacion_estadistica_1998-2018.pdf</t>
        </is>
      </c>
      <c r="S966" s="6" t="inlineStr">
        <is>
          <t>ANDE-98-18</t>
        </is>
      </c>
      <c r="T966" s="6" t="inlineStr"/>
      <c r="U966" s="4" t="inlineStr">
        <is>
          <t>2026-09-11 00:05:00</t>
        </is>
      </c>
      <c r="V966" s="4" t="inlineStr">
        <is>
          <t>Serie revisada; prioridad sobre compilacion 1983-2006 en años solapados.</t>
        </is>
      </c>
    </row>
    <row r="967">
      <c r="A967" s="6" t="inlineStr">
        <is>
          <t>R0001019</t>
        </is>
      </c>
      <c r="B967" s="6" t="inlineStr">
        <is>
          <t>2000-01-01</t>
        </is>
      </c>
      <c r="C967" s="6" t="inlineStr">
        <is>
          <t>2000-12-31</t>
        </is>
      </c>
      <c r="D967" s="6" t="inlineStr">
        <is>
          <t>year</t>
        </is>
      </c>
      <c r="E967" s="6" t="inlineStr">
        <is>
          <t>ANDE_BILLED_GOV_ENERGY</t>
        </is>
      </c>
      <c r="F967" s="6" t="inlineStr">
        <is>
          <t>PY_SIN</t>
        </is>
      </c>
      <c r="G967" s="6" t="inlineStr">
        <is>
          <t>PY</t>
        </is>
      </c>
      <c r="H967" s="6" t="inlineStr">
        <is>
          <t>PY</t>
        </is>
      </c>
      <c r="I967" s="8" t="n">
        <v>141307</v>
      </c>
      <c r="J967" s="6" t="inlineStr">
        <is>
          <t>MWh</t>
        </is>
      </c>
      <c r="K967" s="8" t="n">
        <v>141307</v>
      </c>
      <c r="L967" s="6" t="inlineStr">
        <is>
          <t>MWh</t>
        </is>
      </c>
      <c r="M967" s="6" t="inlineStr">
        <is>
          <t>ANDE</t>
        </is>
      </c>
      <c r="N967" s="6" t="inlineStr">
        <is>
          <t>OFFICIAL_PRIMARY</t>
        </is>
      </c>
      <c r="O967" s="9" t="inlineStr">
        <is>
          <t>OFFICIAL_AGGREGATE</t>
        </is>
      </c>
      <c r="P967" s="8" t="n">
        <v>1</v>
      </c>
      <c r="Q967" s="8" t="n">
        <v>75</v>
      </c>
      <c r="R967" s="7" t="inlineStr">
        <is>
          <t>https://www.ande.gov.py/documentos_contables/650/compilacion_estadistica_1998-2018.pdf</t>
        </is>
      </c>
      <c r="S967" s="6" t="inlineStr">
        <is>
          <t>ANDE-98-18</t>
        </is>
      </c>
      <c r="T967" s="6" t="inlineStr"/>
      <c r="U967" s="4" t="inlineStr">
        <is>
          <t>2026-09-11 00:05:00</t>
        </is>
      </c>
      <c r="V967" s="4" t="inlineStr">
        <is>
          <t>Serie revisada; prioridad sobre compilacion 1983-2006 en años solapados.</t>
        </is>
      </c>
    </row>
    <row r="968">
      <c r="A968" s="6" t="inlineStr">
        <is>
          <t>R0001020</t>
        </is>
      </c>
      <c r="B968" s="6" t="inlineStr">
        <is>
          <t>2001-01-01</t>
        </is>
      </c>
      <c r="C968" s="6" t="inlineStr">
        <is>
          <t>2001-12-31</t>
        </is>
      </c>
      <c r="D968" s="6" t="inlineStr">
        <is>
          <t>year</t>
        </is>
      </c>
      <c r="E968" s="6" t="inlineStr">
        <is>
          <t>ANDE_BILLED_GOV_ENERGY</t>
        </is>
      </c>
      <c r="F968" s="6" t="inlineStr">
        <is>
          <t>PY_SIN</t>
        </is>
      </c>
      <c r="G968" s="6" t="inlineStr">
        <is>
          <t>PY</t>
        </is>
      </c>
      <c r="H968" s="6" t="inlineStr">
        <is>
          <t>PY</t>
        </is>
      </c>
      <c r="I968" s="8" t="n">
        <v>146788</v>
      </c>
      <c r="J968" s="6" t="inlineStr">
        <is>
          <t>MWh</t>
        </is>
      </c>
      <c r="K968" s="8" t="n">
        <v>146788</v>
      </c>
      <c r="L968" s="6" t="inlineStr">
        <is>
          <t>MWh</t>
        </is>
      </c>
      <c r="M968" s="6" t="inlineStr">
        <is>
          <t>ANDE</t>
        </is>
      </c>
      <c r="N968" s="6" t="inlineStr">
        <is>
          <t>OFFICIAL_PRIMARY</t>
        </is>
      </c>
      <c r="O968" s="9" t="inlineStr">
        <is>
          <t>OFFICIAL_AGGREGATE</t>
        </is>
      </c>
      <c r="P968" s="8" t="n">
        <v>1</v>
      </c>
      <c r="Q968" s="8" t="n">
        <v>75</v>
      </c>
      <c r="R968" s="7" t="inlineStr">
        <is>
          <t>https://www.ande.gov.py/documentos_contables/650/compilacion_estadistica_1998-2018.pdf</t>
        </is>
      </c>
      <c r="S968" s="6" t="inlineStr">
        <is>
          <t>ANDE-98-18</t>
        </is>
      </c>
      <c r="T968" s="6" t="inlineStr"/>
      <c r="U968" s="4" t="inlineStr">
        <is>
          <t>2026-09-11 00:05:00</t>
        </is>
      </c>
      <c r="V968" s="4" t="inlineStr">
        <is>
          <t>Serie revisada; prioridad sobre compilacion 1983-2006 en años solapados.</t>
        </is>
      </c>
    </row>
    <row r="969">
      <c r="A969" s="6" t="inlineStr">
        <is>
          <t>R0001021</t>
        </is>
      </c>
      <c r="B969" s="6" t="inlineStr">
        <is>
          <t>2002-01-01</t>
        </is>
      </c>
      <c r="C969" s="6" t="inlineStr">
        <is>
          <t>2002-12-31</t>
        </is>
      </c>
      <c r="D969" s="6" t="inlineStr">
        <is>
          <t>year</t>
        </is>
      </c>
      <c r="E969" s="6" t="inlineStr">
        <is>
          <t>ANDE_BILLED_GOV_ENERGY</t>
        </is>
      </c>
      <c r="F969" s="6" t="inlineStr">
        <is>
          <t>PY_SIN</t>
        </is>
      </c>
      <c r="G969" s="6" t="inlineStr">
        <is>
          <t>PY</t>
        </is>
      </c>
      <c r="H969" s="6" t="inlineStr">
        <is>
          <t>PY</t>
        </is>
      </c>
      <c r="I969" s="8" t="n">
        <v>146896</v>
      </c>
      <c r="J969" s="6" t="inlineStr">
        <is>
          <t>MWh</t>
        </is>
      </c>
      <c r="K969" s="8" t="n">
        <v>146896</v>
      </c>
      <c r="L969" s="6" t="inlineStr">
        <is>
          <t>MWh</t>
        </is>
      </c>
      <c r="M969" s="6" t="inlineStr">
        <is>
          <t>ANDE</t>
        </is>
      </c>
      <c r="N969" s="6" t="inlineStr">
        <is>
          <t>OFFICIAL_PRIMARY</t>
        </is>
      </c>
      <c r="O969" s="9" t="inlineStr">
        <is>
          <t>OFFICIAL_AGGREGATE</t>
        </is>
      </c>
      <c r="P969" s="8" t="n">
        <v>1</v>
      </c>
      <c r="Q969" s="8" t="n">
        <v>75</v>
      </c>
      <c r="R969" s="7" t="inlineStr">
        <is>
          <t>https://www.ande.gov.py/documentos_contables/650/compilacion_estadistica_1998-2018.pdf</t>
        </is>
      </c>
      <c r="S969" s="6" t="inlineStr">
        <is>
          <t>ANDE-98-18</t>
        </is>
      </c>
      <c r="T969" s="6" t="inlineStr"/>
      <c r="U969" s="4" t="inlineStr">
        <is>
          <t>2026-09-11 00:05:00</t>
        </is>
      </c>
      <c r="V969" s="4" t="inlineStr">
        <is>
          <t>Serie revisada; prioridad sobre compilacion 1983-2006 en años solapados.</t>
        </is>
      </c>
    </row>
    <row r="970">
      <c r="A970" s="6" t="inlineStr">
        <is>
          <t>R0001038</t>
        </is>
      </c>
      <c r="B970" s="6" t="inlineStr">
        <is>
          <t>1998-01-01</t>
        </is>
      </c>
      <c r="C970" s="6" t="inlineStr">
        <is>
          <t>1998-12-31</t>
        </is>
      </c>
      <c r="D970" s="6" t="inlineStr">
        <is>
          <t>year</t>
        </is>
      </c>
      <c r="E970" s="6" t="inlineStr">
        <is>
          <t>ANDE_BILLED_PUBLIC_LIGHT_ENERGY</t>
        </is>
      </c>
      <c r="F970" s="6" t="inlineStr">
        <is>
          <t>PY_SIN</t>
        </is>
      </c>
      <c r="G970" s="6" t="inlineStr">
        <is>
          <t>PY</t>
        </is>
      </c>
      <c r="H970" s="6" t="inlineStr">
        <is>
          <t>PY</t>
        </is>
      </c>
      <c r="I970" s="8" t="n">
        <v>106671</v>
      </c>
      <c r="J970" s="6" t="inlineStr">
        <is>
          <t>MWh</t>
        </is>
      </c>
      <c r="K970" s="8" t="n">
        <v>106671</v>
      </c>
      <c r="L970" s="6" t="inlineStr">
        <is>
          <t>MWh</t>
        </is>
      </c>
      <c r="M970" s="6" t="inlineStr">
        <is>
          <t>ANDE</t>
        </is>
      </c>
      <c r="N970" s="6" t="inlineStr">
        <is>
          <t>OFFICIAL_PRIMARY</t>
        </is>
      </c>
      <c r="O970" s="9" t="inlineStr">
        <is>
          <t>OFFICIAL_AGGREGATE</t>
        </is>
      </c>
      <c r="P970" s="8" t="n">
        <v>1</v>
      </c>
      <c r="Q970" s="8" t="n">
        <v>75</v>
      </c>
      <c r="R970" s="7" t="inlineStr">
        <is>
          <t>https://www.ande.gov.py/documentos_contables/650/compilacion_estadistica_1998-2018.pdf</t>
        </is>
      </c>
      <c r="S970" s="6" t="inlineStr">
        <is>
          <t>ANDE-98-18</t>
        </is>
      </c>
      <c r="T970" s="6" t="inlineStr"/>
      <c r="U970" s="4" t="inlineStr">
        <is>
          <t>2026-09-11 00:05:00</t>
        </is>
      </c>
      <c r="V970" s="4" t="inlineStr">
        <is>
          <t>Serie revisada; prioridad sobre compilacion 1983-2006 en años solapados.</t>
        </is>
      </c>
    </row>
    <row r="971">
      <c r="A971" s="6" t="inlineStr">
        <is>
          <t>R0001039</t>
        </is>
      </c>
      <c r="B971" s="6" t="inlineStr">
        <is>
          <t>1999-01-01</t>
        </is>
      </c>
      <c r="C971" s="6" t="inlineStr">
        <is>
          <t>1999-12-31</t>
        </is>
      </c>
      <c r="D971" s="6" t="inlineStr">
        <is>
          <t>year</t>
        </is>
      </c>
      <c r="E971" s="6" t="inlineStr">
        <is>
          <t>ANDE_BILLED_PUBLIC_LIGHT_ENERGY</t>
        </is>
      </c>
      <c r="F971" s="6" t="inlineStr">
        <is>
          <t>PY_SIN</t>
        </is>
      </c>
      <c r="G971" s="6" t="inlineStr">
        <is>
          <t>PY</t>
        </is>
      </c>
      <c r="H971" s="6" t="inlineStr">
        <is>
          <t>PY</t>
        </is>
      </c>
      <c r="I971" s="8" t="n">
        <v>114347</v>
      </c>
      <c r="J971" s="6" t="inlineStr">
        <is>
          <t>MWh</t>
        </is>
      </c>
      <c r="K971" s="8" t="n">
        <v>114347</v>
      </c>
      <c r="L971" s="6" t="inlineStr">
        <is>
          <t>MWh</t>
        </is>
      </c>
      <c r="M971" s="6" t="inlineStr">
        <is>
          <t>ANDE</t>
        </is>
      </c>
      <c r="N971" s="6" t="inlineStr">
        <is>
          <t>OFFICIAL_PRIMARY</t>
        </is>
      </c>
      <c r="O971" s="9" t="inlineStr">
        <is>
          <t>OFFICIAL_AGGREGATE</t>
        </is>
      </c>
      <c r="P971" s="8" t="n">
        <v>1</v>
      </c>
      <c r="Q971" s="8" t="n">
        <v>75</v>
      </c>
      <c r="R971" s="7" t="inlineStr">
        <is>
          <t>https://www.ande.gov.py/documentos_contables/650/compilacion_estadistica_1998-2018.pdf</t>
        </is>
      </c>
      <c r="S971" s="6" t="inlineStr">
        <is>
          <t>ANDE-98-18</t>
        </is>
      </c>
      <c r="T971" s="6" t="inlineStr"/>
      <c r="U971" s="4" t="inlineStr">
        <is>
          <t>2026-09-11 00:05:00</t>
        </is>
      </c>
      <c r="V971" s="4" t="inlineStr">
        <is>
          <t>Serie revisada; prioridad sobre compilacion 1983-2006 en años solapados.</t>
        </is>
      </c>
    </row>
    <row r="972">
      <c r="A972" s="6" t="inlineStr">
        <is>
          <t>R0001040</t>
        </is>
      </c>
      <c r="B972" s="6" t="inlineStr">
        <is>
          <t>2000-01-01</t>
        </is>
      </c>
      <c r="C972" s="6" t="inlineStr">
        <is>
          <t>2000-12-31</t>
        </is>
      </c>
      <c r="D972" s="6" t="inlineStr">
        <is>
          <t>year</t>
        </is>
      </c>
      <c r="E972" s="6" t="inlineStr">
        <is>
          <t>ANDE_BILLED_PUBLIC_LIGHT_ENERGY</t>
        </is>
      </c>
      <c r="F972" s="6" t="inlineStr">
        <is>
          <t>PY_SIN</t>
        </is>
      </c>
      <c r="G972" s="6" t="inlineStr">
        <is>
          <t>PY</t>
        </is>
      </c>
      <c r="H972" s="6" t="inlineStr">
        <is>
          <t>PY</t>
        </is>
      </c>
      <c r="I972" s="8" t="n">
        <v>117308</v>
      </c>
      <c r="J972" s="6" t="inlineStr">
        <is>
          <t>MWh</t>
        </is>
      </c>
      <c r="K972" s="8" t="n">
        <v>117308</v>
      </c>
      <c r="L972" s="6" t="inlineStr">
        <is>
          <t>MWh</t>
        </is>
      </c>
      <c r="M972" s="6" t="inlineStr">
        <is>
          <t>ANDE</t>
        </is>
      </c>
      <c r="N972" s="6" t="inlineStr">
        <is>
          <t>OFFICIAL_PRIMARY</t>
        </is>
      </c>
      <c r="O972" s="9" t="inlineStr">
        <is>
          <t>OFFICIAL_AGGREGATE</t>
        </is>
      </c>
      <c r="P972" s="8" t="n">
        <v>1</v>
      </c>
      <c r="Q972" s="8" t="n">
        <v>75</v>
      </c>
      <c r="R972" s="7" t="inlineStr">
        <is>
          <t>https://www.ande.gov.py/documentos_contables/650/compilacion_estadistica_1998-2018.pdf</t>
        </is>
      </c>
      <c r="S972" s="6" t="inlineStr">
        <is>
          <t>ANDE-98-18</t>
        </is>
      </c>
      <c r="T972" s="6" t="inlineStr"/>
      <c r="U972" s="4" t="inlineStr">
        <is>
          <t>2026-09-11 00:05:00</t>
        </is>
      </c>
      <c r="V972" s="4" t="inlineStr">
        <is>
          <t>Serie revisada; prioridad sobre compilacion 1983-2006 en años solapados.</t>
        </is>
      </c>
    </row>
    <row r="973">
      <c r="A973" s="6" t="inlineStr">
        <is>
          <t>R0001041</t>
        </is>
      </c>
      <c r="B973" s="6" t="inlineStr">
        <is>
          <t>2001-01-01</t>
        </is>
      </c>
      <c r="C973" s="6" t="inlineStr">
        <is>
          <t>2001-12-31</t>
        </is>
      </c>
      <c r="D973" s="6" t="inlineStr">
        <is>
          <t>year</t>
        </is>
      </c>
      <c r="E973" s="6" t="inlineStr">
        <is>
          <t>ANDE_BILLED_PUBLIC_LIGHT_ENERGY</t>
        </is>
      </c>
      <c r="F973" s="6" t="inlineStr">
        <is>
          <t>PY_SIN</t>
        </is>
      </c>
      <c r="G973" s="6" t="inlineStr">
        <is>
          <t>PY</t>
        </is>
      </c>
      <c r="H973" s="6" t="inlineStr">
        <is>
          <t>PY</t>
        </is>
      </c>
      <c r="I973" s="8" t="n">
        <v>123696</v>
      </c>
      <c r="J973" s="6" t="inlineStr">
        <is>
          <t>MWh</t>
        </is>
      </c>
      <c r="K973" s="8" t="n">
        <v>123696</v>
      </c>
      <c r="L973" s="6" t="inlineStr">
        <is>
          <t>MWh</t>
        </is>
      </c>
      <c r="M973" s="6" t="inlineStr">
        <is>
          <t>ANDE</t>
        </is>
      </c>
      <c r="N973" s="6" t="inlineStr">
        <is>
          <t>OFFICIAL_PRIMARY</t>
        </is>
      </c>
      <c r="O973" s="9" t="inlineStr">
        <is>
          <t>OFFICIAL_AGGREGATE</t>
        </is>
      </c>
      <c r="P973" s="8" t="n">
        <v>1</v>
      </c>
      <c r="Q973" s="8" t="n">
        <v>75</v>
      </c>
      <c r="R973" s="7" t="inlineStr">
        <is>
          <t>https://www.ande.gov.py/documentos_contables/650/compilacion_estadistica_1998-2018.pdf</t>
        </is>
      </c>
      <c r="S973" s="6" t="inlineStr">
        <is>
          <t>ANDE-98-18</t>
        </is>
      </c>
      <c r="T973" s="6" t="inlineStr"/>
      <c r="U973" s="4" t="inlineStr">
        <is>
          <t>2026-09-11 00:05:00</t>
        </is>
      </c>
      <c r="V973" s="4" t="inlineStr">
        <is>
          <t>Serie revisada; prioridad sobre compilacion 1983-2006 en años solapados.</t>
        </is>
      </c>
    </row>
    <row r="974">
      <c r="A974" s="6" t="inlineStr">
        <is>
          <t>R0001042</t>
        </is>
      </c>
      <c r="B974" s="6" t="inlineStr">
        <is>
          <t>2002-01-01</t>
        </is>
      </c>
      <c r="C974" s="6" t="inlineStr">
        <is>
          <t>2002-12-31</t>
        </is>
      </c>
      <c r="D974" s="6" t="inlineStr">
        <is>
          <t>year</t>
        </is>
      </c>
      <c r="E974" s="6" t="inlineStr">
        <is>
          <t>ANDE_BILLED_PUBLIC_LIGHT_ENERGY</t>
        </is>
      </c>
      <c r="F974" s="6" t="inlineStr">
        <is>
          <t>PY_SIN</t>
        </is>
      </c>
      <c r="G974" s="6" t="inlineStr">
        <is>
          <t>PY</t>
        </is>
      </c>
      <c r="H974" s="6" t="inlineStr">
        <is>
          <t>PY</t>
        </is>
      </c>
      <c r="I974" s="8" t="n">
        <v>126652</v>
      </c>
      <c r="J974" s="6" t="inlineStr">
        <is>
          <t>MWh</t>
        </is>
      </c>
      <c r="K974" s="8" t="n">
        <v>126652</v>
      </c>
      <c r="L974" s="6" t="inlineStr">
        <is>
          <t>MWh</t>
        </is>
      </c>
      <c r="M974" s="6" t="inlineStr">
        <is>
          <t>ANDE</t>
        </is>
      </c>
      <c r="N974" s="6" t="inlineStr">
        <is>
          <t>OFFICIAL_PRIMARY</t>
        </is>
      </c>
      <c r="O974" s="9" t="inlineStr">
        <is>
          <t>OFFICIAL_AGGREGATE</t>
        </is>
      </c>
      <c r="P974" s="8" t="n">
        <v>1</v>
      </c>
      <c r="Q974" s="8" t="n">
        <v>75</v>
      </c>
      <c r="R974" s="7" t="inlineStr">
        <is>
          <t>https://www.ande.gov.py/documentos_contables/650/compilacion_estadistica_1998-2018.pdf</t>
        </is>
      </c>
      <c r="S974" s="6" t="inlineStr">
        <is>
          <t>ANDE-98-18</t>
        </is>
      </c>
      <c r="T974" s="6" t="inlineStr"/>
      <c r="U974" s="4" t="inlineStr">
        <is>
          <t>2026-09-11 00:05:00</t>
        </is>
      </c>
      <c r="V974" s="4" t="inlineStr">
        <is>
          <t>Serie revisada; prioridad sobre compilacion 1983-2006 en años solapados.</t>
        </is>
      </c>
    </row>
    <row r="975">
      <c r="A975" s="6" t="inlineStr">
        <is>
          <t>R0001059</t>
        </is>
      </c>
      <c r="B975" s="6" t="inlineStr">
        <is>
          <t>1998-01-01</t>
        </is>
      </c>
      <c r="C975" s="6" t="inlineStr">
        <is>
          <t>1998-12-31</t>
        </is>
      </c>
      <c r="D975" s="6" t="inlineStr">
        <is>
          <t>year</t>
        </is>
      </c>
      <c r="E975" s="6" t="inlineStr">
        <is>
          <t>ANDE_BILLED_NATIONAL_ENERGY</t>
        </is>
      </c>
      <c r="F975" s="6" t="inlineStr">
        <is>
          <t>PY_SIN</t>
        </is>
      </c>
      <c r="G975" s="6" t="inlineStr">
        <is>
          <t>PY</t>
        </is>
      </c>
      <c r="H975" s="6" t="inlineStr">
        <is>
          <t>PY</t>
        </is>
      </c>
      <c r="I975" s="8" t="n">
        <v>3974118</v>
      </c>
      <c r="J975" s="6" t="inlineStr">
        <is>
          <t>MWh</t>
        </is>
      </c>
      <c r="K975" s="8" t="n">
        <v>3974118</v>
      </c>
      <c r="L975" s="6" t="inlineStr">
        <is>
          <t>MWh</t>
        </is>
      </c>
      <c r="M975" s="6" t="inlineStr">
        <is>
          <t>ANDE</t>
        </is>
      </c>
      <c r="N975" s="6" t="inlineStr">
        <is>
          <t>OFFICIAL_PRIMARY</t>
        </is>
      </c>
      <c r="O975" s="9" t="inlineStr">
        <is>
          <t>OFFICIAL_AGGREGATE</t>
        </is>
      </c>
      <c r="P975" s="8" t="n">
        <v>1</v>
      </c>
      <c r="Q975" s="8" t="n">
        <v>75</v>
      </c>
      <c r="R975" s="7" t="inlineStr">
        <is>
          <t>https://www.ande.gov.py/documentos_contables/650/compilacion_estadistica_1998-2018.pdf</t>
        </is>
      </c>
      <c r="S975" s="6" t="inlineStr">
        <is>
          <t>ANDE-98-18</t>
        </is>
      </c>
      <c r="T975" s="6" t="inlineStr"/>
      <c r="U975" s="4" t="inlineStr">
        <is>
          <t>2026-09-11 00:05:00</t>
        </is>
      </c>
      <c r="V975" s="4" t="inlineStr">
        <is>
          <t>Serie revisada; prioridad sobre compilacion 1983-2006 en años solapados.</t>
        </is>
      </c>
    </row>
    <row r="976">
      <c r="A976" s="6" t="inlineStr">
        <is>
          <t>R0001060</t>
        </is>
      </c>
      <c r="B976" s="6" t="inlineStr">
        <is>
          <t>1999-01-01</t>
        </is>
      </c>
      <c r="C976" s="6" t="inlineStr">
        <is>
          <t>1999-12-31</t>
        </is>
      </c>
      <c r="D976" s="6" t="inlineStr">
        <is>
          <t>year</t>
        </is>
      </c>
      <c r="E976" s="6" t="inlineStr">
        <is>
          <t>ANDE_BILLED_NATIONAL_ENERGY</t>
        </is>
      </c>
      <c r="F976" s="6" t="inlineStr">
        <is>
          <t>PY_SIN</t>
        </is>
      </c>
      <c r="G976" s="6" t="inlineStr">
        <is>
          <t>PY</t>
        </is>
      </c>
      <c r="H976" s="6" t="inlineStr">
        <is>
          <t>PY</t>
        </is>
      </c>
      <c r="I976" s="8" t="n">
        <v>4327482</v>
      </c>
      <c r="J976" s="6" t="inlineStr">
        <is>
          <t>MWh</t>
        </is>
      </c>
      <c r="K976" s="8" t="n">
        <v>4327482</v>
      </c>
      <c r="L976" s="6" t="inlineStr">
        <is>
          <t>MWh</t>
        </is>
      </c>
      <c r="M976" s="6" t="inlineStr">
        <is>
          <t>ANDE</t>
        </is>
      </c>
      <c r="N976" s="6" t="inlineStr">
        <is>
          <t>OFFICIAL_PRIMARY</t>
        </is>
      </c>
      <c r="O976" s="9" t="inlineStr">
        <is>
          <t>OFFICIAL_AGGREGATE</t>
        </is>
      </c>
      <c r="P976" s="8" t="n">
        <v>1</v>
      </c>
      <c r="Q976" s="8" t="n">
        <v>75</v>
      </c>
      <c r="R976" s="7" t="inlineStr">
        <is>
          <t>https://www.ande.gov.py/documentos_contables/650/compilacion_estadistica_1998-2018.pdf</t>
        </is>
      </c>
      <c r="S976" s="6" t="inlineStr">
        <is>
          <t>ANDE-98-18</t>
        </is>
      </c>
      <c r="T976" s="6" t="inlineStr"/>
      <c r="U976" s="4" t="inlineStr">
        <is>
          <t>2026-09-11 00:05:00</t>
        </is>
      </c>
      <c r="V976" s="4" t="inlineStr">
        <is>
          <t>Serie revisada; prioridad sobre compilacion 1983-2006 en años solapados.</t>
        </is>
      </c>
    </row>
    <row r="977">
      <c r="A977" s="6" t="inlineStr">
        <is>
          <t>R0001061</t>
        </is>
      </c>
      <c r="B977" s="6" t="inlineStr">
        <is>
          <t>2000-01-01</t>
        </is>
      </c>
      <c r="C977" s="6" t="inlineStr">
        <is>
          <t>2000-12-31</t>
        </is>
      </c>
      <c r="D977" s="6" t="inlineStr">
        <is>
          <t>year</t>
        </is>
      </c>
      <c r="E977" s="6" t="inlineStr">
        <is>
          <t>ANDE_BILLED_NATIONAL_ENERGY</t>
        </is>
      </c>
      <c r="F977" s="6" t="inlineStr">
        <is>
          <t>PY_SIN</t>
        </is>
      </c>
      <c r="G977" s="6" t="inlineStr">
        <is>
          <t>PY</t>
        </is>
      </c>
      <c r="H977" s="6" t="inlineStr">
        <is>
          <t>PY</t>
        </is>
      </c>
      <c r="I977" s="8" t="n">
        <v>4459508</v>
      </c>
      <c r="J977" s="6" t="inlineStr">
        <is>
          <t>MWh</t>
        </is>
      </c>
      <c r="K977" s="8" t="n">
        <v>4459508</v>
      </c>
      <c r="L977" s="6" t="inlineStr">
        <is>
          <t>MWh</t>
        </is>
      </c>
      <c r="M977" s="6" t="inlineStr">
        <is>
          <t>ANDE</t>
        </is>
      </c>
      <c r="N977" s="6" t="inlineStr">
        <is>
          <t>OFFICIAL_PRIMARY</t>
        </is>
      </c>
      <c r="O977" s="9" t="inlineStr">
        <is>
          <t>OFFICIAL_AGGREGATE</t>
        </is>
      </c>
      <c r="P977" s="8" t="n">
        <v>1</v>
      </c>
      <c r="Q977" s="8" t="n">
        <v>75</v>
      </c>
      <c r="R977" s="7" t="inlineStr">
        <is>
          <t>https://www.ande.gov.py/documentos_contables/650/compilacion_estadistica_1998-2018.pdf</t>
        </is>
      </c>
      <c r="S977" s="6" t="inlineStr">
        <is>
          <t>ANDE-98-18</t>
        </is>
      </c>
      <c r="T977" s="6" t="inlineStr"/>
      <c r="U977" s="4" t="inlineStr">
        <is>
          <t>2026-09-11 00:05:00</t>
        </is>
      </c>
      <c r="V977" s="4" t="inlineStr">
        <is>
          <t>Serie revisada; prioridad sobre compilacion 1983-2006 en años solapados.</t>
        </is>
      </c>
    </row>
    <row r="978">
      <c r="A978" s="6" t="inlineStr">
        <is>
          <t>R0001062</t>
        </is>
      </c>
      <c r="B978" s="6" t="inlineStr">
        <is>
          <t>2001-01-01</t>
        </is>
      </c>
      <c r="C978" s="6" t="inlineStr">
        <is>
          <t>2001-12-31</t>
        </is>
      </c>
      <c r="D978" s="6" t="inlineStr">
        <is>
          <t>year</t>
        </is>
      </c>
      <c r="E978" s="6" t="inlineStr">
        <is>
          <t>ANDE_BILLED_NATIONAL_ENERGY</t>
        </is>
      </c>
      <c r="F978" s="6" t="inlineStr">
        <is>
          <t>PY_SIN</t>
        </is>
      </c>
      <c r="G978" s="6" t="inlineStr">
        <is>
          <t>PY</t>
        </is>
      </c>
      <c r="H978" s="6" t="inlineStr">
        <is>
          <t>PY</t>
        </is>
      </c>
      <c r="I978" s="8" t="n">
        <v>4502398</v>
      </c>
      <c r="J978" s="6" t="inlineStr">
        <is>
          <t>MWh</t>
        </is>
      </c>
      <c r="K978" s="8" t="n">
        <v>4502398</v>
      </c>
      <c r="L978" s="6" t="inlineStr">
        <is>
          <t>MWh</t>
        </is>
      </c>
      <c r="M978" s="6" t="inlineStr">
        <is>
          <t>ANDE</t>
        </is>
      </c>
      <c r="N978" s="6" t="inlineStr">
        <is>
          <t>OFFICIAL_PRIMARY</t>
        </is>
      </c>
      <c r="O978" s="9" t="inlineStr">
        <is>
          <t>OFFICIAL_AGGREGATE</t>
        </is>
      </c>
      <c r="P978" s="8" t="n">
        <v>1</v>
      </c>
      <c r="Q978" s="8" t="n">
        <v>75</v>
      </c>
      <c r="R978" s="7" t="inlineStr">
        <is>
          <t>https://www.ande.gov.py/documentos_contables/650/compilacion_estadistica_1998-2018.pdf</t>
        </is>
      </c>
      <c r="S978" s="6" t="inlineStr">
        <is>
          <t>ANDE-98-18</t>
        </is>
      </c>
      <c r="T978" s="6" t="inlineStr"/>
      <c r="U978" s="4" t="inlineStr">
        <is>
          <t>2026-09-11 00:05:00</t>
        </is>
      </c>
      <c r="V978" s="4" t="inlineStr">
        <is>
          <t>Serie revisada; prioridad sobre compilacion 1983-2006 en años solapados.</t>
        </is>
      </c>
    </row>
    <row r="979">
      <c r="A979" s="6" t="inlineStr">
        <is>
          <t>R0001063</t>
        </is>
      </c>
      <c r="B979" s="6" t="inlineStr">
        <is>
          <t>2002-01-01</t>
        </is>
      </c>
      <c r="C979" s="6" t="inlineStr">
        <is>
          <t>2002-12-31</t>
        </is>
      </c>
      <c r="D979" s="6" t="inlineStr">
        <is>
          <t>year</t>
        </is>
      </c>
      <c r="E979" s="6" t="inlineStr">
        <is>
          <t>ANDE_BILLED_NATIONAL_ENERGY</t>
        </is>
      </c>
      <c r="F979" s="6" t="inlineStr">
        <is>
          <t>PY_SIN</t>
        </is>
      </c>
      <c r="G979" s="6" t="inlineStr">
        <is>
          <t>PY</t>
        </is>
      </c>
      <c r="H979" s="6" t="inlineStr">
        <is>
          <t>PY</t>
        </is>
      </c>
      <c r="I979" s="8" t="n">
        <v>4407141</v>
      </c>
      <c r="J979" s="6" t="inlineStr">
        <is>
          <t>MWh</t>
        </is>
      </c>
      <c r="K979" s="8" t="n">
        <v>4407141</v>
      </c>
      <c r="L979" s="6" t="inlineStr">
        <is>
          <t>MWh</t>
        </is>
      </c>
      <c r="M979" s="6" t="inlineStr">
        <is>
          <t>ANDE</t>
        </is>
      </c>
      <c r="N979" s="6" t="inlineStr">
        <is>
          <t>OFFICIAL_PRIMARY</t>
        </is>
      </c>
      <c r="O979" s="9" t="inlineStr">
        <is>
          <t>OFFICIAL_AGGREGATE</t>
        </is>
      </c>
      <c r="P979" s="8" t="n">
        <v>1</v>
      </c>
      <c r="Q979" s="8" t="n">
        <v>75</v>
      </c>
      <c r="R979" s="7" t="inlineStr">
        <is>
          <t>https://www.ande.gov.py/documentos_contables/650/compilacion_estadistica_1998-2018.pdf</t>
        </is>
      </c>
      <c r="S979" s="6" t="inlineStr">
        <is>
          <t>ANDE-98-18</t>
        </is>
      </c>
      <c r="T979" s="6" t="inlineStr"/>
      <c r="U979" s="4" t="inlineStr">
        <is>
          <t>2026-09-11 00:05:00</t>
        </is>
      </c>
      <c r="V979" s="4" t="inlineStr">
        <is>
          <t>Serie revisada; prioridad sobre compilacion 1983-2006 en años solapados.</t>
        </is>
      </c>
    </row>
    <row r="980">
      <c r="A980" s="6" t="inlineStr">
        <is>
          <t>R0001080</t>
        </is>
      </c>
      <c r="B980" s="6" t="inlineStr">
        <is>
          <t>1998-01-01</t>
        </is>
      </c>
      <c r="C980" s="6" t="inlineStr">
        <is>
          <t>1998-12-31</t>
        </is>
      </c>
      <c r="D980" s="6" t="inlineStr">
        <is>
          <t>year</t>
        </is>
      </c>
      <c r="E980" s="6" t="inlineStr">
        <is>
          <t>ANDE_EXPORT_BILLED_ENERGY</t>
        </is>
      </c>
      <c r="F980" s="6" t="inlineStr">
        <is>
          <t>PY_SIN</t>
        </is>
      </c>
      <c r="G980" s="6" t="inlineStr">
        <is>
          <t>PY</t>
        </is>
      </c>
      <c r="H980" s="6" t="inlineStr">
        <is>
          <t>EXTERNAL</t>
        </is>
      </c>
      <c r="I980" s="8" t="n">
        <v>102818</v>
      </c>
      <c r="J980" s="6" t="inlineStr">
        <is>
          <t>MWh</t>
        </is>
      </c>
      <c r="K980" s="8" t="n">
        <v>102818</v>
      </c>
      <c r="L980" s="6" t="inlineStr">
        <is>
          <t>MWh</t>
        </is>
      </c>
      <c r="M980" s="6" t="inlineStr">
        <is>
          <t>ANDE</t>
        </is>
      </c>
      <c r="N980" s="6" t="inlineStr">
        <is>
          <t>OFFICIAL_PRIMARY</t>
        </is>
      </c>
      <c r="O980" s="9" t="inlineStr">
        <is>
          <t>OFFICIAL_AGGREGATE</t>
        </is>
      </c>
      <c r="P980" s="8" t="n">
        <v>1</v>
      </c>
      <c r="Q980" s="8" t="n">
        <v>75</v>
      </c>
      <c r="R980" s="7" t="inlineStr">
        <is>
          <t>https://www.ande.gov.py/documentos_contables/650/compilacion_estadistica_1998-2018.pdf</t>
        </is>
      </c>
      <c r="S980" s="6" t="inlineStr">
        <is>
          <t>ANDE-98-18</t>
        </is>
      </c>
      <c r="T980" s="6" t="inlineStr"/>
      <c r="U980" s="4" t="inlineStr">
        <is>
          <t>2026-09-11 00:05:00</t>
        </is>
      </c>
      <c r="V980" s="4" t="inlineStr">
        <is>
          <t>Serie revisada; prioridad sobre compilacion 1983-2006 en años solapados.</t>
        </is>
      </c>
    </row>
    <row r="981">
      <c r="A981" s="6" t="inlineStr">
        <is>
          <t>R0001081</t>
        </is>
      </c>
      <c r="B981" s="6" t="inlineStr">
        <is>
          <t>1999-01-01</t>
        </is>
      </c>
      <c r="C981" s="6" t="inlineStr">
        <is>
          <t>1999-12-31</t>
        </is>
      </c>
      <c r="D981" s="6" t="inlineStr">
        <is>
          <t>year</t>
        </is>
      </c>
      <c r="E981" s="6" t="inlineStr">
        <is>
          <t>ANDE_EXPORT_BILLED_ENERGY</t>
        </is>
      </c>
      <c r="F981" s="6" t="inlineStr">
        <is>
          <t>PY_SIN</t>
        </is>
      </c>
      <c r="G981" s="6" t="inlineStr">
        <is>
          <t>PY</t>
        </is>
      </c>
      <c r="H981" s="6" t="inlineStr">
        <is>
          <t>EXTERNAL</t>
        </is>
      </c>
      <c r="I981" s="8" t="n">
        <v>484893</v>
      </c>
      <c r="J981" s="6" t="inlineStr">
        <is>
          <t>MWh</t>
        </is>
      </c>
      <c r="K981" s="8" t="n">
        <v>484893</v>
      </c>
      <c r="L981" s="6" t="inlineStr">
        <is>
          <t>MWh</t>
        </is>
      </c>
      <c r="M981" s="6" t="inlineStr">
        <is>
          <t>ANDE</t>
        </is>
      </c>
      <c r="N981" s="6" t="inlineStr">
        <is>
          <t>OFFICIAL_PRIMARY</t>
        </is>
      </c>
      <c r="O981" s="9" t="inlineStr">
        <is>
          <t>OFFICIAL_AGGREGATE</t>
        </is>
      </c>
      <c r="P981" s="8" t="n">
        <v>1</v>
      </c>
      <c r="Q981" s="8" t="n">
        <v>75</v>
      </c>
      <c r="R981" s="7" t="inlineStr">
        <is>
          <t>https://www.ande.gov.py/documentos_contables/650/compilacion_estadistica_1998-2018.pdf</t>
        </is>
      </c>
      <c r="S981" s="6" t="inlineStr">
        <is>
          <t>ANDE-98-18</t>
        </is>
      </c>
      <c r="T981" s="6" t="inlineStr"/>
      <c r="U981" s="4" t="inlineStr">
        <is>
          <t>2026-09-11 00:05:00</t>
        </is>
      </c>
      <c r="V981" s="4" t="inlineStr">
        <is>
          <t>Serie revisada; prioridad sobre compilacion 1983-2006 en años solapados.</t>
        </is>
      </c>
    </row>
    <row r="982">
      <c r="A982" s="6" t="inlineStr">
        <is>
          <t>R0001082</t>
        </is>
      </c>
      <c r="B982" s="6" t="inlineStr">
        <is>
          <t>2000-01-01</t>
        </is>
      </c>
      <c r="C982" s="6" t="inlineStr">
        <is>
          <t>2000-12-31</t>
        </is>
      </c>
      <c r="D982" s="6" t="inlineStr">
        <is>
          <t>year</t>
        </is>
      </c>
      <c r="E982" s="6" t="inlineStr">
        <is>
          <t>ANDE_EXPORT_BILLED_ENERGY</t>
        </is>
      </c>
      <c r="F982" s="6" t="inlineStr">
        <is>
          <t>PY_SIN</t>
        </is>
      </c>
      <c r="G982" s="6" t="inlineStr">
        <is>
          <t>PY</t>
        </is>
      </c>
      <c r="H982" s="6" t="inlineStr">
        <is>
          <t>EXTERNAL</t>
        </is>
      </c>
      <c r="I982" s="8" t="n">
        <v>608465</v>
      </c>
      <c r="J982" s="6" t="inlineStr">
        <is>
          <t>MWh</t>
        </is>
      </c>
      <c r="K982" s="8" t="n">
        <v>608465</v>
      </c>
      <c r="L982" s="6" t="inlineStr">
        <is>
          <t>MWh</t>
        </is>
      </c>
      <c r="M982" s="6" t="inlineStr">
        <is>
          <t>ANDE</t>
        </is>
      </c>
      <c r="N982" s="6" t="inlineStr">
        <is>
          <t>OFFICIAL_PRIMARY</t>
        </is>
      </c>
      <c r="O982" s="9" t="inlineStr">
        <is>
          <t>OFFICIAL_AGGREGATE</t>
        </is>
      </c>
      <c r="P982" s="8" t="n">
        <v>1</v>
      </c>
      <c r="Q982" s="8" t="n">
        <v>75</v>
      </c>
      <c r="R982" s="7" t="inlineStr">
        <is>
          <t>https://www.ande.gov.py/documentos_contables/650/compilacion_estadistica_1998-2018.pdf</t>
        </is>
      </c>
      <c r="S982" s="6" t="inlineStr">
        <is>
          <t>ANDE-98-18</t>
        </is>
      </c>
      <c r="T982" s="6" t="inlineStr"/>
      <c r="U982" s="4" t="inlineStr">
        <is>
          <t>2026-09-11 00:05:00</t>
        </is>
      </c>
      <c r="V982" s="4" t="inlineStr">
        <is>
          <t>Serie revisada; prioridad sobre compilacion 1983-2006 en años solapados.</t>
        </is>
      </c>
    </row>
    <row r="983">
      <c r="A983" s="6" t="inlineStr">
        <is>
          <t>R0001083</t>
        </is>
      </c>
      <c r="B983" s="6" t="inlineStr">
        <is>
          <t>2001-01-01</t>
        </is>
      </c>
      <c r="C983" s="6" t="inlineStr">
        <is>
          <t>2001-12-31</t>
        </is>
      </c>
      <c r="D983" s="6" t="inlineStr">
        <is>
          <t>year</t>
        </is>
      </c>
      <c r="E983" s="6" t="inlineStr">
        <is>
          <t>ANDE_EXPORT_BILLED_ENERGY</t>
        </is>
      </c>
      <c r="F983" s="6" t="inlineStr">
        <is>
          <t>PY_SIN</t>
        </is>
      </c>
      <c r="G983" s="6" t="inlineStr">
        <is>
          <t>PY</t>
        </is>
      </c>
      <c r="H983" s="6" t="inlineStr">
        <is>
          <t>EXTERNAL</t>
        </is>
      </c>
      <c r="I983" s="8" t="n">
        <v>636287</v>
      </c>
      <c r="J983" s="6" t="inlineStr">
        <is>
          <t>MWh</t>
        </is>
      </c>
      <c r="K983" s="8" t="n">
        <v>636287</v>
      </c>
      <c r="L983" s="6" t="inlineStr">
        <is>
          <t>MWh</t>
        </is>
      </c>
      <c r="M983" s="6" t="inlineStr">
        <is>
          <t>ANDE</t>
        </is>
      </c>
      <c r="N983" s="6" t="inlineStr">
        <is>
          <t>OFFICIAL_PRIMARY</t>
        </is>
      </c>
      <c r="O983" s="9" t="inlineStr">
        <is>
          <t>OFFICIAL_AGGREGATE</t>
        </is>
      </c>
      <c r="P983" s="8" t="n">
        <v>1</v>
      </c>
      <c r="Q983" s="8" t="n">
        <v>75</v>
      </c>
      <c r="R983" s="7" t="inlineStr">
        <is>
          <t>https://www.ande.gov.py/documentos_contables/650/compilacion_estadistica_1998-2018.pdf</t>
        </is>
      </c>
      <c r="S983" s="6" t="inlineStr">
        <is>
          <t>ANDE-98-18</t>
        </is>
      </c>
      <c r="T983" s="6" t="inlineStr"/>
      <c r="U983" s="4" t="inlineStr">
        <is>
          <t>2026-09-11 00:05:00</t>
        </is>
      </c>
      <c r="V983" s="4" t="inlineStr">
        <is>
          <t>Serie revisada; prioridad sobre compilacion 1983-2006 en años solapados.</t>
        </is>
      </c>
    </row>
    <row r="984">
      <c r="A984" s="6" t="inlineStr">
        <is>
          <t>R0001084</t>
        </is>
      </c>
      <c r="B984" s="6" t="inlineStr">
        <is>
          <t>2002-01-01</t>
        </is>
      </c>
      <c r="C984" s="6" t="inlineStr">
        <is>
          <t>2002-12-31</t>
        </is>
      </c>
      <c r="D984" s="6" t="inlineStr">
        <is>
          <t>year</t>
        </is>
      </c>
      <c r="E984" s="6" t="inlineStr">
        <is>
          <t>ANDE_EXPORT_BILLED_ENERGY</t>
        </is>
      </c>
      <c r="F984" s="6" t="inlineStr">
        <is>
          <t>PY_SIN</t>
        </is>
      </c>
      <c r="G984" s="6" t="inlineStr">
        <is>
          <t>PY</t>
        </is>
      </c>
      <c r="H984" s="6" t="inlineStr">
        <is>
          <t>EXTERNAL</t>
        </is>
      </c>
      <c r="I984" s="8" t="n">
        <v>667162</v>
      </c>
      <c r="J984" s="6" t="inlineStr">
        <is>
          <t>MWh</t>
        </is>
      </c>
      <c r="K984" s="8" t="n">
        <v>667162</v>
      </c>
      <c r="L984" s="6" t="inlineStr">
        <is>
          <t>MWh</t>
        </is>
      </c>
      <c r="M984" s="6" t="inlineStr">
        <is>
          <t>ANDE</t>
        </is>
      </c>
      <c r="N984" s="6" t="inlineStr">
        <is>
          <t>OFFICIAL_PRIMARY</t>
        </is>
      </c>
      <c r="O984" s="9" t="inlineStr">
        <is>
          <t>OFFICIAL_AGGREGATE</t>
        </is>
      </c>
      <c r="P984" s="8" t="n">
        <v>1</v>
      </c>
      <c r="Q984" s="8" t="n">
        <v>75</v>
      </c>
      <c r="R984" s="7" t="inlineStr">
        <is>
          <t>https://www.ande.gov.py/documentos_contables/650/compilacion_estadistica_1998-2018.pdf</t>
        </is>
      </c>
      <c r="S984" s="6" t="inlineStr">
        <is>
          <t>ANDE-98-18</t>
        </is>
      </c>
      <c r="T984" s="6" t="inlineStr"/>
      <c r="U984" s="4" t="inlineStr">
        <is>
          <t>2026-09-11 00:05:00</t>
        </is>
      </c>
      <c r="V984" s="4" t="inlineStr">
        <is>
          <t>Serie revisada; prioridad sobre compilacion 1983-2006 en años solapados.</t>
        </is>
      </c>
    </row>
    <row r="985">
      <c r="A985" s="6" t="inlineStr">
        <is>
          <t>R0001101</t>
        </is>
      </c>
      <c r="B985" s="6" t="inlineStr">
        <is>
          <t>2003-01-01</t>
        </is>
      </c>
      <c r="C985" s="6" t="inlineStr">
        <is>
          <t>2003-12-31</t>
        </is>
      </c>
      <c r="D985" s="6" t="inlineStr">
        <is>
          <t>year</t>
        </is>
      </c>
      <c r="E985" s="6" t="inlineStr">
        <is>
          <t>ANDE_BILLED_RESIDENTIAL_ENERGY</t>
        </is>
      </c>
      <c r="F985" s="6" t="inlineStr">
        <is>
          <t>PY_SIN</t>
        </is>
      </c>
      <c r="G985" s="6" t="inlineStr">
        <is>
          <t>PY</t>
        </is>
      </c>
      <c r="H985" s="6" t="inlineStr">
        <is>
          <t>PY</t>
        </is>
      </c>
      <c r="I985" s="8" t="n">
        <v>1787699</v>
      </c>
      <c r="J985" s="6" t="inlineStr">
        <is>
          <t>MWh</t>
        </is>
      </c>
      <c r="K985" s="8" t="n">
        <v>1787699</v>
      </c>
      <c r="L985" s="6" t="inlineStr">
        <is>
          <t>MWh</t>
        </is>
      </c>
      <c r="M985" s="6" t="inlineStr">
        <is>
          <t>ANDE</t>
        </is>
      </c>
      <c r="N985" s="6" t="inlineStr">
        <is>
          <t>OFFICIAL_PRIMARY</t>
        </is>
      </c>
      <c r="O985" s="9" t="inlineStr">
        <is>
          <t>OFFICIAL_AGGREGATE</t>
        </is>
      </c>
      <c r="P985" s="8" t="n">
        <v>1</v>
      </c>
      <c r="Q985" s="8" t="n">
        <v>95</v>
      </c>
      <c r="R985" s="7" t="inlineStr">
        <is>
          <t>https://www.ande.gov.py/finanzas/2.%20COMPILACION%20ESTADISTICA%202003-2023/ANDE%20-%20Compilacion%20Estadistica%202003-2023.pdf</t>
        </is>
      </c>
      <c r="S985" s="6" t="inlineStr">
        <is>
          <t>ANDE-03-23</t>
        </is>
      </c>
      <c r="T985" s="6" t="inlineStr"/>
      <c r="U985" s="4" t="inlineStr">
        <is>
          <t>2026-09-11 00:05:00</t>
        </is>
      </c>
      <c r="V985" s="4" t="inlineStr">
        <is>
          <t>Compilacion 2003-2023; prioridad canonica. Rupturas metodologicas de categorias en 2016/2017 documentadas por ANDE.</t>
        </is>
      </c>
    </row>
    <row r="986">
      <c r="A986" s="6" t="inlineStr">
        <is>
          <t>R0001102</t>
        </is>
      </c>
      <c r="B986" s="6" t="inlineStr">
        <is>
          <t>2004-01-01</t>
        </is>
      </c>
      <c r="C986" s="6" t="inlineStr">
        <is>
          <t>2004-12-31</t>
        </is>
      </c>
      <c r="D986" s="6" t="inlineStr">
        <is>
          <t>year</t>
        </is>
      </c>
      <c r="E986" s="6" t="inlineStr">
        <is>
          <t>ANDE_BILLED_RESIDENTIAL_ENERGY</t>
        </is>
      </c>
      <c r="F986" s="6" t="inlineStr">
        <is>
          <t>PY_SIN</t>
        </is>
      </c>
      <c r="G986" s="6" t="inlineStr">
        <is>
          <t>PY</t>
        </is>
      </c>
      <c r="H986" s="6" t="inlineStr">
        <is>
          <t>PY</t>
        </is>
      </c>
      <c r="I986" s="8" t="n">
        <v>1836695</v>
      </c>
      <c r="J986" s="6" t="inlineStr">
        <is>
          <t>MWh</t>
        </is>
      </c>
      <c r="K986" s="8" t="n">
        <v>1836695</v>
      </c>
      <c r="L986" s="6" t="inlineStr">
        <is>
          <t>MWh</t>
        </is>
      </c>
      <c r="M986" s="6" t="inlineStr">
        <is>
          <t>ANDE</t>
        </is>
      </c>
      <c r="N986" s="6" t="inlineStr">
        <is>
          <t>OFFICIAL_PRIMARY</t>
        </is>
      </c>
      <c r="O986" s="9" t="inlineStr">
        <is>
          <t>OFFICIAL_AGGREGATE</t>
        </is>
      </c>
      <c r="P986" s="8" t="n">
        <v>1</v>
      </c>
      <c r="Q986" s="8" t="n">
        <v>95</v>
      </c>
      <c r="R986" s="7" t="inlineStr">
        <is>
          <t>https://www.ande.gov.py/finanzas/2.%20COMPILACION%20ESTADISTICA%202003-2023/ANDE%20-%20Compilacion%20Estadistica%202003-2023.pdf</t>
        </is>
      </c>
      <c r="S986" s="6" t="inlineStr">
        <is>
          <t>ANDE-03-23</t>
        </is>
      </c>
      <c r="T986" s="6" t="inlineStr"/>
      <c r="U986" s="4" t="inlineStr">
        <is>
          <t>2026-09-11 00:05:00</t>
        </is>
      </c>
      <c r="V986" s="4" t="inlineStr">
        <is>
          <t>Compilacion 2003-2023; prioridad canonica. Rupturas metodologicas de categorias en 2016/2017 documentadas por ANDE.</t>
        </is>
      </c>
    </row>
    <row r="987">
      <c r="A987" s="6" t="inlineStr">
        <is>
          <t>R0001103</t>
        </is>
      </c>
      <c r="B987" s="6" t="inlineStr">
        <is>
          <t>2005-01-01</t>
        </is>
      </c>
      <c r="C987" s="6" t="inlineStr">
        <is>
          <t>2005-12-31</t>
        </is>
      </c>
      <c r="D987" s="6" t="inlineStr">
        <is>
          <t>year</t>
        </is>
      </c>
      <c r="E987" s="6" t="inlineStr">
        <is>
          <t>ANDE_BILLED_RESIDENTIAL_ENERGY</t>
        </is>
      </c>
      <c r="F987" s="6" t="inlineStr">
        <is>
          <t>PY_SIN</t>
        </is>
      </c>
      <c r="G987" s="6" t="inlineStr">
        <is>
          <t>PY</t>
        </is>
      </c>
      <c r="H987" s="6" t="inlineStr">
        <is>
          <t>PY</t>
        </is>
      </c>
      <c r="I987" s="8" t="n">
        <v>1937656</v>
      </c>
      <c r="J987" s="6" t="inlineStr">
        <is>
          <t>MWh</t>
        </is>
      </c>
      <c r="K987" s="8" t="n">
        <v>1937656</v>
      </c>
      <c r="L987" s="6" t="inlineStr">
        <is>
          <t>MWh</t>
        </is>
      </c>
      <c r="M987" s="6" t="inlineStr">
        <is>
          <t>ANDE</t>
        </is>
      </c>
      <c r="N987" s="6" t="inlineStr">
        <is>
          <t>OFFICIAL_PRIMARY</t>
        </is>
      </c>
      <c r="O987" s="9" t="inlineStr">
        <is>
          <t>OFFICIAL_AGGREGATE</t>
        </is>
      </c>
      <c r="P987" s="8" t="n">
        <v>1</v>
      </c>
      <c r="Q987" s="8" t="n">
        <v>95</v>
      </c>
      <c r="R987" s="7" t="inlineStr">
        <is>
          <t>https://www.ande.gov.py/finanzas/2.%20COMPILACION%20ESTADISTICA%202003-2023/ANDE%20-%20Compilacion%20Estadistica%202003-2023.pdf</t>
        </is>
      </c>
      <c r="S987" s="6" t="inlineStr">
        <is>
          <t>ANDE-03-23</t>
        </is>
      </c>
      <c r="T987" s="6" t="inlineStr"/>
      <c r="U987" s="4" t="inlineStr">
        <is>
          <t>2026-09-11 00:05:00</t>
        </is>
      </c>
      <c r="V987" s="4" t="inlineStr">
        <is>
          <t>Compilacion 2003-2023; prioridad canonica. Rupturas metodologicas de categorias en 2016/2017 documentadas por ANDE.</t>
        </is>
      </c>
    </row>
    <row r="988">
      <c r="A988" s="6" t="inlineStr">
        <is>
          <t>R0001104</t>
        </is>
      </c>
      <c r="B988" s="6" t="inlineStr">
        <is>
          <t>2006-01-01</t>
        </is>
      </c>
      <c r="C988" s="6" t="inlineStr">
        <is>
          <t>2006-12-31</t>
        </is>
      </c>
      <c r="D988" s="6" t="inlineStr">
        <is>
          <t>year</t>
        </is>
      </c>
      <c r="E988" s="6" t="inlineStr">
        <is>
          <t>ANDE_BILLED_RESIDENTIAL_ENERGY</t>
        </is>
      </c>
      <c r="F988" s="6" t="inlineStr">
        <is>
          <t>PY_SIN</t>
        </is>
      </c>
      <c r="G988" s="6" t="inlineStr">
        <is>
          <t>PY</t>
        </is>
      </c>
      <c r="H988" s="6" t="inlineStr">
        <is>
          <t>PY</t>
        </is>
      </c>
      <c r="I988" s="8" t="n">
        <v>2096986</v>
      </c>
      <c r="J988" s="6" t="inlineStr">
        <is>
          <t>MWh</t>
        </is>
      </c>
      <c r="K988" s="8" t="n">
        <v>2096986</v>
      </c>
      <c r="L988" s="6" t="inlineStr">
        <is>
          <t>MWh</t>
        </is>
      </c>
      <c r="M988" s="6" t="inlineStr">
        <is>
          <t>ANDE</t>
        </is>
      </c>
      <c r="N988" s="6" t="inlineStr">
        <is>
          <t>OFFICIAL_PRIMARY</t>
        </is>
      </c>
      <c r="O988" s="9" t="inlineStr">
        <is>
          <t>OFFICIAL_AGGREGATE</t>
        </is>
      </c>
      <c r="P988" s="8" t="n">
        <v>1</v>
      </c>
      <c r="Q988" s="8" t="n">
        <v>95</v>
      </c>
      <c r="R988" s="7" t="inlineStr">
        <is>
          <t>https://www.ande.gov.py/finanzas/2.%20COMPILACION%20ESTADISTICA%202003-2023/ANDE%20-%20Compilacion%20Estadistica%202003-2023.pdf</t>
        </is>
      </c>
      <c r="S988" s="6" t="inlineStr">
        <is>
          <t>ANDE-03-23</t>
        </is>
      </c>
      <c r="T988" s="6" t="inlineStr"/>
      <c r="U988" s="4" t="inlineStr">
        <is>
          <t>2026-09-11 00:05:00</t>
        </is>
      </c>
      <c r="V988" s="4" t="inlineStr">
        <is>
          <t>Compilacion 2003-2023; prioridad canonica. Rupturas metodologicas de categorias en 2016/2017 documentadas por ANDE.</t>
        </is>
      </c>
    </row>
    <row r="989">
      <c r="A989" s="6" t="inlineStr">
        <is>
          <t>R0001105</t>
        </is>
      </c>
      <c r="B989" s="6" t="inlineStr">
        <is>
          <t>2007-01-01</t>
        </is>
      </c>
      <c r="C989" s="6" t="inlineStr">
        <is>
          <t>2007-12-31</t>
        </is>
      </c>
      <c r="D989" s="6" t="inlineStr">
        <is>
          <t>year</t>
        </is>
      </c>
      <c r="E989" s="6" t="inlineStr">
        <is>
          <t>ANDE_BILLED_RESIDENTIAL_ENERGY</t>
        </is>
      </c>
      <c r="F989" s="6" t="inlineStr">
        <is>
          <t>PY_SIN</t>
        </is>
      </c>
      <c r="G989" s="6" t="inlineStr">
        <is>
          <t>PY</t>
        </is>
      </c>
      <c r="H989" s="6" t="inlineStr">
        <is>
          <t>PY</t>
        </is>
      </c>
      <c r="I989" s="8" t="n">
        <v>2300746</v>
      </c>
      <c r="J989" s="6" t="inlineStr">
        <is>
          <t>MWh</t>
        </is>
      </c>
      <c r="K989" s="8" t="n">
        <v>2300746</v>
      </c>
      <c r="L989" s="6" t="inlineStr">
        <is>
          <t>MWh</t>
        </is>
      </c>
      <c r="M989" s="6" t="inlineStr">
        <is>
          <t>ANDE</t>
        </is>
      </c>
      <c r="N989" s="6" t="inlineStr">
        <is>
          <t>OFFICIAL_PRIMARY</t>
        </is>
      </c>
      <c r="O989" s="9" t="inlineStr">
        <is>
          <t>OFFICIAL_AGGREGATE</t>
        </is>
      </c>
      <c r="P989" s="8" t="n">
        <v>1</v>
      </c>
      <c r="Q989" s="8" t="n">
        <v>95</v>
      </c>
      <c r="R989" s="7" t="inlineStr">
        <is>
          <t>https://www.ande.gov.py/finanzas/2.%20COMPILACION%20ESTADISTICA%202003-2023/ANDE%20-%20Compilacion%20Estadistica%202003-2023.pdf</t>
        </is>
      </c>
      <c r="S989" s="6" t="inlineStr">
        <is>
          <t>ANDE-03-23</t>
        </is>
      </c>
      <c r="T989" s="6" t="inlineStr"/>
      <c r="U989" s="4" t="inlineStr">
        <is>
          <t>2026-09-11 00:05:00</t>
        </is>
      </c>
      <c r="V989" s="4" t="inlineStr">
        <is>
          <t>Compilacion 2003-2023; prioridad canonica. Rupturas metodologicas de categorias en 2016/2017 documentadas por ANDE.</t>
        </is>
      </c>
    </row>
    <row r="990">
      <c r="A990" s="6" t="inlineStr">
        <is>
          <t>R0001106</t>
        </is>
      </c>
      <c r="B990" s="6" t="inlineStr">
        <is>
          <t>2008-01-01</t>
        </is>
      </c>
      <c r="C990" s="6" t="inlineStr">
        <is>
          <t>2008-12-31</t>
        </is>
      </c>
      <c r="D990" s="6" t="inlineStr">
        <is>
          <t>year</t>
        </is>
      </c>
      <c r="E990" s="6" t="inlineStr">
        <is>
          <t>ANDE_BILLED_RESIDENTIAL_ENERGY</t>
        </is>
      </c>
      <c r="F990" s="6" t="inlineStr">
        <is>
          <t>PY_SIN</t>
        </is>
      </c>
      <c r="G990" s="6" t="inlineStr">
        <is>
          <t>PY</t>
        </is>
      </c>
      <c r="H990" s="6" t="inlineStr">
        <is>
          <t>PY</t>
        </is>
      </c>
      <c r="I990" s="8" t="n">
        <v>2472885</v>
      </c>
      <c r="J990" s="6" t="inlineStr">
        <is>
          <t>MWh</t>
        </is>
      </c>
      <c r="K990" s="8" t="n">
        <v>2472885</v>
      </c>
      <c r="L990" s="6" t="inlineStr">
        <is>
          <t>MWh</t>
        </is>
      </c>
      <c r="M990" s="6" t="inlineStr">
        <is>
          <t>ANDE</t>
        </is>
      </c>
      <c r="N990" s="6" t="inlineStr">
        <is>
          <t>OFFICIAL_PRIMARY</t>
        </is>
      </c>
      <c r="O990" s="9" t="inlineStr">
        <is>
          <t>OFFICIAL_AGGREGATE</t>
        </is>
      </c>
      <c r="P990" s="8" t="n">
        <v>1</v>
      </c>
      <c r="Q990" s="8" t="n">
        <v>95</v>
      </c>
      <c r="R990" s="7" t="inlineStr">
        <is>
          <t>https://www.ande.gov.py/finanzas/2.%20COMPILACION%20ESTADISTICA%202003-2023/ANDE%20-%20Compilacion%20Estadistica%202003-2023.pdf</t>
        </is>
      </c>
      <c r="S990" s="6" t="inlineStr">
        <is>
          <t>ANDE-03-23</t>
        </is>
      </c>
      <c r="T990" s="6" t="inlineStr"/>
      <c r="U990" s="4" t="inlineStr">
        <is>
          <t>2026-09-11 00:05:00</t>
        </is>
      </c>
      <c r="V990" s="4" t="inlineStr">
        <is>
          <t>Compilacion 2003-2023; prioridad canonica. Rupturas metodologicas de categorias en 2016/2017 documentadas por ANDE.</t>
        </is>
      </c>
    </row>
    <row r="991">
      <c r="A991" s="6" t="inlineStr">
        <is>
          <t>R0001107</t>
        </is>
      </c>
      <c r="B991" s="6" t="inlineStr">
        <is>
          <t>2009-01-01</t>
        </is>
      </c>
      <c r="C991" s="6" t="inlineStr">
        <is>
          <t>2009-12-31</t>
        </is>
      </c>
      <c r="D991" s="6" t="inlineStr">
        <is>
          <t>year</t>
        </is>
      </c>
      <c r="E991" s="6" t="inlineStr">
        <is>
          <t>ANDE_BILLED_RESIDENTIAL_ENERGY</t>
        </is>
      </c>
      <c r="F991" s="6" t="inlineStr">
        <is>
          <t>PY_SIN</t>
        </is>
      </c>
      <c r="G991" s="6" t="inlineStr">
        <is>
          <t>PY</t>
        </is>
      </c>
      <c r="H991" s="6" t="inlineStr">
        <is>
          <t>PY</t>
        </is>
      </c>
      <c r="I991" s="8" t="n">
        <v>2691463</v>
      </c>
      <c r="J991" s="6" t="inlineStr">
        <is>
          <t>MWh</t>
        </is>
      </c>
      <c r="K991" s="8" t="n">
        <v>2691463</v>
      </c>
      <c r="L991" s="6" t="inlineStr">
        <is>
          <t>MWh</t>
        </is>
      </c>
      <c r="M991" s="6" t="inlineStr">
        <is>
          <t>ANDE</t>
        </is>
      </c>
      <c r="N991" s="6" t="inlineStr">
        <is>
          <t>OFFICIAL_PRIMARY</t>
        </is>
      </c>
      <c r="O991" s="9" t="inlineStr">
        <is>
          <t>OFFICIAL_AGGREGATE</t>
        </is>
      </c>
      <c r="P991" s="8" t="n">
        <v>1</v>
      </c>
      <c r="Q991" s="8" t="n">
        <v>95</v>
      </c>
      <c r="R991" s="7" t="inlineStr">
        <is>
          <t>https://www.ande.gov.py/finanzas/2.%20COMPILACION%20ESTADISTICA%202003-2023/ANDE%20-%20Compilacion%20Estadistica%202003-2023.pdf</t>
        </is>
      </c>
      <c r="S991" s="6" t="inlineStr">
        <is>
          <t>ANDE-03-23</t>
        </is>
      </c>
      <c r="T991" s="6" t="inlineStr"/>
      <c r="U991" s="4" t="inlineStr">
        <is>
          <t>2026-09-11 00:05:00</t>
        </is>
      </c>
      <c r="V991" s="4" t="inlineStr">
        <is>
          <t>Compilacion 2003-2023; prioridad canonica. Rupturas metodologicas de categorias en 2016/2017 documentadas por ANDE.</t>
        </is>
      </c>
    </row>
    <row r="992">
      <c r="A992" s="6" t="inlineStr">
        <is>
          <t>R0001108</t>
        </is>
      </c>
      <c r="B992" s="6" t="inlineStr">
        <is>
          <t>2010-01-01</t>
        </is>
      </c>
      <c r="C992" s="6" t="inlineStr">
        <is>
          <t>2010-12-31</t>
        </is>
      </c>
      <c r="D992" s="6" t="inlineStr">
        <is>
          <t>year</t>
        </is>
      </c>
      <c r="E992" s="6" t="inlineStr">
        <is>
          <t>ANDE_BILLED_RESIDENTIAL_ENERGY</t>
        </is>
      </c>
      <c r="F992" s="6" t="inlineStr">
        <is>
          <t>PY_SIN</t>
        </is>
      </c>
      <c r="G992" s="6" t="inlineStr">
        <is>
          <t>PY</t>
        </is>
      </c>
      <c r="H992" s="6" t="inlineStr">
        <is>
          <t>PY</t>
        </is>
      </c>
      <c r="I992" s="8" t="n">
        <v>2848571</v>
      </c>
      <c r="J992" s="6" t="inlineStr">
        <is>
          <t>MWh</t>
        </is>
      </c>
      <c r="K992" s="8" t="n">
        <v>2848571</v>
      </c>
      <c r="L992" s="6" t="inlineStr">
        <is>
          <t>MWh</t>
        </is>
      </c>
      <c r="M992" s="6" t="inlineStr">
        <is>
          <t>ANDE</t>
        </is>
      </c>
      <c r="N992" s="6" t="inlineStr">
        <is>
          <t>OFFICIAL_PRIMARY</t>
        </is>
      </c>
      <c r="O992" s="9" t="inlineStr">
        <is>
          <t>OFFICIAL_AGGREGATE</t>
        </is>
      </c>
      <c r="P992" s="8" t="n">
        <v>1</v>
      </c>
      <c r="Q992" s="8" t="n">
        <v>95</v>
      </c>
      <c r="R992" s="7" t="inlineStr">
        <is>
          <t>https://www.ande.gov.py/finanzas/2.%20COMPILACION%20ESTADISTICA%202003-2023/ANDE%20-%20Compilacion%20Estadistica%202003-2023.pdf</t>
        </is>
      </c>
      <c r="S992" s="6" t="inlineStr">
        <is>
          <t>ANDE-03-23</t>
        </is>
      </c>
      <c r="T992" s="6" t="inlineStr"/>
      <c r="U992" s="4" t="inlineStr">
        <is>
          <t>2026-09-11 00:05:00</t>
        </is>
      </c>
      <c r="V992" s="4" t="inlineStr">
        <is>
          <t>Compilacion 2003-2023; prioridad canonica. Rupturas metodologicas de categorias en 2016/2017 documentadas por ANDE.</t>
        </is>
      </c>
    </row>
    <row r="993">
      <c r="A993" s="6" t="inlineStr">
        <is>
          <t>R0001109</t>
        </is>
      </c>
      <c r="B993" s="6" t="inlineStr">
        <is>
          <t>2011-01-01</t>
        </is>
      </c>
      <c r="C993" s="6" t="inlineStr">
        <is>
          <t>2011-12-31</t>
        </is>
      </c>
      <c r="D993" s="6" t="inlineStr">
        <is>
          <t>year</t>
        </is>
      </c>
      <c r="E993" s="6" t="inlineStr">
        <is>
          <t>ANDE_BILLED_RESIDENTIAL_ENERGY</t>
        </is>
      </c>
      <c r="F993" s="6" t="inlineStr">
        <is>
          <t>PY_SIN</t>
        </is>
      </c>
      <c r="G993" s="6" t="inlineStr">
        <is>
          <t>PY</t>
        </is>
      </c>
      <c r="H993" s="6" t="inlineStr">
        <is>
          <t>PY</t>
        </is>
      </c>
      <c r="I993" s="8" t="n">
        <v>3204965</v>
      </c>
      <c r="J993" s="6" t="inlineStr">
        <is>
          <t>MWh</t>
        </is>
      </c>
      <c r="K993" s="8" t="n">
        <v>3204965</v>
      </c>
      <c r="L993" s="6" t="inlineStr">
        <is>
          <t>MWh</t>
        </is>
      </c>
      <c r="M993" s="6" t="inlineStr">
        <is>
          <t>ANDE</t>
        </is>
      </c>
      <c r="N993" s="6" t="inlineStr">
        <is>
          <t>OFFICIAL_PRIMARY</t>
        </is>
      </c>
      <c r="O993" s="9" t="inlineStr">
        <is>
          <t>OFFICIAL_AGGREGATE</t>
        </is>
      </c>
      <c r="P993" s="8" t="n">
        <v>1</v>
      </c>
      <c r="Q993" s="8" t="n">
        <v>95</v>
      </c>
      <c r="R993" s="7" t="inlineStr">
        <is>
          <t>https://www.ande.gov.py/finanzas/2.%20COMPILACION%20ESTADISTICA%202003-2023/ANDE%20-%20Compilacion%20Estadistica%202003-2023.pdf</t>
        </is>
      </c>
      <c r="S993" s="6" t="inlineStr">
        <is>
          <t>ANDE-03-23</t>
        </is>
      </c>
      <c r="T993" s="6" t="inlineStr"/>
      <c r="U993" s="4" t="inlineStr">
        <is>
          <t>2026-09-11 00:05:00</t>
        </is>
      </c>
      <c r="V993" s="4" t="inlineStr">
        <is>
          <t>Compilacion 2003-2023; prioridad canonica. Rupturas metodologicas de categorias en 2016/2017 documentadas por ANDE.</t>
        </is>
      </c>
    </row>
    <row r="994">
      <c r="A994" s="6" t="inlineStr">
        <is>
          <t>R0001110</t>
        </is>
      </c>
      <c r="B994" s="6" t="inlineStr">
        <is>
          <t>2012-01-01</t>
        </is>
      </c>
      <c r="C994" s="6" t="inlineStr">
        <is>
          <t>2012-12-31</t>
        </is>
      </c>
      <c r="D994" s="6" t="inlineStr">
        <is>
          <t>year</t>
        </is>
      </c>
      <c r="E994" s="6" t="inlineStr">
        <is>
          <t>ANDE_BILLED_RESIDENTIAL_ENERGY</t>
        </is>
      </c>
      <c r="F994" s="6" t="inlineStr">
        <is>
          <t>PY_SIN</t>
        </is>
      </c>
      <c r="G994" s="6" t="inlineStr">
        <is>
          <t>PY</t>
        </is>
      </c>
      <c r="H994" s="6" t="inlineStr">
        <is>
          <t>PY</t>
        </is>
      </c>
      <c r="I994" s="8" t="n">
        <v>3561075</v>
      </c>
      <c r="J994" s="6" t="inlineStr">
        <is>
          <t>MWh</t>
        </is>
      </c>
      <c r="K994" s="8" t="n">
        <v>3561075</v>
      </c>
      <c r="L994" s="6" t="inlineStr">
        <is>
          <t>MWh</t>
        </is>
      </c>
      <c r="M994" s="6" t="inlineStr">
        <is>
          <t>ANDE</t>
        </is>
      </c>
      <c r="N994" s="6" t="inlineStr">
        <is>
          <t>OFFICIAL_PRIMARY</t>
        </is>
      </c>
      <c r="O994" s="9" t="inlineStr">
        <is>
          <t>OFFICIAL_AGGREGATE</t>
        </is>
      </c>
      <c r="P994" s="8" t="n">
        <v>1</v>
      </c>
      <c r="Q994" s="8" t="n">
        <v>95</v>
      </c>
      <c r="R994" s="7" t="inlineStr">
        <is>
          <t>https://www.ande.gov.py/finanzas/2.%20COMPILACION%20ESTADISTICA%202003-2023/ANDE%20-%20Compilacion%20Estadistica%202003-2023.pdf</t>
        </is>
      </c>
      <c r="S994" s="6" t="inlineStr">
        <is>
          <t>ANDE-03-23</t>
        </is>
      </c>
      <c r="T994" s="6" t="inlineStr"/>
      <c r="U994" s="4" t="inlineStr">
        <is>
          <t>2026-09-11 00:05:00</t>
        </is>
      </c>
      <c r="V994" s="4" t="inlineStr">
        <is>
          <t>Compilacion 2003-2023; prioridad canonica. Rupturas metodologicas de categorias en 2016/2017 documentadas por ANDE.</t>
        </is>
      </c>
    </row>
    <row r="995">
      <c r="A995" s="6" t="inlineStr">
        <is>
          <t>R0001111</t>
        </is>
      </c>
      <c r="B995" s="6" t="inlineStr">
        <is>
          <t>2013-01-01</t>
        </is>
      </c>
      <c r="C995" s="6" t="inlineStr">
        <is>
          <t>2013-12-31</t>
        </is>
      </c>
      <c r="D995" s="6" t="inlineStr">
        <is>
          <t>year</t>
        </is>
      </c>
      <c r="E995" s="6" t="inlineStr">
        <is>
          <t>ANDE_BILLED_RESIDENTIAL_ENERGY</t>
        </is>
      </c>
      <c r="F995" s="6" t="inlineStr">
        <is>
          <t>PY_SIN</t>
        </is>
      </c>
      <c r="G995" s="6" t="inlineStr">
        <is>
          <t>PY</t>
        </is>
      </c>
      <c r="H995" s="6" t="inlineStr">
        <is>
          <t>PY</t>
        </is>
      </c>
      <c r="I995" s="8" t="n">
        <v>3918516</v>
      </c>
      <c r="J995" s="6" t="inlineStr">
        <is>
          <t>MWh</t>
        </is>
      </c>
      <c r="K995" s="8" t="n">
        <v>3918516</v>
      </c>
      <c r="L995" s="6" t="inlineStr">
        <is>
          <t>MWh</t>
        </is>
      </c>
      <c r="M995" s="6" t="inlineStr">
        <is>
          <t>ANDE</t>
        </is>
      </c>
      <c r="N995" s="6" t="inlineStr">
        <is>
          <t>OFFICIAL_PRIMARY</t>
        </is>
      </c>
      <c r="O995" s="9" t="inlineStr">
        <is>
          <t>OFFICIAL_AGGREGATE</t>
        </is>
      </c>
      <c r="P995" s="8" t="n">
        <v>1</v>
      </c>
      <c r="Q995" s="8" t="n">
        <v>95</v>
      </c>
      <c r="R995" s="7" t="inlineStr">
        <is>
          <t>https://www.ande.gov.py/finanzas/2.%20COMPILACION%20ESTADISTICA%202003-2023/ANDE%20-%20Compilacion%20Estadistica%202003-2023.pdf</t>
        </is>
      </c>
      <c r="S995" s="6" t="inlineStr">
        <is>
          <t>ANDE-03-23</t>
        </is>
      </c>
      <c r="T995" s="6" t="inlineStr"/>
      <c r="U995" s="4" t="inlineStr">
        <is>
          <t>2026-09-11 00:05:00</t>
        </is>
      </c>
      <c r="V995" s="4" t="inlineStr">
        <is>
          <t>Compilacion 2003-2023; prioridad canonica. Rupturas metodologicas de categorias en 2016/2017 documentadas por ANDE.</t>
        </is>
      </c>
    </row>
    <row r="996">
      <c r="A996" s="6" t="inlineStr">
        <is>
          <t>R0001112</t>
        </is>
      </c>
      <c r="B996" s="6" t="inlineStr">
        <is>
          <t>2014-01-01</t>
        </is>
      </c>
      <c r="C996" s="6" t="inlineStr">
        <is>
          <t>2014-12-31</t>
        </is>
      </c>
      <c r="D996" s="6" t="inlineStr">
        <is>
          <t>year</t>
        </is>
      </c>
      <c r="E996" s="6" t="inlineStr">
        <is>
          <t>ANDE_BILLED_RESIDENTIAL_ENERGY</t>
        </is>
      </c>
      <c r="F996" s="6" t="inlineStr">
        <is>
          <t>PY_SIN</t>
        </is>
      </c>
      <c r="G996" s="6" t="inlineStr">
        <is>
          <t>PY</t>
        </is>
      </c>
      <c r="H996" s="6" t="inlineStr">
        <is>
          <t>PY</t>
        </is>
      </c>
      <c r="I996" s="8" t="n">
        <v>4323380</v>
      </c>
      <c r="J996" s="6" t="inlineStr">
        <is>
          <t>MWh</t>
        </is>
      </c>
      <c r="K996" s="8" t="n">
        <v>4323380</v>
      </c>
      <c r="L996" s="6" t="inlineStr">
        <is>
          <t>MWh</t>
        </is>
      </c>
      <c r="M996" s="6" t="inlineStr">
        <is>
          <t>ANDE</t>
        </is>
      </c>
      <c r="N996" s="6" t="inlineStr">
        <is>
          <t>OFFICIAL_PRIMARY</t>
        </is>
      </c>
      <c r="O996" s="9" t="inlineStr">
        <is>
          <t>OFFICIAL_AGGREGATE</t>
        </is>
      </c>
      <c r="P996" s="8" t="n">
        <v>1</v>
      </c>
      <c r="Q996" s="8" t="n">
        <v>95</v>
      </c>
      <c r="R996" s="7" t="inlineStr">
        <is>
          <t>https://www.ande.gov.py/finanzas/2.%20COMPILACION%20ESTADISTICA%202003-2023/ANDE%20-%20Compilacion%20Estadistica%202003-2023.pdf</t>
        </is>
      </c>
      <c r="S996" s="6" t="inlineStr">
        <is>
          <t>ANDE-03-23</t>
        </is>
      </c>
      <c r="T996" s="6" t="inlineStr"/>
      <c r="U996" s="4" t="inlineStr">
        <is>
          <t>2026-09-11 00:05:00</t>
        </is>
      </c>
      <c r="V996" s="4" t="inlineStr">
        <is>
          <t>Compilacion 2003-2023; prioridad canonica. Rupturas metodologicas de categorias en 2016/2017 documentadas por ANDE.</t>
        </is>
      </c>
    </row>
    <row r="997">
      <c r="A997" s="6" t="inlineStr">
        <is>
          <t>R0001113</t>
        </is>
      </c>
      <c r="B997" s="6" t="inlineStr">
        <is>
          <t>2015-01-01</t>
        </is>
      </c>
      <c r="C997" s="6" t="inlineStr">
        <is>
          <t>2015-12-31</t>
        </is>
      </c>
      <c r="D997" s="6" t="inlineStr">
        <is>
          <t>year</t>
        </is>
      </c>
      <c r="E997" s="6" t="inlineStr">
        <is>
          <t>ANDE_BILLED_RESIDENTIAL_ENERGY</t>
        </is>
      </c>
      <c r="F997" s="6" t="inlineStr">
        <is>
          <t>PY_SIN</t>
        </is>
      </c>
      <c r="G997" s="6" t="inlineStr">
        <is>
          <t>PY</t>
        </is>
      </c>
      <c r="H997" s="6" t="inlineStr">
        <is>
          <t>PY</t>
        </is>
      </c>
      <c r="I997" s="8" t="n">
        <v>4542495</v>
      </c>
      <c r="J997" s="6" t="inlineStr">
        <is>
          <t>MWh</t>
        </is>
      </c>
      <c r="K997" s="8" t="n">
        <v>4542495</v>
      </c>
      <c r="L997" s="6" t="inlineStr">
        <is>
          <t>MWh</t>
        </is>
      </c>
      <c r="M997" s="6" t="inlineStr">
        <is>
          <t>ANDE</t>
        </is>
      </c>
      <c r="N997" s="6" t="inlineStr">
        <is>
          <t>OFFICIAL_PRIMARY</t>
        </is>
      </c>
      <c r="O997" s="9" t="inlineStr">
        <is>
          <t>OFFICIAL_AGGREGATE</t>
        </is>
      </c>
      <c r="P997" s="8" t="n">
        <v>1</v>
      </c>
      <c r="Q997" s="8" t="n">
        <v>95</v>
      </c>
      <c r="R997" s="7" t="inlineStr">
        <is>
          <t>https://www.ande.gov.py/finanzas/2.%20COMPILACION%20ESTADISTICA%202003-2023/ANDE%20-%20Compilacion%20Estadistica%202003-2023.pdf</t>
        </is>
      </c>
      <c r="S997" s="6" t="inlineStr">
        <is>
          <t>ANDE-03-23</t>
        </is>
      </c>
      <c r="T997" s="6" t="inlineStr"/>
      <c r="U997" s="4" t="inlineStr">
        <is>
          <t>2026-09-11 00:05:00</t>
        </is>
      </c>
      <c r="V997" s="4" t="inlineStr">
        <is>
          <t>Compilacion 2003-2023; prioridad canonica. Rupturas metodologicas de categorias en 2016/2017 documentadas por ANDE.</t>
        </is>
      </c>
    </row>
    <row r="998">
      <c r="A998" s="6" t="inlineStr">
        <is>
          <t>R0001114</t>
        </is>
      </c>
      <c r="B998" s="6" t="inlineStr">
        <is>
          <t>2016-01-01</t>
        </is>
      </c>
      <c r="C998" s="6" t="inlineStr">
        <is>
          <t>2016-12-31</t>
        </is>
      </c>
      <c r="D998" s="6" t="inlineStr">
        <is>
          <t>year</t>
        </is>
      </c>
      <c r="E998" s="6" t="inlineStr">
        <is>
          <t>ANDE_BILLED_RESIDENTIAL_ENERGY</t>
        </is>
      </c>
      <c r="F998" s="6" t="inlineStr">
        <is>
          <t>PY_SIN</t>
        </is>
      </c>
      <c r="G998" s="6" t="inlineStr">
        <is>
          <t>PY</t>
        </is>
      </c>
      <c r="H998" s="6" t="inlineStr">
        <is>
          <t>PY</t>
        </is>
      </c>
      <c r="I998" s="8" t="n">
        <v>4793863</v>
      </c>
      <c r="J998" s="6" t="inlineStr">
        <is>
          <t>MWh</t>
        </is>
      </c>
      <c r="K998" s="8" t="n">
        <v>4793863</v>
      </c>
      <c r="L998" s="6" t="inlineStr">
        <is>
          <t>MWh</t>
        </is>
      </c>
      <c r="M998" s="6" t="inlineStr">
        <is>
          <t>ANDE</t>
        </is>
      </c>
      <c r="N998" s="6" t="inlineStr">
        <is>
          <t>OFFICIAL_PRIMARY</t>
        </is>
      </c>
      <c r="O998" s="9" t="inlineStr">
        <is>
          <t>OFFICIAL_AGGREGATE</t>
        </is>
      </c>
      <c r="P998" s="8" t="n">
        <v>1</v>
      </c>
      <c r="Q998" s="8" t="n">
        <v>95</v>
      </c>
      <c r="R998" s="7" t="inlineStr">
        <is>
          <t>https://www.ande.gov.py/finanzas/2.%20COMPILACION%20ESTADISTICA%202003-2023/ANDE%20-%20Compilacion%20Estadistica%202003-2023.pdf</t>
        </is>
      </c>
      <c r="S998" s="6" t="inlineStr">
        <is>
          <t>ANDE-03-23</t>
        </is>
      </c>
      <c r="T998" s="6" t="inlineStr"/>
      <c r="U998" s="4" t="inlineStr">
        <is>
          <t>2026-09-11 00:05:00</t>
        </is>
      </c>
      <c r="V998" s="4" t="inlineStr">
        <is>
          <t>Compilacion 2003-2023; prioridad canonica. Rupturas metodologicas de categorias en 2016/2017 documentadas por ANDE.</t>
        </is>
      </c>
    </row>
    <row r="999">
      <c r="A999" s="6" t="inlineStr">
        <is>
          <t>R0001115</t>
        </is>
      </c>
      <c r="B999" s="6" t="inlineStr">
        <is>
          <t>2017-01-01</t>
        </is>
      </c>
      <c r="C999" s="6" t="inlineStr">
        <is>
          <t>2017-12-31</t>
        </is>
      </c>
      <c r="D999" s="6" t="inlineStr">
        <is>
          <t>year</t>
        </is>
      </c>
      <c r="E999" s="6" t="inlineStr">
        <is>
          <t>ANDE_BILLED_RESIDENTIAL_ENERGY</t>
        </is>
      </c>
      <c r="F999" s="6" t="inlineStr">
        <is>
          <t>PY_SIN</t>
        </is>
      </c>
      <c r="G999" s="6" t="inlineStr">
        <is>
          <t>PY</t>
        </is>
      </c>
      <c r="H999" s="6" t="inlineStr">
        <is>
          <t>PY</t>
        </is>
      </c>
      <c r="I999" s="8" t="n">
        <v>4920271</v>
      </c>
      <c r="J999" s="6" t="inlineStr">
        <is>
          <t>MWh</t>
        </is>
      </c>
      <c r="K999" s="8" t="n">
        <v>4920271</v>
      </c>
      <c r="L999" s="6" t="inlineStr">
        <is>
          <t>MWh</t>
        </is>
      </c>
      <c r="M999" s="6" t="inlineStr">
        <is>
          <t>ANDE</t>
        </is>
      </c>
      <c r="N999" s="6" t="inlineStr">
        <is>
          <t>OFFICIAL_PRIMARY</t>
        </is>
      </c>
      <c r="O999" s="9" t="inlineStr">
        <is>
          <t>OFFICIAL_AGGREGATE</t>
        </is>
      </c>
      <c r="P999" s="8" t="n">
        <v>1</v>
      </c>
      <c r="Q999" s="8" t="n">
        <v>95</v>
      </c>
      <c r="R999" s="7" t="inlineStr">
        <is>
          <t>https://www.ande.gov.py/finanzas/2.%20COMPILACION%20ESTADISTICA%202003-2023/ANDE%20-%20Compilacion%20Estadistica%202003-2023.pdf</t>
        </is>
      </c>
      <c r="S999" s="6" t="inlineStr">
        <is>
          <t>ANDE-03-23</t>
        </is>
      </c>
      <c r="T999" s="6" t="inlineStr"/>
      <c r="U999" s="4" t="inlineStr">
        <is>
          <t>2026-09-11 00:05:00</t>
        </is>
      </c>
      <c r="V999" s="4" t="inlineStr">
        <is>
          <t>Compilacion 2003-2023; prioridad canonica. Rupturas metodologicas de categorias en 2016/2017 documentadas por ANDE.</t>
        </is>
      </c>
    </row>
    <row r="1000">
      <c r="A1000" s="6" t="inlineStr">
        <is>
          <t>R0001116</t>
        </is>
      </c>
      <c r="B1000" s="6" t="inlineStr">
        <is>
          <t>2018-01-01</t>
        </is>
      </c>
      <c r="C1000" s="6" t="inlineStr">
        <is>
          <t>2018-12-31</t>
        </is>
      </c>
      <c r="D1000" s="6" t="inlineStr">
        <is>
          <t>year</t>
        </is>
      </c>
      <c r="E1000" s="6" t="inlineStr">
        <is>
          <t>ANDE_BILLED_RESIDENTIAL_ENERGY</t>
        </is>
      </c>
      <c r="F1000" s="6" t="inlineStr">
        <is>
          <t>PY_SIN</t>
        </is>
      </c>
      <c r="G1000" s="6" t="inlineStr">
        <is>
          <t>PY</t>
        </is>
      </c>
      <c r="H1000" s="6" t="inlineStr">
        <is>
          <t>PY</t>
        </is>
      </c>
      <c r="I1000" s="8" t="n">
        <v>5376642</v>
      </c>
      <c r="J1000" s="6" t="inlineStr">
        <is>
          <t>MWh</t>
        </is>
      </c>
      <c r="K1000" s="8" t="n">
        <v>5376642</v>
      </c>
      <c r="L1000" s="6" t="inlineStr">
        <is>
          <t>MWh</t>
        </is>
      </c>
      <c r="M1000" s="6" t="inlineStr">
        <is>
          <t>ANDE</t>
        </is>
      </c>
      <c r="N1000" s="6" t="inlineStr">
        <is>
          <t>OFFICIAL_PRIMARY</t>
        </is>
      </c>
      <c r="O1000" s="9" t="inlineStr">
        <is>
          <t>OFFICIAL_AGGREGATE</t>
        </is>
      </c>
      <c r="P1000" s="8" t="n">
        <v>1</v>
      </c>
      <c r="Q1000" s="8" t="n">
        <v>95</v>
      </c>
      <c r="R1000" s="7" t="inlineStr">
        <is>
          <t>https://www.ande.gov.py/finanzas/2.%20COMPILACION%20ESTADISTICA%202003-2023/ANDE%20-%20Compilacion%20Estadistica%202003-2023.pdf</t>
        </is>
      </c>
      <c r="S1000" s="6" t="inlineStr">
        <is>
          <t>ANDE-03-23</t>
        </is>
      </c>
      <c r="T1000" s="6" t="inlineStr"/>
      <c r="U1000" s="4" t="inlineStr">
        <is>
          <t>2026-09-11 00:05:00</t>
        </is>
      </c>
      <c r="V1000" s="4" t="inlineStr">
        <is>
          <t>Compilacion 2003-2023; prioridad canonica. Rupturas metodologicas de categorias en 2016/2017 documentadas por ANDE.</t>
        </is>
      </c>
    </row>
    <row r="1001">
      <c r="A1001" s="6" t="inlineStr">
        <is>
          <t>R0001117</t>
        </is>
      </c>
      <c r="B1001" s="6" t="inlineStr">
        <is>
          <t>2019-01-01</t>
        </is>
      </c>
      <c r="C1001" s="6" t="inlineStr">
        <is>
          <t>2019-12-31</t>
        </is>
      </c>
      <c r="D1001" s="6" t="inlineStr">
        <is>
          <t>year</t>
        </is>
      </c>
      <c r="E1001" s="6" t="inlineStr">
        <is>
          <t>ANDE_BILLED_RESIDENTIAL_ENERGY</t>
        </is>
      </c>
      <c r="F1001" s="6" t="inlineStr">
        <is>
          <t>PY_SIN</t>
        </is>
      </c>
      <c r="G1001" s="6" t="inlineStr">
        <is>
          <t>PY</t>
        </is>
      </c>
      <c r="H1001" s="6" t="inlineStr">
        <is>
          <t>PY</t>
        </is>
      </c>
      <c r="I1001" s="8" t="n">
        <v>5533958</v>
      </c>
      <c r="J1001" s="6" t="inlineStr">
        <is>
          <t>MWh</t>
        </is>
      </c>
      <c r="K1001" s="8" t="n">
        <v>5533958</v>
      </c>
      <c r="L1001" s="6" t="inlineStr">
        <is>
          <t>MWh</t>
        </is>
      </c>
      <c r="M1001" s="6" t="inlineStr">
        <is>
          <t>ANDE</t>
        </is>
      </c>
      <c r="N1001" s="6" t="inlineStr">
        <is>
          <t>OFFICIAL_PRIMARY</t>
        </is>
      </c>
      <c r="O1001" s="9" t="inlineStr">
        <is>
          <t>OFFICIAL_AGGREGATE</t>
        </is>
      </c>
      <c r="P1001" s="8" t="n">
        <v>1</v>
      </c>
      <c r="Q1001" s="8" t="n">
        <v>95</v>
      </c>
      <c r="R1001" s="7" t="inlineStr">
        <is>
          <t>https://www.ande.gov.py/finanzas/2.%20COMPILACION%20ESTADISTICA%202003-2023/ANDE%20-%20Compilacion%20Estadistica%202003-2023.pdf</t>
        </is>
      </c>
      <c r="S1001" s="6" t="inlineStr">
        <is>
          <t>ANDE-03-23</t>
        </is>
      </c>
      <c r="T1001" s="6" t="inlineStr"/>
      <c r="U1001" s="4" t="inlineStr">
        <is>
          <t>2026-09-11 00:05:00</t>
        </is>
      </c>
      <c r="V1001" s="4" t="inlineStr">
        <is>
          <t>Compilacion 2003-2023; prioridad canonica. Rupturas metodologicas de categorias en 2016/2017 documentadas por ANDE.</t>
        </is>
      </c>
    </row>
    <row r="1002">
      <c r="A1002" s="6" t="inlineStr">
        <is>
          <t>R0001118</t>
        </is>
      </c>
      <c r="B1002" s="6" t="inlineStr">
        <is>
          <t>2020-01-01</t>
        </is>
      </c>
      <c r="C1002" s="6" t="inlineStr">
        <is>
          <t>2020-12-31</t>
        </is>
      </c>
      <c r="D1002" s="6" t="inlineStr">
        <is>
          <t>year</t>
        </is>
      </c>
      <c r="E1002" s="6" t="inlineStr">
        <is>
          <t>ANDE_BILLED_RESIDENTIAL_ENERGY</t>
        </is>
      </c>
      <c r="F1002" s="6" t="inlineStr">
        <is>
          <t>PY_SIN</t>
        </is>
      </c>
      <c r="G1002" s="6" t="inlineStr">
        <is>
          <t>PY</t>
        </is>
      </c>
      <c r="H1002" s="6" t="inlineStr">
        <is>
          <t>PY</t>
        </is>
      </c>
      <c r="I1002" s="8" t="n">
        <v>6403281</v>
      </c>
      <c r="J1002" s="6" t="inlineStr">
        <is>
          <t>MWh</t>
        </is>
      </c>
      <c r="K1002" s="8" t="n">
        <v>6403281</v>
      </c>
      <c r="L1002" s="6" t="inlineStr">
        <is>
          <t>MWh</t>
        </is>
      </c>
      <c r="M1002" s="6" t="inlineStr">
        <is>
          <t>ANDE</t>
        </is>
      </c>
      <c r="N1002" s="6" t="inlineStr">
        <is>
          <t>OFFICIAL_PRIMARY</t>
        </is>
      </c>
      <c r="O1002" s="9" t="inlineStr">
        <is>
          <t>OFFICIAL_AGGREGATE</t>
        </is>
      </c>
      <c r="P1002" s="8" t="n">
        <v>1</v>
      </c>
      <c r="Q1002" s="8" t="n">
        <v>95</v>
      </c>
      <c r="R1002" s="7" t="inlineStr">
        <is>
          <t>https://www.ande.gov.py/finanzas/2.%20COMPILACION%20ESTADISTICA%202003-2023/ANDE%20-%20Compilacion%20Estadistica%202003-2023.pdf</t>
        </is>
      </c>
      <c r="S1002" s="6" t="inlineStr">
        <is>
          <t>ANDE-03-23</t>
        </is>
      </c>
      <c r="T1002" s="6" t="inlineStr"/>
      <c r="U1002" s="4" t="inlineStr">
        <is>
          <t>2026-09-11 00:05:00</t>
        </is>
      </c>
      <c r="V1002" s="4" t="inlineStr">
        <is>
          <t>Compilacion 2003-2023; prioridad canonica. Rupturas metodologicas de categorias en 2016/2017 documentadas por ANDE.</t>
        </is>
      </c>
    </row>
    <row r="1003">
      <c r="A1003" s="6" t="inlineStr">
        <is>
          <t>R0001119</t>
        </is>
      </c>
      <c r="B1003" s="6" t="inlineStr">
        <is>
          <t>2021-01-01</t>
        </is>
      </c>
      <c r="C1003" s="6" t="inlineStr">
        <is>
          <t>2021-12-31</t>
        </is>
      </c>
      <c r="D1003" s="6" t="inlineStr">
        <is>
          <t>year</t>
        </is>
      </c>
      <c r="E1003" s="6" t="inlineStr">
        <is>
          <t>ANDE_BILLED_RESIDENTIAL_ENERGY</t>
        </is>
      </c>
      <c r="F1003" s="6" t="inlineStr">
        <is>
          <t>PY_SIN</t>
        </is>
      </c>
      <c r="G1003" s="6" t="inlineStr">
        <is>
          <t>PY</t>
        </is>
      </c>
      <c r="H1003" s="6" t="inlineStr">
        <is>
          <t>PY</t>
        </is>
      </c>
      <c r="I1003" s="8" t="n">
        <v>6175025</v>
      </c>
      <c r="J1003" s="6" t="inlineStr">
        <is>
          <t>MWh</t>
        </is>
      </c>
      <c r="K1003" s="8" t="n">
        <v>6175025</v>
      </c>
      <c r="L1003" s="6" t="inlineStr">
        <is>
          <t>MWh</t>
        </is>
      </c>
      <c r="M1003" s="6" t="inlineStr">
        <is>
          <t>ANDE</t>
        </is>
      </c>
      <c r="N1003" s="6" t="inlineStr">
        <is>
          <t>OFFICIAL_PRIMARY</t>
        </is>
      </c>
      <c r="O1003" s="9" t="inlineStr">
        <is>
          <t>OFFICIAL_AGGREGATE</t>
        </is>
      </c>
      <c r="P1003" s="8" t="n">
        <v>1</v>
      </c>
      <c r="Q1003" s="8" t="n">
        <v>95</v>
      </c>
      <c r="R1003" s="7" t="inlineStr">
        <is>
          <t>https://www.ande.gov.py/finanzas/2.%20COMPILACION%20ESTADISTICA%202003-2023/ANDE%20-%20Compilacion%20Estadistica%202003-2023.pdf</t>
        </is>
      </c>
      <c r="S1003" s="6" t="inlineStr">
        <is>
          <t>ANDE-03-23</t>
        </is>
      </c>
      <c r="T1003" s="6" t="inlineStr"/>
      <c r="U1003" s="4" t="inlineStr">
        <is>
          <t>2026-09-11 00:05:00</t>
        </is>
      </c>
      <c r="V1003" s="4" t="inlineStr">
        <is>
          <t>Compilacion 2003-2023; prioridad canonica. Rupturas metodologicas de categorias en 2016/2017 documentadas por ANDE.</t>
        </is>
      </c>
    </row>
    <row r="1004">
      <c r="A1004" s="6" t="inlineStr">
        <is>
          <t>R0001120</t>
        </is>
      </c>
      <c r="B1004" s="6" t="inlineStr">
        <is>
          <t>2022-01-01</t>
        </is>
      </c>
      <c r="C1004" s="6" t="inlineStr">
        <is>
          <t>2022-12-31</t>
        </is>
      </c>
      <c r="D1004" s="6" t="inlineStr">
        <is>
          <t>year</t>
        </is>
      </c>
      <c r="E1004" s="6" t="inlineStr">
        <is>
          <t>ANDE_BILLED_RESIDENTIAL_ENERGY</t>
        </is>
      </c>
      <c r="F1004" s="6" t="inlineStr">
        <is>
          <t>PY_SIN</t>
        </is>
      </c>
      <c r="G1004" s="6" t="inlineStr">
        <is>
          <t>PY</t>
        </is>
      </c>
      <c r="H1004" s="6" t="inlineStr">
        <is>
          <t>PY</t>
        </is>
      </c>
      <c r="I1004" s="8" t="n">
        <v>6312715</v>
      </c>
      <c r="J1004" s="6" t="inlineStr">
        <is>
          <t>MWh</t>
        </is>
      </c>
      <c r="K1004" s="8" t="n">
        <v>6312715</v>
      </c>
      <c r="L1004" s="6" t="inlineStr">
        <is>
          <t>MWh</t>
        </is>
      </c>
      <c r="M1004" s="6" t="inlineStr">
        <is>
          <t>ANDE</t>
        </is>
      </c>
      <c r="N1004" s="6" t="inlineStr">
        <is>
          <t>OFFICIAL_PRIMARY</t>
        </is>
      </c>
      <c r="O1004" s="9" t="inlineStr">
        <is>
          <t>OFFICIAL_AGGREGATE</t>
        </is>
      </c>
      <c r="P1004" s="8" t="n">
        <v>1</v>
      </c>
      <c r="Q1004" s="8" t="n">
        <v>95</v>
      </c>
      <c r="R1004" s="7" t="inlineStr">
        <is>
          <t>https://www.ande.gov.py/finanzas/2.%20COMPILACION%20ESTADISTICA%202003-2023/ANDE%20-%20Compilacion%20Estadistica%202003-2023.pdf</t>
        </is>
      </c>
      <c r="S1004" s="6" t="inlineStr">
        <is>
          <t>ANDE-03-23</t>
        </is>
      </c>
      <c r="T1004" s="6" t="inlineStr"/>
      <c r="U1004" s="4" t="inlineStr">
        <is>
          <t>2026-09-11 00:05:00</t>
        </is>
      </c>
      <c r="V1004" s="4" t="inlineStr">
        <is>
          <t>Compilacion 2003-2023; prioridad canonica. Rupturas metodologicas de categorias en 2016/2017 documentadas por ANDE.</t>
        </is>
      </c>
    </row>
    <row r="1005">
      <c r="A1005" s="6" t="inlineStr">
        <is>
          <t>R0001121</t>
        </is>
      </c>
      <c r="B1005" s="6" t="inlineStr">
        <is>
          <t>2023-01-01</t>
        </is>
      </c>
      <c r="C1005" s="6" t="inlineStr">
        <is>
          <t>2023-12-31</t>
        </is>
      </c>
      <c r="D1005" s="6" t="inlineStr">
        <is>
          <t>year</t>
        </is>
      </c>
      <c r="E1005" s="6" t="inlineStr">
        <is>
          <t>ANDE_BILLED_RESIDENTIAL_ENERGY</t>
        </is>
      </c>
      <c r="F1005" s="6" t="inlineStr">
        <is>
          <t>PY_SIN</t>
        </is>
      </c>
      <c r="G1005" s="6" t="inlineStr">
        <is>
          <t>PY</t>
        </is>
      </c>
      <c r="H1005" s="6" t="inlineStr">
        <is>
          <t>PY</t>
        </is>
      </c>
      <c r="I1005" s="8" t="n">
        <v>6686271</v>
      </c>
      <c r="J1005" s="6" t="inlineStr">
        <is>
          <t>MWh</t>
        </is>
      </c>
      <c r="K1005" s="8" t="n">
        <v>6686271</v>
      </c>
      <c r="L1005" s="6" t="inlineStr">
        <is>
          <t>MWh</t>
        </is>
      </c>
      <c r="M1005" s="6" t="inlineStr">
        <is>
          <t>ANDE</t>
        </is>
      </c>
      <c r="N1005" s="6" t="inlineStr">
        <is>
          <t>OFFICIAL_PRIMARY</t>
        </is>
      </c>
      <c r="O1005" s="9" t="inlineStr">
        <is>
          <t>OFFICIAL_AGGREGATE</t>
        </is>
      </c>
      <c r="P1005" s="8" t="n">
        <v>1</v>
      </c>
      <c r="Q1005" s="8" t="n">
        <v>95</v>
      </c>
      <c r="R1005" s="7" t="inlineStr">
        <is>
          <t>https://www.ande.gov.py/finanzas/2.%20COMPILACION%20ESTADISTICA%202003-2023/ANDE%20-%20Compilacion%20Estadistica%202003-2023.pdf</t>
        </is>
      </c>
      <c r="S1005" s="6" t="inlineStr">
        <is>
          <t>ANDE-03-23</t>
        </is>
      </c>
      <c r="T1005" s="6" t="inlineStr"/>
      <c r="U1005" s="4" t="inlineStr">
        <is>
          <t>2026-09-11 00:05:00</t>
        </is>
      </c>
      <c r="V1005" s="4" t="inlineStr">
        <is>
          <t>Compilacion 2003-2023; prioridad canonica. Rupturas metodologicas de categorias en 2016/2017 documentadas por ANDE.</t>
        </is>
      </c>
    </row>
    <row r="1006">
      <c r="A1006" s="6" t="inlineStr">
        <is>
          <t>R0001122</t>
        </is>
      </c>
      <c r="B1006" s="6" t="inlineStr">
        <is>
          <t>2003-01-01</t>
        </is>
      </c>
      <c r="C1006" s="6" t="inlineStr">
        <is>
          <t>2003-12-31</t>
        </is>
      </c>
      <c r="D1006" s="6" t="inlineStr">
        <is>
          <t>year</t>
        </is>
      </c>
      <c r="E1006" s="6" t="inlineStr">
        <is>
          <t>ANDE_BILLED_INDUSTRIAL_ENERGY</t>
        </is>
      </c>
      <c r="F1006" s="6" t="inlineStr">
        <is>
          <t>PY_SIN</t>
        </is>
      </c>
      <c r="G1006" s="6" t="inlineStr">
        <is>
          <t>PY</t>
        </is>
      </c>
      <c r="H1006" s="6" t="inlineStr">
        <is>
          <t>PY</t>
        </is>
      </c>
      <c r="I1006" s="8" t="n">
        <v>1054432</v>
      </c>
      <c r="J1006" s="6" t="inlineStr">
        <is>
          <t>MWh</t>
        </is>
      </c>
      <c r="K1006" s="8" t="n">
        <v>1054432</v>
      </c>
      <c r="L1006" s="6" t="inlineStr">
        <is>
          <t>MWh</t>
        </is>
      </c>
      <c r="M1006" s="6" t="inlineStr">
        <is>
          <t>ANDE</t>
        </is>
      </c>
      <c r="N1006" s="6" t="inlineStr">
        <is>
          <t>OFFICIAL_PRIMARY</t>
        </is>
      </c>
      <c r="O1006" s="9" t="inlineStr">
        <is>
          <t>OFFICIAL_AGGREGATE</t>
        </is>
      </c>
      <c r="P1006" s="8" t="n">
        <v>1</v>
      </c>
      <c r="Q1006" s="8" t="n">
        <v>95</v>
      </c>
      <c r="R1006" s="7" t="inlineStr">
        <is>
          <t>https://www.ande.gov.py/finanzas/2.%20COMPILACION%20ESTADISTICA%202003-2023/ANDE%20-%20Compilacion%20Estadistica%202003-2023.pdf</t>
        </is>
      </c>
      <c r="S1006" s="6" t="inlineStr">
        <is>
          <t>ANDE-03-23</t>
        </is>
      </c>
      <c r="T1006" s="6" t="inlineStr"/>
      <c r="U1006" s="4" t="inlineStr">
        <is>
          <t>2026-09-11 00:05:00</t>
        </is>
      </c>
      <c r="V1006" s="4" t="inlineStr">
        <is>
          <t>Compilacion 2003-2023; prioridad canonica. Rupturas metodologicas de categorias en 2016/2017 documentadas por ANDE.</t>
        </is>
      </c>
    </row>
    <row r="1007">
      <c r="A1007" s="6" t="inlineStr">
        <is>
          <t>R0001123</t>
        </is>
      </c>
      <c r="B1007" s="6" t="inlineStr">
        <is>
          <t>2004-01-01</t>
        </is>
      </c>
      <c r="C1007" s="6" t="inlineStr">
        <is>
          <t>2004-12-31</t>
        </is>
      </c>
      <c r="D1007" s="6" t="inlineStr">
        <is>
          <t>year</t>
        </is>
      </c>
      <c r="E1007" s="6" t="inlineStr">
        <is>
          <t>ANDE_BILLED_INDUSTRIAL_ENERGY</t>
        </is>
      </c>
      <c r="F1007" s="6" t="inlineStr">
        <is>
          <t>PY_SIN</t>
        </is>
      </c>
      <c r="G1007" s="6" t="inlineStr">
        <is>
          <t>PY</t>
        </is>
      </c>
      <c r="H1007" s="6" t="inlineStr">
        <is>
          <t>PY</t>
        </is>
      </c>
      <c r="I1007" s="8" t="n">
        <v>1153733</v>
      </c>
      <c r="J1007" s="6" t="inlineStr">
        <is>
          <t>MWh</t>
        </is>
      </c>
      <c r="K1007" s="8" t="n">
        <v>1153733</v>
      </c>
      <c r="L1007" s="6" t="inlineStr">
        <is>
          <t>MWh</t>
        </is>
      </c>
      <c r="M1007" s="6" t="inlineStr">
        <is>
          <t>ANDE</t>
        </is>
      </c>
      <c r="N1007" s="6" t="inlineStr">
        <is>
          <t>OFFICIAL_PRIMARY</t>
        </is>
      </c>
      <c r="O1007" s="9" t="inlineStr">
        <is>
          <t>OFFICIAL_AGGREGATE</t>
        </is>
      </c>
      <c r="P1007" s="8" t="n">
        <v>1</v>
      </c>
      <c r="Q1007" s="8" t="n">
        <v>95</v>
      </c>
      <c r="R1007" s="7" t="inlineStr">
        <is>
          <t>https://www.ande.gov.py/finanzas/2.%20COMPILACION%20ESTADISTICA%202003-2023/ANDE%20-%20Compilacion%20Estadistica%202003-2023.pdf</t>
        </is>
      </c>
      <c r="S1007" s="6" t="inlineStr">
        <is>
          <t>ANDE-03-23</t>
        </is>
      </c>
      <c r="T1007" s="6" t="inlineStr"/>
      <c r="U1007" s="4" t="inlineStr">
        <is>
          <t>2026-09-11 00:05:00</t>
        </is>
      </c>
      <c r="V1007" s="4" t="inlineStr">
        <is>
          <t>Compilacion 2003-2023; prioridad canonica. Rupturas metodologicas de categorias en 2016/2017 documentadas por ANDE.</t>
        </is>
      </c>
    </row>
    <row r="1008">
      <c r="A1008" s="6" t="inlineStr">
        <is>
          <t>R0001124</t>
        </is>
      </c>
      <c r="B1008" s="6" t="inlineStr">
        <is>
          <t>2005-01-01</t>
        </is>
      </c>
      <c r="C1008" s="6" t="inlineStr">
        <is>
          <t>2005-12-31</t>
        </is>
      </c>
      <c r="D1008" s="6" t="inlineStr">
        <is>
          <t>year</t>
        </is>
      </c>
      <c r="E1008" s="6" t="inlineStr">
        <is>
          <t>ANDE_BILLED_INDUSTRIAL_ENERGY</t>
        </is>
      </c>
      <c r="F1008" s="6" t="inlineStr">
        <is>
          <t>PY_SIN</t>
        </is>
      </c>
      <c r="G1008" s="6" t="inlineStr">
        <is>
          <t>PY</t>
        </is>
      </c>
      <c r="H1008" s="6" t="inlineStr">
        <is>
          <t>PY</t>
        </is>
      </c>
      <c r="I1008" s="8" t="n">
        <v>1249665</v>
      </c>
      <c r="J1008" s="6" t="inlineStr">
        <is>
          <t>MWh</t>
        </is>
      </c>
      <c r="K1008" s="8" t="n">
        <v>1249665</v>
      </c>
      <c r="L1008" s="6" t="inlineStr">
        <is>
          <t>MWh</t>
        </is>
      </c>
      <c r="M1008" s="6" t="inlineStr">
        <is>
          <t>ANDE</t>
        </is>
      </c>
      <c r="N1008" s="6" t="inlineStr">
        <is>
          <t>OFFICIAL_PRIMARY</t>
        </is>
      </c>
      <c r="O1008" s="9" t="inlineStr">
        <is>
          <t>OFFICIAL_AGGREGATE</t>
        </is>
      </c>
      <c r="P1008" s="8" t="n">
        <v>1</v>
      </c>
      <c r="Q1008" s="8" t="n">
        <v>95</v>
      </c>
      <c r="R1008" s="7" t="inlineStr">
        <is>
          <t>https://www.ande.gov.py/finanzas/2.%20COMPILACION%20ESTADISTICA%202003-2023/ANDE%20-%20Compilacion%20Estadistica%202003-2023.pdf</t>
        </is>
      </c>
      <c r="S1008" s="6" t="inlineStr">
        <is>
          <t>ANDE-03-23</t>
        </is>
      </c>
      <c r="T1008" s="6" t="inlineStr"/>
      <c r="U1008" s="4" t="inlineStr">
        <is>
          <t>2026-09-11 00:05:00</t>
        </is>
      </c>
      <c r="V1008" s="4" t="inlineStr">
        <is>
          <t>Compilacion 2003-2023; prioridad canonica. Rupturas metodologicas de categorias en 2016/2017 documentadas por ANDE.</t>
        </is>
      </c>
    </row>
    <row r="1009">
      <c r="A1009" s="6" t="inlineStr">
        <is>
          <t>R0001125</t>
        </is>
      </c>
      <c r="B1009" s="6" t="inlineStr">
        <is>
          <t>2006-01-01</t>
        </is>
      </c>
      <c r="C1009" s="6" t="inlineStr">
        <is>
          <t>2006-12-31</t>
        </is>
      </c>
      <c r="D1009" s="6" t="inlineStr">
        <is>
          <t>year</t>
        </is>
      </c>
      <c r="E1009" s="6" t="inlineStr">
        <is>
          <t>ANDE_BILLED_INDUSTRIAL_ENERGY</t>
        </is>
      </c>
      <c r="F1009" s="6" t="inlineStr">
        <is>
          <t>PY_SIN</t>
        </is>
      </c>
      <c r="G1009" s="6" t="inlineStr">
        <is>
          <t>PY</t>
        </is>
      </c>
      <c r="H1009" s="6" t="inlineStr">
        <is>
          <t>PY</t>
        </is>
      </c>
      <c r="I1009" s="8" t="n">
        <v>1371385</v>
      </c>
      <c r="J1009" s="6" t="inlineStr">
        <is>
          <t>MWh</t>
        </is>
      </c>
      <c r="K1009" s="8" t="n">
        <v>1371385</v>
      </c>
      <c r="L1009" s="6" t="inlineStr">
        <is>
          <t>MWh</t>
        </is>
      </c>
      <c r="M1009" s="6" t="inlineStr">
        <is>
          <t>ANDE</t>
        </is>
      </c>
      <c r="N1009" s="6" t="inlineStr">
        <is>
          <t>OFFICIAL_PRIMARY</t>
        </is>
      </c>
      <c r="O1009" s="9" t="inlineStr">
        <is>
          <t>OFFICIAL_AGGREGATE</t>
        </is>
      </c>
      <c r="P1009" s="8" t="n">
        <v>1</v>
      </c>
      <c r="Q1009" s="8" t="n">
        <v>95</v>
      </c>
      <c r="R1009" s="7" t="inlineStr">
        <is>
          <t>https://www.ande.gov.py/finanzas/2.%20COMPILACION%20ESTADISTICA%202003-2023/ANDE%20-%20Compilacion%20Estadistica%202003-2023.pdf</t>
        </is>
      </c>
      <c r="S1009" s="6" t="inlineStr">
        <is>
          <t>ANDE-03-23</t>
        </is>
      </c>
      <c r="T1009" s="6" t="inlineStr"/>
      <c r="U1009" s="4" t="inlineStr">
        <is>
          <t>2026-09-11 00:05:00</t>
        </is>
      </c>
      <c r="V1009" s="4" t="inlineStr">
        <is>
          <t>Compilacion 2003-2023; prioridad canonica. Rupturas metodologicas de categorias en 2016/2017 documentadas por ANDE.</t>
        </is>
      </c>
    </row>
    <row r="1010">
      <c r="A1010" s="6" t="inlineStr">
        <is>
          <t>R0001126</t>
        </is>
      </c>
      <c r="B1010" s="6" t="inlineStr">
        <is>
          <t>2007-01-01</t>
        </is>
      </c>
      <c r="C1010" s="6" t="inlineStr">
        <is>
          <t>2007-12-31</t>
        </is>
      </c>
      <c r="D1010" s="6" t="inlineStr">
        <is>
          <t>year</t>
        </is>
      </c>
      <c r="E1010" s="6" t="inlineStr">
        <is>
          <t>ANDE_BILLED_INDUSTRIAL_ENERGY</t>
        </is>
      </c>
      <c r="F1010" s="6" t="inlineStr">
        <is>
          <t>PY_SIN</t>
        </is>
      </c>
      <c r="G1010" s="6" t="inlineStr">
        <is>
          <t>PY</t>
        </is>
      </c>
      <c r="H1010" s="6" t="inlineStr">
        <is>
          <t>PY</t>
        </is>
      </c>
      <c r="I1010" s="8" t="n">
        <v>1463326</v>
      </c>
      <c r="J1010" s="6" t="inlineStr">
        <is>
          <t>MWh</t>
        </is>
      </c>
      <c r="K1010" s="8" t="n">
        <v>1463326</v>
      </c>
      <c r="L1010" s="6" t="inlineStr">
        <is>
          <t>MWh</t>
        </is>
      </c>
      <c r="M1010" s="6" t="inlineStr">
        <is>
          <t>ANDE</t>
        </is>
      </c>
      <c r="N1010" s="6" t="inlineStr">
        <is>
          <t>OFFICIAL_PRIMARY</t>
        </is>
      </c>
      <c r="O1010" s="9" t="inlineStr">
        <is>
          <t>OFFICIAL_AGGREGATE</t>
        </is>
      </c>
      <c r="P1010" s="8" t="n">
        <v>1</v>
      </c>
      <c r="Q1010" s="8" t="n">
        <v>95</v>
      </c>
      <c r="R1010" s="7" t="inlineStr">
        <is>
          <t>https://www.ande.gov.py/finanzas/2.%20COMPILACION%20ESTADISTICA%202003-2023/ANDE%20-%20Compilacion%20Estadistica%202003-2023.pdf</t>
        </is>
      </c>
      <c r="S1010" s="6" t="inlineStr">
        <is>
          <t>ANDE-03-23</t>
        </is>
      </c>
      <c r="T1010" s="6" t="inlineStr"/>
      <c r="U1010" s="4" t="inlineStr">
        <is>
          <t>2026-09-11 00:05:00</t>
        </is>
      </c>
      <c r="V1010" s="4" t="inlineStr">
        <is>
          <t>Compilacion 2003-2023; prioridad canonica. Rupturas metodologicas de categorias en 2016/2017 documentadas por ANDE.</t>
        </is>
      </c>
    </row>
    <row r="1011">
      <c r="A1011" s="6" t="inlineStr">
        <is>
          <t>R0001127</t>
        </is>
      </c>
      <c r="B1011" s="6" t="inlineStr">
        <is>
          <t>2008-01-01</t>
        </is>
      </c>
      <c r="C1011" s="6" t="inlineStr">
        <is>
          <t>2008-12-31</t>
        </is>
      </c>
      <c r="D1011" s="6" t="inlineStr">
        <is>
          <t>year</t>
        </is>
      </c>
      <c r="E1011" s="6" t="inlineStr">
        <is>
          <t>ANDE_BILLED_INDUSTRIAL_ENERGY</t>
        </is>
      </c>
      <c r="F1011" s="6" t="inlineStr">
        <is>
          <t>PY_SIN</t>
        </is>
      </c>
      <c r="G1011" s="6" t="inlineStr">
        <is>
          <t>PY</t>
        </is>
      </c>
      <c r="H1011" s="6" t="inlineStr">
        <is>
          <t>PY</t>
        </is>
      </c>
      <c r="I1011" s="8" t="n">
        <v>1536273</v>
      </c>
      <c r="J1011" s="6" t="inlineStr">
        <is>
          <t>MWh</t>
        </is>
      </c>
      <c r="K1011" s="8" t="n">
        <v>1536273</v>
      </c>
      <c r="L1011" s="6" t="inlineStr">
        <is>
          <t>MWh</t>
        </is>
      </c>
      <c r="M1011" s="6" t="inlineStr">
        <is>
          <t>ANDE</t>
        </is>
      </c>
      <c r="N1011" s="6" t="inlineStr">
        <is>
          <t>OFFICIAL_PRIMARY</t>
        </is>
      </c>
      <c r="O1011" s="9" t="inlineStr">
        <is>
          <t>OFFICIAL_AGGREGATE</t>
        </is>
      </c>
      <c r="P1011" s="8" t="n">
        <v>1</v>
      </c>
      <c r="Q1011" s="8" t="n">
        <v>95</v>
      </c>
      <c r="R1011" s="7" t="inlineStr">
        <is>
          <t>https://www.ande.gov.py/finanzas/2.%20COMPILACION%20ESTADISTICA%202003-2023/ANDE%20-%20Compilacion%20Estadistica%202003-2023.pdf</t>
        </is>
      </c>
      <c r="S1011" s="6" t="inlineStr">
        <is>
          <t>ANDE-03-23</t>
        </is>
      </c>
      <c r="T1011" s="6" t="inlineStr"/>
      <c r="U1011" s="4" t="inlineStr">
        <is>
          <t>2026-09-11 00:05:00</t>
        </is>
      </c>
      <c r="V1011" s="4" t="inlineStr">
        <is>
          <t>Compilacion 2003-2023; prioridad canonica. Rupturas metodologicas de categorias en 2016/2017 documentadas por ANDE.</t>
        </is>
      </c>
    </row>
    <row r="1012">
      <c r="A1012" s="6" t="inlineStr">
        <is>
          <t>R0001128</t>
        </is>
      </c>
      <c r="B1012" s="6" t="inlineStr">
        <is>
          <t>2009-01-01</t>
        </is>
      </c>
      <c r="C1012" s="6" t="inlineStr">
        <is>
          <t>2009-12-31</t>
        </is>
      </c>
      <c r="D1012" s="6" t="inlineStr">
        <is>
          <t>year</t>
        </is>
      </c>
      <c r="E1012" s="6" t="inlineStr">
        <is>
          <t>ANDE_BILLED_INDUSTRIAL_ENERGY</t>
        </is>
      </c>
      <c r="F1012" s="6" t="inlineStr">
        <is>
          <t>PY_SIN</t>
        </is>
      </c>
      <c r="G1012" s="6" t="inlineStr">
        <is>
          <t>PY</t>
        </is>
      </c>
      <c r="H1012" s="6" t="inlineStr">
        <is>
          <t>PY</t>
        </is>
      </c>
      <c r="I1012" s="8" t="n">
        <v>1517290</v>
      </c>
      <c r="J1012" s="6" t="inlineStr">
        <is>
          <t>MWh</t>
        </is>
      </c>
      <c r="K1012" s="8" t="n">
        <v>1517290</v>
      </c>
      <c r="L1012" s="6" t="inlineStr">
        <is>
          <t>MWh</t>
        </is>
      </c>
      <c r="M1012" s="6" t="inlineStr">
        <is>
          <t>ANDE</t>
        </is>
      </c>
      <c r="N1012" s="6" t="inlineStr">
        <is>
          <t>OFFICIAL_PRIMARY</t>
        </is>
      </c>
      <c r="O1012" s="9" t="inlineStr">
        <is>
          <t>OFFICIAL_AGGREGATE</t>
        </is>
      </c>
      <c r="P1012" s="8" t="n">
        <v>1</v>
      </c>
      <c r="Q1012" s="8" t="n">
        <v>95</v>
      </c>
      <c r="R1012" s="7" t="inlineStr">
        <is>
          <t>https://www.ande.gov.py/finanzas/2.%20COMPILACION%20ESTADISTICA%202003-2023/ANDE%20-%20Compilacion%20Estadistica%202003-2023.pdf</t>
        </is>
      </c>
      <c r="S1012" s="6" t="inlineStr">
        <is>
          <t>ANDE-03-23</t>
        </is>
      </c>
      <c r="T1012" s="6" t="inlineStr"/>
      <c r="U1012" s="4" t="inlineStr">
        <is>
          <t>2026-09-11 00:05:00</t>
        </is>
      </c>
      <c r="V1012" s="4" t="inlineStr">
        <is>
          <t>Compilacion 2003-2023; prioridad canonica. Rupturas metodologicas de categorias en 2016/2017 documentadas por ANDE.</t>
        </is>
      </c>
    </row>
    <row r="1013">
      <c r="A1013" s="6" t="inlineStr">
        <is>
          <t>R0001129</t>
        </is>
      </c>
      <c r="B1013" s="6" t="inlineStr">
        <is>
          <t>2010-01-01</t>
        </is>
      </c>
      <c r="C1013" s="6" t="inlineStr">
        <is>
          <t>2010-12-31</t>
        </is>
      </c>
      <c r="D1013" s="6" t="inlineStr">
        <is>
          <t>year</t>
        </is>
      </c>
      <c r="E1013" s="6" t="inlineStr">
        <is>
          <t>ANDE_BILLED_INDUSTRIAL_ENERGY</t>
        </is>
      </c>
      <c r="F1013" s="6" t="inlineStr">
        <is>
          <t>PY_SIN</t>
        </is>
      </c>
      <c r="G1013" s="6" t="inlineStr">
        <is>
          <t>PY</t>
        </is>
      </c>
      <c r="H1013" s="6" t="inlineStr">
        <is>
          <t>PY</t>
        </is>
      </c>
      <c r="I1013" s="8" t="n">
        <v>1623020</v>
      </c>
      <c r="J1013" s="6" t="inlineStr">
        <is>
          <t>MWh</t>
        </is>
      </c>
      <c r="K1013" s="8" t="n">
        <v>1623020</v>
      </c>
      <c r="L1013" s="6" t="inlineStr">
        <is>
          <t>MWh</t>
        </is>
      </c>
      <c r="M1013" s="6" t="inlineStr">
        <is>
          <t>ANDE</t>
        </is>
      </c>
      <c r="N1013" s="6" t="inlineStr">
        <is>
          <t>OFFICIAL_PRIMARY</t>
        </is>
      </c>
      <c r="O1013" s="9" t="inlineStr">
        <is>
          <t>OFFICIAL_AGGREGATE</t>
        </is>
      </c>
      <c r="P1013" s="8" t="n">
        <v>1</v>
      </c>
      <c r="Q1013" s="8" t="n">
        <v>95</v>
      </c>
      <c r="R1013" s="7" t="inlineStr">
        <is>
          <t>https://www.ande.gov.py/finanzas/2.%20COMPILACION%20ESTADISTICA%202003-2023/ANDE%20-%20Compilacion%20Estadistica%202003-2023.pdf</t>
        </is>
      </c>
      <c r="S1013" s="6" t="inlineStr">
        <is>
          <t>ANDE-03-23</t>
        </is>
      </c>
      <c r="T1013" s="6" t="inlineStr"/>
      <c r="U1013" s="4" t="inlineStr">
        <is>
          <t>2026-09-11 00:05:00</t>
        </is>
      </c>
      <c r="V1013" s="4" t="inlineStr">
        <is>
          <t>Compilacion 2003-2023; prioridad canonica. Rupturas metodologicas de categorias en 2016/2017 documentadas por ANDE.</t>
        </is>
      </c>
    </row>
    <row r="1014">
      <c r="A1014" s="6" t="inlineStr">
        <is>
          <t>R0001130</t>
        </is>
      </c>
      <c r="B1014" s="6" t="inlineStr">
        <is>
          <t>2011-01-01</t>
        </is>
      </c>
      <c r="C1014" s="6" t="inlineStr">
        <is>
          <t>2011-12-31</t>
        </is>
      </c>
      <c r="D1014" s="6" t="inlineStr">
        <is>
          <t>year</t>
        </is>
      </c>
      <c r="E1014" s="6" t="inlineStr">
        <is>
          <t>ANDE_BILLED_INDUSTRIAL_ENERGY</t>
        </is>
      </c>
      <c r="F1014" s="6" t="inlineStr">
        <is>
          <t>PY_SIN</t>
        </is>
      </c>
      <c r="G1014" s="6" t="inlineStr">
        <is>
          <t>PY</t>
        </is>
      </c>
      <c r="H1014" s="6" t="inlineStr">
        <is>
          <t>PY</t>
        </is>
      </c>
      <c r="I1014" s="8" t="n">
        <v>1709464</v>
      </c>
      <c r="J1014" s="6" t="inlineStr">
        <is>
          <t>MWh</t>
        </is>
      </c>
      <c r="K1014" s="8" t="n">
        <v>1709464</v>
      </c>
      <c r="L1014" s="6" t="inlineStr">
        <is>
          <t>MWh</t>
        </is>
      </c>
      <c r="M1014" s="6" t="inlineStr">
        <is>
          <t>ANDE</t>
        </is>
      </c>
      <c r="N1014" s="6" t="inlineStr">
        <is>
          <t>OFFICIAL_PRIMARY</t>
        </is>
      </c>
      <c r="O1014" s="9" t="inlineStr">
        <is>
          <t>OFFICIAL_AGGREGATE</t>
        </is>
      </c>
      <c r="P1014" s="8" t="n">
        <v>1</v>
      </c>
      <c r="Q1014" s="8" t="n">
        <v>95</v>
      </c>
      <c r="R1014" s="7" t="inlineStr">
        <is>
          <t>https://www.ande.gov.py/finanzas/2.%20COMPILACION%20ESTADISTICA%202003-2023/ANDE%20-%20Compilacion%20Estadistica%202003-2023.pdf</t>
        </is>
      </c>
      <c r="S1014" s="6" t="inlineStr">
        <is>
          <t>ANDE-03-23</t>
        </is>
      </c>
      <c r="T1014" s="6" t="inlineStr"/>
      <c r="U1014" s="4" t="inlineStr">
        <is>
          <t>2026-09-11 00:05:00</t>
        </is>
      </c>
      <c r="V1014" s="4" t="inlineStr">
        <is>
          <t>Compilacion 2003-2023; prioridad canonica. Rupturas metodologicas de categorias en 2016/2017 documentadas por ANDE.</t>
        </is>
      </c>
    </row>
    <row r="1015">
      <c r="A1015" s="6" t="inlineStr">
        <is>
          <t>R0001131</t>
        </is>
      </c>
      <c r="B1015" s="6" t="inlineStr">
        <is>
          <t>2012-01-01</t>
        </is>
      </c>
      <c r="C1015" s="6" t="inlineStr">
        <is>
          <t>2012-12-31</t>
        </is>
      </c>
      <c r="D1015" s="6" t="inlineStr">
        <is>
          <t>year</t>
        </is>
      </c>
      <c r="E1015" s="6" t="inlineStr">
        <is>
          <t>ANDE_BILLED_INDUSTRIAL_ENERGY</t>
        </is>
      </c>
      <c r="F1015" s="6" t="inlineStr">
        <is>
          <t>PY_SIN</t>
        </is>
      </c>
      <c r="G1015" s="6" t="inlineStr">
        <is>
          <t>PY</t>
        </is>
      </c>
      <c r="H1015" s="6" t="inlineStr">
        <is>
          <t>PY</t>
        </is>
      </c>
      <c r="I1015" s="8" t="n">
        <v>1805789</v>
      </c>
      <c r="J1015" s="6" t="inlineStr">
        <is>
          <t>MWh</t>
        </is>
      </c>
      <c r="K1015" s="8" t="n">
        <v>1805789</v>
      </c>
      <c r="L1015" s="6" t="inlineStr">
        <is>
          <t>MWh</t>
        </is>
      </c>
      <c r="M1015" s="6" t="inlineStr">
        <is>
          <t>ANDE</t>
        </is>
      </c>
      <c r="N1015" s="6" t="inlineStr">
        <is>
          <t>OFFICIAL_PRIMARY</t>
        </is>
      </c>
      <c r="O1015" s="9" t="inlineStr">
        <is>
          <t>OFFICIAL_AGGREGATE</t>
        </is>
      </c>
      <c r="P1015" s="8" t="n">
        <v>1</v>
      </c>
      <c r="Q1015" s="8" t="n">
        <v>95</v>
      </c>
      <c r="R1015" s="7" t="inlineStr">
        <is>
          <t>https://www.ande.gov.py/finanzas/2.%20COMPILACION%20ESTADISTICA%202003-2023/ANDE%20-%20Compilacion%20Estadistica%202003-2023.pdf</t>
        </is>
      </c>
      <c r="S1015" s="6" t="inlineStr">
        <is>
          <t>ANDE-03-23</t>
        </is>
      </c>
      <c r="T1015" s="6" t="inlineStr"/>
      <c r="U1015" s="4" t="inlineStr">
        <is>
          <t>2026-09-11 00:05:00</t>
        </is>
      </c>
      <c r="V1015" s="4" t="inlineStr">
        <is>
          <t>Compilacion 2003-2023; prioridad canonica. Rupturas metodologicas de categorias en 2016/2017 documentadas por ANDE.</t>
        </is>
      </c>
    </row>
    <row r="1016">
      <c r="A1016" s="6" t="inlineStr">
        <is>
          <t>R0001132</t>
        </is>
      </c>
      <c r="B1016" s="6" t="inlineStr">
        <is>
          <t>2013-01-01</t>
        </is>
      </c>
      <c r="C1016" s="6" t="inlineStr">
        <is>
          <t>2013-12-31</t>
        </is>
      </c>
      <c r="D1016" s="6" t="inlineStr">
        <is>
          <t>year</t>
        </is>
      </c>
      <c r="E1016" s="6" t="inlineStr">
        <is>
          <t>ANDE_BILLED_INDUSTRIAL_ENERGY</t>
        </is>
      </c>
      <c r="F1016" s="6" t="inlineStr">
        <is>
          <t>PY_SIN</t>
        </is>
      </c>
      <c r="G1016" s="6" t="inlineStr">
        <is>
          <t>PY</t>
        </is>
      </c>
      <c r="H1016" s="6" t="inlineStr">
        <is>
          <t>PY</t>
        </is>
      </c>
      <c r="I1016" s="8" t="n">
        <v>1931209</v>
      </c>
      <c r="J1016" s="6" t="inlineStr">
        <is>
          <t>MWh</t>
        </is>
      </c>
      <c r="K1016" s="8" t="n">
        <v>1931209</v>
      </c>
      <c r="L1016" s="6" t="inlineStr">
        <is>
          <t>MWh</t>
        </is>
      </c>
      <c r="M1016" s="6" t="inlineStr">
        <is>
          <t>ANDE</t>
        </is>
      </c>
      <c r="N1016" s="6" t="inlineStr">
        <is>
          <t>OFFICIAL_PRIMARY</t>
        </is>
      </c>
      <c r="O1016" s="9" t="inlineStr">
        <is>
          <t>OFFICIAL_AGGREGATE</t>
        </is>
      </c>
      <c r="P1016" s="8" t="n">
        <v>1</v>
      </c>
      <c r="Q1016" s="8" t="n">
        <v>95</v>
      </c>
      <c r="R1016" s="7" t="inlineStr">
        <is>
          <t>https://www.ande.gov.py/finanzas/2.%20COMPILACION%20ESTADISTICA%202003-2023/ANDE%20-%20Compilacion%20Estadistica%202003-2023.pdf</t>
        </is>
      </c>
      <c r="S1016" s="6" t="inlineStr">
        <is>
          <t>ANDE-03-23</t>
        </is>
      </c>
      <c r="T1016" s="6" t="inlineStr"/>
      <c r="U1016" s="4" t="inlineStr">
        <is>
          <t>2026-09-11 00:05:00</t>
        </is>
      </c>
      <c r="V1016" s="4" t="inlineStr">
        <is>
          <t>Compilacion 2003-2023; prioridad canonica. Rupturas metodologicas de categorias en 2016/2017 documentadas por ANDE.</t>
        </is>
      </c>
    </row>
    <row r="1017">
      <c r="A1017" s="6" t="inlineStr">
        <is>
          <t>R0001133</t>
        </is>
      </c>
      <c r="B1017" s="6" t="inlineStr">
        <is>
          <t>2014-01-01</t>
        </is>
      </c>
      <c r="C1017" s="6" t="inlineStr">
        <is>
          <t>2014-12-31</t>
        </is>
      </c>
      <c r="D1017" s="6" t="inlineStr">
        <is>
          <t>year</t>
        </is>
      </c>
      <c r="E1017" s="6" t="inlineStr">
        <is>
          <t>ANDE_BILLED_INDUSTRIAL_ENERGY</t>
        </is>
      </c>
      <c r="F1017" s="6" t="inlineStr">
        <is>
          <t>PY_SIN</t>
        </is>
      </c>
      <c r="G1017" s="6" t="inlineStr">
        <is>
          <t>PY</t>
        </is>
      </c>
      <c r="H1017" s="6" t="inlineStr">
        <is>
          <t>PY</t>
        </is>
      </c>
      <c r="I1017" s="8" t="n">
        <v>2019926</v>
      </c>
      <c r="J1017" s="6" t="inlineStr">
        <is>
          <t>MWh</t>
        </is>
      </c>
      <c r="K1017" s="8" t="n">
        <v>2019926</v>
      </c>
      <c r="L1017" s="6" t="inlineStr">
        <is>
          <t>MWh</t>
        </is>
      </c>
      <c r="M1017" s="6" t="inlineStr">
        <is>
          <t>ANDE</t>
        </is>
      </c>
      <c r="N1017" s="6" t="inlineStr">
        <is>
          <t>OFFICIAL_PRIMARY</t>
        </is>
      </c>
      <c r="O1017" s="9" t="inlineStr">
        <is>
          <t>OFFICIAL_AGGREGATE</t>
        </is>
      </c>
      <c r="P1017" s="8" t="n">
        <v>1</v>
      </c>
      <c r="Q1017" s="8" t="n">
        <v>95</v>
      </c>
      <c r="R1017" s="7" t="inlineStr">
        <is>
          <t>https://www.ande.gov.py/finanzas/2.%20COMPILACION%20ESTADISTICA%202003-2023/ANDE%20-%20Compilacion%20Estadistica%202003-2023.pdf</t>
        </is>
      </c>
      <c r="S1017" s="6" t="inlineStr">
        <is>
          <t>ANDE-03-23</t>
        </is>
      </c>
      <c r="T1017" s="6" t="inlineStr"/>
      <c r="U1017" s="4" t="inlineStr">
        <is>
          <t>2026-09-11 00:05:00</t>
        </is>
      </c>
      <c r="V1017" s="4" t="inlineStr">
        <is>
          <t>Compilacion 2003-2023; prioridad canonica. Rupturas metodologicas de categorias en 2016/2017 documentadas por ANDE.</t>
        </is>
      </c>
    </row>
    <row r="1018">
      <c r="A1018" s="6" t="inlineStr">
        <is>
          <t>R0001134</t>
        </is>
      </c>
      <c r="B1018" s="6" t="inlineStr">
        <is>
          <t>2015-01-01</t>
        </is>
      </c>
      <c r="C1018" s="6" t="inlineStr">
        <is>
          <t>2015-12-31</t>
        </is>
      </c>
      <c r="D1018" s="6" t="inlineStr">
        <is>
          <t>year</t>
        </is>
      </c>
      <c r="E1018" s="6" t="inlineStr">
        <is>
          <t>ANDE_BILLED_INDUSTRIAL_ENERGY</t>
        </is>
      </c>
      <c r="F1018" s="6" t="inlineStr">
        <is>
          <t>PY_SIN</t>
        </is>
      </c>
      <c r="G1018" s="6" t="inlineStr">
        <is>
          <t>PY</t>
        </is>
      </c>
      <c r="H1018" s="6" t="inlineStr">
        <is>
          <t>PY</t>
        </is>
      </c>
      <c r="I1018" s="8" t="n">
        <v>2116997</v>
      </c>
      <c r="J1018" s="6" t="inlineStr">
        <is>
          <t>MWh</t>
        </is>
      </c>
      <c r="K1018" s="8" t="n">
        <v>2116997</v>
      </c>
      <c r="L1018" s="6" t="inlineStr">
        <is>
          <t>MWh</t>
        </is>
      </c>
      <c r="M1018" s="6" t="inlineStr">
        <is>
          <t>ANDE</t>
        </is>
      </c>
      <c r="N1018" s="6" t="inlineStr">
        <is>
          <t>OFFICIAL_PRIMARY</t>
        </is>
      </c>
      <c r="O1018" s="9" t="inlineStr">
        <is>
          <t>OFFICIAL_AGGREGATE</t>
        </is>
      </c>
      <c r="P1018" s="8" t="n">
        <v>1</v>
      </c>
      <c r="Q1018" s="8" t="n">
        <v>95</v>
      </c>
      <c r="R1018" s="7" t="inlineStr">
        <is>
          <t>https://www.ande.gov.py/finanzas/2.%20COMPILACION%20ESTADISTICA%202003-2023/ANDE%20-%20Compilacion%20Estadistica%202003-2023.pdf</t>
        </is>
      </c>
      <c r="S1018" s="6" t="inlineStr">
        <is>
          <t>ANDE-03-23</t>
        </is>
      </c>
      <c r="T1018" s="6" t="inlineStr"/>
      <c r="U1018" s="4" t="inlineStr">
        <is>
          <t>2026-09-11 00:05:00</t>
        </is>
      </c>
      <c r="V1018" s="4" t="inlineStr">
        <is>
          <t>Compilacion 2003-2023; prioridad canonica. Rupturas metodologicas de categorias en 2016/2017 documentadas por ANDE.</t>
        </is>
      </c>
    </row>
    <row r="1019">
      <c r="A1019" s="6" t="inlineStr">
        <is>
          <t>R0001135</t>
        </is>
      </c>
      <c r="B1019" s="6" t="inlineStr">
        <is>
          <t>2016-01-01</t>
        </is>
      </c>
      <c r="C1019" s="6" t="inlineStr">
        <is>
          <t>2016-12-31</t>
        </is>
      </c>
      <c r="D1019" s="6" t="inlineStr">
        <is>
          <t>year</t>
        </is>
      </c>
      <c r="E1019" s="6" t="inlineStr">
        <is>
          <t>ANDE_BILLED_INDUSTRIAL_ENERGY</t>
        </is>
      </c>
      <c r="F1019" s="6" t="inlineStr">
        <is>
          <t>PY_SIN</t>
        </is>
      </c>
      <c r="G1019" s="6" t="inlineStr">
        <is>
          <t>PY</t>
        </is>
      </c>
      <c r="H1019" s="6" t="inlineStr">
        <is>
          <t>PY</t>
        </is>
      </c>
      <c r="I1019" s="8" t="n">
        <v>1818777</v>
      </c>
      <c r="J1019" s="6" t="inlineStr">
        <is>
          <t>MWh</t>
        </is>
      </c>
      <c r="K1019" s="8" t="n">
        <v>1818777</v>
      </c>
      <c r="L1019" s="6" t="inlineStr">
        <is>
          <t>MWh</t>
        </is>
      </c>
      <c r="M1019" s="6" t="inlineStr">
        <is>
          <t>ANDE</t>
        </is>
      </c>
      <c r="N1019" s="6" t="inlineStr">
        <is>
          <t>OFFICIAL_PRIMARY</t>
        </is>
      </c>
      <c r="O1019" s="9" t="inlineStr">
        <is>
          <t>OFFICIAL_AGGREGATE</t>
        </is>
      </c>
      <c r="P1019" s="8" t="n">
        <v>1</v>
      </c>
      <c r="Q1019" s="8" t="n">
        <v>95</v>
      </c>
      <c r="R1019" s="7" t="inlineStr">
        <is>
          <t>https://www.ande.gov.py/finanzas/2.%20COMPILACION%20ESTADISTICA%202003-2023/ANDE%20-%20Compilacion%20Estadistica%202003-2023.pdf</t>
        </is>
      </c>
      <c r="S1019" s="6" t="inlineStr">
        <is>
          <t>ANDE-03-23</t>
        </is>
      </c>
      <c r="T1019" s="6" t="inlineStr"/>
      <c r="U1019" s="4" t="inlineStr">
        <is>
          <t>2026-09-11 00:05:00</t>
        </is>
      </c>
      <c r="V1019" s="4" t="inlineStr">
        <is>
          <t>Compilacion 2003-2023; prioridad canonica. Rupturas metodologicas de categorias en 2016/2017 documentadas por ANDE.</t>
        </is>
      </c>
    </row>
    <row r="1020">
      <c r="A1020" s="6" t="inlineStr">
        <is>
          <t>R0001136</t>
        </is>
      </c>
      <c r="B1020" s="6" t="inlineStr">
        <is>
          <t>2017-01-01</t>
        </is>
      </c>
      <c r="C1020" s="6" t="inlineStr">
        <is>
          <t>2017-12-31</t>
        </is>
      </c>
      <c r="D1020" s="6" t="inlineStr">
        <is>
          <t>year</t>
        </is>
      </c>
      <c r="E1020" s="6" t="inlineStr">
        <is>
          <t>ANDE_BILLED_INDUSTRIAL_ENERGY</t>
        </is>
      </c>
      <c r="F1020" s="6" t="inlineStr">
        <is>
          <t>PY_SIN</t>
        </is>
      </c>
      <c r="G1020" s="6" t="inlineStr">
        <is>
          <t>PY</t>
        </is>
      </c>
      <c r="H1020" s="6" t="inlineStr">
        <is>
          <t>PY</t>
        </is>
      </c>
      <c r="I1020" s="8" t="n">
        <v>1758443</v>
      </c>
      <c r="J1020" s="6" t="inlineStr">
        <is>
          <t>MWh</t>
        </is>
      </c>
      <c r="K1020" s="8" t="n">
        <v>1758443</v>
      </c>
      <c r="L1020" s="6" t="inlineStr">
        <is>
          <t>MWh</t>
        </is>
      </c>
      <c r="M1020" s="6" t="inlineStr">
        <is>
          <t>ANDE</t>
        </is>
      </c>
      <c r="N1020" s="6" t="inlineStr">
        <is>
          <t>OFFICIAL_PRIMARY</t>
        </is>
      </c>
      <c r="O1020" s="9" t="inlineStr">
        <is>
          <t>OFFICIAL_AGGREGATE</t>
        </is>
      </c>
      <c r="P1020" s="8" t="n">
        <v>1</v>
      </c>
      <c r="Q1020" s="8" t="n">
        <v>95</v>
      </c>
      <c r="R1020" s="7" t="inlineStr">
        <is>
          <t>https://www.ande.gov.py/finanzas/2.%20COMPILACION%20ESTADISTICA%202003-2023/ANDE%20-%20Compilacion%20Estadistica%202003-2023.pdf</t>
        </is>
      </c>
      <c r="S1020" s="6" t="inlineStr">
        <is>
          <t>ANDE-03-23</t>
        </is>
      </c>
      <c r="T1020" s="6" t="inlineStr"/>
      <c r="U1020" s="4" t="inlineStr">
        <is>
          <t>2026-09-11 00:05:00</t>
        </is>
      </c>
      <c r="V1020" s="4" t="inlineStr">
        <is>
          <t>Compilacion 2003-2023; prioridad canonica. Rupturas metodologicas de categorias en 2016/2017 documentadas por ANDE.</t>
        </is>
      </c>
    </row>
    <row r="1021">
      <c r="A1021" s="6" t="inlineStr">
        <is>
          <t>R0001137</t>
        </is>
      </c>
      <c r="B1021" s="6" t="inlineStr">
        <is>
          <t>2018-01-01</t>
        </is>
      </c>
      <c r="C1021" s="6" t="inlineStr">
        <is>
          <t>2018-12-31</t>
        </is>
      </c>
      <c r="D1021" s="6" t="inlineStr">
        <is>
          <t>year</t>
        </is>
      </c>
      <c r="E1021" s="6" t="inlineStr">
        <is>
          <t>ANDE_BILLED_INDUSTRIAL_ENERGY</t>
        </is>
      </c>
      <c r="F1021" s="6" t="inlineStr">
        <is>
          <t>PY_SIN</t>
        </is>
      </c>
      <c r="G1021" s="6" t="inlineStr">
        <is>
          <t>PY</t>
        </is>
      </c>
      <c r="H1021" s="6" t="inlineStr">
        <is>
          <t>PY</t>
        </is>
      </c>
      <c r="I1021" s="8" t="n">
        <v>1703564</v>
      </c>
      <c r="J1021" s="6" t="inlineStr">
        <is>
          <t>MWh</t>
        </is>
      </c>
      <c r="K1021" s="8" t="n">
        <v>1703564</v>
      </c>
      <c r="L1021" s="6" t="inlineStr">
        <is>
          <t>MWh</t>
        </is>
      </c>
      <c r="M1021" s="6" t="inlineStr">
        <is>
          <t>ANDE</t>
        </is>
      </c>
      <c r="N1021" s="6" t="inlineStr">
        <is>
          <t>OFFICIAL_PRIMARY</t>
        </is>
      </c>
      <c r="O1021" s="9" t="inlineStr">
        <is>
          <t>OFFICIAL_AGGREGATE</t>
        </is>
      </c>
      <c r="P1021" s="8" t="n">
        <v>1</v>
      </c>
      <c r="Q1021" s="8" t="n">
        <v>95</v>
      </c>
      <c r="R1021" s="7" t="inlineStr">
        <is>
          <t>https://www.ande.gov.py/finanzas/2.%20COMPILACION%20ESTADISTICA%202003-2023/ANDE%20-%20Compilacion%20Estadistica%202003-2023.pdf</t>
        </is>
      </c>
      <c r="S1021" s="6" t="inlineStr">
        <is>
          <t>ANDE-03-23</t>
        </is>
      </c>
      <c r="T1021" s="6" t="inlineStr"/>
      <c r="U1021" s="4" t="inlineStr">
        <is>
          <t>2026-09-11 00:05:00</t>
        </is>
      </c>
      <c r="V1021" s="4" t="inlineStr">
        <is>
          <t>Compilacion 2003-2023; prioridad canonica. Rupturas metodologicas de categorias en 2016/2017 documentadas por ANDE.</t>
        </is>
      </c>
    </row>
    <row r="1022">
      <c r="A1022" s="6" t="inlineStr">
        <is>
          <t>R0001138</t>
        </is>
      </c>
      <c r="B1022" s="6" t="inlineStr">
        <is>
          <t>2019-01-01</t>
        </is>
      </c>
      <c r="C1022" s="6" t="inlineStr">
        <is>
          <t>2019-12-31</t>
        </is>
      </c>
      <c r="D1022" s="6" t="inlineStr">
        <is>
          <t>year</t>
        </is>
      </c>
      <c r="E1022" s="6" t="inlineStr">
        <is>
          <t>ANDE_BILLED_INDUSTRIAL_ENERGY</t>
        </is>
      </c>
      <c r="F1022" s="6" t="inlineStr">
        <is>
          <t>PY_SIN</t>
        </is>
      </c>
      <c r="G1022" s="6" t="inlineStr">
        <is>
          <t>PY</t>
        </is>
      </c>
      <c r="H1022" s="6" t="inlineStr">
        <is>
          <t>PY</t>
        </is>
      </c>
      <c r="I1022" s="8" t="n">
        <v>1438423</v>
      </c>
      <c r="J1022" s="6" t="inlineStr">
        <is>
          <t>MWh</t>
        </is>
      </c>
      <c r="K1022" s="8" t="n">
        <v>1438423</v>
      </c>
      <c r="L1022" s="6" t="inlineStr">
        <is>
          <t>MWh</t>
        </is>
      </c>
      <c r="M1022" s="6" t="inlineStr">
        <is>
          <t>ANDE</t>
        </is>
      </c>
      <c r="N1022" s="6" t="inlineStr">
        <is>
          <t>OFFICIAL_PRIMARY</t>
        </is>
      </c>
      <c r="O1022" s="9" t="inlineStr">
        <is>
          <t>OFFICIAL_AGGREGATE</t>
        </is>
      </c>
      <c r="P1022" s="8" t="n">
        <v>1</v>
      </c>
      <c r="Q1022" s="8" t="n">
        <v>95</v>
      </c>
      <c r="R1022" s="7" t="inlineStr">
        <is>
          <t>https://www.ande.gov.py/finanzas/2.%20COMPILACION%20ESTADISTICA%202003-2023/ANDE%20-%20Compilacion%20Estadistica%202003-2023.pdf</t>
        </is>
      </c>
      <c r="S1022" s="6" t="inlineStr">
        <is>
          <t>ANDE-03-23</t>
        </is>
      </c>
      <c r="T1022" s="6" t="inlineStr"/>
      <c r="U1022" s="4" t="inlineStr">
        <is>
          <t>2026-09-11 00:05:00</t>
        </is>
      </c>
      <c r="V1022" s="4" t="inlineStr">
        <is>
          <t>Compilacion 2003-2023; prioridad canonica. Rupturas metodologicas de categorias en 2016/2017 documentadas por ANDE.</t>
        </is>
      </c>
    </row>
    <row r="1023">
      <c r="A1023" s="6" t="inlineStr">
        <is>
          <t>R0001139</t>
        </is>
      </c>
      <c r="B1023" s="6" t="inlineStr">
        <is>
          <t>2020-01-01</t>
        </is>
      </c>
      <c r="C1023" s="6" t="inlineStr">
        <is>
          <t>2020-12-31</t>
        </is>
      </c>
      <c r="D1023" s="6" t="inlineStr">
        <is>
          <t>year</t>
        </is>
      </c>
      <c r="E1023" s="6" t="inlineStr">
        <is>
          <t>ANDE_BILLED_INDUSTRIAL_ENERGY</t>
        </is>
      </c>
      <c r="F1023" s="6" t="inlineStr">
        <is>
          <t>PY_SIN</t>
        </is>
      </c>
      <c r="G1023" s="6" t="inlineStr">
        <is>
          <t>PY</t>
        </is>
      </c>
      <c r="H1023" s="6" t="inlineStr">
        <is>
          <t>PY</t>
        </is>
      </c>
      <c r="I1023" s="8" t="n">
        <v>1411273</v>
      </c>
      <c r="J1023" s="6" t="inlineStr">
        <is>
          <t>MWh</t>
        </is>
      </c>
      <c r="K1023" s="8" t="n">
        <v>1411273</v>
      </c>
      <c r="L1023" s="6" t="inlineStr">
        <is>
          <t>MWh</t>
        </is>
      </c>
      <c r="M1023" s="6" t="inlineStr">
        <is>
          <t>ANDE</t>
        </is>
      </c>
      <c r="N1023" s="6" t="inlineStr">
        <is>
          <t>OFFICIAL_PRIMARY</t>
        </is>
      </c>
      <c r="O1023" s="9" t="inlineStr">
        <is>
          <t>OFFICIAL_AGGREGATE</t>
        </is>
      </c>
      <c r="P1023" s="8" t="n">
        <v>1</v>
      </c>
      <c r="Q1023" s="8" t="n">
        <v>95</v>
      </c>
      <c r="R1023" s="7" t="inlineStr">
        <is>
          <t>https://www.ande.gov.py/finanzas/2.%20COMPILACION%20ESTADISTICA%202003-2023/ANDE%20-%20Compilacion%20Estadistica%202003-2023.pdf</t>
        </is>
      </c>
      <c r="S1023" s="6" t="inlineStr">
        <is>
          <t>ANDE-03-23</t>
        </is>
      </c>
      <c r="T1023" s="6" t="inlineStr"/>
      <c r="U1023" s="4" t="inlineStr">
        <is>
          <t>2026-09-11 00:05:00</t>
        </is>
      </c>
      <c r="V1023" s="4" t="inlineStr">
        <is>
          <t>Compilacion 2003-2023; prioridad canonica. Rupturas metodologicas de categorias en 2016/2017 documentadas por ANDE.</t>
        </is>
      </c>
    </row>
    <row r="1024">
      <c r="A1024" s="6" t="inlineStr">
        <is>
          <t>R0001140</t>
        </is>
      </c>
      <c r="B1024" s="6" t="inlineStr">
        <is>
          <t>2021-01-01</t>
        </is>
      </c>
      <c r="C1024" s="6" t="inlineStr">
        <is>
          <t>2021-12-31</t>
        </is>
      </c>
      <c r="D1024" s="6" t="inlineStr">
        <is>
          <t>year</t>
        </is>
      </c>
      <c r="E1024" s="6" t="inlineStr">
        <is>
          <t>ANDE_BILLED_INDUSTRIAL_ENERGY</t>
        </is>
      </c>
      <c r="F1024" s="6" t="inlineStr">
        <is>
          <t>PY_SIN</t>
        </is>
      </c>
      <c r="G1024" s="6" t="inlineStr">
        <is>
          <t>PY</t>
        </is>
      </c>
      <c r="H1024" s="6" t="inlineStr">
        <is>
          <t>PY</t>
        </is>
      </c>
      <c r="I1024" s="8" t="n">
        <v>1374210</v>
      </c>
      <c r="J1024" s="6" t="inlineStr">
        <is>
          <t>MWh</t>
        </is>
      </c>
      <c r="K1024" s="8" t="n">
        <v>1374210</v>
      </c>
      <c r="L1024" s="6" t="inlineStr">
        <is>
          <t>MWh</t>
        </is>
      </c>
      <c r="M1024" s="6" t="inlineStr">
        <is>
          <t>ANDE</t>
        </is>
      </c>
      <c r="N1024" s="6" t="inlineStr">
        <is>
          <t>OFFICIAL_PRIMARY</t>
        </is>
      </c>
      <c r="O1024" s="9" t="inlineStr">
        <is>
          <t>OFFICIAL_AGGREGATE</t>
        </is>
      </c>
      <c r="P1024" s="8" t="n">
        <v>1</v>
      </c>
      <c r="Q1024" s="8" t="n">
        <v>95</v>
      </c>
      <c r="R1024" s="7" t="inlineStr">
        <is>
          <t>https://www.ande.gov.py/finanzas/2.%20COMPILACION%20ESTADISTICA%202003-2023/ANDE%20-%20Compilacion%20Estadistica%202003-2023.pdf</t>
        </is>
      </c>
      <c r="S1024" s="6" t="inlineStr">
        <is>
          <t>ANDE-03-23</t>
        </is>
      </c>
      <c r="T1024" s="6" t="inlineStr"/>
      <c r="U1024" s="4" t="inlineStr">
        <is>
          <t>2026-09-11 00:05:00</t>
        </is>
      </c>
      <c r="V1024" s="4" t="inlineStr">
        <is>
          <t>Compilacion 2003-2023; prioridad canonica. Rupturas metodologicas de categorias en 2016/2017 documentadas por ANDE.</t>
        </is>
      </c>
    </row>
    <row r="1025">
      <c r="A1025" s="6" t="inlineStr">
        <is>
          <t>R0001141</t>
        </is>
      </c>
      <c r="B1025" s="6" t="inlineStr">
        <is>
          <t>2022-01-01</t>
        </is>
      </c>
      <c r="C1025" s="6" t="inlineStr">
        <is>
          <t>2022-12-31</t>
        </is>
      </c>
      <c r="D1025" s="6" t="inlineStr">
        <is>
          <t>year</t>
        </is>
      </c>
      <c r="E1025" s="6" t="inlineStr">
        <is>
          <t>ANDE_BILLED_INDUSTRIAL_ENERGY</t>
        </is>
      </c>
      <c r="F1025" s="6" t="inlineStr">
        <is>
          <t>PY_SIN</t>
        </is>
      </c>
      <c r="G1025" s="6" t="inlineStr">
        <is>
          <t>PY</t>
        </is>
      </c>
      <c r="H1025" s="6" t="inlineStr">
        <is>
          <t>PY</t>
        </is>
      </c>
      <c r="I1025" s="8" t="n">
        <v>1481432</v>
      </c>
      <c r="J1025" s="6" t="inlineStr">
        <is>
          <t>MWh</t>
        </is>
      </c>
      <c r="K1025" s="8" t="n">
        <v>1481432</v>
      </c>
      <c r="L1025" s="6" t="inlineStr">
        <is>
          <t>MWh</t>
        </is>
      </c>
      <c r="M1025" s="6" t="inlineStr">
        <is>
          <t>ANDE</t>
        </is>
      </c>
      <c r="N1025" s="6" t="inlineStr">
        <is>
          <t>OFFICIAL_PRIMARY</t>
        </is>
      </c>
      <c r="O1025" s="9" t="inlineStr">
        <is>
          <t>OFFICIAL_AGGREGATE</t>
        </is>
      </c>
      <c r="P1025" s="8" t="n">
        <v>1</v>
      </c>
      <c r="Q1025" s="8" t="n">
        <v>95</v>
      </c>
      <c r="R1025" s="7" t="inlineStr">
        <is>
          <t>https://www.ande.gov.py/finanzas/2.%20COMPILACION%20ESTADISTICA%202003-2023/ANDE%20-%20Compilacion%20Estadistica%202003-2023.pdf</t>
        </is>
      </c>
      <c r="S1025" s="6" t="inlineStr">
        <is>
          <t>ANDE-03-23</t>
        </is>
      </c>
      <c r="T1025" s="6" t="inlineStr"/>
      <c r="U1025" s="4" t="inlineStr">
        <is>
          <t>2026-09-11 00:05:00</t>
        </is>
      </c>
      <c r="V1025" s="4" t="inlineStr">
        <is>
          <t>Compilacion 2003-2023; prioridad canonica. Rupturas metodologicas de categorias en 2016/2017 documentadas por ANDE.</t>
        </is>
      </c>
    </row>
    <row r="1026">
      <c r="A1026" s="6" t="inlineStr">
        <is>
          <t>R0001142</t>
        </is>
      </c>
      <c r="B1026" s="6" t="inlineStr">
        <is>
          <t>2023-01-01</t>
        </is>
      </c>
      <c r="C1026" s="6" t="inlineStr">
        <is>
          <t>2023-12-31</t>
        </is>
      </c>
      <c r="D1026" s="6" t="inlineStr">
        <is>
          <t>year</t>
        </is>
      </c>
      <c r="E1026" s="6" t="inlineStr">
        <is>
          <t>ANDE_BILLED_INDUSTRIAL_ENERGY</t>
        </is>
      </c>
      <c r="F1026" s="6" t="inlineStr">
        <is>
          <t>PY_SIN</t>
        </is>
      </c>
      <c r="G1026" s="6" t="inlineStr">
        <is>
          <t>PY</t>
        </is>
      </c>
      <c r="H1026" s="6" t="inlineStr">
        <is>
          <t>PY</t>
        </is>
      </c>
      <c r="I1026" s="8" t="n">
        <v>1982579</v>
      </c>
      <c r="J1026" s="6" t="inlineStr">
        <is>
          <t>MWh</t>
        </is>
      </c>
      <c r="K1026" s="8" t="n">
        <v>1982579</v>
      </c>
      <c r="L1026" s="6" t="inlineStr">
        <is>
          <t>MWh</t>
        </is>
      </c>
      <c r="M1026" s="6" t="inlineStr">
        <is>
          <t>ANDE</t>
        </is>
      </c>
      <c r="N1026" s="6" t="inlineStr">
        <is>
          <t>OFFICIAL_PRIMARY</t>
        </is>
      </c>
      <c r="O1026" s="9" t="inlineStr">
        <is>
          <t>OFFICIAL_AGGREGATE</t>
        </is>
      </c>
      <c r="P1026" s="8" t="n">
        <v>1</v>
      </c>
      <c r="Q1026" s="8" t="n">
        <v>95</v>
      </c>
      <c r="R1026" s="7" t="inlineStr">
        <is>
          <t>https://www.ande.gov.py/finanzas/2.%20COMPILACION%20ESTADISTICA%202003-2023/ANDE%20-%20Compilacion%20Estadistica%202003-2023.pdf</t>
        </is>
      </c>
      <c r="S1026" s="6" t="inlineStr">
        <is>
          <t>ANDE-03-23</t>
        </is>
      </c>
      <c r="T1026" s="6" t="inlineStr"/>
      <c r="U1026" s="4" t="inlineStr">
        <is>
          <t>2026-09-11 00:05:00</t>
        </is>
      </c>
      <c r="V1026" s="4" t="inlineStr">
        <is>
          <t>Compilacion 2003-2023; prioridad canonica. Rupturas metodologicas de categorias en 2016/2017 documentadas por ANDE.</t>
        </is>
      </c>
    </row>
    <row r="1027">
      <c r="A1027" s="6" t="inlineStr">
        <is>
          <t>R0001143</t>
        </is>
      </c>
      <c r="B1027" s="6" t="inlineStr">
        <is>
          <t>2003-01-01</t>
        </is>
      </c>
      <c r="C1027" s="6" t="inlineStr">
        <is>
          <t>2003-12-31</t>
        </is>
      </c>
      <c r="D1027" s="6" t="inlineStr">
        <is>
          <t>year</t>
        </is>
      </c>
      <c r="E1027" s="6" t="inlineStr">
        <is>
          <t>ANDE_BILLED_OTHER_ENERGY</t>
        </is>
      </c>
      <c r="F1027" s="6" t="inlineStr">
        <is>
          <t>PY_SIN</t>
        </is>
      </c>
      <c r="G1027" s="6" t="inlineStr">
        <is>
          <t>PY</t>
        </is>
      </c>
      <c r="H1027" s="6" t="inlineStr">
        <is>
          <t>PY</t>
        </is>
      </c>
      <c r="I1027" s="8" t="n">
        <v>1195049</v>
      </c>
      <c r="J1027" s="6" t="inlineStr">
        <is>
          <t>MWh</t>
        </is>
      </c>
      <c r="K1027" s="8" t="n">
        <v>1195049</v>
      </c>
      <c r="L1027" s="6" t="inlineStr">
        <is>
          <t>MWh</t>
        </is>
      </c>
      <c r="M1027" s="6" t="inlineStr">
        <is>
          <t>ANDE</t>
        </is>
      </c>
      <c r="N1027" s="6" t="inlineStr">
        <is>
          <t>OFFICIAL_PRIMARY</t>
        </is>
      </c>
      <c r="O1027" s="9" t="inlineStr">
        <is>
          <t>OFFICIAL_AGGREGATE</t>
        </is>
      </c>
      <c r="P1027" s="8" t="n">
        <v>1</v>
      </c>
      <c r="Q1027" s="8" t="n">
        <v>95</v>
      </c>
      <c r="R1027" s="7" t="inlineStr">
        <is>
          <t>https://www.ande.gov.py/finanzas/2.%20COMPILACION%20ESTADISTICA%202003-2023/ANDE%20-%20Compilacion%20Estadistica%202003-2023.pdf</t>
        </is>
      </c>
      <c r="S1027" s="6" t="inlineStr">
        <is>
          <t>ANDE-03-23</t>
        </is>
      </c>
      <c r="T1027" s="6" t="inlineStr"/>
      <c r="U1027" s="4" t="inlineStr">
        <is>
          <t>2026-09-11 00:05:00</t>
        </is>
      </c>
      <c r="V1027" s="4" t="inlineStr">
        <is>
          <t>Compilacion 2003-2023; prioridad canonica. Rupturas metodologicas de categorias en 2016/2017 documentadas por ANDE.</t>
        </is>
      </c>
    </row>
    <row r="1028">
      <c r="A1028" s="6" t="inlineStr">
        <is>
          <t>R0001144</t>
        </is>
      </c>
      <c r="B1028" s="6" t="inlineStr">
        <is>
          <t>2004-01-01</t>
        </is>
      </c>
      <c r="C1028" s="6" t="inlineStr">
        <is>
          <t>2004-12-31</t>
        </is>
      </c>
      <c r="D1028" s="6" t="inlineStr">
        <is>
          <t>year</t>
        </is>
      </c>
      <c r="E1028" s="6" t="inlineStr">
        <is>
          <t>ANDE_BILLED_OTHER_ENERGY</t>
        </is>
      </c>
      <c r="F1028" s="6" t="inlineStr">
        <is>
          <t>PY_SIN</t>
        </is>
      </c>
      <c r="G1028" s="6" t="inlineStr">
        <is>
          <t>PY</t>
        </is>
      </c>
      <c r="H1028" s="6" t="inlineStr">
        <is>
          <t>PY</t>
        </is>
      </c>
      <c r="I1028" s="8" t="n">
        <v>1152810</v>
      </c>
      <c r="J1028" s="6" t="inlineStr">
        <is>
          <t>MWh</t>
        </is>
      </c>
      <c r="K1028" s="8" t="n">
        <v>1152810</v>
      </c>
      <c r="L1028" s="6" t="inlineStr">
        <is>
          <t>MWh</t>
        </is>
      </c>
      <c r="M1028" s="6" t="inlineStr">
        <is>
          <t>ANDE</t>
        </is>
      </c>
      <c r="N1028" s="6" t="inlineStr">
        <is>
          <t>OFFICIAL_PRIMARY</t>
        </is>
      </c>
      <c r="O1028" s="9" t="inlineStr">
        <is>
          <t>OFFICIAL_AGGREGATE</t>
        </is>
      </c>
      <c r="P1028" s="8" t="n">
        <v>1</v>
      </c>
      <c r="Q1028" s="8" t="n">
        <v>95</v>
      </c>
      <c r="R1028" s="7" t="inlineStr">
        <is>
          <t>https://www.ande.gov.py/finanzas/2.%20COMPILACION%20ESTADISTICA%202003-2023/ANDE%20-%20Compilacion%20Estadistica%202003-2023.pdf</t>
        </is>
      </c>
      <c r="S1028" s="6" t="inlineStr">
        <is>
          <t>ANDE-03-23</t>
        </is>
      </c>
      <c r="T1028" s="6" t="inlineStr"/>
      <c r="U1028" s="4" t="inlineStr">
        <is>
          <t>2026-09-11 00:05:00</t>
        </is>
      </c>
      <c r="V1028" s="4" t="inlineStr">
        <is>
          <t>Compilacion 2003-2023; prioridad canonica. Rupturas metodologicas de categorias en 2016/2017 documentadas por ANDE.</t>
        </is>
      </c>
    </row>
    <row r="1029">
      <c r="A1029" s="6" t="inlineStr">
        <is>
          <t>R0001145</t>
        </is>
      </c>
      <c r="B1029" s="6" t="inlineStr">
        <is>
          <t>2005-01-01</t>
        </is>
      </c>
      <c r="C1029" s="6" t="inlineStr">
        <is>
          <t>2005-12-31</t>
        </is>
      </c>
      <c r="D1029" s="6" t="inlineStr">
        <is>
          <t>year</t>
        </is>
      </c>
      <c r="E1029" s="6" t="inlineStr">
        <is>
          <t>ANDE_BILLED_OTHER_ENERGY</t>
        </is>
      </c>
      <c r="F1029" s="6" t="inlineStr">
        <is>
          <t>PY_SIN</t>
        </is>
      </c>
      <c r="G1029" s="6" t="inlineStr">
        <is>
          <t>PY</t>
        </is>
      </c>
      <c r="H1029" s="6" t="inlineStr">
        <is>
          <t>PY</t>
        </is>
      </c>
      <c r="I1029" s="8" t="n">
        <v>1237218</v>
      </c>
      <c r="J1029" s="6" t="inlineStr">
        <is>
          <t>MWh</t>
        </is>
      </c>
      <c r="K1029" s="8" t="n">
        <v>1237218</v>
      </c>
      <c r="L1029" s="6" t="inlineStr">
        <is>
          <t>MWh</t>
        </is>
      </c>
      <c r="M1029" s="6" t="inlineStr">
        <is>
          <t>ANDE</t>
        </is>
      </c>
      <c r="N1029" s="6" t="inlineStr">
        <is>
          <t>OFFICIAL_PRIMARY</t>
        </is>
      </c>
      <c r="O1029" s="9" t="inlineStr">
        <is>
          <t>OFFICIAL_AGGREGATE</t>
        </is>
      </c>
      <c r="P1029" s="8" t="n">
        <v>1</v>
      </c>
      <c r="Q1029" s="8" t="n">
        <v>95</v>
      </c>
      <c r="R1029" s="7" t="inlineStr">
        <is>
          <t>https://www.ande.gov.py/finanzas/2.%20COMPILACION%20ESTADISTICA%202003-2023/ANDE%20-%20Compilacion%20Estadistica%202003-2023.pdf</t>
        </is>
      </c>
      <c r="S1029" s="6" t="inlineStr">
        <is>
          <t>ANDE-03-23</t>
        </is>
      </c>
      <c r="T1029" s="6" t="inlineStr"/>
      <c r="U1029" s="4" t="inlineStr">
        <is>
          <t>2026-09-11 00:05:00</t>
        </is>
      </c>
      <c r="V1029" s="4" t="inlineStr">
        <is>
          <t>Compilacion 2003-2023; prioridad canonica. Rupturas metodologicas de categorias en 2016/2017 documentadas por ANDE.</t>
        </is>
      </c>
    </row>
    <row r="1030">
      <c r="A1030" s="6" t="inlineStr">
        <is>
          <t>R0001146</t>
        </is>
      </c>
      <c r="B1030" s="6" t="inlineStr">
        <is>
          <t>2006-01-01</t>
        </is>
      </c>
      <c r="C1030" s="6" t="inlineStr">
        <is>
          <t>2006-12-31</t>
        </is>
      </c>
      <c r="D1030" s="6" t="inlineStr">
        <is>
          <t>year</t>
        </is>
      </c>
      <c r="E1030" s="6" t="inlineStr">
        <is>
          <t>ANDE_BILLED_OTHER_ENERGY</t>
        </is>
      </c>
      <c r="F1030" s="6" t="inlineStr">
        <is>
          <t>PY_SIN</t>
        </is>
      </c>
      <c r="G1030" s="6" t="inlineStr">
        <is>
          <t>PY</t>
        </is>
      </c>
      <c r="H1030" s="6" t="inlineStr">
        <is>
          <t>PY</t>
        </is>
      </c>
      <c r="I1030" s="8" t="n">
        <v>1330010</v>
      </c>
      <c r="J1030" s="6" t="inlineStr">
        <is>
          <t>MWh</t>
        </is>
      </c>
      <c r="K1030" s="8" t="n">
        <v>1330010</v>
      </c>
      <c r="L1030" s="6" t="inlineStr">
        <is>
          <t>MWh</t>
        </is>
      </c>
      <c r="M1030" s="6" t="inlineStr">
        <is>
          <t>ANDE</t>
        </is>
      </c>
      <c r="N1030" s="6" t="inlineStr">
        <is>
          <t>OFFICIAL_PRIMARY</t>
        </is>
      </c>
      <c r="O1030" s="9" t="inlineStr">
        <is>
          <t>OFFICIAL_AGGREGATE</t>
        </is>
      </c>
      <c r="P1030" s="8" t="n">
        <v>1</v>
      </c>
      <c r="Q1030" s="8" t="n">
        <v>95</v>
      </c>
      <c r="R1030" s="7" t="inlineStr">
        <is>
          <t>https://www.ande.gov.py/finanzas/2.%20COMPILACION%20ESTADISTICA%202003-2023/ANDE%20-%20Compilacion%20Estadistica%202003-2023.pdf</t>
        </is>
      </c>
      <c r="S1030" s="6" t="inlineStr">
        <is>
          <t>ANDE-03-23</t>
        </is>
      </c>
      <c r="T1030" s="6" t="inlineStr"/>
      <c r="U1030" s="4" t="inlineStr">
        <is>
          <t>2026-09-11 00:05:00</t>
        </is>
      </c>
      <c r="V1030" s="4" t="inlineStr">
        <is>
          <t>Compilacion 2003-2023; prioridad canonica. Rupturas metodologicas de categorias en 2016/2017 documentadas por ANDE.</t>
        </is>
      </c>
    </row>
    <row r="1031">
      <c r="A1031" s="6" t="inlineStr">
        <is>
          <t>R0001147</t>
        </is>
      </c>
      <c r="B1031" s="6" t="inlineStr">
        <is>
          <t>2007-01-01</t>
        </is>
      </c>
      <c r="C1031" s="6" t="inlineStr">
        <is>
          <t>2007-12-31</t>
        </is>
      </c>
      <c r="D1031" s="6" t="inlineStr">
        <is>
          <t>year</t>
        </is>
      </c>
      <c r="E1031" s="6" t="inlineStr">
        <is>
          <t>ANDE_BILLED_OTHER_ENERGY</t>
        </is>
      </c>
      <c r="F1031" s="6" t="inlineStr">
        <is>
          <t>PY_SIN</t>
        </is>
      </c>
      <c r="G1031" s="6" t="inlineStr">
        <is>
          <t>PY</t>
        </is>
      </c>
      <c r="H1031" s="6" t="inlineStr">
        <is>
          <t>PY</t>
        </is>
      </c>
      <c r="I1031" s="8" t="n">
        <v>1480231</v>
      </c>
      <c r="J1031" s="6" t="inlineStr">
        <is>
          <t>MWh</t>
        </is>
      </c>
      <c r="K1031" s="8" t="n">
        <v>1480231</v>
      </c>
      <c r="L1031" s="6" t="inlineStr">
        <is>
          <t>MWh</t>
        </is>
      </c>
      <c r="M1031" s="6" t="inlineStr">
        <is>
          <t>ANDE</t>
        </is>
      </c>
      <c r="N1031" s="6" t="inlineStr">
        <is>
          <t>OFFICIAL_PRIMARY</t>
        </is>
      </c>
      <c r="O1031" s="9" t="inlineStr">
        <is>
          <t>OFFICIAL_AGGREGATE</t>
        </is>
      </c>
      <c r="P1031" s="8" t="n">
        <v>1</v>
      </c>
      <c r="Q1031" s="8" t="n">
        <v>95</v>
      </c>
      <c r="R1031" s="7" t="inlineStr">
        <is>
          <t>https://www.ande.gov.py/finanzas/2.%20COMPILACION%20ESTADISTICA%202003-2023/ANDE%20-%20Compilacion%20Estadistica%202003-2023.pdf</t>
        </is>
      </c>
      <c r="S1031" s="6" t="inlineStr">
        <is>
          <t>ANDE-03-23</t>
        </is>
      </c>
      <c r="T1031" s="6" t="inlineStr"/>
      <c r="U1031" s="4" t="inlineStr">
        <is>
          <t>2026-09-11 00:05:00</t>
        </is>
      </c>
      <c r="V1031" s="4" t="inlineStr">
        <is>
          <t>Compilacion 2003-2023; prioridad canonica. Rupturas metodologicas de categorias en 2016/2017 documentadas por ANDE.</t>
        </is>
      </c>
    </row>
    <row r="1032">
      <c r="A1032" s="6" t="inlineStr">
        <is>
          <t>R0001148</t>
        </is>
      </c>
      <c r="B1032" s="6" t="inlineStr">
        <is>
          <t>2008-01-01</t>
        </is>
      </c>
      <c r="C1032" s="6" t="inlineStr">
        <is>
          <t>2008-12-31</t>
        </is>
      </c>
      <c r="D1032" s="6" t="inlineStr">
        <is>
          <t>year</t>
        </is>
      </c>
      <c r="E1032" s="6" t="inlineStr">
        <is>
          <t>ANDE_BILLED_OTHER_ENERGY</t>
        </is>
      </c>
      <c r="F1032" s="6" t="inlineStr">
        <is>
          <t>PY_SIN</t>
        </is>
      </c>
      <c r="G1032" s="6" t="inlineStr">
        <is>
          <t>PY</t>
        </is>
      </c>
      <c r="H1032" s="6" t="inlineStr">
        <is>
          <t>PY</t>
        </is>
      </c>
      <c r="I1032" s="8" t="n">
        <v>1618748</v>
      </c>
      <c r="J1032" s="6" t="inlineStr">
        <is>
          <t>MWh</t>
        </is>
      </c>
      <c r="K1032" s="8" t="n">
        <v>1618748</v>
      </c>
      <c r="L1032" s="6" t="inlineStr">
        <is>
          <t>MWh</t>
        </is>
      </c>
      <c r="M1032" s="6" t="inlineStr">
        <is>
          <t>ANDE</t>
        </is>
      </c>
      <c r="N1032" s="6" t="inlineStr">
        <is>
          <t>OFFICIAL_PRIMARY</t>
        </is>
      </c>
      <c r="O1032" s="9" t="inlineStr">
        <is>
          <t>OFFICIAL_AGGREGATE</t>
        </is>
      </c>
      <c r="P1032" s="8" t="n">
        <v>1</v>
      </c>
      <c r="Q1032" s="8" t="n">
        <v>95</v>
      </c>
      <c r="R1032" s="7" t="inlineStr">
        <is>
          <t>https://www.ande.gov.py/finanzas/2.%20COMPILACION%20ESTADISTICA%202003-2023/ANDE%20-%20Compilacion%20Estadistica%202003-2023.pdf</t>
        </is>
      </c>
      <c r="S1032" s="6" t="inlineStr">
        <is>
          <t>ANDE-03-23</t>
        </is>
      </c>
      <c r="T1032" s="6" t="inlineStr"/>
      <c r="U1032" s="4" t="inlineStr">
        <is>
          <t>2026-09-11 00:05:00</t>
        </is>
      </c>
      <c r="V1032" s="4" t="inlineStr">
        <is>
          <t>Compilacion 2003-2023; prioridad canonica. Rupturas metodologicas de categorias en 2016/2017 documentadas por ANDE.</t>
        </is>
      </c>
    </row>
    <row r="1033">
      <c r="A1033" s="6" t="inlineStr">
        <is>
          <t>R0001149</t>
        </is>
      </c>
      <c r="B1033" s="6" t="inlineStr">
        <is>
          <t>2009-01-01</t>
        </is>
      </c>
      <c r="C1033" s="6" t="inlineStr">
        <is>
          <t>2009-12-31</t>
        </is>
      </c>
      <c r="D1033" s="6" t="inlineStr">
        <is>
          <t>year</t>
        </is>
      </c>
      <c r="E1033" s="6" t="inlineStr">
        <is>
          <t>ANDE_BILLED_OTHER_ENERGY</t>
        </is>
      </c>
      <c r="F1033" s="6" t="inlineStr">
        <is>
          <t>PY_SIN</t>
        </is>
      </c>
      <c r="G1033" s="6" t="inlineStr">
        <is>
          <t>PY</t>
        </is>
      </c>
      <c r="H1033" s="6" t="inlineStr">
        <is>
          <t>PY</t>
        </is>
      </c>
      <c r="I1033" s="8" t="n">
        <v>1708145</v>
      </c>
      <c r="J1033" s="6" t="inlineStr">
        <is>
          <t>MWh</t>
        </is>
      </c>
      <c r="K1033" s="8" t="n">
        <v>1708145</v>
      </c>
      <c r="L1033" s="6" t="inlineStr">
        <is>
          <t>MWh</t>
        </is>
      </c>
      <c r="M1033" s="6" t="inlineStr">
        <is>
          <t>ANDE</t>
        </is>
      </c>
      <c r="N1033" s="6" t="inlineStr">
        <is>
          <t>OFFICIAL_PRIMARY</t>
        </is>
      </c>
      <c r="O1033" s="9" t="inlineStr">
        <is>
          <t>OFFICIAL_AGGREGATE</t>
        </is>
      </c>
      <c r="P1033" s="8" t="n">
        <v>1</v>
      </c>
      <c r="Q1033" s="8" t="n">
        <v>95</v>
      </c>
      <c r="R1033" s="7" t="inlineStr">
        <is>
          <t>https://www.ande.gov.py/finanzas/2.%20COMPILACION%20ESTADISTICA%202003-2023/ANDE%20-%20Compilacion%20Estadistica%202003-2023.pdf</t>
        </is>
      </c>
      <c r="S1033" s="6" t="inlineStr">
        <is>
          <t>ANDE-03-23</t>
        </is>
      </c>
      <c r="T1033" s="6" t="inlineStr"/>
      <c r="U1033" s="4" t="inlineStr">
        <is>
          <t>2026-09-11 00:05:00</t>
        </is>
      </c>
      <c r="V1033" s="4" t="inlineStr">
        <is>
          <t>Compilacion 2003-2023; prioridad canonica. Rupturas metodologicas de categorias en 2016/2017 documentadas por ANDE.</t>
        </is>
      </c>
    </row>
    <row r="1034">
      <c r="A1034" s="6" t="inlineStr">
        <is>
          <t>R0001150</t>
        </is>
      </c>
      <c r="B1034" s="6" t="inlineStr">
        <is>
          <t>2010-01-01</t>
        </is>
      </c>
      <c r="C1034" s="6" t="inlineStr">
        <is>
          <t>2010-12-31</t>
        </is>
      </c>
      <c r="D1034" s="6" t="inlineStr">
        <is>
          <t>year</t>
        </is>
      </c>
      <c r="E1034" s="6" t="inlineStr">
        <is>
          <t>ANDE_BILLED_OTHER_ENERGY</t>
        </is>
      </c>
      <c r="F1034" s="6" t="inlineStr">
        <is>
          <t>PY_SIN</t>
        </is>
      </c>
      <c r="G1034" s="6" t="inlineStr">
        <is>
          <t>PY</t>
        </is>
      </c>
      <c r="H1034" s="6" t="inlineStr">
        <is>
          <t>PY</t>
        </is>
      </c>
      <c r="I1034" s="8" t="n">
        <v>1762985</v>
      </c>
      <c r="J1034" s="6" t="inlineStr">
        <is>
          <t>MWh</t>
        </is>
      </c>
      <c r="K1034" s="8" t="n">
        <v>1762985</v>
      </c>
      <c r="L1034" s="6" t="inlineStr">
        <is>
          <t>MWh</t>
        </is>
      </c>
      <c r="M1034" s="6" t="inlineStr">
        <is>
          <t>ANDE</t>
        </is>
      </c>
      <c r="N1034" s="6" t="inlineStr">
        <is>
          <t>OFFICIAL_PRIMARY</t>
        </is>
      </c>
      <c r="O1034" s="9" t="inlineStr">
        <is>
          <t>OFFICIAL_AGGREGATE</t>
        </is>
      </c>
      <c r="P1034" s="8" t="n">
        <v>1</v>
      </c>
      <c r="Q1034" s="8" t="n">
        <v>95</v>
      </c>
      <c r="R1034" s="7" t="inlineStr">
        <is>
          <t>https://www.ande.gov.py/finanzas/2.%20COMPILACION%20ESTADISTICA%202003-2023/ANDE%20-%20Compilacion%20Estadistica%202003-2023.pdf</t>
        </is>
      </c>
      <c r="S1034" s="6" t="inlineStr">
        <is>
          <t>ANDE-03-23</t>
        </is>
      </c>
      <c r="T1034" s="6" t="inlineStr"/>
      <c r="U1034" s="4" t="inlineStr">
        <is>
          <t>2026-09-11 00:05:00</t>
        </is>
      </c>
      <c r="V1034" s="4" t="inlineStr">
        <is>
          <t>Compilacion 2003-2023; prioridad canonica. Rupturas metodologicas de categorias en 2016/2017 documentadas por ANDE.</t>
        </is>
      </c>
    </row>
    <row r="1035">
      <c r="A1035" s="6" t="inlineStr">
        <is>
          <t>R0001151</t>
        </is>
      </c>
      <c r="B1035" s="6" t="inlineStr">
        <is>
          <t>2011-01-01</t>
        </is>
      </c>
      <c r="C1035" s="6" t="inlineStr">
        <is>
          <t>2011-12-31</t>
        </is>
      </c>
      <c r="D1035" s="6" t="inlineStr">
        <is>
          <t>year</t>
        </is>
      </c>
      <c r="E1035" s="6" t="inlineStr">
        <is>
          <t>ANDE_BILLED_OTHER_ENERGY</t>
        </is>
      </c>
      <c r="F1035" s="6" t="inlineStr">
        <is>
          <t>PY_SIN</t>
        </is>
      </c>
      <c r="G1035" s="6" t="inlineStr">
        <is>
          <t>PY</t>
        </is>
      </c>
      <c r="H1035" s="6" t="inlineStr">
        <is>
          <t>PY</t>
        </is>
      </c>
      <c r="I1035" s="8" t="n">
        <v>1997079</v>
      </c>
      <c r="J1035" s="6" t="inlineStr">
        <is>
          <t>MWh</t>
        </is>
      </c>
      <c r="K1035" s="8" t="n">
        <v>1997079</v>
      </c>
      <c r="L1035" s="6" t="inlineStr">
        <is>
          <t>MWh</t>
        </is>
      </c>
      <c r="M1035" s="6" t="inlineStr">
        <is>
          <t>ANDE</t>
        </is>
      </c>
      <c r="N1035" s="6" t="inlineStr">
        <is>
          <t>OFFICIAL_PRIMARY</t>
        </is>
      </c>
      <c r="O1035" s="9" t="inlineStr">
        <is>
          <t>OFFICIAL_AGGREGATE</t>
        </is>
      </c>
      <c r="P1035" s="8" t="n">
        <v>1</v>
      </c>
      <c r="Q1035" s="8" t="n">
        <v>95</v>
      </c>
      <c r="R1035" s="7" t="inlineStr">
        <is>
          <t>https://www.ande.gov.py/finanzas/2.%20COMPILACION%20ESTADISTICA%202003-2023/ANDE%20-%20Compilacion%20Estadistica%202003-2023.pdf</t>
        </is>
      </c>
      <c r="S1035" s="6" t="inlineStr">
        <is>
          <t>ANDE-03-23</t>
        </is>
      </c>
      <c r="T1035" s="6" t="inlineStr"/>
      <c r="U1035" s="4" t="inlineStr">
        <is>
          <t>2026-09-11 00:05:00</t>
        </is>
      </c>
      <c r="V1035" s="4" t="inlineStr">
        <is>
          <t>Compilacion 2003-2023; prioridad canonica. Rupturas metodologicas de categorias en 2016/2017 documentadas por ANDE.</t>
        </is>
      </c>
    </row>
    <row r="1036">
      <c r="A1036" s="6" t="inlineStr">
        <is>
          <t>R0001152</t>
        </is>
      </c>
      <c r="B1036" s="6" t="inlineStr">
        <is>
          <t>2012-01-01</t>
        </is>
      </c>
      <c r="C1036" s="6" t="inlineStr">
        <is>
          <t>2012-12-31</t>
        </is>
      </c>
      <c r="D1036" s="6" t="inlineStr">
        <is>
          <t>year</t>
        </is>
      </c>
      <c r="E1036" s="6" t="inlineStr">
        <is>
          <t>ANDE_BILLED_OTHER_ENERGY</t>
        </is>
      </c>
      <c r="F1036" s="6" t="inlineStr">
        <is>
          <t>PY_SIN</t>
        </is>
      </c>
      <c r="G1036" s="6" t="inlineStr">
        <is>
          <t>PY</t>
        </is>
      </c>
      <c r="H1036" s="6" t="inlineStr">
        <is>
          <t>PY</t>
        </is>
      </c>
      <c r="I1036" s="8" t="n">
        <v>2145471</v>
      </c>
      <c r="J1036" s="6" t="inlineStr">
        <is>
          <t>MWh</t>
        </is>
      </c>
      <c r="K1036" s="8" t="n">
        <v>2145471</v>
      </c>
      <c r="L1036" s="6" t="inlineStr">
        <is>
          <t>MWh</t>
        </is>
      </c>
      <c r="M1036" s="6" t="inlineStr">
        <is>
          <t>ANDE</t>
        </is>
      </c>
      <c r="N1036" s="6" t="inlineStr">
        <is>
          <t>OFFICIAL_PRIMARY</t>
        </is>
      </c>
      <c r="O1036" s="9" t="inlineStr">
        <is>
          <t>OFFICIAL_AGGREGATE</t>
        </is>
      </c>
      <c r="P1036" s="8" t="n">
        <v>1</v>
      </c>
      <c r="Q1036" s="8" t="n">
        <v>95</v>
      </c>
      <c r="R1036" s="7" t="inlineStr">
        <is>
          <t>https://www.ande.gov.py/finanzas/2.%20COMPILACION%20ESTADISTICA%202003-2023/ANDE%20-%20Compilacion%20Estadistica%202003-2023.pdf</t>
        </is>
      </c>
      <c r="S1036" s="6" t="inlineStr">
        <is>
          <t>ANDE-03-23</t>
        </is>
      </c>
      <c r="T1036" s="6" t="inlineStr"/>
      <c r="U1036" s="4" t="inlineStr">
        <is>
          <t>2026-09-11 00:05:00</t>
        </is>
      </c>
      <c r="V1036" s="4" t="inlineStr">
        <is>
          <t>Compilacion 2003-2023; prioridad canonica. Rupturas metodologicas de categorias en 2016/2017 documentadas por ANDE.</t>
        </is>
      </c>
    </row>
    <row r="1037">
      <c r="A1037" s="6" t="inlineStr">
        <is>
          <t>R0001153</t>
        </is>
      </c>
      <c r="B1037" s="6" t="inlineStr">
        <is>
          <t>2013-01-01</t>
        </is>
      </c>
      <c r="C1037" s="6" t="inlineStr">
        <is>
          <t>2013-12-31</t>
        </is>
      </c>
      <c r="D1037" s="6" t="inlineStr">
        <is>
          <t>year</t>
        </is>
      </c>
      <c r="E1037" s="6" t="inlineStr">
        <is>
          <t>ANDE_BILLED_OTHER_ENERGY</t>
        </is>
      </c>
      <c r="F1037" s="6" t="inlineStr">
        <is>
          <t>PY_SIN</t>
        </is>
      </c>
      <c r="G1037" s="6" t="inlineStr">
        <is>
          <t>PY</t>
        </is>
      </c>
      <c r="H1037" s="6" t="inlineStr">
        <is>
          <t>PY</t>
        </is>
      </c>
      <c r="I1037" s="8" t="n">
        <v>2376227</v>
      </c>
      <c r="J1037" s="6" t="inlineStr">
        <is>
          <t>MWh</t>
        </is>
      </c>
      <c r="K1037" s="8" t="n">
        <v>2376227</v>
      </c>
      <c r="L1037" s="6" t="inlineStr">
        <is>
          <t>MWh</t>
        </is>
      </c>
      <c r="M1037" s="6" t="inlineStr">
        <is>
          <t>ANDE</t>
        </is>
      </c>
      <c r="N1037" s="6" t="inlineStr">
        <is>
          <t>OFFICIAL_PRIMARY</t>
        </is>
      </c>
      <c r="O1037" s="9" t="inlineStr">
        <is>
          <t>OFFICIAL_AGGREGATE</t>
        </is>
      </c>
      <c r="P1037" s="8" t="n">
        <v>1</v>
      </c>
      <c r="Q1037" s="8" t="n">
        <v>95</v>
      </c>
      <c r="R1037" s="7" t="inlineStr">
        <is>
          <t>https://www.ande.gov.py/finanzas/2.%20COMPILACION%20ESTADISTICA%202003-2023/ANDE%20-%20Compilacion%20Estadistica%202003-2023.pdf</t>
        </is>
      </c>
      <c r="S1037" s="6" t="inlineStr">
        <is>
          <t>ANDE-03-23</t>
        </is>
      </c>
      <c r="T1037" s="6" t="inlineStr"/>
      <c r="U1037" s="4" t="inlineStr">
        <is>
          <t>2026-09-11 00:05:00</t>
        </is>
      </c>
      <c r="V1037" s="4" t="inlineStr">
        <is>
          <t>Compilacion 2003-2023; prioridad canonica. Rupturas metodologicas de categorias en 2016/2017 documentadas por ANDE.</t>
        </is>
      </c>
    </row>
    <row r="1038">
      <c r="A1038" s="6" t="inlineStr">
        <is>
          <t>R0001154</t>
        </is>
      </c>
      <c r="B1038" s="6" t="inlineStr">
        <is>
          <t>2014-01-01</t>
        </is>
      </c>
      <c r="C1038" s="6" t="inlineStr">
        <is>
          <t>2014-12-31</t>
        </is>
      </c>
      <c r="D1038" s="6" t="inlineStr">
        <is>
          <t>year</t>
        </is>
      </c>
      <c r="E1038" s="6" t="inlineStr">
        <is>
          <t>ANDE_BILLED_OTHER_ENERGY</t>
        </is>
      </c>
      <c r="F1038" s="6" t="inlineStr">
        <is>
          <t>PY_SIN</t>
        </is>
      </c>
      <c r="G1038" s="6" t="inlineStr">
        <is>
          <t>PY</t>
        </is>
      </c>
      <c r="H1038" s="6" t="inlineStr">
        <is>
          <t>PY</t>
        </is>
      </c>
      <c r="I1038" s="8" t="n">
        <v>2617070</v>
      </c>
      <c r="J1038" s="6" t="inlineStr">
        <is>
          <t>MWh</t>
        </is>
      </c>
      <c r="K1038" s="8" t="n">
        <v>2617070</v>
      </c>
      <c r="L1038" s="6" t="inlineStr">
        <is>
          <t>MWh</t>
        </is>
      </c>
      <c r="M1038" s="6" t="inlineStr">
        <is>
          <t>ANDE</t>
        </is>
      </c>
      <c r="N1038" s="6" t="inlineStr">
        <is>
          <t>OFFICIAL_PRIMARY</t>
        </is>
      </c>
      <c r="O1038" s="9" t="inlineStr">
        <is>
          <t>OFFICIAL_AGGREGATE</t>
        </is>
      </c>
      <c r="P1038" s="8" t="n">
        <v>1</v>
      </c>
      <c r="Q1038" s="8" t="n">
        <v>95</v>
      </c>
      <c r="R1038" s="7" t="inlineStr">
        <is>
          <t>https://www.ande.gov.py/finanzas/2.%20COMPILACION%20ESTADISTICA%202003-2023/ANDE%20-%20Compilacion%20Estadistica%202003-2023.pdf</t>
        </is>
      </c>
      <c r="S1038" s="6" t="inlineStr">
        <is>
          <t>ANDE-03-23</t>
        </is>
      </c>
      <c r="T1038" s="6" t="inlineStr"/>
      <c r="U1038" s="4" t="inlineStr">
        <is>
          <t>2026-09-11 00:05:00</t>
        </is>
      </c>
      <c r="V1038" s="4" t="inlineStr">
        <is>
          <t>Compilacion 2003-2023; prioridad canonica. Rupturas metodologicas de categorias en 2016/2017 documentadas por ANDE.</t>
        </is>
      </c>
    </row>
    <row r="1039">
      <c r="A1039" s="6" t="inlineStr">
        <is>
          <t>R0001155</t>
        </is>
      </c>
      <c r="B1039" s="6" t="inlineStr">
        <is>
          <t>2015-01-01</t>
        </is>
      </c>
      <c r="C1039" s="6" t="inlineStr">
        <is>
          <t>2015-12-31</t>
        </is>
      </c>
      <c r="D1039" s="6" t="inlineStr">
        <is>
          <t>year</t>
        </is>
      </c>
      <c r="E1039" s="6" t="inlineStr">
        <is>
          <t>ANDE_BILLED_OTHER_ENERGY</t>
        </is>
      </c>
      <c r="F1039" s="6" t="inlineStr">
        <is>
          <t>PY_SIN</t>
        </is>
      </c>
      <c r="G1039" s="6" t="inlineStr">
        <is>
          <t>PY</t>
        </is>
      </c>
      <c r="H1039" s="6" t="inlineStr">
        <is>
          <t>PY</t>
        </is>
      </c>
      <c r="I1039" s="8" t="n">
        <v>2803706</v>
      </c>
      <c r="J1039" s="6" t="inlineStr">
        <is>
          <t>MWh</t>
        </is>
      </c>
      <c r="K1039" s="8" t="n">
        <v>2803706</v>
      </c>
      <c r="L1039" s="6" t="inlineStr">
        <is>
          <t>MWh</t>
        </is>
      </c>
      <c r="M1039" s="6" t="inlineStr">
        <is>
          <t>ANDE</t>
        </is>
      </c>
      <c r="N1039" s="6" t="inlineStr">
        <is>
          <t>OFFICIAL_PRIMARY</t>
        </is>
      </c>
      <c r="O1039" s="9" t="inlineStr">
        <is>
          <t>OFFICIAL_AGGREGATE</t>
        </is>
      </c>
      <c r="P1039" s="8" t="n">
        <v>1</v>
      </c>
      <c r="Q1039" s="8" t="n">
        <v>95</v>
      </c>
      <c r="R1039" s="7" t="inlineStr">
        <is>
          <t>https://www.ande.gov.py/finanzas/2.%20COMPILACION%20ESTADISTICA%202003-2023/ANDE%20-%20Compilacion%20Estadistica%202003-2023.pdf</t>
        </is>
      </c>
      <c r="S1039" s="6" t="inlineStr">
        <is>
          <t>ANDE-03-23</t>
        </is>
      </c>
      <c r="T1039" s="6" t="inlineStr"/>
      <c r="U1039" s="4" t="inlineStr">
        <is>
          <t>2026-09-11 00:05:00</t>
        </is>
      </c>
      <c r="V1039" s="4" t="inlineStr">
        <is>
          <t>Compilacion 2003-2023; prioridad canonica. Rupturas metodologicas de categorias en 2016/2017 documentadas por ANDE.</t>
        </is>
      </c>
    </row>
    <row r="1040">
      <c r="A1040" s="6" t="inlineStr">
        <is>
          <t>R0001156</t>
        </is>
      </c>
      <c r="B1040" s="6" t="inlineStr">
        <is>
          <t>2016-01-01</t>
        </is>
      </c>
      <c r="C1040" s="6" t="inlineStr">
        <is>
          <t>2016-12-31</t>
        </is>
      </c>
      <c r="D1040" s="6" t="inlineStr">
        <is>
          <t>year</t>
        </is>
      </c>
      <c r="E1040" s="6" t="inlineStr">
        <is>
          <t>ANDE_BILLED_OTHER_ENERGY</t>
        </is>
      </c>
      <c r="F1040" s="6" t="inlineStr">
        <is>
          <t>PY_SIN</t>
        </is>
      </c>
      <c r="G1040" s="6" t="inlineStr">
        <is>
          <t>PY</t>
        </is>
      </c>
      <c r="H1040" s="6" t="inlineStr">
        <is>
          <t>PY</t>
        </is>
      </c>
      <c r="I1040" s="8" t="n">
        <v>3265688</v>
      </c>
      <c r="J1040" s="6" t="inlineStr">
        <is>
          <t>MWh</t>
        </is>
      </c>
      <c r="K1040" s="8" t="n">
        <v>3265688</v>
      </c>
      <c r="L1040" s="6" t="inlineStr">
        <is>
          <t>MWh</t>
        </is>
      </c>
      <c r="M1040" s="6" t="inlineStr">
        <is>
          <t>ANDE</t>
        </is>
      </c>
      <c r="N1040" s="6" t="inlineStr">
        <is>
          <t>OFFICIAL_PRIMARY</t>
        </is>
      </c>
      <c r="O1040" s="9" t="inlineStr">
        <is>
          <t>OFFICIAL_AGGREGATE</t>
        </is>
      </c>
      <c r="P1040" s="8" t="n">
        <v>1</v>
      </c>
      <c r="Q1040" s="8" t="n">
        <v>95</v>
      </c>
      <c r="R1040" s="7" t="inlineStr">
        <is>
          <t>https://www.ande.gov.py/finanzas/2.%20COMPILACION%20ESTADISTICA%202003-2023/ANDE%20-%20Compilacion%20Estadistica%202003-2023.pdf</t>
        </is>
      </c>
      <c r="S1040" s="6" t="inlineStr">
        <is>
          <t>ANDE-03-23</t>
        </is>
      </c>
      <c r="T1040" s="6" t="inlineStr"/>
      <c r="U1040" s="4" t="inlineStr">
        <is>
          <t>2026-09-11 00:05:00</t>
        </is>
      </c>
      <c r="V1040" s="4" t="inlineStr">
        <is>
          <t>Compilacion 2003-2023; prioridad canonica. Rupturas metodologicas de categorias en 2016/2017 documentadas por ANDE.</t>
        </is>
      </c>
    </row>
    <row r="1041">
      <c r="A1041" s="6" t="inlineStr">
        <is>
          <t>R0001157</t>
        </is>
      </c>
      <c r="B1041" s="6" t="inlineStr">
        <is>
          <t>2017-01-01</t>
        </is>
      </c>
      <c r="C1041" s="6" t="inlineStr">
        <is>
          <t>2017-12-31</t>
        </is>
      </c>
      <c r="D1041" s="6" t="inlineStr">
        <is>
          <t>year</t>
        </is>
      </c>
      <c r="E1041" s="6" t="inlineStr">
        <is>
          <t>ANDE_BILLED_OTHER_ENERGY</t>
        </is>
      </c>
      <c r="F1041" s="6" t="inlineStr">
        <is>
          <t>PY_SIN</t>
        </is>
      </c>
      <c r="G1041" s="6" t="inlineStr">
        <is>
          <t>PY</t>
        </is>
      </c>
      <c r="H1041" s="6" t="inlineStr">
        <is>
          <t>PY</t>
        </is>
      </c>
      <c r="I1041" s="8" t="n">
        <v>3937962</v>
      </c>
      <c r="J1041" s="6" t="inlineStr">
        <is>
          <t>MWh</t>
        </is>
      </c>
      <c r="K1041" s="8" t="n">
        <v>3937962</v>
      </c>
      <c r="L1041" s="6" t="inlineStr">
        <is>
          <t>MWh</t>
        </is>
      </c>
      <c r="M1041" s="6" t="inlineStr">
        <is>
          <t>ANDE</t>
        </is>
      </c>
      <c r="N1041" s="6" t="inlineStr">
        <is>
          <t>OFFICIAL_PRIMARY</t>
        </is>
      </c>
      <c r="O1041" s="9" t="inlineStr">
        <is>
          <t>OFFICIAL_AGGREGATE</t>
        </is>
      </c>
      <c r="P1041" s="8" t="n">
        <v>1</v>
      </c>
      <c r="Q1041" s="8" t="n">
        <v>95</v>
      </c>
      <c r="R1041" s="7" t="inlineStr">
        <is>
          <t>https://www.ande.gov.py/finanzas/2.%20COMPILACION%20ESTADISTICA%202003-2023/ANDE%20-%20Compilacion%20Estadistica%202003-2023.pdf</t>
        </is>
      </c>
      <c r="S1041" s="6" t="inlineStr">
        <is>
          <t>ANDE-03-23</t>
        </is>
      </c>
      <c r="T1041" s="6" t="inlineStr"/>
      <c r="U1041" s="4" t="inlineStr">
        <is>
          <t>2026-09-11 00:05:00</t>
        </is>
      </c>
      <c r="V1041" s="4" t="inlineStr">
        <is>
          <t>Compilacion 2003-2023; prioridad canonica. Rupturas metodologicas de categorias en 2016/2017 documentadas por ANDE.</t>
        </is>
      </c>
    </row>
    <row r="1042">
      <c r="A1042" s="6" t="inlineStr">
        <is>
          <t>R0001158</t>
        </is>
      </c>
      <c r="B1042" s="6" t="inlineStr">
        <is>
          <t>2018-01-01</t>
        </is>
      </c>
      <c r="C1042" s="6" t="inlineStr">
        <is>
          <t>2018-12-31</t>
        </is>
      </c>
      <c r="D1042" s="6" t="inlineStr">
        <is>
          <t>year</t>
        </is>
      </c>
      <c r="E1042" s="6" t="inlineStr">
        <is>
          <t>ANDE_BILLED_OTHER_ENERGY</t>
        </is>
      </c>
      <c r="F1042" s="6" t="inlineStr">
        <is>
          <t>PY_SIN</t>
        </is>
      </c>
      <c r="G1042" s="6" t="inlineStr">
        <is>
          <t>PY</t>
        </is>
      </c>
      <c r="H1042" s="6" t="inlineStr">
        <is>
          <t>PY</t>
        </is>
      </c>
      <c r="I1042" s="8" t="n">
        <v>4519966</v>
      </c>
      <c r="J1042" s="6" t="inlineStr">
        <is>
          <t>MWh</t>
        </is>
      </c>
      <c r="K1042" s="8" t="n">
        <v>4519966</v>
      </c>
      <c r="L1042" s="6" t="inlineStr">
        <is>
          <t>MWh</t>
        </is>
      </c>
      <c r="M1042" s="6" t="inlineStr">
        <is>
          <t>ANDE</t>
        </is>
      </c>
      <c r="N1042" s="6" t="inlineStr">
        <is>
          <t>OFFICIAL_PRIMARY</t>
        </is>
      </c>
      <c r="O1042" s="9" t="inlineStr">
        <is>
          <t>OFFICIAL_AGGREGATE</t>
        </is>
      </c>
      <c r="P1042" s="8" t="n">
        <v>1</v>
      </c>
      <c r="Q1042" s="8" t="n">
        <v>95</v>
      </c>
      <c r="R1042" s="7" t="inlineStr">
        <is>
          <t>https://www.ande.gov.py/finanzas/2.%20COMPILACION%20ESTADISTICA%202003-2023/ANDE%20-%20Compilacion%20Estadistica%202003-2023.pdf</t>
        </is>
      </c>
      <c r="S1042" s="6" t="inlineStr">
        <is>
          <t>ANDE-03-23</t>
        </is>
      </c>
      <c r="T1042" s="6" t="inlineStr"/>
      <c r="U1042" s="4" t="inlineStr">
        <is>
          <t>2026-09-11 00:05:00</t>
        </is>
      </c>
      <c r="V1042" s="4" t="inlineStr">
        <is>
          <t>Compilacion 2003-2023; prioridad canonica. Rupturas metodologicas de categorias en 2016/2017 documentadas por ANDE.</t>
        </is>
      </c>
    </row>
    <row r="1043">
      <c r="A1043" s="6" t="inlineStr">
        <is>
          <t>R0001159</t>
        </is>
      </c>
      <c r="B1043" s="6" t="inlineStr">
        <is>
          <t>2019-01-01</t>
        </is>
      </c>
      <c r="C1043" s="6" t="inlineStr">
        <is>
          <t>2019-12-31</t>
        </is>
      </c>
      <c r="D1043" s="6" t="inlineStr">
        <is>
          <t>year</t>
        </is>
      </c>
      <c r="E1043" s="6" t="inlineStr">
        <is>
          <t>ANDE_BILLED_OTHER_ENERGY</t>
        </is>
      </c>
      <c r="F1043" s="6" t="inlineStr">
        <is>
          <t>PY_SIN</t>
        </is>
      </c>
      <c r="G1043" s="6" t="inlineStr">
        <is>
          <t>PY</t>
        </is>
      </c>
      <c r="H1043" s="6" t="inlineStr">
        <is>
          <t>PY</t>
        </is>
      </c>
      <c r="I1043" s="8" t="n">
        <v>5007948</v>
      </c>
      <c r="J1043" s="6" t="inlineStr">
        <is>
          <t>MWh</t>
        </is>
      </c>
      <c r="K1043" s="8" t="n">
        <v>5007948</v>
      </c>
      <c r="L1043" s="6" t="inlineStr">
        <is>
          <t>MWh</t>
        </is>
      </c>
      <c r="M1043" s="6" t="inlineStr">
        <is>
          <t>ANDE</t>
        </is>
      </c>
      <c r="N1043" s="6" t="inlineStr">
        <is>
          <t>OFFICIAL_PRIMARY</t>
        </is>
      </c>
      <c r="O1043" s="9" t="inlineStr">
        <is>
          <t>OFFICIAL_AGGREGATE</t>
        </is>
      </c>
      <c r="P1043" s="8" t="n">
        <v>1</v>
      </c>
      <c r="Q1043" s="8" t="n">
        <v>95</v>
      </c>
      <c r="R1043" s="7" t="inlineStr">
        <is>
          <t>https://www.ande.gov.py/finanzas/2.%20COMPILACION%20ESTADISTICA%202003-2023/ANDE%20-%20Compilacion%20Estadistica%202003-2023.pdf</t>
        </is>
      </c>
      <c r="S1043" s="6" t="inlineStr">
        <is>
          <t>ANDE-03-23</t>
        </is>
      </c>
      <c r="T1043" s="6" t="inlineStr"/>
      <c r="U1043" s="4" t="inlineStr">
        <is>
          <t>2026-09-11 00:05:00</t>
        </is>
      </c>
      <c r="V1043" s="4" t="inlineStr">
        <is>
          <t>Compilacion 2003-2023; prioridad canonica. Rupturas metodologicas de categorias en 2016/2017 documentadas por ANDE.</t>
        </is>
      </c>
    </row>
    <row r="1044">
      <c r="A1044" s="6" t="inlineStr">
        <is>
          <t>R0001160</t>
        </is>
      </c>
      <c r="B1044" s="6" t="inlineStr">
        <is>
          <t>2020-01-01</t>
        </is>
      </c>
      <c r="C1044" s="6" t="inlineStr">
        <is>
          <t>2020-12-31</t>
        </is>
      </c>
      <c r="D1044" s="6" t="inlineStr">
        <is>
          <t>year</t>
        </is>
      </c>
      <c r="E1044" s="6" t="inlineStr">
        <is>
          <t>ANDE_BILLED_OTHER_ENERGY</t>
        </is>
      </c>
      <c r="F1044" s="6" t="inlineStr">
        <is>
          <t>PY_SIN</t>
        </is>
      </c>
      <c r="G1044" s="6" t="inlineStr">
        <is>
          <t>PY</t>
        </is>
      </c>
      <c r="H1044" s="6" t="inlineStr">
        <is>
          <t>PY</t>
        </is>
      </c>
      <c r="I1044" s="8" t="n">
        <v>5033185</v>
      </c>
      <c r="J1044" s="6" t="inlineStr">
        <is>
          <t>MWh</t>
        </is>
      </c>
      <c r="K1044" s="8" t="n">
        <v>5033185</v>
      </c>
      <c r="L1044" s="6" t="inlineStr">
        <is>
          <t>MWh</t>
        </is>
      </c>
      <c r="M1044" s="6" t="inlineStr">
        <is>
          <t>ANDE</t>
        </is>
      </c>
      <c r="N1044" s="6" t="inlineStr">
        <is>
          <t>OFFICIAL_PRIMARY</t>
        </is>
      </c>
      <c r="O1044" s="9" t="inlineStr">
        <is>
          <t>OFFICIAL_AGGREGATE</t>
        </is>
      </c>
      <c r="P1044" s="8" t="n">
        <v>1</v>
      </c>
      <c r="Q1044" s="8" t="n">
        <v>95</v>
      </c>
      <c r="R1044" s="7" t="inlineStr">
        <is>
          <t>https://www.ande.gov.py/finanzas/2.%20COMPILACION%20ESTADISTICA%202003-2023/ANDE%20-%20Compilacion%20Estadistica%202003-2023.pdf</t>
        </is>
      </c>
      <c r="S1044" s="6" t="inlineStr">
        <is>
          <t>ANDE-03-23</t>
        </is>
      </c>
      <c r="T1044" s="6" t="inlineStr"/>
      <c r="U1044" s="4" t="inlineStr">
        <is>
          <t>2026-09-11 00:05:00</t>
        </is>
      </c>
      <c r="V1044" s="4" t="inlineStr">
        <is>
          <t>Compilacion 2003-2023; prioridad canonica. Rupturas metodologicas de categorias en 2016/2017 documentadas por ANDE.</t>
        </is>
      </c>
    </row>
    <row r="1045">
      <c r="A1045" s="6" t="inlineStr">
        <is>
          <t>R0001161</t>
        </is>
      </c>
      <c r="B1045" s="6" t="inlineStr">
        <is>
          <t>2021-01-01</t>
        </is>
      </c>
      <c r="C1045" s="6" t="inlineStr">
        <is>
          <t>2021-12-31</t>
        </is>
      </c>
      <c r="D1045" s="6" t="inlineStr">
        <is>
          <t>year</t>
        </is>
      </c>
      <c r="E1045" s="6" t="inlineStr">
        <is>
          <t>ANDE_BILLED_OTHER_ENERGY</t>
        </is>
      </c>
      <c r="F1045" s="6" t="inlineStr">
        <is>
          <t>PY_SIN</t>
        </is>
      </c>
      <c r="G1045" s="6" t="inlineStr">
        <is>
          <t>PY</t>
        </is>
      </c>
      <c r="H1045" s="6" t="inlineStr">
        <is>
          <t>PY</t>
        </is>
      </c>
      <c r="I1045" s="8" t="n">
        <v>5275987</v>
      </c>
      <c r="J1045" s="6" t="inlineStr">
        <is>
          <t>MWh</t>
        </is>
      </c>
      <c r="K1045" s="8" t="n">
        <v>5275987</v>
      </c>
      <c r="L1045" s="6" t="inlineStr">
        <is>
          <t>MWh</t>
        </is>
      </c>
      <c r="M1045" s="6" t="inlineStr">
        <is>
          <t>ANDE</t>
        </is>
      </c>
      <c r="N1045" s="6" t="inlineStr">
        <is>
          <t>OFFICIAL_PRIMARY</t>
        </is>
      </c>
      <c r="O1045" s="9" t="inlineStr">
        <is>
          <t>OFFICIAL_AGGREGATE</t>
        </is>
      </c>
      <c r="P1045" s="8" t="n">
        <v>1</v>
      </c>
      <c r="Q1045" s="8" t="n">
        <v>95</v>
      </c>
      <c r="R1045" s="7" t="inlineStr">
        <is>
          <t>https://www.ande.gov.py/finanzas/2.%20COMPILACION%20ESTADISTICA%202003-2023/ANDE%20-%20Compilacion%20Estadistica%202003-2023.pdf</t>
        </is>
      </c>
      <c r="S1045" s="6" t="inlineStr">
        <is>
          <t>ANDE-03-23</t>
        </is>
      </c>
      <c r="T1045" s="6" t="inlineStr"/>
      <c r="U1045" s="4" t="inlineStr">
        <is>
          <t>2026-09-11 00:05:00</t>
        </is>
      </c>
      <c r="V1045" s="4" t="inlineStr">
        <is>
          <t>Compilacion 2003-2023; prioridad canonica. Rupturas metodologicas de categorias en 2016/2017 documentadas por ANDE.</t>
        </is>
      </c>
    </row>
    <row r="1046">
      <c r="A1046" s="6" t="inlineStr">
        <is>
          <t>R0001162</t>
        </is>
      </c>
      <c r="B1046" s="6" t="inlineStr">
        <is>
          <t>2022-01-01</t>
        </is>
      </c>
      <c r="C1046" s="6" t="inlineStr">
        <is>
          <t>2022-12-31</t>
        </is>
      </c>
      <c r="D1046" s="6" t="inlineStr">
        <is>
          <t>year</t>
        </is>
      </c>
      <c r="E1046" s="6" t="inlineStr">
        <is>
          <t>ANDE_BILLED_OTHER_ENERGY</t>
        </is>
      </c>
      <c r="F1046" s="6" t="inlineStr">
        <is>
          <t>PY_SIN</t>
        </is>
      </c>
      <c r="G1046" s="6" t="inlineStr">
        <is>
          <t>PY</t>
        </is>
      </c>
      <c r="H1046" s="6" t="inlineStr">
        <is>
          <t>PY</t>
        </is>
      </c>
      <c r="I1046" s="8" t="n">
        <v>5732071</v>
      </c>
      <c r="J1046" s="6" t="inlineStr">
        <is>
          <t>MWh</t>
        </is>
      </c>
      <c r="K1046" s="8" t="n">
        <v>5732071</v>
      </c>
      <c r="L1046" s="6" t="inlineStr">
        <is>
          <t>MWh</t>
        </is>
      </c>
      <c r="M1046" s="6" t="inlineStr">
        <is>
          <t>ANDE</t>
        </is>
      </c>
      <c r="N1046" s="6" t="inlineStr">
        <is>
          <t>OFFICIAL_PRIMARY</t>
        </is>
      </c>
      <c r="O1046" s="9" t="inlineStr">
        <is>
          <t>OFFICIAL_AGGREGATE</t>
        </is>
      </c>
      <c r="P1046" s="8" t="n">
        <v>1</v>
      </c>
      <c r="Q1046" s="8" t="n">
        <v>95</v>
      </c>
      <c r="R1046" s="7" t="inlineStr">
        <is>
          <t>https://www.ande.gov.py/finanzas/2.%20COMPILACION%20ESTADISTICA%202003-2023/ANDE%20-%20Compilacion%20Estadistica%202003-2023.pdf</t>
        </is>
      </c>
      <c r="S1046" s="6" t="inlineStr">
        <is>
          <t>ANDE-03-23</t>
        </is>
      </c>
      <c r="T1046" s="6" t="inlineStr"/>
      <c r="U1046" s="4" t="inlineStr">
        <is>
          <t>2026-09-11 00:05:00</t>
        </is>
      </c>
      <c r="V1046" s="4" t="inlineStr">
        <is>
          <t>Compilacion 2003-2023; prioridad canonica. Rupturas metodologicas de categorias en 2016/2017 documentadas por ANDE.</t>
        </is>
      </c>
    </row>
    <row r="1047">
      <c r="A1047" s="6" t="inlineStr">
        <is>
          <t>R0001163</t>
        </is>
      </c>
      <c r="B1047" s="6" t="inlineStr">
        <is>
          <t>2023-01-01</t>
        </is>
      </c>
      <c r="C1047" s="6" t="inlineStr">
        <is>
          <t>2023-12-31</t>
        </is>
      </c>
      <c r="D1047" s="6" t="inlineStr">
        <is>
          <t>year</t>
        </is>
      </c>
      <c r="E1047" s="6" t="inlineStr">
        <is>
          <t>ANDE_BILLED_OTHER_ENERGY</t>
        </is>
      </c>
      <c r="F1047" s="6" t="inlineStr">
        <is>
          <t>PY_SIN</t>
        </is>
      </c>
      <c r="G1047" s="6" t="inlineStr">
        <is>
          <t>PY</t>
        </is>
      </c>
      <c r="H1047" s="6" t="inlineStr">
        <is>
          <t>PY</t>
        </is>
      </c>
      <c r="I1047" s="8" t="n">
        <v>6140833</v>
      </c>
      <c r="J1047" s="6" t="inlineStr">
        <is>
          <t>MWh</t>
        </is>
      </c>
      <c r="K1047" s="8" t="n">
        <v>6140833</v>
      </c>
      <c r="L1047" s="6" t="inlineStr">
        <is>
          <t>MWh</t>
        </is>
      </c>
      <c r="M1047" s="6" t="inlineStr">
        <is>
          <t>ANDE</t>
        </is>
      </c>
      <c r="N1047" s="6" t="inlineStr">
        <is>
          <t>OFFICIAL_PRIMARY</t>
        </is>
      </c>
      <c r="O1047" s="9" t="inlineStr">
        <is>
          <t>OFFICIAL_AGGREGATE</t>
        </is>
      </c>
      <c r="P1047" s="8" t="n">
        <v>1</v>
      </c>
      <c r="Q1047" s="8" t="n">
        <v>95</v>
      </c>
      <c r="R1047" s="7" t="inlineStr">
        <is>
          <t>https://www.ande.gov.py/finanzas/2.%20COMPILACION%20ESTADISTICA%202003-2023/ANDE%20-%20Compilacion%20Estadistica%202003-2023.pdf</t>
        </is>
      </c>
      <c r="S1047" s="6" t="inlineStr">
        <is>
          <t>ANDE-03-23</t>
        </is>
      </c>
      <c r="T1047" s="6" t="inlineStr"/>
      <c r="U1047" s="4" t="inlineStr">
        <is>
          <t>2026-09-11 00:05:00</t>
        </is>
      </c>
      <c r="V1047" s="4" t="inlineStr">
        <is>
          <t>Compilacion 2003-2023; prioridad canonica. Rupturas metodologicas de categorias en 2016/2017 documentadas por ANDE.</t>
        </is>
      </c>
    </row>
    <row r="1048">
      <c r="A1048" s="6" t="inlineStr">
        <is>
          <t>R0001164</t>
        </is>
      </c>
      <c r="B1048" s="6" t="inlineStr">
        <is>
          <t>2003-01-01</t>
        </is>
      </c>
      <c r="C1048" s="6" t="inlineStr">
        <is>
          <t>2003-12-31</t>
        </is>
      </c>
      <c r="D1048" s="6" t="inlineStr">
        <is>
          <t>year</t>
        </is>
      </c>
      <c r="E1048" s="6" t="inlineStr">
        <is>
          <t>ANDE_BILLED_GOV_ENERGY</t>
        </is>
      </c>
      <c r="F1048" s="6" t="inlineStr">
        <is>
          <t>PY_SIN</t>
        </is>
      </c>
      <c r="G1048" s="6" t="inlineStr">
        <is>
          <t>PY</t>
        </is>
      </c>
      <c r="H1048" s="6" t="inlineStr">
        <is>
          <t>PY</t>
        </is>
      </c>
      <c r="I1048" s="8" t="n">
        <v>148429</v>
      </c>
      <c r="J1048" s="6" t="inlineStr">
        <is>
          <t>MWh</t>
        </is>
      </c>
      <c r="K1048" s="8" t="n">
        <v>148429</v>
      </c>
      <c r="L1048" s="6" t="inlineStr">
        <is>
          <t>MWh</t>
        </is>
      </c>
      <c r="M1048" s="6" t="inlineStr">
        <is>
          <t>ANDE</t>
        </is>
      </c>
      <c r="N1048" s="6" t="inlineStr">
        <is>
          <t>OFFICIAL_PRIMARY</t>
        </is>
      </c>
      <c r="O1048" s="9" t="inlineStr">
        <is>
          <t>OFFICIAL_AGGREGATE</t>
        </is>
      </c>
      <c r="P1048" s="8" t="n">
        <v>1</v>
      </c>
      <c r="Q1048" s="8" t="n">
        <v>95</v>
      </c>
      <c r="R1048" s="7" t="inlineStr">
        <is>
          <t>https://www.ande.gov.py/finanzas/2.%20COMPILACION%20ESTADISTICA%202003-2023/ANDE%20-%20Compilacion%20Estadistica%202003-2023.pdf</t>
        </is>
      </c>
      <c r="S1048" s="6" t="inlineStr">
        <is>
          <t>ANDE-03-23</t>
        </is>
      </c>
      <c r="T1048" s="6" t="inlineStr"/>
      <c r="U1048" s="4" t="inlineStr">
        <is>
          <t>2026-09-11 00:05:00</t>
        </is>
      </c>
      <c r="V1048" s="4" t="inlineStr">
        <is>
          <t>Compilacion 2003-2023; prioridad canonica. Rupturas metodologicas de categorias en 2016/2017 documentadas por ANDE.</t>
        </is>
      </c>
    </row>
    <row r="1049">
      <c r="A1049" s="6" t="inlineStr">
        <is>
          <t>R0001165</t>
        </is>
      </c>
      <c r="B1049" s="6" t="inlineStr">
        <is>
          <t>2004-01-01</t>
        </is>
      </c>
      <c r="C1049" s="6" t="inlineStr">
        <is>
          <t>2004-12-31</t>
        </is>
      </c>
      <c r="D1049" s="6" t="inlineStr">
        <is>
          <t>year</t>
        </is>
      </c>
      <c r="E1049" s="6" t="inlineStr">
        <is>
          <t>ANDE_BILLED_GOV_ENERGY</t>
        </is>
      </c>
      <c r="F1049" s="6" t="inlineStr">
        <is>
          <t>PY_SIN</t>
        </is>
      </c>
      <c r="G1049" s="6" t="inlineStr">
        <is>
          <t>PY</t>
        </is>
      </c>
      <c r="H1049" s="6" t="inlineStr">
        <is>
          <t>PY</t>
        </is>
      </c>
      <c r="I1049" s="8" t="n">
        <v>159552</v>
      </c>
      <c r="J1049" s="6" t="inlineStr">
        <is>
          <t>MWh</t>
        </is>
      </c>
      <c r="K1049" s="8" t="n">
        <v>159552</v>
      </c>
      <c r="L1049" s="6" t="inlineStr">
        <is>
          <t>MWh</t>
        </is>
      </c>
      <c r="M1049" s="6" t="inlineStr">
        <is>
          <t>ANDE</t>
        </is>
      </c>
      <c r="N1049" s="6" t="inlineStr">
        <is>
          <t>OFFICIAL_PRIMARY</t>
        </is>
      </c>
      <c r="O1049" s="9" t="inlineStr">
        <is>
          <t>OFFICIAL_AGGREGATE</t>
        </is>
      </c>
      <c r="P1049" s="8" t="n">
        <v>1</v>
      </c>
      <c r="Q1049" s="8" t="n">
        <v>95</v>
      </c>
      <c r="R1049" s="7" t="inlineStr">
        <is>
          <t>https://www.ande.gov.py/finanzas/2.%20COMPILACION%20ESTADISTICA%202003-2023/ANDE%20-%20Compilacion%20Estadistica%202003-2023.pdf</t>
        </is>
      </c>
      <c r="S1049" s="6" t="inlineStr">
        <is>
          <t>ANDE-03-23</t>
        </is>
      </c>
      <c r="T1049" s="6" t="inlineStr"/>
      <c r="U1049" s="4" t="inlineStr">
        <is>
          <t>2026-09-11 00:05:00</t>
        </is>
      </c>
      <c r="V1049" s="4" t="inlineStr">
        <is>
          <t>Compilacion 2003-2023; prioridad canonica. Rupturas metodologicas de categorias en 2016/2017 documentadas por ANDE.</t>
        </is>
      </c>
    </row>
    <row r="1050">
      <c r="A1050" s="6" t="inlineStr">
        <is>
          <t>R0001166</t>
        </is>
      </c>
      <c r="B1050" s="6" t="inlineStr">
        <is>
          <t>2005-01-01</t>
        </is>
      </c>
      <c r="C1050" s="6" t="inlineStr">
        <is>
          <t>2005-12-31</t>
        </is>
      </c>
      <c r="D1050" s="6" t="inlineStr">
        <is>
          <t>year</t>
        </is>
      </c>
      <c r="E1050" s="6" t="inlineStr">
        <is>
          <t>ANDE_BILLED_GOV_ENERGY</t>
        </is>
      </c>
      <c r="F1050" s="6" t="inlineStr">
        <is>
          <t>PY_SIN</t>
        </is>
      </c>
      <c r="G1050" s="6" t="inlineStr">
        <is>
          <t>PY</t>
        </is>
      </c>
      <c r="H1050" s="6" t="inlineStr">
        <is>
          <t>PY</t>
        </is>
      </c>
      <c r="I1050" s="8" t="n">
        <v>178047</v>
      </c>
      <c r="J1050" s="6" t="inlineStr">
        <is>
          <t>MWh</t>
        </is>
      </c>
      <c r="K1050" s="8" t="n">
        <v>178047</v>
      </c>
      <c r="L1050" s="6" t="inlineStr">
        <is>
          <t>MWh</t>
        </is>
      </c>
      <c r="M1050" s="6" t="inlineStr">
        <is>
          <t>ANDE</t>
        </is>
      </c>
      <c r="N1050" s="6" t="inlineStr">
        <is>
          <t>OFFICIAL_PRIMARY</t>
        </is>
      </c>
      <c r="O1050" s="9" t="inlineStr">
        <is>
          <t>OFFICIAL_AGGREGATE</t>
        </is>
      </c>
      <c r="P1050" s="8" t="n">
        <v>1</v>
      </c>
      <c r="Q1050" s="8" t="n">
        <v>95</v>
      </c>
      <c r="R1050" s="7" t="inlineStr">
        <is>
          <t>https://www.ande.gov.py/finanzas/2.%20COMPILACION%20ESTADISTICA%202003-2023/ANDE%20-%20Compilacion%20Estadistica%202003-2023.pdf</t>
        </is>
      </c>
      <c r="S1050" s="6" t="inlineStr">
        <is>
          <t>ANDE-03-23</t>
        </is>
      </c>
      <c r="T1050" s="6" t="inlineStr"/>
      <c r="U1050" s="4" t="inlineStr">
        <is>
          <t>2026-09-11 00:05:00</t>
        </is>
      </c>
      <c r="V1050" s="4" t="inlineStr">
        <is>
          <t>Compilacion 2003-2023; prioridad canonica. Rupturas metodologicas de categorias en 2016/2017 documentadas por ANDE.</t>
        </is>
      </c>
    </row>
    <row r="1051">
      <c r="A1051" s="6" t="inlineStr">
        <is>
          <t>R0001167</t>
        </is>
      </c>
      <c r="B1051" s="6" t="inlineStr">
        <is>
          <t>2006-01-01</t>
        </is>
      </c>
      <c r="C1051" s="6" t="inlineStr">
        <is>
          <t>2006-12-31</t>
        </is>
      </c>
      <c r="D1051" s="6" t="inlineStr">
        <is>
          <t>year</t>
        </is>
      </c>
      <c r="E1051" s="6" t="inlineStr">
        <is>
          <t>ANDE_BILLED_GOV_ENERGY</t>
        </is>
      </c>
      <c r="F1051" s="6" t="inlineStr">
        <is>
          <t>PY_SIN</t>
        </is>
      </c>
      <c r="G1051" s="6" t="inlineStr">
        <is>
          <t>PY</t>
        </is>
      </c>
      <c r="H1051" s="6" t="inlineStr">
        <is>
          <t>PY</t>
        </is>
      </c>
      <c r="I1051" s="8" t="n">
        <v>186349</v>
      </c>
      <c r="J1051" s="6" t="inlineStr">
        <is>
          <t>MWh</t>
        </is>
      </c>
      <c r="K1051" s="8" t="n">
        <v>186349</v>
      </c>
      <c r="L1051" s="6" t="inlineStr">
        <is>
          <t>MWh</t>
        </is>
      </c>
      <c r="M1051" s="6" t="inlineStr">
        <is>
          <t>ANDE</t>
        </is>
      </c>
      <c r="N1051" s="6" t="inlineStr">
        <is>
          <t>OFFICIAL_PRIMARY</t>
        </is>
      </c>
      <c r="O1051" s="9" t="inlineStr">
        <is>
          <t>OFFICIAL_AGGREGATE</t>
        </is>
      </c>
      <c r="P1051" s="8" t="n">
        <v>1</v>
      </c>
      <c r="Q1051" s="8" t="n">
        <v>95</v>
      </c>
      <c r="R1051" s="7" t="inlineStr">
        <is>
          <t>https://www.ande.gov.py/finanzas/2.%20COMPILACION%20ESTADISTICA%202003-2023/ANDE%20-%20Compilacion%20Estadistica%202003-2023.pdf</t>
        </is>
      </c>
      <c r="S1051" s="6" t="inlineStr">
        <is>
          <t>ANDE-03-23</t>
        </is>
      </c>
      <c r="T1051" s="6" t="inlineStr"/>
      <c r="U1051" s="4" t="inlineStr">
        <is>
          <t>2026-09-11 00:05:00</t>
        </is>
      </c>
      <c r="V1051" s="4" t="inlineStr">
        <is>
          <t>Compilacion 2003-2023; prioridad canonica. Rupturas metodologicas de categorias en 2016/2017 documentadas por ANDE.</t>
        </is>
      </c>
    </row>
    <row r="1052">
      <c r="A1052" s="6" t="inlineStr">
        <is>
          <t>R0001168</t>
        </is>
      </c>
      <c r="B1052" s="6" t="inlineStr">
        <is>
          <t>2007-01-01</t>
        </is>
      </c>
      <c r="C1052" s="6" t="inlineStr">
        <is>
          <t>2007-12-31</t>
        </is>
      </c>
      <c r="D1052" s="6" t="inlineStr">
        <is>
          <t>year</t>
        </is>
      </c>
      <c r="E1052" s="6" t="inlineStr">
        <is>
          <t>ANDE_BILLED_GOV_ENERGY</t>
        </is>
      </c>
      <c r="F1052" s="6" t="inlineStr">
        <is>
          <t>PY_SIN</t>
        </is>
      </c>
      <c r="G1052" s="6" t="inlineStr">
        <is>
          <t>PY</t>
        </is>
      </c>
      <c r="H1052" s="6" t="inlineStr">
        <is>
          <t>PY</t>
        </is>
      </c>
      <c r="I1052" s="8" t="n">
        <v>194247</v>
      </c>
      <c r="J1052" s="6" t="inlineStr">
        <is>
          <t>MWh</t>
        </is>
      </c>
      <c r="K1052" s="8" t="n">
        <v>194247</v>
      </c>
      <c r="L1052" s="6" t="inlineStr">
        <is>
          <t>MWh</t>
        </is>
      </c>
      <c r="M1052" s="6" t="inlineStr">
        <is>
          <t>ANDE</t>
        </is>
      </c>
      <c r="N1052" s="6" t="inlineStr">
        <is>
          <t>OFFICIAL_PRIMARY</t>
        </is>
      </c>
      <c r="O1052" s="9" t="inlineStr">
        <is>
          <t>OFFICIAL_AGGREGATE</t>
        </is>
      </c>
      <c r="P1052" s="8" t="n">
        <v>1</v>
      </c>
      <c r="Q1052" s="8" t="n">
        <v>95</v>
      </c>
      <c r="R1052" s="7" t="inlineStr">
        <is>
          <t>https://www.ande.gov.py/finanzas/2.%20COMPILACION%20ESTADISTICA%202003-2023/ANDE%20-%20Compilacion%20Estadistica%202003-2023.pdf</t>
        </is>
      </c>
      <c r="S1052" s="6" t="inlineStr">
        <is>
          <t>ANDE-03-23</t>
        </is>
      </c>
      <c r="T1052" s="6" t="inlineStr"/>
      <c r="U1052" s="4" t="inlineStr">
        <is>
          <t>2026-09-11 00:05:00</t>
        </is>
      </c>
      <c r="V1052" s="4" t="inlineStr">
        <is>
          <t>Compilacion 2003-2023; prioridad canonica. Rupturas metodologicas de categorias en 2016/2017 documentadas por ANDE.</t>
        </is>
      </c>
    </row>
    <row r="1053">
      <c r="A1053" s="6" t="inlineStr">
        <is>
          <t>R0001169</t>
        </is>
      </c>
      <c r="B1053" s="6" t="inlineStr">
        <is>
          <t>2008-01-01</t>
        </is>
      </c>
      <c r="C1053" s="6" t="inlineStr">
        <is>
          <t>2008-12-31</t>
        </is>
      </c>
      <c r="D1053" s="6" t="inlineStr">
        <is>
          <t>year</t>
        </is>
      </c>
      <c r="E1053" s="6" t="inlineStr">
        <is>
          <t>ANDE_BILLED_GOV_ENERGY</t>
        </is>
      </c>
      <c r="F1053" s="6" t="inlineStr">
        <is>
          <t>PY_SIN</t>
        </is>
      </c>
      <c r="G1053" s="6" t="inlineStr">
        <is>
          <t>PY</t>
        </is>
      </c>
      <c r="H1053" s="6" t="inlineStr">
        <is>
          <t>PY</t>
        </is>
      </c>
      <c r="I1053" s="8" t="n">
        <v>197412</v>
      </c>
      <c r="J1053" s="6" t="inlineStr">
        <is>
          <t>MWh</t>
        </is>
      </c>
      <c r="K1053" s="8" t="n">
        <v>197412</v>
      </c>
      <c r="L1053" s="6" t="inlineStr">
        <is>
          <t>MWh</t>
        </is>
      </c>
      <c r="M1053" s="6" t="inlineStr">
        <is>
          <t>ANDE</t>
        </is>
      </c>
      <c r="N1053" s="6" t="inlineStr">
        <is>
          <t>OFFICIAL_PRIMARY</t>
        </is>
      </c>
      <c r="O1053" s="9" t="inlineStr">
        <is>
          <t>OFFICIAL_AGGREGATE</t>
        </is>
      </c>
      <c r="P1053" s="8" t="n">
        <v>1</v>
      </c>
      <c r="Q1053" s="8" t="n">
        <v>95</v>
      </c>
      <c r="R1053" s="7" t="inlineStr">
        <is>
          <t>https://www.ande.gov.py/finanzas/2.%20COMPILACION%20ESTADISTICA%202003-2023/ANDE%20-%20Compilacion%20Estadistica%202003-2023.pdf</t>
        </is>
      </c>
      <c r="S1053" s="6" t="inlineStr">
        <is>
          <t>ANDE-03-23</t>
        </is>
      </c>
      <c r="T1053" s="6" t="inlineStr"/>
      <c r="U1053" s="4" t="inlineStr">
        <is>
          <t>2026-09-11 00:05:00</t>
        </is>
      </c>
      <c r="V1053" s="4" t="inlineStr">
        <is>
          <t>Compilacion 2003-2023; prioridad canonica. Rupturas metodologicas de categorias en 2016/2017 documentadas por ANDE.</t>
        </is>
      </c>
    </row>
    <row r="1054">
      <c r="A1054" s="6" t="inlineStr">
        <is>
          <t>R0001170</t>
        </is>
      </c>
      <c r="B1054" s="6" t="inlineStr">
        <is>
          <t>2009-01-01</t>
        </is>
      </c>
      <c r="C1054" s="6" t="inlineStr">
        <is>
          <t>2009-12-31</t>
        </is>
      </c>
      <c r="D1054" s="6" t="inlineStr">
        <is>
          <t>year</t>
        </is>
      </c>
      <c r="E1054" s="6" t="inlineStr">
        <is>
          <t>ANDE_BILLED_GOV_ENERGY</t>
        </is>
      </c>
      <c r="F1054" s="6" t="inlineStr">
        <is>
          <t>PY_SIN</t>
        </is>
      </c>
      <c r="G1054" s="6" t="inlineStr">
        <is>
          <t>PY</t>
        </is>
      </c>
      <c r="H1054" s="6" t="inlineStr">
        <is>
          <t>PY</t>
        </is>
      </c>
      <c r="I1054" s="8" t="n">
        <v>369457</v>
      </c>
      <c r="J1054" s="6" t="inlineStr">
        <is>
          <t>MWh</t>
        </is>
      </c>
      <c r="K1054" s="8" t="n">
        <v>369457</v>
      </c>
      <c r="L1054" s="6" t="inlineStr">
        <is>
          <t>MWh</t>
        </is>
      </c>
      <c r="M1054" s="6" t="inlineStr">
        <is>
          <t>ANDE</t>
        </is>
      </c>
      <c r="N1054" s="6" t="inlineStr">
        <is>
          <t>OFFICIAL_PRIMARY</t>
        </is>
      </c>
      <c r="O1054" s="9" t="inlineStr">
        <is>
          <t>OFFICIAL_AGGREGATE</t>
        </is>
      </c>
      <c r="P1054" s="8" t="n">
        <v>1</v>
      </c>
      <c r="Q1054" s="8" t="n">
        <v>95</v>
      </c>
      <c r="R1054" s="7" t="inlineStr">
        <is>
          <t>https://www.ande.gov.py/finanzas/2.%20COMPILACION%20ESTADISTICA%202003-2023/ANDE%20-%20Compilacion%20Estadistica%202003-2023.pdf</t>
        </is>
      </c>
      <c r="S1054" s="6" t="inlineStr">
        <is>
          <t>ANDE-03-23</t>
        </is>
      </c>
      <c r="T1054" s="6" t="inlineStr"/>
      <c r="U1054" s="4" t="inlineStr">
        <is>
          <t>2026-09-11 00:05:00</t>
        </is>
      </c>
      <c r="V1054" s="4" t="inlineStr">
        <is>
          <t>Compilacion 2003-2023; prioridad canonica. Rupturas metodologicas de categorias en 2016/2017 documentadas por ANDE.</t>
        </is>
      </c>
    </row>
    <row r="1055">
      <c r="A1055" s="6" t="inlineStr">
        <is>
          <t>R0001171</t>
        </is>
      </c>
      <c r="B1055" s="6" t="inlineStr">
        <is>
          <t>2010-01-01</t>
        </is>
      </c>
      <c r="C1055" s="6" t="inlineStr">
        <is>
          <t>2010-12-31</t>
        </is>
      </c>
      <c r="D1055" s="6" t="inlineStr">
        <is>
          <t>year</t>
        </is>
      </c>
      <c r="E1055" s="6" t="inlineStr">
        <is>
          <t>ANDE_BILLED_GOV_ENERGY</t>
        </is>
      </c>
      <c r="F1055" s="6" t="inlineStr">
        <is>
          <t>PY_SIN</t>
        </is>
      </c>
      <c r="G1055" s="6" t="inlineStr">
        <is>
          <t>PY</t>
        </is>
      </c>
      <c r="H1055" s="6" t="inlineStr">
        <is>
          <t>PY</t>
        </is>
      </c>
      <c r="I1055" s="8" t="n">
        <v>470323</v>
      </c>
      <c r="J1055" s="6" t="inlineStr">
        <is>
          <t>MWh</t>
        </is>
      </c>
      <c r="K1055" s="8" t="n">
        <v>470323</v>
      </c>
      <c r="L1055" s="6" t="inlineStr">
        <is>
          <t>MWh</t>
        </is>
      </c>
      <c r="M1055" s="6" t="inlineStr">
        <is>
          <t>ANDE</t>
        </is>
      </c>
      <c r="N1055" s="6" t="inlineStr">
        <is>
          <t>OFFICIAL_PRIMARY</t>
        </is>
      </c>
      <c r="O1055" s="9" t="inlineStr">
        <is>
          <t>OFFICIAL_AGGREGATE</t>
        </is>
      </c>
      <c r="P1055" s="8" t="n">
        <v>1</v>
      </c>
      <c r="Q1055" s="8" t="n">
        <v>95</v>
      </c>
      <c r="R1055" s="7" t="inlineStr">
        <is>
          <t>https://www.ande.gov.py/finanzas/2.%20COMPILACION%20ESTADISTICA%202003-2023/ANDE%20-%20Compilacion%20Estadistica%202003-2023.pdf</t>
        </is>
      </c>
      <c r="S1055" s="6" t="inlineStr">
        <is>
          <t>ANDE-03-23</t>
        </is>
      </c>
      <c r="T1055" s="6" t="inlineStr"/>
      <c r="U1055" s="4" t="inlineStr">
        <is>
          <t>2026-09-11 00:05:00</t>
        </is>
      </c>
      <c r="V1055" s="4" t="inlineStr">
        <is>
          <t>Compilacion 2003-2023; prioridad canonica. Rupturas metodologicas de categorias en 2016/2017 documentadas por ANDE.</t>
        </is>
      </c>
    </row>
    <row r="1056">
      <c r="A1056" s="6" t="inlineStr">
        <is>
          <t>R0001172</t>
        </is>
      </c>
      <c r="B1056" s="6" t="inlineStr">
        <is>
          <t>2011-01-01</t>
        </is>
      </c>
      <c r="C1056" s="6" t="inlineStr">
        <is>
          <t>2011-12-31</t>
        </is>
      </c>
      <c r="D1056" s="6" t="inlineStr">
        <is>
          <t>year</t>
        </is>
      </c>
      <c r="E1056" s="6" t="inlineStr">
        <is>
          <t>ANDE_BILLED_GOV_ENERGY</t>
        </is>
      </c>
      <c r="F1056" s="6" t="inlineStr">
        <is>
          <t>PY_SIN</t>
        </is>
      </c>
      <c r="G1056" s="6" t="inlineStr">
        <is>
          <t>PY</t>
        </is>
      </c>
      <c r="H1056" s="6" t="inlineStr">
        <is>
          <t>PY</t>
        </is>
      </c>
      <c r="I1056" s="8" t="n">
        <v>489290</v>
      </c>
      <c r="J1056" s="6" t="inlineStr">
        <is>
          <t>MWh</t>
        </is>
      </c>
      <c r="K1056" s="8" t="n">
        <v>489290</v>
      </c>
      <c r="L1056" s="6" t="inlineStr">
        <is>
          <t>MWh</t>
        </is>
      </c>
      <c r="M1056" s="6" t="inlineStr">
        <is>
          <t>ANDE</t>
        </is>
      </c>
      <c r="N1056" s="6" t="inlineStr">
        <is>
          <t>OFFICIAL_PRIMARY</t>
        </is>
      </c>
      <c r="O1056" s="9" t="inlineStr">
        <is>
          <t>OFFICIAL_AGGREGATE</t>
        </is>
      </c>
      <c r="P1056" s="8" t="n">
        <v>1</v>
      </c>
      <c r="Q1056" s="8" t="n">
        <v>95</v>
      </c>
      <c r="R1056" s="7" t="inlineStr">
        <is>
          <t>https://www.ande.gov.py/finanzas/2.%20COMPILACION%20ESTADISTICA%202003-2023/ANDE%20-%20Compilacion%20Estadistica%202003-2023.pdf</t>
        </is>
      </c>
      <c r="S1056" s="6" t="inlineStr">
        <is>
          <t>ANDE-03-23</t>
        </is>
      </c>
      <c r="T1056" s="6" t="inlineStr"/>
      <c r="U1056" s="4" t="inlineStr">
        <is>
          <t>2026-09-11 00:05:00</t>
        </is>
      </c>
      <c r="V1056" s="4" t="inlineStr">
        <is>
          <t>Compilacion 2003-2023; prioridad canonica. Rupturas metodologicas de categorias en 2016/2017 documentadas por ANDE.</t>
        </is>
      </c>
    </row>
    <row r="1057">
      <c r="A1057" s="6" t="inlineStr">
        <is>
          <t>R0001173</t>
        </is>
      </c>
      <c r="B1057" s="6" t="inlineStr">
        <is>
          <t>2012-01-01</t>
        </is>
      </c>
      <c r="C1057" s="6" t="inlineStr">
        <is>
          <t>2012-12-31</t>
        </is>
      </c>
      <c r="D1057" s="6" t="inlineStr">
        <is>
          <t>year</t>
        </is>
      </c>
      <c r="E1057" s="6" t="inlineStr">
        <is>
          <t>ANDE_BILLED_GOV_ENERGY</t>
        </is>
      </c>
      <c r="F1057" s="6" t="inlineStr">
        <is>
          <t>PY_SIN</t>
        </is>
      </c>
      <c r="G1057" s="6" t="inlineStr">
        <is>
          <t>PY</t>
        </is>
      </c>
      <c r="H1057" s="6" t="inlineStr">
        <is>
          <t>PY</t>
        </is>
      </c>
      <c r="I1057" s="8" t="n">
        <v>532452</v>
      </c>
      <c r="J1057" s="6" t="inlineStr">
        <is>
          <t>MWh</t>
        </is>
      </c>
      <c r="K1057" s="8" t="n">
        <v>532452</v>
      </c>
      <c r="L1057" s="6" t="inlineStr">
        <is>
          <t>MWh</t>
        </is>
      </c>
      <c r="M1057" s="6" t="inlineStr">
        <is>
          <t>ANDE</t>
        </is>
      </c>
      <c r="N1057" s="6" t="inlineStr">
        <is>
          <t>OFFICIAL_PRIMARY</t>
        </is>
      </c>
      <c r="O1057" s="9" t="inlineStr">
        <is>
          <t>OFFICIAL_AGGREGATE</t>
        </is>
      </c>
      <c r="P1057" s="8" t="n">
        <v>1</v>
      </c>
      <c r="Q1057" s="8" t="n">
        <v>95</v>
      </c>
      <c r="R1057" s="7" t="inlineStr">
        <is>
          <t>https://www.ande.gov.py/finanzas/2.%20COMPILACION%20ESTADISTICA%202003-2023/ANDE%20-%20Compilacion%20Estadistica%202003-2023.pdf</t>
        </is>
      </c>
      <c r="S1057" s="6" t="inlineStr">
        <is>
          <t>ANDE-03-23</t>
        </is>
      </c>
      <c r="T1057" s="6" t="inlineStr"/>
      <c r="U1057" s="4" t="inlineStr">
        <is>
          <t>2026-09-11 00:05:00</t>
        </is>
      </c>
      <c r="V1057" s="4" t="inlineStr">
        <is>
          <t>Compilacion 2003-2023; prioridad canonica. Rupturas metodologicas de categorias en 2016/2017 documentadas por ANDE.</t>
        </is>
      </c>
    </row>
    <row r="1058">
      <c r="A1058" s="6" t="inlineStr">
        <is>
          <t>R0001174</t>
        </is>
      </c>
      <c r="B1058" s="6" t="inlineStr">
        <is>
          <t>2013-01-01</t>
        </is>
      </c>
      <c r="C1058" s="6" t="inlineStr">
        <is>
          <t>2013-12-31</t>
        </is>
      </c>
      <c r="D1058" s="6" t="inlineStr">
        <is>
          <t>year</t>
        </is>
      </c>
      <c r="E1058" s="6" t="inlineStr">
        <is>
          <t>ANDE_BILLED_GOV_ENERGY</t>
        </is>
      </c>
      <c r="F1058" s="6" t="inlineStr">
        <is>
          <t>PY_SIN</t>
        </is>
      </c>
      <c r="G1058" s="6" t="inlineStr">
        <is>
          <t>PY</t>
        </is>
      </c>
      <c r="H1058" s="6" t="inlineStr">
        <is>
          <t>PY</t>
        </is>
      </c>
      <c r="I1058" s="8" t="n">
        <v>587940</v>
      </c>
      <c r="J1058" s="6" t="inlineStr">
        <is>
          <t>MWh</t>
        </is>
      </c>
      <c r="K1058" s="8" t="n">
        <v>587940</v>
      </c>
      <c r="L1058" s="6" t="inlineStr">
        <is>
          <t>MWh</t>
        </is>
      </c>
      <c r="M1058" s="6" t="inlineStr">
        <is>
          <t>ANDE</t>
        </is>
      </c>
      <c r="N1058" s="6" t="inlineStr">
        <is>
          <t>OFFICIAL_PRIMARY</t>
        </is>
      </c>
      <c r="O1058" s="9" t="inlineStr">
        <is>
          <t>OFFICIAL_AGGREGATE</t>
        </is>
      </c>
      <c r="P1058" s="8" t="n">
        <v>1</v>
      </c>
      <c r="Q1058" s="8" t="n">
        <v>95</v>
      </c>
      <c r="R1058" s="7" t="inlineStr">
        <is>
          <t>https://www.ande.gov.py/finanzas/2.%20COMPILACION%20ESTADISTICA%202003-2023/ANDE%20-%20Compilacion%20Estadistica%202003-2023.pdf</t>
        </is>
      </c>
      <c r="S1058" s="6" t="inlineStr">
        <is>
          <t>ANDE-03-23</t>
        </is>
      </c>
      <c r="T1058" s="6" t="inlineStr"/>
      <c r="U1058" s="4" t="inlineStr">
        <is>
          <t>2026-09-11 00:05:00</t>
        </is>
      </c>
      <c r="V1058" s="4" t="inlineStr">
        <is>
          <t>Compilacion 2003-2023; prioridad canonica. Rupturas metodologicas de categorias en 2016/2017 documentadas por ANDE.</t>
        </is>
      </c>
    </row>
    <row r="1059">
      <c r="A1059" s="6" t="inlineStr">
        <is>
          <t>R0001175</t>
        </is>
      </c>
      <c r="B1059" s="6" t="inlineStr">
        <is>
          <t>2014-01-01</t>
        </is>
      </c>
      <c r="C1059" s="6" t="inlineStr">
        <is>
          <t>2014-12-31</t>
        </is>
      </c>
      <c r="D1059" s="6" t="inlineStr">
        <is>
          <t>year</t>
        </is>
      </c>
      <c r="E1059" s="6" t="inlineStr">
        <is>
          <t>ANDE_BILLED_GOV_ENERGY</t>
        </is>
      </c>
      <c r="F1059" s="6" t="inlineStr">
        <is>
          <t>PY_SIN</t>
        </is>
      </c>
      <c r="G1059" s="6" t="inlineStr">
        <is>
          <t>PY</t>
        </is>
      </c>
      <c r="H1059" s="6" t="inlineStr">
        <is>
          <t>PY</t>
        </is>
      </c>
      <c r="I1059" s="8" t="n">
        <v>602124</v>
      </c>
      <c r="J1059" s="6" t="inlineStr">
        <is>
          <t>MWh</t>
        </is>
      </c>
      <c r="K1059" s="8" t="n">
        <v>602124</v>
      </c>
      <c r="L1059" s="6" t="inlineStr">
        <is>
          <t>MWh</t>
        </is>
      </c>
      <c r="M1059" s="6" t="inlineStr">
        <is>
          <t>ANDE</t>
        </is>
      </c>
      <c r="N1059" s="6" t="inlineStr">
        <is>
          <t>OFFICIAL_PRIMARY</t>
        </is>
      </c>
      <c r="O1059" s="9" t="inlineStr">
        <is>
          <t>OFFICIAL_AGGREGATE</t>
        </is>
      </c>
      <c r="P1059" s="8" t="n">
        <v>1</v>
      </c>
      <c r="Q1059" s="8" t="n">
        <v>95</v>
      </c>
      <c r="R1059" s="7" t="inlineStr">
        <is>
          <t>https://www.ande.gov.py/finanzas/2.%20COMPILACION%20ESTADISTICA%202003-2023/ANDE%20-%20Compilacion%20Estadistica%202003-2023.pdf</t>
        </is>
      </c>
      <c r="S1059" s="6" t="inlineStr">
        <is>
          <t>ANDE-03-23</t>
        </is>
      </c>
      <c r="T1059" s="6" t="inlineStr"/>
      <c r="U1059" s="4" t="inlineStr">
        <is>
          <t>2026-09-11 00:05:00</t>
        </is>
      </c>
      <c r="V1059" s="4" t="inlineStr">
        <is>
          <t>Compilacion 2003-2023; prioridad canonica. Rupturas metodologicas de categorias en 2016/2017 documentadas por ANDE.</t>
        </is>
      </c>
    </row>
    <row r="1060">
      <c r="A1060" s="6" t="inlineStr">
        <is>
          <t>R0001176</t>
        </is>
      </c>
      <c r="B1060" s="6" t="inlineStr">
        <is>
          <t>2015-01-01</t>
        </is>
      </c>
      <c r="C1060" s="6" t="inlineStr">
        <is>
          <t>2015-12-31</t>
        </is>
      </c>
      <c r="D1060" s="6" t="inlineStr">
        <is>
          <t>year</t>
        </is>
      </c>
      <c r="E1060" s="6" t="inlineStr">
        <is>
          <t>ANDE_BILLED_GOV_ENERGY</t>
        </is>
      </c>
      <c r="F1060" s="6" t="inlineStr">
        <is>
          <t>PY_SIN</t>
        </is>
      </c>
      <c r="G1060" s="6" t="inlineStr">
        <is>
          <t>PY</t>
        </is>
      </c>
      <c r="H1060" s="6" t="inlineStr">
        <is>
          <t>PY</t>
        </is>
      </c>
      <c r="I1060" s="8" t="n">
        <v>632737</v>
      </c>
      <c r="J1060" s="6" t="inlineStr">
        <is>
          <t>MWh</t>
        </is>
      </c>
      <c r="K1060" s="8" t="n">
        <v>632737</v>
      </c>
      <c r="L1060" s="6" t="inlineStr">
        <is>
          <t>MWh</t>
        </is>
      </c>
      <c r="M1060" s="6" t="inlineStr">
        <is>
          <t>ANDE</t>
        </is>
      </c>
      <c r="N1060" s="6" t="inlineStr">
        <is>
          <t>OFFICIAL_PRIMARY</t>
        </is>
      </c>
      <c r="O1060" s="9" t="inlineStr">
        <is>
          <t>OFFICIAL_AGGREGATE</t>
        </is>
      </c>
      <c r="P1060" s="8" t="n">
        <v>1</v>
      </c>
      <c r="Q1060" s="8" t="n">
        <v>95</v>
      </c>
      <c r="R1060" s="7" t="inlineStr">
        <is>
          <t>https://www.ande.gov.py/finanzas/2.%20COMPILACION%20ESTADISTICA%202003-2023/ANDE%20-%20Compilacion%20Estadistica%202003-2023.pdf</t>
        </is>
      </c>
      <c r="S1060" s="6" t="inlineStr">
        <is>
          <t>ANDE-03-23</t>
        </is>
      </c>
      <c r="T1060" s="6" t="inlineStr"/>
      <c r="U1060" s="4" t="inlineStr">
        <is>
          <t>2026-09-11 00:05:00</t>
        </is>
      </c>
      <c r="V1060" s="4" t="inlineStr">
        <is>
          <t>Compilacion 2003-2023; prioridad canonica. Rupturas metodologicas de categorias en 2016/2017 documentadas por ANDE.</t>
        </is>
      </c>
    </row>
    <row r="1061">
      <c r="A1061" s="6" t="inlineStr">
        <is>
          <t>R0001177</t>
        </is>
      </c>
      <c r="B1061" s="6" t="inlineStr">
        <is>
          <t>2016-01-01</t>
        </is>
      </c>
      <c r="C1061" s="6" t="inlineStr">
        <is>
          <t>2016-12-31</t>
        </is>
      </c>
      <c r="D1061" s="6" t="inlineStr">
        <is>
          <t>year</t>
        </is>
      </c>
      <c r="E1061" s="6" t="inlineStr">
        <is>
          <t>ANDE_BILLED_GOV_ENERGY</t>
        </is>
      </c>
      <c r="F1061" s="6" t="inlineStr">
        <is>
          <t>PY_SIN</t>
        </is>
      </c>
      <c r="G1061" s="6" t="inlineStr">
        <is>
          <t>PY</t>
        </is>
      </c>
      <c r="H1061" s="6" t="inlineStr">
        <is>
          <t>PY</t>
        </is>
      </c>
      <c r="I1061" s="8" t="n">
        <v>643475</v>
      </c>
      <c r="J1061" s="6" t="inlineStr">
        <is>
          <t>MWh</t>
        </is>
      </c>
      <c r="K1061" s="8" t="n">
        <v>643475</v>
      </c>
      <c r="L1061" s="6" t="inlineStr">
        <is>
          <t>MWh</t>
        </is>
      </c>
      <c r="M1061" s="6" t="inlineStr">
        <is>
          <t>ANDE</t>
        </is>
      </c>
      <c r="N1061" s="6" t="inlineStr">
        <is>
          <t>OFFICIAL_PRIMARY</t>
        </is>
      </c>
      <c r="O1061" s="9" t="inlineStr">
        <is>
          <t>OFFICIAL_AGGREGATE</t>
        </is>
      </c>
      <c r="P1061" s="8" t="n">
        <v>1</v>
      </c>
      <c r="Q1061" s="8" t="n">
        <v>95</v>
      </c>
      <c r="R1061" s="7" t="inlineStr">
        <is>
          <t>https://www.ande.gov.py/finanzas/2.%20COMPILACION%20ESTADISTICA%202003-2023/ANDE%20-%20Compilacion%20Estadistica%202003-2023.pdf</t>
        </is>
      </c>
      <c r="S1061" s="6" t="inlineStr">
        <is>
          <t>ANDE-03-23</t>
        </is>
      </c>
      <c r="T1061" s="6" t="inlineStr"/>
      <c r="U1061" s="4" t="inlineStr">
        <is>
          <t>2026-09-11 00:05:00</t>
        </is>
      </c>
      <c r="V1061" s="4" t="inlineStr">
        <is>
          <t>Compilacion 2003-2023; prioridad canonica. Rupturas metodologicas de categorias en 2016/2017 documentadas por ANDE.</t>
        </is>
      </c>
    </row>
    <row r="1062">
      <c r="A1062" s="6" t="inlineStr">
        <is>
          <t>R0001178</t>
        </is>
      </c>
      <c r="B1062" s="6" t="inlineStr">
        <is>
          <t>2017-01-01</t>
        </is>
      </c>
      <c r="C1062" s="6" t="inlineStr">
        <is>
          <t>2017-12-31</t>
        </is>
      </c>
      <c r="D1062" s="6" t="inlineStr">
        <is>
          <t>year</t>
        </is>
      </c>
      <c r="E1062" s="6" t="inlineStr">
        <is>
          <t>ANDE_BILLED_GOV_ENERGY</t>
        </is>
      </c>
      <c r="F1062" s="6" t="inlineStr">
        <is>
          <t>PY_SIN</t>
        </is>
      </c>
      <c r="G1062" s="6" t="inlineStr">
        <is>
          <t>PY</t>
        </is>
      </c>
      <c r="H1062" s="6" t="inlineStr">
        <is>
          <t>PY</t>
        </is>
      </c>
      <c r="I1062" s="8" t="n">
        <v>457253</v>
      </c>
      <c r="J1062" s="6" t="inlineStr">
        <is>
          <t>MWh</t>
        </is>
      </c>
      <c r="K1062" s="8" t="n">
        <v>457253</v>
      </c>
      <c r="L1062" s="6" t="inlineStr">
        <is>
          <t>MWh</t>
        </is>
      </c>
      <c r="M1062" s="6" t="inlineStr">
        <is>
          <t>ANDE</t>
        </is>
      </c>
      <c r="N1062" s="6" t="inlineStr">
        <is>
          <t>OFFICIAL_PRIMARY</t>
        </is>
      </c>
      <c r="O1062" s="9" t="inlineStr">
        <is>
          <t>OFFICIAL_AGGREGATE</t>
        </is>
      </c>
      <c r="P1062" s="8" t="n">
        <v>1</v>
      </c>
      <c r="Q1062" s="8" t="n">
        <v>95</v>
      </c>
      <c r="R1062" s="7" t="inlineStr">
        <is>
          <t>https://www.ande.gov.py/finanzas/2.%20COMPILACION%20ESTADISTICA%202003-2023/ANDE%20-%20Compilacion%20Estadistica%202003-2023.pdf</t>
        </is>
      </c>
      <c r="S1062" s="6" t="inlineStr">
        <is>
          <t>ANDE-03-23</t>
        </is>
      </c>
      <c r="T1062" s="6" t="inlineStr"/>
      <c r="U1062" s="4" t="inlineStr">
        <is>
          <t>2026-09-11 00:05:00</t>
        </is>
      </c>
      <c r="V1062" s="4" t="inlineStr">
        <is>
          <t>Compilacion 2003-2023; prioridad canonica. Rupturas metodologicas de categorias en 2016/2017 documentadas por ANDE.</t>
        </is>
      </c>
    </row>
    <row r="1063">
      <c r="A1063" s="6" t="inlineStr">
        <is>
          <t>R0001179</t>
        </is>
      </c>
      <c r="B1063" s="6" t="inlineStr">
        <is>
          <t>2018-01-01</t>
        </is>
      </c>
      <c r="C1063" s="6" t="inlineStr">
        <is>
          <t>2018-12-31</t>
        </is>
      </c>
      <c r="D1063" s="6" t="inlineStr">
        <is>
          <t>year</t>
        </is>
      </c>
      <c r="E1063" s="6" t="inlineStr">
        <is>
          <t>ANDE_BILLED_GOV_ENERGY</t>
        </is>
      </c>
      <c r="F1063" s="6" t="inlineStr">
        <is>
          <t>PY_SIN</t>
        </is>
      </c>
      <c r="G1063" s="6" t="inlineStr">
        <is>
          <t>PY</t>
        </is>
      </c>
      <c r="H1063" s="6" t="inlineStr">
        <is>
          <t>PY</t>
        </is>
      </c>
      <c r="I1063" s="8" t="n">
        <v>401080</v>
      </c>
      <c r="J1063" s="6" t="inlineStr">
        <is>
          <t>MWh</t>
        </is>
      </c>
      <c r="K1063" s="8" t="n">
        <v>401080</v>
      </c>
      <c r="L1063" s="6" t="inlineStr">
        <is>
          <t>MWh</t>
        </is>
      </c>
      <c r="M1063" s="6" t="inlineStr">
        <is>
          <t>ANDE</t>
        </is>
      </c>
      <c r="N1063" s="6" t="inlineStr">
        <is>
          <t>OFFICIAL_PRIMARY</t>
        </is>
      </c>
      <c r="O1063" s="9" t="inlineStr">
        <is>
          <t>OFFICIAL_AGGREGATE</t>
        </is>
      </c>
      <c r="P1063" s="8" t="n">
        <v>1</v>
      </c>
      <c r="Q1063" s="8" t="n">
        <v>95</v>
      </c>
      <c r="R1063" s="7" t="inlineStr">
        <is>
          <t>https://www.ande.gov.py/finanzas/2.%20COMPILACION%20ESTADISTICA%202003-2023/ANDE%20-%20Compilacion%20Estadistica%202003-2023.pdf</t>
        </is>
      </c>
      <c r="S1063" s="6" t="inlineStr">
        <is>
          <t>ANDE-03-23</t>
        </is>
      </c>
      <c r="T1063" s="6" t="inlineStr"/>
      <c r="U1063" s="4" t="inlineStr">
        <is>
          <t>2026-09-11 00:05:00</t>
        </is>
      </c>
      <c r="V1063" s="4" t="inlineStr">
        <is>
          <t>Compilacion 2003-2023; prioridad canonica. Rupturas metodologicas de categorias en 2016/2017 documentadas por ANDE.</t>
        </is>
      </c>
    </row>
    <row r="1064">
      <c r="A1064" s="6" t="inlineStr">
        <is>
          <t>R0001180</t>
        </is>
      </c>
      <c r="B1064" s="6" t="inlineStr">
        <is>
          <t>2019-01-01</t>
        </is>
      </c>
      <c r="C1064" s="6" t="inlineStr">
        <is>
          <t>2019-12-31</t>
        </is>
      </c>
      <c r="D1064" s="6" t="inlineStr">
        <is>
          <t>year</t>
        </is>
      </c>
      <c r="E1064" s="6" t="inlineStr">
        <is>
          <t>ANDE_BILLED_GOV_ENERGY</t>
        </is>
      </c>
      <c r="F1064" s="6" t="inlineStr">
        <is>
          <t>PY_SIN</t>
        </is>
      </c>
      <c r="G1064" s="6" t="inlineStr">
        <is>
          <t>PY</t>
        </is>
      </c>
      <c r="H1064" s="6" t="inlineStr">
        <is>
          <t>PY</t>
        </is>
      </c>
      <c r="I1064" s="8" t="n">
        <v>352048</v>
      </c>
      <c r="J1064" s="6" t="inlineStr">
        <is>
          <t>MWh</t>
        </is>
      </c>
      <c r="K1064" s="8" t="n">
        <v>352048</v>
      </c>
      <c r="L1064" s="6" t="inlineStr">
        <is>
          <t>MWh</t>
        </is>
      </c>
      <c r="M1064" s="6" t="inlineStr">
        <is>
          <t>ANDE</t>
        </is>
      </c>
      <c r="N1064" s="6" t="inlineStr">
        <is>
          <t>OFFICIAL_PRIMARY</t>
        </is>
      </c>
      <c r="O1064" s="9" t="inlineStr">
        <is>
          <t>OFFICIAL_AGGREGATE</t>
        </is>
      </c>
      <c r="P1064" s="8" t="n">
        <v>1</v>
      </c>
      <c r="Q1064" s="8" t="n">
        <v>95</v>
      </c>
      <c r="R1064" s="7" t="inlineStr">
        <is>
          <t>https://www.ande.gov.py/finanzas/2.%20COMPILACION%20ESTADISTICA%202003-2023/ANDE%20-%20Compilacion%20Estadistica%202003-2023.pdf</t>
        </is>
      </c>
      <c r="S1064" s="6" t="inlineStr">
        <is>
          <t>ANDE-03-23</t>
        </is>
      </c>
      <c r="T1064" s="6" t="inlineStr"/>
      <c r="U1064" s="4" t="inlineStr">
        <is>
          <t>2026-09-11 00:05:00</t>
        </is>
      </c>
      <c r="V1064" s="4" t="inlineStr">
        <is>
          <t>Compilacion 2003-2023; prioridad canonica. Rupturas metodologicas de categorias en 2016/2017 documentadas por ANDE.</t>
        </is>
      </c>
    </row>
    <row r="1065">
      <c r="A1065" s="6" t="inlineStr">
        <is>
          <t>R0001181</t>
        </is>
      </c>
      <c r="B1065" s="6" t="inlineStr">
        <is>
          <t>2020-01-01</t>
        </is>
      </c>
      <c r="C1065" s="6" t="inlineStr">
        <is>
          <t>2020-12-31</t>
        </is>
      </c>
      <c r="D1065" s="6" t="inlineStr">
        <is>
          <t>year</t>
        </is>
      </c>
      <c r="E1065" s="6" t="inlineStr">
        <is>
          <t>ANDE_BILLED_GOV_ENERGY</t>
        </is>
      </c>
      <c r="F1065" s="6" t="inlineStr">
        <is>
          <t>PY_SIN</t>
        </is>
      </c>
      <c r="G1065" s="6" t="inlineStr">
        <is>
          <t>PY</t>
        </is>
      </c>
      <c r="H1065" s="6" t="inlineStr">
        <is>
          <t>PY</t>
        </is>
      </c>
      <c r="I1065" s="8" t="n">
        <v>354507</v>
      </c>
      <c r="J1065" s="6" t="inlineStr">
        <is>
          <t>MWh</t>
        </is>
      </c>
      <c r="K1065" s="8" t="n">
        <v>354507</v>
      </c>
      <c r="L1065" s="6" t="inlineStr">
        <is>
          <t>MWh</t>
        </is>
      </c>
      <c r="M1065" s="6" t="inlineStr">
        <is>
          <t>ANDE</t>
        </is>
      </c>
      <c r="N1065" s="6" t="inlineStr">
        <is>
          <t>OFFICIAL_PRIMARY</t>
        </is>
      </c>
      <c r="O1065" s="9" t="inlineStr">
        <is>
          <t>OFFICIAL_AGGREGATE</t>
        </is>
      </c>
      <c r="P1065" s="8" t="n">
        <v>1</v>
      </c>
      <c r="Q1065" s="8" t="n">
        <v>95</v>
      </c>
      <c r="R1065" s="7" t="inlineStr">
        <is>
          <t>https://www.ande.gov.py/finanzas/2.%20COMPILACION%20ESTADISTICA%202003-2023/ANDE%20-%20Compilacion%20Estadistica%202003-2023.pdf</t>
        </is>
      </c>
      <c r="S1065" s="6" t="inlineStr">
        <is>
          <t>ANDE-03-23</t>
        </is>
      </c>
      <c r="T1065" s="6" t="inlineStr"/>
      <c r="U1065" s="4" t="inlineStr">
        <is>
          <t>2026-09-11 00:05:00</t>
        </is>
      </c>
      <c r="V1065" s="4" t="inlineStr">
        <is>
          <t>Compilacion 2003-2023; prioridad canonica. Rupturas metodologicas de categorias en 2016/2017 documentadas por ANDE.</t>
        </is>
      </c>
    </row>
    <row r="1066">
      <c r="A1066" s="6" t="inlineStr">
        <is>
          <t>R0001182</t>
        </is>
      </c>
      <c r="B1066" s="6" t="inlineStr">
        <is>
          <t>2021-01-01</t>
        </is>
      </c>
      <c r="C1066" s="6" t="inlineStr">
        <is>
          <t>2021-12-31</t>
        </is>
      </c>
      <c r="D1066" s="6" t="inlineStr">
        <is>
          <t>year</t>
        </is>
      </c>
      <c r="E1066" s="6" t="inlineStr">
        <is>
          <t>ANDE_BILLED_GOV_ENERGY</t>
        </is>
      </c>
      <c r="F1066" s="6" t="inlineStr">
        <is>
          <t>PY_SIN</t>
        </is>
      </c>
      <c r="G1066" s="6" t="inlineStr">
        <is>
          <t>PY</t>
        </is>
      </c>
      <c r="H1066" s="6" t="inlineStr">
        <is>
          <t>PY</t>
        </is>
      </c>
      <c r="I1066" s="8" t="n">
        <v>356487</v>
      </c>
      <c r="J1066" s="6" t="inlineStr">
        <is>
          <t>MWh</t>
        </is>
      </c>
      <c r="K1066" s="8" t="n">
        <v>356487</v>
      </c>
      <c r="L1066" s="6" t="inlineStr">
        <is>
          <t>MWh</t>
        </is>
      </c>
      <c r="M1066" s="6" t="inlineStr">
        <is>
          <t>ANDE</t>
        </is>
      </c>
      <c r="N1066" s="6" t="inlineStr">
        <is>
          <t>OFFICIAL_PRIMARY</t>
        </is>
      </c>
      <c r="O1066" s="9" t="inlineStr">
        <is>
          <t>OFFICIAL_AGGREGATE</t>
        </is>
      </c>
      <c r="P1066" s="8" t="n">
        <v>1</v>
      </c>
      <c r="Q1066" s="8" t="n">
        <v>95</v>
      </c>
      <c r="R1066" s="7" t="inlineStr">
        <is>
          <t>https://www.ande.gov.py/finanzas/2.%20COMPILACION%20ESTADISTICA%202003-2023/ANDE%20-%20Compilacion%20Estadistica%202003-2023.pdf</t>
        </is>
      </c>
      <c r="S1066" s="6" t="inlineStr">
        <is>
          <t>ANDE-03-23</t>
        </is>
      </c>
      <c r="T1066" s="6" t="inlineStr"/>
      <c r="U1066" s="4" t="inlineStr">
        <is>
          <t>2026-09-11 00:05:00</t>
        </is>
      </c>
      <c r="V1066" s="4" t="inlineStr">
        <is>
          <t>Compilacion 2003-2023; prioridad canonica. Rupturas metodologicas de categorias en 2016/2017 documentadas por ANDE.</t>
        </is>
      </c>
    </row>
    <row r="1067">
      <c r="A1067" s="6" t="inlineStr">
        <is>
          <t>R0001183</t>
        </is>
      </c>
      <c r="B1067" s="6" t="inlineStr">
        <is>
          <t>2022-01-01</t>
        </is>
      </c>
      <c r="C1067" s="6" t="inlineStr">
        <is>
          <t>2022-12-31</t>
        </is>
      </c>
      <c r="D1067" s="6" t="inlineStr">
        <is>
          <t>year</t>
        </is>
      </c>
      <c r="E1067" s="6" t="inlineStr">
        <is>
          <t>ANDE_BILLED_GOV_ENERGY</t>
        </is>
      </c>
      <c r="F1067" s="6" t="inlineStr">
        <is>
          <t>PY_SIN</t>
        </is>
      </c>
      <c r="G1067" s="6" t="inlineStr">
        <is>
          <t>PY</t>
        </is>
      </c>
      <c r="H1067" s="6" t="inlineStr">
        <is>
          <t>PY</t>
        </is>
      </c>
      <c r="I1067" s="8" t="n">
        <v>378323</v>
      </c>
      <c r="J1067" s="6" t="inlineStr">
        <is>
          <t>MWh</t>
        </is>
      </c>
      <c r="K1067" s="8" t="n">
        <v>378323</v>
      </c>
      <c r="L1067" s="6" t="inlineStr">
        <is>
          <t>MWh</t>
        </is>
      </c>
      <c r="M1067" s="6" t="inlineStr">
        <is>
          <t>ANDE</t>
        </is>
      </c>
      <c r="N1067" s="6" t="inlineStr">
        <is>
          <t>OFFICIAL_PRIMARY</t>
        </is>
      </c>
      <c r="O1067" s="9" t="inlineStr">
        <is>
          <t>OFFICIAL_AGGREGATE</t>
        </is>
      </c>
      <c r="P1067" s="8" t="n">
        <v>1</v>
      </c>
      <c r="Q1067" s="8" t="n">
        <v>95</v>
      </c>
      <c r="R1067" s="7" t="inlineStr">
        <is>
          <t>https://www.ande.gov.py/finanzas/2.%20COMPILACION%20ESTADISTICA%202003-2023/ANDE%20-%20Compilacion%20Estadistica%202003-2023.pdf</t>
        </is>
      </c>
      <c r="S1067" s="6" t="inlineStr">
        <is>
          <t>ANDE-03-23</t>
        </is>
      </c>
      <c r="T1067" s="6" t="inlineStr"/>
      <c r="U1067" s="4" t="inlineStr">
        <is>
          <t>2026-09-11 00:05:00</t>
        </is>
      </c>
      <c r="V1067" s="4" t="inlineStr">
        <is>
          <t>Compilacion 2003-2023; prioridad canonica. Rupturas metodologicas de categorias en 2016/2017 documentadas por ANDE.</t>
        </is>
      </c>
    </row>
    <row r="1068">
      <c r="A1068" s="6" t="inlineStr">
        <is>
          <t>R0001184</t>
        </is>
      </c>
      <c r="B1068" s="6" t="inlineStr">
        <is>
          <t>2023-01-01</t>
        </is>
      </c>
      <c r="C1068" s="6" t="inlineStr">
        <is>
          <t>2023-12-31</t>
        </is>
      </c>
      <c r="D1068" s="6" t="inlineStr">
        <is>
          <t>year</t>
        </is>
      </c>
      <c r="E1068" s="6" t="inlineStr">
        <is>
          <t>ANDE_BILLED_GOV_ENERGY</t>
        </is>
      </c>
      <c r="F1068" s="6" t="inlineStr">
        <is>
          <t>PY_SIN</t>
        </is>
      </c>
      <c r="G1068" s="6" t="inlineStr">
        <is>
          <t>PY</t>
        </is>
      </c>
      <c r="H1068" s="6" t="inlineStr">
        <is>
          <t>PY</t>
        </is>
      </c>
      <c r="I1068" s="8" t="n">
        <v>423405</v>
      </c>
      <c r="J1068" s="6" t="inlineStr">
        <is>
          <t>MWh</t>
        </is>
      </c>
      <c r="K1068" s="8" t="n">
        <v>423405</v>
      </c>
      <c r="L1068" s="6" t="inlineStr">
        <is>
          <t>MWh</t>
        </is>
      </c>
      <c r="M1068" s="6" t="inlineStr">
        <is>
          <t>ANDE</t>
        </is>
      </c>
      <c r="N1068" s="6" t="inlineStr">
        <is>
          <t>OFFICIAL_PRIMARY</t>
        </is>
      </c>
      <c r="O1068" s="9" t="inlineStr">
        <is>
          <t>OFFICIAL_AGGREGATE</t>
        </is>
      </c>
      <c r="P1068" s="8" t="n">
        <v>1</v>
      </c>
      <c r="Q1068" s="8" t="n">
        <v>95</v>
      </c>
      <c r="R1068" s="7" t="inlineStr">
        <is>
          <t>https://www.ande.gov.py/finanzas/2.%20COMPILACION%20ESTADISTICA%202003-2023/ANDE%20-%20Compilacion%20Estadistica%202003-2023.pdf</t>
        </is>
      </c>
      <c r="S1068" s="6" t="inlineStr">
        <is>
          <t>ANDE-03-23</t>
        </is>
      </c>
      <c r="T1068" s="6" t="inlineStr"/>
      <c r="U1068" s="4" t="inlineStr">
        <is>
          <t>2026-09-11 00:05:00</t>
        </is>
      </c>
      <c r="V1068" s="4" t="inlineStr">
        <is>
          <t>Compilacion 2003-2023; prioridad canonica. Rupturas metodologicas de categorias en 2016/2017 documentadas por ANDE.</t>
        </is>
      </c>
    </row>
    <row r="1069">
      <c r="A1069" s="6" t="inlineStr">
        <is>
          <t>R0001185</t>
        </is>
      </c>
      <c r="B1069" s="6" t="inlineStr">
        <is>
          <t>2003-01-01</t>
        </is>
      </c>
      <c r="C1069" s="6" t="inlineStr">
        <is>
          <t>2003-12-31</t>
        </is>
      </c>
      <c r="D1069" s="6" t="inlineStr">
        <is>
          <t>year</t>
        </is>
      </c>
      <c r="E1069" s="6" t="inlineStr">
        <is>
          <t>ANDE_BILLED_PUBLIC_LIGHT_ENERGY</t>
        </is>
      </c>
      <c r="F1069" s="6" t="inlineStr">
        <is>
          <t>PY_SIN</t>
        </is>
      </c>
      <c r="G1069" s="6" t="inlineStr">
        <is>
          <t>PY</t>
        </is>
      </c>
      <c r="H1069" s="6" t="inlineStr">
        <is>
          <t>PY</t>
        </is>
      </c>
      <c r="I1069" s="8" t="n">
        <v>129070</v>
      </c>
      <c r="J1069" s="6" t="inlineStr">
        <is>
          <t>MWh</t>
        </is>
      </c>
      <c r="K1069" s="8" t="n">
        <v>129070</v>
      </c>
      <c r="L1069" s="6" t="inlineStr">
        <is>
          <t>MWh</t>
        </is>
      </c>
      <c r="M1069" s="6" t="inlineStr">
        <is>
          <t>ANDE</t>
        </is>
      </c>
      <c r="N1069" s="6" t="inlineStr">
        <is>
          <t>OFFICIAL_PRIMARY</t>
        </is>
      </c>
      <c r="O1069" s="9" t="inlineStr">
        <is>
          <t>OFFICIAL_AGGREGATE</t>
        </is>
      </c>
      <c r="P1069" s="8" t="n">
        <v>1</v>
      </c>
      <c r="Q1069" s="8" t="n">
        <v>95</v>
      </c>
      <c r="R1069" s="7" t="inlineStr">
        <is>
          <t>https://www.ande.gov.py/finanzas/2.%20COMPILACION%20ESTADISTICA%202003-2023/ANDE%20-%20Compilacion%20Estadistica%202003-2023.pdf</t>
        </is>
      </c>
      <c r="S1069" s="6" t="inlineStr">
        <is>
          <t>ANDE-03-23</t>
        </is>
      </c>
      <c r="T1069" s="6" t="inlineStr"/>
      <c r="U1069" s="4" t="inlineStr">
        <is>
          <t>2026-09-11 00:05:00</t>
        </is>
      </c>
      <c r="V1069" s="4" t="inlineStr">
        <is>
          <t>Compilacion 2003-2023; prioridad canonica. Rupturas metodologicas de categorias en 2016/2017 documentadas por ANDE.</t>
        </is>
      </c>
    </row>
    <row r="1070">
      <c r="A1070" s="6" t="inlineStr">
        <is>
          <t>R0001186</t>
        </is>
      </c>
      <c r="B1070" s="6" t="inlineStr">
        <is>
          <t>2004-01-01</t>
        </is>
      </c>
      <c r="C1070" s="6" t="inlineStr">
        <is>
          <t>2004-12-31</t>
        </is>
      </c>
      <c r="D1070" s="6" t="inlineStr">
        <is>
          <t>year</t>
        </is>
      </c>
      <c r="E1070" s="6" t="inlineStr">
        <is>
          <t>ANDE_BILLED_PUBLIC_LIGHT_ENERGY</t>
        </is>
      </c>
      <c r="F1070" s="6" t="inlineStr">
        <is>
          <t>PY_SIN</t>
        </is>
      </c>
      <c r="G1070" s="6" t="inlineStr">
        <is>
          <t>PY</t>
        </is>
      </c>
      <c r="H1070" s="6" t="inlineStr">
        <is>
          <t>PY</t>
        </is>
      </c>
      <c r="I1070" s="8" t="n">
        <v>131511</v>
      </c>
      <c r="J1070" s="6" t="inlineStr">
        <is>
          <t>MWh</t>
        </is>
      </c>
      <c r="K1070" s="8" t="n">
        <v>131511</v>
      </c>
      <c r="L1070" s="6" t="inlineStr">
        <is>
          <t>MWh</t>
        </is>
      </c>
      <c r="M1070" s="6" t="inlineStr">
        <is>
          <t>ANDE</t>
        </is>
      </c>
      <c r="N1070" s="6" t="inlineStr">
        <is>
          <t>OFFICIAL_PRIMARY</t>
        </is>
      </c>
      <c r="O1070" s="9" t="inlineStr">
        <is>
          <t>OFFICIAL_AGGREGATE</t>
        </is>
      </c>
      <c r="P1070" s="8" t="n">
        <v>1</v>
      </c>
      <c r="Q1070" s="8" t="n">
        <v>95</v>
      </c>
      <c r="R1070" s="7" t="inlineStr">
        <is>
          <t>https://www.ande.gov.py/finanzas/2.%20COMPILACION%20ESTADISTICA%202003-2023/ANDE%20-%20Compilacion%20Estadistica%202003-2023.pdf</t>
        </is>
      </c>
      <c r="S1070" s="6" t="inlineStr">
        <is>
          <t>ANDE-03-23</t>
        </is>
      </c>
      <c r="T1070" s="6" t="inlineStr"/>
      <c r="U1070" s="4" t="inlineStr">
        <is>
          <t>2026-09-11 00:05:00</t>
        </is>
      </c>
      <c r="V1070" s="4" t="inlineStr">
        <is>
          <t>Compilacion 2003-2023; prioridad canonica. Rupturas metodologicas de categorias en 2016/2017 documentadas por ANDE.</t>
        </is>
      </c>
    </row>
    <row r="1071">
      <c r="A1071" s="6" t="inlineStr">
        <is>
          <t>R0001187</t>
        </is>
      </c>
      <c r="B1071" s="6" t="inlineStr">
        <is>
          <t>2005-01-01</t>
        </is>
      </c>
      <c r="C1071" s="6" t="inlineStr">
        <is>
          <t>2005-12-31</t>
        </is>
      </c>
      <c r="D1071" s="6" t="inlineStr">
        <is>
          <t>year</t>
        </is>
      </c>
      <c r="E1071" s="6" t="inlineStr">
        <is>
          <t>ANDE_BILLED_PUBLIC_LIGHT_ENERGY</t>
        </is>
      </c>
      <c r="F1071" s="6" t="inlineStr">
        <is>
          <t>PY_SIN</t>
        </is>
      </c>
      <c r="G1071" s="6" t="inlineStr">
        <is>
          <t>PY</t>
        </is>
      </c>
      <c r="H1071" s="6" t="inlineStr">
        <is>
          <t>PY</t>
        </is>
      </c>
      <c r="I1071" s="8" t="n">
        <v>137299</v>
      </c>
      <c r="J1071" s="6" t="inlineStr">
        <is>
          <t>MWh</t>
        </is>
      </c>
      <c r="K1071" s="8" t="n">
        <v>137299</v>
      </c>
      <c r="L1071" s="6" t="inlineStr">
        <is>
          <t>MWh</t>
        </is>
      </c>
      <c r="M1071" s="6" t="inlineStr">
        <is>
          <t>ANDE</t>
        </is>
      </c>
      <c r="N1071" s="6" t="inlineStr">
        <is>
          <t>OFFICIAL_PRIMARY</t>
        </is>
      </c>
      <c r="O1071" s="9" t="inlineStr">
        <is>
          <t>OFFICIAL_AGGREGATE</t>
        </is>
      </c>
      <c r="P1071" s="8" t="n">
        <v>1</v>
      </c>
      <c r="Q1071" s="8" t="n">
        <v>95</v>
      </c>
      <c r="R1071" s="7" t="inlineStr">
        <is>
          <t>https://www.ande.gov.py/finanzas/2.%20COMPILACION%20ESTADISTICA%202003-2023/ANDE%20-%20Compilacion%20Estadistica%202003-2023.pdf</t>
        </is>
      </c>
      <c r="S1071" s="6" t="inlineStr">
        <is>
          <t>ANDE-03-23</t>
        </is>
      </c>
      <c r="T1071" s="6" t="inlineStr"/>
      <c r="U1071" s="4" t="inlineStr">
        <is>
          <t>2026-09-11 00:05:00</t>
        </is>
      </c>
      <c r="V1071" s="4" t="inlineStr">
        <is>
          <t>Compilacion 2003-2023; prioridad canonica. Rupturas metodologicas de categorias en 2016/2017 documentadas por ANDE.</t>
        </is>
      </c>
    </row>
    <row r="1072">
      <c r="A1072" s="6" t="inlineStr">
        <is>
          <t>R0001188</t>
        </is>
      </c>
      <c r="B1072" s="6" t="inlineStr">
        <is>
          <t>2006-01-01</t>
        </is>
      </c>
      <c r="C1072" s="6" t="inlineStr">
        <is>
          <t>2006-12-31</t>
        </is>
      </c>
      <c r="D1072" s="6" t="inlineStr">
        <is>
          <t>year</t>
        </is>
      </c>
      <c r="E1072" s="6" t="inlineStr">
        <is>
          <t>ANDE_BILLED_PUBLIC_LIGHT_ENERGY</t>
        </is>
      </c>
      <c r="F1072" s="6" t="inlineStr">
        <is>
          <t>PY_SIN</t>
        </is>
      </c>
      <c r="G1072" s="6" t="inlineStr">
        <is>
          <t>PY</t>
        </is>
      </c>
      <c r="H1072" s="6" t="inlineStr">
        <is>
          <t>PY</t>
        </is>
      </c>
      <c r="I1072" s="8" t="n">
        <v>138955</v>
      </c>
      <c r="J1072" s="6" t="inlineStr">
        <is>
          <t>MWh</t>
        </is>
      </c>
      <c r="K1072" s="8" t="n">
        <v>138955</v>
      </c>
      <c r="L1072" s="6" t="inlineStr">
        <is>
          <t>MWh</t>
        </is>
      </c>
      <c r="M1072" s="6" t="inlineStr">
        <is>
          <t>ANDE</t>
        </is>
      </c>
      <c r="N1072" s="6" t="inlineStr">
        <is>
          <t>OFFICIAL_PRIMARY</t>
        </is>
      </c>
      <c r="O1072" s="9" t="inlineStr">
        <is>
          <t>OFFICIAL_AGGREGATE</t>
        </is>
      </c>
      <c r="P1072" s="8" t="n">
        <v>1</v>
      </c>
      <c r="Q1072" s="8" t="n">
        <v>95</v>
      </c>
      <c r="R1072" s="7" t="inlineStr">
        <is>
          <t>https://www.ande.gov.py/finanzas/2.%20COMPILACION%20ESTADISTICA%202003-2023/ANDE%20-%20Compilacion%20Estadistica%202003-2023.pdf</t>
        </is>
      </c>
      <c r="S1072" s="6" t="inlineStr">
        <is>
          <t>ANDE-03-23</t>
        </is>
      </c>
      <c r="T1072" s="6" t="inlineStr"/>
      <c r="U1072" s="4" t="inlineStr">
        <is>
          <t>2026-09-11 00:05:00</t>
        </is>
      </c>
      <c r="V1072" s="4" t="inlineStr">
        <is>
          <t>Compilacion 2003-2023; prioridad canonica. Rupturas metodologicas de categorias en 2016/2017 documentadas por ANDE.</t>
        </is>
      </c>
    </row>
    <row r="1073">
      <c r="A1073" s="6" t="inlineStr">
        <is>
          <t>R0001189</t>
        </is>
      </c>
      <c r="B1073" s="6" t="inlineStr">
        <is>
          <t>2007-01-01</t>
        </is>
      </c>
      <c r="C1073" s="6" t="inlineStr">
        <is>
          <t>2007-12-31</t>
        </is>
      </c>
      <c r="D1073" s="6" t="inlineStr">
        <is>
          <t>year</t>
        </is>
      </c>
      <c r="E1073" s="6" t="inlineStr">
        <is>
          <t>ANDE_BILLED_PUBLIC_LIGHT_ENERGY</t>
        </is>
      </c>
      <c r="F1073" s="6" t="inlineStr">
        <is>
          <t>PY_SIN</t>
        </is>
      </c>
      <c r="G1073" s="6" t="inlineStr">
        <is>
          <t>PY</t>
        </is>
      </c>
      <c r="H1073" s="6" t="inlineStr">
        <is>
          <t>PY</t>
        </is>
      </c>
      <c r="I1073" s="8" t="n">
        <v>141893</v>
      </c>
      <c r="J1073" s="6" t="inlineStr">
        <is>
          <t>MWh</t>
        </is>
      </c>
      <c r="K1073" s="8" t="n">
        <v>141893</v>
      </c>
      <c r="L1073" s="6" t="inlineStr">
        <is>
          <t>MWh</t>
        </is>
      </c>
      <c r="M1073" s="6" t="inlineStr">
        <is>
          <t>ANDE</t>
        </is>
      </c>
      <c r="N1073" s="6" t="inlineStr">
        <is>
          <t>OFFICIAL_PRIMARY</t>
        </is>
      </c>
      <c r="O1073" s="9" t="inlineStr">
        <is>
          <t>OFFICIAL_AGGREGATE</t>
        </is>
      </c>
      <c r="P1073" s="8" t="n">
        <v>1</v>
      </c>
      <c r="Q1073" s="8" t="n">
        <v>95</v>
      </c>
      <c r="R1073" s="7" t="inlineStr">
        <is>
          <t>https://www.ande.gov.py/finanzas/2.%20COMPILACION%20ESTADISTICA%202003-2023/ANDE%20-%20Compilacion%20Estadistica%202003-2023.pdf</t>
        </is>
      </c>
      <c r="S1073" s="6" t="inlineStr">
        <is>
          <t>ANDE-03-23</t>
        </is>
      </c>
      <c r="T1073" s="6" t="inlineStr"/>
      <c r="U1073" s="4" t="inlineStr">
        <is>
          <t>2026-09-11 00:05:00</t>
        </is>
      </c>
      <c r="V1073" s="4" t="inlineStr">
        <is>
          <t>Compilacion 2003-2023; prioridad canonica. Rupturas metodologicas de categorias en 2016/2017 documentadas por ANDE.</t>
        </is>
      </c>
    </row>
    <row r="1074">
      <c r="A1074" s="6" t="inlineStr">
        <is>
          <t>R0001190</t>
        </is>
      </c>
      <c r="B1074" s="6" t="inlineStr">
        <is>
          <t>2008-01-01</t>
        </is>
      </c>
      <c r="C1074" s="6" t="inlineStr">
        <is>
          <t>2008-12-31</t>
        </is>
      </c>
      <c r="D1074" s="6" t="inlineStr">
        <is>
          <t>year</t>
        </is>
      </c>
      <c r="E1074" s="6" t="inlineStr">
        <is>
          <t>ANDE_BILLED_PUBLIC_LIGHT_ENERGY</t>
        </is>
      </c>
      <c r="F1074" s="6" t="inlineStr">
        <is>
          <t>PY_SIN</t>
        </is>
      </c>
      <c r="G1074" s="6" t="inlineStr">
        <is>
          <t>PY</t>
        </is>
      </c>
      <c r="H1074" s="6" t="inlineStr">
        <is>
          <t>PY</t>
        </is>
      </c>
      <c r="I1074" s="8" t="n">
        <v>149672</v>
      </c>
      <c r="J1074" s="6" t="inlineStr">
        <is>
          <t>MWh</t>
        </is>
      </c>
      <c r="K1074" s="8" t="n">
        <v>149672</v>
      </c>
      <c r="L1074" s="6" t="inlineStr">
        <is>
          <t>MWh</t>
        </is>
      </c>
      <c r="M1074" s="6" t="inlineStr">
        <is>
          <t>ANDE</t>
        </is>
      </c>
      <c r="N1074" s="6" t="inlineStr">
        <is>
          <t>OFFICIAL_PRIMARY</t>
        </is>
      </c>
      <c r="O1074" s="9" t="inlineStr">
        <is>
          <t>OFFICIAL_AGGREGATE</t>
        </is>
      </c>
      <c r="P1074" s="8" t="n">
        <v>1</v>
      </c>
      <c r="Q1074" s="8" t="n">
        <v>95</v>
      </c>
      <c r="R1074" s="7" t="inlineStr">
        <is>
          <t>https://www.ande.gov.py/finanzas/2.%20COMPILACION%20ESTADISTICA%202003-2023/ANDE%20-%20Compilacion%20Estadistica%202003-2023.pdf</t>
        </is>
      </c>
      <c r="S1074" s="6" t="inlineStr">
        <is>
          <t>ANDE-03-23</t>
        </is>
      </c>
      <c r="T1074" s="6" t="inlineStr"/>
      <c r="U1074" s="4" t="inlineStr">
        <is>
          <t>2026-09-11 00:05:00</t>
        </is>
      </c>
      <c r="V1074" s="4" t="inlineStr">
        <is>
          <t>Compilacion 2003-2023; prioridad canonica. Rupturas metodologicas de categorias en 2016/2017 documentadas por ANDE.</t>
        </is>
      </c>
    </row>
    <row r="1075">
      <c r="A1075" s="6" t="inlineStr">
        <is>
          <t>R0001191</t>
        </is>
      </c>
      <c r="B1075" s="6" t="inlineStr">
        <is>
          <t>2009-01-01</t>
        </is>
      </c>
      <c r="C1075" s="6" t="inlineStr">
        <is>
          <t>2009-12-31</t>
        </is>
      </c>
      <c r="D1075" s="6" t="inlineStr">
        <is>
          <t>year</t>
        </is>
      </c>
      <c r="E1075" s="6" t="inlineStr">
        <is>
          <t>ANDE_BILLED_PUBLIC_LIGHT_ENERGY</t>
        </is>
      </c>
      <c r="F1075" s="6" t="inlineStr">
        <is>
          <t>PY_SIN</t>
        </is>
      </c>
      <c r="G1075" s="6" t="inlineStr">
        <is>
          <t>PY</t>
        </is>
      </c>
      <c r="H1075" s="6" t="inlineStr">
        <is>
          <t>PY</t>
        </is>
      </c>
      <c r="I1075" s="8" t="n">
        <v>164776</v>
      </c>
      <c r="J1075" s="6" t="inlineStr">
        <is>
          <t>MWh</t>
        </is>
      </c>
      <c r="K1075" s="8" t="n">
        <v>164776</v>
      </c>
      <c r="L1075" s="6" t="inlineStr">
        <is>
          <t>MWh</t>
        </is>
      </c>
      <c r="M1075" s="6" t="inlineStr">
        <is>
          <t>ANDE</t>
        </is>
      </c>
      <c r="N1075" s="6" t="inlineStr">
        <is>
          <t>OFFICIAL_PRIMARY</t>
        </is>
      </c>
      <c r="O1075" s="9" t="inlineStr">
        <is>
          <t>OFFICIAL_AGGREGATE</t>
        </is>
      </c>
      <c r="P1075" s="8" t="n">
        <v>1</v>
      </c>
      <c r="Q1075" s="8" t="n">
        <v>95</v>
      </c>
      <c r="R1075" s="7" t="inlineStr">
        <is>
          <t>https://www.ande.gov.py/finanzas/2.%20COMPILACION%20ESTADISTICA%202003-2023/ANDE%20-%20Compilacion%20Estadistica%202003-2023.pdf</t>
        </is>
      </c>
      <c r="S1075" s="6" t="inlineStr">
        <is>
          <t>ANDE-03-23</t>
        </is>
      </c>
      <c r="T1075" s="6" t="inlineStr"/>
      <c r="U1075" s="4" t="inlineStr">
        <is>
          <t>2026-09-11 00:05:00</t>
        </is>
      </c>
      <c r="V1075" s="4" t="inlineStr">
        <is>
          <t>Compilacion 2003-2023; prioridad canonica. Rupturas metodologicas de categorias en 2016/2017 documentadas por ANDE.</t>
        </is>
      </c>
    </row>
    <row r="1076">
      <c r="A1076" s="6" t="inlineStr">
        <is>
          <t>R0001192</t>
        </is>
      </c>
      <c r="B1076" s="6" t="inlineStr">
        <is>
          <t>2010-01-01</t>
        </is>
      </c>
      <c r="C1076" s="6" t="inlineStr">
        <is>
          <t>2010-12-31</t>
        </is>
      </c>
      <c r="D1076" s="6" t="inlineStr">
        <is>
          <t>year</t>
        </is>
      </c>
      <c r="E1076" s="6" t="inlineStr">
        <is>
          <t>ANDE_BILLED_PUBLIC_LIGHT_ENERGY</t>
        </is>
      </c>
      <c r="F1076" s="6" t="inlineStr">
        <is>
          <t>PY_SIN</t>
        </is>
      </c>
      <c r="G1076" s="6" t="inlineStr">
        <is>
          <t>PY</t>
        </is>
      </c>
      <c r="H1076" s="6" t="inlineStr">
        <is>
          <t>PY</t>
        </is>
      </c>
      <c r="I1076" s="8" t="n">
        <v>159696</v>
      </c>
      <c r="J1076" s="6" t="inlineStr">
        <is>
          <t>MWh</t>
        </is>
      </c>
      <c r="K1076" s="8" t="n">
        <v>159696</v>
      </c>
      <c r="L1076" s="6" t="inlineStr">
        <is>
          <t>MWh</t>
        </is>
      </c>
      <c r="M1076" s="6" t="inlineStr">
        <is>
          <t>ANDE</t>
        </is>
      </c>
      <c r="N1076" s="6" t="inlineStr">
        <is>
          <t>OFFICIAL_PRIMARY</t>
        </is>
      </c>
      <c r="O1076" s="9" t="inlineStr">
        <is>
          <t>OFFICIAL_AGGREGATE</t>
        </is>
      </c>
      <c r="P1076" s="8" t="n">
        <v>1</v>
      </c>
      <c r="Q1076" s="8" t="n">
        <v>95</v>
      </c>
      <c r="R1076" s="7" t="inlineStr">
        <is>
          <t>https://www.ande.gov.py/finanzas/2.%20COMPILACION%20ESTADISTICA%202003-2023/ANDE%20-%20Compilacion%20Estadistica%202003-2023.pdf</t>
        </is>
      </c>
      <c r="S1076" s="6" t="inlineStr">
        <is>
          <t>ANDE-03-23</t>
        </is>
      </c>
      <c r="T1076" s="6" t="inlineStr"/>
      <c r="U1076" s="4" t="inlineStr">
        <is>
          <t>2026-09-11 00:05:00</t>
        </is>
      </c>
      <c r="V1076" s="4" t="inlineStr">
        <is>
          <t>Compilacion 2003-2023; prioridad canonica. Rupturas metodologicas de categorias en 2016/2017 documentadas por ANDE.</t>
        </is>
      </c>
    </row>
    <row r="1077">
      <c r="A1077" s="6" t="inlineStr">
        <is>
          <t>R0001193</t>
        </is>
      </c>
      <c r="B1077" s="6" t="inlineStr">
        <is>
          <t>2011-01-01</t>
        </is>
      </c>
      <c r="C1077" s="6" t="inlineStr">
        <is>
          <t>2011-12-31</t>
        </is>
      </c>
      <c r="D1077" s="6" t="inlineStr">
        <is>
          <t>year</t>
        </is>
      </c>
      <c r="E1077" s="6" t="inlineStr">
        <is>
          <t>ANDE_BILLED_PUBLIC_LIGHT_ENERGY</t>
        </is>
      </c>
      <c r="F1077" s="6" t="inlineStr">
        <is>
          <t>PY_SIN</t>
        </is>
      </c>
      <c r="G1077" s="6" t="inlineStr">
        <is>
          <t>PY</t>
        </is>
      </c>
      <c r="H1077" s="6" t="inlineStr">
        <is>
          <t>PY</t>
        </is>
      </c>
      <c r="I1077" s="8" t="n">
        <v>169722</v>
      </c>
      <c r="J1077" s="6" t="inlineStr">
        <is>
          <t>MWh</t>
        </is>
      </c>
      <c r="K1077" s="8" t="n">
        <v>169722</v>
      </c>
      <c r="L1077" s="6" t="inlineStr">
        <is>
          <t>MWh</t>
        </is>
      </c>
      <c r="M1077" s="6" t="inlineStr">
        <is>
          <t>ANDE</t>
        </is>
      </c>
      <c r="N1077" s="6" t="inlineStr">
        <is>
          <t>OFFICIAL_PRIMARY</t>
        </is>
      </c>
      <c r="O1077" s="9" t="inlineStr">
        <is>
          <t>OFFICIAL_AGGREGATE</t>
        </is>
      </c>
      <c r="P1077" s="8" t="n">
        <v>1</v>
      </c>
      <c r="Q1077" s="8" t="n">
        <v>95</v>
      </c>
      <c r="R1077" s="7" t="inlineStr">
        <is>
          <t>https://www.ande.gov.py/finanzas/2.%20COMPILACION%20ESTADISTICA%202003-2023/ANDE%20-%20Compilacion%20Estadistica%202003-2023.pdf</t>
        </is>
      </c>
      <c r="S1077" s="6" t="inlineStr">
        <is>
          <t>ANDE-03-23</t>
        </is>
      </c>
      <c r="T1077" s="6" t="inlineStr"/>
      <c r="U1077" s="4" t="inlineStr">
        <is>
          <t>2026-09-11 00:05:00</t>
        </is>
      </c>
      <c r="V1077" s="4" t="inlineStr">
        <is>
          <t>Compilacion 2003-2023; prioridad canonica. Rupturas metodologicas de categorias en 2016/2017 documentadas por ANDE.</t>
        </is>
      </c>
    </row>
    <row r="1078">
      <c r="A1078" s="6" t="inlineStr">
        <is>
          <t>R0001194</t>
        </is>
      </c>
      <c r="B1078" s="6" t="inlineStr">
        <is>
          <t>2012-01-01</t>
        </is>
      </c>
      <c r="C1078" s="6" t="inlineStr">
        <is>
          <t>2012-12-31</t>
        </is>
      </c>
      <c r="D1078" s="6" t="inlineStr">
        <is>
          <t>year</t>
        </is>
      </c>
      <c r="E1078" s="6" t="inlineStr">
        <is>
          <t>ANDE_BILLED_PUBLIC_LIGHT_ENERGY</t>
        </is>
      </c>
      <c r="F1078" s="6" t="inlineStr">
        <is>
          <t>PY_SIN</t>
        </is>
      </c>
      <c r="G1078" s="6" t="inlineStr">
        <is>
          <t>PY</t>
        </is>
      </c>
      <c r="H1078" s="6" t="inlineStr">
        <is>
          <t>PY</t>
        </is>
      </c>
      <c r="I1078" s="8" t="n">
        <v>177449</v>
      </c>
      <c r="J1078" s="6" t="inlineStr">
        <is>
          <t>MWh</t>
        </is>
      </c>
      <c r="K1078" s="8" t="n">
        <v>177449</v>
      </c>
      <c r="L1078" s="6" t="inlineStr">
        <is>
          <t>MWh</t>
        </is>
      </c>
      <c r="M1078" s="6" t="inlineStr">
        <is>
          <t>ANDE</t>
        </is>
      </c>
      <c r="N1078" s="6" t="inlineStr">
        <is>
          <t>OFFICIAL_PRIMARY</t>
        </is>
      </c>
      <c r="O1078" s="9" t="inlineStr">
        <is>
          <t>OFFICIAL_AGGREGATE</t>
        </is>
      </c>
      <c r="P1078" s="8" t="n">
        <v>1</v>
      </c>
      <c r="Q1078" s="8" t="n">
        <v>95</v>
      </c>
      <c r="R1078" s="7" t="inlineStr">
        <is>
          <t>https://www.ande.gov.py/finanzas/2.%20COMPILACION%20ESTADISTICA%202003-2023/ANDE%20-%20Compilacion%20Estadistica%202003-2023.pdf</t>
        </is>
      </c>
      <c r="S1078" s="6" t="inlineStr">
        <is>
          <t>ANDE-03-23</t>
        </is>
      </c>
      <c r="T1078" s="6" t="inlineStr"/>
      <c r="U1078" s="4" t="inlineStr">
        <is>
          <t>2026-09-11 00:05:00</t>
        </is>
      </c>
      <c r="V1078" s="4" t="inlineStr">
        <is>
          <t>Compilacion 2003-2023; prioridad canonica. Rupturas metodologicas de categorias en 2016/2017 documentadas por ANDE.</t>
        </is>
      </c>
    </row>
    <row r="1079">
      <c r="A1079" s="6" t="inlineStr">
        <is>
          <t>R0001195</t>
        </is>
      </c>
      <c r="B1079" s="6" t="inlineStr">
        <is>
          <t>2013-01-01</t>
        </is>
      </c>
      <c r="C1079" s="6" t="inlineStr">
        <is>
          <t>2013-12-31</t>
        </is>
      </c>
      <c r="D1079" s="6" t="inlineStr">
        <is>
          <t>year</t>
        </is>
      </c>
      <c r="E1079" s="6" t="inlineStr">
        <is>
          <t>ANDE_BILLED_PUBLIC_LIGHT_ENERGY</t>
        </is>
      </c>
      <c r="F1079" s="6" t="inlineStr">
        <is>
          <t>PY_SIN</t>
        </is>
      </c>
      <c r="G1079" s="6" t="inlineStr">
        <is>
          <t>PY</t>
        </is>
      </c>
      <c r="H1079" s="6" t="inlineStr">
        <is>
          <t>PY</t>
        </is>
      </c>
      <c r="I1079" s="8" t="n">
        <v>204655</v>
      </c>
      <c r="J1079" s="6" t="inlineStr">
        <is>
          <t>MWh</t>
        </is>
      </c>
      <c r="K1079" s="8" t="n">
        <v>204655</v>
      </c>
      <c r="L1079" s="6" t="inlineStr">
        <is>
          <t>MWh</t>
        </is>
      </c>
      <c r="M1079" s="6" t="inlineStr">
        <is>
          <t>ANDE</t>
        </is>
      </c>
      <c r="N1079" s="6" t="inlineStr">
        <is>
          <t>OFFICIAL_PRIMARY</t>
        </is>
      </c>
      <c r="O1079" s="9" t="inlineStr">
        <is>
          <t>OFFICIAL_AGGREGATE</t>
        </is>
      </c>
      <c r="P1079" s="8" t="n">
        <v>1</v>
      </c>
      <c r="Q1079" s="8" t="n">
        <v>95</v>
      </c>
      <c r="R1079" s="7" t="inlineStr">
        <is>
          <t>https://www.ande.gov.py/finanzas/2.%20COMPILACION%20ESTADISTICA%202003-2023/ANDE%20-%20Compilacion%20Estadistica%202003-2023.pdf</t>
        </is>
      </c>
      <c r="S1079" s="6" t="inlineStr">
        <is>
          <t>ANDE-03-23</t>
        </is>
      </c>
      <c r="T1079" s="6" t="inlineStr"/>
      <c r="U1079" s="4" t="inlineStr">
        <is>
          <t>2026-09-11 00:05:00</t>
        </is>
      </c>
      <c r="V1079" s="4" t="inlineStr">
        <is>
          <t>Compilacion 2003-2023; prioridad canonica. Rupturas metodologicas de categorias en 2016/2017 documentadas por ANDE.</t>
        </is>
      </c>
    </row>
    <row r="1080">
      <c r="A1080" s="6" t="inlineStr">
        <is>
          <t>R0001196</t>
        </is>
      </c>
      <c r="B1080" s="6" t="inlineStr">
        <is>
          <t>2014-01-01</t>
        </is>
      </c>
      <c r="C1080" s="6" t="inlineStr">
        <is>
          <t>2014-12-31</t>
        </is>
      </c>
      <c r="D1080" s="6" t="inlineStr">
        <is>
          <t>year</t>
        </is>
      </c>
      <c r="E1080" s="6" t="inlineStr">
        <is>
          <t>ANDE_BILLED_PUBLIC_LIGHT_ENERGY</t>
        </is>
      </c>
      <c r="F1080" s="6" t="inlineStr">
        <is>
          <t>PY_SIN</t>
        </is>
      </c>
      <c r="G1080" s="6" t="inlineStr">
        <is>
          <t>PY</t>
        </is>
      </c>
      <c r="H1080" s="6" t="inlineStr">
        <is>
          <t>PY</t>
        </is>
      </c>
      <c r="I1080" s="8" t="n">
        <v>232063</v>
      </c>
      <c r="J1080" s="6" t="inlineStr">
        <is>
          <t>MWh</t>
        </is>
      </c>
      <c r="K1080" s="8" t="n">
        <v>232063</v>
      </c>
      <c r="L1080" s="6" t="inlineStr">
        <is>
          <t>MWh</t>
        </is>
      </c>
      <c r="M1080" s="6" t="inlineStr">
        <is>
          <t>ANDE</t>
        </is>
      </c>
      <c r="N1080" s="6" t="inlineStr">
        <is>
          <t>OFFICIAL_PRIMARY</t>
        </is>
      </c>
      <c r="O1080" s="9" t="inlineStr">
        <is>
          <t>OFFICIAL_AGGREGATE</t>
        </is>
      </c>
      <c r="P1080" s="8" t="n">
        <v>1</v>
      </c>
      <c r="Q1080" s="8" t="n">
        <v>95</v>
      </c>
      <c r="R1080" s="7" t="inlineStr">
        <is>
          <t>https://www.ande.gov.py/finanzas/2.%20COMPILACION%20ESTADISTICA%202003-2023/ANDE%20-%20Compilacion%20Estadistica%202003-2023.pdf</t>
        </is>
      </c>
      <c r="S1080" s="6" t="inlineStr">
        <is>
          <t>ANDE-03-23</t>
        </is>
      </c>
      <c r="T1080" s="6" t="inlineStr"/>
      <c r="U1080" s="4" t="inlineStr">
        <is>
          <t>2026-09-11 00:05:00</t>
        </is>
      </c>
      <c r="V1080" s="4" t="inlineStr">
        <is>
          <t>Compilacion 2003-2023; prioridad canonica. Rupturas metodologicas de categorias en 2016/2017 documentadas por ANDE.</t>
        </is>
      </c>
    </row>
    <row r="1081">
      <c r="A1081" s="6" t="inlineStr">
        <is>
          <t>R0001197</t>
        </is>
      </c>
      <c r="B1081" s="6" t="inlineStr">
        <is>
          <t>2015-01-01</t>
        </is>
      </c>
      <c r="C1081" s="6" t="inlineStr">
        <is>
          <t>2015-12-31</t>
        </is>
      </c>
      <c r="D1081" s="6" t="inlineStr">
        <is>
          <t>year</t>
        </is>
      </c>
      <c r="E1081" s="6" t="inlineStr">
        <is>
          <t>ANDE_BILLED_PUBLIC_LIGHT_ENERGY</t>
        </is>
      </c>
      <c r="F1081" s="6" t="inlineStr">
        <is>
          <t>PY_SIN</t>
        </is>
      </c>
      <c r="G1081" s="6" t="inlineStr">
        <is>
          <t>PY</t>
        </is>
      </c>
      <c r="H1081" s="6" t="inlineStr">
        <is>
          <t>PY</t>
        </is>
      </c>
      <c r="I1081" s="8" t="n">
        <v>240669</v>
      </c>
      <c r="J1081" s="6" t="inlineStr">
        <is>
          <t>MWh</t>
        </is>
      </c>
      <c r="K1081" s="8" t="n">
        <v>240669</v>
      </c>
      <c r="L1081" s="6" t="inlineStr">
        <is>
          <t>MWh</t>
        </is>
      </c>
      <c r="M1081" s="6" t="inlineStr">
        <is>
          <t>ANDE</t>
        </is>
      </c>
      <c r="N1081" s="6" t="inlineStr">
        <is>
          <t>OFFICIAL_PRIMARY</t>
        </is>
      </c>
      <c r="O1081" s="9" t="inlineStr">
        <is>
          <t>OFFICIAL_AGGREGATE</t>
        </is>
      </c>
      <c r="P1081" s="8" t="n">
        <v>1</v>
      </c>
      <c r="Q1081" s="8" t="n">
        <v>95</v>
      </c>
      <c r="R1081" s="7" t="inlineStr">
        <is>
          <t>https://www.ande.gov.py/finanzas/2.%20COMPILACION%20ESTADISTICA%202003-2023/ANDE%20-%20Compilacion%20Estadistica%202003-2023.pdf</t>
        </is>
      </c>
      <c r="S1081" s="6" t="inlineStr">
        <is>
          <t>ANDE-03-23</t>
        </is>
      </c>
      <c r="T1081" s="6" t="inlineStr"/>
      <c r="U1081" s="4" t="inlineStr">
        <is>
          <t>2026-09-11 00:05:00</t>
        </is>
      </c>
      <c r="V1081" s="4" t="inlineStr">
        <is>
          <t>Compilacion 2003-2023; prioridad canonica. Rupturas metodologicas de categorias en 2016/2017 documentadas por ANDE.</t>
        </is>
      </c>
    </row>
    <row r="1082">
      <c r="A1082" s="6" t="inlineStr">
        <is>
          <t>R0001198</t>
        </is>
      </c>
      <c r="B1082" s="6" t="inlineStr">
        <is>
          <t>2016-01-01</t>
        </is>
      </c>
      <c r="C1082" s="6" t="inlineStr">
        <is>
          <t>2016-12-31</t>
        </is>
      </c>
      <c r="D1082" s="6" t="inlineStr">
        <is>
          <t>year</t>
        </is>
      </c>
      <c r="E1082" s="6" t="inlineStr">
        <is>
          <t>ANDE_BILLED_PUBLIC_LIGHT_ENERGY</t>
        </is>
      </c>
      <c r="F1082" s="6" t="inlineStr">
        <is>
          <t>PY_SIN</t>
        </is>
      </c>
      <c r="G1082" s="6" t="inlineStr">
        <is>
          <t>PY</t>
        </is>
      </c>
      <c r="H1082" s="6" t="inlineStr">
        <is>
          <t>PY</t>
        </is>
      </c>
      <c r="I1082" s="8" t="n">
        <v>245595</v>
      </c>
      <c r="J1082" s="6" t="inlineStr">
        <is>
          <t>MWh</t>
        </is>
      </c>
      <c r="K1082" s="8" t="n">
        <v>245595</v>
      </c>
      <c r="L1082" s="6" t="inlineStr">
        <is>
          <t>MWh</t>
        </is>
      </c>
      <c r="M1082" s="6" t="inlineStr">
        <is>
          <t>ANDE</t>
        </is>
      </c>
      <c r="N1082" s="6" t="inlineStr">
        <is>
          <t>OFFICIAL_PRIMARY</t>
        </is>
      </c>
      <c r="O1082" s="9" t="inlineStr">
        <is>
          <t>OFFICIAL_AGGREGATE</t>
        </is>
      </c>
      <c r="P1082" s="8" t="n">
        <v>1</v>
      </c>
      <c r="Q1082" s="8" t="n">
        <v>95</v>
      </c>
      <c r="R1082" s="7" t="inlineStr">
        <is>
          <t>https://www.ande.gov.py/finanzas/2.%20COMPILACION%20ESTADISTICA%202003-2023/ANDE%20-%20Compilacion%20Estadistica%202003-2023.pdf</t>
        </is>
      </c>
      <c r="S1082" s="6" t="inlineStr">
        <is>
          <t>ANDE-03-23</t>
        </is>
      </c>
      <c r="T1082" s="6" t="inlineStr"/>
      <c r="U1082" s="4" t="inlineStr">
        <is>
          <t>2026-09-11 00:05:00</t>
        </is>
      </c>
      <c r="V1082" s="4" t="inlineStr">
        <is>
          <t>Compilacion 2003-2023; prioridad canonica. Rupturas metodologicas de categorias en 2016/2017 documentadas por ANDE.</t>
        </is>
      </c>
    </row>
    <row r="1083">
      <c r="A1083" s="6" t="inlineStr">
        <is>
          <t>R0001199</t>
        </is>
      </c>
      <c r="B1083" s="6" t="inlineStr">
        <is>
          <t>2017-01-01</t>
        </is>
      </c>
      <c r="C1083" s="6" t="inlineStr">
        <is>
          <t>2017-12-31</t>
        </is>
      </c>
      <c r="D1083" s="6" t="inlineStr">
        <is>
          <t>year</t>
        </is>
      </c>
      <c r="E1083" s="6" t="inlineStr">
        <is>
          <t>ANDE_BILLED_PUBLIC_LIGHT_ENERGY</t>
        </is>
      </c>
      <c r="F1083" s="6" t="inlineStr">
        <is>
          <t>PY_SIN</t>
        </is>
      </c>
      <c r="G1083" s="6" t="inlineStr">
        <is>
          <t>PY</t>
        </is>
      </c>
      <c r="H1083" s="6" t="inlineStr">
        <is>
          <t>PY</t>
        </is>
      </c>
      <c r="I1083" s="8" t="n">
        <v>164004</v>
      </c>
      <c r="J1083" s="6" t="inlineStr">
        <is>
          <t>MWh</t>
        </is>
      </c>
      <c r="K1083" s="8" t="n">
        <v>164004</v>
      </c>
      <c r="L1083" s="6" t="inlineStr">
        <is>
          <t>MWh</t>
        </is>
      </c>
      <c r="M1083" s="6" t="inlineStr">
        <is>
          <t>ANDE</t>
        </is>
      </c>
      <c r="N1083" s="6" t="inlineStr">
        <is>
          <t>OFFICIAL_PRIMARY</t>
        </is>
      </c>
      <c r="O1083" s="9" t="inlineStr">
        <is>
          <t>OFFICIAL_AGGREGATE</t>
        </is>
      </c>
      <c r="P1083" s="8" t="n">
        <v>1</v>
      </c>
      <c r="Q1083" s="8" t="n">
        <v>95</v>
      </c>
      <c r="R1083" s="7" t="inlineStr">
        <is>
          <t>https://www.ande.gov.py/finanzas/2.%20COMPILACION%20ESTADISTICA%202003-2023/ANDE%20-%20Compilacion%20Estadistica%202003-2023.pdf</t>
        </is>
      </c>
      <c r="S1083" s="6" t="inlineStr">
        <is>
          <t>ANDE-03-23</t>
        </is>
      </c>
      <c r="T1083" s="6" t="inlineStr"/>
      <c r="U1083" s="4" t="inlineStr">
        <is>
          <t>2026-09-11 00:05:00</t>
        </is>
      </c>
      <c r="V1083" s="4" t="inlineStr">
        <is>
          <t>Compilacion 2003-2023; prioridad canonica. Rupturas metodologicas de categorias en 2016/2017 documentadas por ANDE.</t>
        </is>
      </c>
    </row>
    <row r="1084">
      <c r="A1084" s="6" t="inlineStr">
        <is>
          <t>R0001200</t>
        </is>
      </c>
      <c r="B1084" s="6" t="inlineStr">
        <is>
          <t>2018-01-01</t>
        </is>
      </c>
      <c r="C1084" s="6" t="inlineStr">
        <is>
          <t>2018-12-31</t>
        </is>
      </c>
      <c r="D1084" s="6" t="inlineStr">
        <is>
          <t>year</t>
        </is>
      </c>
      <c r="E1084" s="6" t="inlineStr">
        <is>
          <t>ANDE_BILLED_PUBLIC_LIGHT_ENERGY</t>
        </is>
      </c>
      <c r="F1084" s="6" t="inlineStr">
        <is>
          <t>PY_SIN</t>
        </is>
      </c>
      <c r="G1084" s="6" t="inlineStr">
        <is>
          <t>PY</t>
        </is>
      </c>
      <c r="H1084" s="6" t="inlineStr">
        <is>
          <t>PY</t>
        </is>
      </c>
      <c r="I1084" s="8" t="n">
        <v>171448</v>
      </c>
      <c r="J1084" s="6" t="inlineStr">
        <is>
          <t>MWh</t>
        </is>
      </c>
      <c r="K1084" s="8" t="n">
        <v>171448</v>
      </c>
      <c r="L1084" s="6" t="inlineStr">
        <is>
          <t>MWh</t>
        </is>
      </c>
      <c r="M1084" s="6" t="inlineStr">
        <is>
          <t>ANDE</t>
        </is>
      </c>
      <c r="N1084" s="6" t="inlineStr">
        <is>
          <t>OFFICIAL_PRIMARY</t>
        </is>
      </c>
      <c r="O1084" s="9" t="inlineStr">
        <is>
          <t>OFFICIAL_AGGREGATE</t>
        </is>
      </c>
      <c r="P1084" s="8" t="n">
        <v>1</v>
      </c>
      <c r="Q1084" s="8" t="n">
        <v>95</v>
      </c>
      <c r="R1084" s="7" t="inlineStr">
        <is>
          <t>https://www.ande.gov.py/finanzas/2.%20COMPILACION%20ESTADISTICA%202003-2023/ANDE%20-%20Compilacion%20Estadistica%202003-2023.pdf</t>
        </is>
      </c>
      <c r="S1084" s="6" t="inlineStr">
        <is>
          <t>ANDE-03-23</t>
        </is>
      </c>
      <c r="T1084" s="6" t="inlineStr"/>
      <c r="U1084" s="4" t="inlineStr">
        <is>
          <t>2026-09-11 00:05:00</t>
        </is>
      </c>
      <c r="V1084" s="4" t="inlineStr">
        <is>
          <t>Compilacion 2003-2023; prioridad canonica. Rupturas metodologicas de categorias en 2016/2017 documentadas por ANDE.</t>
        </is>
      </c>
    </row>
    <row r="1085">
      <c r="A1085" s="6" t="inlineStr">
        <is>
          <t>R0001201</t>
        </is>
      </c>
      <c r="B1085" s="6" t="inlineStr">
        <is>
          <t>2019-01-01</t>
        </is>
      </c>
      <c r="C1085" s="6" t="inlineStr">
        <is>
          <t>2019-12-31</t>
        </is>
      </c>
      <c r="D1085" s="6" t="inlineStr">
        <is>
          <t>year</t>
        </is>
      </c>
      <c r="E1085" s="6" t="inlineStr">
        <is>
          <t>ANDE_BILLED_PUBLIC_LIGHT_ENERGY</t>
        </is>
      </c>
      <c r="F1085" s="6" t="inlineStr">
        <is>
          <t>PY_SIN</t>
        </is>
      </c>
      <c r="G1085" s="6" t="inlineStr">
        <is>
          <t>PY</t>
        </is>
      </c>
      <c r="H1085" s="6" t="inlineStr">
        <is>
          <t>PY</t>
        </is>
      </c>
      <c r="I1085" s="8" t="n">
        <v>187814</v>
      </c>
      <c r="J1085" s="6" t="inlineStr">
        <is>
          <t>MWh</t>
        </is>
      </c>
      <c r="K1085" s="8" t="n">
        <v>187814</v>
      </c>
      <c r="L1085" s="6" t="inlineStr">
        <is>
          <t>MWh</t>
        </is>
      </c>
      <c r="M1085" s="6" t="inlineStr">
        <is>
          <t>ANDE</t>
        </is>
      </c>
      <c r="N1085" s="6" t="inlineStr">
        <is>
          <t>OFFICIAL_PRIMARY</t>
        </is>
      </c>
      <c r="O1085" s="9" t="inlineStr">
        <is>
          <t>OFFICIAL_AGGREGATE</t>
        </is>
      </c>
      <c r="P1085" s="8" t="n">
        <v>1</v>
      </c>
      <c r="Q1085" s="8" t="n">
        <v>95</v>
      </c>
      <c r="R1085" s="7" t="inlineStr">
        <is>
          <t>https://www.ande.gov.py/finanzas/2.%20COMPILACION%20ESTADISTICA%202003-2023/ANDE%20-%20Compilacion%20Estadistica%202003-2023.pdf</t>
        </is>
      </c>
      <c r="S1085" s="6" t="inlineStr">
        <is>
          <t>ANDE-03-23</t>
        </is>
      </c>
      <c r="T1085" s="6" t="inlineStr"/>
      <c r="U1085" s="4" t="inlineStr">
        <is>
          <t>2026-09-11 00:05:00</t>
        </is>
      </c>
      <c r="V1085" s="4" t="inlineStr">
        <is>
          <t>Compilacion 2003-2023; prioridad canonica. Rupturas metodologicas de categorias en 2016/2017 documentadas por ANDE.</t>
        </is>
      </c>
    </row>
    <row r="1086">
      <c r="A1086" s="6" t="inlineStr">
        <is>
          <t>R0001202</t>
        </is>
      </c>
      <c r="B1086" s="6" t="inlineStr">
        <is>
          <t>2020-01-01</t>
        </is>
      </c>
      <c r="C1086" s="6" t="inlineStr">
        <is>
          <t>2020-12-31</t>
        </is>
      </c>
      <c r="D1086" s="6" t="inlineStr">
        <is>
          <t>year</t>
        </is>
      </c>
      <c r="E1086" s="6" t="inlineStr">
        <is>
          <t>ANDE_BILLED_PUBLIC_LIGHT_ENERGY</t>
        </is>
      </c>
      <c r="F1086" s="6" t="inlineStr">
        <is>
          <t>PY_SIN</t>
        </is>
      </c>
      <c r="G1086" s="6" t="inlineStr">
        <is>
          <t>PY</t>
        </is>
      </c>
      <c r="H1086" s="6" t="inlineStr">
        <is>
          <t>PY</t>
        </is>
      </c>
      <c r="I1086" s="8" t="n">
        <v>209077</v>
      </c>
      <c r="J1086" s="6" t="inlineStr">
        <is>
          <t>MWh</t>
        </is>
      </c>
      <c r="K1086" s="8" t="n">
        <v>209077</v>
      </c>
      <c r="L1086" s="6" t="inlineStr">
        <is>
          <t>MWh</t>
        </is>
      </c>
      <c r="M1086" s="6" t="inlineStr">
        <is>
          <t>ANDE</t>
        </is>
      </c>
      <c r="N1086" s="6" t="inlineStr">
        <is>
          <t>OFFICIAL_PRIMARY</t>
        </is>
      </c>
      <c r="O1086" s="9" t="inlineStr">
        <is>
          <t>OFFICIAL_AGGREGATE</t>
        </is>
      </c>
      <c r="P1086" s="8" t="n">
        <v>1</v>
      </c>
      <c r="Q1086" s="8" t="n">
        <v>95</v>
      </c>
      <c r="R1086" s="7" t="inlineStr">
        <is>
          <t>https://www.ande.gov.py/finanzas/2.%20COMPILACION%20ESTADISTICA%202003-2023/ANDE%20-%20Compilacion%20Estadistica%202003-2023.pdf</t>
        </is>
      </c>
      <c r="S1086" s="6" t="inlineStr">
        <is>
          <t>ANDE-03-23</t>
        </is>
      </c>
      <c r="T1086" s="6" t="inlineStr"/>
      <c r="U1086" s="4" t="inlineStr">
        <is>
          <t>2026-09-11 00:05:00</t>
        </is>
      </c>
      <c r="V1086" s="4" t="inlineStr">
        <is>
          <t>Compilacion 2003-2023; prioridad canonica. Rupturas metodologicas de categorias en 2016/2017 documentadas por ANDE.</t>
        </is>
      </c>
    </row>
    <row r="1087">
      <c r="A1087" s="6" t="inlineStr">
        <is>
          <t>R0001203</t>
        </is>
      </c>
      <c r="B1087" s="6" t="inlineStr">
        <is>
          <t>2021-01-01</t>
        </is>
      </c>
      <c r="C1087" s="6" t="inlineStr">
        <is>
          <t>2021-12-31</t>
        </is>
      </c>
      <c r="D1087" s="6" t="inlineStr">
        <is>
          <t>year</t>
        </is>
      </c>
      <c r="E1087" s="6" t="inlineStr">
        <is>
          <t>ANDE_BILLED_PUBLIC_LIGHT_ENERGY</t>
        </is>
      </c>
      <c r="F1087" s="6" t="inlineStr">
        <is>
          <t>PY_SIN</t>
        </is>
      </c>
      <c r="G1087" s="6" t="inlineStr">
        <is>
          <t>PY</t>
        </is>
      </c>
      <c r="H1087" s="6" t="inlineStr">
        <is>
          <t>PY</t>
        </is>
      </c>
      <c r="I1087" s="8" t="n">
        <v>216481</v>
      </c>
      <c r="J1087" s="6" t="inlineStr">
        <is>
          <t>MWh</t>
        </is>
      </c>
      <c r="K1087" s="8" t="n">
        <v>216481</v>
      </c>
      <c r="L1087" s="6" t="inlineStr">
        <is>
          <t>MWh</t>
        </is>
      </c>
      <c r="M1087" s="6" t="inlineStr">
        <is>
          <t>ANDE</t>
        </is>
      </c>
      <c r="N1087" s="6" t="inlineStr">
        <is>
          <t>OFFICIAL_PRIMARY</t>
        </is>
      </c>
      <c r="O1087" s="9" t="inlineStr">
        <is>
          <t>OFFICIAL_AGGREGATE</t>
        </is>
      </c>
      <c r="P1087" s="8" t="n">
        <v>1</v>
      </c>
      <c r="Q1087" s="8" t="n">
        <v>95</v>
      </c>
      <c r="R1087" s="7" t="inlineStr">
        <is>
          <t>https://www.ande.gov.py/finanzas/2.%20COMPILACION%20ESTADISTICA%202003-2023/ANDE%20-%20Compilacion%20Estadistica%202003-2023.pdf</t>
        </is>
      </c>
      <c r="S1087" s="6" t="inlineStr">
        <is>
          <t>ANDE-03-23</t>
        </is>
      </c>
      <c r="T1087" s="6" t="inlineStr"/>
      <c r="U1087" s="4" t="inlineStr">
        <is>
          <t>2026-09-11 00:05:00</t>
        </is>
      </c>
      <c r="V1087" s="4" t="inlineStr">
        <is>
          <t>Compilacion 2003-2023; prioridad canonica. Rupturas metodologicas de categorias en 2016/2017 documentadas por ANDE.</t>
        </is>
      </c>
    </row>
    <row r="1088">
      <c r="A1088" s="6" t="inlineStr">
        <is>
          <t>R0001204</t>
        </is>
      </c>
      <c r="B1088" s="6" t="inlineStr">
        <is>
          <t>2022-01-01</t>
        </is>
      </c>
      <c r="C1088" s="6" t="inlineStr">
        <is>
          <t>2022-12-31</t>
        </is>
      </c>
      <c r="D1088" s="6" t="inlineStr">
        <is>
          <t>year</t>
        </is>
      </c>
      <c r="E1088" s="6" t="inlineStr">
        <is>
          <t>ANDE_BILLED_PUBLIC_LIGHT_ENERGY</t>
        </is>
      </c>
      <c r="F1088" s="6" t="inlineStr">
        <is>
          <t>PY_SIN</t>
        </is>
      </c>
      <c r="G1088" s="6" t="inlineStr">
        <is>
          <t>PY</t>
        </is>
      </c>
      <c r="H1088" s="6" t="inlineStr">
        <is>
          <t>PY</t>
        </is>
      </c>
      <c r="I1088" s="8" t="n">
        <v>227714</v>
      </c>
      <c r="J1088" s="6" t="inlineStr">
        <is>
          <t>MWh</t>
        </is>
      </c>
      <c r="K1088" s="8" t="n">
        <v>227714</v>
      </c>
      <c r="L1088" s="6" t="inlineStr">
        <is>
          <t>MWh</t>
        </is>
      </c>
      <c r="M1088" s="6" t="inlineStr">
        <is>
          <t>ANDE</t>
        </is>
      </c>
      <c r="N1088" s="6" t="inlineStr">
        <is>
          <t>OFFICIAL_PRIMARY</t>
        </is>
      </c>
      <c r="O1088" s="9" t="inlineStr">
        <is>
          <t>OFFICIAL_AGGREGATE</t>
        </is>
      </c>
      <c r="P1088" s="8" t="n">
        <v>1</v>
      </c>
      <c r="Q1088" s="8" t="n">
        <v>95</v>
      </c>
      <c r="R1088" s="7" t="inlineStr">
        <is>
          <t>https://www.ande.gov.py/finanzas/2.%20COMPILACION%20ESTADISTICA%202003-2023/ANDE%20-%20Compilacion%20Estadistica%202003-2023.pdf</t>
        </is>
      </c>
      <c r="S1088" s="6" t="inlineStr">
        <is>
          <t>ANDE-03-23</t>
        </is>
      </c>
      <c r="T1088" s="6" t="inlineStr"/>
      <c r="U1088" s="4" t="inlineStr">
        <is>
          <t>2026-09-11 00:05:00</t>
        </is>
      </c>
      <c r="V1088" s="4" t="inlineStr">
        <is>
          <t>Compilacion 2003-2023; prioridad canonica. Rupturas metodologicas de categorias en 2016/2017 documentadas por ANDE.</t>
        </is>
      </c>
    </row>
    <row r="1089">
      <c r="A1089" s="6" t="inlineStr">
        <is>
          <t>R0001205</t>
        </is>
      </c>
      <c r="B1089" s="6" t="inlineStr">
        <is>
          <t>2023-01-01</t>
        </is>
      </c>
      <c r="C1089" s="6" t="inlineStr">
        <is>
          <t>2023-12-31</t>
        </is>
      </c>
      <c r="D1089" s="6" t="inlineStr">
        <is>
          <t>year</t>
        </is>
      </c>
      <c r="E1089" s="6" t="inlineStr">
        <is>
          <t>ANDE_BILLED_PUBLIC_LIGHT_ENERGY</t>
        </is>
      </c>
      <c r="F1089" s="6" t="inlineStr">
        <is>
          <t>PY_SIN</t>
        </is>
      </c>
      <c r="G1089" s="6" t="inlineStr">
        <is>
          <t>PY</t>
        </is>
      </c>
      <c r="H1089" s="6" t="inlineStr">
        <is>
          <t>PY</t>
        </is>
      </c>
      <c r="I1089" s="8" t="n">
        <v>227764</v>
      </c>
      <c r="J1089" s="6" t="inlineStr">
        <is>
          <t>MWh</t>
        </is>
      </c>
      <c r="K1089" s="8" t="n">
        <v>227764</v>
      </c>
      <c r="L1089" s="6" t="inlineStr">
        <is>
          <t>MWh</t>
        </is>
      </c>
      <c r="M1089" s="6" t="inlineStr">
        <is>
          <t>ANDE</t>
        </is>
      </c>
      <c r="N1089" s="6" t="inlineStr">
        <is>
          <t>OFFICIAL_PRIMARY</t>
        </is>
      </c>
      <c r="O1089" s="9" t="inlineStr">
        <is>
          <t>OFFICIAL_AGGREGATE</t>
        </is>
      </c>
      <c r="P1089" s="8" t="n">
        <v>1</v>
      </c>
      <c r="Q1089" s="8" t="n">
        <v>95</v>
      </c>
      <c r="R1089" s="7" t="inlineStr">
        <is>
          <t>https://www.ande.gov.py/finanzas/2.%20COMPILACION%20ESTADISTICA%202003-2023/ANDE%20-%20Compilacion%20Estadistica%202003-2023.pdf</t>
        </is>
      </c>
      <c r="S1089" s="6" t="inlineStr">
        <is>
          <t>ANDE-03-23</t>
        </is>
      </c>
      <c r="T1089" s="6" t="inlineStr"/>
      <c r="U1089" s="4" t="inlineStr">
        <is>
          <t>2026-09-11 00:05:00</t>
        </is>
      </c>
      <c r="V1089" s="4" t="inlineStr">
        <is>
          <t>Compilacion 2003-2023; prioridad canonica. Rupturas metodologicas de categorias en 2016/2017 documentadas por ANDE.</t>
        </is>
      </c>
    </row>
    <row r="1090">
      <c r="A1090" s="6" t="inlineStr">
        <is>
          <t>R0001206</t>
        </is>
      </c>
      <c r="B1090" s="6" t="inlineStr">
        <is>
          <t>2003-01-01</t>
        </is>
      </c>
      <c r="C1090" s="6" t="inlineStr">
        <is>
          <t>2003-12-31</t>
        </is>
      </c>
      <c r="D1090" s="6" t="inlineStr">
        <is>
          <t>year</t>
        </is>
      </c>
      <c r="E1090" s="6" t="inlineStr">
        <is>
          <t>ANDE_BILLED_NATIONAL_ENERGY</t>
        </is>
      </c>
      <c r="F1090" s="6" t="inlineStr">
        <is>
          <t>PY_SIN</t>
        </is>
      </c>
      <c r="G1090" s="6" t="inlineStr">
        <is>
          <t>PY</t>
        </is>
      </c>
      <c r="H1090" s="6" t="inlineStr">
        <is>
          <t>PY</t>
        </is>
      </c>
      <c r="I1090" s="8" t="n">
        <v>4314678</v>
      </c>
      <c r="J1090" s="6" t="inlineStr">
        <is>
          <t>MWh</t>
        </is>
      </c>
      <c r="K1090" s="8" t="n">
        <v>4314678</v>
      </c>
      <c r="L1090" s="6" t="inlineStr">
        <is>
          <t>MWh</t>
        </is>
      </c>
      <c r="M1090" s="6" t="inlineStr">
        <is>
          <t>ANDE</t>
        </is>
      </c>
      <c r="N1090" s="6" t="inlineStr">
        <is>
          <t>OFFICIAL_PRIMARY</t>
        </is>
      </c>
      <c r="O1090" s="9" t="inlineStr">
        <is>
          <t>OFFICIAL_AGGREGATE</t>
        </is>
      </c>
      <c r="P1090" s="8" t="n">
        <v>1</v>
      </c>
      <c r="Q1090" s="8" t="n">
        <v>95</v>
      </c>
      <c r="R1090" s="7" t="inlineStr">
        <is>
          <t>https://www.ande.gov.py/finanzas/2.%20COMPILACION%20ESTADISTICA%202003-2023/ANDE%20-%20Compilacion%20Estadistica%202003-2023.pdf</t>
        </is>
      </c>
      <c r="S1090" s="6" t="inlineStr">
        <is>
          <t>ANDE-03-23</t>
        </is>
      </c>
      <c r="T1090" s="6" t="inlineStr"/>
      <c r="U1090" s="4" t="inlineStr">
        <is>
          <t>2026-09-11 00:05:00</t>
        </is>
      </c>
      <c r="V1090" s="4" t="inlineStr">
        <is>
          <t>Compilacion 2003-2023; prioridad canonica. Rupturas metodologicas de categorias en 2016/2017 documentadas por ANDE.</t>
        </is>
      </c>
    </row>
    <row r="1091">
      <c r="A1091" s="6" t="inlineStr">
        <is>
          <t>R0001207</t>
        </is>
      </c>
      <c r="B1091" s="6" t="inlineStr">
        <is>
          <t>2004-01-01</t>
        </is>
      </c>
      <c r="C1091" s="6" t="inlineStr">
        <is>
          <t>2004-12-31</t>
        </is>
      </c>
      <c r="D1091" s="6" t="inlineStr">
        <is>
          <t>year</t>
        </is>
      </c>
      <c r="E1091" s="6" t="inlineStr">
        <is>
          <t>ANDE_BILLED_NATIONAL_ENERGY</t>
        </is>
      </c>
      <c r="F1091" s="6" t="inlineStr">
        <is>
          <t>PY_SIN</t>
        </is>
      </c>
      <c r="G1091" s="6" t="inlineStr">
        <is>
          <t>PY</t>
        </is>
      </c>
      <c r="H1091" s="6" t="inlineStr">
        <is>
          <t>PY</t>
        </is>
      </c>
      <c r="I1091" s="8" t="n">
        <v>4434303</v>
      </c>
      <c r="J1091" s="6" t="inlineStr">
        <is>
          <t>MWh</t>
        </is>
      </c>
      <c r="K1091" s="8" t="n">
        <v>4434303</v>
      </c>
      <c r="L1091" s="6" t="inlineStr">
        <is>
          <t>MWh</t>
        </is>
      </c>
      <c r="M1091" s="6" t="inlineStr">
        <is>
          <t>ANDE</t>
        </is>
      </c>
      <c r="N1091" s="6" t="inlineStr">
        <is>
          <t>OFFICIAL_PRIMARY</t>
        </is>
      </c>
      <c r="O1091" s="9" t="inlineStr">
        <is>
          <t>OFFICIAL_AGGREGATE</t>
        </is>
      </c>
      <c r="P1091" s="8" t="n">
        <v>1</v>
      </c>
      <c r="Q1091" s="8" t="n">
        <v>95</v>
      </c>
      <c r="R1091" s="7" t="inlineStr">
        <is>
          <t>https://www.ande.gov.py/finanzas/2.%20COMPILACION%20ESTADISTICA%202003-2023/ANDE%20-%20Compilacion%20Estadistica%202003-2023.pdf</t>
        </is>
      </c>
      <c r="S1091" s="6" t="inlineStr">
        <is>
          <t>ANDE-03-23</t>
        </is>
      </c>
      <c r="T1091" s="6" t="inlineStr"/>
      <c r="U1091" s="4" t="inlineStr">
        <is>
          <t>2026-09-11 00:05:00</t>
        </is>
      </c>
      <c r="V1091" s="4" t="inlineStr">
        <is>
          <t>Compilacion 2003-2023; prioridad canonica. Rupturas metodologicas de categorias en 2016/2017 documentadas por ANDE.</t>
        </is>
      </c>
    </row>
    <row r="1092">
      <c r="A1092" s="6" t="inlineStr">
        <is>
          <t>R0001208</t>
        </is>
      </c>
      <c r="B1092" s="6" t="inlineStr">
        <is>
          <t>2005-01-01</t>
        </is>
      </c>
      <c r="C1092" s="6" t="inlineStr">
        <is>
          <t>2005-12-31</t>
        </is>
      </c>
      <c r="D1092" s="6" t="inlineStr">
        <is>
          <t>year</t>
        </is>
      </c>
      <c r="E1092" s="6" t="inlineStr">
        <is>
          <t>ANDE_BILLED_NATIONAL_ENERGY</t>
        </is>
      </c>
      <c r="F1092" s="6" t="inlineStr">
        <is>
          <t>PY_SIN</t>
        </is>
      </c>
      <c r="G1092" s="6" t="inlineStr">
        <is>
          <t>PY</t>
        </is>
      </c>
      <c r="H1092" s="6" t="inlineStr">
        <is>
          <t>PY</t>
        </is>
      </c>
      <c r="I1092" s="8" t="n">
        <v>4739885</v>
      </c>
      <c r="J1092" s="6" t="inlineStr">
        <is>
          <t>MWh</t>
        </is>
      </c>
      <c r="K1092" s="8" t="n">
        <v>4739885</v>
      </c>
      <c r="L1092" s="6" t="inlineStr">
        <is>
          <t>MWh</t>
        </is>
      </c>
      <c r="M1092" s="6" t="inlineStr">
        <is>
          <t>ANDE</t>
        </is>
      </c>
      <c r="N1092" s="6" t="inlineStr">
        <is>
          <t>OFFICIAL_PRIMARY</t>
        </is>
      </c>
      <c r="O1092" s="9" t="inlineStr">
        <is>
          <t>OFFICIAL_AGGREGATE</t>
        </is>
      </c>
      <c r="P1092" s="8" t="n">
        <v>1</v>
      </c>
      <c r="Q1092" s="8" t="n">
        <v>95</v>
      </c>
      <c r="R1092" s="7" t="inlineStr">
        <is>
          <t>https://www.ande.gov.py/finanzas/2.%20COMPILACION%20ESTADISTICA%202003-2023/ANDE%20-%20Compilacion%20Estadistica%202003-2023.pdf</t>
        </is>
      </c>
      <c r="S1092" s="6" t="inlineStr">
        <is>
          <t>ANDE-03-23</t>
        </is>
      </c>
      <c r="T1092" s="6" t="inlineStr"/>
      <c r="U1092" s="4" t="inlineStr">
        <is>
          <t>2026-09-11 00:05:00</t>
        </is>
      </c>
      <c r="V1092" s="4" t="inlineStr">
        <is>
          <t>Compilacion 2003-2023; prioridad canonica. Rupturas metodologicas de categorias en 2016/2017 documentadas por ANDE.</t>
        </is>
      </c>
    </row>
    <row r="1093">
      <c r="A1093" s="6" t="inlineStr">
        <is>
          <t>R0001209</t>
        </is>
      </c>
      <c r="B1093" s="6" t="inlineStr">
        <is>
          <t>2006-01-01</t>
        </is>
      </c>
      <c r="C1093" s="6" t="inlineStr">
        <is>
          <t>2006-12-31</t>
        </is>
      </c>
      <c r="D1093" s="6" t="inlineStr">
        <is>
          <t>year</t>
        </is>
      </c>
      <c r="E1093" s="6" t="inlineStr">
        <is>
          <t>ANDE_BILLED_NATIONAL_ENERGY</t>
        </is>
      </c>
      <c r="F1093" s="6" t="inlineStr">
        <is>
          <t>PY_SIN</t>
        </is>
      </c>
      <c r="G1093" s="6" t="inlineStr">
        <is>
          <t>PY</t>
        </is>
      </c>
      <c r="H1093" s="6" t="inlineStr">
        <is>
          <t>PY</t>
        </is>
      </c>
      <c r="I1093" s="8" t="n">
        <v>5123685</v>
      </c>
      <c r="J1093" s="6" t="inlineStr">
        <is>
          <t>MWh</t>
        </is>
      </c>
      <c r="K1093" s="8" t="n">
        <v>5123685</v>
      </c>
      <c r="L1093" s="6" t="inlineStr">
        <is>
          <t>MWh</t>
        </is>
      </c>
      <c r="M1093" s="6" t="inlineStr">
        <is>
          <t>ANDE</t>
        </is>
      </c>
      <c r="N1093" s="6" t="inlineStr">
        <is>
          <t>OFFICIAL_PRIMARY</t>
        </is>
      </c>
      <c r="O1093" s="9" t="inlineStr">
        <is>
          <t>OFFICIAL_AGGREGATE</t>
        </is>
      </c>
      <c r="P1093" s="8" t="n">
        <v>1</v>
      </c>
      <c r="Q1093" s="8" t="n">
        <v>95</v>
      </c>
      <c r="R1093" s="7" t="inlineStr">
        <is>
          <t>https://www.ande.gov.py/finanzas/2.%20COMPILACION%20ESTADISTICA%202003-2023/ANDE%20-%20Compilacion%20Estadistica%202003-2023.pdf</t>
        </is>
      </c>
      <c r="S1093" s="6" t="inlineStr">
        <is>
          <t>ANDE-03-23</t>
        </is>
      </c>
      <c r="T1093" s="6" t="inlineStr"/>
      <c r="U1093" s="4" t="inlineStr">
        <is>
          <t>2026-09-11 00:05:00</t>
        </is>
      </c>
      <c r="V1093" s="4" t="inlineStr">
        <is>
          <t>Compilacion 2003-2023; prioridad canonica. Rupturas metodologicas de categorias en 2016/2017 documentadas por ANDE.</t>
        </is>
      </c>
    </row>
    <row r="1094">
      <c r="A1094" s="6" t="inlineStr">
        <is>
          <t>R0001210</t>
        </is>
      </c>
      <c r="B1094" s="6" t="inlineStr">
        <is>
          <t>2007-01-01</t>
        </is>
      </c>
      <c r="C1094" s="6" t="inlineStr">
        <is>
          <t>2007-12-31</t>
        </is>
      </c>
      <c r="D1094" s="6" t="inlineStr">
        <is>
          <t>year</t>
        </is>
      </c>
      <c r="E1094" s="6" t="inlineStr">
        <is>
          <t>ANDE_BILLED_NATIONAL_ENERGY</t>
        </is>
      </c>
      <c r="F1094" s="6" t="inlineStr">
        <is>
          <t>PY_SIN</t>
        </is>
      </c>
      <c r="G1094" s="6" t="inlineStr">
        <is>
          <t>PY</t>
        </is>
      </c>
      <c r="H1094" s="6" t="inlineStr">
        <is>
          <t>PY</t>
        </is>
      </c>
      <c r="I1094" s="8" t="n">
        <v>5580443</v>
      </c>
      <c r="J1094" s="6" t="inlineStr">
        <is>
          <t>MWh</t>
        </is>
      </c>
      <c r="K1094" s="8" t="n">
        <v>5580443</v>
      </c>
      <c r="L1094" s="6" t="inlineStr">
        <is>
          <t>MWh</t>
        </is>
      </c>
      <c r="M1094" s="6" t="inlineStr">
        <is>
          <t>ANDE</t>
        </is>
      </c>
      <c r="N1094" s="6" t="inlineStr">
        <is>
          <t>OFFICIAL_PRIMARY</t>
        </is>
      </c>
      <c r="O1094" s="9" t="inlineStr">
        <is>
          <t>OFFICIAL_AGGREGATE</t>
        </is>
      </c>
      <c r="P1094" s="8" t="n">
        <v>1</v>
      </c>
      <c r="Q1094" s="8" t="n">
        <v>95</v>
      </c>
      <c r="R1094" s="7" t="inlineStr">
        <is>
          <t>https://www.ande.gov.py/finanzas/2.%20COMPILACION%20ESTADISTICA%202003-2023/ANDE%20-%20Compilacion%20Estadistica%202003-2023.pdf</t>
        </is>
      </c>
      <c r="S1094" s="6" t="inlineStr">
        <is>
          <t>ANDE-03-23</t>
        </is>
      </c>
      <c r="T1094" s="6" t="inlineStr"/>
      <c r="U1094" s="4" t="inlineStr">
        <is>
          <t>2026-09-11 00:05:00</t>
        </is>
      </c>
      <c r="V1094" s="4" t="inlineStr">
        <is>
          <t>Compilacion 2003-2023; prioridad canonica. Rupturas metodologicas de categorias en 2016/2017 documentadas por ANDE.</t>
        </is>
      </c>
    </row>
    <row r="1095">
      <c r="A1095" s="6" t="inlineStr">
        <is>
          <t>R0001211</t>
        </is>
      </c>
      <c r="B1095" s="6" t="inlineStr">
        <is>
          <t>2008-01-01</t>
        </is>
      </c>
      <c r="C1095" s="6" t="inlineStr">
        <is>
          <t>2008-12-31</t>
        </is>
      </c>
      <c r="D1095" s="6" t="inlineStr">
        <is>
          <t>year</t>
        </is>
      </c>
      <c r="E1095" s="6" t="inlineStr">
        <is>
          <t>ANDE_BILLED_NATIONAL_ENERGY</t>
        </is>
      </c>
      <c r="F1095" s="6" t="inlineStr">
        <is>
          <t>PY_SIN</t>
        </is>
      </c>
      <c r="G1095" s="6" t="inlineStr">
        <is>
          <t>PY</t>
        </is>
      </c>
      <c r="H1095" s="6" t="inlineStr">
        <is>
          <t>PY</t>
        </is>
      </c>
      <c r="I1095" s="8" t="n">
        <v>5974989</v>
      </c>
      <c r="J1095" s="6" t="inlineStr">
        <is>
          <t>MWh</t>
        </is>
      </c>
      <c r="K1095" s="8" t="n">
        <v>5974989</v>
      </c>
      <c r="L1095" s="6" t="inlineStr">
        <is>
          <t>MWh</t>
        </is>
      </c>
      <c r="M1095" s="6" t="inlineStr">
        <is>
          <t>ANDE</t>
        </is>
      </c>
      <c r="N1095" s="6" t="inlineStr">
        <is>
          <t>OFFICIAL_PRIMARY</t>
        </is>
      </c>
      <c r="O1095" s="9" t="inlineStr">
        <is>
          <t>OFFICIAL_AGGREGATE</t>
        </is>
      </c>
      <c r="P1095" s="8" t="n">
        <v>1</v>
      </c>
      <c r="Q1095" s="8" t="n">
        <v>95</v>
      </c>
      <c r="R1095" s="7" t="inlineStr">
        <is>
          <t>https://www.ande.gov.py/finanzas/2.%20COMPILACION%20ESTADISTICA%202003-2023/ANDE%20-%20Compilacion%20Estadistica%202003-2023.pdf</t>
        </is>
      </c>
      <c r="S1095" s="6" t="inlineStr">
        <is>
          <t>ANDE-03-23</t>
        </is>
      </c>
      <c r="T1095" s="6" t="inlineStr"/>
      <c r="U1095" s="4" t="inlineStr">
        <is>
          <t>2026-09-11 00:05:00</t>
        </is>
      </c>
      <c r="V1095" s="4" t="inlineStr">
        <is>
          <t>Compilacion 2003-2023; prioridad canonica. Rupturas metodologicas de categorias en 2016/2017 documentadas por ANDE.</t>
        </is>
      </c>
    </row>
    <row r="1096">
      <c r="A1096" s="6" t="inlineStr">
        <is>
          <t>R0001212</t>
        </is>
      </c>
      <c r="B1096" s="6" t="inlineStr">
        <is>
          <t>2009-01-01</t>
        </is>
      </c>
      <c r="C1096" s="6" t="inlineStr">
        <is>
          <t>2009-12-31</t>
        </is>
      </c>
      <c r="D1096" s="6" t="inlineStr">
        <is>
          <t>year</t>
        </is>
      </c>
      <c r="E1096" s="6" t="inlineStr">
        <is>
          <t>ANDE_BILLED_NATIONAL_ENERGY</t>
        </is>
      </c>
      <c r="F1096" s="6" t="inlineStr">
        <is>
          <t>PY_SIN</t>
        </is>
      </c>
      <c r="G1096" s="6" t="inlineStr">
        <is>
          <t>PY</t>
        </is>
      </c>
      <c r="H1096" s="6" t="inlineStr">
        <is>
          <t>PY</t>
        </is>
      </c>
      <c r="I1096" s="8" t="n">
        <v>6451131</v>
      </c>
      <c r="J1096" s="6" t="inlineStr">
        <is>
          <t>MWh</t>
        </is>
      </c>
      <c r="K1096" s="8" t="n">
        <v>6451131</v>
      </c>
      <c r="L1096" s="6" t="inlineStr">
        <is>
          <t>MWh</t>
        </is>
      </c>
      <c r="M1096" s="6" t="inlineStr">
        <is>
          <t>ANDE</t>
        </is>
      </c>
      <c r="N1096" s="6" t="inlineStr">
        <is>
          <t>OFFICIAL_PRIMARY</t>
        </is>
      </c>
      <c r="O1096" s="9" t="inlineStr">
        <is>
          <t>OFFICIAL_AGGREGATE</t>
        </is>
      </c>
      <c r="P1096" s="8" t="n">
        <v>1</v>
      </c>
      <c r="Q1096" s="8" t="n">
        <v>95</v>
      </c>
      <c r="R1096" s="7" t="inlineStr">
        <is>
          <t>https://www.ande.gov.py/finanzas/2.%20COMPILACION%20ESTADISTICA%202003-2023/ANDE%20-%20Compilacion%20Estadistica%202003-2023.pdf</t>
        </is>
      </c>
      <c r="S1096" s="6" t="inlineStr">
        <is>
          <t>ANDE-03-23</t>
        </is>
      </c>
      <c r="T1096" s="6" t="inlineStr"/>
      <c r="U1096" s="4" t="inlineStr">
        <is>
          <t>2026-09-11 00:05:00</t>
        </is>
      </c>
      <c r="V1096" s="4" t="inlineStr">
        <is>
          <t>Compilacion 2003-2023; prioridad canonica. Rupturas metodologicas de categorias en 2016/2017 documentadas por ANDE.</t>
        </is>
      </c>
    </row>
    <row r="1097">
      <c r="A1097" s="6" t="inlineStr">
        <is>
          <t>R0001213</t>
        </is>
      </c>
      <c r="B1097" s="6" t="inlineStr">
        <is>
          <t>2010-01-01</t>
        </is>
      </c>
      <c r="C1097" s="6" t="inlineStr">
        <is>
          <t>2010-12-31</t>
        </is>
      </c>
      <c r="D1097" s="6" t="inlineStr">
        <is>
          <t>year</t>
        </is>
      </c>
      <c r="E1097" s="6" t="inlineStr">
        <is>
          <t>ANDE_BILLED_NATIONAL_ENERGY</t>
        </is>
      </c>
      <c r="F1097" s="6" t="inlineStr">
        <is>
          <t>PY_SIN</t>
        </is>
      </c>
      <c r="G1097" s="6" t="inlineStr">
        <is>
          <t>PY</t>
        </is>
      </c>
      <c r="H1097" s="6" t="inlineStr">
        <is>
          <t>PY</t>
        </is>
      </c>
      <c r="I1097" s="8" t="n">
        <v>6864594</v>
      </c>
      <c r="J1097" s="6" t="inlineStr">
        <is>
          <t>MWh</t>
        </is>
      </c>
      <c r="K1097" s="8" t="n">
        <v>6864594</v>
      </c>
      <c r="L1097" s="6" t="inlineStr">
        <is>
          <t>MWh</t>
        </is>
      </c>
      <c r="M1097" s="6" t="inlineStr">
        <is>
          <t>ANDE</t>
        </is>
      </c>
      <c r="N1097" s="6" t="inlineStr">
        <is>
          <t>OFFICIAL_PRIMARY</t>
        </is>
      </c>
      <c r="O1097" s="9" t="inlineStr">
        <is>
          <t>OFFICIAL_AGGREGATE</t>
        </is>
      </c>
      <c r="P1097" s="8" t="n">
        <v>1</v>
      </c>
      <c r="Q1097" s="8" t="n">
        <v>95</v>
      </c>
      <c r="R1097" s="7" t="inlineStr">
        <is>
          <t>https://www.ande.gov.py/finanzas/2.%20COMPILACION%20ESTADISTICA%202003-2023/ANDE%20-%20Compilacion%20Estadistica%202003-2023.pdf</t>
        </is>
      </c>
      <c r="S1097" s="6" t="inlineStr">
        <is>
          <t>ANDE-03-23</t>
        </is>
      </c>
      <c r="T1097" s="6" t="inlineStr"/>
      <c r="U1097" s="4" t="inlineStr">
        <is>
          <t>2026-09-11 00:05:00</t>
        </is>
      </c>
      <c r="V1097" s="4" t="inlineStr">
        <is>
          <t>Compilacion 2003-2023; prioridad canonica. Rupturas metodologicas de categorias en 2016/2017 documentadas por ANDE.</t>
        </is>
      </c>
    </row>
    <row r="1098">
      <c r="A1098" s="6" t="inlineStr">
        <is>
          <t>R0001214</t>
        </is>
      </c>
      <c r="B1098" s="6" t="inlineStr">
        <is>
          <t>2011-01-01</t>
        </is>
      </c>
      <c r="C1098" s="6" t="inlineStr">
        <is>
          <t>2011-12-31</t>
        </is>
      </c>
      <c r="D1098" s="6" t="inlineStr">
        <is>
          <t>year</t>
        </is>
      </c>
      <c r="E1098" s="6" t="inlineStr">
        <is>
          <t>ANDE_BILLED_NATIONAL_ENERGY</t>
        </is>
      </c>
      <c r="F1098" s="6" t="inlineStr">
        <is>
          <t>PY_SIN</t>
        </is>
      </c>
      <c r="G1098" s="6" t="inlineStr">
        <is>
          <t>PY</t>
        </is>
      </c>
      <c r="H1098" s="6" t="inlineStr">
        <is>
          <t>PY</t>
        </is>
      </c>
      <c r="I1098" s="8" t="n">
        <v>7570520</v>
      </c>
      <c r="J1098" s="6" t="inlineStr">
        <is>
          <t>MWh</t>
        </is>
      </c>
      <c r="K1098" s="8" t="n">
        <v>7570520</v>
      </c>
      <c r="L1098" s="6" t="inlineStr">
        <is>
          <t>MWh</t>
        </is>
      </c>
      <c r="M1098" s="6" t="inlineStr">
        <is>
          <t>ANDE</t>
        </is>
      </c>
      <c r="N1098" s="6" t="inlineStr">
        <is>
          <t>OFFICIAL_PRIMARY</t>
        </is>
      </c>
      <c r="O1098" s="9" t="inlineStr">
        <is>
          <t>OFFICIAL_AGGREGATE</t>
        </is>
      </c>
      <c r="P1098" s="8" t="n">
        <v>1</v>
      </c>
      <c r="Q1098" s="8" t="n">
        <v>95</v>
      </c>
      <c r="R1098" s="7" t="inlineStr">
        <is>
          <t>https://www.ande.gov.py/finanzas/2.%20COMPILACION%20ESTADISTICA%202003-2023/ANDE%20-%20Compilacion%20Estadistica%202003-2023.pdf</t>
        </is>
      </c>
      <c r="S1098" s="6" t="inlineStr">
        <is>
          <t>ANDE-03-23</t>
        </is>
      </c>
      <c r="T1098" s="6" t="inlineStr"/>
      <c r="U1098" s="4" t="inlineStr">
        <is>
          <t>2026-09-11 00:05:00</t>
        </is>
      </c>
      <c r="V1098" s="4" t="inlineStr">
        <is>
          <t>Compilacion 2003-2023; prioridad canonica. Rupturas metodologicas de categorias en 2016/2017 documentadas por ANDE.</t>
        </is>
      </c>
    </row>
    <row r="1099">
      <c r="A1099" s="6" t="inlineStr">
        <is>
          <t>R0001215</t>
        </is>
      </c>
      <c r="B1099" s="6" t="inlineStr">
        <is>
          <t>2012-01-01</t>
        </is>
      </c>
      <c r="C1099" s="6" t="inlineStr">
        <is>
          <t>2012-12-31</t>
        </is>
      </c>
      <c r="D1099" s="6" t="inlineStr">
        <is>
          <t>year</t>
        </is>
      </c>
      <c r="E1099" s="6" t="inlineStr">
        <is>
          <t>ANDE_BILLED_NATIONAL_ENERGY</t>
        </is>
      </c>
      <c r="F1099" s="6" t="inlineStr">
        <is>
          <t>PY_SIN</t>
        </is>
      </c>
      <c r="G1099" s="6" t="inlineStr">
        <is>
          <t>PY</t>
        </is>
      </c>
      <c r="H1099" s="6" t="inlineStr">
        <is>
          <t>PY</t>
        </is>
      </c>
      <c r="I1099" s="8" t="n">
        <v>8222238</v>
      </c>
      <c r="J1099" s="6" t="inlineStr">
        <is>
          <t>MWh</t>
        </is>
      </c>
      <c r="K1099" s="8" t="n">
        <v>8222238</v>
      </c>
      <c r="L1099" s="6" t="inlineStr">
        <is>
          <t>MWh</t>
        </is>
      </c>
      <c r="M1099" s="6" t="inlineStr">
        <is>
          <t>ANDE</t>
        </is>
      </c>
      <c r="N1099" s="6" t="inlineStr">
        <is>
          <t>OFFICIAL_PRIMARY</t>
        </is>
      </c>
      <c r="O1099" s="9" t="inlineStr">
        <is>
          <t>OFFICIAL_AGGREGATE</t>
        </is>
      </c>
      <c r="P1099" s="8" t="n">
        <v>1</v>
      </c>
      <c r="Q1099" s="8" t="n">
        <v>95</v>
      </c>
      <c r="R1099" s="7" t="inlineStr">
        <is>
          <t>https://www.ande.gov.py/finanzas/2.%20COMPILACION%20ESTADISTICA%202003-2023/ANDE%20-%20Compilacion%20Estadistica%202003-2023.pdf</t>
        </is>
      </c>
      <c r="S1099" s="6" t="inlineStr">
        <is>
          <t>ANDE-03-23</t>
        </is>
      </c>
      <c r="T1099" s="6" t="inlineStr"/>
      <c r="U1099" s="4" t="inlineStr">
        <is>
          <t>2026-09-11 00:05:00</t>
        </is>
      </c>
      <c r="V1099" s="4" t="inlineStr">
        <is>
          <t>Compilacion 2003-2023; prioridad canonica. Rupturas metodologicas de categorias en 2016/2017 documentadas por ANDE.</t>
        </is>
      </c>
    </row>
    <row r="1100">
      <c r="A1100" s="6" t="inlineStr">
        <is>
          <t>R0001216</t>
        </is>
      </c>
      <c r="B1100" s="6" t="inlineStr">
        <is>
          <t>2013-01-01</t>
        </is>
      </c>
      <c r="C1100" s="6" t="inlineStr">
        <is>
          <t>2013-12-31</t>
        </is>
      </c>
      <c r="D1100" s="6" t="inlineStr">
        <is>
          <t>year</t>
        </is>
      </c>
      <c r="E1100" s="6" t="inlineStr">
        <is>
          <t>ANDE_BILLED_NATIONAL_ENERGY</t>
        </is>
      </c>
      <c r="F1100" s="6" t="inlineStr">
        <is>
          <t>PY_SIN</t>
        </is>
      </c>
      <c r="G1100" s="6" t="inlineStr">
        <is>
          <t>PY</t>
        </is>
      </c>
      <c r="H1100" s="6" t="inlineStr">
        <is>
          <t>PY</t>
        </is>
      </c>
      <c r="I1100" s="8" t="n">
        <v>9018546</v>
      </c>
      <c r="J1100" s="6" t="inlineStr">
        <is>
          <t>MWh</t>
        </is>
      </c>
      <c r="K1100" s="8" t="n">
        <v>9018546</v>
      </c>
      <c r="L1100" s="6" t="inlineStr">
        <is>
          <t>MWh</t>
        </is>
      </c>
      <c r="M1100" s="6" t="inlineStr">
        <is>
          <t>ANDE</t>
        </is>
      </c>
      <c r="N1100" s="6" t="inlineStr">
        <is>
          <t>OFFICIAL_PRIMARY</t>
        </is>
      </c>
      <c r="O1100" s="9" t="inlineStr">
        <is>
          <t>OFFICIAL_AGGREGATE</t>
        </is>
      </c>
      <c r="P1100" s="8" t="n">
        <v>1</v>
      </c>
      <c r="Q1100" s="8" t="n">
        <v>95</v>
      </c>
      <c r="R1100" s="7" t="inlineStr">
        <is>
          <t>https://www.ande.gov.py/finanzas/2.%20COMPILACION%20ESTADISTICA%202003-2023/ANDE%20-%20Compilacion%20Estadistica%202003-2023.pdf</t>
        </is>
      </c>
      <c r="S1100" s="6" t="inlineStr">
        <is>
          <t>ANDE-03-23</t>
        </is>
      </c>
      <c r="T1100" s="6" t="inlineStr"/>
      <c r="U1100" s="4" t="inlineStr">
        <is>
          <t>2026-09-11 00:05:00</t>
        </is>
      </c>
      <c r="V1100" s="4" t="inlineStr">
        <is>
          <t>Compilacion 2003-2023; prioridad canonica. Rupturas metodologicas de categorias en 2016/2017 documentadas por ANDE.</t>
        </is>
      </c>
    </row>
    <row r="1101">
      <c r="A1101" s="6" t="inlineStr">
        <is>
          <t>R0001217</t>
        </is>
      </c>
      <c r="B1101" s="6" t="inlineStr">
        <is>
          <t>2014-01-01</t>
        </is>
      </c>
      <c r="C1101" s="6" t="inlineStr">
        <is>
          <t>2014-12-31</t>
        </is>
      </c>
      <c r="D1101" s="6" t="inlineStr">
        <is>
          <t>year</t>
        </is>
      </c>
      <c r="E1101" s="6" t="inlineStr">
        <is>
          <t>ANDE_BILLED_NATIONAL_ENERGY</t>
        </is>
      </c>
      <c r="F1101" s="6" t="inlineStr">
        <is>
          <t>PY_SIN</t>
        </is>
      </c>
      <c r="G1101" s="6" t="inlineStr">
        <is>
          <t>PY</t>
        </is>
      </c>
      <c r="H1101" s="6" t="inlineStr">
        <is>
          <t>PY</t>
        </is>
      </c>
      <c r="I1101" s="8" t="n">
        <v>9794563</v>
      </c>
      <c r="J1101" s="6" t="inlineStr">
        <is>
          <t>MWh</t>
        </is>
      </c>
      <c r="K1101" s="8" t="n">
        <v>9794563</v>
      </c>
      <c r="L1101" s="6" t="inlineStr">
        <is>
          <t>MWh</t>
        </is>
      </c>
      <c r="M1101" s="6" t="inlineStr">
        <is>
          <t>ANDE</t>
        </is>
      </c>
      <c r="N1101" s="6" t="inlineStr">
        <is>
          <t>OFFICIAL_PRIMARY</t>
        </is>
      </c>
      <c r="O1101" s="9" t="inlineStr">
        <is>
          <t>OFFICIAL_AGGREGATE</t>
        </is>
      </c>
      <c r="P1101" s="8" t="n">
        <v>1</v>
      </c>
      <c r="Q1101" s="8" t="n">
        <v>95</v>
      </c>
      <c r="R1101" s="7" t="inlineStr">
        <is>
          <t>https://www.ande.gov.py/finanzas/2.%20COMPILACION%20ESTADISTICA%202003-2023/ANDE%20-%20Compilacion%20Estadistica%202003-2023.pdf</t>
        </is>
      </c>
      <c r="S1101" s="6" t="inlineStr">
        <is>
          <t>ANDE-03-23</t>
        </is>
      </c>
      <c r="T1101" s="6" t="inlineStr"/>
      <c r="U1101" s="4" t="inlineStr">
        <is>
          <t>2026-09-11 00:05:00</t>
        </is>
      </c>
      <c r="V1101" s="4" t="inlineStr">
        <is>
          <t>Compilacion 2003-2023; prioridad canonica. Rupturas metodologicas de categorias en 2016/2017 documentadas por ANDE.</t>
        </is>
      </c>
    </row>
    <row r="1102">
      <c r="A1102" s="6" t="inlineStr">
        <is>
          <t>R0001218</t>
        </is>
      </c>
      <c r="B1102" s="6" t="inlineStr">
        <is>
          <t>2015-01-01</t>
        </is>
      </c>
      <c r="C1102" s="6" t="inlineStr">
        <is>
          <t>2015-12-31</t>
        </is>
      </c>
      <c r="D1102" s="6" t="inlineStr">
        <is>
          <t>year</t>
        </is>
      </c>
      <c r="E1102" s="6" t="inlineStr">
        <is>
          <t>ANDE_BILLED_NATIONAL_ENERGY</t>
        </is>
      </c>
      <c r="F1102" s="6" t="inlineStr">
        <is>
          <t>PY_SIN</t>
        </is>
      </c>
      <c r="G1102" s="6" t="inlineStr">
        <is>
          <t>PY</t>
        </is>
      </c>
      <c r="H1102" s="6" t="inlineStr">
        <is>
          <t>PY</t>
        </is>
      </c>
      <c r="I1102" s="8" t="n">
        <v>10336604</v>
      </c>
      <c r="J1102" s="6" t="inlineStr">
        <is>
          <t>MWh</t>
        </is>
      </c>
      <c r="K1102" s="8" t="n">
        <v>10336604</v>
      </c>
      <c r="L1102" s="6" t="inlineStr">
        <is>
          <t>MWh</t>
        </is>
      </c>
      <c r="M1102" s="6" t="inlineStr">
        <is>
          <t>ANDE</t>
        </is>
      </c>
      <c r="N1102" s="6" t="inlineStr">
        <is>
          <t>OFFICIAL_PRIMARY</t>
        </is>
      </c>
      <c r="O1102" s="9" t="inlineStr">
        <is>
          <t>OFFICIAL_AGGREGATE</t>
        </is>
      </c>
      <c r="P1102" s="8" t="n">
        <v>1</v>
      </c>
      <c r="Q1102" s="8" t="n">
        <v>95</v>
      </c>
      <c r="R1102" s="7" t="inlineStr">
        <is>
          <t>https://www.ande.gov.py/finanzas/2.%20COMPILACION%20ESTADISTICA%202003-2023/ANDE%20-%20Compilacion%20Estadistica%202003-2023.pdf</t>
        </is>
      </c>
      <c r="S1102" s="6" t="inlineStr">
        <is>
          <t>ANDE-03-23</t>
        </is>
      </c>
      <c r="T1102" s="6" t="inlineStr"/>
      <c r="U1102" s="4" t="inlineStr">
        <is>
          <t>2026-09-11 00:05:00</t>
        </is>
      </c>
      <c r="V1102" s="4" t="inlineStr">
        <is>
          <t>Compilacion 2003-2023; prioridad canonica. Rupturas metodologicas de categorias en 2016/2017 documentadas por ANDE.</t>
        </is>
      </c>
    </row>
    <row r="1103">
      <c r="A1103" s="6" t="inlineStr">
        <is>
          <t>R0001219</t>
        </is>
      </c>
      <c r="B1103" s="6" t="inlineStr">
        <is>
          <t>2016-01-01</t>
        </is>
      </c>
      <c r="C1103" s="6" t="inlineStr">
        <is>
          <t>2016-12-31</t>
        </is>
      </c>
      <c r="D1103" s="6" t="inlineStr">
        <is>
          <t>year</t>
        </is>
      </c>
      <c r="E1103" s="6" t="inlineStr">
        <is>
          <t>ANDE_BILLED_NATIONAL_ENERGY</t>
        </is>
      </c>
      <c r="F1103" s="6" t="inlineStr">
        <is>
          <t>PY_SIN</t>
        </is>
      </c>
      <c r="G1103" s="6" t="inlineStr">
        <is>
          <t>PY</t>
        </is>
      </c>
      <c r="H1103" s="6" t="inlineStr">
        <is>
          <t>PY</t>
        </is>
      </c>
      <c r="I1103" s="8" t="n">
        <v>10767398</v>
      </c>
      <c r="J1103" s="6" t="inlineStr">
        <is>
          <t>MWh</t>
        </is>
      </c>
      <c r="K1103" s="8" t="n">
        <v>10767398</v>
      </c>
      <c r="L1103" s="6" t="inlineStr">
        <is>
          <t>MWh</t>
        </is>
      </c>
      <c r="M1103" s="6" t="inlineStr">
        <is>
          <t>ANDE</t>
        </is>
      </c>
      <c r="N1103" s="6" t="inlineStr">
        <is>
          <t>OFFICIAL_PRIMARY</t>
        </is>
      </c>
      <c r="O1103" s="9" t="inlineStr">
        <is>
          <t>OFFICIAL_AGGREGATE</t>
        </is>
      </c>
      <c r="P1103" s="8" t="n">
        <v>1</v>
      </c>
      <c r="Q1103" s="8" t="n">
        <v>95</v>
      </c>
      <c r="R1103" s="7" t="inlineStr">
        <is>
          <t>https://www.ande.gov.py/finanzas/2.%20COMPILACION%20ESTADISTICA%202003-2023/ANDE%20-%20Compilacion%20Estadistica%202003-2023.pdf</t>
        </is>
      </c>
      <c r="S1103" s="6" t="inlineStr">
        <is>
          <t>ANDE-03-23</t>
        </is>
      </c>
      <c r="T1103" s="6" t="inlineStr"/>
      <c r="U1103" s="4" t="inlineStr">
        <is>
          <t>2026-09-11 00:05:00</t>
        </is>
      </c>
      <c r="V1103" s="4" t="inlineStr">
        <is>
          <t>Compilacion 2003-2023; prioridad canonica. Rupturas metodologicas de categorias en 2016/2017 documentadas por ANDE.</t>
        </is>
      </c>
    </row>
    <row r="1104">
      <c r="A1104" s="6" t="inlineStr">
        <is>
          <t>R0001220</t>
        </is>
      </c>
      <c r="B1104" s="6" t="inlineStr">
        <is>
          <t>2017-01-01</t>
        </is>
      </c>
      <c r="C1104" s="6" t="inlineStr">
        <is>
          <t>2017-12-31</t>
        </is>
      </c>
      <c r="D1104" s="6" t="inlineStr">
        <is>
          <t>year</t>
        </is>
      </c>
      <c r="E1104" s="6" t="inlineStr">
        <is>
          <t>ANDE_BILLED_NATIONAL_ENERGY</t>
        </is>
      </c>
      <c r="F1104" s="6" t="inlineStr">
        <is>
          <t>PY_SIN</t>
        </is>
      </c>
      <c r="G1104" s="6" t="inlineStr">
        <is>
          <t>PY</t>
        </is>
      </c>
      <c r="H1104" s="6" t="inlineStr">
        <is>
          <t>PY</t>
        </is>
      </c>
      <c r="I1104" s="8" t="n">
        <v>11237933</v>
      </c>
      <c r="J1104" s="6" t="inlineStr">
        <is>
          <t>MWh</t>
        </is>
      </c>
      <c r="K1104" s="8" t="n">
        <v>11237933</v>
      </c>
      <c r="L1104" s="6" t="inlineStr">
        <is>
          <t>MWh</t>
        </is>
      </c>
      <c r="M1104" s="6" t="inlineStr">
        <is>
          <t>ANDE</t>
        </is>
      </c>
      <c r="N1104" s="6" t="inlineStr">
        <is>
          <t>OFFICIAL_PRIMARY</t>
        </is>
      </c>
      <c r="O1104" s="9" t="inlineStr">
        <is>
          <t>OFFICIAL_AGGREGATE</t>
        </is>
      </c>
      <c r="P1104" s="8" t="n">
        <v>1</v>
      </c>
      <c r="Q1104" s="8" t="n">
        <v>95</v>
      </c>
      <c r="R1104" s="7" t="inlineStr">
        <is>
          <t>https://www.ande.gov.py/finanzas/2.%20COMPILACION%20ESTADISTICA%202003-2023/ANDE%20-%20Compilacion%20Estadistica%202003-2023.pdf</t>
        </is>
      </c>
      <c r="S1104" s="6" t="inlineStr">
        <is>
          <t>ANDE-03-23</t>
        </is>
      </c>
      <c r="T1104" s="6" t="inlineStr"/>
      <c r="U1104" s="4" t="inlineStr">
        <is>
          <t>2026-09-11 00:05:00</t>
        </is>
      </c>
      <c r="V1104" s="4" t="inlineStr">
        <is>
          <t>Compilacion 2003-2023; prioridad canonica. Rupturas metodologicas de categorias en 2016/2017 documentadas por ANDE.</t>
        </is>
      </c>
    </row>
    <row r="1105">
      <c r="A1105" s="6" t="inlineStr">
        <is>
          <t>R0001221</t>
        </is>
      </c>
      <c r="B1105" s="6" t="inlineStr">
        <is>
          <t>2018-01-01</t>
        </is>
      </c>
      <c r="C1105" s="6" t="inlineStr">
        <is>
          <t>2018-12-31</t>
        </is>
      </c>
      <c r="D1105" s="6" t="inlineStr">
        <is>
          <t>year</t>
        </is>
      </c>
      <c r="E1105" s="6" t="inlineStr">
        <is>
          <t>ANDE_BILLED_NATIONAL_ENERGY</t>
        </is>
      </c>
      <c r="F1105" s="6" t="inlineStr">
        <is>
          <t>PY_SIN</t>
        </is>
      </c>
      <c r="G1105" s="6" t="inlineStr">
        <is>
          <t>PY</t>
        </is>
      </c>
      <c r="H1105" s="6" t="inlineStr">
        <is>
          <t>PY</t>
        </is>
      </c>
      <c r="I1105" s="8" t="n">
        <v>12172700</v>
      </c>
      <c r="J1105" s="6" t="inlineStr">
        <is>
          <t>MWh</t>
        </is>
      </c>
      <c r="K1105" s="8" t="n">
        <v>12172700</v>
      </c>
      <c r="L1105" s="6" t="inlineStr">
        <is>
          <t>MWh</t>
        </is>
      </c>
      <c r="M1105" s="6" t="inlineStr">
        <is>
          <t>ANDE</t>
        </is>
      </c>
      <c r="N1105" s="6" t="inlineStr">
        <is>
          <t>OFFICIAL_PRIMARY</t>
        </is>
      </c>
      <c r="O1105" s="9" t="inlineStr">
        <is>
          <t>OFFICIAL_AGGREGATE</t>
        </is>
      </c>
      <c r="P1105" s="8" t="n">
        <v>1</v>
      </c>
      <c r="Q1105" s="8" t="n">
        <v>95</v>
      </c>
      <c r="R1105" s="7" t="inlineStr">
        <is>
          <t>https://www.ande.gov.py/finanzas/2.%20COMPILACION%20ESTADISTICA%202003-2023/ANDE%20-%20Compilacion%20Estadistica%202003-2023.pdf</t>
        </is>
      </c>
      <c r="S1105" s="6" t="inlineStr">
        <is>
          <t>ANDE-03-23</t>
        </is>
      </c>
      <c r="T1105" s="6" t="inlineStr"/>
      <c r="U1105" s="4" t="inlineStr">
        <is>
          <t>2026-09-11 00:05:00</t>
        </is>
      </c>
      <c r="V1105" s="4" t="inlineStr">
        <is>
          <t>Compilacion 2003-2023; prioridad canonica. Rupturas metodologicas de categorias en 2016/2017 documentadas por ANDE.</t>
        </is>
      </c>
    </row>
    <row r="1106">
      <c r="A1106" s="6" t="inlineStr">
        <is>
          <t>R0001222</t>
        </is>
      </c>
      <c r="B1106" s="6" t="inlineStr">
        <is>
          <t>2019-01-01</t>
        </is>
      </c>
      <c r="C1106" s="6" t="inlineStr">
        <is>
          <t>2019-12-31</t>
        </is>
      </c>
      <c r="D1106" s="6" t="inlineStr">
        <is>
          <t>year</t>
        </is>
      </c>
      <c r="E1106" s="6" t="inlineStr">
        <is>
          <t>ANDE_BILLED_NATIONAL_ENERGY</t>
        </is>
      </c>
      <c r="F1106" s="6" t="inlineStr">
        <is>
          <t>PY_SIN</t>
        </is>
      </c>
      <c r="G1106" s="6" t="inlineStr">
        <is>
          <t>PY</t>
        </is>
      </c>
      <c r="H1106" s="6" t="inlineStr">
        <is>
          <t>PY</t>
        </is>
      </c>
      <c r="I1106" s="8" t="n">
        <v>12520192</v>
      </c>
      <c r="J1106" s="6" t="inlineStr">
        <is>
          <t>MWh</t>
        </is>
      </c>
      <c r="K1106" s="8" t="n">
        <v>12520192</v>
      </c>
      <c r="L1106" s="6" t="inlineStr">
        <is>
          <t>MWh</t>
        </is>
      </c>
      <c r="M1106" s="6" t="inlineStr">
        <is>
          <t>ANDE</t>
        </is>
      </c>
      <c r="N1106" s="6" t="inlineStr">
        <is>
          <t>OFFICIAL_PRIMARY</t>
        </is>
      </c>
      <c r="O1106" s="9" t="inlineStr">
        <is>
          <t>OFFICIAL_AGGREGATE</t>
        </is>
      </c>
      <c r="P1106" s="8" t="n">
        <v>1</v>
      </c>
      <c r="Q1106" s="8" t="n">
        <v>95</v>
      </c>
      <c r="R1106" s="7" t="inlineStr">
        <is>
          <t>https://www.ande.gov.py/finanzas/2.%20COMPILACION%20ESTADISTICA%202003-2023/ANDE%20-%20Compilacion%20Estadistica%202003-2023.pdf</t>
        </is>
      </c>
      <c r="S1106" s="6" t="inlineStr">
        <is>
          <t>ANDE-03-23</t>
        </is>
      </c>
      <c r="T1106" s="6" t="inlineStr"/>
      <c r="U1106" s="4" t="inlineStr">
        <is>
          <t>2026-09-11 00:05:00</t>
        </is>
      </c>
      <c r="V1106" s="4" t="inlineStr">
        <is>
          <t>Compilacion 2003-2023; prioridad canonica. Rupturas metodologicas de categorias en 2016/2017 documentadas por ANDE.</t>
        </is>
      </c>
    </row>
    <row r="1107">
      <c r="A1107" s="6" t="inlineStr">
        <is>
          <t>R0001223</t>
        </is>
      </c>
      <c r="B1107" s="6" t="inlineStr">
        <is>
          <t>2020-01-01</t>
        </is>
      </c>
      <c r="C1107" s="6" t="inlineStr">
        <is>
          <t>2020-12-31</t>
        </is>
      </c>
      <c r="D1107" s="6" t="inlineStr">
        <is>
          <t>year</t>
        </is>
      </c>
      <c r="E1107" s="6" t="inlineStr">
        <is>
          <t>ANDE_BILLED_NATIONAL_ENERGY</t>
        </is>
      </c>
      <c r="F1107" s="6" t="inlineStr">
        <is>
          <t>PY_SIN</t>
        </is>
      </c>
      <c r="G1107" s="6" t="inlineStr">
        <is>
          <t>PY</t>
        </is>
      </c>
      <c r="H1107" s="6" t="inlineStr">
        <is>
          <t>PY</t>
        </is>
      </c>
      <c r="I1107" s="8" t="n">
        <v>13411323</v>
      </c>
      <c r="J1107" s="6" t="inlineStr">
        <is>
          <t>MWh</t>
        </is>
      </c>
      <c r="K1107" s="8" t="n">
        <v>13411323</v>
      </c>
      <c r="L1107" s="6" t="inlineStr">
        <is>
          <t>MWh</t>
        </is>
      </c>
      <c r="M1107" s="6" t="inlineStr">
        <is>
          <t>ANDE</t>
        </is>
      </c>
      <c r="N1107" s="6" t="inlineStr">
        <is>
          <t>OFFICIAL_PRIMARY</t>
        </is>
      </c>
      <c r="O1107" s="9" t="inlineStr">
        <is>
          <t>OFFICIAL_AGGREGATE</t>
        </is>
      </c>
      <c r="P1107" s="8" t="n">
        <v>1</v>
      </c>
      <c r="Q1107" s="8" t="n">
        <v>95</v>
      </c>
      <c r="R1107" s="7" t="inlineStr">
        <is>
          <t>https://www.ande.gov.py/finanzas/2.%20COMPILACION%20ESTADISTICA%202003-2023/ANDE%20-%20Compilacion%20Estadistica%202003-2023.pdf</t>
        </is>
      </c>
      <c r="S1107" s="6" t="inlineStr">
        <is>
          <t>ANDE-03-23</t>
        </is>
      </c>
      <c r="T1107" s="6" t="inlineStr"/>
      <c r="U1107" s="4" t="inlineStr">
        <is>
          <t>2026-09-11 00:05:00</t>
        </is>
      </c>
      <c r="V1107" s="4" t="inlineStr">
        <is>
          <t>Compilacion 2003-2023; prioridad canonica. Rupturas metodologicas de categorias en 2016/2017 documentadas por ANDE.</t>
        </is>
      </c>
    </row>
    <row r="1108">
      <c r="A1108" s="6" t="inlineStr">
        <is>
          <t>R0001224</t>
        </is>
      </c>
      <c r="B1108" s="6" t="inlineStr">
        <is>
          <t>2021-01-01</t>
        </is>
      </c>
      <c r="C1108" s="6" t="inlineStr">
        <is>
          <t>2021-12-31</t>
        </is>
      </c>
      <c r="D1108" s="6" t="inlineStr">
        <is>
          <t>year</t>
        </is>
      </c>
      <c r="E1108" s="6" t="inlineStr">
        <is>
          <t>ANDE_BILLED_NATIONAL_ENERGY</t>
        </is>
      </c>
      <c r="F1108" s="6" t="inlineStr">
        <is>
          <t>PY_SIN</t>
        </is>
      </c>
      <c r="G1108" s="6" t="inlineStr">
        <is>
          <t>PY</t>
        </is>
      </c>
      <c r="H1108" s="6" t="inlineStr">
        <is>
          <t>PY</t>
        </is>
      </c>
      <c r="I1108" s="8" t="n">
        <v>13398189</v>
      </c>
      <c r="J1108" s="6" t="inlineStr">
        <is>
          <t>MWh</t>
        </is>
      </c>
      <c r="K1108" s="8" t="n">
        <v>13398189</v>
      </c>
      <c r="L1108" s="6" t="inlineStr">
        <is>
          <t>MWh</t>
        </is>
      </c>
      <c r="M1108" s="6" t="inlineStr">
        <is>
          <t>ANDE</t>
        </is>
      </c>
      <c r="N1108" s="6" t="inlineStr">
        <is>
          <t>OFFICIAL_PRIMARY</t>
        </is>
      </c>
      <c r="O1108" s="9" t="inlineStr">
        <is>
          <t>OFFICIAL_AGGREGATE</t>
        </is>
      </c>
      <c r="P1108" s="8" t="n">
        <v>1</v>
      </c>
      <c r="Q1108" s="8" t="n">
        <v>95</v>
      </c>
      <c r="R1108" s="7" t="inlineStr">
        <is>
          <t>https://www.ande.gov.py/finanzas/2.%20COMPILACION%20ESTADISTICA%202003-2023/ANDE%20-%20Compilacion%20Estadistica%202003-2023.pdf</t>
        </is>
      </c>
      <c r="S1108" s="6" t="inlineStr">
        <is>
          <t>ANDE-03-23</t>
        </is>
      </c>
      <c r="T1108" s="6" t="inlineStr"/>
      <c r="U1108" s="4" t="inlineStr">
        <is>
          <t>2026-09-11 00:05:00</t>
        </is>
      </c>
      <c r="V1108" s="4" t="inlineStr">
        <is>
          <t>Compilacion 2003-2023; prioridad canonica. Rupturas metodologicas de categorias en 2016/2017 documentadas por ANDE.</t>
        </is>
      </c>
    </row>
    <row r="1109">
      <c r="A1109" s="6" t="inlineStr">
        <is>
          <t>R0001225</t>
        </is>
      </c>
      <c r="B1109" s="6" t="inlineStr">
        <is>
          <t>2022-01-01</t>
        </is>
      </c>
      <c r="C1109" s="6" t="inlineStr">
        <is>
          <t>2022-12-31</t>
        </is>
      </c>
      <c r="D1109" s="6" t="inlineStr">
        <is>
          <t>year</t>
        </is>
      </c>
      <c r="E1109" s="6" t="inlineStr">
        <is>
          <t>ANDE_BILLED_NATIONAL_ENERGY</t>
        </is>
      </c>
      <c r="F1109" s="6" t="inlineStr">
        <is>
          <t>PY_SIN</t>
        </is>
      </c>
      <c r="G1109" s="6" t="inlineStr">
        <is>
          <t>PY</t>
        </is>
      </c>
      <c r="H1109" s="6" t="inlineStr">
        <is>
          <t>PY</t>
        </is>
      </c>
      <c r="I1109" s="8" t="n">
        <v>14132255</v>
      </c>
      <c r="J1109" s="6" t="inlineStr">
        <is>
          <t>MWh</t>
        </is>
      </c>
      <c r="K1109" s="8" t="n">
        <v>14132255</v>
      </c>
      <c r="L1109" s="6" t="inlineStr">
        <is>
          <t>MWh</t>
        </is>
      </c>
      <c r="M1109" s="6" t="inlineStr">
        <is>
          <t>ANDE</t>
        </is>
      </c>
      <c r="N1109" s="6" t="inlineStr">
        <is>
          <t>OFFICIAL_PRIMARY</t>
        </is>
      </c>
      <c r="O1109" s="9" t="inlineStr">
        <is>
          <t>OFFICIAL_AGGREGATE</t>
        </is>
      </c>
      <c r="P1109" s="8" t="n">
        <v>1</v>
      </c>
      <c r="Q1109" s="8" t="n">
        <v>95</v>
      </c>
      <c r="R1109" s="7" t="inlineStr">
        <is>
          <t>https://www.ande.gov.py/finanzas/2.%20COMPILACION%20ESTADISTICA%202003-2023/ANDE%20-%20Compilacion%20Estadistica%202003-2023.pdf</t>
        </is>
      </c>
      <c r="S1109" s="6" t="inlineStr">
        <is>
          <t>ANDE-03-23</t>
        </is>
      </c>
      <c r="T1109" s="6" t="inlineStr"/>
      <c r="U1109" s="4" t="inlineStr">
        <is>
          <t>2026-09-11 00:05:00</t>
        </is>
      </c>
      <c r="V1109" s="4" t="inlineStr">
        <is>
          <t>Compilacion 2003-2023; prioridad canonica. Rupturas metodologicas de categorias en 2016/2017 documentadas por ANDE.</t>
        </is>
      </c>
    </row>
    <row r="1110">
      <c r="A1110" s="6" t="inlineStr">
        <is>
          <t>R0001226</t>
        </is>
      </c>
      <c r="B1110" s="6" t="inlineStr">
        <is>
          <t>2023-01-01</t>
        </is>
      </c>
      <c r="C1110" s="6" t="inlineStr">
        <is>
          <t>2023-12-31</t>
        </is>
      </c>
      <c r="D1110" s="6" t="inlineStr">
        <is>
          <t>year</t>
        </is>
      </c>
      <c r="E1110" s="6" t="inlineStr">
        <is>
          <t>ANDE_BILLED_NATIONAL_ENERGY</t>
        </is>
      </c>
      <c r="F1110" s="6" t="inlineStr">
        <is>
          <t>PY_SIN</t>
        </is>
      </c>
      <c r="G1110" s="6" t="inlineStr">
        <is>
          <t>PY</t>
        </is>
      </c>
      <c r="H1110" s="6" t="inlineStr">
        <is>
          <t>PY</t>
        </is>
      </c>
      <c r="I1110" s="8" t="n">
        <v>15460851</v>
      </c>
      <c r="J1110" s="6" t="inlineStr">
        <is>
          <t>MWh</t>
        </is>
      </c>
      <c r="K1110" s="8" t="n">
        <v>15460851</v>
      </c>
      <c r="L1110" s="6" t="inlineStr">
        <is>
          <t>MWh</t>
        </is>
      </c>
      <c r="M1110" s="6" t="inlineStr">
        <is>
          <t>ANDE</t>
        </is>
      </c>
      <c r="N1110" s="6" t="inlineStr">
        <is>
          <t>OFFICIAL_PRIMARY</t>
        </is>
      </c>
      <c r="O1110" s="9" t="inlineStr">
        <is>
          <t>OFFICIAL_AGGREGATE</t>
        </is>
      </c>
      <c r="P1110" s="8" t="n">
        <v>1</v>
      </c>
      <c r="Q1110" s="8" t="n">
        <v>95</v>
      </c>
      <c r="R1110" s="7" t="inlineStr">
        <is>
          <t>https://www.ande.gov.py/finanzas/2.%20COMPILACION%20ESTADISTICA%202003-2023/ANDE%20-%20Compilacion%20Estadistica%202003-2023.pdf</t>
        </is>
      </c>
      <c r="S1110" s="6" t="inlineStr">
        <is>
          <t>ANDE-03-23</t>
        </is>
      </c>
      <c r="T1110" s="6" t="inlineStr"/>
      <c r="U1110" s="4" t="inlineStr">
        <is>
          <t>2026-09-11 00:05:00</t>
        </is>
      </c>
      <c r="V1110" s="4" t="inlineStr">
        <is>
          <t>Compilacion 2003-2023; prioridad canonica. Rupturas metodologicas de categorias en 2016/2017 documentadas por ANDE.</t>
        </is>
      </c>
    </row>
    <row r="1111">
      <c r="A1111" s="6" t="inlineStr">
        <is>
          <t>R0001227</t>
        </is>
      </c>
      <c r="B1111" s="6" t="inlineStr">
        <is>
          <t>2003-01-01</t>
        </is>
      </c>
      <c r="C1111" s="6" t="inlineStr">
        <is>
          <t>2003-12-31</t>
        </is>
      </c>
      <c r="D1111" s="6" t="inlineStr">
        <is>
          <t>year</t>
        </is>
      </c>
      <c r="E1111" s="6" t="inlineStr">
        <is>
          <t>ANDE_EXPORT_BILLED_ENERGY</t>
        </is>
      </c>
      <c r="F1111" s="6" t="inlineStr">
        <is>
          <t>PY_SIN</t>
        </is>
      </c>
      <c r="G1111" s="6" t="inlineStr">
        <is>
          <t>PY</t>
        </is>
      </c>
      <c r="H1111" s="6" t="inlineStr">
        <is>
          <t>EXTERNAL</t>
        </is>
      </c>
      <c r="I1111" s="8" t="n">
        <v>617476</v>
      </c>
      <c r="J1111" s="6" t="inlineStr">
        <is>
          <t>MWh</t>
        </is>
      </c>
      <c r="K1111" s="8" t="n">
        <v>617476</v>
      </c>
      <c r="L1111" s="6" t="inlineStr">
        <is>
          <t>MWh</t>
        </is>
      </c>
      <c r="M1111" s="6" t="inlineStr">
        <is>
          <t>ANDE</t>
        </is>
      </c>
      <c r="N1111" s="6" t="inlineStr">
        <is>
          <t>OFFICIAL_PRIMARY</t>
        </is>
      </c>
      <c r="O1111" s="9" t="inlineStr">
        <is>
          <t>OFFICIAL_AGGREGATE</t>
        </is>
      </c>
      <c r="P1111" s="8" t="n">
        <v>1</v>
      </c>
      <c r="Q1111" s="8" t="n">
        <v>95</v>
      </c>
      <c r="R1111" s="7" t="inlineStr">
        <is>
          <t>https://www.ande.gov.py/finanzas/2.%20COMPILACION%20ESTADISTICA%202003-2023/ANDE%20-%20Compilacion%20Estadistica%202003-2023.pdf</t>
        </is>
      </c>
      <c r="S1111" s="6" t="inlineStr">
        <is>
          <t>ANDE-03-23</t>
        </is>
      </c>
      <c r="T1111" s="6" t="inlineStr"/>
      <c r="U1111" s="4" t="inlineStr">
        <is>
          <t>2026-09-11 00:05:00</t>
        </is>
      </c>
      <c r="V1111" s="4" t="inlineStr">
        <is>
          <t>Compilacion 2003-2023; prioridad canonica. Rupturas metodologicas de categorias en 2016/2017 documentadas por ANDE.</t>
        </is>
      </c>
    </row>
    <row r="1112">
      <c r="A1112" s="6" t="inlineStr">
        <is>
          <t>R0001228</t>
        </is>
      </c>
      <c r="B1112" s="6" t="inlineStr">
        <is>
          <t>2004-01-01</t>
        </is>
      </c>
      <c r="C1112" s="6" t="inlineStr">
        <is>
          <t>2004-12-31</t>
        </is>
      </c>
      <c r="D1112" s="6" t="inlineStr">
        <is>
          <t>year</t>
        </is>
      </c>
      <c r="E1112" s="6" t="inlineStr">
        <is>
          <t>ANDE_EXPORT_BILLED_ENERGY</t>
        </is>
      </c>
      <c r="F1112" s="6" t="inlineStr">
        <is>
          <t>PY_SIN</t>
        </is>
      </c>
      <c r="G1112" s="6" t="inlineStr">
        <is>
          <t>PY</t>
        </is>
      </c>
      <c r="H1112" s="6" t="inlineStr">
        <is>
          <t>EXTERNAL</t>
        </is>
      </c>
      <c r="I1112" s="8" t="n">
        <v>732380</v>
      </c>
      <c r="J1112" s="6" t="inlineStr">
        <is>
          <t>MWh</t>
        </is>
      </c>
      <c r="K1112" s="8" t="n">
        <v>732380</v>
      </c>
      <c r="L1112" s="6" t="inlineStr">
        <is>
          <t>MWh</t>
        </is>
      </c>
      <c r="M1112" s="6" t="inlineStr">
        <is>
          <t>ANDE</t>
        </is>
      </c>
      <c r="N1112" s="6" t="inlineStr">
        <is>
          <t>OFFICIAL_PRIMARY</t>
        </is>
      </c>
      <c r="O1112" s="9" t="inlineStr">
        <is>
          <t>OFFICIAL_AGGREGATE</t>
        </is>
      </c>
      <c r="P1112" s="8" t="n">
        <v>1</v>
      </c>
      <c r="Q1112" s="8" t="n">
        <v>95</v>
      </c>
      <c r="R1112" s="7" t="inlineStr">
        <is>
          <t>https://www.ande.gov.py/finanzas/2.%20COMPILACION%20ESTADISTICA%202003-2023/ANDE%20-%20Compilacion%20Estadistica%202003-2023.pdf</t>
        </is>
      </c>
      <c r="S1112" s="6" t="inlineStr">
        <is>
          <t>ANDE-03-23</t>
        </is>
      </c>
      <c r="T1112" s="6" t="inlineStr"/>
      <c r="U1112" s="4" t="inlineStr">
        <is>
          <t>2026-09-11 00:05:00</t>
        </is>
      </c>
      <c r="V1112" s="4" t="inlineStr">
        <is>
          <t>Compilacion 2003-2023; prioridad canonica. Rupturas metodologicas de categorias en 2016/2017 documentadas por ANDE.</t>
        </is>
      </c>
    </row>
    <row r="1113">
      <c r="A1113" s="6" t="inlineStr">
        <is>
          <t>R0001229</t>
        </is>
      </c>
      <c r="B1113" s="6" t="inlineStr">
        <is>
          <t>2005-01-01</t>
        </is>
      </c>
      <c r="C1113" s="6" t="inlineStr">
        <is>
          <t>2005-12-31</t>
        </is>
      </c>
      <c r="D1113" s="6" t="inlineStr">
        <is>
          <t>year</t>
        </is>
      </c>
      <c r="E1113" s="6" t="inlineStr">
        <is>
          <t>ANDE_EXPORT_BILLED_ENERGY</t>
        </is>
      </c>
      <c r="F1113" s="6" t="inlineStr">
        <is>
          <t>PY_SIN</t>
        </is>
      </c>
      <c r="G1113" s="6" t="inlineStr">
        <is>
          <t>PY</t>
        </is>
      </c>
      <c r="H1113" s="6" t="inlineStr">
        <is>
          <t>EXTERNAL</t>
        </is>
      </c>
      <c r="I1113" s="8" t="n">
        <v>417117</v>
      </c>
      <c r="J1113" s="6" t="inlineStr">
        <is>
          <t>MWh</t>
        </is>
      </c>
      <c r="K1113" s="8" t="n">
        <v>417117</v>
      </c>
      <c r="L1113" s="6" t="inlineStr">
        <is>
          <t>MWh</t>
        </is>
      </c>
      <c r="M1113" s="6" t="inlineStr">
        <is>
          <t>ANDE</t>
        </is>
      </c>
      <c r="N1113" s="6" t="inlineStr">
        <is>
          <t>OFFICIAL_PRIMARY</t>
        </is>
      </c>
      <c r="O1113" s="9" t="inlineStr">
        <is>
          <t>OFFICIAL_AGGREGATE</t>
        </is>
      </c>
      <c r="P1113" s="8" t="n">
        <v>1</v>
      </c>
      <c r="Q1113" s="8" t="n">
        <v>95</v>
      </c>
      <c r="R1113" s="7" t="inlineStr">
        <is>
          <t>https://www.ande.gov.py/finanzas/2.%20COMPILACION%20ESTADISTICA%202003-2023/ANDE%20-%20Compilacion%20Estadistica%202003-2023.pdf</t>
        </is>
      </c>
      <c r="S1113" s="6" t="inlineStr">
        <is>
          <t>ANDE-03-23</t>
        </is>
      </c>
      <c r="T1113" s="6" t="inlineStr"/>
      <c r="U1113" s="4" t="inlineStr">
        <is>
          <t>2026-09-11 00:05:00</t>
        </is>
      </c>
      <c r="V1113" s="4" t="inlineStr">
        <is>
          <t>Compilacion 2003-2023; prioridad canonica. Rupturas metodologicas de categorias en 2016/2017 documentadas por ANDE.</t>
        </is>
      </c>
    </row>
    <row r="1114">
      <c r="A1114" s="6" t="inlineStr">
        <is>
          <t>R0001230</t>
        </is>
      </c>
      <c r="B1114" s="6" t="inlineStr">
        <is>
          <t>2006-01-01</t>
        </is>
      </c>
      <c r="C1114" s="6" t="inlineStr">
        <is>
          <t>2006-12-31</t>
        </is>
      </c>
      <c r="D1114" s="6" t="inlineStr">
        <is>
          <t>year</t>
        </is>
      </c>
      <c r="E1114" s="6" t="inlineStr">
        <is>
          <t>ANDE_EXPORT_BILLED_ENERGY</t>
        </is>
      </c>
      <c r="F1114" s="6" t="inlineStr">
        <is>
          <t>PY_SIN</t>
        </is>
      </c>
      <c r="G1114" s="6" t="inlineStr">
        <is>
          <t>PY</t>
        </is>
      </c>
      <c r="H1114" s="6" t="inlineStr">
        <is>
          <t>EXTERNAL</t>
        </is>
      </c>
      <c r="I1114" s="8" t="n">
        <v>725646</v>
      </c>
      <c r="J1114" s="6" t="inlineStr">
        <is>
          <t>MWh</t>
        </is>
      </c>
      <c r="K1114" s="8" t="n">
        <v>725646</v>
      </c>
      <c r="L1114" s="6" t="inlineStr">
        <is>
          <t>MWh</t>
        </is>
      </c>
      <c r="M1114" s="6" t="inlineStr">
        <is>
          <t>ANDE</t>
        </is>
      </c>
      <c r="N1114" s="6" t="inlineStr">
        <is>
          <t>OFFICIAL_PRIMARY</t>
        </is>
      </c>
      <c r="O1114" s="9" t="inlineStr">
        <is>
          <t>OFFICIAL_AGGREGATE</t>
        </is>
      </c>
      <c r="P1114" s="8" t="n">
        <v>1</v>
      </c>
      <c r="Q1114" s="8" t="n">
        <v>95</v>
      </c>
      <c r="R1114" s="7" t="inlineStr">
        <is>
          <t>https://www.ande.gov.py/finanzas/2.%20COMPILACION%20ESTADISTICA%202003-2023/ANDE%20-%20Compilacion%20Estadistica%202003-2023.pdf</t>
        </is>
      </c>
      <c r="S1114" s="6" t="inlineStr">
        <is>
          <t>ANDE-03-23</t>
        </is>
      </c>
      <c r="T1114" s="6" t="inlineStr"/>
      <c r="U1114" s="4" t="inlineStr">
        <is>
          <t>2026-09-11 00:05:00</t>
        </is>
      </c>
      <c r="V1114" s="4" t="inlineStr">
        <is>
          <t>Compilacion 2003-2023; prioridad canonica. Rupturas metodologicas de categorias en 2016/2017 documentadas por ANDE.</t>
        </is>
      </c>
    </row>
    <row r="1115">
      <c r="A1115" s="6" t="inlineStr">
        <is>
          <t>R0001231</t>
        </is>
      </c>
      <c r="B1115" s="6" t="inlineStr">
        <is>
          <t>2007-01-01</t>
        </is>
      </c>
      <c r="C1115" s="6" t="inlineStr">
        <is>
          <t>2007-12-31</t>
        </is>
      </c>
      <c r="D1115" s="6" t="inlineStr">
        <is>
          <t>year</t>
        </is>
      </c>
      <c r="E1115" s="6" t="inlineStr">
        <is>
          <t>ANDE_EXPORT_BILLED_ENERGY</t>
        </is>
      </c>
      <c r="F1115" s="6" t="inlineStr">
        <is>
          <t>PY_SIN</t>
        </is>
      </c>
      <c r="G1115" s="6" t="inlineStr">
        <is>
          <t>PY</t>
        </is>
      </c>
      <c r="H1115" s="6" t="inlineStr">
        <is>
          <t>EXTERNAL</t>
        </is>
      </c>
      <c r="I1115" s="8" t="n">
        <v>516677</v>
      </c>
      <c r="J1115" s="6" t="inlineStr">
        <is>
          <t>MWh</t>
        </is>
      </c>
      <c r="K1115" s="8" t="n">
        <v>516677</v>
      </c>
      <c r="L1115" s="6" t="inlineStr">
        <is>
          <t>MWh</t>
        </is>
      </c>
      <c r="M1115" s="6" t="inlineStr">
        <is>
          <t>ANDE</t>
        </is>
      </c>
      <c r="N1115" s="6" t="inlineStr">
        <is>
          <t>OFFICIAL_PRIMARY</t>
        </is>
      </c>
      <c r="O1115" s="9" t="inlineStr">
        <is>
          <t>OFFICIAL_AGGREGATE</t>
        </is>
      </c>
      <c r="P1115" s="8" t="n">
        <v>1</v>
      </c>
      <c r="Q1115" s="8" t="n">
        <v>95</v>
      </c>
      <c r="R1115" s="7" t="inlineStr">
        <is>
          <t>https://www.ande.gov.py/finanzas/2.%20COMPILACION%20ESTADISTICA%202003-2023/ANDE%20-%20Compilacion%20Estadistica%202003-2023.pdf</t>
        </is>
      </c>
      <c r="S1115" s="6" t="inlineStr">
        <is>
          <t>ANDE-03-23</t>
        </is>
      </c>
      <c r="T1115" s="6" t="inlineStr"/>
      <c r="U1115" s="4" t="inlineStr">
        <is>
          <t>2026-09-11 00:05:00</t>
        </is>
      </c>
      <c r="V1115" s="4" t="inlineStr">
        <is>
          <t>Compilacion 2003-2023; prioridad canonica. Rupturas metodologicas de categorias en 2016/2017 documentadas por ANDE.</t>
        </is>
      </c>
    </row>
    <row r="1116">
      <c r="A1116" s="6" t="inlineStr">
        <is>
          <t>R0001232</t>
        </is>
      </c>
      <c r="B1116" s="6" t="inlineStr">
        <is>
          <t>2008-01-01</t>
        </is>
      </c>
      <c r="C1116" s="6" t="inlineStr">
        <is>
          <t>2008-12-31</t>
        </is>
      </c>
      <c r="D1116" s="6" t="inlineStr">
        <is>
          <t>year</t>
        </is>
      </c>
      <c r="E1116" s="6" t="inlineStr">
        <is>
          <t>ANDE_EXPORT_BILLED_ENERGY</t>
        </is>
      </c>
      <c r="F1116" s="6" t="inlineStr">
        <is>
          <t>PY_SIN</t>
        </is>
      </c>
      <c r="G1116" s="6" t="inlineStr">
        <is>
          <t>PY</t>
        </is>
      </c>
      <c r="H1116" s="6" t="inlineStr">
        <is>
          <t>EXTERNAL</t>
        </is>
      </c>
      <c r="I1116" s="8" t="n">
        <v>187682</v>
      </c>
      <c r="J1116" s="6" t="inlineStr">
        <is>
          <t>MWh</t>
        </is>
      </c>
      <c r="K1116" s="8" t="n">
        <v>187682</v>
      </c>
      <c r="L1116" s="6" t="inlineStr">
        <is>
          <t>MWh</t>
        </is>
      </c>
      <c r="M1116" s="6" t="inlineStr">
        <is>
          <t>ANDE</t>
        </is>
      </c>
      <c r="N1116" s="6" t="inlineStr">
        <is>
          <t>OFFICIAL_PRIMARY</t>
        </is>
      </c>
      <c r="O1116" s="9" t="inlineStr">
        <is>
          <t>OFFICIAL_AGGREGATE</t>
        </is>
      </c>
      <c r="P1116" s="8" t="n">
        <v>1</v>
      </c>
      <c r="Q1116" s="8" t="n">
        <v>95</v>
      </c>
      <c r="R1116" s="7" t="inlineStr">
        <is>
          <t>https://www.ande.gov.py/finanzas/2.%20COMPILACION%20ESTADISTICA%202003-2023/ANDE%20-%20Compilacion%20Estadistica%202003-2023.pdf</t>
        </is>
      </c>
      <c r="S1116" s="6" t="inlineStr">
        <is>
          <t>ANDE-03-23</t>
        </is>
      </c>
      <c r="T1116" s="6" t="inlineStr"/>
      <c r="U1116" s="4" t="inlineStr">
        <is>
          <t>2026-09-11 00:05:00</t>
        </is>
      </c>
      <c r="V1116" s="4" t="inlineStr">
        <is>
          <t>Compilacion 2003-2023; prioridad canonica. Rupturas metodologicas de categorias en 2016/2017 documentadas por ANDE.</t>
        </is>
      </c>
    </row>
    <row r="1117">
      <c r="A1117" s="6" t="inlineStr">
        <is>
          <t>R0001233</t>
        </is>
      </c>
      <c r="B1117" s="6" t="inlineStr">
        <is>
          <t>2009-01-01</t>
        </is>
      </c>
      <c r="C1117" s="6" t="inlineStr">
        <is>
          <t>2009-12-31</t>
        </is>
      </c>
      <c r="D1117" s="6" t="inlineStr">
        <is>
          <t>year</t>
        </is>
      </c>
      <c r="E1117" s="6" t="inlineStr">
        <is>
          <t>ANDE_EXPORT_BILLED_ENERGY</t>
        </is>
      </c>
      <c r="F1117" s="6" t="inlineStr">
        <is>
          <t>PY_SIN</t>
        </is>
      </c>
      <c r="G1117" s="6" t="inlineStr">
        <is>
          <t>PY</t>
        </is>
      </c>
      <c r="H1117" s="6" t="inlineStr">
        <is>
          <t>EXTERNAL</t>
        </is>
      </c>
      <c r="I1117" s="8" t="n">
        <v>448213</v>
      </c>
      <c r="J1117" s="6" t="inlineStr">
        <is>
          <t>MWh</t>
        </is>
      </c>
      <c r="K1117" s="8" t="n">
        <v>448213</v>
      </c>
      <c r="L1117" s="6" t="inlineStr">
        <is>
          <t>MWh</t>
        </is>
      </c>
      <c r="M1117" s="6" t="inlineStr">
        <is>
          <t>ANDE</t>
        </is>
      </c>
      <c r="N1117" s="6" t="inlineStr">
        <is>
          <t>OFFICIAL_PRIMARY</t>
        </is>
      </c>
      <c r="O1117" s="9" t="inlineStr">
        <is>
          <t>OFFICIAL_AGGREGATE</t>
        </is>
      </c>
      <c r="P1117" s="8" t="n">
        <v>1</v>
      </c>
      <c r="Q1117" s="8" t="n">
        <v>95</v>
      </c>
      <c r="R1117" s="7" t="inlineStr">
        <is>
          <t>https://www.ande.gov.py/finanzas/2.%20COMPILACION%20ESTADISTICA%202003-2023/ANDE%20-%20Compilacion%20Estadistica%202003-2023.pdf</t>
        </is>
      </c>
      <c r="S1117" s="6" t="inlineStr">
        <is>
          <t>ANDE-03-23</t>
        </is>
      </c>
      <c r="T1117" s="6" t="inlineStr"/>
      <c r="U1117" s="4" t="inlineStr">
        <is>
          <t>2026-09-11 00:05:00</t>
        </is>
      </c>
      <c r="V1117" s="4" t="inlineStr">
        <is>
          <t>Compilacion 2003-2023; prioridad canonica. Rupturas metodologicas de categorias en 2016/2017 documentadas por ANDE.</t>
        </is>
      </c>
    </row>
    <row r="1118">
      <c r="A1118" s="6" t="inlineStr">
        <is>
          <t>R0001234</t>
        </is>
      </c>
      <c r="B1118" s="6" t="inlineStr">
        <is>
          <t>2010-01-01</t>
        </is>
      </c>
      <c r="C1118" s="6" t="inlineStr">
        <is>
          <t>2010-12-31</t>
        </is>
      </c>
      <c r="D1118" s="6" t="inlineStr">
        <is>
          <t>year</t>
        </is>
      </c>
      <c r="E1118" s="6" t="inlineStr">
        <is>
          <t>ANDE_EXPORT_BILLED_ENERGY</t>
        </is>
      </c>
      <c r="F1118" s="6" t="inlineStr">
        <is>
          <t>PY_SIN</t>
        </is>
      </c>
      <c r="G1118" s="6" t="inlineStr">
        <is>
          <t>PY</t>
        </is>
      </c>
      <c r="H1118" s="6" t="inlineStr">
        <is>
          <t>EXTERNAL</t>
        </is>
      </c>
      <c r="I1118" s="8" t="n">
        <v>355233</v>
      </c>
      <c r="J1118" s="6" t="inlineStr">
        <is>
          <t>MWh</t>
        </is>
      </c>
      <c r="K1118" s="8" t="n">
        <v>355233</v>
      </c>
      <c r="L1118" s="6" t="inlineStr">
        <is>
          <t>MWh</t>
        </is>
      </c>
      <c r="M1118" s="6" t="inlineStr">
        <is>
          <t>ANDE</t>
        </is>
      </c>
      <c r="N1118" s="6" t="inlineStr">
        <is>
          <t>OFFICIAL_PRIMARY</t>
        </is>
      </c>
      <c r="O1118" s="9" t="inlineStr">
        <is>
          <t>OFFICIAL_AGGREGATE</t>
        </is>
      </c>
      <c r="P1118" s="8" t="n">
        <v>1</v>
      </c>
      <c r="Q1118" s="8" t="n">
        <v>95</v>
      </c>
      <c r="R1118" s="7" t="inlineStr">
        <is>
          <t>https://www.ande.gov.py/finanzas/2.%20COMPILACION%20ESTADISTICA%202003-2023/ANDE%20-%20Compilacion%20Estadistica%202003-2023.pdf</t>
        </is>
      </c>
      <c r="S1118" s="6" t="inlineStr">
        <is>
          <t>ANDE-03-23</t>
        </is>
      </c>
      <c r="T1118" s="6" t="inlineStr"/>
      <c r="U1118" s="4" t="inlineStr">
        <is>
          <t>2026-09-11 00:05:00</t>
        </is>
      </c>
      <c r="V1118" s="4" t="inlineStr">
        <is>
          <t>Compilacion 2003-2023; prioridad canonica. Rupturas metodologicas de categorias en 2016/2017 documentadas por ANDE.</t>
        </is>
      </c>
    </row>
    <row r="1119">
      <c r="A1119" s="6" t="inlineStr">
        <is>
          <t>R0001235</t>
        </is>
      </c>
      <c r="B1119" s="6" t="inlineStr">
        <is>
          <t>2011-01-01</t>
        </is>
      </c>
      <c r="C1119" s="6" t="inlineStr">
        <is>
          <t>2011-12-31</t>
        </is>
      </c>
      <c r="D1119" s="6" t="inlineStr">
        <is>
          <t>year</t>
        </is>
      </c>
      <c r="E1119" s="6" t="inlineStr">
        <is>
          <t>ANDE_EXPORT_BILLED_ENERGY</t>
        </is>
      </c>
      <c r="F1119" s="6" t="inlineStr">
        <is>
          <t>PY_SIN</t>
        </is>
      </c>
      <c r="G1119" s="6" t="inlineStr">
        <is>
          <t>PY</t>
        </is>
      </c>
      <c r="H1119" s="6" t="inlineStr">
        <is>
          <t>EXTERNAL</t>
        </is>
      </c>
      <c r="I1119" s="8" t="n">
        <v>135862</v>
      </c>
      <c r="J1119" s="6" t="inlineStr">
        <is>
          <t>MWh</t>
        </is>
      </c>
      <c r="K1119" s="8" t="n">
        <v>135862</v>
      </c>
      <c r="L1119" s="6" t="inlineStr">
        <is>
          <t>MWh</t>
        </is>
      </c>
      <c r="M1119" s="6" t="inlineStr">
        <is>
          <t>ANDE</t>
        </is>
      </c>
      <c r="N1119" s="6" t="inlineStr">
        <is>
          <t>OFFICIAL_PRIMARY</t>
        </is>
      </c>
      <c r="O1119" s="9" t="inlineStr">
        <is>
          <t>OFFICIAL_AGGREGATE</t>
        </is>
      </c>
      <c r="P1119" s="8" t="n">
        <v>1</v>
      </c>
      <c r="Q1119" s="8" t="n">
        <v>95</v>
      </c>
      <c r="R1119" s="7" t="inlineStr">
        <is>
          <t>https://www.ande.gov.py/finanzas/2.%20COMPILACION%20ESTADISTICA%202003-2023/ANDE%20-%20Compilacion%20Estadistica%202003-2023.pdf</t>
        </is>
      </c>
      <c r="S1119" s="6" t="inlineStr">
        <is>
          <t>ANDE-03-23</t>
        </is>
      </c>
      <c r="T1119" s="6" t="inlineStr"/>
      <c r="U1119" s="4" t="inlineStr">
        <is>
          <t>2026-09-11 00:05:00</t>
        </is>
      </c>
      <c r="V1119" s="4" t="inlineStr">
        <is>
          <t>Compilacion 2003-2023; prioridad canonica. Rupturas metodologicas de categorias en 2016/2017 documentadas por ANDE.</t>
        </is>
      </c>
    </row>
    <row r="1120">
      <c r="A1120" s="6" t="inlineStr">
        <is>
          <t>R0001236</t>
        </is>
      </c>
      <c r="B1120" s="6" t="inlineStr">
        <is>
          <t>2012-01-01</t>
        </is>
      </c>
      <c r="C1120" s="6" t="inlineStr">
        <is>
          <t>2012-12-31</t>
        </is>
      </c>
      <c r="D1120" s="6" t="inlineStr">
        <is>
          <t>year</t>
        </is>
      </c>
      <c r="E1120" s="6" t="inlineStr">
        <is>
          <t>ANDE_EXPORT_BILLED_ENERGY</t>
        </is>
      </c>
      <c r="F1120" s="6" t="inlineStr">
        <is>
          <t>PY_SIN</t>
        </is>
      </c>
      <c r="G1120" s="6" t="inlineStr">
        <is>
          <t>PY</t>
        </is>
      </c>
      <c r="H1120" s="6" t="inlineStr">
        <is>
          <t>EXTERNAL</t>
        </is>
      </c>
      <c r="I1120" s="8" t="n">
        <v>151068</v>
      </c>
      <c r="J1120" s="6" t="inlineStr">
        <is>
          <t>MWh</t>
        </is>
      </c>
      <c r="K1120" s="8" t="n">
        <v>151068</v>
      </c>
      <c r="L1120" s="6" t="inlineStr">
        <is>
          <t>MWh</t>
        </is>
      </c>
      <c r="M1120" s="6" t="inlineStr">
        <is>
          <t>ANDE</t>
        </is>
      </c>
      <c r="N1120" s="6" t="inlineStr">
        <is>
          <t>OFFICIAL_PRIMARY</t>
        </is>
      </c>
      <c r="O1120" s="9" t="inlineStr">
        <is>
          <t>OFFICIAL_AGGREGATE</t>
        </is>
      </c>
      <c r="P1120" s="8" t="n">
        <v>1</v>
      </c>
      <c r="Q1120" s="8" t="n">
        <v>95</v>
      </c>
      <c r="R1120" s="7" t="inlineStr">
        <is>
          <t>https://www.ande.gov.py/finanzas/2.%20COMPILACION%20ESTADISTICA%202003-2023/ANDE%20-%20Compilacion%20Estadistica%202003-2023.pdf</t>
        </is>
      </c>
      <c r="S1120" s="6" t="inlineStr">
        <is>
          <t>ANDE-03-23</t>
        </is>
      </c>
      <c r="T1120" s="6" t="inlineStr"/>
      <c r="U1120" s="4" t="inlineStr">
        <is>
          <t>2026-09-11 00:05:00</t>
        </is>
      </c>
      <c r="V1120" s="4" t="inlineStr">
        <is>
          <t>Compilacion 2003-2023; prioridad canonica. Rupturas metodologicas de categorias en 2016/2017 documentadas por ANDE.</t>
        </is>
      </c>
    </row>
    <row r="1121">
      <c r="A1121" s="6" t="inlineStr">
        <is>
          <t>R0001237</t>
        </is>
      </c>
      <c r="B1121" s="6" t="inlineStr">
        <is>
          <t>2013-01-01</t>
        </is>
      </c>
      <c r="C1121" s="6" t="inlineStr">
        <is>
          <t>2013-12-31</t>
        </is>
      </c>
      <c r="D1121" s="6" t="inlineStr">
        <is>
          <t>year</t>
        </is>
      </c>
      <c r="E1121" s="6" t="inlineStr">
        <is>
          <t>ANDE_EXPORT_BILLED_ENERGY</t>
        </is>
      </c>
      <c r="F1121" s="6" t="inlineStr">
        <is>
          <t>PY_SIN</t>
        </is>
      </c>
      <c r="G1121" s="6" t="inlineStr">
        <is>
          <t>PY</t>
        </is>
      </c>
      <c r="H1121" s="6" t="inlineStr">
        <is>
          <t>EXTERNAL</t>
        </is>
      </c>
      <c r="I1121" s="8" t="n">
        <v>135348</v>
      </c>
      <c r="J1121" s="6" t="inlineStr">
        <is>
          <t>MWh</t>
        </is>
      </c>
      <c r="K1121" s="8" t="n">
        <v>135348</v>
      </c>
      <c r="L1121" s="6" t="inlineStr">
        <is>
          <t>MWh</t>
        </is>
      </c>
      <c r="M1121" s="6" t="inlineStr">
        <is>
          <t>ANDE</t>
        </is>
      </c>
      <c r="N1121" s="6" t="inlineStr">
        <is>
          <t>OFFICIAL_PRIMARY</t>
        </is>
      </c>
      <c r="O1121" s="9" t="inlineStr">
        <is>
          <t>OFFICIAL_AGGREGATE</t>
        </is>
      </c>
      <c r="P1121" s="8" t="n">
        <v>1</v>
      </c>
      <c r="Q1121" s="8" t="n">
        <v>95</v>
      </c>
      <c r="R1121" s="7" t="inlineStr">
        <is>
          <t>https://www.ande.gov.py/finanzas/2.%20COMPILACION%20ESTADISTICA%202003-2023/ANDE%20-%20Compilacion%20Estadistica%202003-2023.pdf</t>
        </is>
      </c>
      <c r="S1121" s="6" t="inlineStr">
        <is>
          <t>ANDE-03-23</t>
        </is>
      </c>
      <c r="T1121" s="6" t="inlineStr"/>
      <c r="U1121" s="4" t="inlineStr">
        <is>
          <t>2026-09-11 00:05:00</t>
        </is>
      </c>
      <c r="V1121" s="4" t="inlineStr">
        <is>
          <t>Compilacion 2003-2023; prioridad canonica. Rupturas metodologicas de categorias en 2016/2017 documentadas por ANDE.</t>
        </is>
      </c>
    </row>
    <row r="1122">
      <c r="A1122" s="6" t="inlineStr">
        <is>
          <t>R0001238</t>
        </is>
      </c>
      <c r="B1122" s="6" t="inlineStr">
        <is>
          <t>2014-01-01</t>
        </is>
      </c>
      <c r="C1122" s="6" t="inlineStr">
        <is>
          <t>2014-12-31</t>
        </is>
      </c>
      <c r="D1122" s="6" t="inlineStr">
        <is>
          <t>year</t>
        </is>
      </c>
      <c r="E1122" s="6" t="inlineStr">
        <is>
          <t>ANDE_EXPORT_BILLED_ENERGY</t>
        </is>
      </c>
      <c r="F1122" s="6" t="inlineStr">
        <is>
          <t>PY_SIN</t>
        </is>
      </c>
      <c r="G1122" s="6" t="inlineStr">
        <is>
          <t>PY</t>
        </is>
      </c>
      <c r="H1122" s="6" t="inlineStr">
        <is>
          <t>EXTERNAL</t>
        </is>
      </c>
      <c r="I1122" s="8" t="n">
        <v>116132</v>
      </c>
      <c r="J1122" s="6" t="inlineStr">
        <is>
          <t>MWh</t>
        </is>
      </c>
      <c r="K1122" s="8" t="n">
        <v>116132</v>
      </c>
      <c r="L1122" s="6" t="inlineStr">
        <is>
          <t>MWh</t>
        </is>
      </c>
      <c r="M1122" s="6" t="inlineStr">
        <is>
          <t>ANDE</t>
        </is>
      </c>
      <c r="N1122" s="6" t="inlineStr">
        <is>
          <t>OFFICIAL_PRIMARY</t>
        </is>
      </c>
      <c r="O1122" s="9" t="inlineStr">
        <is>
          <t>OFFICIAL_AGGREGATE</t>
        </is>
      </c>
      <c r="P1122" s="8" t="n">
        <v>1</v>
      </c>
      <c r="Q1122" s="8" t="n">
        <v>95</v>
      </c>
      <c r="R1122" s="7" t="inlineStr">
        <is>
          <t>https://www.ande.gov.py/finanzas/2.%20COMPILACION%20ESTADISTICA%202003-2023/ANDE%20-%20Compilacion%20Estadistica%202003-2023.pdf</t>
        </is>
      </c>
      <c r="S1122" s="6" t="inlineStr">
        <is>
          <t>ANDE-03-23</t>
        </is>
      </c>
      <c r="T1122" s="6" t="inlineStr"/>
      <c r="U1122" s="4" t="inlineStr">
        <is>
          <t>2026-09-11 00:05:00</t>
        </is>
      </c>
      <c r="V1122" s="4" t="inlineStr">
        <is>
          <t>Compilacion 2003-2023; prioridad canonica. Rupturas metodologicas de categorias en 2016/2017 documentadas por ANDE.</t>
        </is>
      </c>
    </row>
    <row r="1123">
      <c r="A1123" s="6" t="inlineStr">
        <is>
          <t>R0001239</t>
        </is>
      </c>
      <c r="B1123" s="6" t="inlineStr">
        <is>
          <t>2015-01-01</t>
        </is>
      </c>
      <c r="C1123" s="6" t="inlineStr">
        <is>
          <t>2015-12-31</t>
        </is>
      </c>
      <c r="D1123" s="6" t="inlineStr">
        <is>
          <t>year</t>
        </is>
      </c>
      <c r="E1123" s="6" t="inlineStr">
        <is>
          <t>ANDE_EXPORT_BILLED_ENERGY</t>
        </is>
      </c>
      <c r="F1123" s="6" t="inlineStr">
        <is>
          <t>PY_SIN</t>
        </is>
      </c>
      <c r="G1123" s="6" t="inlineStr">
        <is>
          <t>PY</t>
        </is>
      </c>
      <c r="H1123" s="6" t="inlineStr">
        <is>
          <t>EXTERNAL</t>
        </is>
      </c>
      <c r="I1123" s="8" t="n">
        <v>113307</v>
      </c>
      <c r="J1123" s="6" t="inlineStr">
        <is>
          <t>MWh</t>
        </is>
      </c>
      <c r="K1123" s="8" t="n">
        <v>113307</v>
      </c>
      <c r="L1123" s="6" t="inlineStr">
        <is>
          <t>MWh</t>
        </is>
      </c>
      <c r="M1123" s="6" t="inlineStr">
        <is>
          <t>ANDE</t>
        </is>
      </c>
      <c r="N1123" s="6" t="inlineStr">
        <is>
          <t>OFFICIAL_PRIMARY</t>
        </is>
      </c>
      <c r="O1123" s="9" t="inlineStr">
        <is>
          <t>OFFICIAL_AGGREGATE</t>
        </is>
      </c>
      <c r="P1123" s="8" t="n">
        <v>1</v>
      </c>
      <c r="Q1123" s="8" t="n">
        <v>95</v>
      </c>
      <c r="R1123" s="7" t="inlineStr">
        <is>
          <t>https://www.ande.gov.py/finanzas/2.%20COMPILACION%20ESTADISTICA%202003-2023/ANDE%20-%20Compilacion%20Estadistica%202003-2023.pdf</t>
        </is>
      </c>
      <c r="S1123" s="6" t="inlineStr">
        <is>
          <t>ANDE-03-23</t>
        </is>
      </c>
      <c r="T1123" s="6" t="inlineStr"/>
      <c r="U1123" s="4" t="inlineStr">
        <is>
          <t>2026-09-11 00:05:00</t>
        </is>
      </c>
      <c r="V1123" s="4" t="inlineStr">
        <is>
          <t>Compilacion 2003-2023; prioridad canonica. Rupturas metodologicas de categorias en 2016/2017 documentadas por ANDE.</t>
        </is>
      </c>
    </row>
    <row r="1124">
      <c r="A1124" s="6" t="inlineStr">
        <is>
          <t>R0001240</t>
        </is>
      </c>
      <c r="B1124" s="6" t="inlineStr">
        <is>
          <t>2016-01-01</t>
        </is>
      </c>
      <c r="C1124" s="6" t="inlineStr">
        <is>
          <t>2016-12-31</t>
        </is>
      </c>
      <c r="D1124" s="6" t="inlineStr">
        <is>
          <t>year</t>
        </is>
      </c>
      <c r="E1124" s="6" t="inlineStr">
        <is>
          <t>ANDE_EXPORT_BILLED_ENERGY</t>
        </is>
      </c>
      <c r="F1124" s="6" t="inlineStr">
        <is>
          <t>PY_SIN</t>
        </is>
      </c>
      <c r="G1124" s="6" t="inlineStr">
        <is>
          <t>PY</t>
        </is>
      </c>
      <c r="H1124" s="6" t="inlineStr">
        <is>
          <t>EXTERNAL</t>
        </is>
      </c>
      <c r="I1124" s="8" t="n">
        <v>120179</v>
      </c>
      <c r="J1124" s="6" t="inlineStr">
        <is>
          <t>MWh</t>
        </is>
      </c>
      <c r="K1124" s="8" t="n">
        <v>120179</v>
      </c>
      <c r="L1124" s="6" t="inlineStr">
        <is>
          <t>MWh</t>
        </is>
      </c>
      <c r="M1124" s="6" t="inlineStr">
        <is>
          <t>ANDE</t>
        </is>
      </c>
      <c r="N1124" s="6" t="inlineStr">
        <is>
          <t>OFFICIAL_PRIMARY</t>
        </is>
      </c>
      <c r="O1124" s="9" t="inlineStr">
        <is>
          <t>OFFICIAL_AGGREGATE</t>
        </is>
      </c>
      <c r="P1124" s="8" t="n">
        <v>1</v>
      </c>
      <c r="Q1124" s="8" t="n">
        <v>95</v>
      </c>
      <c r="R1124" s="7" t="inlineStr">
        <is>
          <t>https://www.ande.gov.py/finanzas/2.%20COMPILACION%20ESTADISTICA%202003-2023/ANDE%20-%20Compilacion%20Estadistica%202003-2023.pdf</t>
        </is>
      </c>
      <c r="S1124" s="6" t="inlineStr">
        <is>
          <t>ANDE-03-23</t>
        </is>
      </c>
      <c r="T1124" s="6" t="inlineStr"/>
      <c r="U1124" s="4" t="inlineStr">
        <is>
          <t>2026-09-11 00:05:00</t>
        </is>
      </c>
      <c r="V1124" s="4" t="inlineStr">
        <is>
          <t>Compilacion 2003-2023; prioridad canonica. Rupturas metodologicas de categorias en 2016/2017 documentadas por ANDE.</t>
        </is>
      </c>
    </row>
    <row r="1125">
      <c r="A1125" s="6" t="inlineStr">
        <is>
          <t>R0001241</t>
        </is>
      </c>
      <c r="B1125" s="6" t="inlineStr">
        <is>
          <t>2017-01-01</t>
        </is>
      </c>
      <c r="C1125" s="6" t="inlineStr">
        <is>
          <t>2017-12-31</t>
        </is>
      </c>
      <c r="D1125" s="6" t="inlineStr">
        <is>
          <t>year</t>
        </is>
      </c>
      <c r="E1125" s="6" t="inlineStr">
        <is>
          <t>ANDE_EXPORT_BILLED_ENERGY</t>
        </is>
      </c>
      <c r="F1125" s="6" t="inlineStr">
        <is>
          <t>PY_SIN</t>
        </is>
      </c>
      <c r="G1125" s="6" t="inlineStr">
        <is>
          <t>PY</t>
        </is>
      </c>
      <c r="H1125" s="6" t="inlineStr">
        <is>
          <t>EXTERNAL</t>
        </is>
      </c>
      <c r="I1125" s="8" t="n">
        <v>70493</v>
      </c>
      <c r="J1125" s="6" t="inlineStr">
        <is>
          <t>MWh</t>
        </is>
      </c>
      <c r="K1125" s="8" t="n">
        <v>70493</v>
      </c>
      <c r="L1125" s="6" t="inlineStr">
        <is>
          <t>MWh</t>
        </is>
      </c>
      <c r="M1125" s="6" t="inlineStr">
        <is>
          <t>ANDE</t>
        </is>
      </c>
      <c r="N1125" s="6" t="inlineStr">
        <is>
          <t>OFFICIAL_PRIMARY</t>
        </is>
      </c>
      <c r="O1125" s="9" t="inlineStr">
        <is>
          <t>OFFICIAL_AGGREGATE</t>
        </is>
      </c>
      <c r="P1125" s="8" t="n">
        <v>1</v>
      </c>
      <c r="Q1125" s="8" t="n">
        <v>95</v>
      </c>
      <c r="R1125" s="7" t="inlineStr">
        <is>
          <t>https://www.ande.gov.py/finanzas/2.%20COMPILACION%20ESTADISTICA%202003-2023/ANDE%20-%20Compilacion%20Estadistica%202003-2023.pdf</t>
        </is>
      </c>
      <c r="S1125" s="6" t="inlineStr">
        <is>
          <t>ANDE-03-23</t>
        </is>
      </c>
      <c r="T1125" s="6" t="inlineStr"/>
      <c r="U1125" s="4" t="inlineStr">
        <is>
          <t>2026-09-11 00:05:00</t>
        </is>
      </c>
      <c r="V1125" s="4" t="inlineStr">
        <is>
          <t>Compilacion 2003-2023; prioridad canonica. Rupturas metodologicas de categorias en 2016/2017 documentadas por ANDE.</t>
        </is>
      </c>
    </row>
    <row r="1126">
      <c r="A1126" s="6" t="inlineStr">
        <is>
          <t>R0001242</t>
        </is>
      </c>
      <c r="B1126" s="6" t="inlineStr">
        <is>
          <t>2018-01-01</t>
        </is>
      </c>
      <c r="C1126" s="6" t="inlineStr">
        <is>
          <t>2018-12-31</t>
        </is>
      </c>
      <c r="D1126" s="6" t="inlineStr">
        <is>
          <t>year</t>
        </is>
      </c>
      <c r="E1126" s="6" t="inlineStr">
        <is>
          <t>ANDE_EXPORT_BILLED_ENERGY</t>
        </is>
      </c>
      <c r="F1126" s="6" t="inlineStr">
        <is>
          <t>PY_SIN</t>
        </is>
      </c>
      <c r="G1126" s="6" t="inlineStr">
        <is>
          <t>PY</t>
        </is>
      </c>
      <c r="H1126" s="6" t="inlineStr">
        <is>
          <t>EXTERNAL</t>
        </is>
      </c>
      <c r="I1126" s="8" t="n">
        <v>26162</v>
      </c>
      <c r="J1126" s="6" t="inlineStr">
        <is>
          <t>MWh</t>
        </is>
      </c>
      <c r="K1126" s="8" t="n">
        <v>26162</v>
      </c>
      <c r="L1126" s="6" t="inlineStr">
        <is>
          <t>MWh</t>
        </is>
      </c>
      <c r="M1126" s="6" t="inlineStr">
        <is>
          <t>ANDE</t>
        </is>
      </c>
      <c r="N1126" s="6" t="inlineStr">
        <is>
          <t>OFFICIAL_PRIMARY</t>
        </is>
      </c>
      <c r="O1126" s="9" t="inlineStr">
        <is>
          <t>OFFICIAL_AGGREGATE</t>
        </is>
      </c>
      <c r="P1126" s="8" t="n">
        <v>1</v>
      </c>
      <c r="Q1126" s="8" t="n">
        <v>95</v>
      </c>
      <c r="R1126" s="7" t="inlineStr">
        <is>
          <t>https://www.ande.gov.py/finanzas/2.%20COMPILACION%20ESTADISTICA%202003-2023/ANDE%20-%20Compilacion%20Estadistica%202003-2023.pdf</t>
        </is>
      </c>
      <c r="S1126" s="6" t="inlineStr">
        <is>
          <t>ANDE-03-23</t>
        </is>
      </c>
      <c r="T1126" s="6" t="inlineStr"/>
      <c r="U1126" s="4" t="inlineStr">
        <is>
          <t>2026-09-11 00:05:00</t>
        </is>
      </c>
      <c r="V1126" s="4" t="inlineStr">
        <is>
          <t>Compilacion 2003-2023; prioridad canonica. Rupturas metodologicas de categorias en 2016/2017 documentadas por ANDE.</t>
        </is>
      </c>
    </row>
    <row r="1127">
      <c r="A1127" s="6" t="inlineStr">
        <is>
          <t>R0001243</t>
        </is>
      </c>
      <c r="B1127" s="6" t="inlineStr">
        <is>
          <t>2019-01-01</t>
        </is>
      </c>
      <c r="C1127" s="6" t="inlineStr">
        <is>
          <t>2019-12-31</t>
        </is>
      </c>
      <c r="D1127" s="6" t="inlineStr">
        <is>
          <t>year</t>
        </is>
      </c>
      <c r="E1127" s="6" t="inlineStr">
        <is>
          <t>ANDE_EXPORT_BILLED_ENERGY</t>
        </is>
      </c>
      <c r="F1127" s="6" t="inlineStr">
        <is>
          <t>PY_SIN</t>
        </is>
      </c>
      <c r="G1127" s="6" t="inlineStr">
        <is>
          <t>PY</t>
        </is>
      </c>
      <c r="H1127" s="6" t="inlineStr">
        <is>
          <t>EXTERNAL</t>
        </is>
      </c>
      <c r="I1127" s="8" t="n">
        <v>127001</v>
      </c>
      <c r="J1127" s="6" t="inlineStr">
        <is>
          <t>MWh</t>
        </is>
      </c>
      <c r="K1127" s="8" t="n">
        <v>127001</v>
      </c>
      <c r="L1127" s="6" t="inlineStr">
        <is>
          <t>MWh</t>
        </is>
      </c>
      <c r="M1127" s="6" t="inlineStr">
        <is>
          <t>ANDE</t>
        </is>
      </c>
      <c r="N1127" s="6" t="inlineStr">
        <is>
          <t>OFFICIAL_PRIMARY</t>
        </is>
      </c>
      <c r="O1127" s="9" t="inlineStr">
        <is>
          <t>OFFICIAL_AGGREGATE</t>
        </is>
      </c>
      <c r="P1127" s="8" t="n">
        <v>1</v>
      </c>
      <c r="Q1127" s="8" t="n">
        <v>95</v>
      </c>
      <c r="R1127" s="7" t="inlineStr">
        <is>
          <t>https://www.ande.gov.py/finanzas/2.%20COMPILACION%20ESTADISTICA%202003-2023/ANDE%20-%20Compilacion%20Estadistica%202003-2023.pdf</t>
        </is>
      </c>
      <c r="S1127" s="6" t="inlineStr">
        <is>
          <t>ANDE-03-23</t>
        </is>
      </c>
      <c r="T1127" s="6" t="inlineStr"/>
      <c r="U1127" s="4" t="inlineStr">
        <is>
          <t>2026-09-11 00:05:00</t>
        </is>
      </c>
      <c r="V1127" s="4" t="inlineStr">
        <is>
          <t>Compilacion 2003-2023; prioridad canonica. Rupturas metodologicas de categorias en 2016/2017 documentadas por ANDE.</t>
        </is>
      </c>
    </row>
    <row r="1128">
      <c r="A1128" s="6" t="inlineStr">
        <is>
          <t>R0001244</t>
        </is>
      </c>
      <c r="B1128" s="6" t="inlineStr">
        <is>
          <t>2020-01-01</t>
        </is>
      </c>
      <c r="C1128" s="6" t="inlineStr">
        <is>
          <t>2020-12-31</t>
        </is>
      </c>
      <c r="D1128" s="6" t="inlineStr">
        <is>
          <t>year</t>
        </is>
      </c>
      <c r="E1128" s="6" t="inlineStr">
        <is>
          <t>ANDE_EXPORT_BILLED_ENERGY</t>
        </is>
      </c>
      <c r="F1128" s="6" t="inlineStr">
        <is>
          <t>PY_SIN</t>
        </is>
      </c>
      <c r="G1128" s="6" t="inlineStr">
        <is>
          <t>PY</t>
        </is>
      </c>
      <c r="H1128" s="6" t="inlineStr">
        <is>
          <t>EXTERNAL</t>
        </is>
      </c>
      <c r="I1128" s="8" t="n">
        <v>145467</v>
      </c>
      <c r="J1128" s="6" t="inlineStr">
        <is>
          <t>MWh</t>
        </is>
      </c>
      <c r="K1128" s="8" t="n">
        <v>145467</v>
      </c>
      <c r="L1128" s="6" t="inlineStr">
        <is>
          <t>MWh</t>
        </is>
      </c>
      <c r="M1128" s="6" t="inlineStr">
        <is>
          <t>ANDE</t>
        </is>
      </c>
      <c r="N1128" s="6" t="inlineStr">
        <is>
          <t>OFFICIAL_PRIMARY</t>
        </is>
      </c>
      <c r="O1128" s="9" t="inlineStr">
        <is>
          <t>OFFICIAL_AGGREGATE</t>
        </is>
      </c>
      <c r="P1128" s="8" t="n">
        <v>1</v>
      </c>
      <c r="Q1128" s="8" t="n">
        <v>95</v>
      </c>
      <c r="R1128" s="7" t="inlineStr">
        <is>
          <t>https://www.ande.gov.py/finanzas/2.%20COMPILACION%20ESTADISTICA%202003-2023/ANDE%20-%20Compilacion%20Estadistica%202003-2023.pdf</t>
        </is>
      </c>
      <c r="S1128" s="6" t="inlineStr">
        <is>
          <t>ANDE-03-23</t>
        </is>
      </c>
      <c r="T1128" s="6" t="inlineStr"/>
      <c r="U1128" s="4" t="inlineStr">
        <is>
          <t>2026-09-11 00:05:00</t>
        </is>
      </c>
      <c r="V1128" s="4" t="inlineStr">
        <is>
          <t>Compilacion 2003-2023; prioridad canonica. Rupturas metodologicas de categorias en 2016/2017 documentadas por ANDE.</t>
        </is>
      </c>
    </row>
    <row r="1129">
      <c r="A1129" s="6" t="inlineStr">
        <is>
          <t>R0001245</t>
        </is>
      </c>
      <c r="B1129" s="6" t="inlineStr">
        <is>
          <t>2021-01-01</t>
        </is>
      </c>
      <c r="C1129" s="6" t="inlineStr">
        <is>
          <t>2021-12-31</t>
        </is>
      </c>
      <c r="D1129" s="6" t="inlineStr">
        <is>
          <t>year</t>
        </is>
      </c>
      <c r="E1129" s="6" t="inlineStr">
        <is>
          <t>ANDE_EXPORT_BILLED_ENERGY</t>
        </is>
      </c>
      <c r="F1129" s="6" t="inlineStr">
        <is>
          <t>PY_SIN</t>
        </is>
      </c>
      <c r="G1129" s="6" t="inlineStr">
        <is>
          <t>PY</t>
        </is>
      </c>
      <c r="H1129" s="6" t="inlineStr">
        <is>
          <t>EXTERNAL</t>
        </is>
      </c>
      <c r="I1129" s="8" t="n">
        <v>147793</v>
      </c>
      <c r="J1129" s="6" t="inlineStr">
        <is>
          <t>MWh</t>
        </is>
      </c>
      <c r="K1129" s="8" t="n">
        <v>147793</v>
      </c>
      <c r="L1129" s="6" t="inlineStr">
        <is>
          <t>MWh</t>
        </is>
      </c>
      <c r="M1129" s="6" t="inlineStr">
        <is>
          <t>ANDE</t>
        </is>
      </c>
      <c r="N1129" s="6" t="inlineStr">
        <is>
          <t>OFFICIAL_PRIMARY</t>
        </is>
      </c>
      <c r="O1129" s="9" t="inlineStr">
        <is>
          <t>OFFICIAL_AGGREGATE</t>
        </is>
      </c>
      <c r="P1129" s="8" t="n">
        <v>1</v>
      </c>
      <c r="Q1129" s="8" t="n">
        <v>95</v>
      </c>
      <c r="R1129" s="7" t="inlineStr">
        <is>
          <t>https://www.ande.gov.py/finanzas/2.%20COMPILACION%20ESTADISTICA%202003-2023/ANDE%20-%20Compilacion%20Estadistica%202003-2023.pdf</t>
        </is>
      </c>
      <c r="S1129" s="6" t="inlineStr">
        <is>
          <t>ANDE-03-23</t>
        </is>
      </c>
      <c r="T1129" s="6" t="inlineStr"/>
      <c r="U1129" s="4" t="inlineStr">
        <is>
          <t>2026-09-11 00:05:00</t>
        </is>
      </c>
      <c r="V1129" s="4" t="inlineStr">
        <is>
          <t>Compilacion 2003-2023; prioridad canonica. Rupturas metodologicas de categorias en 2016/2017 documentadas por ANDE.</t>
        </is>
      </c>
    </row>
    <row r="1130">
      <c r="A1130" s="6" t="inlineStr">
        <is>
          <t>R0001246</t>
        </is>
      </c>
      <c r="B1130" s="6" t="inlineStr">
        <is>
          <t>2022-01-01</t>
        </is>
      </c>
      <c r="C1130" s="6" t="inlineStr">
        <is>
          <t>2022-12-31</t>
        </is>
      </c>
      <c r="D1130" s="6" t="inlineStr">
        <is>
          <t>year</t>
        </is>
      </c>
      <c r="E1130" s="6" t="inlineStr">
        <is>
          <t>ANDE_EXPORT_BILLED_ENERGY</t>
        </is>
      </c>
      <c r="F1130" s="6" t="inlineStr">
        <is>
          <t>PY_SIN</t>
        </is>
      </c>
      <c r="G1130" s="6" t="inlineStr">
        <is>
          <t>PY</t>
        </is>
      </c>
      <c r="H1130" s="6" t="inlineStr">
        <is>
          <t>EXTERNAL</t>
        </is>
      </c>
      <c r="I1130" s="8" t="n">
        <v>106604</v>
      </c>
      <c r="J1130" s="6" t="inlineStr">
        <is>
          <t>MWh</t>
        </is>
      </c>
      <c r="K1130" s="8" t="n">
        <v>106604</v>
      </c>
      <c r="L1130" s="6" t="inlineStr">
        <is>
          <t>MWh</t>
        </is>
      </c>
      <c r="M1130" s="6" t="inlineStr">
        <is>
          <t>ANDE</t>
        </is>
      </c>
      <c r="N1130" s="6" t="inlineStr">
        <is>
          <t>OFFICIAL_PRIMARY</t>
        </is>
      </c>
      <c r="O1130" s="9" t="inlineStr">
        <is>
          <t>OFFICIAL_AGGREGATE</t>
        </is>
      </c>
      <c r="P1130" s="8" t="n">
        <v>1</v>
      </c>
      <c r="Q1130" s="8" t="n">
        <v>95</v>
      </c>
      <c r="R1130" s="7" t="inlineStr">
        <is>
          <t>https://www.ande.gov.py/finanzas/2.%20COMPILACION%20ESTADISTICA%202003-2023/ANDE%20-%20Compilacion%20Estadistica%202003-2023.pdf</t>
        </is>
      </c>
      <c r="S1130" s="6" t="inlineStr">
        <is>
          <t>ANDE-03-23</t>
        </is>
      </c>
      <c r="T1130" s="6" t="inlineStr"/>
      <c r="U1130" s="4" t="inlineStr">
        <is>
          <t>2026-09-11 00:05:00</t>
        </is>
      </c>
      <c r="V1130" s="4" t="inlineStr">
        <is>
          <t>Compilacion 2003-2023; prioridad canonica. Rupturas metodologicas de categorias en 2016/2017 documentadas por ANDE.</t>
        </is>
      </c>
    </row>
    <row r="1131">
      <c r="A1131" s="6" t="inlineStr">
        <is>
          <t>R0001247</t>
        </is>
      </c>
      <c r="B1131" s="6" t="inlineStr">
        <is>
          <t>2023-01-01</t>
        </is>
      </c>
      <c r="C1131" s="6" t="inlineStr">
        <is>
          <t>2023-12-31</t>
        </is>
      </c>
      <c r="D1131" s="6" t="inlineStr">
        <is>
          <t>year</t>
        </is>
      </c>
      <c r="E1131" s="6" t="inlineStr">
        <is>
          <t>ANDE_EXPORT_BILLED_ENERGY</t>
        </is>
      </c>
      <c r="F1131" s="6" t="inlineStr">
        <is>
          <t>PY_SIN</t>
        </is>
      </c>
      <c r="G1131" s="6" t="inlineStr">
        <is>
          <t>PY</t>
        </is>
      </c>
      <c r="H1131" s="6" t="inlineStr">
        <is>
          <t>EXTERNAL</t>
        </is>
      </c>
      <c r="I1131" s="8" t="n">
        <v>112898</v>
      </c>
      <c r="J1131" s="6" t="inlineStr">
        <is>
          <t>MWh</t>
        </is>
      </c>
      <c r="K1131" s="8" t="n">
        <v>112898</v>
      </c>
      <c r="L1131" s="6" t="inlineStr">
        <is>
          <t>MWh</t>
        </is>
      </c>
      <c r="M1131" s="6" t="inlineStr">
        <is>
          <t>ANDE</t>
        </is>
      </c>
      <c r="N1131" s="6" t="inlineStr">
        <is>
          <t>OFFICIAL_PRIMARY</t>
        </is>
      </c>
      <c r="O1131" s="9" t="inlineStr">
        <is>
          <t>OFFICIAL_AGGREGATE</t>
        </is>
      </c>
      <c r="P1131" s="8" t="n">
        <v>1</v>
      </c>
      <c r="Q1131" s="8" t="n">
        <v>95</v>
      </c>
      <c r="R1131" s="7" t="inlineStr">
        <is>
          <t>https://www.ande.gov.py/finanzas/2.%20COMPILACION%20ESTADISTICA%202003-2023/ANDE%20-%20Compilacion%20Estadistica%202003-2023.pdf</t>
        </is>
      </c>
      <c r="S1131" s="6" t="inlineStr">
        <is>
          <t>ANDE-03-23</t>
        </is>
      </c>
      <c r="T1131" s="6" t="inlineStr"/>
      <c r="U1131" s="4" t="inlineStr">
        <is>
          <t>2026-09-11 00:05:00</t>
        </is>
      </c>
      <c r="V1131" s="4" t="inlineStr">
        <is>
          <t>Compilacion 2003-2023; prioridad canonica. Rupturas metodologicas de categorias en 2016/2017 documentadas por ANDE.</t>
        </is>
      </c>
    </row>
    <row r="1132">
      <c r="A1132" s="6" t="inlineStr">
        <is>
          <t>R0001248</t>
        </is>
      </c>
      <c r="B1132" s="6" t="inlineStr">
        <is>
          <t>2003-01-01</t>
        </is>
      </c>
      <c r="C1132" s="6" t="inlineStr">
        <is>
          <t>2003-12-31</t>
        </is>
      </c>
      <c r="D1132" s="6" t="inlineStr">
        <is>
          <t>year</t>
        </is>
      </c>
      <c r="E1132" s="6" t="inlineStr">
        <is>
          <t>PY_GROSS_OWN_GENERATION</t>
        </is>
      </c>
      <c r="F1132" s="6" t="inlineStr">
        <is>
          <t>PY_SIN</t>
        </is>
      </c>
      <c r="G1132" s="6" t="inlineStr">
        <is>
          <t>PY</t>
        </is>
      </c>
      <c r="H1132" s="6" t="inlineStr">
        <is>
          <t>PY</t>
        </is>
      </c>
      <c r="I1132" s="8" t="n">
        <v>1017918</v>
      </c>
      <c r="J1132" s="6" t="inlineStr">
        <is>
          <t>MWh</t>
        </is>
      </c>
      <c r="K1132" s="8" t="n">
        <v>1017918</v>
      </c>
      <c r="L1132" s="6" t="inlineStr">
        <is>
          <t>MWh</t>
        </is>
      </c>
      <c r="M1132" s="6" t="inlineStr">
        <is>
          <t>ANDE</t>
        </is>
      </c>
      <c r="N1132" s="6" t="inlineStr">
        <is>
          <t>OFFICIAL_PRIMARY</t>
        </is>
      </c>
      <c r="O1132" s="9" t="inlineStr">
        <is>
          <t>OFFICIAL_AGGREGATE</t>
        </is>
      </c>
      <c r="P1132" s="8" t="n">
        <v>1</v>
      </c>
      <c r="Q1132" s="8" t="n">
        <v>85</v>
      </c>
      <c r="R1132" s="7" t="inlineStr">
        <is>
          <t>https://www.ande.gov.py/finanzas/2.%20COMPILACION%20ESTADISTICA%202003-2023/ANDE%20-%20Compilacion%20Estadistica%202003-2023.pdf</t>
        </is>
      </c>
      <c r="S1132" s="6" t="inlineStr">
        <is>
          <t>ANDE-03-23</t>
        </is>
      </c>
      <c r="T1132" s="6" t="inlineStr"/>
      <c r="U1132" s="4" t="inlineStr">
        <is>
          <t>2026-09-11 00:05:00</t>
        </is>
      </c>
      <c r="V1132" s="4" t="inlineStr">
        <is>
          <t>Balance electrico ANDE.</t>
        </is>
      </c>
    </row>
    <row r="1133">
      <c r="A1133" s="6" t="inlineStr">
        <is>
          <t>R0001249</t>
        </is>
      </c>
      <c r="B1133" s="6" t="inlineStr">
        <is>
          <t>2004-01-01</t>
        </is>
      </c>
      <c r="C1133" s="6" t="inlineStr">
        <is>
          <t>2004-12-31</t>
        </is>
      </c>
      <c r="D1133" s="6" t="inlineStr">
        <is>
          <t>year</t>
        </is>
      </c>
      <c r="E1133" s="6" t="inlineStr">
        <is>
          <t>PY_GROSS_OWN_GENERATION</t>
        </is>
      </c>
      <c r="F1133" s="6" t="inlineStr">
        <is>
          <t>PY_SIN</t>
        </is>
      </c>
      <c r="G1133" s="6" t="inlineStr">
        <is>
          <t>PY</t>
        </is>
      </c>
      <c r="H1133" s="6" t="inlineStr">
        <is>
          <t>PY</t>
        </is>
      </c>
      <c r="I1133" s="8" t="n">
        <v>932161</v>
      </c>
      <c r="J1133" s="6" t="inlineStr">
        <is>
          <t>MWh</t>
        </is>
      </c>
      <c r="K1133" s="8" t="n">
        <v>932161</v>
      </c>
      <c r="L1133" s="6" t="inlineStr">
        <is>
          <t>MWh</t>
        </is>
      </c>
      <c r="M1133" s="6" t="inlineStr">
        <is>
          <t>ANDE</t>
        </is>
      </c>
      <c r="N1133" s="6" t="inlineStr">
        <is>
          <t>OFFICIAL_PRIMARY</t>
        </is>
      </c>
      <c r="O1133" s="9" t="inlineStr">
        <is>
          <t>OFFICIAL_AGGREGATE</t>
        </is>
      </c>
      <c r="P1133" s="8" t="n">
        <v>1</v>
      </c>
      <c r="Q1133" s="8" t="n">
        <v>85</v>
      </c>
      <c r="R1133" s="7" t="inlineStr">
        <is>
          <t>https://www.ande.gov.py/finanzas/2.%20COMPILACION%20ESTADISTICA%202003-2023/ANDE%20-%20Compilacion%20Estadistica%202003-2023.pdf</t>
        </is>
      </c>
      <c r="S1133" s="6" t="inlineStr">
        <is>
          <t>ANDE-03-23</t>
        </is>
      </c>
      <c r="T1133" s="6" t="inlineStr"/>
      <c r="U1133" s="4" t="inlineStr">
        <is>
          <t>2026-09-11 00:05:00</t>
        </is>
      </c>
      <c r="V1133" s="4" t="inlineStr">
        <is>
          <t>Balance electrico ANDE.</t>
        </is>
      </c>
    </row>
    <row r="1134">
      <c r="A1134" s="6" t="inlineStr">
        <is>
          <t>R0001250</t>
        </is>
      </c>
      <c r="B1134" s="6" t="inlineStr">
        <is>
          <t>2005-01-01</t>
        </is>
      </c>
      <c r="C1134" s="6" t="inlineStr">
        <is>
          <t>2005-12-31</t>
        </is>
      </c>
      <c r="D1134" s="6" t="inlineStr">
        <is>
          <t>year</t>
        </is>
      </c>
      <c r="E1134" s="6" t="inlineStr">
        <is>
          <t>PY_GROSS_OWN_GENERATION</t>
        </is>
      </c>
      <c r="F1134" s="6" t="inlineStr">
        <is>
          <t>PY_SIN</t>
        </is>
      </c>
      <c r="G1134" s="6" t="inlineStr">
        <is>
          <t>PY</t>
        </is>
      </c>
      <c r="H1134" s="6" t="inlineStr">
        <is>
          <t>PY</t>
        </is>
      </c>
      <c r="I1134" s="8" t="n">
        <v>766032</v>
      </c>
      <c r="J1134" s="6" t="inlineStr">
        <is>
          <t>MWh</t>
        </is>
      </c>
      <c r="K1134" s="8" t="n">
        <v>766032</v>
      </c>
      <c r="L1134" s="6" t="inlineStr">
        <is>
          <t>MWh</t>
        </is>
      </c>
      <c r="M1134" s="6" t="inlineStr">
        <is>
          <t>ANDE</t>
        </is>
      </c>
      <c r="N1134" s="6" t="inlineStr">
        <is>
          <t>OFFICIAL_PRIMARY</t>
        </is>
      </c>
      <c r="O1134" s="9" t="inlineStr">
        <is>
          <t>OFFICIAL_AGGREGATE</t>
        </is>
      </c>
      <c r="P1134" s="8" t="n">
        <v>1</v>
      </c>
      <c r="Q1134" s="8" t="n">
        <v>85</v>
      </c>
      <c r="R1134" s="7" t="inlineStr">
        <is>
          <t>https://www.ande.gov.py/finanzas/2.%20COMPILACION%20ESTADISTICA%202003-2023/ANDE%20-%20Compilacion%20Estadistica%202003-2023.pdf</t>
        </is>
      </c>
      <c r="S1134" s="6" t="inlineStr">
        <is>
          <t>ANDE-03-23</t>
        </is>
      </c>
      <c r="T1134" s="6" t="inlineStr"/>
      <c r="U1134" s="4" t="inlineStr">
        <is>
          <t>2026-09-11 00:05:00</t>
        </is>
      </c>
      <c r="V1134" s="4" t="inlineStr">
        <is>
          <t>Balance electrico ANDE.</t>
        </is>
      </c>
    </row>
    <row r="1135">
      <c r="A1135" s="6" t="inlineStr">
        <is>
          <t>R0001251</t>
        </is>
      </c>
      <c r="B1135" s="6" t="inlineStr">
        <is>
          <t>2006-01-01</t>
        </is>
      </c>
      <c r="C1135" s="6" t="inlineStr">
        <is>
          <t>2006-12-31</t>
        </is>
      </c>
      <c r="D1135" s="6" t="inlineStr">
        <is>
          <t>year</t>
        </is>
      </c>
      <c r="E1135" s="6" t="inlineStr">
        <is>
          <t>PY_GROSS_OWN_GENERATION</t>
        </is>
      </c>
      <c r="F1135" s="6" t="inlineStr">
        <is>
          <t>PY_SIN</t>
        </is>
      </c>
      <c r="G1135" s="6" t="inlineStr">
        <is>
          <t>PY</t>
        </is>
      </c>
      <c r="H1135" s="6" t="inlineStr">
        <is>
          <t>PY</t>
        </is>
      </c>
      <c r="I1135" s="8" t="n">
        <v>801972</v>
      </c>
      <c r="J1135" s="6" t="inlineStr">
        <is>
          <t>MWh</t>
        </is>
      </c>
      <c r="K1135" s="8" t="n">
        <v>801972</v>
      </c>
      <c r="L1135" s="6" t="inlineStr">
        <is>
          <t>MWh</t>
        </is>
      </c>
      <c r="M1135" s="6" t="inlineStr">
        <is>
          <t>ANDE</t>
        </is>
      </c>
      <c r="N1135" s="6" t="inlineStr">
        <is>
          <t>OFFICIAL_PRIMARY</t>
        </is>
      </c>
      <c r="O1135" s="9" t="inlineStr">
        <is>
          <t>OFFICIAL_AGGREGATE</t>
        </is>
      </c>
      <c r="P1135" s="8" t="n">
        <v>1</v>
      </c>
      <c r="Q1135" s="8" t="n">
        <v>85</v>
      </c>
      <c r="R1135" s="7" t="inlineStr">
        <is>
          <t>https://www.ande.gov.py/finanzas/2.%20COMPILACION%20ESTADISTICA%202003-2023/ANDE%20-%20Compilacion%20Estadistica%202003-2023.pdf</t>
        </is>
      </c>
      <c r="S1135" s="6" t="inlineStr">
        <is>
          <t>ANDE-03-23</t>
        </is>
      </c>
      <c r="T1135" s="6" t="inlineStr"/>
      <c r="U1135" s="4" t="inlineStr">
        <is>
          <t>2026-09-11 00:05:00</t>
        </is>
      </c>
      <c r="V1135" s="4" t="inlineStr">
        <is>
          <t>Balance electrico ANDE.</t>
        </is>
      </c>
    </row>
    <row r="1136">
      <c r="A1136" s="6" t="inlineStr">
        <is>
          <t>R0001252</t>
        </is>
      </c>
      <c r="B1136" s="6" t="inlineStr">
        <is>
          <t>2007-01-01</t>
        </is>
      </c>
      <c r="C1136" s="6" t="inlineStr">
        <is>
          <t>2007-12-31</t>
        </is>
      </c>
      <c r="D1136" s="6" t="inlineStr">
        <is>
          <t>year</t>
        </is>
      </c>
      <c r="E1136" s="6" t="inlineStr">
        <is>
          <t>PY_GROSS_OWN_GENERATION</t>
        </is>
      </c>
      <c r="F1136" s="6" t="inlineStr">
        <is>
          <t>PY_SIN</t>
        </is>
      </c>
      <c r="G1136" s="6" t="inlineStr">
        <is>
          <t>PY</t>
        </is>
      </c>
      <c r="H1136" s="6" t="inlineStr">
        <is>
          <t>PY</t>
        </is>
      </c>
      <c r="I1136" s="8" t="n">
        <v>960945</v>
      </c>
      <c r="J1136" s="6" t="inlineStr">
        <is>
          <t>MWh</t>
        </is>
      </c>
      <c r="K1136" s="8" t="n">
        <v>960945</v>
      </c>
      <c r="L1136" s="6" t="inlineStr">
        <is>
          <t>MWh</t>
        </is>
      </c>
      <c r="M1136" s="6" t="inlineStr">
        <is>
          <t>ANDE</t>
        </is>
      </c>
      <c r="N1136" s="6" t="inlineStr">
        <is>
          <t>OFFICIAL_PRIMARY</t>
        </is>
      </c>
      <c r="O1136" s="9" t="inlineStr">
        <is>
          <t>OFFICIAL_AGGREGATE</t>
        </is>
      </c>
      <c r="P1136" s="8" t="n">
        <v>1</v>
      </c>
      <c r="Q1136" s="8" t="n">
        <v>85</v>
      </c>
      <c r="R1136" s="7" t="inlineStr">
        <is>
          <t>https://www.ande.gov.py/finanzas/2.%20COMPILACION%20ESTADISTICA%202003-2023/ANDE%20-%20Compilacion%20Estadistica%202003-2023.pdf</t>
        </is>
      </c>
      <c r="S1136" s="6" t="inlineStr">
        <is>
          <t>ANDE-03-23</t>
        </is>
      </c>
      <c r="T1136" s="6" t="inlineStr"/>
      <c r="U1136" s="4" t="inlineStr">
        <is>
          <t>2026-09-11 00:05:00</t>
        </is>
      </c>
      <c r="V1136" s="4" t="inlineStr">
        <is>
          <t>Balance electrico ANDE.</t>
        </is>
      </c>
    </row>
    <row r="1137">
      <c r="A1137" s="6" t="inlineStr">
        <is>
          <t>R0001253</t>
        </is>
      </c>
      <c r="B1137" s="6" t="inlineStr">
        <is>
          <t>2008-01-01</t>
        </is>
      </c>
      <c r="C1137" s="6" t="inlineStr">
        <is>
          <t>2008-12-31</t>
        </is>
      </c>
      <c r="D1137" s="6" t="inlineStr">
        <is>
          <t>year</t>
        </is>
      </c>
      <c r="E1137" s="6" t="inlineStr">
        <is>
          <t>PY_GROSS_OWN_GENERATION</t>
        </is>
      </c>
      <c r="F1137" s="6" t="inlineStr">
        <is>
          <t>PY_SIN</t>
        </is>
      </c>
      <c r="G1137" s="6" t="inlineStr">
        <is>
          <t>PY</t>
        </is>
      </c>
      <c r="H1137" s="6" t="inlineStr">
        <is>
          <t>PY</t>
        </is>
      </c>
      <c r="I1137" s="8" t="n">
        <v>460500</v>
      </c>
      <c r="J1137" s="6" t="inlineStr">
        <is>
          <t>MWh</t>
        </is>
      </c>
      <c r="K1137" s="8" t="n">
        <v>460500</v>
      </c>
      <c r="L1137" s="6" t="inlineStr">
        <is>
          <t>MWh</t>
        </is>
      </c>
      <c r="M1137" s="6" t="inlineStr">
        <is>
          <t>ANDE</t>
        </is>
      </c>
      <c r="N1137" s="6" t="inlineStr">
        <is>
          <t>OFFICIAL_PRIMARY</t>
        </is>
      </c>
      <c r="O1137" s="9" t="inlineStr">
        <is>
          <t>OFFICIAL_AGGREGATE</t>
        </is>
      </c>
      <c r="P1137" s="8" t="n">
        <v>1</v>
      </c>
      <c r="Q1137" s="8" t="n">
        <v>85</v>
      </c>
      <c r="R1137" s="7" t="inlineStr">
        <is>
          <t>https://www.ande.gov.py/finanzas/2.%20COMPILACION%20ESTADISTICA%202003-2023/ANDE%20-%20Compilacion%20Estadistica%202003-2023.pdf</t>
        </is>
      </c>
      <c r="S1137" s="6" t="inlineStr">
        <is>
          <t>ANDE-03-23</t>
        </is>
      </c>
      <c r="T1137" s="6" t="inlineStr"/>
      <c r="U1137" s="4" t="inlineStr">
        <is>
          <t>2026-09-11 00:05:00</t>
        </is>
      </c>
      <c r="V1137" s="4" t="inlineStr">
        <is>
          <t>Balance electrico ANDE.</t>
        </is>
      </c>
    </row>
    <row r="1138">
      <c r="A1138" s="6" t="inlineStr">
        <is>
          <t>R0001254</t>
        </is>
      </c>
      <c r="B1138" s="6" t="inlineStr">
        <is>
          <t>2009-01-01</t>
        </is>
      </c>
      <c r="C1138" s="6" t="inlineStr">
        <is>
          <t>2009-12-31</t>
        </is>
      </c>
      <c r="D1138" s="6" t="inlineStr">
        <is>
          <t>year</t>
        </is>
      </c>
      <c r="E1138" s="6" t="inlineStr">
        <is>
          <t>PY_GROSS_OWN_GENERATION</t>
        </is>
      </c>
      <c r="F1138" s="6" t="inlineStr">
        <is>
          <t>PY_SIN</t>
        </is>
      </c>
      <c r="G1138" s="6" t="inlineStr">
        <is>
          <t>PY</t>
        </is>
      </c>
      <c r="H1138" s="6" t="inlineStr">
        <is>
          <t>PY</t>
        </is>
      </c>
      <c r="I1138" s="8" t="n">
        <v>744548</v>
      </c>
      <c r="J1138" s="6" t="inlineStr">
        <is>
          <t>MWh</t>
        </is>
      </c>
      <c r="K1138" s="8" t="n">
        <v>744548</v>
      </c>
      <c r="L1138" s="6" t="inlineStr">
        <is>
          <t>MWh</t>
        </is>
      </c>
      <c r="M1138" s="6" t="inlineStr">
        <is>
          <t>ANDE</t>
        </is>
      </c>
      <c r="N1138" s="6" t="inlineStr">
        <is>
          <t>OFFICIAL_PRIMARY</t>
        </is>
      </c>
      <c r="O1138" s="9" t="inlineStr">
        <is>
          <t>OFFICIAL_AGGREGATE</t>
        </is>
      </c>
      <c r="P1138" s="8" t="n">
        <v>1</v>
      </c>
      <c r="Q1138" s="8" t="n">
        <v>85</v>
      </c>
      <c r="R1138" s="7" t="inlineStr">
        <is>
          <t>https://www.ande.gov.py/finanzas/2.%20COMPILACION%20ESTADISTICA%202003-2023/ANDE%20-%20Compilacion%20Estadistica%202003-2023.pdf</t>
        </is>
      </c>
      <c r="S1138" s="6" t="inlineStr">
        <is>
          <t>ANDE-03-23</t>
        </is>
      </c>
      <c r="T1138" s="6" t="inlineStr"/>
      <c r="U1138" s="4" t="inlineStr">
        <is>
          <t>2026-09-11 00:05:00</t>
        </is>
      </c>
      <c r="V1138" s="4" t="inlineStr">
        <is>
          <t>Balance electrico ANDE.</t>
        </is>
      </c>
    </row>
    <row r="1139">
      <c r="A1139" s="6" t="inlineStr">
        <is>
          <t>R0001255</t>
        </is>
      </c>
      <c r="B1139" s="6" t="inlineStr">
        <is>
          <t>2010-01-01</t>
        </is>
      </c>
      <c r="C1139" s="6" t="inlineStr">
        <is>
          <t>2010-12-31</t>
        </is>
      </c>
      <c r="D1139" s="6" t="inlineStr">
        <is>
          <t>year</t>
        </is>
      </c>
      <c r="E1139" s="6" t="inlineStr">
        <is>
          <t>PY_GROSS_OWN_GENERATION</t>
        </is>
      </c>
      <c r="F1139" s="6" t="inlineStr">
        <is>
          <t>PY_SIN</t>
        </is>
      </c>
      <c r="G1139" s="6" t="inlineStr">
        <is>
          <t>PY</t>
        </is>
      </c>
      <c r="H1139" s="6" t="inlineStr">
        <is>
          <t>PY</t>
        </is>
      </c>
      <c r="I1139" s="8" t="n">
        <v>1142350</v>
      </c>
      <c r="J1139" s="6" t="inlineStr">
        <is>
          <t>MWh</t>
        </is>
      </c>
      <c r="K1139" s="8" t="n">
        <v>1142350</v>
      </c>
      <c r="L1139" s="6" t="inlineStr">
        <is>
          <t>MWh</t>
        </is>
      </c>
      <c r="M1139" s="6" t="inlineStr">
        <is>
          <t>ANDE</t>
        </is>
      </c>
      <c r="N1139" s="6" t="inlineStr">
        <is>
          <t>OFFICIAL_PRIMARY</t>
        </is>
      </c>
      <c r="O1139" s="9" t="inlineStr">
        <is>
          <t>OFFICIAL_AGGREGATE</t>
        </is>
      </c>
      <c r="P1139" s="8" t="n">
        <v>1</v>
      </c>
      <c r="Q1139" s="8" t="n">
        <v>85</v>
      </c>
      <c r="R1139" s="7" t="inlineStr">
        <is>
          <t>https://www.ande.gov.py/finanzas/2.%20COMPILACION%20ESTADISTICA%202003-2023/ANDE%20-%20Compilacion%20Estadistica%202003-2023.pdf</t>
        </is>
      </c>
      <c r="S1139" s="6" t="inlineStr">
        <is>
          <t>ANDE-03-23</t>
        </is>
      </c>
      <c r="T1139" s="6" t="inlineStr"/>
      <c r="U1139" s="4" t="inlineStr">
        <is>
          <t>2026-09-11 00:05:00</t>
        </is>
      </c>
      <c r="V1139" s="4" t="inlineStr">
        <is>
          <t>Balance electrico ANDE.</t>
        </is>
      </c>
    </row>
    <row r="1140">
      <c r="A1140" s="6" t="inlineStr">
        <is>
          <t>R0001256</t>
        </is>
      </c>
      <c r="B1140" s="6" t="inlineStr">
        <is>
          <t>2011-01-01</t>
        </is>
      </c>
      <c r="C1140" s="6" t="inlineStr">
        <is>
          <t>2011-12-31</t>
        </is>
      </c>
      <c r="D1140" s="6" t="inlineStr">
        <is>
          <t>year</t>
        </is>
      </c>
      <c r="E1140" s="6" t="inlineStr">
        <is>
          <t>PY_GROSS_OWN_GENERATION</t>
        </is>
      </c>
      <c r="F1140" s="6" t="inlineStr">
        <is>
          <t>PY_SIN</t>
        </is>
      </c>
      <c r="G1140" s="6" t="inlineStr">
        <is>
          <t>PY</t>
        </is>
      </c>
      <c r="H1140" s="6" t="inlineStr">
        <is>
          <t>PY</t>
        </is>
      </c>
      <c r="I1140" s="8" t="n">
        <v>950816</v>
      </c>
      <c r="J1140" s="6" t="inlineStr">
        <is>
          <t>MWh</t>
        </is>
      </c>
      <c r="K1140" s="8" t="n">
        <v>950816</v>
      </c>
      <c r="L1140" s="6" t="inlineStr">
        <is>
          <t>MWh</t>
        </is>
      </c>
      <c r="M1140" s="6" t="inlineStr">
        <is>
          <t>ANDE</t>
        </is>
      </c>
      <c r="N1140" s="6" t="inlineStr">
        <is>
          <t>OFFICIAL_PRIMARY</t>
        </is>
      </c>
      <c r="O1140" s="9" t="inlineStr">
        <is>
          <t>OFFICIAL_AGGREGATE</t>
        </is>
      </c>
      <c r="P1140" s="8" t="n">
        <v>1</v>
      </c>
      <c r="Q1140" s="8" t="n">
        <v>85</v>
      </c>
      <c r="R1140" s="7" t="inlineStr">
        <is>
          <t>https://www.ande.gov.py/finanzas/2.%20COMPILACION%20ESTADISTICA%202003-2023/ANDE%20-%20Compilacion%20Estadistica%202003-2023.pdf</t>
        </is>
      </c>
      <c r="S1140" s="6" t="inlineStr">
        <is>
          <t>ANDE-03-23</t>
        </is>
      </c>
      <c r="T1140" s="6" t="inlineStr"/>
      <c r="U1140" s="4" t="inlineStr">
        <is>
          <t>2026-09-11 00:05:00</t>
        </is>
      </c>
      <c r="V1140" s="4" t="inlineStr">
        <is>
          <t>Balance electrico ANDE.</t>
        </is>
      </c>
    </row>
    <row r="1141">
      <c r="A1141" s="6" t="inlineStr">
        <is>
          <t>R0001257</t>
        </is>
      </c>
      <c r="B1141" s="6" t="inlineStr">
        <is>
          <t>2012-01-01</t>
        </is>
      </c>
      <c r="C1141" s="6" t="inlineStr">
        <is>
          <t>2012-12-31</t>
        </is>
      </c>
      <c r="D1141" s="6" t="inlineStr">
        <is>
          <t>year</t>
        </is>
      </c>
      <c r="E1141" s="6" t="inlineStr">
        <is>
          <t>PY_GROSS_OWN_GENERATION</t>
        </is>
      </c>
      <c r="F1141" s="6" t="inlineStr">
        <is>
          <t>PY_SIN</t>
        </is>
      </c>
      <c r="G1141" s="6" t="inlineStr">
        <is>
          <t>PY</t>
        </is>
      </c>
      <c r="H1141" s="6" t="inlineStr">
        <is>
          <t>PY</t>
        </is>
      </c>
      <c r="I1141" s="8" t="n">
        <v>932316</v>
      </c>
      <c r="J1141" s="6" t="inlineStr">
        <is>
          <t>MWh</t>
        </is>
      </c>
      <c r="K1141" s="8" t="n">
        <v>932316</v>
      </c>
      <c r="L1141" s="6" t="inlineStr">
        <is>
          <t>MWh</t>
        </is>
      </c>
      <c r="M1141" s="6" t="inlineStr">
        <is>
          <t>ANDE</t>
        </is>
      </c>
      <c r="N1141" s="6" t="inlineStr">
        <is>
          <t>OFFICIAL_PRIMARY</t>
        </is>
      </c>
      <c r="O1141" s="9" t="inlineStr">
        <is>
          <t>OFFICIAL_AGGREGATE</t>
        </is>
      </c>
      <c r="P1141" s="8" t="n">
        <v>1</v>
      </c>
      <c r="Q1141" s="8" t="n">
        <v>85</v>
      </c>
      <c r="R1141" s="7" t="inlineStr">
        <is>
          <t>https://www.ande.gov.py/finanzas/2.%20COMPILACION%20ESTADISTICA%202003-2023/ANDE%20-%20Compilacion%20Estadistica%202003-2023.pdf</t>
        </is>
      </c>
      <c r="S1141" s="6" t="inlineStr">
        <is>
          <t>ANDE-03-23</t>
        </is>
      </c>
      <c r="T1141" s="6" t="inlineStr"/>
      <c r="U1141" s="4" t="inlineStr">
        <is>
          <t>2026-09-11 00:05:00</t>
        </is>
      </c>
      <c r="V1141" s="4" t="inlineStr">
        <is>
          <t>Balance electrico ANDE.</t>
        </is>
      </c>
    </row>
    <row r="1142">
      <c r="A1142" s="6" t="inlineStr">
        <is>
          <t>R0001258</t>
        </is>
      </c>
      <c r="B1142" s="6" t="inlineStr">
        <is>
          <t>2013-01-01</t>
        </is>
      </c>
      <c r="C1142" s="6" t="inlineStr">
        <is>
          <t>2013-12-31</t>
        </is>
      </c>
      <c r="D1142" s="6" t="inlineStr">
        <is>
          <t>year</t>
        </is>
      </c>
      <c r="E1142" s="6" t="inlineStr">
        <is>
          <t>PY_GROSS_OWN_GENERATION</t>
        </is>
      </c>
      <c r="F1142" s="6" t="inlineStr">
        <is>
          <t>PY_SIN</t>
        </is>
      </c>
      <c r="G1142" s="6" t="inlineStr">
        <is>
          <t>PY</t>
        </is>
      </c>
      <c r="H1142" s="6" t="inlineStr">
        <is>
          <t>PY</t>
        </is>
      </c>
      <c r="I1142" s="8" t="n">
        <v>897287</v>
      </c>
      <c r="J1142" s="6" t="inlineStr">
        <is>
          <t>MWh</t>
        </is>
      </c>
      <c r="K1142" s="8" t="n">
        <v>897287</v>
      </c>
      <c r="L1142" s="6" t="inlineStr">
        <is>
          <t>MWh</t>
        </is>
      </c>
      <c r="M1142" s="6" t="inlineStr">
        <is>
          <t>ANDE</t>
        </is>
      </c>
      <c r="N1142" s="6" t="inlineStr">
        <is>
          <t>OFFICIAL_PRIMARY</t>
        </is>
      </c>
      <c r="O1142" s="9" t="inlineStr">
        <is>
          <t>OFFICIAL_AGGREGATE</t>
        </is>
      </c>
      <c r="P1142" s="8" t="n">
        <v>1</v>
      </c>
      <c r="Q1142" s="8" t="n">
        <v>85</v>
      </c>
      <c r="R1142" s="7" t="inlineStr">
        <is>
          <t>https://www.ande.gov.py/finanzas/2.%20COMPILACION%20ESTADISTICA%202003-2023/ANDE%20-%20Compilacion%20Estadistica%202003-2023.pdf</t>
        </is>
      </c>
      <c r="S1142" s="6" t="inlineStr">
        <is>
          <t>ANDE-03-23</t>
        </is>
      </c>
      <c r="T1142" s="6" t="inlineStr"/>
      <c r="U1142" s="4" t="inlineStr">
        <is>
          <t>2026-09-11 00:05:00</t>
        </is>
      </c>
      <c r="V1142" s="4" t="inlineStr">
        <is>
          <t>Balance electrico ANDE.</t>
        </is>
      </c>
    </row>
    <row r="1143">
      <c r="A1143" s="6" t="inlineStr">
        <is>
          <t>R0001259</t>
        </is>
      </c>
      <c r="B1143" s="6" t="inlineStr">
        <is>
          <t>2014-01-01</t>
        </is>
      </c>
      <c r="C1143" s="6" t="inlineStr">
        <is>
          <t>2014-12-31</t>
        </is>
      </c>
      <c r="D1143" s="6" t="inlineStr">
        <is>
          <t>year</t>
        </is>
      </c>
      <c r="E1143" s="6" t="inlineStr">
        <is>
          <t>PY_GROSS_OWN_GENERATION</t>
        </is>
      </c>
      <c r="F1143" s="6" t="inlineStr">
        <is>
          <t>PY_SIN</t>
        </is>
      </c>
      <c r="G1143" s="6" t="inlineStr">
        <is>
          <t>PY</t>
        </is>
      </c>
      <c r="H1143" s="6" t="inlineStr">
        <is>
          <t>PY</t>
        </is>
      </c>
      <c r="I1143" s="8" t="n">
        <v>1114662</v>
      </c>
      <c r="J1143" s="6" t="inlineStr">
        <is>
          <t>MWh</t>
        </is>
      </c>
      <c r="K1143" s="8" t="n">
        <v>1114662</v>
      </c>
      <c r="L1143" s="6" t="inlineStr">
        <is>
          <t>MWh</t>
        </is>
      </c>
      <c r="M1143" s="6" t="inlineStr">
        <is>
          <t>ANDE</t>
        </is>
      </c>
      <c r="N1143" s="6" t="inlineStr">
        <is>
          <t>OFFICIAL_PRIMARY</t>
        </is>
      </c>
      <c r="O1143" s="9" t="inlineStr">
        <is>
          <t>OFFICIAL_AGGREGATE</t>
        </is>
      </c>
      <c r="P1143" s="8" t="n">
        <v>1</v>
      </c>
      <c r="Q1143" s="8" t="n">
        <v>85</v>
      </c>
      <c r="R1143" s="7" t="inlineStr">
        <is>
          <t>https://www.ande.gov.py/finanzas/2.%20COMPILACION%20ESTADISTICA%202003-2023/ANDE%20-%20Compilacion%20Estadistica%202003-2023.pdf</t>
        </is>
      </c>
      <c r="S1143" s="6" t="inlineStr">
        <is>
          <t>ANDE-03-23</t>
        </is>
      </c>
      <c r="T1143" s="6" t="inlineStr"/>
      <c r="U1143" s="4" t="inlineStr">
        <is>
          <t>2026-09-11 00:05:00</t>
        </is>
      </c>
      <c r="V1143" s="4" t="inlineStr">
        <is>
          <t>Balance electrico ANDE.</t>
        </is>
      </c>
    </row>
    <row r="1144">
      <c r="A1144" s="6" t="inlineStr">
        <is>
          <t>R0001260</t>
        </is>
      </c>
      <c r="B1144" s="6" t="inlineStr">
        <is>
          <t>2015-01-01</t>
        </is>
      </c>
      <c r="C1144" s="6" t="inlineStr">
        <is>
          <t>2015-12-31</t>
        </is>
      </c>
      <c r="D1144" s="6" t="inlineStr">
        <is>
          <t>year</t>
        </is>
      </c>
      <c r="E1144" s="6" t="inlineStr">
        <is>
          <t>PY_GROSS_OWN_GENERATION</t>
        </is>
      </c>
      <c r="F1144" s="6" t="inlineStr">
        <is>
          <t>PY_SIN</t>
        </is>
      </c>
      <c r="G1144" s="6" t="inlineStr">
        <is>
          <t>PY</t>
        </is>
      </c>
      <c r="H1144" s="6" t="inlineStr">
        <is>
          <t>PY</t>
        </is>
      </c>
      <c r="I1144" s="8" t="n">
        <v>1061609</v>
      </c>
      <c r="J1144" s="6" t="inlineStr">
        <is>
          <t>MWh</t>
        </is>
      </c>
      <c r="K1144" s="8" t="n">
        <v>1061609</v>
      </c>
      <c r="L1144" s="6" t="inlineStr">
        <is>
          <t>MWh</t>
        </is>
      </c>
      <c r="M1144" s="6" t="inlineStr">
        <is>
          <t>ANDE</t>
        </is>
      </c>
      <c r="N1144" s="6" t="inlineStr">
        <is>
          <t>OFFICIAL_PRIMARY</t>
        </is>
      </c>
      <c r="O1144" s="9" t="inlineStr">
        <is>
          <t>OFFICIAL_AGGREGATE</t>
        </is>
      </c>
      <c r="P1144" s="8" t="n">
        <v>1</v>
      </c>
      <c r="Q1144" s="8" t="n">
        <v>85</v>
      </c>
      <c r="R1144" s="7" t="inlineStr">
        <is>
          <t>https://www.ande.gov.py/finanzas/2.%20COMPILACION%20ESTADISTICA%202003-2023/ANDE%20-%20Compilacion%20Estadistica%202003-2023.pdf</t>
        </is>
      </c>
      <c r="S1144" s="6" t="inlineStr">
        <is>
          <t>ANDE-03-23</t>
        </is>
      </c>
      <c r="T1144" s="6" t="inlineStr"/>
      <c r="U1144" s="4" t="inlineStr">
        <is>
          <t>2026-09-11 00:05:00</t>
        </is>
      </c>
      <c r="V1144" s="4" t="inlineStr">
        <is>
          <t>Balance electrico ANDE.</t>
        </is>
      </c>
    </row>
    <row r="1145">
      <c r="A1145" s="6" t="inlineStr">
        <is>
          <t>R0001261</t>
        </is>
      </c>
      <c r="B1145" s="6" t="inlineStr">
        <is>
          <t>2016-01-01</t>
        </is>
      </c>
      <c r="C1145" s="6" t="inlineStr">
        <is>
          <t>2016-12-31</t>
        </is>
      </c>
      <c r="D1145" s="6" t="inlineStr">
        <is>
          <t>year</t>
        </is>
      </c>
      <c r="E1145" s="6" t="inlineStr">
        <is>
          <t>PY_GROSS_OWN_GENERATION</t>
        </is>
      </c>
      <c r="F1145" s="6" t="inlineStr">
        <is>
          <t>PY_SIN</t>
        </is>
      </c>
      <c r="G1145" s="6" t="inlineStr">
        <is>
          <t>PY</t>
        </is>
      </c>
      <c r="H1145" s="6" t="inlineStr">
        <is>
          <t>PY</t>
        </is>
      </c>
      <c r="I1145" s="8" t="n">
        <v>1291399</v>
      </c>
      <c r="J1145" s="6" t="inlineStr">
        <is>
          <t>MWh</t>
        </is>
      </c>
      <c r="K1145" s="8" t="n">
        <v>1291399</v>
      </c>
      <c r="L1145" s="6" t="inlineStr">
        <is>
          <t>MWh</t>
        </is>
      </c>
      <c r="M1145" s="6" t="inlineStr">
        <is>
          <t>ANDE</t>
        </is>
      </c>
      <c r="N1145" s="6" t="inlineStr">
        <is>
          <t>OFFICIAL_PRIMARY</t>
        </is>
      </c>
      <c r="O1145" s="9" t="inlineStr">
        <is>
          <t>OFFICIAL_AGGREGATE</t>
        </is>
      </c>
      <c r="P1145" s="8" t="n">
        <v>1</v>
      </c>
      <c r="Q1145" s="8" t="n">
        <v>85</v>
      </c>
      <c r="R1145" s="7" t="inlineStr">
        <is>
          <t>https://www.ande.gov.py/finanzas/2.%20COMPILACION%20ESTADISTICA%202003-2023/ANDE%20-%20Compilacion%20Estadistica%202003-2023.pdf</t>
        </is>
      </c>
      <c r="S1145" s="6" t="inlineStr">
        <is>
          <t>ANDE-03-23</t>
        </is>
      </c>
      <c r="T1145" s="6" t="inlineStr"/>
      <c r="U1145" s="4" t="inlineStr">
        <is>
          <t>2026-09-11 00:05:00</t>
        </is>
      </c>
      <c r="V1145" s="4" t="inlineStr">
        <is>
          <t>Balance electrico ANDE.</t>
        </is>
      </c>
    </row>
    <row r="1146">
      <c r="A1146" s="6" t="inlineStr">
        <is>
          <t>R0001262</t>
        </is>
      </c>
      <c r="B1146" s="6" t="inlineStr">
        <is>
          <t>2017-01-01</t>
        </is>
      </c>
      <c r="C1146" s="6" t="inlineStr">
        <is>
          <t>2017-12-31</t>
        </is>
      </c>
      <c r="D1146" s="6" t="inlineStr">
        <is>
          <t>year</t>
        </is>
      </c>
      <c r="E1146" s="6" t="inlineStr">
        <is>
          <t>PY_GROSS_OWN_GENERATION</t>
        </is>
      </c>
      <c r="F1146" s="6" t="inlineStr">
        <is>
          <t>PY_SIN</t>
        </is>
      </c>
      <c r="G1146" s="6" t="inlineStr">
        <is>
          <t>PY</t>
        </is>
      </c>
      <c r="H1146" s="6" t="inlineStr">
        <is>
          <t>PY</t>
        </is>
      </c>
      <c r="I1146" s="8" t="n">
        <v>959040</v>
      </c>
      <c r="J1146" s="6" t="inlineStr">
        <is>
          <t>MWh</t>
        </is>
      </c>
      <c r="K1146" s="8" t="n">
        <v>959040</v>
      </c>
      <c r="L1146" s="6" t="inlineStr">
        <is>
          <t>MWh</t>
        </is>
      </c>
      <c r="M1146" s="6" t="inlineStr">
        <is>
          <t>ANDE</t>
        </is>
      </c>
      <c r="N1146" s="6" t="inlineStr">
        <is>
          <t>OFFICIAL_PRIMARY</t>
        </is>
      </c>
      <c r="O1146" s="9" t="inlineStr">
        <is>
          <t>OFFICIAL_AGGREGATE</t>
        </is>
      </c>
      <c r="P1146" s="8" t="n">
        <v>1</v>
      </c>
      <c r="Q1146" s="8" t="n">
        <v>85</v>
      </c>
      <c r="R1146" s="7" t="inlineStr">
        <is>
          <t>https://www.ande.gov.py/finanzas/2.%20COMPILACION%20ESTADISTICA%202003-2023/ANDE%20-%20Compilacion%20Estadistica%202003-2023.pdf</t>
        </is>
      </c>
      <c r="S1146" s="6" t="inlineStr">
        <is>
          <t>ANDE-03-23</t>
        </is>
      </c>
      <c r="T1146" s="6" t="inlineStr"/>
      <c r="U1146" s="4" t="inlineStr">
        <is>
          <t>2026-09-11 00:05:00</t>
        </is>
      </c>
      <c r="V1146" s="4" t="inlineStr">
        <is>
          <t>Balance electrico ANDE.</t>
        </is>
      </c>
    </row>
    <row r="1147">
      <c r="A1147" s="6" t="inlineStr">
        <is>
          <t>R0001263</t>
        </is>
      </c>
      <c r="B1147" s="6" t="inlineStr">
        <is>
          <t>2018-01-01</t>
        </is>
      </c>
      <c r="C1147" s="6" t="inlineStr">
        <is>
          <t>2018-12-31</t>
        </is>
      </c>
      <c r="D1147" s="6" t="inlineStr">
        <is>
          <t>year</t>
        </is>
      </c>
      <c r="E1147" s="6" t="inlineStr">
        <is>
          <t>PY_GROSS_OWN_GENERATION</t>
        </is>
      </c>
      <c r="F1147" s="6" t="inlineStr">
        <is>
          <t>PY_SIN</t>
        </is>
      </c>
      <c r="G1147" s="6" t="inlineStr">
        <is>
          <t>PY</t>
        </is>
      </c>
      <c r="H1147" s="6" t="inlineStr">
        <is>
          <t>PY</t>
        </is>
      </c>
      <c r="I1147" s="8" t="n">
        <v>1085244</v>
      </c>
      <c r="J1147" s="6" t="inlineStr">
        <is>
          <t>MWh</t>
        </is>
      </c>
      <c r="K1147" s="8" t="n">
        <v>1085244</v>
      </c>
      <c r="L1147" s="6" t="inlineStr">
        <is>
          <t>MWh</t>
        </is>
      </c>
      <c r="M1147" s="6" t="inlineStr">
        <is>
          <t>ANDE</t>
        </is>
      </c>
      <c r="N1147" s="6" t="inlineStr">
        <is>
          <t>OFFICIAL_PRIMARY</t>
        </is>
      </c>
      <c r="O1147" s="9" t="inlineStr">
        <is>
          <t>OFFICIAL_AGGREGATE</t>
        </is>
      </c>
      <c r="P1147" s="8" t="n">
        <v>1</v>
      </c>
      <c r="Q1147" s="8" t="n">
        <v>85</v>
      </c>
      <c r="R1147" s="7" t="inlineStr">
        <is>
          <t>https://www.ande.gov.py/finanzas/2.%20COMPILACION%20ESTADISTICA%202003-2023/ANDE%20-%20Compilacion%20Estadistica%202003-2023.pdf</t>
        </is>
      </c>
      <c r="S1147" s="6" t="inlineStr">
        <is>
          <t>ANDE-03-23</t>
        </is>
      </c>
      <c r="T1147" s="6" t="inlineStr"/>
      <c r="U1147" s="4" t="inlineStr">
        <is>
          <t>2026-09-11 00:05:00</t>
        </is>
      </c>
      <c r="V1147" s="4" t="inlineStr">
        <is>
          <t>Balance electrico ANDE.</t>
        </is>
      </c>
    </row>
    <row r="1148">
      <c r="A1148" s="6" t="inlineStr">
        <is>
          <t>R0001264</t>
        </is>
      </c>
      <c r="B1148" s="6" t="inlineStr">
        <is>
          <t>2019-01-01</t>
        </is>
      </c>
      <c r="C1148" s="6" t="inlineStr">
        <is>
          <t>2019-12-31</t>
        </is>
      </c>
      <c r="D1148" s="6" t="inlineStr">
        <is>
          <t>year</t>
        </is>
      </c>
      <c r="E1148" s="6" t="inlineStr">
        <is>
          <t>PY_GROSS_OWN_GENERATION</t>
        </is>
      </c>
      <c r="F1148" s="6" t="inlineStr">
        <is>
          <t>PY_SIN</t>
        </is>
      </c>
      <c r="G1148" s="6" t="inlineStr">
        <is>
          <t>PY</t>
        </is>
      </c>
      <c r="H1148" s="6" t="inlineStr">
        <is>
          <t>PY</t>
        </is>
      </c>
      <c r="I1148" s="8" t="n">
        <v>981763</v>
      </c>
      <c r="J1148" s="6" t="inlineStr">
        <is>
          <t>MWh</t>
        </is>
      </c>
      <c r="K1148" s="8" t="n">
        <v>981763</v>
      </c>
      <c r="L1148" s="6" t="inlineStr">
        <is>
          <t>MWh</t>
        </is>
      </c>
      <c r="M1148" s="6" t="inlineStr">
        <is>
          <t>ANDE</t>
        </is>
      </c>
      <c r="N1148" s="6" t="inlineStr">
        <is>
          <t>OFFICIAL_PRIMARY</t>
        </is>
      </c>
      <c r="O1148" s="9" t="inlineStr">
        <is>
          <t>OFFICIAL_AGGREGATE</t>
        </is>
      </c>
      <c r="P1148" s="8" t="n">
        <v>1</v>
      </c>
      <c r="Q1148" s="8" t="n">
        <v>85</v>
      </c>
      <c r="R1148" s="7" t="inlineStr">
        <is>
          <t>https://www.ande.gov.py/finanzas/2.%20COMPILACION%20ESTADISTICA%202003-2023/ANDE%20-%20Compilacion%20Estadistica%202003-2023.pdf</t>
        </is>
      </c>
      <c r="S1148" s="6" t="inlineStr">
        <is>
          <t>ANDE-03-23</t>
        </is>
      </c>
      <c r="T1148" s="6" t="inlineStr"/>
      <c r="U1148" s="4" t="inlineStr">
        <is>
          <t>2026-09-11 00:05:00</t>
        </is>
      </c>
      <c r="V1148" s="4" t="inlineStr">
        <is>
          <t>Balance electrico ANDE.</t>
        </is>
      </c>
    </row>
    <row r="1149">
      <c r="A1149" s="6" t="inlineStr">
        <is>
          <t>R0001265</t>
        </is>
      </c>
      <c r="B1149" s="6" t="inlineStr">
        <is>
          <t>2020-01-01</t>
        </is>
      </c>
      <c r="C1149" s="6" t="inlineStr">
        <is>
          <t>2020-12-31</t>
        </is>
      </c>
      <c r="D1149" s="6" t="inlineStr">
        <is>
          <t>year</t>
        </is>
      </c>
      <c r="E1149" s="6" t="inlineStr">
        <is>
          <t>PY_GROSS_OWN_GENERATION</t>
        </is>
      </c>
      <c r="F1149" s="6" t="inlineStr">
        <is>
          <t>PY_SIN</t>
        </is>
      </c>
      <c r="G1149" s="6" t="inlineStr">
        <is>
          <t>PY</t>
        </is>
      </c>
      <c r="H1149" s="6" t="inlineStr">
        <is>
          <t>PY</t>
        </is>
      </c>
      <c r="I1149" s="8" t="n">
        <v>580951</v>
      </c>
      <c r="J1149" s="6" t="inlineStr">
        <is>
          <t>MWh</t>
        </is>
      </c>
      <c r="K1149" s="8" t="n">
        <v>580951</v>
      </c>
      <c r="L1149" s="6" t="inlineStr">
        <is>
          <t>MWh</t>
        </is>
      </c>
      <c r="M1149" s="6" t="inlineStr">
        <is>
          <t>ANDE</t>
        </is>
      </c>
      <c r="N1149" s="6" t="inlineStr">
        <is>
          <t>OFFICIAL_PRIMARY</t>
        </is>
      </c>
      <c r="O1149" s="9" t="inlineStr">
        <is>
          <t>OFFICIAL_AGGREGATE</t>
        </is>
      </c>
      <c r="P1149" s="8" t="n">
        <v>1</v>
      </c>
      <c r="Q1149" s="8" t="n">
        <v>85</v>
      </c>
      <c r="R1149" s="7" t="inlineStr">
        <is>
          <t>https://www.ande.gov.py/finanzas/2.%20COMPILACION%20ESTADISTICA%202003-2023/ANDE%20-%20Compilacion%20Estadistica%202003-2023.pdf</t>
        </is>
      </c>
      <c r="S1149" s="6" t="inlineStr">
        <is>
          <t>ANDE-03-23</t>
        </is>
      </c>
      <c r="T1149" s="6" t="inlineStr"/>
      <c r="U1149" s="4" t="inlineStr">
        <is>
          <t>2026-09-11 00:05:00</t>
        </is>
      </c>
      <c r="V1149" s="4" t="inlineStr">
        <is>
          <t>Balance electrico ANDE.</t>
        </is>
      </c>
    </row>
    <row r="1150">
      <c r="A1150" s="6" t="inlineStr">
        <is>
          <t>R0001266</t>
        </is>
      </c>
      <c r="B1150" s="6" t="inlineStr">
        <is>
          <t>2021-01-01</t>
        </is>
      </c>
      <c r="C1150" s="6" t="inlineStr">
        <is>
          <t>2021-12-31</t>
        </is>
      </c>
      <c r="D1150" s="6" t="inlineStr">
        <is>
          <t>year</t>
        </is>
      </c>
      <c r="E1150" s="6" t="inlineStr">
        <is>
          <t>PY_GROSS_OWN_GENERATION</t>
        </is>
      </c>
      <c r="F1150" s="6" t="inlineStr">
        <is>
          <t>PY_SIN</t>
        </is>
      </c>
      <c r="G1150" s="6" t="inlineStr">
        <is>
          <t>PY</t>
        </is>
      </c>
      <c r="H1150" s="6" t="inlineStr">
        <is>
          <t>PY</t>
        </is>
      </c>
      <c r="I1150" s="8" t="n">
        <v>624330</v>
      </c>
      <c r="J1150" s="6" t="inlineStr">
        <is>
          <t>MWh</t>
        </is>
      </c>
      <c r="K1150" s="8" t="n">
        <v>624330</v>
      </c>
      <c r="L1150" s="6" t="inlineStr">
        <is>
          <t>MWh</t>
        </is>
      </c>
      <c r="M1150" s="6" t="inlineStr">
        <is>
          <t>ANDE</t>
        </is>
      </c>
      <c r="N1150" s="6" t="inlineStr">
        <is>
          <t>OFFICIAL_PRIMARY</t>
        </is>
      </c>
      <c r="O1150" s="9" t="inlineStr">
        <is>
          <t>OFFICIAL_AGGREGATE</t>
        </is>
      </c>
      <c r="P1150" s="8" t="n">
        <v>1</v>
      </c>
      <c r="Q1150" s="8" t="n">
        <v>85</v>
      </c>
      <c r="R1150" s="7" t="inlineStr">
        <is>
          <t>https://www.ande.gov.py/finanzas/2.%20COMPILACION%20ESTADISTICA%202003-2023/ANDE%20-%20Compilacion%20Estadistica%202003-2023.pdf</t>
        </is>
      </c>
      <c r="S1150" s="6" t="inlineStr">
        <is>
          <t>ANDE-03-23</t>
        </is>
      </c>
      <c r="T1150" s="6" t="inlineStr"/>
      <c r="U1150" s="4" t="inlineStr">
        <is>
          <t>2026-09-11 00:05:00</t>
        </is>
      </c>
      <c r="V1150" s="4" t="inlineStr">
        <is>
          <t>Balance electrico ANDE.</t>
        </is>
      </c>
    </row>
    <row r="1151">
      <c r="A1151" s="6" t="inlineStr">
        <is>
          <t>R0001267</t>
        </is>
      </c>
      <c r="B1151" s="6" t="inlineStr">
        <is>
          <t>2022-01-01</t>
        </is>
      </c>
      <c r="C1151" s="6" t="inlineStr">
        <is>
          <t>2022-12-31</t>
        </is>
      </c>
      <c r="D1151" s="6" t="inlineStr">
        <is>
          <t>year</t>
        </is>
      </c>
      <c r="E1151" s="6" t="inlineStr">
        <is>
          <t>PY_GROSS_OWN_GENERATION</t>
        </is>
      </c>
      <c r="F1151" s="6" t="inlineStr">
        <is>
          <t>PY_SIN</t>
        </is>
      </c>
      <c r="G1151" s="6" t="inlineStr">
        <is>
          <t>PY</t>
        </is>
      </c>
      <c r="H1151" s="6" t="inlineStr">
        <is>
          <t>PY</t>
        </is>
      </c>
      <c r="I1151" s="8" t="n">
        <v>782671</v>
      </c>
      <c r="J1151" s="6" t="inlineStr">
        <is>
          <t>MWh</t>
        </is>
      </c>
      <c r="K1151" s="8" t="n">
        <v>782671</v>
      </c>
      <c r="L1151" s="6" t="inlineStr">
        <is>
          <t>MWh</t>
        </is>
      </c>
      <c r="M1151" s="6" t="inlineStr">
        <is>
          <t>ANDE</t>
        </is>
      </c>
      <c r="N1151" s="6" t="inlineStr">
        <is>
          <t>OFFICIAL_PRIMARY</t>
        </is>
      </c>
      <c r="O1151" s="9" t="inlineStr">
        <is>
          <t>OFFICIAL_AGGREGATE</t>
        </is>
      </c>
      <c r="P1151" s="8" t="n">
        <v>1</v>
      </c>
      <c r="Q1151" s="8" t="n">
        <v>85</v>
      </c>
      <c r="R1151" s="7" t="inlineStr">
        <is>
          <t>https://www.ande.gov.py/finanzas/2.%20COMPILACION%20ESTADISTICA%202003-2023/ANDE%20-%20Compilacion%20Estadistica%202003-2023.pdf</t>
        </is>
      </c>
      <c r="S1151" s="6" t="inlineStr">
        <is>
          <t>ANDE-03-23</t>
        </is>
      </c>
      <c r="T1151" s="6" t="inlineStr"/>
      <c r="U1151" s="4" t="inlineStr">
        <is>
          <t>2026-09-11 00:05:00</t>
        </is>
      </c>
      <c r="V1151" s="4" t="inlineStr">
        <is>
          <t>Balance electrico ANDE.</t>
        </is>
      </c>
    </row>
    <row r="1152">
      <c r="A1152" s="6" t="inlineStr">
        <is>
          <t>R0001268</t>
        </is>
      </c>
      <c r="B1152" s="6" t="inlineStr">
        <is>
          <t>2023-01-01</t>
        </is>
      </c>
      <c r="C1152" s="6" t="inlineStr">
        <is>
          <t>2023-12-31</t>
        </is>
      </c>
      <c r="D1152" s="6" t="inlineStr">
        <is>
          <t>year</t>
        </is>
      </c>
      <c r="E1152" s="6" t="inlineStr">
        <is>
          <t>PY_GROSS_OWN_GENERATION</t>
        </is>
      </c>
      <c r="F1152" s="6" t="inlineStr">
        <is>
          <t>PY_SIN</t>
        </is>
      </c>
      <c r="G1152" s="6" t="inlineStr">
        <is>
          <t>PY</t>
        </is>
      </c>
      <c r="H1152" s="6" t="inlineStr">
        <is>
          <t>PY</t>
        </is>
      </c>
      <c r="I1152" s="8" t="n">
        <v>796393</v>
      </c>
      <c r="J1152" s="6" t="inlineStr">
        <is>
          <t>MWh</t>
        </is>
      </c>
      <c r="K1152" s="8" t="n">
        <v>796393</v>
      </c>
      <c r="L1152" s="6" t="inlineStr">
        <is>
          <t>MWh</t>
        </is>
      </c>
      <c r="M1152" s="6" t="inlineStr">
        <is>
          <t>ANDE</t>
        </is>
      </c>
      <c r="N1152" s="6" t="inlineStr">
        <is>
          <t>OFFICIAL_PRIMARY</t>
        </is>
      </c>
      <c r="O1152" s="9" t="inlineStr">
        <is>
          <t>OFFICIAL_AGGREGATE</t>
        </is>
      </c>
      <c r="P1152" s="8" t="n">
        <v>1</v>
      </c>
      <c r="Q1152" s="8" t="n">
        <v>85</v>
      </c>
      <c r="R1152" s="7" t="inlineStr">
        <is>
          <t>https://www.ande.gov.py/finanzas/2.%20COMPILACION%20ESTADISTICA%202003-2023/ANDE%20-%20Compilacion%20Estadistica%202003-2023.pdf</t>
        </is>
      </c>
      <c r="S1152" s="6" t="inlineStr">
        <is>
          <t>ANDE-03-23</t>
        </is>
      </c>
      <c r="T1152" s="6" t="inlineStr"/>
      <c r="U1152" s="4" t="inlineStr">
        <is>
          <t>2026-09-11 00:05:00</t>
        </is>
      </c>
      <c r="V1152" s="4" t="inlineStr">
        <is>
          <t>Balance electrico ANDE.</t>
        </is>
      </c>
    </row>
    <row r="1153">
      <c r="A1153" s="6" t="inlineStr">
        <is>
          <t>R0001269</t>
        </is>
      </c>
      <c r="B1153" s="6" t="inlineStr">
        <is>
          <t>2003-01-01</t>
        </is>
      </c>
      <c r="C1153" s="6" t="inlineStr">
        <is>
          <t>2003-12-31</t>
        </is>
      </c>
      <c r="D1153" s="6" t="inlineStr">
        <is>
          <t>year</t>
        </is>
      </c>
      <c r="E1153" s="6" t="inlineStr">
        <is>
          <t>PY_PURCHASED_ENERGY</t>
        </is>
      </c>
      <c r="F1153" s="6" t="inlineStr">
        <is>
          <t>PY_SIN</t>
        </is>
      </c>
      <c r="G1153" s="6" t="inlineStr">
        <is>
          <t>BINATIONALS</t>
        </is>
      </c>
      <c r="H1153" s="6" t="inlineStr">
        <is>
          <t>PY</t>
        </is>
      </c>
      <c r="I1153" s="8" t="n">
        <v>5802607</v>
      </c>
      <c r="J1153" s="6" t="inlineStr">
        <is>
          <t>MWh</t>
        </is>
      </c>
      <c r="K1153" s="8" t="n">
        <v>5802607</v>
      </c>
      <c r="L1153" s="6" t="inlineStr">
        <is>
          <t>MWh</t>
        </is>
      </c>
      <c r="M1153" s="6" t="inlineStr">
        <is>
          <t>ANDE</t>
        </is>
      </c>
      <c r="N1153" s="6" t="inlineStr">
        <is>
          <t>OFFICIAL_PRIMARY</t>
        </is>
      </c>
      <c r="O1153" s="9" t="inlineStr">
        <is>
          <t>OFFICIAL_AGGREGATE</t>
        </is>
      </c>
      <c r="P1153" s="8" t="n">
        <v>1</v>
      </c>
      <c r="Q1153" s="8" t="n">
        <v>85</v>
      </c>
      <c r="R1153" s="7" t="inlineStr">
        <is>
          <t>https://www.ande.gov.py/finanzas/2.%20COMPILACION%20ESTADISTICA%202003-2023/ANDE%20-%20Compilacion%20Estadistica%202003-2023.pdf</t>
        </is>
      </c>
      <c r="S1153" s="6" t="inlineStr">
        <is>
          <t>ANDE-03-23</t>
        </is>
      </c>
      <c r="T1153" s="6" t="inlineStr"/>
      <c r="U1153" s="4" t="inlineStr">
        <is>
          <t>2026-09-11 00:05:00</t>
        </is>
      </c>
      <c r="V1153" s="4" t="inlineStr">
        <is>
          <t>Balance electrico ANDE.</t>
        </is>
      </c>
    </row>
    <row r="1154">
      <c r="A1154" s="6" t="inlineStr">
        <is>
          <t>R0001270</t>
        </is>
      </c>
      <c r="B1154" s="6" t="inlineStr">
        <is>
          <t>2004-01-01</t>
        </is>
      </c>
      <c r="C1154" s="6" t="inlineStr">
        <is>
          <t>2004-12-31</t>
        </is>
      </c>
      <c r="D1154" s="6" t="inlineStr">
        <is>
          <t>year</t>
        </is>
      </c>
      <c r="E1154" s="6" t="inlineStr">
        <is>
          <t>PY_PURCHASED_ENERGY</t>
        </is>
      </c>
      <c r="F1154" s="6" t="inlineStr">
        <is>
          <t>PY_SIN</t>
        </is>
      </c>
      <c r="G1154" s="6" t="inlineStr">
        <is>
          <t>BINATIONALS</t>
        </is>
      </c>
      <c r="H1154" s="6" t="inlineStr">
        <is>
          <t>PY</t>
        </is>
      </c>
      <c r="I1154" s="8" t="n">
        <v>6441216</v>
      </c>
      <c r="J1154" s="6" t="inlineStr">
        <is>
          <t>MWh</t>
        </is>
      </c>
      <c r="K1154" s="8" t="n">
        <v>6441216</v>
      </c>
      <c r="L1154" s="6" t="inlineStr">
        <is>
          <t>MWh</t>
        </is>
      </c>
      <c r="M1154" s="6" t="inlineStr">
        <is>
          <t>ANDE</t>
        </is>
      </c>
      <c r="N1154" s="6" t="inlineStr">
        <is>
          <t>OFFICIAL_PRIMARY</t>
        </is>
      </c>
      <c r="O1154" s="9" t="inlineStr">
        <is>
          <t>OFFICIAL_AGGREGATE</t>
        </is>
      </c>
      <c r="P1154" s="8" t="n">
        <v>1</v>
      </c>
      <c r="Q1154" s="8" t="n">
        <v>85</v>
      </c>
      <c r="R1154" s="7" t="inlineStr">
        <is>
          <t>https://www.ande.gov.py/finanzas/2.%20COMPILACION%20ESTADISTICA%202003-2023/ANDE%20-%20Compilacion%20Estadistica%202003-2023.pdf</t>
        </is>
      </c>
      <c r="S1154" s="6" t="inlineStr">
        <is>
          <t>ANDE-03-23</t>
        </is>
      </c>
      <c r="T1154" s="6" t="inlineStr"/>
      <c r="U1154" s="4" t="inlineStr">
        <is>
          <t>2026-09-11 00:05:00</t>
        </is>
      </c>
      <c r="V1154" s="4" t="inlineStr">
        <is>
          <t>Balance electrico ANDE.</t>
        </is>
      </c>
    </row>
    <row r="1155">
      <c r="A1155" s="6" t="inlineStr">
        <is>
          <t>R0001271</t>
        </is>
      </c>
      <c r="B1155" s="6" t="inlineStr">
        <is>
          <t>2005-01-01</t>
        </is>
      </c>
      <c r="C1155" s="6" t="inlineStr">
        <is>
          <t>2005-12-31</t>
        </is>
      </c>
      <c r="D1155" s="6" t="inlineStr">
        <is>
          <t>year</t>
        </is>
      </c>
      <c r="E1155" s="6" t="inlineStr">
        <is>
          <t>PY_PURCHASED_ENERGY</t>
        </is>
      </c>
      <c r="F1155" s="6" t="inlineStr">
        <is>
          <t>PY_SIN</t>
        </is>
      </c>
      <c r="G1155" s="6" t="inlineStr">
        <is>
          <t>BINATIONALS</t>
        </is>
      </c>
      <c r="H1155" s="6" t="inlineStr">
        <is>
          <t>PY</t>
        </is>
      </c>
      <c r="I1155" s="8" t="n">
        <v>6762120</v>
      </c>
      <c r="J1155" s="6" t="inlineStr">
        <is>
          <t>MWh</t>
        </is>
      </c>
      <c r="K1155" s="8" t="n">
        <v>6762120</v>
      </c>
      <c r="L1155" s="6" t="inlineStr">
        <is>
          <t>MWh</t>
        </is>
      </c>
      <c r="M1155" s="6" t="inlineStr">
        <is>
          <t>ANDE</t>
        </is>
      </c>
      <c r="N1155" s="6" t="inlineStr">
        <is>
          <t>OFFICIAL_PRIMARY</t>
        </is>
      </c>
      <c r="O1155" s="9" t="inlineStr">
        <is>
          <t>OFFICIAL_AGGREGATE</t>
        </is>
      </c>
      <c r="P1155" s="8" t="n">
        <v>1</v>
      </c>
      <c r="Q1155" s="8" t="n">
        <v>85</v>
      </c>
      <c r="R1155" s="7" t="inlineStr">
        <is>
          <t>https://www.ande.gov.py/finanzas/2.%20COMPILACION%20ESTADISTICA%202003-2023/ANDE%20-%20Compilacion%20Estadistica%202003-2023.pdf</t>
        </is>
      </c>
      <c r="S1155" s="6" t="inlineStr">
        <is>
          <t>ANDE-03-23</t>
        </is>
      </c>
      <c r="T1155" s="6" t="inlineStr"/>
      <c r="U1155" s="4" t="inlineStr">
        <is>
          <t>2026-09-11 00:05:00</t>
        </is>
      </c>
      <c r="V1155" s="4" t="inlineStr">
        <is>
          <t>Balance electrico ANDE.</t>
        </is>
      </c>
    </row>
    <row r="1156">
      <c r="A1156" s="6" t="inlineStr">
        <is>
          <t>R0001272</t>
        </is>
      </c>
      <c r="B1156" s="6" t="inlineStr">
        <is>
          <t>2006-01-01</t>
        </is>
      </c>
      <c r="C1156" s="6" t="inlineStr">
        <is>
          <t>2006-12-31</t>
        </is>
      </c>
      <c r="D1156" s="6" t="inlineStr">
        <is>
          <t>year</t>
        </is>
      </c>
      <c r="E1156" s="6" t="inlineStr">
        <is>
          <t>PY_PURCHASED_ENERGY</t>
        </is>
      </c>
      <c r="F1156" s="6" t="inlineStr">
        <is>
          <t>PY_SIN</t>
        </is>
      </c>
      <c r="G1156" s="6" t="inlineStr">
        <is>
          <t>BINATIONALS</t>
        </is>
      </c>
      <c r="H1156" s="6" t="inlineStr">
        <is>
          <t>PY</t>
        </is>
      </c>
      <c r="I1156" s="8" t="n">
        <v>7691500</v>
      </c>
      <c r="J1156" s="6" t="inlineStr">
        <is>
          <t>MWh</t>
        </is>
      </c>
      <c r="K1156" s="8" t="n">
        <v>7691500</v>
      </c>
      <c r="L1156" s="6" t="inlineStr">
        <is>
          <t>MWh</t>
        </is>
      </c>
      <c r="M1156" s="6" t="inlineStr">
        <is>
          <t>ANDE</t>
        </is>
      </c>
      <c r="N1156" s="6" t="inlineStr">
        <is>
          <t>OFFICIAL_PRIMARY</t>
        </is>
      </c>
      <c r="O1156" s="9" t="inlineStr">
        <is>
          <t>OFFICIAL_AGGREGATE</t>
        </is>
      </c>
      <c r="P1156" s="8" t="n">
        <v>1</v>
      </c>
      <c r="Q1156" s="8" t="n">
        <v>85</v>
      </c>
      <c r="R1156" s="7" t="inlineStr">
        <is>
          <t>https://www.ande.gov.py/finanzas/2.%20COMPILACION%20ESTADISTICA%202003-2023/ANDE%20-%20Compilacion%20Estadistica%202003-2023.pdf</t>
        </is>
      </c>
      <c r="S1156" s="6" t="inlineStr">
        <is>
          <t>ANDE-03-23</t>
        </is>
      </c>
      <c r="T1156" s="6" t="inlineStr"/>
      <c r="U1156" s="4" t="inlineStr">
        <is>
          <t>2026-09-11 00:05:00</t>
        </is>
      </c>
      <c r="V1156" s="4" t="inlineStr">
        <is>
          <t>Balance electrico ANDE.</t>
        </is>
      </c>
    </row>
    <row r="1157">
      <c r="A1157" s="6" t="inlineStr">
        <is>
          <t>R0001273</t>
        </is>
      </c>
      <c r="B1157" s="6" t="inlineStr">
        <is>
          <t>2007-01-01</t>
        </is>
      </c>
      <c r="C1157" s="6" t="inlineStr">
        <is>
          <t>2007-12-31</t>
        </is>
      </c>
      <c r="D1157" s="6" t="inlineStr">
        <is>
          <t>year</t>
        </is>
      </c>
      <c r="E1157" s="6" t="inlineStr">
        <is>
          <t>PY_PURCHASED_ENERGY</t>
        </is>
      </c>
      <c r="F1157" s="6" t="inlineStr">
        <is>
          <t>PY_SIN</t>
        </is>
      </c>
      <c r="G1157" s="6" t="inlineStr">
        <is>
          <t>BINATIONALS</t>
        </is>
      </c>
      <c r="H1157" s="6" t="inlineStr">
        <is>
          <t>PY</t>
        </is>
      </c>
      <c r="I1157" s="8" t="n">
        <v>7901354</v>
      </c>
      <c r="J1157" s="6" t="inlineStr">
        <is>
          <t>MWh</t>
        </is>
      </c>
      <c r="K1157" s="8" t="n">
        <v>7901354</v>
      </c>
      <c r="L1157" s="6" t="inlineStr">
        <is>
          <t>MWh</t>
        </is>
      </c>
      <c r="M1157" s="6" t="inlineStr">
        <is>
          <t>ANDE</t>
        </is>
      </c>
      <c r="N1157" s="6" t="inlineStr">
        <is>
          <t>OFFICIAL_PRIMARY</t>
        </is>
      </c>
      <c r="O1157" s="9" t="inlineStr">
        <is>
          <t>OFFICIAL_AGGREGATE</t>
        </is>
      </c>
      <c r="P1157" s="8" t="n">
        <v>1</v>
      </c>
      <c r="Q1157" s="8" t="n">
        <v>85</v>
      </c>
      <c r="R1157" s="7" t="inlineStr">
        <is>
          <t>https://www.ande.gov.py/finanzas/2.%20COMPILACION%20ESTADISTICA%202003-2023/ANDE%20-%20Compilacion%20Estadistica%202003-2023.pdf</t>
        </is>
      </c>
      <c r="S1157" s="6" t="inlineStr">
        <is>
          <t>ANDE-03-23</t>
        </is>
      </c>
      <c r="T1157" s="6" t="inlineStr"/>
      <c r="U1157" s="4" t="inlineStr">
        <is>
          <t>2026-09-11 00:05:00</t>
        </is>
      </c>
      <c r="V1157" s="4" t="inlineStr">
        <is>
          <t>Balance electrico ANDE.</t>
        </is>
      </c>
    </row>
    <row r="1158">
      <c r="A1158" s="6" t="inlineStr">
        <is>
          <t>R0001274</t>
        </is>
      </c>
      <c r="B1158" s="6" t="inlineStr">
        <is>
          <t>2008-01-01</t>
        </is>
      </c>
      <c r="C1158" s="6" t="inlineStr">
        <is>
          <t>2008-12-31</t>
        </is>
      </c>
      <c r="D1158" s="6" t="inlineStr">
        <is>
          <t>year</t>
        </is>
      </c>
      <c r="E1158" s="6" t="inlineStr">
        <is>
          <t>PY_PURCHASED_ENERGY</t>
        </is>
      </c>
      <c r="F1158" s="6" t="inlineStr">
        <is>
          <t>PY_SIN</t>
        </is>
      </c>
      <c r="G1158" s="6" t="inlineStr">
        <is>
          <t>BINATIONALS</t>
        </is>
      </c>
      <c r="H1158" s="6" t="inlineStr">
        <is>
          <t>PY</t>
        </is>
      </c>
      <c r="I1158" s="8" t="n">
        <v>8627954</v>
      </c>
      <c r="J1158" s="6" t="inlineStr">
        <is>
          <t>MWh</t>
        </is>
      </c>
      <c r="K1158" s="8" t="n">
        <v>8627954</v>
      </c>
      <c r="L1158" s="6" t="inlineStr">
        <is>
          <t>MWh</t>
        </is>
      </c>
      <c r="M1158" s="6" t="inlineStr">
        <is>
          <t>ANDE</t>
        </is>
      </c>
      <c r="N1158" s="6" t="inlineStr">
        <is>
          <t>OFFICIAL_PRIMARY</t>
        </is>
      </c>
      <c r="O1158" s="9" t="inlineStr">
        <is>
          <t>OFFICIAL_AGGREGATE</t>
        </is>
      </c>
      <c r="P1158" s="8" t="n">
        <v>1</v>
      </c>
      <c r="Q1158" s="8" t="n">
        <v>85</v>
      </c>
      <c r="R1158" s="7" t="inlineStr">
        <is>
          <t>https://www.ande.gov.py/finanzas/2.%20COMPILACION%20ESTADISTICA%202003-2023/ANDE%20-%20Compilacion%20Estadistica%202003-2023.pdf</t>
        </is>
      </c>
      <c r="S1158" s="6" t="inlineStr">
        <is>
          <t>ANDE-03-23</t>
        </is>
      </c>
      <c r="T1158" s="6" t="inlineStr"/>
      <c r="U1158" s="4" t="inlineStr">
        <is>
          <t>2026-09-11 00:05:00</t>
        </is>
      </c>
      <c r="V1158" s="4" t="inlineStr">
        <is>
          <t>Balance electrico ANDE.</t>
        </is>
      </c>
    </row>
    <row r="1159">
      <c r="A1159" s="6" t="inlineStr">
        <is>
          <t>R0001275</t>
        </is>
      </c>
      <c r="B1159" s="6" t="inlineStr">
        <is>
          <t>2009-01-01</t>
        </is>
      </c>
      <c r="C1159" s="6" t="inlineStr">
        <is>
          <t>2009-12-31</t>
        </is>
      </c>
      <c r="D1159" s="6" t="inlineStr">
        <is>
          <t>year</t>
        </is>
      </c>
      <c r="E1159" s="6" t="inlineStr">
        <is>
          <t>PY_PURCHASED_ENERGY</t>
        </is>
      </c>
      <c r="F1159" s="6" t="inlineStr">
        <is>
          <t>PY_SIN</t>
        </is>
      </c>
      <c r="G1159" s="6" t="inlineStr">
        <is>
          <t>BINATIONALS</t>
        </is>
      </c>
      <c r="H1159" s="6" t="inlineStr">
        <is>
          <t>PY</t>
        </is>
      </c>
      <c r="I1159" s="8" t="n">
        <v>9298357</v>
      </c>
      <c r="J1159" s="6" t="inlineStr">
        <is>
          <t>MWh</t>
        </is>
      </c>
      <c r="K1159" s="8" t="n">
        <v>9298357</v>
      </c>
      <c r="L1159" s="6" t="inlineStr">
        <is>
          <t>MWh</t>
        </is>
      </c>
      <c r="M1159" s="6" t="inlineStr">
        <is>
          <t>ANDE</t>
        </is>
      </c>
      <c r="N1159" s="6" t="inlineStr">
        <is>
          <t>OFFICIAL_PRIMARY</t>
        </is>
      </c>
      <c r="O1159" s="9" t="inlineStr">
        <is>
          <t>OFFICIAL_AGGREGATE</t>
        </is>
      </c>
      <c r="P1159" s="8" t="n">
        <v>1</v>
      </c>
      <c r="Q1159" s="8" t="n">
        <v>85</v>
      </c>
      <c r="R1159" s="7" t="inlineStr">
        <is>
          <t>https://www.ande.gov.py/finanzas/2.%20COMPILACION%20ESTADISTICA%202003-2023/ANDE%20-%20Compilacion%20Estadistica%202003-2023.pdf</t>
        </is>
      </c>
      <c r="S1159" s="6" t="inlineStr">
        <is>
          <t>ANDE-03-23</t>
        </is>
      </c>
      <c r="T1159" s="6" t="inlineStr"/>
      <c r="U1159" s="4" t="inlineStr">
        <is>
          <t>2026-09-11 00:05:00</t>
        </is>
      </c>
      <c r="V1159" s="4" t="inlineStr">
        <is>
          <t>Balance electrico ANDE.</t>
        </is>
      </c>
    </row>
    <row r="1160">
      <c r="A1160" s="6" t="inlineStr">
        <is>
          <t>R0001276</t>
        </is>
      </c>
      <c r="B1160" s="6" t="inlineStr">
        <is>
          <t>2010-01-01</t>
        </is>
      </c>
      <c r="C1160" s="6" t="inlineStr">
        <is>
          <t>2010-12-31</t>
        </is>
      </c>
      <c r="D1160" s="6" t="inlineStr">
        <is>
          <t>year</t>
        </is>
      </c>
      <c r="E1160" s="6" t="inlineStr">
        <is>
          <t>PY_PURCHASED_ENERGY</t>
        </is>
      </c>
      <c r="F1160" s="6" t="inlineStr">
        <is>
          <t>PY_SIN</t>
        </is>
      </c>
      <c r="G1160" s="6" t="inlineStr">
        <is>
          <t>BINATIONALS</t>
        </is>
      </c>
      <c r="H1160" s="6" t="inlineStr">
        <is>
          <t>PY</t>
        </is>
      </c>
      <c r="I1160" s="8" t="n">
        <v>9457234</v>
      </c>
      <c r="J1160" s="6" t="inlineStr">
        <is>
          <t>MWh</t>
        </is>
      </c>
      <c r="K1160" s="8" t="n">
        <v>9457234</v>
      </c>
      <c r="L1160" s="6" t="inlineStr">
        <is>
          <t>MWh</t>
        </is>
      </c>
      <c r="M1160" s="6" t="inlineStr">
        <is>
          <t>ANDE</t>
        </is>
      </c>
      <c r="N1160" s="6" t="inlineStr">
        <is>
          <t>OFFICIAL_PRIMARY</t>
        </is>
      </c>
      <c r="O1160" s="9" t="inlineStr">
        <is>
          <t>OFFICIAL_AGGREGATE</t>
        </is>
      </c>
      <c r="P1160" s="8" t="n">
        <v>1</v>
      </c>
      <c r="Q1160" s="8" t="n">
        <v>85</v>
      </c>
      <c r="R1160" s="7" t="inlineStr">
        <is>
          <t>https://www.ande.gov.py/finanzas/2.%20COMPILACION%20ESTADISTICA%202003-2023/ANDE%20-%20Compilacion%20Estadistica%202003-2023.pdf</t>
        </is>
      </c>
      <c r="S1160" s="6" t="inlineStr">
        <is>
          <t>ANDE-03-23</t>
        </is>
      </c>
      <c r="T1160" s="6" t="inlineStr"/>
      <c r="U1160" s="4" t="inlineStr">
        <is>
          <t>2026-09-11 00:05:00</t>
        </is>
      </c>
      <c r="V1160" s="4" t="inlineStr">
        <is>
          <t>Balance electrico ANDE.</t>
        </is>
      </c>
    </row>
    <row r="1161">
      <c r="A1161" s="6" t="inlineStr">
        <is>
          <t>R0001277</t>
        </is>
      </c>
      <c r="B1161" s="6" t="inlineStr">
        <is>
          <t>2011-01-01</t>
        </is>
      </c>
      <c r="C1161" s="6" t="inlineStr">
        <is>
          <t>2011-12-31</t>
        </is>
      </c>
      <c r="D1161" s="6" t="inlineStr">
        <is>
          <t>year</t>
        </is>
      </c>
      <c r="E1161" s="6" t="inlineStr">
        <is>
          <t>PY_PURCHASED_ENERGY</t>
        </is>
      </c>
      <c r="F1161" s="6" t="inlineStr">
        <is>
          <t>PY_SIN</t>
        </is>
      </c>
      <c r="G1161" s="6" t="inlineStr">
        <is>
          <t>BINATIONALS</t>
        </is>
      </c>
      <c r="H1161" s="6" t="inlineStr">
        <is>
          <t>PY</t>
        </is>
      </c>
      <c r="I1161" s="8" t="n">
        <v>10210635</v>
      </c>
      <c r="J1161" s="6" t="inlineStr">
        <is>
          <t>MWh</t>
        </is>
      </c>
      <c r="K1161" s="8" t="n">
        <v>10210635</v>
      </c>
      <c r="L1161" s="6" t="inlineStr">
        <is>
          <t>MWh</t>
        </is>
      </c>
      <c r="M1161" s="6" t="inlineStr">
        <is>
          <t>ANDE</t>
        </is>
      </c>
      <c r="N1161" s="6" t="inlineStr">
        <is>
          <t>OFFICIAL_PRIMARY</t>
        </is>
      </c>
      <c r="O1161" s="9" t="inlineStr">
        <is>
          <t>OFFICIAL_AGGREGATE</t>
        </is>
      </c>
      <c r="P1161" s="8" t="n">
        <v>1</v>
      </c>
      <c r="Q1161" s="8" t="n">
        <v>85</v>
      </c>
      <c r="R1161" s="7" t="inlineStr">
        <is>
          <t>https://www.ande.gov.py/finanzas/2.%20COMPILACION%20ESTADISTICA%202003-2023/ANDE%20-%20Compilacion%20Estadistica%202003-2023.pdf</t>
        </is>
      </c>
      <c r="S1161" s="6" t="inlineStr">
        <is>
          <t>ANDE-03-23</t>
        </is>
      </c>
      <c r="T1161" s="6" t="inlineStr"/>
      <c r="U1161" s="4" t="inlineStr">
        <is>
          <t>2026-09-11 00:05:00</t>
        </is>
      </c>
      <c r="V1161" s="4" t="inlineStr">
        <is>
          <t>Balance electrico ANDE.</t>
        </is>
      </c>
    </row>
    <row r="1162">
      <c r="A1162" s="6" t="inlineStr">
        <is>
          <t>R0001278</t>
        </is>
      </c>
      <c r="B1162" s="6" t="inlineStr">
        <is>
          <t>2012-01-01</t>
        </is>
      </c>
      <c r="C1162" s="6" t="inlineStr">
        <is>
          <t>2012-12-31</t>
        </is>
      </c>
      <c r="D1162" s="6" t="inlineStr">
        <is>
          <t>year</t>
        </is>
      </c>
      <c r="E1162" s="6" t="inlineStr">
        <is>
          <t>PY_PURCHASED_ENERGY</t>
        </is>
      </c>
      <c r="F1162" s="6" t="inlineStr">
        <is>
          <t>PY_SIN</t>
        </is>
      </c>
      <c r="G1162" s="6" t="inlineStr">
        <is>
          <t>BINATIONALS</t>
        </is>
      </c>
      <c r="H1162" s="6" t="inlineStr">
        <is>
          <t>PY</t>
        </is>
      </c>
      <c r="I1162" s="8" t="n">
        <v>11301433</v>
      </c>
      <c r="J1162" s="6" t="inlineStr">
        <is>
          <t>MWh</t>
        </is>
      </c>
      <c r="K1162" s="8" t="n">
        <v>11301433</v>
      </c>
      <c r="L1162" s="6" t="inlineStr">
        <is>
          <t>MWh</t>
        </is>
      </c>
      <c r="M1162" s="6" t="inlineStr">
        <is>
          <t>ANDE</t>
        </is>
      </c>
      <c r="N1162" s="6" t="inlineStr">
        <is>
          <t>OFFICIAL_PRIMARY</t>
        </is>
      </c>
      <c r="O1162" s="9" t="inlineStr">
        <is>
          <t>OFFICIAL_AGGREGATE</t>
        </is>
      </c>
      <c r="P1162" s="8" t="n">
        <v>1</v>
      </c>
      <c r="Q1162" s="8" t="n">
        <v>85</v>
      </c>
      <c r="R1162" s="7" t="inlineStr">
        <is>
          <t>https://www.ande.gov.py/finanzas/2.%20COMPILACION%20ESTADISTICA%202003-2023/ANDE%20-%20Compilacion%20Estadistica%202003-2023.pdf</t>
        </is>
      </c>
      <c r="S1162" s="6" t="inlineStr">
        <is>
          <t>ANDE-03-23</t>
        </is>
      </c>
      <c r="T1162" s="6" t="inlineStr"/>
      <c r="U1162" s="4" t="inlineStr">
        <is>
          <t>2026-09-11 00:05:00</t>
        </is>
      </c>
      <c r="V1162" s="4" t="inlineStr">
        <is>
          <t>Balance electrico ANDE.</t>
        </is>
      </c>
    </row>
    <row r="1163">
      <c r="A1163" s="6" t="inlineStr">
        <is>
          <t>R0001279</t>
        </is>
      </c>
      <c r="B1163" s="6" t="inlineStr">
        <is>
          <t>2013-01-01</t>
        </is>
      </c>
      <c r="C1163" s="6" t="inlineStr">
        <is>
          <t>2013-12-31</t>
        </is>
      </c>
      <c r="D1163" s="6" t="inlineStr">
        <is>
          <t>year</t>
        </is>
      </c>
      <c r="E1163" s="6" t="inlineStr">
        <is>
          <t>PY_PURCHASED_ENERGY</t>
        </is>
      </c>
      <c r="F1163" s="6" t="inlineStr">
        <is>
          <t>PY_SIN</t>
        </is>
      </c>
      <c r="G1163" s="6" t="inlineStr">
        <is>
          <t>BINATIONALS</t>
        </is>
      </c>
      <c r="H1163" s="6" t="inlineStr">
        <is>
          <t>PY</t>
        </is>
      </c>
      <c r="I1163" s="8" t="n">
        <v>11767413</v>
      </c>
      <c r="J1163" s="6" t="inlineStr">
        <is>
          <t>MWh</t>
        </is>
      </c>
      <c r="K1163" s="8" t="n">
        <v>11767413</v>
      </c>
      <c r="L1163" s="6" t="inlineStr">
        <is>
          <t>MWh</t>
        </is>
      </c>
      <c r="M1163" s="6" t="inlineStr">
        <is>
          <t>ANDE</t>
        </is>
      </c>
      <c r="N1163" s="6" t="inlineStr">
        <is>
          <t>OFFICIAL_PRIMARY</t>
        </is>
      </c>
      <c r="O1163" s="9" t="inlineStr">
        <is>
          <t>OFFICIAL_AGGREGATE</t>
        </is>
      </c>
      <c r="P1163" s="8" t="n">
        <v>1</v>
      </c>
      <c r="Q1163" s="8" t="n">
        <v>85</v>
      </c>
      <c r="R1163" s="7" t="inlineStr">
        <is>
          <t>https://www.ande.gov.py/finanzas/2.%20COMPILACION%20ESTADISTICA%202003-2023/ANDE%20-%20Compilacion%20Estadistica%202003-2023.pdf</t>
        </is>
      </c>
      <c r="S1163" s="6" t="inlineStr">
        <is>
          <t>ANDE-03-23</t>
        </is>
      </c>
      <c r="T1163" s="6" t="inlineStr"/>
      <c r="U1163" s="4" t="inlineStr">
        <is>
          <t>2026-09-11 00:05:00</t>
        </is>
      </c>
      <c r="V1163" s="4" t="inlineStr">
        <is>
          <t>Balance electrico ANDE.</t>
        </is>
      </c>
    </row>
    <row r="1164">
      <c r="A1164" s="6" t="inlineStr">
        <is>
          <t>R0001280</t>
        </is>
      </c>
      <c r="B1164" s="6" t="inlineStr">
        <is>
          <t>2014-01-01</t>
        </is>
      </c>
      <c r="C1164" s="6" t="inlineStr">
        <is>
          <t>2014-12-31</t>
        </is>
      </c>
      <c r="D1164" s="6" t="inlineStr">
        <is>
          <t>year</t>
        </is>
      </c>
      <c r="E1164" s="6" t="inlineStr">
        <is>
          <t>PY_PURCHASED_ENERGY</t>
        </is>
      </c>
      <c r="F1164" s="6" t="inlineStr">
        <is>
          <t>PY_SIN</t>
        </is>
      </c>
      <c r="G1164" s="6" t="inlineStr">
        <is>
          <t>BINATIONALS</t>
        </is>
      </c>
      <c r="H1164" s="6" t="inlineStr">
        <is>
          <t>PY</t>
        </is>
      </c>
      <c r="I1164" s="8" t="n">
        <v>12456559</v>
      </c>
      <c r="J1164" s="6" t="inlineStr">
        <is>
          <t>MWh</t>
        </is>
      </c>
      <c r="K1164" s="8" t="n">
        <v>12456559</v>
      </c>
      <c r="L1164" s="6" t="inlineStr">
        <is>
          <t>MWh</t>
        </is>
      </c>
      <c r="M1164" s="6" t="inlineStr">
        <is>
          <t>ANDE</t>
        </is>
      </c>
      <c r="N1164" s="6" t="inlineStr">
        <is>
          <t>OFFICIAL_PRIMARY</t>
        </is>
      </c>
      <c r="O1164" s="9" t="inlineStr">
        <is>
          <t>OFFICIAL_AGGREGATE</t>
        </is>
      </c>
      <c r="P1164" s="8" t="n">
        <v>1</v>
      </c>
      <c r="Q1164" s="8" t="n">
        <v>85</v>
      </c>
      <c r="R1164" s="7" t="inlineStr">
        <is>
          <t>https://www.ande.gov.py/finanzas/2.%20COMPILACION%20ESTADISTICA%202003-2023/ANDE%20-%20Compilacion%20Estadistica%202003-2023.pdf</t>
        </is>
      </c>
      <c r="S1164" s="6" t="inlineStr">
        <is>
          <t>ANDE-03-23</t>
        </is>
      </c>
      <c r="T1164" s="6" t="inlineStr"/>
      <c r="U1164" s="4" t="inlineStr">
        <is>
          <t>2026-09-11 00:05:00</t>
        </is>
      </c>
      <c r="V1164" s="4" t="inlineStr">
        <is>
          <t>Balance electrico ANDE.</t>
        </is>
      </c>
    </row>
    <row r="1165">
      <c r="A1165" s="6" t="inlineStr">
        <is>
          <t>R0001281</t>
        </is>
      </c>
      <c r="B1165" s="6" t="inlineStr">
        <is>
          <t>2015-01-01</t>
        </is>
      </c>
      <c r="C1165" s="6" t="inlineStr">
        <is>
          <t>2015-12-31</t>
        </is>
      </c>
      <c r="D1165" s="6" t="inlineStr">
        <is>
          <t>year</t>
        </is>
      </c>
      <c r="E1165" s="6" t="inlineStr">
        <is>
          <t>PY_PURCHASED_ENERGY</t>
        </is>
      </c>
      <c r="F1165" s="6" t="inlineStr">
        <is>
          <t>PY_SIN</t>
        </is>
      </c>
      <c r="G1165" s="6" t="inlineStr">
        <is>
          <t>BINATIONALS</t>
        </is>
      </c>
      <c r="H1165" s="6" t="inlineStr">
        <is>
          <t>PY</t>
        </is>
      </c>
      <c r="I1165" s="8" t="n">
        <v>13243802</v>
      </c>
      <c r="J1165" s="6" t="inlineStr">
        <is>
          <t>MWh</t>
        </is>
      </c>
      <c r="K1165" s="8" t="n">
        <v>13243802</v>
      </c>
      <c r="L1165" s="6" t="inlineStr">
        <is>
          <t>MWh</t>
        </is>
      </c>
      <c r="M1165" s="6" t="inlineStr">
        <is>
          <t>ANDE</t>
        </is>
      </c>
      <c r="N1165" s="6" t="inlineStr">
        <is>
          <t>OFFICIAL_PRIMARY</t>
        </is>
      </c>
      <c r="O1165" s="9" t="inlineStr">
        <is>
          <t>OFFICIAL_AGGREGATE</t>
        </is>
      </c>
      <c r="P1165" s="8" t="n">
        <v>1</v>
      </c>
      <c r="Q1165" s="8" t="n">
        <v>85</v>
      </c>
      <c r="R1165" s="7" t="inlineStr">
        <is>
          <t>https://www.ande.gov.py/finanzas/2.%20COMPILACION%20ESTADISTICA%202003-2023/ANDE%20-%20Compilacion%20Estadistica%202003-2023.pdf</t>
        </is>
      </c>
      <c r="S1165" s="6" t="inlineStr">
        <is>
          <t>ANDE-03-23</t>
        </is>
      </c>
      <c r="T1165" s="6" t="inlineStr"/>
      <c r="U1165" s="4" t="inlineStr">
        <is>
          <t>2026-09-11 00:05:00</t>
        </is>
      </c>
      <c r="V1165" s="4" t="inlineStr">
        <is>
          <t>Balance electrico ANDE.</t>
        </is>
      </c>
    </row>
    <row r="1166">
      <c r="A1166" s="6" t="inlineStr">
        <is>
          <t>R0001282</t>
        </is>
      </c>
      <c r="B1166" s="6" t="inlineStr">
        <is>
          <t>2016-01-01</t>
        </is>
      </c>
      <c r="C1166" s="6" t="inlineStr">
        <is>
          <t>2016-12-31</t>
        </is>
      </c>
      <c r="D1166" s="6" t="inlineStr">
        <is>
          <t>year</t>
        </is>
      </c>
      <c r="E1166" s="6" t="inlineStr">
        <is>
          <t>PY_PURCHASED_ENERGY</t>
        </is>
      </c>
      <c r="F1166" s="6" t="inlineStr">
        <is>
          <t>PY_SIN</t>
        </is>
      </c>
      <c r="G1166" s="6" t="inlineStr">
        <is>
          <t>BINATIONALS</t>
        </is>
      </c>
      <c r="H1166" s="6" t="inlineStr">
        <is>
          <t>PY</t>
        </is>
      </c>
      <c r="I1166" s="8" t="n">
        <v>13686282</v>
      </c>
      <c r="J1166" s="6" t="inlineStr">
        <is>
          <t>MWh</t>
        </is>
      </c>
      <c r="K1166" s="8" t="n">
        <v>13686282</v>
      </c>
      <c r="L1166" s="6" t="inlineStr">
        <is>
          <t>MWh</t>
        </is>
      </c>
      <c r="M1166" s="6" t="inlineStr">
        <is>
          <t>ANDE</t>
        </is>
      </c>
      <c r="N1166" s="6" t="inlineStr">
        <is>
          <t>OFFICIAL_PRIMARY</t>
        </is>
      </c>
      <c r="O1166" s="9" t="inlineStr">
        <is>
          <t>OFFICIAL_AGGREGATE</t>
        </is>
      </c>
      <c r="P1166" s="8" t="n">
        <v>1</v>
      </c>
      <c r="Q1166" s="8" t="n">
        <v>85</v>
      </c>
      <c r="R1166" s="7" t="inlineStr">
        <is>
          <t>https://www.ande.gov.py/finanzas/2.%20COMPILACION%20ESTADISTICA%202003-2023/ANDE%20-%20Compilacion%20Estadistica%202003-2023.pdf</t>
        </is>
      </c>
      <c r="S1166" s="6" t="inlineStr">
        <is>
          <t>ANDE-03-23</t>
        </is>
      </c>
      <c r="T1166" s="6" t="inlineStr"/>
      <c r="U1166" s="4" t="inlineStr">
        <is>
          <t>2026-09-11 00:05:00</t>
        </is>
      </c>
      <c r="V1166" s="4" t="inlineStr">
        <is>
          <t>Balance electrico ANDE.</t>
        </is>
      </c>
    </row>
    <row r="1167">
      <c r="A1167" s="6" t="inlineStr">
        <is>
          <t>R0001283</t>
        </is>
      </c>
      <c r="B1167" s="6" t="inlineStr">
        <is>
          <t>2017-01-01</t>
        </is>
      </c>
      <c r="C1167" s="6" t="inlineStr">
        <is>
          <t>2017-12-31</t>
        </is>
      </c>
      <c r="D1167" s="6" t="inlineStr">
        <is>
          <t>year</t>
        </is>
      </c>
      <c r="E1167" s="6" t="inlineStr">
        <is>
          <t>PY_PURCHASED_ENERGY</t>
        </is>
      </c>
      <c r="F1167" s="6" t="inlineStr">
        <is>
          <t>PY_SIN</t>
        </is>
      </c>
      <c r="G1167" s="6" t="inlineStr">
        <is>
          <t>BINATIONALS</t>
        </is>
      </c>
      <c r="H1167" s="6" t="inlineStr">
        <is>
          <t>PY</t>
        </is>
      </c>
      <c r="I1167" s="8" t="n">
        <v>14690779</v>
      </c>
      <c r="J1167" s="6" t="inlineStr">
        <is>
          <t>MWh</t>
        </is>
      </c>
      <c r="K1167" s="8" t="n">
        <v>14690779</v>
      </c>
      <c r="L1167" s="6" t="inlineStr">
        <is>
          <t>MWh</t>
        </is>
      </c>
      <c r="M1167" s="6" t="inlineStr">
        <is>
          <t>ANDE</t>
        </is>
      </c>
      <c r="N1167" s="6" t="inlineStr">
        <is>
          <t>OFFICIAL_PRIMARY</t>
        </is>
      </c>
      <c r="O1167" s="9" t="inlineStr">
        <is>
          <t>OFFICIAL_AGGREGATE</t>
        </is>
      </c>
      <c r="P1167" s="8" t="n">
        <v>1</v>
      </c>
      <c r="Q1167" s="8" t="n">
        <v>85</v>
      </c>
      <c r="R1167" s="7" t="inlineStr">
        <is>
          <t>https://www.ande.gov.py/finanzas/2.%20COMPILACION%20ESTADISTICA%202003-2023/ANDE%20-%20Compilacion%20Estadistica%202003-2023.pdf</t>
        </is>
      </c>
      <c r="S1167" s="6" t="inlineStr">
        <is>
          <t>ANDE-03-23</t>
        </is>
      </c>
      <c r="T1167" s="6" t="inlineStr"/>
      <c r="U1167" s="4" t="inlineStr">
        <is>
          <t>2026-09-11 00:05:00</t>
        </is>
      </c>
      <c r="V1167" s="4" t="inlineStr">
        <is>
          <t>Balance electrico ANDE.</t>
        </is>
      </c>
    </row>
    <row r="1168">
      <c r="A1168" s="6" t="inlineStr">
        <is>
          <t>R0001284</t>
        </is>
      </c>
      <c r="B1168" s="6" t="inlineStr">
        <is>
          <t>2018-01-01</t>
        </is>
      </c>
      <c r="C1168" s="6" t="inlineStr">
        <is>
          <t>2018-12-31</t>
        </is>
      </c>
      <c r="D1168" s="6" t="inlineStr">
        <is>
          <t>year</t>
        </is>
      </c>
      <c r="E1168" s="6" t="inlineStr">
        <is>
          <t>PY_PURCHASED_ENERGY</t>
        </is>
      </c>
      <c r="F1168" s="6" t="inlineStr">
        <is>
          <t>PY_SIN</t>
        </is>
      </c>
      <c r="G1168" s="6" t="inlineStr">
        <is>
          <t>BINATIONALS</t>
        </is>
      </c>
      <c r="H1168" s="6" t="inlineStr">
        <is>
          <t>PY</t>
        </is>
      </c>
      <c r="I1168" s="8" t="n">
        <v>15520791</v>
      </c>
      <c r="J1168" s="6" t="inlineStr">
        <is>
          <t>MWh</t>
        </is>
      </c>
      <c r="K1168" s="8" t="n">
        <v>15520791</v>
      </c>
      <c r="L1168" s="6" t="inlineStr">
        <is>
          <t>MWh</t>
        </is>
      </c>
      <c r="M1168" s="6" t="inlineStr">
        <is>
          <t>ANDE</t>
        </is>
      </c>
      <c r="N1168" s="6" t="inlineStr">
        <is>
          <t>OFFICIAL_PRIMARY</t>
        </is>
      </c>
      <c r="O1168" s="9" t="inlineStr">
        <is>
          <t>OFFICIAL_AGGREGATE</t>
        </is>
      </c>
      <c r="P1168" s="8" t="n">
        <v>1</v>
      </c>
      <c r="Q1168" s="8" t="n">
        <v>85</v>
      </c>
      <c r="R1168" s="7" t="inlineStr">
        <is>
          <t>https://www.ande.gov.py/finanzas/2.%20COMPILACION%20ESTADISTICA%202003-2023/ANDE%20-%20Compilacion%20Estadistica%202003-2023.pdf</t>
        </is>
      </c>
      <c r="S1168" s="6" t="inlineStr">
        <is>
          <t>ANDE-03-23</t>
        </is>
      </c>
      <c r="T1168" s="6" t="inlineStr"/>
      <c r="U1168" s="4" t="inlineStr">
        <is>
          <t>2026-09-11 00:05:00</t>
        </is>
      </c>
      <c r="V1168" s="4" t="inlineStr">
        <is>
          <t>Balance electrico ANDE.</t>
        </is>
      </c>
    </row>
    <row r="1169">
      <c r="A1169" s="6" t="inlineStr">
        <is>
          <t>R0001285</t>
        </is>
      </c>
      <c r="B1169" s="6" t="inlineStr">
        <is>
          <t>2019-01-01</t>
        </is>
      </c>
      <c r="C1169" s="6" t="inlineStr">
        <is>
          <t>2019-12-31</t>
        </is>
      </c>
      <c r="D1169" s="6" t="inlineStr">
        <is>
          <t>year</t>
        </is>
      </c>
      <c r="E1169" s="6" t="inlineStr">
        <is>
          <t>PY_PURCHASED_ENERGY</t>
        </is>
      </c>
      <c r="F1169" s="6" t="inlineStr">
        <is>
          <t>PY_SIN</t>
        </is>
      </c>
      <c r="G1169" s="6" t="inlineStr">
        <is>
          <t>BINATIONALS</t>
        </is>
      </c>
      <c r="H1169" s="6" t="inlineStr">
        <is>
          <t>PY</t>
        </is>
      </c>
      <c r="I1169" s="8" t="n">
        <v>16469479</v>
      </c>
      <c r="J1169" s="6" t="inlineStr">
        <is>
          <t>MWh</t>
        </is>
      </c>
      <c r="K1169" s="8" t="n">
        <v>16469479</v>
      </c>
      <c r="L1169" s="6" t="inlineStr">
        <is>
          <t>MWh</t>
        </is>
      </c>
      <c r="M1169" s="6" t="inlineStr">
        <is>
          <t>ANDE</t>
        </is>
      </c>
      <c r="N1169" s="6" t="inlineStr">
        <is>
          <t>OFFICIAL_PRIMARY</t>
        </is>
      </c>
      <c r="O1169" s="9" t="inlineStr">
        <is>
          <t>OFFICIAL_AGGREGATE</t>
        </is>
      </c>
      <c r="P1169" s="8" t="n">
        <v>1</v>
      </c>
      <c r="Q1169" s="8" t="n">
        <v>85</v>
      </c>
      <c r="R1169" s="7" t="inlineStr">
        <is>
          <t>https://www.ande.gov.py/finanzas/2.%20COMPILACION%20ESTADISTICA%202003-2023/ANDE%20-%20Compilacion%20Estadistica%202003-2023.pdf</t>
        </is>
      </c>
      <c r="S1169" s="6" t="inlineStr">
        <is>
          <t>ANDE-03-23</t>
        </is>
      </c>
      <c r="T1169" s="6" t="inlineStr"/>
      <c r="U1169" s="4" t="inlineStr">
        <is>
          <t>2026-09-11 00:05:00</t>
        </is>
      </c>
      <c r="V1169" s="4" t="inlineStr">
        <is>
          <t>Balance electrico ANDE.</t>
        </is>
      </c>
    </row>
    <row r="1170">
      <c r="A1170" s="6" t="inlineStr">
        <is>
          <t>R0001286</t>
        </is>
      </c>
      <c r="B1170" s="6" t="inlineStr">
        <is>
          <t>2020-01-01</t>
        </is>
      </c>
      <c r="C1170" s="6" t="inlineStr">
        <is>
          <t>2020-12-31</t>
        </is>
      </c>
      <c r="D1170" s="6" t="inlineStr">
        <is>
          <t>year</t>
        </is>
      </c>
      <c r="E1170" s="6" t="inlineStr">
        <is>
          <t>PY_PURCHASED_ENERGY</t>
        </is>
      </c>
      <c r="F1170" s="6" t="inlineStr">
        <is>
          <t>PY_SIN</t>
        </is>
      </c>
      <c r="G1170" s="6" t="inlineStr">
        <is>
          <t>BINATIONALS</t>
        </is>
      </c>
      <c r="H1170" s="6" t="inlineStr">
        <is>
          <t>PY</t>
        </is>
      </c>
      <c r="I1170" s="8" t="n">
        <v>17525615</v>
      </c>
      <c r="J1170" s="6" t="inlineStr">
        <is>
          <t>MWh</t>
        </is>
      </c>
      <c r="K1170" s="8" t="n">
        <v>17525615</v>
      </c>
      <c r="L1170" s="6" t="inlineStr">
        <is>
          <t>MWh</t>
        </is>
      </c>
      <c r="M1170" s="6" t="inlineStr">
        <is>
          <t>ANDE</t>
        </is>
      </c>
      <c r="N1170" s="6" t="inlineStr">
        <is>
          <t>OFFICIAL_PRIMARY</t>
        </is>
      </c>
      <c r="O1170" s="9" t="inlineStr">
        <is>
          <t>OFFICIAL_AGGREGATE</t>
        </is>
      </c>
      <c r="P1170" s="8" t="n">
        <v>1</v>
      </c>
      <c r="Q1170" s="8" t="n">
        <v>85</v>
      </c>
      <c r="R1170" s="7" t="inlineStr">
        <is>
          <t>https://www.ande.gov.py/finanzas/2.%20COMPILACION%20ESTADISTICA%202003-2023/ANDE%20-%20Compilacion%20Estadistica%202003-2023.pdf</t>
        </is>
      </c>
      <c r="S1170" s="6" t="inlineStr">
        <is>
          <t>ANDE-03-23</t>
        </is>
      </c>
      <c r="T1170" s="6" t="inlineStr"/>
      <c r="U1170" s="4" t="inlineStr">
        <is>
          <t>2026-09-11 00:05:00</t>
        </is>
      </c>
      <c r="V1170" s="4" t="inlineStr">
        <is>
          <t>Balance electrico ANDE.</t>
        </is>
      </c>
    </row>
    <row r="1171">
      <c r="A1171" s="6" t="inlineStr">
        <is>
          <t>R0001287</t>
        </is>
      </c>
      <c r="B1171" s="6" t="inlineStr">
        <is>
          <t>2021-01-01</t>
        </is>
      </c>
      <c r="C1171" s="6" t="inlineStr">
        <is>
          <t>2021-12-31</t>
        </is>
      </c>
      <c r="D1171" s="6" t="inlineStr">
        <is>
          <t>year</t>
        </is>
      </c>
      <c r="E1171" s="6" t="inlineStr">
        <is>
          <t>PY_PURCHASED_ENERGY</t>
        </is>
      </c>
      <c r="F1171" s="6" t="inlineStr">
        <is>
          <t>PY_SIN</t>
        </is>
      </c>
      <c r="G1171" s="6" t="inlineStr">
        <is>
          <t>BINATIONALS</t>
        </is>
      </c>
      <c r="H1171" s="6" t="inlineStr">
        <is>
          <t>PY</t>
        </is>
      </c>
      <c r="I1171" s="8" t="n">
        <v>18112894</v>
      </c>
      <c r="J1171" s="6" t="inlineStr">
        <is>
          <t>MWh</t>
        </is>
      </c>
      <c r="K1171" s="8" t="n">
        <v>18112894</v>
      </c>
      <c r="L1171" s="6" t="inlineStr">
        <is>
          <t>MWh</t>
        </is>
      </c>
      <c r="M1171" s="6" t="inlineStr">
        <is>
          <t>ANDE</t>
        </is>
      </c>
      <c r="N1171" s="6" t="inlineStr">
        <is>
          <t>OFFICIAL_PRIMARY</t>
        </is>
      </c>
      <c r="O1171" s="9" t="inlineStr">
        <is>
          <t>OFFICIAL_AGGREGATE</t>
        </is>
      </c>
      <c r="P1171" s="8" t="n">
        <v>1</v>
      </c>
      <c r="Q1171" s="8" t="n">
        <v>85</v>
      </c>
      <c r="R1171" s="7" t="inlineStr">
        <is>
          <t>https://www.ande.gov.py/finanzas/2.%20COMPILACION%20ESTADISTICA%202003-2023/ANDE%20-%20Compilacion%20Estadistica%202003-2023.pdf</t>
        </is>
      </c>
      <c r="S1171" s="6" t="inlineStr">
        <is>
          <t>ANDE-03-23</t>
        </is>
      </c>
      <c r="T1171" s="6" t="inlineStr"/>
      <c r="U1171" s="4" t="inlineStr">
        <is>
          <t>2026-09-11 00:05:00</t>
        </is>
      </c>
      <c r="V1171" s="4" t="inlineStr">
        <is>
          <t>Balance electrico ANDE.</t>
        </is>
      </c>
    </row>
    <row r="1172">
      <c r="A1172" s="6" t="inlineStr">
        <is>
          <t>R0001288</t>
        </is>
      </c>
      <c r="B1172" s="6" t="inlineStr">
        <is>
          <t>2022-01-01</t>
        </is>
      </c>
      <c r="C1172" s="6" t="inlineStr">
        <is>
          <t>2022-12-31</t>
        </is>
      </c>
      <c r="D1172" s="6" t="inlineStr">
        <is>
          <t>year</t>
        </is>
      </c>
      <c r="E1172" s="6" t="inlineStr">
        <is>
          <t>PY_PURCHASED_ENERGY</t>
        </is>
      </c>
      <c r="F1172" s="6" t="inlineStr">
        <is>
          <t>PY_SIN</t>
        </is>
      </c>
      <c r="G1172" s="6" t="inlineStr">
        <is>
          <t>BINATIONALS</t>
        </is>
      </c>
      <c r="H1172" s="6" t="inlineStr">
        <is>
          <t>PY</t>
        </is>
      </c>
      <c r="I1172" s="8" t="n">
        <v>18962906</v>
      </c>
      <c r="J1172" s="6" t="inlineStr">
        <is>
          <t>MWh</t>
        </is>
      </c>
      <c r="K1172" s="8" t="n">
        <v>18962906</v>
      </c>
      <c r="L1172" s="6" t="inlineStr">
        <is>
          <t>MWh</t>
        </is>
      </c>
      <c r="M1172" s="6" t="inlineStr">
        <is>
          <t>ANDE</t>
        </is>
      </c>
      <c r="N1172" s="6" t="inlineStr">
        <is>
          <t>OFFICIAL_PRIMARY</t>
        </is>
      </c>
      <c r="O1172" s="9" t="inlineStr">
        <is>
          <t>OFFICIAL_AGGREGATE</t>
        </is>
      </c>
      <c r="P1172" s="8" t="n">
        <v>1</v>
      </c>
      <c r="Q1172" s="8" t="n">
        <v>85</v>
      </c>
      <c r="R1172" s="7" t="inlineStr">
        <is>
          <t>https://www.ande.gov.py/finanzas/2.%20COMPILACION%20ESTADISTICA%202003-2023/ANDE%20-%20Compilacion%20Estadistica%202003-2023.pdf</t>
        </is>
      </c>
      <c r="S1172" s="6" t="inlineStr">
        <is>
          <t>ANDE-03-23</t>
        </is>
      </c>
      <c r="T1172" s="6" t="inlineStr"/>
      <c r="U1172" s="4" t="inlineStr">
        <is>
          <t>2026-09-11 00:05:00</t>
        </is>
      </c>
      <c r="V1172" s="4" t="inlineStr">
        <is>
          <t>Balance electrico ANDE.</t>
        </is>
      </c>
    </row>
    <row r="1173">
      <c r="A1173" s="6" t="inlineStr">
        <is>
          <t>R0001289</t>
        </is>
      </c>
      <c r="B1173" s="6" t="inlineStr">
        <is>
          <t>2023-01-01</t>
        </is>
      </c>
      <c r="C1173" s="6" t="inlineStr">
        <is>
          <t>2023-12-31</t>
        </is>
      </c>
      <c r="D1173" s="6" t="inlineStr">
        <is>
          <t>year</t>
        </is>
      </c>
      <c r="E1173" s="6" t="inlineStr">
        <is>
          <t>PY_PURCHASED_ENERGY</t>
        </is>
      </c>
      <c r="F1173" s="6" t="inlineStr">
        <is>
          <t>PY_SIN</t>
        </is>
      </c>
      <c r="G1173" s="6" t="inlineStr">
        <is>
          <t>BINATIONALS</t>
        </is>
      </c>
      <c r="H1173" s="6" t="inlineStr">
        <is>
          <t>PY</t>
        </is>
      </c>
      <c r="I1173" s="8" t="n">
        <v>21399644</v>
      </c>
      <c r="J1173" s="6" t="inlineStr">
        <is>
          <t>MWh</t>
        </is>
      </c>
      <c r="K1173" s="8" t="n">
        <v>21399644</v>
      </c>
      <c r="L1173" s="6" t="inlineStr">
        <is>
          <t>MWh</t>
        </is>
      </c>
      <c r="M1173" s="6" t="inlineStr">
        <is>
          <t>ANDE</t>
        </is>
      </c>
      <c r="N1173" s="6" t="inlineStr">
        <is>
          <t>OFFICIAL_PRIMARY</t>
        </is>
      </c>
      <c r="O1173" s="9" t="inlineStr">
        <is>
          <t>OFFICIAL_AGGREGATE</t>
        </is>
      </c>
      <c r="P1173" s="8" t="n">
        <v>1</v>
      </c>
      <c r="Q1173" s="8" t="n">
        <v>85</v>
      </c>
      <c r="R1173" s="7" t="inlineStr">
        <is>
          <t>https://www.ande.gov.py/finanzas/2.%20COMPILACION%20ESTADISTICA%202003-2023/ANDE%20-%20Compilacion%20Estadistica%202003-2023.pdf</t>
        </is>
      </c>
      <c r="S1173" s="6" t="inlineStr">
        <is>
          <t>ANDE-03-23</t>
        </is>
      </c>
      <c r="T1173" s="6" t="inlineStr"/>
      <c r="U1173" s="4" t="inlineStr">
        <is>
          <t>2026-09-11 00:05:00</t>
        </is>
      </c>
      <c r="V1173" s="4" t="inlineStr">
        <is>
          <t>Balance electrico ANDE.</t>
        </is>
      </c>
    </row>
    <row r="1174">
      <c r="A1174" s="6" t="inlineStr">
        <is>
          <t>R0001290</t>
        </is>
      </c>
      <c r="B1174" s="6" t="inlineStr">
        <is>
          <t>2003-01-01</t>
        </is>
      </c>
      <c r="C1174" s="6" t="inlineStr">
        <is>
          <t>2003-12-31</t>
        </is>
      </c>
      <c r="D1174" s="6" t="inlineStr">
        <is>
          <t>year</t>
        </is>
      </c>
      <c r="E1174" s="6" t="inlineStr">
        <is>
          <t>PY_IMPORT_ENERGY</t>
        </is>
      </c>
      <c r="F1174" s="6" t="inlineStr">
        <is>
          <t>PY_SIN</t>
        </is>
      </c>
      <c r="G1174" s="6" t="inlineStr">
        <is>
          <t>PY</t>
        </is>
      </c>
      <c r="H1174" s="6" t="inlineStr">
        <is>
          <t>PY</t>
        </is>
      </c>
      <c r="I1174" s="8" t="n">
        <v>12</v>
      </c>
      <c r="J1174" s="6" t="inlineStr">
        <is>
          <t>MWh</t>
        </is>
      </c>
      <c r="K1174" s="8" t="n">
        <v>12</v>
      </c>
      <c r="L1174" s="6" t="inlineStr">
        <is>
          <t>MWh</t>
        </is>
      </c>
      <c r="M1174" s="6" t="inlineStr">
        <is>
          <t>ANDE</t>
        </is>
      </c>
      <c r="N1174" s="6" t="inlineStr">
        <is>
          <t>OFFICIAL_PRIMARY</t>
        </is>
      </c>
      <c r="O1174" s="9" t="inlineStr">
        <is>
          <t>OFFICIAL_AGGREGATE</t>
        </is>
      </c>
      <c r="P1174" s="8" t="n">
        <v>1</v>
      </c>
      <c r="Q1174" s="8" t="n">
        <v>85</v>
      </c>
      <c r="R1174" s="7" t="inlineStr">
        <is>
          <t>https://www.ande.gov.py/finanzas/2.%20COMPILACION%20ESTADISTICA%202003-2023/ANDE%20-%20Compilacion%20Estadistica%202003-2023.pdf</t>
        </is>
      </c>
      <c r="S1174" s="6" t="inlineStr">
        <is>
          <t>ANDE-03-23</t>
        </is>
      </c>
      <c r="T1174" s="6" t="inlineStr"/>
      <c r="U1174" s="4" t="inlineStr">
        <is>
          <t>2026-09-11 00:05:00</t>
        </is>
      </c>
      <c r="V1174" s="4" t="inlineStr">
        <is>
          <t>Balance electrico ANDE.</t>
        </is>
      </c>
    </row>
    <row r="1175">
      <c r="A1175" s="6" t="inlineStr">
        <is>
          <t>R0001291</t>
        </is>
      </c>
      <c r="B1175" s="6" t="inlineStr">
        <is>
          <t>2004-01-01</t>
        </is>
      </c>
      <c r="C1175" s="6" t="inlineStr">
        <is>
          <t>2004-12-31</t>
        </is>
      </c>
      <c r="D1175" s="6" t="inlineStr">
        <is>
          <t>year</t>
        </is>
      </c>
      <c r="E1175" s="6" t="inlineStr">
        <is>
          <t>PY_IMPORT_ENERGY</t>
        </is>
      </c>
      <c r="F1175" s="6" t="inlineStr">
        <is>
          <t>PY_SIN</t>
        </is>
      </c>
      <c r="G1175" s="6" t="inlineStr">
        <is>
          <t>PY</t>
        </is>
      </c>
      <c r="H1175" s="6" t="inlineStr">
        <is>
          <t>PY</t>
        </is>
      </c>
      <c r="I1175" s="8" t="n">
        <v>17</v>
      </c>
      <c r="J1175" s="6" t="inlineStr">
        <is>
          <t>MWh</t>
        </is>
      </c>
      <c r="K1175" s="8" t="n">
        <v>17</v>
      </c>
      <c r="L1175" s="6" t="inlineStr">
        <is>
          <t>MWh</t>
        </is>
      </c>
      <c r="M1175" s="6" t="inlineStr">
        <is>
          <t>ANDE</t>
        </is>
      </c>
      <c r="N1175" s="6" t="inlineStr">
        <is>
          <t>OFFICIAL_PRIMARY</t>
        </is>
      </c>
      <c r="O1175" s="9" t="inlineStr">
        <is>
          <t>OFFICIAL_AGGREGATE</t>
        </is>
      </c>
      <c r="P1175" s="8" t="n">
        <v>1</v>
      </c>
      <c r="Q1175" s="8" t="n">
        <v>85</v>
      </c>
      <c r="R1175" s="7" t="inlineStr">
        <is>
          <t>https://www.ande.gov.py/finanzas/2.%20COMPILACION%20ESTADISTICA%202003-2023/ANDE%20-%20Compilacion%20Estadistica%202003-2023.pdf</t>
        </is>
      </c>
      <c r="S1175" s="6" t="inlineStr">
        <is>
          <t>ANDE-03-23</t>
        </is>
      </c>
      <c r="T1175" s="6" t="inlineStr"/>
      <c r="U1175" s="4" t="inlineStr">
        <is>
          <t>2026-09-11 00:05:00</t>
        </is>
      </c>
      <c r="V1175" s="4" t="inlineStr">
        <is>
          <t>Balance electrico ANDE.</t>
        </is>
      </c>
    </row>
    <row r="1176">
      <c r="A1176" s="6" t="inlineStr">
        <is>
          <t>R0001292</t>
        </is>
      </c>
      <c r="B1176" s="6" t="inlineStr">
        <is>
          <t>2005-01-01</t>
        </is>
      </c>
      <c r="C1176" s="6" t="inlineStr">
        <is>
          <t>2005-12-31</t>
        </is>
      </c>
      <c r="D1176" s="6" t="inlineStr">
        <is>
          <t>year</t>
        </is>
      </c>
      <c r="E1176" s="6" t="inlineStr">
        <is>
          <t>PY_IMPORT_ENERGY</t>
        </is>
      </c>
      <c r="F1176" s="6" t="inlineStr">
        <is>
          <t>PY_SIN</t>
        </is>
      </c>
      <c r="G1176" s="6" t="inlineStr">
        <is>
          <t>PY</t>
        </is>
      </c>
      <c r="H1176" s="6" t="inlineStr">
        <is>
          <t>PY</t>
        </is>
      </c>
      <c r="I1176" s="8" t="n">
        <v>2211</v>
      </c>
      <c r="J1176" s="6" t="inlineStr">
        <is>
          <t>MWh</t>
        </is>
      </c>
      <c r="K1176" s="8" t="n">
        <v>2211</v>
      </c>
      <c r="L1176" s="6" t="inlineStr">
        <is>
          <t>MWh</t>
        </is>
      </c>
      <c r="M1176" s="6" t="inlineStr">
        <is>
          <t>ANDE</t>
        </is>
      </c>
      <c r="N1176" s="6" t="inlineStr">
        <is>
          <t>OFFICIAL_PRIMARY</t>
        </is>
      </c>
      <c r="O1176" s="9" t="inlineStr">
        <is>
          <t>OFFICIAL_AGGREGATE</t>
        </is>
      </c>
      <c r="P1176" s="8" t="n">
        <v>1</v>
      </c>
      <c r="Q1176" s="8" t="n">
        <v>85</v>
      </c>
      <c r="R1176" s="7" t="inlineStr">
        <is>
          <t>https://www.ande.gov.py/finanzas/2.%20COMPILACION%20ESTADISTICA%202003-2023/ANDE%20-%20Compilacion%20Estadistica%202003-2023.pdf</t>
        </is>
      </c>
      <c r="S1176" s="6" t="inlineStr">
        <is>
          <t>ANDE-03-23</t>
        </is>
      </c>
      <c r="T1176" s="6" t="inlineStr"/>
      <c r="U1176" s="4" t="inlineStr">
        <is>
          <t>2026-09-11 00:05:00</t>
        </is>
      </c>
      <c r="V1176" s="4" t="inlineStr">
        <is>
          <t>Balance electrico ANDE.</t>
        </is>
      </c>
    </row>
    <row r="1177">
      <c r="A1177" s="6" t="inlineStr">
        <is>
          <t>R0001293</t>
        </is>
      </c>
      <c r="B1177" s="6" t="inlineStr">
        <is>
          <t>2006-01-01</t>
        </is>
      </c>
      <c r="C1177" s="6" t="inlineStr">
        <is>
          <t>2006-12-31</t>
        </is>
      </c>
      <c r="D1177" s="6" t="inlineStr">
        <is>
          <t>year</t>
        </is>
      </c>
      <c r="E1177" s="6" t="inlineStr">
        <is>
          <t>PY_IMPORT_ENERGY</t>
        </is>
      </c>
      <c r="F1177" s="6" t="inlineStr">
        <is>
          <t>PY_SIN</t>
        </is>
      </c>
      <c r="G1177" s="6" t="inlineStr">
        <is>
          <t>PY</t>
        </is>
      </c>
      <c r="H1177" s="6" t="inlineStr">
        <is>
          <t>PY</t>
        </is>
      </c>
      <c r="I1177" s="8" t="n">
        <v>645</v>
      </c>
      <c r="J1177" s="6" t="inlineStr">
        <is>
          <t>MWh</t>
        </is>
      </c>
      <c r="K1177" s="8" t="n">
        <v>645</v>
      </c>
      <c r="L1177" s="6" t="inlineStr">
        <is>
          <t>MWh</t>
        </is>
      </c>
      <c r="M1177" s="6" t="inlineStr">
        <is>
          <t>ANDE</t>
        </is>
      </c>
      <c r="N1177" s="6" t="inlineStr">
        <is>
          <t>OFFICIAL_PRIMARY</t>
        </is>
      </c>
      <c r="O1177" s="9" t="inlineStr">
        <is>
          <t>OFFICIAL_AGGREGATE</t>
        </is>
      </c>
      <c r="P1177" s="8" t="n">
        <v>1</v>
      </c>
      <c r="Q1177" s="8" t="n">
        <v>85</v>
      </c>
      <c r="R1177" s="7" t="inlineStr">
        <is>
          <t>https://www.ande.gov.py/finanzas/2.%20COMPILACION%20ESTADISTICA%202003-2023/ANDE%20-%20Compilacion%20Estadistica%202003-2023.pdf</t>
        </is>
      </c>
      <c r="S1177" s="6" t="inlineStr">
        <is>
          <t>ANDE-03-23</t>
        </is>
      </c>
      <c r="T1177" s="6" t="inlineStr"/>
      <c r="U1177" s="4" t="inlineStr">
        <is>
          <t>2026-09-11 00:05:00</t>
        </is>
      </c>
      <c r="V1177" s="4" t="inlineStr">
        <is>
          <t>Balance electrico ANDE.</t>
        </is>
      </c>
    </row>
    <row r="1178">
      <c r="A1178" s="6" t="inlineStr">
        <is>
          <t>R0001294</t>
        </is>
      </c>
      <c r="B1178" s="6" t="inlineStr">
        <is>
          <t>2007-01-01</t>
        </is>
      </c>
      <c r="C1178" s="6" t="inlineStr">
        <is>
          <t>2007-12-31</t>
        </is>
      </c>
      <c r="D1178" s="6" t="inlineStr">
        <is>
          <t>year</t>
        </is>
      </c>
      <c r="E1178" s="6" t="inlineStr">
        <is>
          <t>PY_IMPORT_ENERGY</t>
        </is>
      </c>
      <c r="F1178" s="6" t="inlineStr">
        <is>
          <t>PY_SIN</t>
        </is>
      </c>
      <c r="G1178" s="6" t="inlineStr">
        <is>
          <t>PY</t>
        </is>
      </c>
      <c r="H1178" s="6" t="inlineStr">
        <is>
          <t>PY</t>
        </is>
      </c>
      <c r="I1178" s="8" t="n">
        <v>0</v>
      </c>
      <c r="J1178" s="6" t="inlineStr">
        <is>
          <t>MWh</t>
        </is>
      </c>
      <c r="K1178" s="8" t="n">
        <v>0</v>
      </c>
      <c r="L1178" s="6" t="inlineStr">
        <is>
          <t>MWh</t>
        </is>
      </c>
      <c r="M1178" s="6" t="inlineStr">
        <is>
          <t>ANDE</t>
        </is>
      </c>
      <c r="N1178" s="6" t="inlineStr">
        <is>
          <t>OFFICIAL_PRIMARY</t>
        </is>
      </c>
      <c r="O1178" s="9" t="inlineStr">
        <is>
          <t>OFFICIAL_AGGREGATE</t>
        </is>
      </c>
      <c r="P1178" s="8" t="n">
        <v>1</v>
      </c>
      <c r="Q1178" s="8" t="n">
        <v>85</v>
      </c>
      <c r="R1178" s="7" t="inlineStr">
        <is>
          <t>https://www.ande.gov.py/finanzas/2.%20COMPILACION%20ESTADISTICA%202003-2023/ANDE%20-%20Compilacion%20Estadistica%202003-2023.pdf</t>
        </is>
      </c>
      <c r="S1178" s="6" t="inlineStr">
        <is>
          <t>ANDE-03-23</t>
        </is>
      </c>
      <c r="T1178" s="6" t="inlineStr"/>
      <c r="U1178" s="4" t="inlineStr">
        <is>
          <t>2026-09-11 00:05:00</t>
        </is>
      </c>
      <c r="V1178" s="4" t="inlineStr">
        <is>
          <t>Balance electrico ANDE.</t>
        </is>
      </c>
    </row>
    <row r="1179">
      <c r="A1179" s="6" t="inlineStr">
        <is>
          <t>R0001295</t>
        </is>
      </c>
      <c r="B1179" s="6" t="inlineStr">
        <is>
          <t>2008-01-01</t>
        </is>
      </c>
      <c r="C1179" s="6" t="inlineStr">
        <is>
          <t>2008-12-31</t>
        </is>
      </c>
      <c r="D1179" s="6" t="inlineStr">
        <is>
          <t>year</t>
        </is>
      </c>
      <c r="E1179" s="6" t="inlineStr">
        <is>
          <t>PY_IMPORT_ENERGY</t>
        </is>
      </c>
      <c r="F1179" s="6" t="inlineStr">
        <is>
          <t>PY_SIN</t>
        </is>
      </c>
      <c r="G1179" s="6" t="inlineStr">
        <is>
          <t>PY</t>
        </is>
      </c>
      <c r="H1179" s="6" t="inlineStr">
        <is>
          <t>PY</t>
        </is>
      </c>
      <c r="I1179" s="8" t="n">
        <v>83</v>
      </c>
      <c r="J1179" s="6" t="inlineStr">
        <is>
          <t>MWh</t>
        </is>
      </c>
      <c r="K1179" s="8" t="n">
        <v>83</v>
      </c>
      <c r="L1179" s="6" t="inlineStr">
        <is>
          <t>MWh</t>
        </is>
      </c>
      <c r="M1179" s="6" t="inlineStr">
        <is>
          <t>ANDE</t>
        </is>
      </c>
      <c r="N1179" s="6" t="inlineStr">
        <is>
          <t>OFFICIAL_PRIMARY</t>
        </is>
      </c>
      <c r="O1179" s="9" t="inlineStr">
        <is>
          <t>OFFICIAL_AGGREGATE</t>
        </is>
      </c>
      <c r="P1179" s="8" t="n">
        <v>1</v>
      </c>
      <c r="Q1179" s="8" t="n">
        <v>85</v>
      </c>
      <c r="R1179" s="7" t="inlineStr">
        <is>
          <t>https://www.ande.gov.py/finanzas/2.%20COMPILACION%20ESTADISTICA%202003-2023/ANDE%20-%20Compilacion%20Estadistica%202003-2023.pdf</t>
        </is>
      </c>
      <c r="S1179" s="6" t="inlineStr">
        <is>
          <t>ANDE-03-23</t>
        </is>
      </c>
      <c r="T1179" s="6" t="inlineStr"/>
      <c r="U1179" s="4" t="inlineStr">
        <is>
          <t>2026-09-11 00:05:00</t>
        </is>
      </c>
      <c r="V1179" s="4" t="inlineStr">
        <is>
          <t>Balance electrico ANDE.</t>
        </is>
      </c>
    </row>
    <row r="1180">
      <c r="A1180" s="6" t="inlineStr">
        <is>
          <t>R0001296</t>
        </is>
      </c>
      <c r="B1180" s="6" t="inlineStr">
        <is>
          <t>2009-01-01</t>
        </is>
      </c>
      <c r="C1180" s="6" t="inlineStr">
        <is>
          <t>2009-12-31</t>
        </is>
      </c>
      <c r="D1180" s="6" t="inlineStr">
        <is>
          <t>year</t>
        </is>
      </c>
      <c r="E1180" s="6" t="inlineStr">
        <is>
          <t>PY_IMPORT_ENERGY</t>
        </is>
      </c>
      <c r="F1180" s="6" t="inlineStr">
        <is>
          <t>PY_SIN</t>
        </is>
      </c>
      <c r="G1180" s="6" t="inlineStr">
        <is>
          <t>PY</t>
        </is>
      </c>
      <c r="H1180" s="6" t="inlineStr">
        <is>
          <t>PY</t>
        </is>
      </c>
      <c r="I1180" s="8" t="n">
        <v>0</v>
      </c>
      <c r="J1180" s="6" t="inlineStr">
        <is>
          <t>MWh</t>
        </is>
      </c>
      <c r="K1180" s="8" t="n">
        <v>0</v>
      </c>
      <c r="L1180" s="6" t="inlineStr">
        <is>
          <t>MWh</t>
        </is>
      </c>
      <c r="M1180" s="6" t="inlineStr">
        <is>
          <t>ANDE</t>
        </is>
      </c>
      <c r="N1180" s="6" t="inlineStr">
        <is>
          <t>OFFICIAL_PRIMARY</t>
        </is>
      </c>
      <c r="O1180" s="9" t="inlineStr">
        <is>
          <t>OFFICIAL_AGGREGATE</t>
        </is>
      </c>
      <c r="P1180" s="8" t="n">
        <v>1</v>
      </c>
      <c r="Q1180" s="8" t="n">
        <v>85</v>
      </c>
      <c r="R1180" s="7" t="inlineStr">
        <is>
          <t>https://www.ande.gov.py/finanzas/2.%20COMPILACION%20ESTADISTICA%202003-2023/ANDE%20-%20Compilacion%20Estadistica%202003-2023.pdf</t>
        </is>
      </c>
      <c r="S1180" s="6" t="inlineStr">
        <is>
          <t>ANDE-03-23</t>
        </is>
      </c>
      <c r="T1180" s="6" t="inlineStr"/>
      <c r="U1180" s="4" t="inlineStr">
        <is>
          <t>2026-09-11 00:05:00</t>
        </is>
      </c>
      <c r="V1180" s="4" t="inlineStr">
        <is>
          <t>Balance electrico ANDE.</t>
        </is>
      </c>
    </row>
    <row r="1181">
      <c r="A1181" s="6" t="inlineStr">
        <is>
          <t>R0001297</t>
        </is>
      </c>
      <c r="B1181" s="6" t="inlineStr">
        <is>
          <t>2010-01-01</t>
        </is>
      </c>
      <c r="C1181" s="6" t="inlineStr">
        <is>
          <t>2010-12-31</t>
        </is>
      </c>
      <c r="D1181" s="6" t="inlineStr">
        <is>
          <t>year</t>
        </is>
      </c>
      <c r="E1181" s="6" t="inlineStr">
        <is>
          <t>PY_IMPORT_ENERGY</t>
        </is>
      </c>
      <c r="F1181" s="6" t="inlineStr">
        <is>
          <t>PY_SIN</t>
        </is>
      </c>
      <c r="G1181" s="6" t="inlineStr">
        <is>
          <t>PY</t>
        </is>
      </c>
      <c r="H1181" s="6" t="inlineStr">
        <is>
          <t>PY</t>
        </is>
      </c>
      <c r="I1181" s="8" t="n">
        <v>0</v>
      </c>
      <c r="J1181" s="6" t="inlineStr">
        <is>
          <t>MWh</t>
        </is>
      </c>
      <c r="K1181" s="8" t="n">
        <v>0</v>
      </c>
      <c r="L1181" s="6" t="inlineStr">
        <is>
          <t>MWh</t>
        </is>
      </c>
      <c r="M1181" s="6" t="inlineStr">
        <is>
          <t>ANDE</t>
        </is>
      </c>
      <c r="N1181" s="6" t="inlineStr">
        <is>
          <t>OFFICIAL_PRIMARY</t>
        </is>
      </c>
      <c r="O1181" s="9" t="inlineStr">
        <is>
          <t>OFFICIAL_AGGREGATE</t>
        </is>
      </c>
      <c r="P1181" s="8" t="n">
        <v>1</v>
      </c>
      <c r="Q1181" s="8" t="n">
        <v>85</v>
      </c>
      <c r="R1181" s="7" t="inlineStr">
        <is>
          <t>https://www.ande.gov.py/finanzas/2.%20COMPILACION%20ESTADISTICA%202003-2023/ANDE%20-%20Compilacion%20Estadistica%202003-2023.pdf</t>
        </is>
      </c>
      <c r="S1181" s="6" t="inlineStr">
        <is>
          <t>ANDE-03-23</t>
        </is>
      </c>
      <c r="T1181" s="6" t="inlineStr"/>
      <c r="U1181" s="4" t="inlineStr">
        <is>
          <t>2026-09-11 00:05:00</t>
        </is>
      </c>
      <c r="V1181" s="4" t="inlineStr">
        <is>
          <t>Balance electrico ANDE.</t>
        </is>
      </c>
    </row>
    <row r="1182">
      <c r="A1182" s="6" t="inlineStr">
        <is>
          <t>R0001298</t>
        </is>
      </c>
      <c r="B1182" s="6" t="inlineStr">
        <is>
          <t>2011-01-01</t>
        </is>
      </c>
      <c r="C1182" s="6" t="inlineStr">
        <is>
          <t>2011-12-31</t>
        </is>
      </c>
      <c r="D1182" s="6" t="inlineStr">
        <is>
          <t>year</t>
        </is>
      </c>
      <c r="E1182" s="6" t="inlineStr">
        <is>
          <t>PY_IMPORT_ENERGY</t>
        </is>
      </c>
      <c r="F1182" s="6" t="inlineStr">
        <is>
          <t>PY_SIN</t>
        </is>
      </c>
      <c r="G1182" s="6" t="inlineStr">
        <is>
          <t>PY</t>
        </is>
      </c>
      <c r="H1182" s="6" t="inlineStr">
        <is>
          <t>PY</t>
        </is>
      </c>
      <c r="I1182" s="8" t="n">
        <v>0</v>
      </c>
      <c r="J1182" s="6" t="inlineStr">
        <is>
          <t>MWh</t>
        </is>
      </c>
      <c r="K1182" s="8" t="n">
        <v>0</v>
      </c>
      <c r="L1182" s="6" t="inlineStr">
        <is>
          <t>MWh</t>
        </is>
      </c>
      <c r="M1182" s="6" t="inlineStr">
        <is>
          <t>ANDE</t>
        </is>
      </c>
      <c r="N1182" s="6" t="inlineStr">
        <is>
          <t>OFFICIAL_PRIMARY</t>
        </is>
      </c>
      <c r="O1182" s="9" t="inlineStr">
        <is>
          <t>OFFICIAL_AGGREGATE</t>
        </is>
      </c>
      <c r="P1182" s="8" t="n">
        <v>1</v>
      </c>
      <c r="Q1182" s="8" t="n">
        <v>85</v>
      </c>
      <c r="R1182" s="7" t="inlineStr">
        <is>
          <t>https://www.ande.gov.py/finanzas/2.%20COMPILACION%20ESTADISTICA%202003-2023/ANDE%20-%20Compilacion%20Estadistica%202003-2023.pdf</t>
        </is>
      </c>
      <c r="S1182" s="6" t="inlineStr">
        <is>
          <t>ANDE-03-23</t>
        </is>
      </c>
      <c r="T1182" s="6" t="inlineStr"/>
      <c r="U1182" s="4" t="inlineStr">
        <is>
          <t>2026-09-11 00:05:00</t>
        </is>
      </c>
      <c r="V1182" s="4" t="inlineStr">
        <is>
          <t>Balance electrico ANDE.</t>
        </is>
      </c>
    </row>
    <row r="1183">
      <c r="A1183" s="6" t="inlineStr">
        <is>
          <t>R0001299</t>
        </is>
      </c>
      <c r="B1183" s="6" t="inlineStr">
        <is>
          <t>2012-01-01</t>
        </is>
      </c>
      <c r="C1183" s="6" t="inlineStr">
        <is>
          <t>2012-12-31</t>
        </is>
      </c>
      <c r="D1183" s="6" t="inlineStr">
        <is>
          <t>year</t>
        </is>
      </c>
      <c r="E1183" s="6" t="inlineStr">
        <is>
          <t>PY_IMPORT_ENERGY</t>
        </is>
      </c>
      <c r="F1183" s="6" t="inlineStr">
        <is>
          <t>PY_SIN</t>
        </is>
      </c>
      <c r="G1183" s="6" t="inlineStr">
        <is>
          <t>PY</t>
        </is>
      </c>
      <c r="H1183" s="6" t="inlineStr">
        <is>
          <t>PY</t>
        </is>
      </c>
      <c r="I1183" s="8" t="n">
        <v>0</v>
      </c>
      <c r="J1183" s="6" t="inlineStr">
        <is>
          <t>MWh</t>
        </is>
      </c>
      <c r="K1183" s="8" t="n">
        <v>0</v>
      </c>
      <c r="L1183" s="6" t="inlineStr">
        <is>
          <t>MWh</t>
        </is>
      </c>
      <c r="M1183" s="6" t="inlineStr">
        <is>
          <t>ANDE</t>
        </is>
      </c>
      <c r="N1183" s="6" t="inlineStr">
        <is>
          <t>OFFICIAL_PRIMARY</t>
        </is>
      </c>
      <c r="O1183" s="9" t="inlineStr">
        <is>
          <t>OFFICIAL_AGGREGATE</t>
        </is>
      </c>
      <c r="P1183" s="8" t="n">
        <v>1</v>
      </c>
      <c r="Q1183" s="8" t="n">
        <v>85</v>
      </c>
      <c r="R1183" s="7" t="inlineStr">
        <is>
          <t>https://www.ande.gov.py/finanzas/2.%20COMPILACION%20ESTADISTICA%202003-2023/ANDE%20-%20Compilacion%20Estadistica%202003-2023.pdf</t>
        </is>
      </c>
      <c r="S1183" s="6" t="inlineStr">
        <is>
          <t>ANDE-03-23</t>
        </is>
      </c>
      <c r="T1183" s="6" t="inlineStr"/>
      <c r="U1183" s="4" t="inlineStr">
        <is>
          <t>2026-09-11 00:05:00</t>
        </is>
      </c>
      <c r="V1183" s="4" t="inlineStr">
        <is>
          <t>Balance electrico ANDE.</t>
        </is>
      </c>
    </row>
    <row r="1184">
      <c r="A1184" s="6" t="inlineStr">
        <is>
          <t>R0001300</t>
        </is>
      </c>
      <c r="B1184" s="6" t="inlineStr">
        <is>
          <t>2013-01-01</t>
        </is>
      </c>
      <c r="C1184" s="6" t="inlineStr">
        <is>
          <t>2013-12-31</t>
        </is>
      </c>
      <c r="D1184" s="6" t="inlineStr">
        <is>
          <t>year</t>
        </is>
      </c>
      <c r="E1184" s="6" t="inlineStr">
        <is>
          <t>PY_IMPORT_ENERGY</t>
        </is>
      </c>
      <c r="F1184" s="6" t="inlineStr">
        <is>
          <t>PY_SIN</t>
        </is>
      </c>
      <c r="G1184" s="6" t="inlineStr">
        <is>
          <t>PY</t>
        </is>
      </c>
      <c r="H1184" s="6" t="inlineStr">
        <is>
          <t>PY</t>
        </is>
      </c>
      <c r="I1184" s="8" t="n">
        <v>0</v>
      </c>
      <c r="J1184" s="6" t="inlineStr">
        <is>
          <t>MWh</t>
        </is>
      </c>
      <c r="K1184" s="8" t="n">
        <v>0</v>
      </c>
      <c r="L1184" s="6" t="inlineStr">
        <is>
          <t>MWh</t>
        </is>
      </c>
      <c r="M1184" s="6" t="inlineStr">
        <is>
          <t>ANDE</t>
        </is>
      </c>
      <c r="N1184" s="6" t="inlineStr">
        <is>
          <t>OFFICIAL_PRIMARY</t>
        </is>
      </c>
      <c r="O1184" s="9" t="inlineStr">
        <is>
          <t>OFFICIAL_AGGREGATE</t>
        </is>
      </c>
      <c r="P1184" s="8" t="n">
        <v>1</v>
      </c>
      <c r="Q1184" s="8" t="n">
        <v>85</v>
      </c>
      <c r="R1184" s="7" t="inlineStr">
        <is>
          <t>https://www.ande.gov.py/finanzas/2.%20COMPILACION%20ESTADISTICA%202003-2023/ANDE%20-%20Compilacion%20Estadistica%202003-2023.pdf</t>
        </is>
      </c>
      <c r="S1184" s="6" t="inlineStr">
        <is>
          <t>ANDE-03-23</t>
        </is>
      </c>
      <c r="T1184" s="6" t="inlineStr"/>
      <c r="U1184" s="4" t="inlineStr">
        <is>
          <t>2026-09-11 00:05:00</t>
        </is>
      </c>
      <c r="V1184" s="4" t="inlineStr">
        <is>
          <t>Balance electrico ANDE.</t>
        </is>
      </c>
    </row>
    <row r="1185">
      <c r="A1185" s="6" t="inlineStr">
        <is>
          <t>R0001301</t>
        </is>
      </c>
      <c r="B1185" s="6" t="inlineStr">
        <is>
          <t>2014-01-01</t>
        </is>
      </c>
      <c r="C1185" s="6" t="inlineStr">
        <is>
          <t>2014-12-31</t>
        </is>
      </c>
      <c r="D1185" s="6" t="inlineStr">
        <is>
          <t>year</t>
        </is>
      </c>
      <c r="E1185" s="6" t="inlineStr">
        <is>
          <t>PY_IMPORT_ENERGY</t>
        </is>
      </c>
      <c r="F1185" s="6" t="inlineStr">
        <is>
          <t>PY_SIN</t>
        </is>
      </c>
      <c r="G1185" s="6" t="inlineStr">
        <is>
          <t>PY</t>
        </is>
      </c>
      <c r="H1185" s="6" t="inlineStr">
        <is>
          <t>PY</t>
        </is>
      </c>
      <c r="I1185" s="8" t="n">
        <v>0</v>
      </c>
      <c r="J1185" s="6" t="inlineStr">
        <is>
          <t>MWh</t>
        </is>
      </c>
      <c r="K1185" s="8" t="n">
        <v>0</v>
      </c>
      <c r="L1185" s="6" t="inlineStr">
        <is>
          <t>MWh</t>
        </is>
      </c>
      <c r="M1185" s="6" t="inlineStr">
        <is>
          <t>ANDE</t>
        </is>
      </c>
      <c r="N1185" s="6" t="inlineStr">
        <is>
          <t>OFFICIAL_PRIMARY</t>
        </is>
      </c>
      <c r="O1185" s="9" t="inlineStr">
        <is>
          <t>OFFICIAL_AGGREGATE</t>
        </is>
      </c>
      <c r="P1185" s="8" t="n">
        <v>1</v>
      </c>
      <c r="Q1185" s="8" t="n">
        <v>85</v>
      </c>
      <c r="R1185" s="7" t="inlineStr">
        <is>
          <t>https://www.ande.gov.py/finanzas/2.%20COMPILACION%20ESTADISTICA%202003-2023/ANDE%20-%20Compilacion%20Estadistica%202003-2023.pdf</t>
        </is>
      </c>
      <c r="S1185" s="6" t="inlineStr">
        <is>
          <t>ANDE-03-23</t>
        </is>
      </c>
      <c r="T1185" s="6" t="inlineStr"/>
      <c r="U1185" s="4" t="inlineStr">
        <is>
          <t>2026-09-11 00:05:00</t>
        </is>
      </c>
      <c r="V1185" s="4" t="inlineStr">
        <is>
          <t>Balance electrico ANDE.</t>
        </is>
      </c>
    </row>
    <row r="1186">
      <c r="A1186" s="6" t="inlineStr">
        <is>
          <t>R0001302</t>
        </is>
      </c>
      <c r="B1186" s="6" t="inlineStr">
        <is>
          <t>2015-01-01</t>
        </is>
      </c>
      <c r="C1186" s="6" t="inlineStr">
        <is>
          <t>2015-12-31</t>
        </is>
      </c>
      <c r="D1186" s="6" t="inlineStr">
        <is>
          <t>year</t>
        </is>
      </c>
      <c r="E1186" s="6" t="inlineStr">
        <is>
          <t>PY_IMPORT_ENERGY</t>
        </is>
      </c>
      <c r="F1186" s="6" t="inlineStr">
        <is>
          <t>PY_SIN</t>
        </is>
      </c>
      <c r="G1186" s="6" t="inlineStr">
        <is>
          <t>PY</t>
        </is>
      </c>
      <c r="H1186" s="6" t="inlineStr">
        <is>
          <t>PY</t>
        </is>
      </c>
      <c r="I1186" s="8" t="n">
        <v>0</v>
      </c>
      <c r="J1186" s="6" t="inlineStr">
        <is>
          <t>MWh</t>
        </is>
      </c>
      <c r="K1186" s="8" t="n">
        <v>0</v>
      </c>
      <c r="L1186" s="6" t="inlineStr">
        <is>
          <t>MWh</t>
        </is>
      </c>
      <c r="M1186" s="6" t="inlineStr">
        <is>
          <t>ANDE</t>
        </is>
      </c>
      <c r="N1186" s="6" t="inlineStr">
        <is>
          <t>OFFICIAL_PRIMARY</t>
        </is>
      </c>
      <c r="O1186" s="9" t="inlineStr">
        <is>
          <t>OFFICIAL_AGGREGATE</t>
        </is>
      </c>
      <c r="P1186" s="8" t="n">
        <v>1</v>
      </c>
      <c r="Q1186" s="8" t="n">
        <v>85</v>
      </c>
      <c r="R1186" s="7" t="inlineStr">
        <is>
          <t>https://www.ande.gov.py/finanzas/2.%20COMPILACION%20ESTADISTICA%202003-2023/ANDE%20-%20Compilacion%20Estadistica%202003-2023.pdf</t>
        </is>
      </c>
      <c r="S1186" s="6" t="inlineStr">
        <is>
          <t>ANDE-03-23</t>
        </is>
      </c>
      <c r="T1186" s="6" t="inlineStr"/>
      <c r="U1186" s="4" t="inlineStr">
        <is>
          <t>2026-09-11 00:05:00</t>
        </is>
      </c>
      <c r="V1186" s="4" t="inlineStr">
        <is>
          <t>Balance electrico ANDE.</t>
        </is>
      </c>
    </row>
    <row r="1187">
      <c r="A1187" s="6" t="inlineStr">
        <is>
          <t>R0001303</t>
        </is>
      </c>
      <c r="B1187" s="6" t="inlineStr">
        <is>
          <t>2016-01-01</t>
        </is>
      </c>
      <c r="C1187" s="6" t="inlineStr">
        <is>
          <t>2016-12-31</t>
        </is>
      </c>
      <c r="D1187" s="6" t="inlineStr">
        <is>
          <t>year</t>
        </is>
      </c>
      <c r="E1187" s="6" t="inlineStr">
        <is>
          <t>PY_IMPORT_ENERGY</t>
        </is>
      </c>
      <c r="F1187" s="6" t="inlineStr">
        <is>
          <t>PY_SIN</t>
        </is>
      </c>
      <c r="G1187" s="6" t="inlineStr">
        <is>
          <t>PY</t>
        </is>
      </c>
      <c r="H1187" s="6" t="inlineStr">
        <is>
          <t>PY</t>
        </is>
      </c>
      <c r="I1187" s="8" t="n">
        <v>0</v>
      </c>
      <c r="J1187" s="6" t="inlineStr">
        <is>
          <t>MWh</t>
        </is>
      </c>
      <c r="K1187" s="8" t="n">
        <v>0</v>
      </c>
      <c r="L1187" s="6" t="inlineStr">
        <is>
          <t>MWh</t>
        </is>
      </c>
      <c r="M1187" s="6" t="inlineStr">
        <is>
          <t>ANDE</t>
        </is>
      </c>
      <c r="N1187" s="6" t="inlineStr">
        <is>
          <t>OFFICIAL_PRIMARY</t>
        </is>
      </c>
      <c r="O1187" s="9" t="inlineStr">
        <is>
          <t>OFFICIAL_AGGREGATE</t>
        </is>
      </c>
      <c r="P1187" s="8" t="n">
        <v>1</v>
      </c>
      <c r="Q1187" s="8" t="n">
        <v>85</v>
      </c>
      <c r="R1187" s="7" t="inlineStr">
        <is>
          <t>https://www.ande.gov.py/finanzas/2.%20COMPILACION%20ESTADISTICA%202003-2023/ANDE%20-%20Compilacion%20Estadistica%202003-2023.pdf</t>
        </is>
      </c>
      <c r="S1187" s="6" t="inlineStr">
        <is>
          <t>ANDE-03-23</t>
        </is>
      </c>
      <c r="T1187" s="6" t="inlineStr"/>
      <c r="U1187" s="4" t="inlineStr">
        <is>
          <t>2026-09-11 00:05:00</t>
        </is>
      </c>
      <c r="V1187" s="4" t="inlineStr">
        <is>
          <t>Balance electrico ANDE.</t>
        </is>
      </c>
    </row>
    <row r="1188">
      <c r="A1188" s="6" t="inlineStr">
        <is>
          <t>R0001304</t>
        </is>
      </c>
      <c r="B1188" s="6" t="inlineStr">
        <is>
          <t>2017-01-01</t>
        </is>
      </c>
      <c r="C1188" s="6" t="inlineStr">
        <is>
          <t>2017-12-31</t>
        </is>
      </c>
      <c r="D1188" s="6" t="inlineStr">
        <is>
          <t>year</t>
        </is>
      </c>
      <c r="E1188" s="6" t="inlineStr">
        <is>
          <t>PY_IMPORT_ENERGY</t>
        </is>
      </c>
      <c r="F1188" s="6" t="inlineStr">
        <is>
          <t>PY_SIN</t>
        </is>
      </c>
      <c r="G1188" s="6" t="inlineStr">
        <is>
          <t>PY</t>
        </is>
      </c>
      <c r="H1188" s="6" t="inlineStr">
        <is>
          <t>PY</t>
        </is>
      </c>
      <c r="I1188" s="8" t="n">
        <v>0</v>
      </c>
      <c r="J1188" s="6" t="inlineStr">
        <is>
          <t>MWh</t>
        </is>
      </c>
      <c r="K1188" s="8" t="n">
        <v>0</v>
      </c>
      <c r="L1188" s="6" t="inlineStr">
        <is>
          <t>MWh</t>
        </is>
      </c>
      <c r="M1188" s="6" t="inlineStr">
        <is>
          <t>ANDE</t>
        </is>
      </c>
      <c r="N1188" s="6" t="inlineStr">
        <is>
          <t>OFFICIAL_PRIMARY</t>
        </is>
      </c>
      <c r="O1188" s="9" t="inlineStr">
        <is>
          <t>OFFICIAL_AGGREGATE</t>
        </is>
      </c>
      <c r="P1188" s="8" t="n">
        <v>1</v>
      </c>
      <c r="Q1188" s="8" t="n">
        <v>85</v>
      </c>
      <c r="R1188" s="7" t="inlineStr">
        <is>
          <t>https://www.ande.gov.py/finanzas/2.%20COMPILACION%20ESTADISTICA%202003-2023/ANDE%20-%20Compilacion%20Estadistica%202003-2023.pdf</t>
        </is>
      </c>
      <c r="S1188" s="6" t="inlineStr">
        <is>
          <t>ANDE-03-23</t>
        </is>
      </c>
      <c r="T1188" s="6" t="inlineStr"/>
      <c r="U1188" s="4" t="inlineStr">
        <is>
          <t>2026-09-11 00:05:00</t>
        </is>
      </c>
      <c r="V1188" s="4" t="inlineStr">
        <is>
          <t>Balance electrico ANDE.</t>
        </is>
      </c>
    </row>
    <row r="1189">
      <c r="A1189" s="6" t="inlineStr">
        <is>
          <t>R0001305</t>
        </is>
      </c>
      <c r="B1189" s="6" t="inlineStr">
        <is>
          <t>2018-01-01</t>
        </is>
      </c>
      <c r="C1189" s="6" t="inlineStr">
        <is>
          <t>2018-12-31</t>
        </is>
      </c>
      <c r="D1189" s="6" t="inlineStr">
        <is>
          <t>year</t>
        </is>
      </c>
      <c r="E1189" s="6" t="inlineStr">
        <is>
          <t>PY_IMPORT_ENERGY</t>
        </is>
      </c>
      <c r="F1189" s="6" t="inlineStr">
        <is>
          <t>PY_SIN</t>
        </is>
      </c>
      <c r="G1189" s="6" t="inlineStr">
        <is>
          <t>PY</t>
        </is>
      </c>
      <c r="H1189" s="6" t="inlineStr">
        <is>
          <t>PY</t>
        </is>
      </c>
      <c r="I1189" s="8" t="n">
        <v>0</v>
      </c>
      <c r="J1189" s="6" t="inlineStr">
        <is>
          <t>MWh</t>
        </is>
      </c>
      <c r="K1189" s="8" t="n">
        <v>0</v>
      </c>
      <c r="L1189" s="6" t="inlineStr">
        <is>
          <t>MWh</t>
        </is>
      </c>
      <c r="M1189" s="6" t="inlineStr">
        <is>
          <t>ANDE</t>
        </is>
      </c>
      <c r="N1189" s="6" t="inlineStr">
        <is>
          <t>OFFICIAL_PRIMARY</t>
        </is>
      </c>
      <c r="O1189" s="9" t="inlineStr">
        <is>
          <t>OFFICIAL_AGGREGATE</t>
        </is>
      </c>
      <c r="P1189" s="8" t="n">
        <v>1</v>
      </c>
      <c r="Q1189" s="8" t="n">
        <v>85</v>
      </c>
      <c r="R1189" s="7" t="inlineStr">
        <is>
          <t>https://www.ande.gov.py/finanzas/2.%20COMPILACION%20ESTADISTICA%202003-2023/ANDE%20-%20Compilacion%20Estadistica%202003-2023.pdf</t>
        </is>
      </c>
      <c r="S1189" s="6" t="inlineStr">
        <is>
          <t>ANDE-03-23</t>
        </is>
      </c>
      <c r="T1189" s="6" t="inlineStr"/>
      <c r="U1189" s="4" t="inlineStr">
        <is>
          <t>2026-09-11 00:05:00</t>
        </is>
      </c>
      <c r="V1189" s="4" t="inlineStr">
        <is>
          <t>Balance electrico ANDE.</t>
        </is>
      </c>
    </row>
    <row r="1190">
      <c r="A1190" s="6" t="inlineStr">
        <is>
          <t>R0001306</t>
        </is>
      </c>
      <c r="B1190" s="6" t="inlineStr">
        <is>
          <t>2019-01-01</t>
        </is>
      </c>
      <c r="C1190" s="6" t="inlineStr">
        <is>
          <t>2019-12-31</t>
        </is>
      </c>
      <c r="D1190" s="6" t="inlineStr">
        <is>
          <t>year</t>
        </is>
      </c>
      <c r="E1190" s="6" t="inlineStr">
        <is>
          <t>PY_IMPORT_ENERGY</t>
        </is>
      </c>
      <c r="F1190" s="6" t="inlineStr">
        <is>
          <t>PY_SIN</t>
        </is>
      </c>
      <c r="G1190" s="6" t="inlineStr">
        <is>
          <t>PY</t>
        </is>
      </c>
      <c r="H1190" s="6" t="inlineStr">
        <is>
          <t>PY</t>
        </is>
      </c>
      <c r="I1190" s="8" t="n">
        <v>0</v>
      </c>
      <c r="J1190" s="6" t="inlineStr">
        <is>
          <t>MWh</t>
        </is>
      </c>
      <c r="K1190" s="8" t="n">
        <v>0</v>
      </c>
      <c r="L1190" s="6" t="inlineStr">
        <is>
          <t>MWh</t>
        </is>
      </c>
      <c r="M1190" s="6" t="inlineStr">
        <is>
          <t>ANDE</t>
        </is>
      </c>
      <c r="N1190" s="6" t="inlineStr">
        <is>
          <t>OFFICIAL_PRIMARY</t>
        </is>
      </c>
      <c r="O1190" s="9" t="inlineStr">
        <is>
          <t>OFFICIAL_AGGREGATE</t>
        </is>
      </c>
      <c r="P1190" s="8" t="n">
        <v>1</v>
      </c>
      <c r="Q1190" s="8" t="n">
        <v>85</v>
      </c>
      <c r="R1190" s="7" t="inlineStr">
        <is>
          <t>https://www.ande.gov.py/finanzas/2.%20COMPILACION%20ESTADISTICA%202003-2023/ANDE%20-%20Compilacion%20Estadistica%202003-2023.pdf</t>
        </is>
      </c>
      <c r="S1190" s="6" t="inlineStr">
        <is>
          <t>ANDE-03-23</t>
        </is>
      </c>
      <c r="T1190" s="6" t="inlineStr"/>
      <c r="U1190" s="4" t="inlineStr">
        <is>
          <t>2026-09-11 00:05:00</t>
        </is>
      </c>
      <c r="V1190" s="4" t="inlineStr">
        <is>
          <t>Balance electrico ANDE.</t>
        </is>
      </c>
    </row>
    <row r="1191">
      <c r="A1191" s="6" t="inlineStr">
        <is>
          <t>R0001307</t>
        </is>
      </c>
      <c r="B1191" s="6" t="inlineStr">
        <is>
          <t>2020-01-01</t>
        </is>
      </c>
      <c r="C1191" s="6" t="inlineStr">
        <is>
          <t>2020-12-31</t>
        </is>
      </c>
      <c r="D1191" s="6" t="inlineStr">
        <is>
          <t>year</t>
        </is>
      </c>
      <c r="E1191" s="6" t="inlineStr">
        <is>
          <t>PY_IMPORT_ENERGY</t>
        </is>
      </c>
      <c r="F1191" s="6" t="inlineStr">
        <is>
          <t>PY_SIN</t>
        </is>
      </c>
      <c r="G1191" s="6" t="inlineStr">
        <is>
          <t>PY</t>
        </is>
      </c>
      <c r="H1191" s="6" t="inlineStr">
        <is>
          <t>PY</t>
        </is>
      </c>
      <c r="I1191" s="8" t="n">
        <v>0</v>
      </c>
      <c r="J1191" s="6" t="inlineStr">
        <is>
          <t>MWh</t>
        </is>
      </c>
      <c r="K1191" s="8" t="n">
        <v>0</v>
      </c>
      <c r="L1191" s="6" t="inlineStr">
        <is>
          <t>MWh</t>
        </is>
      </c>
      <c r="M1191" s="6" t="inlineStr">
        <is>
          <t>ANDE</t>
        </is>
      </c>
      <c r="N1191" s="6" t="inlineStr">
        <is>
          <t>OFFICIAL_PRIMARY</t>
        </is>
      </c>
      <c r="O1191" s="9" t="inlineStr">
        <is>
          <t>OFFICIAL_AGGREGATE</t>
        </is>
      </c>
      <c r="P1191" s="8" t="n">
        <v>1</v>
      </c>
      <c r="Q1191" s="8" t="n">
        <v>85</v>
      </c>
      <c r="R1191" s="7" t="inlineStr">
        <is>
          <t>https://www.ande.gov.py/finanzas/2.%20COMPILACION%20ESTADISTICA%202003-2023/ANDE%20-%20Compilacion%20Estadistica%202003-2023.pdf</t>
        </is>
      </c>
      <c r="S1191" s="6" t="inlineStr">
        <is>
          <t>ANDE-03-23</t>
        </is>
      </c>
      <c r="T1191" s="6" t="inlineStr"/>
      <c r="U1191" s="4" t="inlineStr">
        <is>
          <t>2026-09-11 00:05:00</t>
        </is>
      </c>
      <c r="V1191" s="4" t="inlineStr">
        <is>
          <t>Balance electrico ANDE.</t>
        </is>
      </c>
    </row>
    <row r="1192">
      <c r="A1192" s="6" t="inlineStr">
        <is>
          <t>R0001308</t>
        </is>
      </c>
      <c r="B1192" s="6" t="inlineStr">
        <is>
          <t>2021-01-01</t>
        </is>
      </c>
      <c r="C1192" s="6" t="inlineStr">
        <is>
          <t>2021-12-31</t>
        </is>
      </c>
      <c r="D1192" s="6" t="inlineStr">
        <is>
          <t>year</t>
        </is>
      </c>
      <c r="E1192" s="6" t="inlineStr">
        <is>
          <t>PY_IMPORT_ENERGY</t>
        </is>
      </c>
      <c r="F1192" s="6" t="inlineStr">
        <is>
          <t>PY_SIN</t>
        </is>
      </c>
      <c r="G1192" s="6" t="inlineStr">
        <is>
          <t>PY</t>
        </is>
      </c>
      <c r="H1192" s="6" t="inlineStr">
        <is>
          <t>PY</t>
        </is>
      </c>
      <c r="I1192" s="8" t="n">
        <v>0</v>
      </c>
      <c r="J1192" s="6" t="inlineStr">
        <is>
          <t>MWh</t>
        </is>
      </c>
      <c r="K1192" s="8" t="n">
        <v>0</v>
      </c>
      <c r="L1192" s="6" t="inlineStr">
        <is>
          <t>MWh</t>
        </is>
      </c>
      <c r="M1192" s="6" t="inlineStr">
        <is>
          <t>ANDE</t>
        </is>
      </c>
      <c r="N1192" s="6" t="inlineStr">
        <is>
          <t>OFFICIAL_PRIMARY</t>
        </is>
      </c>
      <c r="O1192" s="9" t="inlineStr">
        <is>
          <t>OFFICIAL_AGGREGATE</t>
        </is>
      </c>
      <c r="P1192" s="8" t="n">
        <v>1</v>
      </c>
      <c r="Q1192" s="8" t="n">
        <v>85</v>
      </c>
      <c r="R1192" s="7" t="inlineStr">
        <is>
          <t>https://www.ande.gov.py/finanzas/2.%20COMPILACION%20ESTADISTICA%202003-2023/ANDE%20-%20Compilacion%20Estadistica%202003-2023.pdf</t>
        </is>
      </c>
      <c r="S1192" s="6" t="inlineStr">
        <is>
          <t>ANDE-03-23</t>
        </is>
      </c>
      <c r="T1192" s="6" t="inlineStr"/>
      <c r="U1192" s="4" t="inlineStr">
        <is>
          <t>2026-09-11 00:05:00</t>
        </is>
      </c>
      <c r="V1192" s="4" t="inlineStr">
        <is>
          <t>Balance electrico ANDE.</t>
        </is>
      </c>
    </row>
    <row r="1193">
      <c r="A1193" s="6" t="inlineStr">
        <is>
          <t>R0001309</t>
        </is>
      </c>
      <c r="B1193" s="6" t="inlineStr">
        <is>
          <t>2022-01-01</t>
        </is>
      </c>
      <c r="C1193" s="6" t="inlineStr">
        <is>
          <t>2022-12-31</t>
        </is>
      </c>
      <c r="D1193" s="6" t="inlineStr">
        <is>
          <t>year</t>
        </is>
      </c>
      <c r="E1193" s="6" t="inlineStr">
        <is>
          <t>PY_IMPORT_ENERGY</t>
        </is>
      </c>
      <c r="F1193" s="6" t="inlineStr">
        <is>
          <t>PY_SIN</t>
        </is>
      </c>
      <c r="G1193" s="6" t="inlineStr">
        <is>
          <t>PY</t>
        </is>
      </c>
      <c r="H1193" s="6" t="inlineStr">
        <is>
          <t>PY</t>
        </is>
      </c>
      <c r="I1193" s="8" t="n">
        <v>0</v>
      </c>
      <c r="J1193" s="6" t="inlineStr">
        <is>
          <t>MWh</t>
        </is>
      </c>
      <c r="K1193" s="8" t="n">
        <v>0</v>
      </c>
      <c r="L1193" s="6" t="inlineStr">
        <is>
          <t>MWh</t>
        </is>
      </c>
      <c r="M1193" s="6" t="inlineStr">
        <is>
          <t>ANDE</t>
        </is>
      </c>
      <c r="N1193" s="6" t="inlineStr">
        <is>
          <t>OFFICIAL_PRIMARY</t>
        </is>
      </c>
      <c r="O1193" s="9" t="inlineStr">
        <is>
          <t>OFFICIAL_AGGREGATE</t>
        </is>
      </c>
      <c r="P1193" s="8" t="n">
        <v>1</v>
      </c>
      <c r="Q1193" s="8" t="n">
        <v>85</v>
      </c>
      <c r="R1193" s="7" t="inlineStr">
        <is>
          <t>https://www.ande.gov.py/finanzas/2.%20COMPILACION%20ESTADISTICA%202003-2023/ANDE%20-%20Compilacion%20Estadistica%202003-2023.pdf</t>
        </is>
      </c>
      <c r="S1193" s="6" t="inlineStr">
        <is>
          <t>ANDE-03-23</t>
        </is>
      </c>
      <c r="T1193" s="6" t="inlineStr"/>
      <c r="U1193" s="4" t="inlineStr">
        <is>
          <t>2026-09-11 00:05:00</t>
        </is>
      </c>
      <c r="V1193" s="4" t="inlineStr">
        <is>
          <t>Balance electrico ANDE.</t>
        </is>
      </c>
    </row>
    <row r="1194">
      <c r="A1194" s="6" t="inlineStr">
        <is>
          <t>R0001310</t>
        </is>
      </c>
      <c r="B1194" s="6" t="inlineStr">
        <is>
          <t>2023-01-01</t>
        </is>
      </c>
      <c r="C1194" s="6" t="inlineStr">
        <is>
          <t>2023-12-31</t>
        </is>
      </c>
      <c r="D1194" s="6" t="inlineStr">
        <is>
          <t>year</t>
        </is>
      </c>
      <c r="E1194" s="6" t="inlineStr">
        <is>
          <t>PY_IMPORT_ENERGY</t>
        </is>
      </c>
      <c r="F1194" s="6" t="inlineStr">
        <is>
          <t>PY_SIN</t>
        </is>
      </c>
      <c r="G1194" s="6" t="inlineStr">
        <is>
          <t>PY</t>
        </is>
      </c>
      <c r="H1194" s="6" t="inlineStr">
        <is>
          <t>PY</t>
        </is>
      </c>
      <c r="I1194" s="8" t="n">
        <v>0</v>
      </c>
      <c r="J1194" s="6" t="inlineStr">
        <is>
          <t>MWh</t>
        </is>
      </c>
      <c r="K1194" s="8" t="n">
        <v>0</v>
      </c>
      <c r="L1194" s="6" t="inlineStr">
        <is>
          <t>MWh</t>
        </is>
      </c>
      <c r="M1194" s="6" t="inlineStr">
        <is>
          <t>ANDE</t>
        </is>
      </c>
      <c r="N1194" s="6" t="inlineStr">
        <is>
          <t>OFFICIAL_PRIMARY</t>
        </is>
      </c>
      <c r="O1194" s="9" t="inlineStr">
        <is>
          <t>OFFICIAL_AGGREGATE</t>
        </is>
      </c>
      <c r="P1194" s="8" t="n">
        <v>1</v>
      </c>
      <c r="Q1194" s="8" t="n">
        <v>85</v>
      </c>
      <c r="R1194" s="7" t="inlineStr">
        <is>
          <t>https://www.ande.gov.py/finanzas/2.%20COMPILACION%20ESTADISTICA%202003-2023/ANDE%20-%20Compilacion%20Estadistica%202003-2023.pdf</t>
        </is>
      </c>
      <c r="S1194" s="6" t="inlineStr">
        <is>
          <t>ANDE-03-23</t>
        </is>
      </c>
      <c r="T1194" s="6" t="inlineStr"/>
      <c r="U1194" s="4" t="inlineStr">
        <is>
          <t>2026-09-11 00:05:00</t>
        </is>
      </c>
      <c r="V1194" s="4" t="inlineStr">
        <is>
          <t>Balance electrico ANDE.</t>
        </is>
      </c>
    </row>
    <row r="1195">
      <c r="A1195" s="6" t="inlineStr">
        <is>
          <t>R0001311</t>
        </is>
      </c>
      <c r="B1195" s="6" t="inlineStr">
        <is>
          <t>2003-01-01</t>
        </is>
      </c>
      <c r="C1195" s="6" t="inlineStr">
        <is>
          <t>2003-12-31</t>
        </is>
      </c>
      <c r="D1195" s="6" t="inlineStr">
        <is>
          <t>year</t>
        </is>
      </c>
      <c r="E1195" s="6" t="inlineStr">
        <is>
          <t>PY_GROSS_ENERGY_AVAILABLE</t>
        </is>
      </c>
      <c r="F1195" s="6" t="inlineStr">
        <is>
          <t>PY_SIN</t>
        </is>
      </c>
      <c r="G1195" s="6" t="inlineStr">
        <is>
          <t>PY</t>
        </is>
      </c>
      <c r="H1195" s="6" t="inlineStr">
        <is>
          <t>PY</t>
        </is>
      </c>
      <c r="I1195" s="8" t="n">
        <v>6859857</v>
      </c>
      <c r="J1195" s="6" t="inlineStr">
        <is>
          <t>MWh</t>
        </is>
      </c>
      <c r="K1195" s="8" t="n">
        <v>6859857</v>
      </c>
      <c r="L1195" s="6" t="inlineStr">
        <is>
          <t>MWh</t>
        </is>
      </c>
      <c r="M1195" s="6" t="inlineStr">
        <is>
          <t>ANDE</t>
        </is>
      </c>
      <c r="N1195" s="6" t="inlineStr">
        <is>
          <t>OFFICIAL_PRIMARY</t>
        </is>
      </c>
      <c r="O1195" s="9" t="inlineStr">
        <is>
          <t>OFFICIAL_AGGREGATE</t>
        </is>
      </c>
      <c r="P1195" s="8" t="n">
        <v>1</v>
      </c>
      <c r="Q1195" s="8" t="n">
        <v>85</v>
      </c>
      <c r="R1195" s="7" t="inlineStr">
        <is>
          <t>https://www.ande.gov.py/finanzas/2.%20COMPILACION%20ESTADISTICA%202003-2023/ANDE%20-%20Compilacion%20Estadistica%202003-2023.pdf</t>
        </is>
      </c>
      <c r="S1195" s="6" t="inlineStr">
        <is>
          <t>ANDE-03-23</t>
        </is>
      </c>
      <c r="T1195" s="6" t="inlineStr"/>
      <c r="U1195" s="4" t="inlineStr">
        <is>
          <t>2026-09-11 00:05:00</t>
        </is>
      </c>
      <c r="V1195" s="4" t="inlineStr">
        <is>
          <t>Balance electrico ANDE.</t>
        </is>
      </c>
    </row>
    <row r="1196">
      <c r="A1196" s="6" t="inlineStr">
        <is>
          <t>R0001312</t>
        </is>
      </c>
      <c r="B1196" s="6" t="inlineStr">
        <is>
          <t>2004-01-01</t>
        </is>
      </c>
      <c r="C1196" s="6" t="inlineStr">
        <is>
          <t>2004-12-31</t>
        </is>
      </c>
      <c r="D1196" s="6" t="inlineStr">
        <is>
          <t>year</t>
        </is>
      </c>
      <c r="E1196" s="6" t="inlineStr">
        <is>
          <t>PY_GROSS_ENERGY_AVAILABLE</t>
        </is>
      </c>
      <c r="F1196" s="6" t="inlineStr">
        <is>
          <t>PY_SIN</t>
        </is>
      </c>
      <c r="G1196" s="6" t="inlineStr">
        <is>
          <t>PY</t>
        </is>
      </c>
      <c r="H1196" s="6" t="inlineStr">
        <is>
          <t>PY</t>
        </is>
      </c>
      <c r="I1196" s="8" t="n">
        <v>7449132</v>
      </c>
      <c r="J1196" s="6" t="inlineStr">
        <is>
          <t>MWh</t>
        </is>
      </c>
      <c r="K1196" s="8" t="n">
        <v>7449132</v>
      </c>
      <c r="L1196" s="6" t="inlineStr">
        <is>
          <t>MWh</t>
        </is>
      </c>
      <c r="M1196" s="6" t="inlineStr">
        <is>
          <t>ANDE</t>
        </is>
      </c>
      <c r="N1196" s="6" t="inlineStr">
        <is>
          <t>OFFICIAL_PRIMARY</t>
        </is>
      </c>
      <c r="O1196" s="9" t="inlineStr">
        <is>
          <t>OFFICIAL_AGGREGATE</t>
        </is>
      </c>
      <c r="P1196" s="8" t="n">
        <v>1</v>
      </c>
      <c r="Q1196" s="8" t="n">
        <v>85</v>
      </c>
      <c r="R1196" s="7" t="inlineStr">
        <is>
          <t>https://www.ande.gov.py/finanzas/2.%20COMPILACION%20ESTADISTICA%202003-2023/ANDE%20-%20Compilacion%20Estadistica%202003-2023.pdf</t>
        </is>
      </c>
      <c r="S1196" s="6" t="inlineStr">
        <is>
          <t>ANDE-03-23</t>
        </is>
      </c>
      <c r="T1196" s="6" t="inlineStr"/>
      <c r="U1196" s="4" t="inlineStr">
        <is>
          <t>2026-09-11 00:05:00</t>
        </is>
      </c>
      <c r="V1196" s="4" t="inlineStr">
        <is>
          <t>Balance electrico ANDE.</t>
        </is>
      </c>
    </row>
    <row r="1197">
      <c r="A1197" s="6" t="inlineStr">
        <is>
          <t>R0001313</t>
        </is>
      </c>
      <c r="B1197" s="6" t="inlineStr">
        <is>
          <t>2005-01-01</t>
        </is>
      </c>
      <c r="C1197" s="6" t="inlineStr">
        <is>
          <t>2005-12-31</t>
        </is>
      </c>
      <c r="D1197" s="6" t="inlineStr">
        <is>
          <t>year</t>
        </is>
      </c>
      <c r="E1197" s="6" t="inlineStr">
        <is>
          <t>PY_GROSS_ENERGY_AVAILABLE</t>
        </is>
      </c>
      <c r="F1197" s="6" t="inlineStr">
        <is>
          <t>PY_SIN</t>
        </is>
      </c>
      <c r="G1197" s="6" t="inlineStr">
        <is>
          <t>PY</t>
        </is>
      </c>
      <c r="H1197" s="6" t="inlineStr">
        <is>
          <t>PY</t>
        </is>
      </c>
      <c r="I1197" s="8" t="n">
        <v>7631910</v>
      </c>
      <c r="J1197" s="6" t="inlineStr">
        <is>
          <t>MWh</t>
        </is>
      </c>
      <c r="K1197" s="8" t="n">
        <v>7631910</v>
      </c>
      <c r="L1197" s="6" t="inlineStr">
        <is>
          <t>MWh</t>
        </is>
      </c>
      <c r="M1197" s="6" t="inlineStr">
        <is>
          <t>ANDE</t>
        </is>
      </c>
      <c r="N1197" s="6" t="inlineStr">
        <is>
          <t>OFFICIAL_PRIMARY</t>
        </is>
      </c>
      <c r="O1197" s="9" t="inlineStr">
        <is>
          <t>OFFICIAL_AGGREGATE</t>
        </is>
      </c>
      <c r="P1197" s="8" t="n">
        <v>1</v>
      </c>
      <c r="Q1197" s="8" t="n">
        <v>85</v>
      </c>
      <c r="R1197" s="7" t="inlineStr">
        <is>
          <t>https://www.ande.gov.py/finanzas/2.%20COMPILACION%20ESTADISTICA%202003-2023/ANDE%20-%20Compilacion%20Estadistica%202003-2023.pdf</t>
        </is>
      </c>
      <c r="S1197" s="6" t="inlineStr">
        <is>
          <t>ANDE-03-23</t>
        </is>
      </c>
      <c r="T1197" s="6" t="inlineStr"/>
      <c r="U1197" s="4" t="inlineStr">
        <is>
          <t>2026-09-11 00:05:00</t>
        </is>
      </c>
      <c r="V1197" s="4" t="inlineStr">
        <is>
          <t>Balance electrico ANDE.</t>
        </is>
      </c>
    </row>
    <row r="1198">
      <c r="A1198" s="6" t="inlineStr">
        <is>
          <t>R0001314</t>
        </is>
      </c>
      <c r="B1198" s="6" t="inlineStr">
        <is>
          <t>2006-01-01</t>
        </is>
      </c>
      <c r="C1198" s="6" t="inlineStr">
        <is>
          <t>2006-12-31</t>
        </is>
      </c>
      <c r="D1198" s="6" t="inlineStr">
        <is>
          <t>year</t>
        </is>
      </c>
      <c r="E1198" s="6" t="inlineStr">
        <is>
          <t>PY_GROSS_ENERGY_AVAILABLE</t>
        </is>
      </c>
      <c r="F1198" s="6" t="inlineStr">
        <is>
          <t>PY_SIN</t>
        </is>
      </c>
      <c r="G1198" s="6" t="inlineStr">
        <is>
          <t>PY</t>
        </is>
      </c>
      <c r="H1198" s="6" t="inlineStr">
        <is>
          <t>PY</t>
        </is>
      </c>
      <c r="I1198" s="8" t="n">
        <v>8581923</v>
      </c>
      <c r="J1198" s="6" t="inlineStr">
        <is>
          <t>MWh</t>
        </is>
      </c>
      <c r="K1198" s="8" t="n">
        <v>8581923</v>
      </c>
      <c r="L1198" s="6" t="inlineStr">
        <is>
          <t>MWh</t>
        </is>
      </c>
      <c r="M1198" s="6" t="inlineStr">
        <is>
          <t>ANDE</t>
        </is>
      </c>
      <c r="N1198" s="6" t="inlineStr">
        <is>
          <t>OFFICIAL_PRIMARY</t>
        </is>
      </c>
      <c r="O1198" s="9" t="inlineStr">
        <is>
          <t>OFFICIAL_AGGREGATE</t>
        </is>
      </c>
      <c r="P1198" s="8" t="n">
        <v>1</v>
      </c>
      <c r="Q1198" s="8" t="n">
        <v>85</v>
      </c>
      <c r="R1198" s="7" t="inlineStr">
        <is>
          <t>https://www.ande.gov.py/finanzas/2.%20COMPILACION%20ESTADISTICA%202003-2023/ANDE%20-%20Compilacion%20Estadistica%202003-2023.pdf</t>
        </is>
      </c>
      <c r="S1198" s="6" t="inlineStr">
        <is>
          <t>ANDE-03-23</t>
        </is>
      </c>
      <c r="T1198" s="6" t="inlineStr"/>
      <c r="U1198" s="4" t="inlineStr">
        <is>
          <t>2026-09-11 00:05:00</t>
        </is>
      </c>
      <c r="V1198" s="4" t="inlineStr">
        <is>
          <t>Balance electrico ANDE.</t>
        </is>
      </c>
    </row>
    <row r="1199">
      <c r="A1199" s="6" t="inlineStr">
        <is>
          <t>R0001315</t>
        </is>
      </c>
      <c r="B1199" s="6" t="inlineStr">
        <is>
          <t>2007-01-01</t>
        </is>
      </c>
      <c r="C1199" s="6" t="inlineStr">
        <is>
          <t>2007-12-31</t>
        </is>
      </c>
      <c r="D1199" s="6" t="inlineStr">
        <is>
          <t>year</t>
        </is>
      </c>
      <c r="E1199" s="6" t="inlineStr">
        <is>
          <t>PY_GROSS_ENERGY_AVAILABLE</t>
        </is>
      </c>
      <c r="F1199" s="6" t="inlineStr">
        <is>
          <t>PY_SIN</t>
        </is>
      </c>
      <c r="G1199" s="6" t="inlineStr">
        <is>
          <t>PY</t>
        </is>
      </c>
      <c r="H1199" s="6" t="inlineStr">
        <is>
          <t>PY</t>
        </is>
      </c>
      <c r="I1199" s="8" t="n">
        <v>9052287</v>
      </c>
      <c r="J1199" s="6" t="inlineStr">
        <is>
          <t>MWh</t>
        </is>
      </c>
      <c r="K1199" s="8" t="n">
        <v>9052287</v>
      </c>
      <c r="L1199" s="6" t="inlineStr">
        <is>
          <t>MWh</t>
        </is>
      </c>
      <c r="M1199" s="6" t="inlineStr">
        <is>
          <t>ANDE</t>
        </is>
      </c>
      <c r="N1199" s="6" t="inlineStr">
        <is>
          <t>OFFICIAL_PRIMARY</t>
        </is>
      </c>
      <c r="O1199" s="9" t="inlineStr">
        <is>
          <t>OFFICIAL_AGGREGATE</t>
        </is>
      </c>
      <c r="P1199" s="8" t="n">
        <v>1</v>
      </c>
      <c r="Q1199" s="8" t="n">
        <v>85</v>
      </c>
      <c r="R1199" s="7" t="inlineStr">
        <is>
          <t>https://www.ande.gov.py/finanzas/2.%20COMPILACION%20ESTADISTICA%202003-2023/ANDE%20-%20Compilacion%20Estadistica%202003-2023.pdf</t>
        </is>
      </c>
      <c r="S1199" s="6" t="inlineStr">
        <is>
          <t>ANDE-03-23</t>
        </is>
      </c>
      <c r="T1199" s="6" t="inlineStr"/>
      <c r="U1199" s="4" t="inlineStr">
        <is>
          <t>2026-09-11 00:05:00</t>
        </is>
      </c>
      <c r="V1199" s="4" t="inlineStr">
        <is>
          <t>Balance electrico ANDE.</t>
        </is>
      </c>
    </row>
    <row r="1200">
      <c r="A1200" s="6" t="inlineStr">
        <is>
          <t>R0001316</t>
        </is>
      </c>
      <c r="B1200" s="6" t="inlineStr">
        <is>
          <t>2008-01-01</t>
        </is>
      </c>
      <c r="C1200" s="6" t="inlineStr">
        <is>
          <t>2008-12-31</t>
        </is>
      </c>
      <c r="D1200" s="6" t="inlineStr">
        <is>
          <t>year</t>
        </is>
      </c>
      <c r="E1200" s="6" t="inlineStr">
        <is>
          <t>PY_GROSS_ENERGY_AVAILABLE</t>
        </is>
      </c>
      <c r="F1200" s="6" t="inlineStr">
        <is>
          <t>PY_SIN</t>
        </is>
      </c>
      <c r="G1200" s="6" t="inlineStr">
        <is>
          <t>PY</t>
        </is>
      </c>
      <c r="H1200" s="6" t="inlineStr">
        <is>
          <t>PY</t>
        </is>
      </c>
      <c r="I1200" s="8" t="n">
        <v>9394666</v>
      </c>
      <c r="J1200" s="6" t="inlineStr">
        <is>
          <t>MWh</t>
        </is>
      </c>
      <c r="K1200" s="8" t="n">
        <v>9394666</v>
      </c>
      <c r="L1200" s="6" t="inlineStr">
        <is>
          <t>MWh</t>
        </is>
      </c>
      <c r="M1200" s="6" t="inlineStr">
        <is>
          <t>ANDE</t>
        </is>
      </c>
      <c r="N1200" s="6" t="inlineStr">
        <is>
          <t>OFFICIAL_PRIMARY</t>
        </is>
      </c>
      <c r="O1200" s="9" t="inlineStr">
        <is>
          <t>OFFICIAL_AGGREGATE</t>
        </is>
      </c>
      <c r="P1200" s="8" t="n">
        <v>1</v>
      </c>
      <c r="Q1200" s="8" t="n">
        <v>85</v>
      </c>
      <c r="R1200" s="7" t="inlineStr">
        <is>
          <t>https://www.ande.gov.py/finanzas/2.%20COMPILACION%20ESTADISTICA%202003-2023/ANDE%20-%20Compilacion%20Estadistica%202003-2023.pdf</t>
        </is>
      </c>
      <c r="S1200" s="6" t="inlineStr">
        <is>
          <t>ANDE-03-23</t>
        </is>
      </c>
      <c r="T1200" s="6" t="inlineStr"/>
      <c r="U1200" s="4" t="inlineStr">
        <is>
          <t>2026-09-11 00:05:00</t>
        </is>
      </c>
      <c r="V1200" s="4" t="inlineStr">
        <is>
          <t>Balance electrico ANDE.</t>
        </is>
      </c>
    </row>
    <row r="1201">
      <c r="A1201" s="6" t="inlineStr">
        <is>
          <t>R0001317</t>
        </is>
      </c>
      <c r="B1201" s="6" t="inlineStr">
        <is>
          <t>2009-01-01</t>
        </is>
      </c>
      <c r="C1201" s="6" t="inlineStr">
        <is>
          <t>2009-12-31</t>
        </is>
      </c>
      <c r="D1201" s="6" t="inlineStr">
        <is>
          <t>year</t>
        </is>
      </c>
      <c r="E1201" s="6" t="inlineStr">
        <is>
          <t>PY_GROSS_ENERGY_AVAILABLE</t>
        </is>
      </c>
      <c r="F1201" s="6" t="inlineStr">
        <is>
          <t>PY_SIN</t>
        </is>
      </c>
      <c r="G1201" s="6" t="inlineStr">
        <is>
          <t>PY</t>
        </is>
      </c>
      <c r="H1201" s="6" t="inlineStr">
        <is>
          <t>PY</t>
        </is>
      </c>
      <c r="I1201" s="8" t="n">
        <v>10120514</v>
      </c>
      <c r="J1201" s="6" t="inlineStr">
        <is>
          <t>MWh</t>
        </is>
      </c>
      <c r="K1201" s="8" t="n">
        <v>10120514</v>
      </c>
      <c r="L1201" s="6" t="inlineStr">
        <is>
          <t>MWh</t>
        </is>
      </c>
      <c r="M1201" s="6" t="inlineStr">
        <is>
          <t>ANDE</t>
        </is>
      </c>
      <c r="N1201" s="6" t="inlineStr">
        <is>
          <t>OFFICIAL_PRIMARY</t>
        </is>
      </c>
      <c r="O1201" s="9" t="inlineStr">
        <is>
          <t>OFFICIAL_AGGREGATE</t>
        </is>
      </c>
      <c r="P1201" s="8" t="n">
        <v>1</v>
      </c>
      <c r="Q1201" s="8" t="n">
        <v>85</v>
      </c>
      <c r="R1201" s="7" t="inlineStr">
        <is>
          <t>https://www.ande.gov.py/finanzas/2.%20COMPILACION%20ESTADISTICA%202003-2023/ANDE%20-%20Compilacion%20Estadistica%202003-2023.pdf</t>
        </is>
      </c>
      <c r="S1201" s="6" t="inlineStr">
        <is>
          <t>ANDE-03-23</t>
        </is>
      </c>
      <c r="T1201" s="6" t="inlineStr"/>
      <c r="U1201" s="4" t="inlineStr">
        <is>
          <t>2026-09-11 00:05:00</t>
        </is>
      </c>
      <c r="V1201" s="4" t="inlineStr">
        <is>
          <t>Balance electrico ANDE.</t>
        </is>
      </c>
    </row>
    <row r="1202">
      <c r="A1202" s="6" t="inlineStr">
        <is>
          <t>R0001318</t>
        </is>
      </c>
      <c r="B1202" s="6" t="inlineStr">
        <is>
          <t>2010-01-01</t>
        </is>
      </c>
      <c r="C1202" s="6" t="inlineStr">
        <is>
          <t>2010-12-31</t>
        </is>
      </c>
      <c r="D1202" s="6" t="inlineStr">
        <is>
          <t>year</t>
        </is>
      </c>
      <c r="E1202" s="6" t="inlineStr">
        <is>
          <t>PY_GROSS_ENERGY_AVAILABLE</t>
        </is>
      </c>
      <c r="F1202" s="6" t="inlineStr">
        <is>
          <t>PY_SIN</t>
        </is>
      </c>
      <c r="G1202" s="6" t="inlineStr">
        <is>
          <t>PY</t>
        </is>
      </c>
      <c r="H1202" s="6" t="inlineStr">
        <is>
          <t>PY</t>
        </is>
      </c>
      <c r="I1202" s="8" t="n">
        <v>10688822</v>
      </c>
      <c r="J1202" s="6" t="inlineStr">
        <is>
          <t>MWh</t>
        </is>
      </c>
      <c r="K1202" s="8" t="n">
        <v>10688822</v>
      </c>
      <c r="L1202" s="6" t="inlineStr">
        <is>
          <t>MWh</t>
        </is>
      </c>
      <c r="M1202" s="6" t="inlineStr">
        <is>
          <t>ANDE</t>
        </is>
      </c>
      <c r="N1202" s="6" t="inlineStr">
        <is>
          <t>OFFICIAL_PRIMARY</t>
        </is>
      </c>
      <c r="O1202" s="9" t="inlineStr">
        <is>
          <t>OFFICIAL_AGGREGATE</t>
        </is>
      </c>
      <c r="P1202" s="8" t="n">
        <v>1</v>
      </c>
      <c r="Q1202" s="8" t="n">
        <v>85</v>
      </c>
      <c r="R1202" s="7" t="inlineStr">
        <is>
          <t>https://www.ande.gov.py/finanzas/2.%20COMPILACION%20ESTADISTICA%202003-2023/ANDE%20-%20Compilacion%20Estadistica%202003-2023.pdf</t>
        </is>
      </c>
      <c r="S1202" s="6" t="inlineStr">
        <is>
          <t>ANDE-03-23</t>
        </is>
      </c>
      <c r="T1202" s="6" t="inlineStr"/>
      <c r="U1202" s="4" t="inlineStr">
        <is>
          <t>2026-09-11 00:05:00</t>
        </is>
      </c>
      <c r="V1202" s="4" t="inlineStr">
        <is>
          <t>Balance electrico ANDE.</t>
        </is>
      </c>
    </row>
    <row r="1203">
      <c r="A1203" s="6" t="inlineStr">
        <is>
          <t>R0001319</t>
        </is>
      </c>
      <c r="B1203" s="6" t="inlineStr">
        <is>
          <t>2011-01-01</t>
        </is>
      </c>
      <c r="C1203" s="6" t="inlineStr">
        <is>
          <t>2011-12-31</t>
        </is>
      </c>
      <c r="D1203" s="6" t="inlineStr">
        <is>
          <t>year</t>
        </is>
      </c>
      <c r="E1203" s="6" t="inlineStr">
        <is>
          <t>PY_GROSS_ENERGY_AVAILABLE</t>
        </is>
      </c>
      <c r="F1203" s="6" t="inlineStr">
        <is>
          <t>PY_SIN</t>
        </is>
      </c>
      <c r="G1203" s="6" t="inlineStr">
        <is>
          <t>PY</t>
        </is>
      </c>
      <c r="H1203" s="6" t="inlineStr">
        <is>
          <t>PY</t>
        </is>
      </c>
      <c r="I1203" s="8" t="n">
        <v>11161451</v>
      </c>
      <c r="J1203" s="6" t="inlineStr">
        <is>
          <t>MWh</t>
        </is>
      </c>
      <c r="K1203" s="8" t="n">
        <v>11161451</v>
      </c>
      <c r="L1203" s="6" t="inlineStr">
        <is>
          <t>MWh</t>
        </is>
      </c>
      <c r="M1203" s="6" t="inlineStr">
        <is>
          <t>ANDE</t>
        </is>
      </c>
      <c r="N1203" s="6" t="inlineStr">
        <is>
          <t>OFFICIAL_PRIMARY</t>
        </is>
      </c>
      <c r="O1203" s="9" t="inlineStr">
        <is>
          <t>OFFICIAL_AGGREGATE</t>
        </is>
      </c>
      <c r="P1203" s="8" t="n">
        <v>1</v>
      </c>
      <c r="Q1203" s="8" t="n">
        <v>85</v>
      </c>
      <c r="R1203" s="7" t="inlineStr">
        <is>
          <t>https://www.ande.gov.py/finanzas/2.%20COMPILACION%20ESTADISTICA%202003-2023/ANDE%20-%20Compilacion%20Estadistica%202003-2023.pdf</t>
        </is>
      </c>
      <c r="S1203" s="6" t="inlineStr">
        <is>
          <t>ANDE-03-23</t>
        </is>
      </c>
      <c r="T1203" s="6" t="inlineStr"/>
      <c r="U1203" s="4" t="inlineStr">
        <is>
          <t>2026-09-11 00:05:00</t>
        </is>
      </c>
      <c r="V1203" s="4" t="inlineStr">
        <is>
          <t>Balance electrico ANDE.</t>
        </is>
      </c>
    </row>
    <row r="1204">
      <c r="A1204" s="6" t="inlineStr">
        <is>
          <t>R0001320</t>
        </is>
      </c>
      <c r="B1204" s="6" t="inlineStr">
        <is>
          <t>2012-01-01</t>
        </is>
      </c>
      <c r="C1204" s="6" t="inlineStr">
        <is>
          <t>2012-12-31</t>
        </is>
      </c>
      <c r="D1204" s="6" t="inlineStr">
        <is>
          <t>year</t>
        </is>
      </c>
      <c r="E1204" s="6" t="inlineStr">
        <is>
          <t>PY_GROSS_ENERGY_AVAILABLE</t>
        </is>
      </c>
      <c r="F1204" s="6" t="inlineStr">
        <is>
          <t>PY_SIN</t>
        </is>
      </c>
      <c r="G1204" s="6" t="inlineStr">
        <is>
          <t>PY</t>
        </is>
      </c>
      <c r="H1204" s="6" t="inlineStr">
        <is>
          <t>PY</t>
        </is>
      </c>
      <c r="I1204" s="8" t="n">
        <v>12233749</v>
      </c>
      <c r="J1204" s="6" t="inlineStr">
        <is>
          <t>MWh</t>
        </is>
      </c>
      <c r="K1204" s="8" t="n">
        <v>12233749</v>
      </c>
      <c r="L1204" s="6" t="inlineStr">
        <is>
          <t>MWh</t>
        </is>
      </c>
      <c r="M1204" s="6" t="inlineStr">
        <is>
          <t>ANDE</t>
        </is>
      </c>
      <c r="N1204" s="6" t="inlineStr">
        <is>
          <t>OFFICIAL_PRIMARY</t>
        </is>
      </c>
      <c r="O1204" s="9" t="inlineStr">
        <is>
          <t>OFFICIAL_AGGREGATE</t>
        </is>
      </c>
      <c r="P1204" s="8" t="n">
        <v>1</v>
      </c>
      <c r="Q1204" s="8" t="n">
        <v>85</v>
      </c>
      <c r="R1204" s="7" t="inlineStr">
        <is>
          <t>https://www.ande.gov.py/finanzas/2.%20COMPILACION%20ESTADISTICA%202003-2023/ANDE%20-%20Compilacion%20Estadistica%202003-2023.pdf</t>
        </is>
      </c>
      <c r="S1204" s="6" t="inlineStr">
        <is>
          <t>ANDE-03-23</t>
        </is>
      </c>
      <c r="T1204" s="6" t="inlineStr"/>
      <c r="U1204" s="4" t="inlineStr">
        <is>
          <t>2026-09-11 00:05:00</t>
        </is>
      </c>
      <c r="V1204" s="4" t="inlineStr">
        <is>
          <t>Balance electrico ANDE.</t>
        </is>
      </c>
    </row>
    <row r="1205">
      <c r="A1205" s="6" t="inlineStr">
        <is>
          <t>R0001321</t>
        </is>
      </c>
      <c r="B1205" s="6" t="inlineStr">
        <is>
          <t>2013-01-01</t>
        </is>
      </c>
      <c r="C1205" s="6" t="inlineStr">
        <is>
          <t>2013-12-31</t>
        </is>
      </c>
      <c r="D1205" s="6" t="inlineStr">
        <is>
          <t>year</t>
        </is>
      </c>
      <c r="E1205" s="6" t="inlineStr">
        <is>
          <t>PY_GROSS_ENERGY_AVAILABLE</t>
        </is>
      </c>
      <c r="F1205" s="6" t="inlineStr">
        <is>
          <t>PY_SIN</t>
        </is>
      </c>
      <c r="G1205" s="6" t="inlineStr">
        <is>
          <t>PY</t>
        </is>
      </c>
      <c r="H1205" s="6" t="inlineStr">
        <is>
          <t>PY</t>
        </is>
      </c>
      <c r="I1205" s="8" t="n">
        <v>12664701</v>
      </c>
      <c r="J1205" s="6" t="inlineStr">
        <is>
          <t>MWh</t>
        </is>
      </c>
      <c r="K1205" s="8" t="n">
        <v>12664701</v>
      </c>
      <c r="L1205" s="6" t="inlineStr">
        <is>
          <t>MWh</t>
        </is>
      </c>
      <c r="M1205" s="6" t="inlineStr">
        <is>
          <t>ANDE</t>
        </is>
      </c>
      <c r="N1205" s="6" t="inlineStr">
        <is>
          <t>OFFICIAL_PRIMARY</t>
        </is>
      </c>
      <c r="O1205" s="9" t="inlineStr">
        <is>
          <t>OFFICIAL_AGGREGATE</t>
        </is>
      </c>
      <c r="P1205" s="8" t="n">
        <v>1</v>
      </c>
      <c r="Q1205" s="8" t="n">
        <v>85</v>
      </c>
      <c r="R1205" s="7" t="inlineStr">
        <is>
          <t>https://www.ande.gov.py/finanzas/2.%20COMPILACION%20ESTADISTICA%202003-2023/ANDE%20-%20Compilacion%20Estadistica%202003-2023.pdf</t>
        </is>
      </c>
      <c r="S1205" s="6" t="inlineStr">
        <is>
          <t>ANDE-03-23</t>
        </is>
      </c>
      <c r="T1205" s="6" t="inlineStr"/>
      <c r="U1205" s="4" t="inlineStr">
        <is>
          <t>2026-09-11 00:05:00</t>
        </is>
      </c>
      <c r="V1205" s="4" t="inlineStr">
        <is>
          <t>Balance electrico ANDE.</t>
        </is>
      </c>
    </row>
    <row r="1206">
      <c r="A1206" s="6" t="inlineStr">
        <is>
          <t>R0001322</t>
        </is>
      </c>
      <c r="B1206" s="6" t="inlineStr">
        <is>
          <t>2014-01-01</t>
        </is>
      </c>
      <c r="C1206" s="6" t="inlineStr">
        <is>
          <t>2014-12-31</t>
        </is>
      </c>
      <c r="D1206" s="6" t="inlineStr">
        <is>
          <t>year</t>
        </is>
      </c>
      <c r="E1206" s="6" t="inlineStr">
        <is>
          <t>PY_GROSS_ENERGY_AVAILABLE</t>
        </is>
      </c>
      <c r="F1206" s="6" t="inlineStr">
        <is>
          <t>PY_SIN</t>
        </is>
      </c>
      <c r="G1206" s="6" t="inlineStr">
        <is>
          <t>PY</t>
        </is>
      </c>
      <c r="H1206" s="6" t="inlineStr">
        <is>
          <t>PY</t>
        </is>
      </c>
      <c r="I1206" s="8" t="n">
        <v>13571220</v>
      </c>
      <c r="J1206" s="6" t="inlineStr">
        <is>
          <t>MWh</t>
        </is>
      </c>
      <c r="K1206" s="8" t="n">
        <v>13571220</v>
      </c>
      <c r="L1206" s="6" t="inlineStr">
        <is>
          <t>MWh</t>
        </is>
      </c>
      <c r="M1206" s="6" t="inlineStr">
        <is>
          <t>ANDE</t>
        </is>
      </c>
      <c r="N1206" s="6" t="inlineStr">
        <is>
          <t>OFFICIAL_PRIMARY</t>
        </is>
      </c>
      <c r="O1206" s="9" t="inlineStr">
        <is>
          <t>OFFICIAL_AGGREGATE</t>
        </is>
      </c>
      <c r="P1206" s="8" t="n">
        <v>1</v>
      </c>
      <c r="Q1206" s="8" t="n">
        <v>85</v>
      </c>
      <c r="R1206" s="7" t="inlineStr">
        <is>
          <t>https://www.ande.gov.py/finanzas/2.%20COMPILACION%20ESTADISTICA%202003-2023/ANDE%20-%20Compilacion%20Estadistica%202003-2023.pdf</t>
        </is>
      </c>
      <c r="S1206" s="6" t="inlineStr">
        <is>
          <t>ANDE-03-23</t>
        </is>
      </c>
      <c r="T1206" s="6" t="inlineStr"/>
      <c r="U1206" s="4" t="inlineStr">
        <is>
          <t>2026-09-11 00:05:00</t>
        </is>
      </c>
      <c r="V1206" s="4" t="inlineStr">
        <is>
          <t>Balance electrico ANDE.</t>
        </is>
      </c>
    </row>
    <row r="1207">
      <c r="A1207" s="6" t="inlineStr">
        <is>
          <t>R0001323</t>
        </is>
      </c>
      <c r="B1207" s="6" t="inlineStr">
        <is>
          <t>2015-01-01</t>
        </is>
      </c>
      <c r="C1207" s="6" t="inlineStr">
        <is>
          <t>2015-12-31</t>
        </is>
      </c>
      <c r="D1207" s="6" t="inlineStr">
        <is>
          <t>year</t>
        </is>
      </c>
      <c r="E1207" s="6" t="inlineStr">
        <is>
          <t>PY_GROSS_ENERGY_AVAILABLE</t>
        </is>
      </c>
      <c r="F1207" s="6" t="inlineStr">
        <is>
          <t>PY_SIN</t>
        </is>
      </c>
      <c r="G1207" s="6" t="inlineStr">
        <is>
          <t>PY</t>
        </is>
      </c>
      <c r="H1207" s="6" t="inlineStr">
        <is>
          <t>PY</t>
        </is>
      </c>
      <c r="I1207" s="8" t="n">
        <v>14305410</v>
      </c>
      <c r="J1207" s="6" t="inlineStr">
        <is>
          <t>MWh</t>
        </is>
      </c>
      <c r="K1207" s="8" t="n">
        <v>14305410</v>
      </c>
      <c r="L1207" s="6" t="inlineStr">
        <is>
          <t>MWh</t>
        </is>
      </c>
      <c r="M1207" s="6" t="inlineStr">
        <is>
          <t>ANDE</t>
        </is>
      </c>
      <c r="N1207" s="6" t="inlineStr">
        <is>
          <t>OFFICIAL_PRIMARY</t>
        </is>
      </c>
      <c r="O1207" s="9" t="inlineStr">
        <is>
          <t>OFFICIAL_AGGREGATE</t>
        </is>
      </c>
      <c r="P1207" s="8" t="n">
        <v>1</v>
      </c>
      <c r="Q1207" s="8" t="n">
        <v>85</v>
      </c>
      <c r="R1207" s="7" t="inlineStr">
        <is>
          <t>https://www.ande.gov.py/finanzas/2.%20COMPILACION%20ESTADISTICA%202003-2023/ANDE%20-%20Compilacion%20Estadistica%202003-2023.pdf</t>
        </is>
      </c>
      <c r="S1207" s="6" t="inlineStr">
        <is>
          <t>ANDE-03-23</t>
        </is>
      </c>
      <c r="T1207" s="6" t="inlineStr"/>
      <c r="U1207" s="4" t="inlineStr">
        <is>
          <t>2026-09-11 00:05:00</t>
        </is>
      </c>
      <c r="V1207" s="4" t="inlineStr">
        <is>
          <t>Balance electrico ANDE.</t>
        </is>
      </c>
    </row>
    <row r="1208">
      <c r="A1208" s="6" t="inlineStr">
        <is>
          <t>R0001324</t>
        </is>
      </c>
      <c r="B1208" s="6" t="inlineStr">
        <is>
          <t>2016-01-01</t>
        </is>
      </c>
      <c r="C1208" s="6" t="inlineStr">
        <is>
          <t>2016-12-31</t>
        </is>
      </c>
      <c r="D1208" s="6" t="inlineStr">
        <is>
          <t>year</t>
        </is>
      </c>
      <c r="E1208" s="6" t="inlineStr">
        <is>
          <t>PY_GROSS_ENERGY_AVAILABLE</t>
        </is>
      </c>
      <c r="F1208" s="6" t="inlineStr">
        <is>
          <t>PY_SIN</t>
        </is>
      </c>
      <c r="G1208" s="6" t="inlineStr">
        <is>
          <t>PY</t>
        </is>
      </c>
      <c r="H1208" s="6" t="inlineStr">
        <is>
          <t>PY</t>
        </is>
      </c>
      <c r="I1208" s="8" t="n">
        <v>14977681</v>
      </c>
      <c r="J1208" s="6" t="inlineStr">
        <is>
          <t>MWh</t>
        </is>
      </c>
      <c r="K1208" s="8" t="n">
        <v>14977681</v>
      </c>
      <c r="L1208" s="6" t="inlineStr">
        <is>
          <t>MWh</t>
        </is>
      </c>
      <c r="M1208" s="6" t="inlineStr">
        <is>
          <t>ANDE</t>
        </is>
      </c>
      <c r="N1208" s="6" t="inlineStr">
        <is>
          <t>OFFICIAL_PRIMARY</t>
        </is>
      </c>
      <c r="O1208" s="9" t="inlineStr">
        <is>
          <t>OFFICIAL_AGGREGATE</t>
        </is>
      </c>
      <c r="P1208" s="8" t="n">
        <v>1</v>
      </c>
      <c r="Q1208" s="8" t="n">
        <v>85</v>
      </c>
      <c r="R1208" s="7" t="inlineStr">
        <is>
          <t>https://www.ande.gov.py/finanzas/2.%20COMPILACION%20ESTADISTICA%202003-2023/ANDE%20-%20Compilacion%20Estadistica%202003-2023.pdf</t>
        </is>
      </c>
      <c r="S1208" s="6" t="inlineStr">
        <is>
          <t>ANDE-03-23</t>
        </is>
      </c>
      <c r="T1208" s="6" t="inlineStr"/>
      <c r="U1208" s="4" t="inlineStr">
        <is>
          <t>2026-09-11 00:05:00</t>
        </is>
      </c>
      <c r="V1208" s="4" t="inlineStr">
        <is>
          <t>Balance electrico ANDE.</t>
        </is>
      </c>
    </row>
    <row r="1209">
      <c r="A1209" s="6" t="inlineStr">
        <is>
          <t>R0001325</t>
        </is>
      </c>
      <c r="B1209" s="6" t="inlineStr">
        <is>
          <t>2017-01-01</t>
        </is>
      </c>
      <c r="C1209" s="6" t="inlineStr">
        <is>
          <t>2017-12-31</t>
        </is>
      </c>
      <c r="D1209" s="6" t="inlineStr">
        <is>
          <t>year</t>
        </is>
      </c>
      <c r="E1209" s="6" t="inlineStr">
        <is>
          <t>PY_GROSS_ENERGY_AVAILABLE</t>
        </is>
      </c>
      <c r="F1209" s="6" t="inlineStr">
        <is>
          <t>PY_SIN</t>
        </is>
      </c>
      <c r="G1209" s="6" t="inlineStr">
        <is>
          <t>PY</t>
        </is>
      </c>
      <c r="H1209" s="6" t="inlineStr">
        <is>
          <t>PY</t>
        </is>
      </c>
      <c r="I1209" s="8" t="n">
        <v>15649819</v>
      </c>
      <c r="J1209" s="6" t="inlineStr">
        <is>
          <t>MWh</t>
        </is>
      </c>
      <c r="K1209" s="8" t="n">
        <v>15649819</v>
      </c>
      <c r="L1209" s="6" t="inlineStr">
        <is>
          <t>MWh</t>
        </is>
      </c>
      <c r="M1209" s="6" t="inlineStr">
        <is>
          <t>ANDE</t>
        </is>
      </c>
      <c r="N1209" s="6" t="inlineStr">
        <is>
          <t>OFFICIAL_PRIMARY</t>
        </is>
      </c>
      <c r="O1209" s="9" t="inlineStr">
        <is>
          <t>OFFICIAL_AGGREGATE</t>
        </is>
      </c>
      <c r="P1209" s="8" t="n">
        <v>1</v>
      </c>
      <c r="Q1209" s="8" t="n">
        <v>85</v>
      </c>
      <c r="R1209" s="7" t="inlineStr">
        <is>
          <t>https://www.ande.gov.py/finanzas/2.%20COMPILACION%20ESTADISTICA%202003-2023/ANDE%20-%20Compilacion%20Estadistica%202003-2023.pdf</t>
        </is>
      </c>
      <c r="S1209" s="6" t="inlineStr">
        <is>
          <t>ANDE-03-23</t>
        </is>
      </c>
      <c r="T1209" s="6" t="inlineStr"/>
      <c r="U1209" s="4" t="inlineStr">
        <is>
          <t>2026-09-11 00:05:00</t>
        </is>
      </c>
      <c r="V1209" s="4" t="inlineStr">
        <is>
          <t>Balance electrico ANDE.</t>
        </is>
      </c>
    </row>
    <row r="1210">
      <c r="A1210" s="6" t="inlineStr">
        <is>
          <t>R0001326</t>
        </is>
      </c>
      <c r="B1210" s="6" t="inlineStr">
        <is>
          <t>2018-01-01</t>
        </is>
      </c>
      <c r="C1210" s="6" t="inlineStr">
        <is>
          <t>2018-12-31</t>
        </is>
      </c>
      <c r="D1210" s="6" t="inlineStr">
        <is>
          <t>year</t>
        </is>
      </c>
      <c r="E1210" s="6" t="inlineStr">
        <is>
          <t>PY_GROSS_ENERGY_AVAILABLE</t>
        </is>
      </c>
      <c r="F1210" s="6" t="inlineStr">
        <is>
          <t>PY_SIN</t>
        </is>
      </c>
      <c r="G1210" s="6" t="inlineStr">
        <is>
          <t>PY</t>
        </is>
      </c>
      <c r="H1210" s="6" t="inlineStr">
        <is>
          <t>PY</t>
        </is>
      </c>
      <c r="I1210" s="8" t="n">
        <v>16606035</v>
      </c>
      <c r="J1210" s="6" t="inlineStr">
        <is>
          <t>MWh</t>
        </is>
      </c>
      <c r="K1210" s="8" t="n">
        <v>16606035</v>
      </c>
      <c r="L1210" s="6" t="inlineStr">
        <is>
          <t>MWh</t>
        </is>
      </c>
      <c r="M1210" s="6" t="inlineStr">
        <is>
          <t>ANDE</t>
        </is>
      </c>
      <c r="N1210" s="6" t="inlineStr">
        <is>
          <t>OFFICIAL_PRIMARY</t>
        </is>
      </c>
      <c r="O1210" s="9" t="inlineStr">
        <is>
          <t>OFFICIAL_AGGREGATE</t>
        </is>
      </c>
      <c r="P1210" s="8" t="n">
        <v>1</v>
      </c>
      <c r="Q1210" s="8" t="n">
        <v>85</v>
      </c>
      <c r="R1210" s="7" t="inlineStr">
        <is>
          <t>https://www.ande.gov.py/finanzas/2.%20COMPILACION%20ESTADISTICA%202003-2023/ANDE%20-%20Compilacion%20Estadistica%202003-2023.pdf</t>
        </is>
      </c>
      <c r="S1210" s="6" t="inlineStr">
        <is>
          <t>ANDE-03-23</t>
        </is>
      </c>
      <c r="T1210" s="6" t="inlineStr"/>
      <c r="U1210" s="4" t="inlineStr">
        <is>
          <t>2026-09-11 00:05:00</t>
        </is>
      </c>
      <c r="V1210" s="4" t="inlineStr">
        <is>
          <t>Balance electrico ANDE.</t>
        </is>
      </c>
    </row>
    <row r="1211">
      <c r="A1211" s="6" t="inlineStr">
        <is>
          <t>R0001327</t>
        </is>
      </c>
      <c r="B1211" s="6" t="inlineStr">
        <is>
          <t>2019-01-01</t>
        </is>
      </c>
      <c r="C1211" s="6" t="inlineStr">
        <is>
          <t>2019-12-31</t>
        </is>
      </c>
      <c r="D1211" s="6" t="inlineStr">
        <is>
          <t>year</t>
        </is>
      </c>
      <c r="E1211" s="6" t="inlineStr">
        <is>
          <t>PY_GROSS_ENERGY_AVAILABLE</t>
        </is>
      </c>
      <c r="F1211" s="6" t="inlineStr">
        <is>
          <t>PY_SIN</t>
        </is>
      </c>
      <c r="G1211" s="6" t="inlineStr">
        <is>
          <t>PY</t>
        </is>
      </c>
      <c r="H1211" s="6" t="inlineStr">
        <is>
          <t>PY</t>
        </is>
      </c>
      <c r="I1211" s="8" t="n">
        <v>17451242</v>
      </c>
      <c r="J1211" s="6" t="inlineStr">
        <is>
          <t>MWh</t>
        </is>
      </c>
      <c r="K1211" s="8" t="n">
        <v>17451242</v>
      </c>
      <c r="L1211" s="6" t="inlineStr">
        <is>
          <t>MWh</t>
        </is>
      </c>
      <c r="M1211" s="6" t="inlineStr">
        <is>
          <t>ANDE</t>
        </is>
      </c>
      <c r="N1211" s="6" t="inlineStr">
        <is>
          <t>OFFICIAL_PRIMARY</t>
        </is>
      </c>
      <c r="O1211" s="9" t="inlineStr">
        <is>
          <t>OFFICIAL_AGGREGATE</t>
        </is>
      </c>
      <c r="P1211" s="8" t="n">
        <v>1</v>
      </c>
      <c r="Q1211" s="8" t="n">
        <v>85</v>
      </c>
      <c r="R1211" s="7" t="inlineStr">
        <is>
          <t>https://www.ande.gov.py/finanzas/2.%20COMPILACION%20ESTADISTICA%202003-2023/ANDE%20-%20Compilacion%20Estadistica%202003-2023.pdf</t>
        </is>
      </c>
      <c r="S1211" s="6" t="inlineStr">
        <is>
          <t>ANDE-03-23</t>
        </is>
      </c>
      <c r="T1211" s="6" t="inlineStr"/>
      <c r="U1211" s="4" t="inlineStr">
        <is>
          <t>2026-09-11 00:05:00</t>
        </is>
      </c>
      <c r="V1211" s="4" t="inlineStr">
        <is>
          <t>Balance electrico ANDE.</t>
        </is>
      </c>
    </row>
    <row r="1212">
      <c r="A1212" s="6" t="inlineStr">
        <is>
          <t>R0001328</t>
        </is>
      </c>
      <c r="B1212" s="6" t="inlineStr">
        <is>
          <t>2020-01-01</t>
        </is>
      </c>
      <c r="C1212" s="6" t="inlineStr">
        <is>
          <t>2020-12-31</t>
        </is>
      </c>
      <c r="D1212" s="6" t="inlineStr">
        <is>
          <t>year</t>
        </is>
      </c>
      <c r="E1212" s="6" t="inlineStr">
        <is>
          <t>PY_GROSS_ENERGY_AVAILABLE</t>
        </is>
      </c>
      <c r="F1212" s="6" t="inlineStr">
        <is>
          <t>PY_SIN</t>
        </is>
      </c>
      <c r="G1212" s="6" t="inlineStr">
        <is>
          <t>PY</t>
        </is>
      </c>
      <c r="H1212" s="6" t="inlineStr">
        <is>
          <t>PY</t>
        </is>
      </c>
      <c r="I1212" s="8" t="n">
        <v>18106566</v>
      </c>
      <c r="J1212" s="6" t="inlineStr">
        <is>
          <t>MWh</t>
        </is>
      </c>
      <c r="K1212" s="8" t="n">
        <v>18106566</v>
      </c>
      <c r="L1212" s="6" t="inlineStr">
        <is>
          <t>MWh</t>
        </is>
      </c>
      <c r="M1212" s="6" t="inlineStr">
        <is>
          <t>ANDE</t>
        </is>
      </c>
      <c r="N1212" s="6" t="inlineStr">
        <is>
          <t>OFFICIAL_PRIMARY</t>
        </is>
      </c>
      <c r="O1212" s="9" t="inlineStr">
        <is>
          <t>OFFICIAL_AGGREGATE</t>
        </is>
      </c>
      <c r="P1212" s="8" t="n">
        <v>1</v>
      </c>
      <c r="Q1212" s="8" t="n">
        <v>85</v>
      </c>
      <c r="R1212" s="7" t="inlineStr">
        <is>
          <t>https://www.ande.gov.py/finanzas/2.%20COMPILACION%20ESTADISTICA%202003-2023/ANDE%20-%20Compilacion%20Estadistica%202003-2023.pdf</t>
        </is>
      </c>
      <c r="S1212" s="6" t="inlineStr">
        <is>
          <t>ANDE-03-23</t>
        </is>
      </c>
      <c r="T1212" s="6" t="inlineStr"/>
      <c r="U1212" s="4" t="inlineStr">
        <is>
          <t>2026-09-11 00:05:00</t>
        </is>
      </c>
      <c r="V1212" s="4" t="inlineStr">
        <is>
          <t>Balance electrico ANDE.</t>
        </is>
      </c>
    </row>
    <row r="1213">
      <c r="A1213" s="6" t="inlineStr">
        <is>
          <t>R0001329</t>
        </is>
      </c>
      <c r="B1213" s="6" t="inlineStr">
        <is>
          <t>2021-01-01</t>
        </is>
      </c>
      <c r="C1213" s="6" t="inlineStr">
        <is>
          <t>2021-12-31</t>
        </is>
      </c>
      <c r="D1213" s="6" t="inlineStr">
        <is>
          <t>year</t>
        </is>
      </c>
      <c r="E1213" s="6" t="inlineStr">
        <is>
          <t>PY_GROSS_ENERGY_AVAILABLE</t>
        </is>
      </c>
      <c r="F1213" s="6" t="inlineStr">
        <is>
          <t>PY_SIN</t>
        </is>
      </c>
      <c r="G1213" s="6" t="inlineStr">
        <is>
          <t>PY</t>
        </is>
      </c>
      <c r="H1213" s="6" t="inlineStr">
        <is>
          <t>PY</t>
        </is>
      </c>
      <c r="I1213" s="8" t="n">
        <v>18737224</v>
      </c>
      <c r="J1213" s="6" t="inlineStr">
        <is>
          <t>MWh</t>
        </is>
      </c>
      <c r="K1213" s="8" t="n">
        <v>18737224</v>
      </c>
      <c r="L1213" s="6" t="inlineStr">
        <is>
          <t>MWh</t>
        </is>
      </c>
      <c r="M1213" s="6" t="inlineStr">
        <is>
          <t>ANDE</t>
        </is>
      </c>
      <c r="N1213" s="6" t="inlineStr">
        <is>
          <t>OFFICIAL_PRIMARY</t>
        </is>
      </c>
      <c r="O1213" s="9" t="inlineStr">
        <is>
          <t>OFFICIAL_AGGREGATE</t>
        </is>
      </c>
      <c r="P1213" s="8" t="n">
        <v>1</v>
      </c>
      <c r="Q1213" s="8" t="n">
        <v>85</v>
      </c>
      <c r="R1213" s="7" t="inlineStr">
        <is>
          <t>https://www.ande.gov.py/finanzas/2.%20COMPILACION%20ESTADISTICA%202003-2023/ANDE%20-%20Compilacion%20Estadistica%202003-2023.pdf</t>
        </is>
      </c>
      <c r="S1213" s="6" t="inlineStr">
        <is>
          <t>ANDE-03-23</t>
        </is>
      </c>
      <c r="T1213" s="6" t="inlineStr"/>
      <c r="U1213" s="4" t="inlineStr">
        <is>
          <t>2026-09-11 00:05:00</t>
        </is>
      </c>
      <c r="V1213" s="4" t="inlineStr">
        <is>
          <t>Balance electrico ANDE.</t>
        </is>
      </c>
    </row>
    <row r="1214">
      <c r="A1214" s="6" t="inlineStr">
        <is>
          <t>R0001330</t>
        </is>
      </c>
      <c r="B1214" s="6" t="inlineStr">
        <is>
          <t>2022-01-01</t>
        </is>
      </c>
      <c r="C1214" s="6" t="inlineStr">
        <is>
          <t>2022-12-31</t>
        </is>
      </c>
      <c r="D1214" s="6" t="inlineStr">
        <is>
          <t>year</t>
        </is>
      </c>
      <c r="E1214" s="6" t="inlineStr">
        <is>
          <t>PY_GROSS_ENERGY_AVAILABLE</t>
        </is>
      </c>
      <c r="F1214" s="6" t="inlineStr">
        <is>
          <t>PY_SIN</t>
        </is>
      </c>
      <c r="G1214" s="6" t="inlineStr">
        <is>
          <t>PY</t>
        </is>
      </c>
      <c r="H1214" s="6" t="inlineStr">
        <is>
          <t>PY</t>
        </is>
      </c>
      <c r="I1214" s="8" t="n">
        <v>19745577</v>
      </c>
      <c r="J1214" s="6" t="inlineStr">
        <is>
          <t>MWh</t>
        </is>
      </c>
      <c r="K1214" s="8" t="n">
        <v>19745577</v>
      </c>
      <c r="L1214" s="6" t="inlineStr">
        <is>
          <t>MWh</t>
        </is>
      </c>
      <c r="M1214" s="6" t="inlineStr">
        <is>
          <t>ANDE</t>
        </is>
      </c>
      <c r="N1214" s="6" t="inlineStr">
        <is>
          <t>OFFICIAL_PRIMARY</t>
        </is>
      </c>
      <c r="O1214" s="9" t="inlineStr">
        <is>
          <t>OFFICIAL_AGGREGATE</t>
        </is>
      </c>
      <c r="P1214" s="8" t="n">
        <v>1</v>
      </c>
      <c r="Q1214" s="8" t="n">
        <v>85</v>
      </c>
      <c r="R1214" s="7" t="inlineStr">
        <is>
          <t>https://www.ande.gov.py/finanzas/2.%20COMPILACION%20ESTADISTICA%202003-2023/ANDE%20-%20Compilacion%20Estadistica%202003-2023.pdf</t>
        </is>
      </c>
      <c r="S1214" s="6" t="inlineStr">
        <is>
          <t>ANDE-03-23</t>
        </is>
      </c>
      <c r="T1214" s="6" t="inlineStr"/>
      <c r="U1214" s="4" t="inlineStr">
        <is>
          <t>2026-09-11 00:05:00</t>
        </is>
      </c>
      <c r="V1214" s="4" t="inlineStr">
        <is>
          <t>Balance electrico ANDE.</t>
        </is>
      </c>
    </row>
    <row r="1215">
      <c r="A1215" s="6" t="inlineStr">
        <is>
          <t>R0001331</t>
        </is>
      </c>
      <c r="B1215" s="6" t="inlineStr">
        <is>
          <t>2023-01-01</t>
        </is>
      </c>
      <c r="C1215" s="6" t="inlineStr">
        <is>
          <t>2023-12-31</t>
        </is>
      </c>
      <c r="D1215" s="6" t="inlineStr">
        <is>
          <t>year</t>
        </is>
      </c>
      <c r="E1215" s="6" t="inlineStr">
        <is>
          <t>PY_GROSS_ENERGY_AVAILABLE</t>
        </is>
      </c>
      <c r="F1215" s="6" t="inlineStr">
        <is>
          <t>PY_SIN</t>
        </is>
      </c>
      <c r="G1215" s="6" t="inlineStr">
        <is>
          <t>PY</t>
        </is>
      </c>
      <c r="H1215" s="6" t="inlineStr">
        <is>
          <t>PY</t>
        </is>
      </c>
      <c r="I1215" s="8" t="n">
        <v>22196037</v>
      </c>
      <c r="J1215" s="6" t="inlineStr">
        <is>
          <t>MWh</t>
        </is>
      </c>
      <c r="K1215" s="8" t="n">
        <v>22196037</v>
      </c>
      <c r="L1215" s="6" t="inlineStr">
        <is>
          <t>MWh</t>
        </is>
      </c>
      <c r="M1215" s="6" t="inlineStr">
        <is>
          <t>ANDE</t>
        </is>
      </c>
      <c r="N1215" s="6" t="inlineStr">
        <is>
          <t>OFFICIAL_PRIMARY</t>
        </is>
      </c>
      <c r="O1215" s="9" t="inlineStr">
        <is>
          <t>OFFICIAL_AGGREGATE</t>
        </is>
      </c>
      <c r="P1215" s="8" t="n">
        <v>1</v>
      </c>
      <c r="Q1215" s="8" t="n">
        <v>85</v>
      </c>
      <c r="R1215" s="7" t="inlineStr">
        <is>
          <t>https://www.ande.gov.py/finanzas/2.%20COMPILACION%20ESTADISTICA%202003-2023/ANDE%20-%20Compilacion%20Estadistica%202003-2023.pdf</t>
        </is>
      </c>
      <c r="S1215" s="6" t="inlineStr">
        <is>
          <t>ANDE-03-23</t>
        </is>
      </c>
      <c r="T1215" s="6" t="inlineStr"/>
      <c r="U1215" s="4" t="inlineStr">
        <is>
          <t>2026-09-11 00:05:00</t>
        </is>
      </c>
      <c r="V1215" s="4" t="inlineStr">
        <is>
          <t>Balance electrico ANDE.</t>
        </is>
      </c>
    </row>
    <row r="1216">
      <c r="A1216" s="6" t="inlineStr">
        <is>
          <t>R0001332</t>
        </is>
      </c>
      <c r="B1216" s="6" t="inlineStr">
        <is>
          <t>2003-01-01</t>
        </is>
      </c>
      <c r="C1216" s="6" t="inlineStr">
        <is>
          <t>2003-12-31</t>
        </is>
      </c>
      <c r="D1216" s="6" t="inlineStr">
        <is>
          <t>year</t>
        </is>
      </c>
      <c r="E1216" s="6" t="inlineStr">
        <is>
          <t>PY_ANDE_EXPORT_ENERGY</t>
        </is>
      </c>
      <c r="F1216" s="6" t="inlineStr">
        <is>
          <t>PY_SIN</t>
        </is>
      </c>
      <c r="G1216" s="6" t="inlineStr">
        <is>
          <t>PY</t>
        </is>
      </c>
      <c r="H1216" s="6" t="inlineStr">
        <is>
          <t>EXTERNAL</t>
        </is>
      </c>
      <c r="I1216" s="8" t="n">
        <v>676779</v>
      </c>
      <c r="J1216" s="6" t="inlineStr">
        <is>
          <t>MWh</t>
        </is>
      </c>
      <c r="K1216" s="8" t="n">
        <v>676779</v>
      </c>
      <c r="L1216" s="6" t="inlineStr">
        <is>
          <t>MWh</t>
        </is>
      </c>
      <c r="M1216" s="6" t="inlineStr">
        <is>
          <t>ANDE</t>
        </is>
      </c>
      <c r="N1216" s="6" t="inlineStr">
        <is>
          <t>OFFICIAL_PRIMARY</t>
        </is>
      </c>
      <c r="O1216" s="9" t="inlineStr">
        <is>
          <t>OFFICIAL_AGGREGATE</t>
        </is>
      </c>
      <c r="P1216" s="8" t="n">
        <v>1</v>
      </c>
      <c r="Q1216" s="8" t="n">
        <v>85</v>
      </c>
      <c r="R1216" s="7" t="inlineStr">
        <is>
          <t>https://www.ande.gov.py/finanzas/2.%20COMPILACION%20ESTADISTICA%202003-2023/ANDE%20-%20Compilacion%20Estadistica%202003-2023.pdf</t>
        </is>
      </c>
      <c r="S1216" s="6" t="inlineStr">
        <is>
          <t>ANDE-03-23</t>
        </is>
      </c>
      <c r="T1216" s="6" t="inlineStr"/>
      <c r="U1216" s="4" t="inlineStr">
        <is>
          <t>2026-09-11 00:05:00</t>
        </is>
      </c>
      <c r="V1216" s="4" t="inlineStr">
        <is>
          <t>Balance electrico ANDE.</t>
        </is>
      </c>
    </row>
    <row r="1217">
      <c r="A1217" s="6" t="inlineStr">
        <is>
          <t>R0001333</t>
        </is>
      </c>
      <c r="B1217" s="6" t="inlineStr">
        <is>
          <t>2004-01-01</t>
        </is>
      </c>
      <c r="C1217" s="6" t="inlineStr">
        <is>
          <t>2004-12-31</t>
        </is>
      </c>
      <c r="D1217" s="6" t="inlineStr">
        <is>
          <t>year</t>
        </is>
      </c>
      <c r="E1217" s="6" t="inlineStr">
        <is>
          <t>PY_ANDE_EXPORT_ENERGY</t>
        </is>
      </c>
      <c r="F1217" s="6" t="inlineStr">
        <is>
          <t>PY_SIN</t>
        </is>
      </c>
      <c r="G1217" s="6" t="inlineStr">
        <is>
          <t>PY</t>
        </is>
      </c>
      <c r="H1217" s="6" t="inlineStr">
        <is>
          <t>EXTERNAL</t>
        </is>
      </c>
      <c r="I1217" s="8" t="n">
        <v>869013</v>
      </c>
      <c r="J1217" s="6" t="inlineStr">
        <is>
          <t>MWh</t>
        </is>
      </c>
      <c r="K1217" s="8" t="n">
        <v>869013</v>
      </c>
      <c r="L1217" s="6" t="inlineStr">
        <is>
          <t>MWh</t>
        </is>
      </c>
      <c r="M1217" s="6" t="inlineStr">
        <is>
          <t>ANDE</t>
        </is>
      </c>
      <c r="N1217" s="6" t="inlineStr">
        <is>
          <t>OFFICIAL_PRIMARY</t>
        </is>
      </c>
      <c r="O1217" s="9" t="inlineStr">
        <is>
          <t>OFFICIAL_AGGREGATE</t>
        </is>
      </c>
      <c r="P1217" s="8" t="n">
        <v>1</v>
      </c>
      <c r="Q1217" s="8" t="n">
        <v>85</v>
      </c>
      <c r="R1217" s="7" t="inlineStr">
        <is>
          <t>https://www.ande.gov.py/finanzas/2.%20COMPILACION%20ESTADISTICA%202003-2023/ANDE%20-%20Compilacion%20Estadistica%202003-2023.pdf</t>
        </is>
      </c>
      <c r="S1217" s="6" t="inlineStr">
        <is>
          <t>ANDE-03-23</t>
        </is>
      </c>
      <c r="T1217" s="6" t="inlineStr"/>
      <c r="U1217" s="4" t="inlineStr">
        <is>
          <t>2026-09-11 00:05:00</t>
        </is>
      </c>
      <c r="V1217" s="4" t="inlineStr">
        <is>
          <t>Balance electrico ANDE.</t>
        </is>
      </c>
    </row>
    <row r="1218">
      <c r="A1218" s="6" t="inlineStr">
        <is>
          <t>R0001334</t>
        </is>
      </c>
      <c r="B1218" s="6" t="inlineStr">
        <is>
          <t>2005-01-01</t>
        </is>
      </c>
      <c r="C1218" s="6" t="inlineStr">
        <is>
          <t>2005-12-31</t>
        </is>
      </c>
      <c r="D1218" s="6" t="inlineStr">
        <is>
          <t>year</t>
        </is>
      </c>
      <c r="E1218" s="6" t="inlineStr">
        <is>
          <t>PY_ANDE_EXPORT_ENERGY</t>
        </is>
      </c>
      <c r="F1218" s="6" t="inlineStr">
        <is>
          <t>PY_SIN</t>
        </is>
      </c>
      <c r="G1218" s="6" t="inlineStr">
        <is>
          <t>PY</t>
        </is>
      </c>
      <c r="H1218" s="6" t="inlineStr">
        <is>
          <t>EXTERNAL</t>
        </is>
      </c>
      <c r="I1218" s="8" t="n">
        <v>557794</v>
      </c>
      <c r="J1218" s="6" t="inlineStr">
        <is>
          <t>MWh</t>
        </is>
      </c>
      <c r="K1218" s="8" t="n">
        <v>557794</v>
      </c>
      <c r="L1218" s="6" t="inlineStr">
        <is>
          <t>MWh</t>
        </is>
      </c>
      <c r="M1218" s="6" t="inlineStr">
        <is>
          <t>ANDE</t>
        </is>
      </c>
      <c r="N1218" s="6" t="inlineStr">
        <is>
          <t>OFFICIAL_PRIMARY</t>
        </is>
      </c>
      <c r="O1218" s="9" t="inlineStr">
        <is>
          <t>OFFICIAL_AGGREGATE</t>
        </is>
      </c>
      <c r="P1218" s="8" t="n">
        <v>1</v>
      </c>
      <c r="Q1218" s="8" t="n">
        <v>85</v>
      </c>
      <c r="R1218" s="7" t="inlineStr">
        <is>
          <t>https://www.ande.gov.py/finanzas/2.%20COMPILACION%20ESTADISTICA%202003-2023/ANDE%20-%20Compilacion%20Estadistica%202003-2023.pdf</t>
        </is>
      </c>
      <c r="S1218" s="6" t="inlineStr">
        <is>
          <t>ANDE-03-23</t>
        </is>
      </c>
      <c r="T1218" s="6" t="inlineStr"/>
      <c r="U1218" s="4" t="inlineStr">
        <is>
          <t>2026-09-11 00:05:00</t>
        </is>
      </c>
      <c r="V1218" s="4" t="inlineStr">
        <is>
          <t>Balance electrico ANDE.</t>
        </is>
      </c>
    </row>
    <row r="1219">
      <c r="A1219" s="6" t="inlineStr">
        <is>
          <t>R0001335</t>
        </is>
      </c>
      <c r="B1219" s="6" t="inlineStr">
        <is>
          <t>2006-01-01</t>
        </is>
      </c>
      <c r="C1219" s="6" t="inlineStr">
        <is>
          <t>2006-12-31</t>
        </is>
      </c>
      <c r="D1219" s="6" t="inlineStr">
        <is>
          <t>year</t>
        </is>
      </c>
      <c r="E1219" s="6" t="inlineStr">
        <is>
          <t>PY_ANDE_EXPORT_ENERGY</t>
        </is>
      </c>
      <c r="F1219" s="6" t="inlineStr">
        <is>
          <t>PY_SIN</t>
        </is>
      </c>
      <c r="G1219" s="6" t="inlineStr">
        <is>
          <t>PY</t>
        </is>
      </c>
      <c r="H1219" s="6" t="inlineStr">
        <is>
          <t>EXTERNAL</t>
        </is>
      </c>
      <c r="I1219" s="8" t="n">
        <v>880110</v>
      </c>
      <c r="J1219" s="6" t="inlineStr">
        <is>
          <t>MWh</t>
        </is>
      </c>
      <c r="K1219" s="8" t="n">
        <v>880110</v>
      </c>
      <c r="L1219" s="6" t="inlineStr">
        <is>
          <t>MWh</t>
        </is>
      </c>
      <c r="M1219" s="6" t="inlineStr">
        <is>
          <t>ANDE</t>
        </is>
      </c>
      <c r="N1219" s="6" t="inlineStr">
        <is>
          <t>OFFICIAL_PRIMARY</t>
        </is>
      </c>
      <c r="O1219" s="9" t="inlineStr">
        <is>
          <t>OFFICIAL_AGGREGATE</t>
        </is>
      </c>
      <c r="P1219" s="8" t="n">
        <v>1</v>
      </c>
      <c r="Q1219" s="8" t="n">
        <v>85</v>
      </c>
      <c r="R1219" s="7" t="inlineStr">
        <is>
          <t>https://www.ande.gov.py/finanzas/2.%20COMPILACION%20ESTADISTICA%202003-2023/ANDE%20-%20Compilacion%20Estadistica%202003-2023.pdf</t>
        </is>
      </c>
      <c r="S1219" s="6" t="inlineStr">
        <is>
          <t>ANDE-03-23</t>
        </is>
      </c>
      <c r="T1219" s="6" t="inlineStr"/>
      <c r="U1219" s="4" t="inlineStr">
        <is>
          <t>2026-09-11 00:05:00</t>
        </is>
      </c>
      <c r="V1219" s="4" t="inlineStr">
        <is>
          <t>Balance electrico ANDE.</t>
        </is>
      </c>
    </row>
    <row r="1220">
      <c r="A1220" s="6" t="inlineStr">
        <is>
          <t>R0001336</t>
        </is>
      </c>
      <c r="B1220" s="6" t="inlineStr">
        <is>
          <t>2007-01-01</t>
        </is>
      </c>
      <c r="C1220" s="6" t="inlineStr">
        <is>
          <t>2007-12-31</t>
        </is>
      </c>
      <c r="D1220" s="6" t="inlineStr">
        <is>
          <t>year</t>
        </is>
      </c>
      <c r="E1220" s="6" t="inlineStr">
        <is>
          <t>PY_ANDE_EXPORT_ENERGY</t>
        </is>
      </c>
      <c r="F1220" s="6" t="inlineStr">
        <is>
          <t>PY_SIN</t>
        </is>
      </c>
      <c r="G1220" s="6" t="inlineStr">
        <is>
          <t>PY</t>
        </is>
      </c>
      <c r="H1220" s="6" t="inlineStr">
        <is>
          <t>EXTERNAL</t>
        </is>
      </c>
      <c r="I1220" s="8" t="n">
        <v>752915</v>
      </c>
      <c r="J1220" s="6" t="inlineStr">
        <is>
          <t>MWh</t>
        </is>
      </c>
      <c r="K1220" s="8" t="n">
        <v>752915</v>
      </c>
      <c r="L1220" s="6" t="inlineStr">
        <is>
          <t>MWh</t>
        </is>
      </c>
      <c r="M1220" s="6" t="inlineStr">
        <is>
          <t>ANDE</t>
        </is>
      </c>
      <c r="N1220" s="6" t="inlineStr">
        <is>
          <t>OFFICIAL_PRIMARY</t>
        </is>
      </c>
      <c r="O1220" s="9" t="inlineStr">
        <is>
          <t>OFFICIAL_AGGREGATE</t>
        </is>
      </c>
      <c r="P1220" s="8" t="n">
        <v>1</v>
      </c>
      <c r="Q1220" s="8" t="n">
        <v>85</v>
      </c>
      <c r="R1220" s="7" t="inlineStr">
        <is>
          <t>https://www.ande.gov.py/finanzas/2.%20COMPILACION%20ESTADISTICA%202003-2023/ANDE%20-%20Compilacion%20Estadistica%202003-2023.pdf</t>
        </is>
      </c>
      <c r="S1220" s="6" t="inlineStr">
        <is>
          <t>ANDE-03-23</t>
        </is>
      </c>
      <c r="T1220" s="6" t="inlineStr"/>
      <c r="U1220" s="4" t="inlineStr">
        <is>
          <t>2026-09-11 00:05:00</t>
        </is>
      </c>
      <c r="V1220" s="4" t="inlineStr">
        <is>
          <t>Balance electrico ANDE.</t>
        </is>
      </c>
    </row>
    <row r="1221">
      <c r="A1221" s="6" t="inlineStr">
        <is>
          <t>R0001337</t>
        </is>
      </c>
      <c r="B1221" s="6" t="inlineStr">
        <is>
          <t>2008-01-01</t>
        </is>
      </c>
      <c r="C1221" s="6" t="inlineStr">
        <is>
          <t>2008-12-31</t>
        </is>
      </c>
      <c r="D1221" s="6" t="inlineStr">
        <is>
          <t>year</t>
        </is>
      </c>
      <c r="E1221" s="6" t="inlineStr">
        <is>
          <t>PY_ANDE_EXPORT_ENERGY</t>
        </is>
      </c>
      <c r="F1221" s="6" t="inlineStr">
        <is>
          <t>PY_SIN</t>
        </is>
      </c>
      <c r="G1221" s="6" t="inlineStr">
        <is>
          <t>PY</t>
        </is>
      </c>
      <c r="H1221" s="6" t="inlineStr">
        <is>
          <t>EXTERNAL</t>
        </is>
      </c>
      <c r="I1221" s="8" t="n">
        <v>505675</v>
      </c>
      <c r="J1221" s="6" t="inlineStr">
        <is>
          <t>MWh</t>
        </is>
      </c>
      <c r="K1221" s="8" t="n">
        <v>505675</v>
      </c>
      <c r="L1221" s="6" t="inlineStr">
        <is>
          <t>MWh</t>
        </is>
      </c>
      <c r="M1221" s="6" t="inlineStr">
        <is>
          <t>ANDE</t>
        </is>
      </c>
      <c r="N1221" s="6" t="inlineStr">
        <is>
          <t>OFFICIAL_PRIMARY</t>
        </is>
      </c>
      <c r="O1221" s="9" t="inlineStr">
        <is>
          <t>OFFICIAL_AGGREGATE</t>
        </is>
      </c>
      <c r="P1221" s="8" t="n">
        <v>1</v>
      </c>
      <c r="Q1221" s="8" t="n">
        <v>85</v>
      </c>
      <c r="R1221" s="7" t="inlineStr">
        <is>
          <t>https://www.ande.gov.py/finanzas/2.%20COMPILACION%20ESTADISTICA%202003-2023/ANDE%20-%20Compilacion%20Estadistica%202003-2023.pdf</t>
        </is>
      </c>
      <c r="S1221" s="6" t="inlineStr">
        <is>
          <t>ANDE-03-23</t>
        </is>
      </c>
      <c r="T1221" s="6" t="inlineStr"/>
      <c r="U1221" s="4" t="inlineStr">
        <is>
          <t>2026-09-11 00:05:00</t>
        </is>
      </c>
      <c r="V1221" s="4" t="inlineStr">
        <is>
          <t>Balance electrico ANDE.</t>
        </is>
      </c>
    </row>
    <row r="1222">
      <c r="A1222" s="6" t="inlineStr">
        <is>
          <t>R0001338</t>
        </is>
      </c>
      <c r="B1222" s="6" t="inlineStr">
        <is>
          <t>2009-01-01</t>
        </is>
      </c>
      <c r="C1222" s="6" t="inlineStr">
        <is>
          <t>2009-12-31</t>
        </is>
      </c>
      <c r="D1222" s="6" t="inlineStr">
        <is>
          <t>year</t>
        </is>
      </c>
      <c r="E1222" s="6" t="inlineStr">
        <is>
          <t>PY_ANDE_EXPORT_ENERGY</t>
        </is>
      </c>
      <c r="F1222" s="6" t="inlineStr">
        <is>
          <t>PY_SIN</t>
        </is>
      </c>
      <c r="G1222" s="6" t="inlineStr">
        <is>
          <t>PY</t>
        </is>
      </c>
      <c r="H1222" s="6" t="inlineStr">
        <is>
          <t>EXTERNAL</t>
        </is>
      </c>
      <c r="I1222" s="8" t="n">
        <v>588733</v>
      </c>
      <c r="J1222" s="6" t="inlineStr">
        <is>
          <t>MWh</t>
        </is>
      </c>
      <c r="K1222" s="8" t="n">
        <v>588733</v>
      </c>
      <c r="L1222" s="6" t="inlineStr">
        <is>
          <t>MWh</t>
        </is>
      </c>
      <c r="M1222" s="6" t="inlineStr">
        <is>
          <t>ANDE</t>
        </is>
      </c>
      <c r="N1222" s="6" t="inlineStr">
        <is>
          <t>OFFICIAL_PRIMARY</t>
        </is>
      </c>
      <c r="O1222" s="9" t="inlineStr">
        <is>
          <t>OFFICIAL_AGGREGATE</t>
        </is>
      </c>
      <c r="P1222" s="8" t="n">
        <v>1</v>
      </c>
      <c r="Q1222" s="8" t="n">
        <v>85</v>
      </c>
      <c r="R1222" s="7" t="inlineStr">
        <is>
          <t>https://www.ande.gov.py/finanzas/2.%20COMPILACION%20ESTADISTICA%202003-2023/ANDE%20-%20Compilacion%20Estadistica%202003-2023.pdf</t>
        </is>
      </c>
      <c r="S1222" s="6" t="inlineStr">
        <is>
          <t>ANDE-03-23</t>
        </is>
      </c>
      <c r="T1222" s="6" t="inlineStr"/>
      <c r="U1222" s="4" t="inlineStr">
        <is>
          <t>2026-09-11 00:05:00</t>
        </is>
      </c>
      <c r="V1222" s="4" t="inlineStr">
        <is>
          <t>Balance electrico ANDE.</t>
        </is>
      </c>
    </row>
    <row r="1223">
      <c r="A1223" s="6" t="inlineStr">
        <is>
          <t>R0001339</t>
        </is>
      </c>
      <c r="B1223" s="6" t="inlineStr">
        <is>
          <t>2010-01-01</t>
        </is>
      </c>
      <c r="C1223" s="6" t="inlineStr">
        <is>
          <t>2010-12-31</t>
        </is>
      </c>
      <c r="D1223" s="6" t="inlineStr">
        <is>
          <t>year</t>
        </is>
      </c>
      <c r="E1223" s="6" t="inlineStr">
        <is>
          <t>PY_ANDE_EXPORT_ENERGY</t>
        </is>
      </c>
      <c r="F1223" s="6" t="inlineStr">
        <is>
          <t>PY_SIN</t>
        </is>
      </c>
      <c r="G1223" s="6" t="inlineStr">
        <is>
          <t>PY</t>
        </is>
      </c>
      <c r="H1223" s="6" t="inlineStr">
        <is>
          <t>EXTERNAL</t>
        </is>
      </c>
      <c r="I1223" s="8" t="n">
        <v>490547</v>
      </c>
      <c r="J1223" s="6" t="inlineStr">
        <is>
          <t>MWh</t>
        </is>
      </c>
      <c r="K1223" s="8" t="n">
        <v>490547</v>
      </c>
      <c r="L1223" s="6" t="inlineStr">
        <is>
          <t>MWh</t>
        </is>
      </c>
      <c r="M1223" s="6" t="inlineStr">
        <is>
          <t>ANDE</t>
        </is>
      </c>
      <c r="N1223" s="6" t="inlineStr">
        <is>
          <t>OFFICIAL_PRIMARY</t>
        </is>
      </c>
      <c r="O1223" s="9" t="inlineStr">
        <is>
          <t>OFFICIAL_AGGREGATE</t>
        </is>
      </c>
      <c r="P1223" s="8" t="n">
        <v>1</v>
      </c>
      <c r="Q1223" s="8" t="n">
        <v>85</v>
      </c>
      <c r="R1223" s="7" t="inlineStr">
        <is>
          <t>https://www.ande.gov.py/finanzas/2.%20COMPILACION%20ESTADISTICA%202003-2023/ANDE%20-%20Compilacion%20Estadistica%202003-2023.pdf</t>
        </is>
      </c>
      <c r="S1223" s="6" t="inlineStr">
        <is>
          <t>ANDE-03-23</t>
        </is>
      </c>
      <c r="T1223" s="6" t="inlineStr"/>
      <c r="U1223" s="4" t="inlineStr">
        <is>
          <t>2026-09-11 00:05:00</t>
        </is>
      </c>
      <c r="V1223" s="4" t="inlineStr">
        <is>
          <t>Balance electrico ANDE.</t>
        </is>
      </c>
    </row>
    <row r="1224">
      <c r="A1224" s="6" t="inlineStr">
        <is>
          <t>R0001340</t>
        </is>
      </c>
      <c r="B1224" s="6" t="inlineStr">
        <is>
          <t>2011-01-01</t>
        </is>
      </c>
      <c r="C1224" s="6" t="inlineStr">
        <is>
          <t>2011-12-31</t>
        </is>
      </c>
      <c r="D1224" s="6" t="inlineStr">
        <is>
          <t>year</t>
        </is>
      </c>
      <c r="E1224" s="6" t="inlineStr">
        <is>
          <t>PY_ANDE_EXPORT_ENERGY</t>
        </is>
      </c>
      <c r="F1224" s="6" t="inlineStr">
        <is>
          <t>PY_SIN</t>
        </is>
      </c>
      <c r="G1224" s="6" t="inlineStr">
        <is>
          <t>PY</t>
        </is>
      </c>
      <c r="H1224" s="6" t="inlineStr">
        <is>
          <t>EXTERNAL</t>
        </is>
      </c>
      <c r="I1224" s="8" t="n">
        <v>140788</v>
      </c>
      <c r="J1224" s="6" t="inlineStr">
        <is>
          <t>MWh</t>
        </is>
      </c>
      <c r="K1224" s="8" t="n">
        <v>140788</v>
      </c>
      <c r="L1224" s="6" t="inlineStr">
        <is>
          <t>MWh</t>
        </is>
      </c>
      <c r="M1224" s="6" t="inlineStr">
        <is>
          <t>ANDE</t>
        </is>
      </c>
      <c r="N1224" s="6" t="inlineStr">
        <is>
          <t>OFFICIAL_PRIMARY</t>
        </is>
      </c>
      <c r="O1224" s="9" t="inlineStr">
        <is>
          <t>OFFICIAL_AGGREGATE</t>
        </is>
      </c>
      <c r="P1224" s="8" t="n">
        <v>1</v>
      </c>
      <c r="Q1224" s="8" t="n">
        <v>85</v>
      </c>
      <c r="R1224" s="7" t="inlineStr">
        <is>
          <t>https://www.ande.gov.py/finanzas/2.%20COMPILACION%20ESTADISTICA%202003-2023/ANDE%20-%20Compilacion%20Estadistica%202003-2023.pdf</t>
        </is>
      </c>
      <c r="S1224" s="6" t="inlineStr">
        <is>
          <t>ANDE-03-23</t>
        </is>
      </c>
      <c r="T1224" s="6" t="inlineStr"/>
      <c r="U1224" s="4" t="inlineStr">
        <is>
          <t>2026-09-11 00:05:00</t>
        </is>
      </c>
      <c r="V1224" s="4" t="inlineStr">
        <is>
          <t>Balance electrico ANDE.</t>
        </is>
      </c>
    </row>
    <row r="1225">
      <c r="A1225" s="6" t="inlineStr">
        <is>
          <t>R0001341</t>
        </is>
      </c>
      <c r="B1225" s="6" t="inlineStr">
        <is>
          <t>2012-01-01</t>
        </is>
      </c>
      <c r="C1225" s="6" t="inlineStr">
        <is>
          <t>2012-12-31</t>
        </is>
      </c>
      <c r="D1225" s="6" t="inlineStr">
        <is>
          <t>year</t>
        </is>
      </c>
      <c r="E1225" s="6" t="inlineStr">
        <is>
          <t>PY_ANDE_EXPORT_ENERGY</t>
        </is>
      </c>
      <c r="F1225" s="6" t="inlineStr">
        <is>
          <t>PY_SIN</t>
        </is>
      </c>
      <c r="G1225" s="6" t="inlineStr">
        <is>
          <t>PY</t>
        </is>
      </c>
      <c r="H1225" s="6" t="inlineStr">
        <is>
          <t>EXTERNAL</t>
        </is>
      </c>
      <c r="I1225" s="8" t="n">
        <v>155818</v>
      </c>
      <c r="J1225" s="6" t="inlineStr">
        <is>
          <t>MWh</t>
        </is>
      </c>
      <c r="K1225" s="8" t="n">
        <v>155818</v>
      </c>
      <c r="L1225" s="6" t="inlineStr">
        <is>
          <t>MWh</t>
        </is>
      </c>
      <c r="M1225" s="6" t="inlineStr">
        <is>
          <t>ANDE</t>
        </is>
      </c>
      <c r="N1225" s="6" t="inlineStr">
        <is>
          <t>OFFICIAL_PRIMARY</t>
        </is>
      </c>
      <c r="O1225" s="9" t="inlineStr">
        <is>
          <t>OFFICIAL_AGGREGATE</t>
        </is>
      </c>
      <c r="P1225" s="8" t="n">
        <v>1</v>
      </c>
      <c r="Q1225" s="8" t="n">
        <v>85</v>
      </c>
      <c r="R1225" s="7" t="inlineStr">
        <is>
          <t>https://www.ande.gov.py/finanzas/2.%20COMPILACION%20ESTADISTICA%202003-2023/ANDE%20-%20Compilacion%20Estadistica%202003-2023.pdf</t>
        </is>
      </c>
      <c r="S1225" s="6" t="inlineStr">
        <is>
          <t>ANDE-03-23</t>
        </is>
      </c>
      <c r="T1225" s="6" t="inlineStr"/>
      <c r="U1225" s="4" t="inlineStr">
        <is>
          <t>2026-09-11 00:05:00</t>
        </is>
      </c>
      <c r="V1225" s="4" t="inlineStr">
        <is>
          <t>Balance electrico ANDE.</t>
        </is>
      </c>
    </row>
    <row r="1226">
      <c r="A1226" s="6" t="inlineStr">
        <is>
          <t>R0001342</t>
        </is>
      </c>
      <c r="B1226" s="6" t="inlineStr">
        <is>
          <t>2013-01-01</t>
        </is>
      </c>
      <c r="C1226" s="6" t="inlineStr">
        <is>
          <t>2013-12-31</t>
        </is>
      </c>
      <c r="D1226" s="6" t="inlineStr">
        <is>
          <t>year</t>
        </is>
      </c>
      <c r="E1226" s="6" t="inlineStr">
        <is>
          <t>PY_ANDE_EXPORT_ENERGY</t>
        </is>
      </c>
      <c r="F1226" s="6" t="inlineStr">
        <is>
          <t>PY_SIN</t>
        </is>
      </c>
      <c r="G1226" s="6" t="inlineStr">
        <is>
          <t>PY</t>
        </is>
      </c>
      <c r="H1226" s="6" t="inlineStr">
        <is>
          <t>EXTERNAL</t>
        </is>
      </c>
      <c r="I1226" s="8" t="n">
        <v>139541</v>
      </c>
      <c r="J1226" s="6" t="inlineStr">
        <is>
          <t>MWh</t>
        </is>
      </c>
      <c r="K1226" s="8" t="n">
        <v>139541</v>
      </c>
      <c r="L1226" s="6" t="inlineStr">
        <is>
          <t>MWh</t>
        </is>
      </c>
      <c r="M1226" s="6" t="inlineStr">
        <is>
          <t>ANDE</t>
        </is>
      </c>
      <c r="N1226" s="6" t="inlineStr">
        <is>
          <t>OFFICIAL_PRIMARY</t>
        </is>
      </c>
      <c r="O1226" s="9" t="inlineStr">
        <is>
          <t>OFFICIAL_AGGREGATE</t>
        </is>
      </c>
      <c r="P1226" s="8" t="n">
        <v>1</v>
      </c>
      <c r="Q1226" s="8" t="n">
        <v>85</v>
      </c>
      <c r="R1226" s="7" t="inlineStr">
        <is>
          <t>https://www.ande.gov.py/finanzas/2.%20COMPILACION%20ESTADISTICA%202003-2023/ANDE%20-%20Compilacion%20Estadistica%202003-2023.pdf</t>
        </is>
      </c>
      <c r="S1226" s="6" t="inlineStr">
        <is>
          <t>ANDE-03-23</t>
        </is>
      </c>
      <c r="T1226" s="6" t="inlineStr"/>
      <c r="U1226" s="4" t="inlineStr">
        <is>
          <t>2026-09-11 00:05:00</t>
        </is>
      </c>
      <c r="V1226" s="4" t="inlineStr">
        <is>
          <t>Balance electrico ANDE.</t>
        </is>
      </c>
    </row>
    <row r="1227">
      <c r="A1227" s="6" t="inlineStr">
        <is>
          <t>R0001343</t>
        </is>
      </c>
      <c r="B1227" s="6" t="inlineStr">
        <is>
          <t>2014-01-01</t>
        </is>
      </c>
      <c r="C1227" s="6" t="inlineStr">
        <is>
          <t>2014-12-31</t>
        </is>
      </c>
      <c r="D1227" s="6" t="inlineStr">
        <is>
          <t>year</t>
        </is>
      </c>
      <c r="E1227" s="6" t="inlineStr">
        <is>
          <t>PY_ANDE_EXPORT_ENERGY</t>
        </is>
      </c>
      <c r="F1227" s="6" t="inlineStr">
        <is>
          <t>PY_SIN</t>
        </is>
      </c>
      <c r="G1227" s="6" t="inlineStr">
        <is>
          <t>PY</t>
        </is>
      </c>
      <c r="H1227" s="6" t="inlineStr">
        <is>
          <t>EXTERNAL</t>
        </is>
      </c>
      <c r="I1227" s="8" t="n">
        <v>119843</v>
      </c>
      <c r="J1227" s="6" t="inlineStr">
        <is>
          <t>MWh</t>
        </is>
      </c>
      <c r="K1227" s="8" t="n">
        <v>119843</v>
      </c>
      <c r="L1227" s="6" t="inlineStr">
        <is>
          <t>MWh</t>
        </is>
      </c>
      <c r="M1227" s="6" t="inlineStr">
        <is>
          <t>ANDE</t>
        </is>
      </c>
      <c r="N1227" s="6" t="inlineStr">
        <is>
          <t>OFFICIAL_PRIMARY</t>
        </is>
      </c>
      <c r="O1227" s="9" t="inlineStr">
        <is>
          <t>OFFICIAL_AGGREGATE</t>
        </is>
      </c>
      <c r="P1227" s="8" t="n">
        <v>1</v>
      </c>
      <c r="Q1227" s="8" t="n">
        <v>85</v>
      </c>
      <c r="R1227" s="7" t="inlineStr">
        <is>
          <t>https://www.ande.gov.py/finanzas/2.%20COMPILACION%20ESTADISTICA%202003-2023/ANDE%20-%20Compilacion%20Estadistica%202003-2023.pdf</t>
        </is>
      </c>
      <c r="S1227" s="6" t="inlineStr">
        <is>
          <t>ANDE-03-23</t>
        </is>
      </c>
      <c r="T1227" s="6" t="inlineStr"/>
      <c r="U1227" s="4" t="inlineStr">
        <is>
          <t>2026-09-11 00:05:00</t>
        </is>
      </c>
      <c r="V1227" s="4" t="inlineStr">
        <is>
          <t>Balance electrico ANDE.</t>
        </is>
      </c>
    </row>
    <row r="1228">
      <c r="A1228" s="6" t="inlineStr">
        <is>
          <t>R0001344</t>
        </is>
      </c>
      <c r="B1228" s="6" t="inlineStr">
        <is>
          <t>2015-01-01</t>
        </is>
      </c>
      <c r="C1228" s="6" t="inlineStr">
        <is>
          <t>2015-12-31</t>
        </is>
      </c>
      <c r="D1228" s="6" t="inlineStr">
        <is>
          <t>year</t>
        </is>
      </c>
      <c r="E1228" s="6" t="inlineStr">
        <is>
          <t>PY_ANDE_EXPORT_ENERGY</t>
        </is>
      </c>
      <c r="F1228" s="6" t="inlineStr">
        <is>
          <t>PY_SIN</t>
        </is>
      </c>
      <c r="G1228" s="6" t="inlineStr">
        <is>
          <t>PY</t>
        </is>
      </c>
      <c r="H1228" s="6" t="inlineStr">
        <is>
          <t>EXTERNAL</t>
        </is>
      </c>
      <c r="I1228" s="8" t="n">
        <v>117510</v>
      </c>
      <c r="J1228" s="6" t="inlineStr">
        <is>
          <t>MWh</t>
        </is>
      </c>
      <c r="K1228" s="8" t="n">
        <v>117510</v>
      </c>
      <c r="L1228" s="6" t="inlineStr">
        <is>
          <t>MWh</t>
        </is>
      </c>
      <c r="M1228" s="6" t="inlineStr">
        <is>
          <t>ANDE</t>
        </is>
      </c>
      <c r="N1228" s="6" t="inlineStr">
        <is>
          <t>OFFICIAL_PRIMARY</t>
        </is>
      </c>
      <c r="O1228" s="9" t="inlineStr">
        <is>
          <t>OFFICIAL_AGGREGATE</t>
        </is>
      </c>
      <c r="P1228" s="8" t="n">
        <v>1</v>
      </c>
      <c r="Q1228" s="8" t="n">
        <v>85</v>
      </c>
      <c r="R1228" s="7" t="inlineStr">
        <is>
          <t>https://www.ande.gov.py/finanzas/2.%20COMPILACION%20ESTADISTICA%202003-2023/ANDE%20-%20Compilacion%20Estadistica%202003-2023.pdf</t>
        </is>
      </c>
      <c r="S1228" s="6" t="inlineStr">
        <is>
          <t>ANDE-03-23</t>
        </is>
      </c>
      <c r="T1228" s="6" t="inlineStr"/>
      <c r="U1228" s="4" t="inlineStr">
        <is>
          <t>2026-09-11 00:05:00</t>
        </is>
      </c>
      <c r="V1228" s="4" t="inlineStr">
        <is>
          <t>Balance electrico ANDE.</t>
        </is>
      </c>
    </row>
    <row r="1229">
      <c r="A1229" s="6" t="inlineStr">
        <is>
          <t>R0001345</t>
        </is>
      </c>
      <c r="B1229" s="6" t="inlineStr">
        <is>
          <t>2016-01-01</t>
        </is>
      </c>
      <c r="C1229" s="6" t="inlineStr">
        <is>
          <t>2016-12-31</t>
        </is>
      </c>
      <c r="D1229" s="6" t="inlineStr">
        <is>
          <t>year</t>
        </is>
      </c>
      <c r="E1229" s="6" t="inlineStr">
        <is>
          <t>PY_ANDE_EXPORT_ENERGY</t>
        </is>
      </c>
      <c r="F1229" s="6" t="inlineStr">
        <is>
          <t>PY_SIN</t>
        </is>
      </c>
      <c r="G1229" s="6" t="inlineStr">
        <is>
          <t>PY</t>
        </is>
      </c>
      <c r="H1229" s="6" t="inlineStr">
        <is>
          <t>EXTERNAL</t>
        </is>
      </c>
      <c r="I1229" s="8" t="n">
        <v>128339</v>
      </c>
      <c r="J1229" s="6" t="inlineStr">
        <is>
          <t>MWh</t>
        </is>
      </c>
      <c r="K1229" s="8" t="n">
        <v>128339</v>
      </c>
      <c r="L1229" s="6" t="inlineStr">
        <is>
          <t>MWh</t>
        </is>
      </c>
      <c r="M1229" s="6" t="inlineStr">
        <is>
          <t>ANDE</t>
        </is>
      </c>
      <c r="N1229" s="6" t="inlineStr">
        <is>
          <t>OFFICIAL_PRIMARY</t>
        </is>
      </c>
      <c r="O1229" s="9" t="inlineStr">
        <is>
          <t>OFFICIAL_AGGREGATE</t>
        </is>
      </c>
      <c r="P1229" s="8" t="n">
        <v>1</v>
      </c>
      <c r="Q1229" s="8" t="n">
        <v>85</v>
      </c>
      <c r="R1229" s="7" t="inlineStr">
        <is>
          <t>https://www.ande.gov.py/finanzas/2.%20COMPILACION%20ESTADISTICA%202003-2023/ANDE%20-%20Compilacion%20Estadistica%202003-2023.pdf</t>
        </is>
      </c>
      <c r="S1229" s="6" t="inlineStr">
        <is>
          <t>ANDE-03-23</t>
        </is>
      </c>
      <c r="T1229" s="6" t="inlineStr"/>
      <c r="U1229" s="4" t="inlineStr">
        <is>
          <t>2026-09-11 00:05:00</t>
        </is>
      </c>
      <c r="V1229" s="4" t="inlineStr">
        <is>
          <t>Balance electrico ANDE.</t>
        </is>
      </c>
    </row>
    <row r="1230">
      <c r="A1230" s="6" t="inlineStr">
        <is>
          <t>R0001346</t>
        </is>
      </c>
      <c r="B1230" s="6" t="inlineStr">
        <is>
          <t>2017-01-01</t>
        </is>
      </c>
      <c r="C1230" s="6" t="inlineStr">
        <is>
          <t>2017-12-31</t>
        </is>
      </c>
      <c r="D1230" s="6" t="inlineStr">
        <is>
          <t>year</t>
        </is>
      </c>
      <c r="E1230" s="6" t="inlineStr">
        <is>
          <t>PY_ANDE_EXPORT_ENERGY</t>
        </is>
      </c>
      <c r="F1230" s="6" t="inlineStr">
        <is>
          <t>PY_SIN</t>
        </is>
      </c>
      <c r="G1230" s="6" t="inlineStr">
        <is>
          <t>PY</t>
        </is>
      </c>
      <c r="H1230" s="6" t="inlineStr">
        <is>
          <t>EXTERNAL</t>
        </is>
      </c>
      <c r="I1230" s="8" t="n">
        <v>73186</v>
      </c>
      <c r="J1230" s="6" t="inlineStr">
        <is>
          <t>MWh</t>
        </is>
      </c>
      <c r="K1230" s="8" t="n">
        <v>73186</v>
      </c>
      <c r="L1230" s="6" t="inlineStr">
        <is>
          <t>MWh</t>
        </is>
      </c>
      <c r="M1230" s="6" t="inlineStr">
        <is>
          <t>ANDE</t>
        </is>
      </c>
      <c r="N1230" s="6" t="inlineStr">
        <is>
          <t>OFFICIAL_PRIMARY</t>
        </is>
      </c>
      <c r="O1230" s="9" t="inlineStr">
        <is>
          <t>OFFICIAL_AGGREGATE</t>
        </is>
      </c>
      <c r="P1230" s="8" t="n">
        <v>1</v>
      </c>
      <c r="Q1230" s="8" t="n">
        <v>85</v>
      </c>
      <c r="R1230" s="7" t="inlineStr">
        <is>
          <t>https://www.ande.gov.py/finanzas/2.%20COMPILACION%20ESTADISTICA%202003-2023/ANDE%20-%20Compilacion%20Estadistica%202003-2023.pdf</t>
        </is>
      </c>
      <c r="S1230" s="6" t="inlineStr">
        <is>
          <t>ANDE-03-23</t>
        </is>
      </c>
      <c r="T1230" s="6" t="inlineStr"/>
      <c r="U1230" s="4" t="inlineStr">
        <is>
          <t>2026-09-11 00:05:00</t>
        </is>
      </c>
      <c r="V1230" s="4" t="inlineStr">
        <is>
          <t>Balance electrico ANDE.</t>
        </is>
      </c>
    </row>
    <row r="1231">
      <c r="A1231" s="6" t="inlineStr">
        <is>
          <t>R0001347</t>
        </is>
      </c>
      <c r="B1231" s="6" t="inlineStr">
        <is>
          <t>2018-01-01</t>
        </is>
      </c>
      <c r="C1231" s="6" t="inlineStr">
        <is>
          <t>2018-12-31</t>
        </is>
      </c>
      <c r="D1231" s="6" t="inlineStr">
        <is>
          <t>year</t>
        </is>
      </c>
      <c r="E1231" s="6" t="inlineStr">
        <is>
          <t>PY_ANDE_EXPORT_ENERGY</t>
        </is>
      </c>
      <c r="F1231" s="6" t="inlineStr">
        <is>
          <t>PY_SIN</t>
        </is>
      </c>
      <c r="G1231" s="6" t="inlineStr">
        <is>
          <t>PY</t>
        </is>
      </c>
      <c r="H1231" s="6" t="inlineStr">
        <is>
          <t>EXTERNAL</t>
        </is>
      </c>
      <c r="I1231" s="8" t="n">
        <v>27066</v>
      </c>
      <c r="J1231" s="6" t="inlineStr">
        <is>
          <t>MWh</t>
        </is>
      </c>
      <c r="K1231" s="8" t="n">
        <v>27066</v>
      </c>
      <c r="L1231" s="6" t="inlineStr">
        <is>
          <t>MWh</t>
        </is>
      </c>
      <c r="M1231" s="6" t="inlineStr">
        <is>
          <t>ANDE</t>
        </is>
      </c>
      <c r="N1231" s="6" t="inlineStr">
        <is>
          <t>OFFICIAL_PRIMARY</t>
        </is>
      </c>
      <c r="O1231" s="9" t="inlineStr">
        <is>
          <t>OFFICIAL_AGGREGATE</t>
        </is>
      </c>
      <c r="P1231" s="8" t="n">
        <v>1</v>
      </c>
      <c r="Q1231" s="8" t="n">
        <v>85</v>
      </c>
      <c r="R1231" s="7" t="inlineStr">
        <is>
          <t>https://www.ande.gov.py/finanzas/2.%20COMPILACION%20ESTADISTICA%202003-2023/ANDE%20-%20Compilacion%20Estadistica%202003-2023.pdf</t>
        </is>
      </c>
      <c r="S1231" s="6" t="inlineStr">
        <is>
          <t>ANDE-03-23</t>
        </is>
      </c>
      <c r="T1231" s="6" t="inlineStr"/>
      <c r="U1231" s="4" t="inlineStr">
        <is>
          <t>2026-09-11 00:05:00</t>
        </is>
      </c>
      <c r="V1231" s="4" t="inlineStr">
        <is>
          <t>Balance electrico ANDE.</t>
        </is>
      </c>
    </row>
    <row r="1232">
      <c r="A1232" s="6" t="inlineStr">
        <is>
          <t>R0001348</t>
        </is>
      </c>
      <c r="B1232" s="6" t="inlineStr">
        <is>
          <t>2019-01-01</t>
        </is>
      </c>
      <c r="C1232" s="6" t="inlineStr">
        <is>
          <t>2019-12-31</t>
        </is>
      </c>
      <c r="D1232" s="6" t="inlineStr">
        <is>
          <t>year</t>
        </is>
      </c>
      <c r="E1232" s="6" t="inlineStr">
        <is>
          <t>PY_ANDE_EXPORT_ENERGY</t>
        </is>
      </c>
      <c r="F1232" s="6" t="inlineStr">
        <is>
          <t>PY_SIN</t>
        </is>
      </c>
      <c r="G1232" s="6" t="inlineStr">
        <is>
          <t>PY</t>
        </is>
      </c>
      <c r="H1232" s="6" t="inlineStr">
        <is>
          <t>EXTERNAL</t>
        </is>
      </c>
      <c r="I1232" s="8" t="n">
        <v>130325</v>
      </c>
      <c r="J1232" s="6" t="inlineStr">
        <is>
          <t>MWh</t>
        </is>
      </c>
      <c r="K1232" s="8" t="n">
        <v>130325</v>
      </c>
      <c r="L1232" s="6" t="inlineStr">
        <is>
          <t>MWh</t>
        </is>
      </c>
      <c r="M1232" s="6" t="inlineStr">
        <is>
          <t>ANDE</t>
        </is>
      </c>
      <c r="N1232" s="6" t="inlineStr">
        <is>
          <t>OFFICIAL_PRIMARY</t>
        </is>
      </c>
      <c r="O1232" s="9" t="inlineStr">
        <is>
          <t>OFFICIAL_AGGREGATE</t>
        </is>
      </c>
      <c r="P1232" s="8" t="n">
        <v>1</v>
      </c>
      <c r="Q1232" s="8" t="n">
        <v>85</v>
      </c>
      <c r="R1232" s="7" t="inlineStr">
        <is>
          <t>https://www.ande.gov.py/finanzas/2.%20COMPILACION%20ESTADISTICA%202003-2023/ANDE%20-%20Compilacion%20Estadistica%202003-2023.pdf</t>
        </is>
      </c>
      <c r="S1232" s="6" t="inlineStr">
        <is>
          <t>ANDE-03-23</t>
        </is>
      </c>
      <c r="T1232" s="6" t="inlineStr"/>
      <c r="U1232" s="4" t="inlineStr">
        <is>
          <t>2026-09-11 00:05:00</t>
        </is>
      </c>
      <c r="V1232" s="4" t="inlineStr">
        <is>
          <t>Balance electrico ANDE.</t>
        </is>
      </c>
    </row>
    <row r="1233">
      <c r="A1233" s="6" t="inlineStr">
        <is>
          <t>R0001349</t>
        </is>
      </c>
      <c r="B1233" s="6" t="inlineStr">
        <is>
          <t>2020-01-01</t>
        </is>
      </c>
      <c r="C1233" s="6" t="inlineStr">
        <is>
          <t>2020-12-31</t>
        </is>
      </c>
      <c r="D1233" s="6" t="inlineStr">
        <is>
          <t>year</t>
        </is>
      </c>
      <c r="E1233" s="6" t="inlineStr">
        <is>
          <t>PY_ANDE_EXPORT_ENERGY</t>
        </is>
      </c>
      <c r="F1233" s="6" t="inlineStr">
        <is>
          <t>PY_SIN</t>
        </is>
      </c>
      <c r="G1233" s="6" t="inlineStr">
        <is>
          <t>PY</t>
        </is>
      </c>
      <c r="H1233" s="6" t="inlineStr">
        <is>
          <t>EXTERNAL</t>
        </is>
      </c>
      <c r="I1233" s="8" t="n">
        <v>149152</v>
      </c>
      <c r="J1233" s="6" t="inlineStr">
        <is>
          <t>MWh</t>
        </is>
      </c>
      <c r="K1233" s="8" t="n">
        <v>149152</v>
      </c>
      <c r="L1233" s="6" t="inlineStr">
        <is>
          <t>MWh</t>
        </is>
      </c>
      <c r="M1233" s="6" t="inlineStr">
        <is>
          <t>ANDE</t>
        </is>
      </c>
      <c r="N1233" s="6" t="inlineStr">
        <is>
          <t>OFFICIAL_PRIMARY</t>
        </is>
      </c>
      <c r="O1233" s="9" t="inlineStr">
        <is>
          <t>OFFICIAL_AGGREGATE</t>
        </is>
      </c>
      <c r="P1233" s="8" t="n">
        <v>1</v>
      </c>
      <c r="Q1233" s="8" t="n">
        <v>85</v>
      </c>
      <c r="R1233" s="7" t="inlineStr">
        <is>
          <t>https://www.ande.gov.py/finanzas/2.%20COMPILACION%20ESTADISTICA%202003-2023/ANDE%20-%20Compilacion%20Estadistica%202003-2023.pdf</t>
        </is>
      </c>
      <c r="S1233" s="6" t="inlineStr">
        <is>
          <t>ANDE-03-23</t>
        </is>
      </c>
      <c r="T1233" s="6" t="inlineStr"/>
      <c r="U1233" s="4" t="inlineStr">
        <is>
          <t>2026-09-11 00:05:00</t>
        </is>
      </c>
      <c r="V1233" s="4" t="inlineStr">
        <is>
          <t>Balance electrico ANDE.</t>
        </is>
      </c>
    </row>
    <row r="1234">
      <c r="A1234" s="6" t="inlineStr">
        <is>
          <t>R0001350</t>
        </is>
      </c>
      <c r="B1234" s="6" t="inlineStr">
        <is>
          <t>2021-01-01</t>
        </is>
      </c>
      <c r="C1234" s="6" t="inlineStr">
        <is>
          <t>2021-12-31</t>
        </is>
      </c>
      <c r="D1234" s="6" t="inlineStr">
        <is>
          <t>year</t>
        </is>
      </c>
      <c r="E1234" s="6" t="inlineStr">
        <is>
          <t>PY_ANDE_EXPORT_ENERGY</t>
        </is>
      </c>
      <c r="F1234" s="6" t="inlineStr">
        <is>
          <t>PY_SIN</t>
        </is>
      </c>
      <c r="G1234" s="6" t="inlineStr">
        <is>
          <t>PY</t>
        </is>
      </c>
      <c r="H1234" s="6" t="inlineStr">
        <is>
          <t>EXTERNAL</t>
        </is>
      </c>
      <c r="I1234" s="8" t="n">
        <v>151955</v>
      </c>
      <c r="J1234" s="6" t="inlineStr">
        <is>
          <t>MWh</t>
        </is>
      </c>
      <c r="K1234" s="8" t="n">
        <v>151955</v>
      </c>
      <c r="L1234" s="6" t="inlineStr">
        <is>
          <t>MWh</t>
        </is>
      </c>
      <c r="M1234" s="6" t="inlineStr">
        <is>
          <t>ANDE</t>
        </is>
      </c>
      <c r="N1234" s="6" t="inlineStr">
        <is>
          <t>OFFICIAL_PRIMARY</t>
        </is>
      </c>
      <c r="O1234" s="9" t="inlineStr">
        <is>
          <t>OFFICIAL_AGGREGATE</t>
        </is>
      </c>
      <c r="P1234" s="8" t="n">
        <v>1</v>
      </c>
      <c r="Q1234" s="8" t="n">
        <v>85</v>
      </c>
      <c r="R1234" s="7" t="inlineStr">
        <is>
          <t>https://www.ande.gov.py/finanzas/2.%20COMPILACION%20ESTADISTICA%202003-2023/ANDE%20-%20Compilacion%20Estadistica%202003-2023.pdf</t>
        </is>
      </c>
      <c r="S1234" s="6" t="inlineStr">
        <is>
          <t>ANDE-03-23</t>
        </is>
      </c>
      <c r="T1234" s="6" t="inlineStr"/>
      <c r="U1234" s="4" t="inlineStr">
        <is>
          <t>2026-09-11 00:05:00</t>
        </is>
      </c>
      <c r="V1234" s="4" t="inlineStr">
        <is>
          <t>Balance electrico ANDE.</t>
        </is>
      </c>
    </row>
    <row r="1235">
      <c r="A1235" s="6" t="inlineStr">
        <is>
          <t>R0001351</t>
        </is>
      </c>
      <c r="B1235" s="6" t="inlineStr">
        <is>
          <t>2022-01-01</t>
        </is>
      </c>
      <c r="C1235" s="6" t="inlineStr">
        <is>
          <t>2022-12-31</t>
        </is>
      </c>
      <c r="D1235" s="6" t="inlineStr">
        <is>
          <t>year</t>
        </is>
      </c>
      <c r="E1235" s="6" t="inlineStr">
        <is>
          <t>PY_ANDE_EXPORT_ENERGY</t>
        </is>
      </c>
      <c r="F1235" s="6" t="inlineStr">
        <is>
          <t>PY_SIN</t>
        </is>
      </c>
      <c r="G1235" s="6" t="inlineStr">
        <is>
          <t>PY</t>
        </is>
      </c>
      <c r="H1235" s="6" t="inlineStr">
        <is>
          <t>EXTERNAL</t>
        </is>
      </c>
      <c r="I1235" s="8" t="n">
        <v>109625</v>
      </c>
      <c r="J1235" s="6" t="inlineStr">
        <is>
          <t>MWh</t>
        </is>
      </c>
      <c r="K1235" s="8" t="n">
        <v>109625</v>
      </c>
      <c r="L1235" s="6" t="inlineStr">
        <is>
          <t>MWh</t>
        </is>
      </c>
      <c r="M1235" s="6" t="inlineStr">
        <is>
          <t>ANDE</t>
        </is>
      </c>
      <c r="N1235" s="6" t="inlineStr">
        <is>
          <t>OFFICIAL_PRIMARY</t>
        </is>
      </c>
      <c r="O1235" s="9" t="inlineStr">
        <is>
          <t>OFFICIAL_AGGREGATE</t>
        </is>
      </c>
      <c r="P1235" s="8" t="n">
        <v>1</v>
      </c>
      <c r="Q1235" s="8" t="n">
        <v>85</v>
      </c>
      <c r="R1235" s="7" t="inlineStr">
        <is>
          <t>https://www.ande.gov.py/finanzas/2.%20COMPILACION%20ESTADISTICA%202003-2023/ANDE%20-%20Compilacion%20Estadistica%202003-2023.pdf</t>
        </is>
      </c>
      <c r="S1235" s="6" t="inlineStr">
        <is>
          <t>ANDE-03-23</t>
        </is>
      </c>
      <c r="T1235" s="6" t="inlineStr"/>
      <c r="U1235" s="4" t="inlineStr">
        <is>
          <t>2026-09-11 00:05:00</t>
        </is>
      </c>
      <c r="V1235" s="4" t="inlineStr">
        <is>
          <t>Balance electrico ANDE.</t>
        </is>
      </c>
    </row>
    <row r="1236">
      <c r="A1236" s="6" t="inlineStr">
        <is>
          <t>R0001352</t>
        </is>
      </c>
      <c r="B1236" s="6" t="inlineStr">
        <is>
          <t>2023-01-01</t>
        </is>
      </c>
      <c r="C1236" s="6" t="inlineStr">
        <is>
          <t>2023-12-31</t>
        </is>
      </c>
      <c r="D1236" s="6" t="inlineStr">
        <is>
          <t>year</t>
        </is>
      </c>
      <c r="E1236" s="6" t="inlineStr">
        <is>
          <t>PY_ANDE_EXPORT_ENERGY</t>
        </is>
      </c>
      <c r="F1236" s="6" t="inlineStr">
        <is>
          <t>PY_SIN</t>
        </is>
      </c>
      <c r="G1236" s="6" t="inlineStr">
        <is>
          <t>PY</t>
        </is>
      </c>
      <c r="H1236" s="6" t="inlineStr">
        <is>
          <t>EXTERNAL</t>
        </is>
      </c>
      <c r="I1236" s="8" t="n">
        <v>116176</v>
      </c>
      <c r="J1236" s="6" t="inlineStr">
        <is>
          <t>MWh</t>
        </is>
      </c>
      <c r="K1236" s="8" t="n">
        <v>116176</v>
      </c>
      <c r="L1236" s="6" t="inlineStr">
        <is>
          <t>MWh</t>
        </is>
      </c>
      <c r="M1236" s="6" t="inlineStr">
        <is>
          <t>ANDE</t>
        </is>
      </c>
      <c r="N1236" s="6" t="inlineStr">
        <is>
          <t>OFFICIAL_PRIMARY</t>
        </is>
      </c>
      <c r="O1236" s="9" t="inlineStr">
        <is>
          <t>OFFICIAL_AGGREGATE</t>
        </is>
      </c>
      <c r="P1236" s="8" t="n">
        <v>1</v>
      </c>
      <c r="Q1236" s="8" t="n">
        <v>85</v>
      </c>
      <c r="R1236" s="7" t="inlineStr">
        <is>
          <t>https://www.ande.gov.py/finanzas/2.%20COMPILACION%20ESTADISTICA%202003-2023/ANDE%20-%20Compilacion%20Estadistica%202003-2023.pdf</t>
        </is>
      </c>
      <c r="S1236" s="6" t="inlineStr">
        <is>
          <t>ANDE-03-23</t>
        </is>
      </c>
      <c r="T1236" s="6" t="inlineStr"/>
      <c r="U1236" s="4" t="inlineStr">
        <is>
          <t>2026-09-11 00:05:00</t>
        </is>
      </c>
      <c r="V1236" s="4" t="inlineStr">
        <is>
          <t>Balance electrico ANDE.</t>
        </is>
      </c>
    </row>
    <row r="1237">
      <c r="A1237" s="6" t="inlineStr">
        <is>
          <t>R0001353</t>
        </is>
      </c>
      <c r="B1237" s="6" t="inlineStr">
        <is>
          <t>2024-01-01</t>
        </is>
      </c>
      <c r="C1237" s="6" t="inlineStr">
        <is>
          <t>2024-12-31</t>
        </is>
      </c>
      <c r="D1237" s="6" t="inlineStr">
        <is>
          <t>year</t>
        </is>
      </c>
      <c r="E1237" s="6" t="inlineStr">
        <is>
          <t>PY_ANDE_EXPORT_ENERGY</t>
        </is>
      </c>
      <c r="F1237" s="6" t="inlineStr">
        <is>
          <t>PY_SIN</t>
        </is>
      </c>
      <c r="G1237" s="6" t="inlineStr">
        <is>
          <t>PY</t>
        </is>
      </c>
      <c r="H1237" s="6" t="inlineStr">
        <is>
          <t>ENARSA</t>
        </is>
      </c>
      <c r="I1237" s="8" t="n">
        <v>103665</v>
      </c>
      <c r="J1237" s="6" t="inlineStr">
        <is>
          <t>MWh</t>
        </is>
      </c>
      <c r="K1237" s="8" t="n">
        <v>103665</v>
      </c>
      <c r="L1237" s="6" t="inlineStr">
        <is>
          <t>MWh</t>
        </is>
      </c>
      <c r="M1237" s="6" t="inlineStr">
        <is>
          <t>ANDE</t>
        </is>
      </c>
      <c r="N1237" s="6" t="inlineStr">
        <is>
          <t>OFFICIAL_PRIMARY</t>
        </is>
      </c>
      <c r="O1237" s="9" t="inlineStr">
        <is>
          <t>OFFICIAL_AGGREGATE</t>
        </is>
      </c>
      <c r="P1237" s="8" t="n">
        <v>1</v>
      </c>
      <c r="Q1237" s="8" t="n">
        <v>90</v>
      </c>
      <c r="R1237" s="7" t="inlineStr">
        <is>
          <t>https://www.ande.gov.py/finanzas/ANDE%20-%20Resumen%20Estad%C3%ADstico%202020%20-%202024.pdf</t>
        </is>
      </c>
      <c r="S1237" s="6" t="inlineStr">
        <is>
          <t>ANDE-20-24</t>
        </is>
      </c>
      <c r="T1237" s="6" t="inlineStr"/>
      <c r="U1237" s="4" t="inlineStr">
        <is>
          <t>2026-09-11 00:05:00</t>
        </is>
      </c>
      <c r="V1237" s="4" t="inlineStr">
        <is>
          <t>Exportacion ANDE/ENARSA.</t>
        </is>
      </c>
    </row>
    <row r="1238">
      <c r="A1238" s="6" t="inlineStr">
        <is>
          <t>R0001354</t>
        </is>
      </c>
      <c r="B1238" s="6" t="inlineStr">
        <is>
          <t>2025-01-01</t>
        </is>
      </c>
      <c r="C1238" s="6" t="inlineStr">
        <is>
          <t>2025-12-31</t>
        </is>
      </c>
      <c r="D1238" s="6" t="inlineStr">
        <is>
          <t>year</t>
        </is>
      </c>
      <c r="E1238" s="6" t="inlineStr">
        <is>
          <t>PY_ANDE_EXPORT_ENERGY</t>
        </is>
      </c>
      <c r="F1238" s="6" t="inlineStr">
        <is>
          <t>PY_SIN</t>
        </is>
      </c>
      <c r="G1238" s="6" t="inlineStr">
        <is>
          <t>PY</t>
        </is>
      </c>
      <c r="H1238" s="6" t="inlineStr">
        <is>
          <t>ENARSA</t>
        </is>
      </c>
      <c r="I1238" s="8" t="n">
        <v>113360.874</v>
      </c>
      <c r="J1238" s="6" t="inlineStr">
        <is>
          <t>MWh</t>
        </is>
      </c>
      <c r="K1238" s="8" t="n">
        <v>113360.874</v>
      </c>
      <c r="L1238" s="6" t="inlineStr">
        <is>
          <t>MWh</t>
        </is>
      </c>
      <c r="M1238" s="6" t="inlineStr">
        <is>
          <t>ANDE</t>
        </is>
      </c>
      <c r="N1238" s="6" t="inlineStr">
        <is>
          <t>OFFICIAL_PRIMARY</t>
        </is>
      </c>
      <c r="O1238" s="9" t="inlineStr">
        <is>
          <t>OFFICIAL_AGGREGATE</t>
        </is>
      </c>
      <c r="P1238" s="8" t="n">
        <v>1</v>
      </c>
      <c r="Q1238" s="8" t="n">
        <v>95</v>
      </c>
      <c r="R1238" s="7" t="inlineStr">
        <is>
          <t>https://www.ande.gov.py/finanzas/BAGP%202025%20ANDE.pdf</t>
        </is>
      </c>
      <c r="S1238" s="6" t="inlineStr">
        <is>
          <t>ANDE-BAGP-2025</t>
        </is>
      </c>
      <c r="T1238" s="6" t="inlineStr"/>
      <c r="U1238" s="4" t="inlineStr">
        <is>
          <t>2026-09-11 00:05:00</t>
        </is>
      </c>
      <c r="V1238" s="4" t="inlineStr">
        <is>
          <t>Un usuario categoria exportacion: ENARSA.</t>
        </is>
      </c>
    </row>
    <row r="1239">
      <c r="A1239" s="6" t="inlineStr">
        <is>
          <t>R0001355</t>
        </is>
      </c>
      <c r="B1239" s="6" t="inlineStr">
        <is>
          <t>1983-01-01</t>
        </is>
      </c>
      <c r="C1239" s="6" t="inlineStr">
        <is>
          <t>1983-12-31</t>
        </is>
      </c>
      <c r="D1239" s="6" t="inlineStr">
        <is>
          <t>year</t>
        </is>
      </c>
      <c r="E1239" s="6" t="inlineStr">
        <is>
          <t>ANDE_EXPORT_BY_COUNTERPARTY</t>
        </is>
      </c>
      <c r="F1239" s="6" t="inlineStr">
        <is>
          <t>PY_SIN</t>
        </is>
      </c>
      <c r="G1239" s="6" t="inlineStr">
        <is>
          <t>PY</t>
        </is>
      </c>
      <c r="H1239" s="6" t="inlineStr">
        <is>
          <t>ITAIPU</t>
        </is>
      </c>
      <c r="I1239" s="8" t="n">
        <v>19713.197</v>
      </c>
      <c r="J1239" s="6" t="inlineStr">
        <is>
          <t>MWh</t>
        </is>
      </c>
      <c r="K1239" s="8" t="n">
        <v>19713.197</v>
      </c>
      <c r="L1239" s="6" t="inlineStr">
        <is>
          <t>MWh</t>
        </is>
      </c>
      <c r="M1239" s="6" t="inlineStr">
        <is>
          <t>ANDE</t>
        </is>
      </c>
      <c r="N1239" s="6" t="inlineStr">
        <is>
          <t>OFFICIAL_PRIMARY</t>
        </is>
      </c>
      <c r="O1239" s="9" t="inlineStr">
        <is>
          <t>OFFICIAL_AGGREGATE</t>
        </is>
      </c>
      <c r="P1239" s="8" t="n">
        <v>1</v>
      </c>
      <c r="Q1239" s="8" t="n">
        <v>45</v>
      </c>
      <c r="R1239" s="7" t="inlineStr">
        <is>
          <t>https://www.ande.gov.py/estadisticas/BalanceEnergia1983-2006/CompilacionEstadistica83-06.pdf</t>
        </is>
      </c>
      <c r="S1239" s="6" t="inlineStr">
        <is>
          <t>ANDE-83-06</t>
        </is>
      </c>
      <c r="T1239" s="6" t="inlineStr"/>
      <c r="U1239" s="4" t="inlineStr">
        <is>
          <t>2026-09-11 00:05:00</t>
        </is>
      </c>
      <c r="V1239" s="4" t="inlineStr">
        <is>
          <t>Exportacion historica clasificada como Itaipu segun tabla original.</t>
        </is>
      </c>
    </row>
    <row r="1240">
      <c r="A1240" s="6" t="inlineStr">
        <is>
          <t>R0001356</t>
        </is>
      </c>
      <c r="B1240" s="6" t="inlineStr">
        <is>
          <t>1984-01-01</t>
        </is>
      </c>
      <c r="C1240" s="6" t="inlineStr">
        <is>
          <t>1984-12-31</t>
        </is>
      </c>
      <c r="D1240" s="6" t="inlineStr">
        <is>
          <t>year</t>
        </is>
      </c>
      <c r="E1240" s="6" t="inlineStr">
        <is>
          <t>ANDE_EXPORT_BY_COUNTERPARTY</t>
        </is>
      </c>
      <c r="F1240" s="6" t="inlineStr">
        <is>
          <t>PY_SIN</t>
        </is>
      </c>
      <c r="G1240" s="6" t="inlineStr">
        <is>
          <t>PY</t>
        </is>
      </c>
      <c r="H1240" s="6" t="inlineStr">
        <is>
          <t>ITAIPU</t>
        </is>
      </c>
      <c r="I1240" s="8" t="n">
        <v>25907.621</v>
      </c>
      <c r="J1240" s="6" t="inlineStr">
        <is>
          <t>MWh</t>
        </is>
      </c>
      <c r="K1240" s="8" t="n">
        <v>25907.621</v>
      </c>
      <c r="L1240" s="6" t="inlineStr">
        <is>
          <t>MWh</t>
        </is>
      </c>
      <c r="M1240" s="6" t="inlineStr">
        <is>
          <t>ANDE</t>
        </is>
      </c>
      <c r="N1240" s="6" t="inlineStr">
        <is>
          <t>OFFICIAL_PRIMARY</t>
        </is>
      </c>
      <c r="O1240" s="9" t="inlineStr">
        <is>
          <t>OFFICIAL_AGGREGATE</t>
        </is>
      </c>
      <c r="P1240" s="8" t="n">
        <v>1</v>
      </c>
      <c r="Q1240" s="8" t="n">
        <v>45</v>
      </c>
      <c r="R1240" s="7" t="inlineStr">
        <is>
          <t>https://www.ande.gov.py/estadisticas/BalanceEnergia1983-2006/CompilacionEstadistica83-06.pdf</t>
        </is>
      </c>
      <c r="S1240" s="6" t="inlineStr">
        <is>
          <t>ANDE-83-06</t>
        </is>
      </c>
      <c r="T1240" s="6" t="inlineStr"/>
      <c r="U1240" s="4" t="inlineStr">
        <is>
          <t>2026-09-11 00:05:00</t>
        </is>
      </c>
      <c r="V1240" s="4" t="inlineStr">
        <is>
          <t>Exportacion historica clasificada como Itaipu segun tabla original.</t>
        </is>
      </c>
    </row>
    <row r="1241">
      <c r="A1241" s="6" t="inlineStr">
        <is>
          <t>R0001357</t>
        </is>
      </c>
      <c r="B1241" s="6" t="inlineStr">
        <is>
          <t>1985-01-01</t>
        </is>
      </c>
      <c r="C1241" s="6" t="inlineStr">
        <is>
          <t>1985-12-31</t>
        </is>
      </c>
      <c r="D1241" s="6" t="inlineStr">
        <is>
          <t>year</t>
        </is>
      </c>
      <c r="E1241" s="6" t="inlineStr">
        <is>
          <t>ANDE_EXPORT_BY_COUNTERPARTY</t>
        </is>
      </c>
      <c r="F1241" s="6" t="inlineStr">
        <is>
          <t>PY_SIN</t>
        </is>
      </c>
      <c r="G1241" s="6" t="inlineStr">
        <is>
          <t>PY</t>
        </is>
      </c>
      <c r="H1241" s="6" t="inlineStr">
        <is>
          <t>ITAIPU</t>
        </is>
      </c>
      <c r="I1241" s="8" t="n">
        <v>32063.493</v>
      </c>
      <c r="J1241" s="6" t="inlineStr">
        <is>
          <t>MWh</t>
        </is>
      </c>
      <c r="K1241" s="8" t="n">
        <v>32063.493</v>
      </c>
      <c r="L1241" s="6" t="inlineStr">
        <is>
          <t>MWh</t>
        </is>
      </c>
      <c r="M1241" s="6" t="inlineStr">
        <is>
          <t>ANDE</t>
        </is>
      </c>
      <c r="N1241" s="6" t="inlineStr">
        <is>
          <t>OFFICIAL_PRIMARY</t>
        </is>
      </c>
      <c r="O1241" s="9" t="inlineStr">
        <is>
          <t>OFFICIAL_AGGREGATE</t>
        </is>
      </c>
      <c r="P1241" s="8" t="n">
        <v>1</v>
      </c>
      <c r="Q1241" s="8" t="n">
        <v>45</v>
      </c>
      <c r="R1241" s="7" t="inlineStr">
        <is>
          <t>https://www.ande.gov.py/estadisticas/BalanceEnergia1983-2006/CompilacionEstadistica83-06.pdf</t>
        </is>
      </c>
      <c r="S1241" s="6" t="inlineStr">
        <is>
          <t>ANDE-83-06</t>
        </is>
      </c>
      <c r="T1241" s="6" t="inlineStr"/>
      <c r="U1241" s="4" t="inlineStr">
        <is>
          <t>2026-09-11 00:05:00</t>
        </is>
      </c>
      <c r="V1241" s="4" t="inlineStr">
        <is>
          <t>Exportacion historica clasificada como Itaipu segun tabla original.</t>
        </is>
      </c>
    </row>
    <row r="1242">
      <c r="A1242" s="6" t="inlineStr">
        <is>
          <t>R0001358</t>
        </is>
      </c>
      <c r="B1242" s="6" t="inlineStr">
        <is>
          <t>1986-01-01</t>
        </is>
      </c>
      <c r="C1242" s="6" t="inlineStr">
        <is>
          <t>1986-12-31</t>
        </is>
      </c>
      <c r="D1242" s="6" t="inlineStr">
        <is>
          <t>year</t>
        </is>
      </c>
      <c r="E1242" s="6" t="inlineStr">
        <is>
          <t>ANDE_EXPORT_BY_COUNTERPARTY</t>
        </is>
      </c>
      <c r="F1242" s="6" t="inlineStr">
        <is>
          <t>PY_SIN</t>
        </is>
      </c>
      <c r="G1242" s="6" t="inlineStr">
        <is>
          <t>PY</t>
        </is>
      </c>
      <c r="H1242" s="6" t="inlineStr">
        <is>
          <t>ITAIPU</t>
        </is>
      </c>
      <c r="I1242" s="8" t="n">
        <v>24549.14</v>
      </c>
      <c r="J1242" s="6" t="inlineStr">
        <is>
          <t>MWh</t>
        </is>
      </c>
      <c r="K1242" s="8" t="n">
        <v>24549.14</v>
      </c>
      <c r="L1242" s="6" t="inlineStr">
        <is>
          <t>MWh</t>
        </is>
      </c>
      <c r="M1242" s="6" t="inlineStr">
        <is>
          <t>ANDE</t>
        </is>
      </c>
      <c r="N1242" s="6" t="inlineStr">
        <is>
          <t>OFFICIAL_PRIMARY</t>
        </is>
      </c>
      <c r="O1242" s="9" t="inlineStr">
        <is>
          <t>OFFICIAL_AGGREGATE</t>
        </is>
      </c>
      <c r="P1242" s="8" t="n">
        <v>1</v>
      </c>
      <c r="Q1242" s="8" t="n">
        <v>45</v>
      </c>
      <c r="R1242" s="7" t="inlineStr">
        <is>
          <t>https://www.ande.gov.py/estadisticas/BalanceEnergia1983-2006/CompilacionEstadistica83-06.pdf</t>
        </is>
      </c>
      <c r="S1242" s="6" t="inlineStr">
        <is>
          <t>ANDE-83-06</t>
        </is>
      </c>
      <c r="T1242" s="6" t="inlineStr"/>
      <c r="U1242" s="4" t="inlineStr">
        <is>
          <t>2026-09-11 00:05:00</t>
        </is>
      </c>
      <c r="V1242" s="4" t="inlineStr">
        <is>
          <t>Exportacion historica clasificada como Itaipu segun tabla original.</t>
        </is>
      </c>
    </row>
    <row r="1243">
      <c r="A1243" s="6" t="inlineStr">
        <is>
          <t>R0001359</t>
        </is>
      </c>
      <c r="B1243" s="6" t="inlineStr">
        <is>
          <t>1987-01-01</t>
        </is>
      </c>
      <c r="C1243" s="6" t="inlineStr">
        <is>
          <t>1987-12-31</t>
        </is>
      </c>
      <c r="D1243" s="6" t="inlineStr">
        <is>
          <t>year</t>
        </is>
      </c>
      <c r="E1243" s="6" t="inlineStr">
        <is>
          <t>ANDE_EXPORT_BY_COUNTERPARTY</t>
        </is>
      </c>
      <c r="F1243" s="6" t="inlineStr">
        <is>
          <t>PY_SIN</t>
        </is>
      </c>
      <c r="G1243" s="6" t="inlineStr">
        <is>
          <t>PY</t>
        </is>
      </c>
      <c r="H1243" s="6" t="inlineStr">
        <is>
          <t>ITAIPU</t>
        </is>
      </c>
      <c r="I1243" s="8" t="n">
        <v>115529.402</v>
      </c>
      <c r="J1243" s="6" t="inlineStr">
        <is>
          <t>MWh</t>
        </is>
      </c>
      <c r="K1243" s="8" t="n">
        <v>115529.402</v>
      </c>
      <c r="L1243" s="6" t="inlineStr">
        <is>
          <t>MWh</t>
        </is>
      </c>
      <c r="M1243" s="6" t="inlineStr">
        <is>
          <t>ANDE</t>
        </is>
      </c>
      <c r="N1243" s="6" t="inlineStr">
        <is>
          <t>OFFICIAL_PRIMARY</t>
        </is>
      </c>
      <c r="O1243" s="9" t="inlineStr">
        <is>
          <t>OFFICIAL_AGGREGATE</t>
        </is>
      </c>
      <c r="P1243" s="8" t="n">
        <v>1</v>
      </c>
      <c r="Q1243" s="8" t="n">
        <v>45</v>
      </c>
      <c r="R1243" s="7" t="inlineStr">
        <is>
          <t>https://www.ande.gov.py/estadisticas/BalanceEnergia1983-2006/CompilacionEstadistica83-06.pdf</t>
        </is>
      </c>
      <c r="S1243" s="6" t="inlineStr">
        <is>
          <t>ANDE-83-06</t>
        </is>
      </c>
      <c r="T1243" s="6" t="inlineStr"/>
      <c r="U1243" s="4" t="inlineStr">
        <is>
          <t>2026-09-11 00:05:00</t>
        </is>
      </c>
      <c r="V1243" s="4" t="inlineStr">
        <is>
          <t>Exportacion historica clasificada como Itaipu segun tabla original.</t>
        </is>
      </c>
    </row>
    <row r="1244">
      <c r="A1244" s="6" t="inlineStr">
        <is>
          <t>R0001360</t>
        </is>
      </c>
      <c r="B1244" s="6" t="inlineStr">
        <is>
          <t>1988-01-01</t>
        </is>
      </c>
      <c r="C1244" s="6" t="inlineStr">
        <is>
          <t>1988-12-31</t>
        </is>
      </c>
      <c r="D1244" s="6" t="inlineStr">
        <is>
          <t>year</t>
        </is>
      </c>
      <c r="E1244" s="6" t="inlineStr">
        <is>
          <t>ANDE_EXPORT_BY_COUNTERPARTY</t>
        </is>
      </c>
      <c r="F1244" s="6" t="inlineStr">
        <is>
          <t>PY_SIN</t>
        </is>
      </c>
      <c r="G1244" s="6" t="inlineStr">
        <is>
          <t>PY</t>
        </is>
      </c>
      <c r="H1244" s="6" t="inlineStr">
        <is>
          <t>ITAIPU</t>
        </is>
      </c>
      <c r="I1244" s="8" t="n">
        <v>19251.592</v>
      </c>
      <c r="J1244" s="6" t="inlineStr">
        <is>
          <t>MWh</t>
        </is>
      </c>
      <c r="K1244" s="8" t="n">
        <v>19251.592</v>
      </c>
      <c r="L1244" s="6" t="inlineStr">
        <is>
          <t>MWh</t>
        </is>
      </c>
      <c r="M1244" s="6" t="inlineStr">
        <is>
          <t>ANDE</t>
        </is>
      </c>
      <c r="N1244" s="6" t="inlineStr">
        <is>
          <t>OFFICIAL_PRIMARY</t>
        </is>
      </c>
      <c r="O1244" s="9" t="inlineStr">
        <is>
          <t>OFFICIAL_AGGREGATE</t>
        </is>
      </c>
      <c r="P1244" s="8" t="n">
        <v>1</v>
      </c>
      <c r="Q1244" s="8" t="n">
        <v>45</v>
      </c>
      <c r="R1244" s="7" t="inlineStr">
        <is>
          <t>https://www.ande.gov.py/estadisticas/BalanceEnergia1983-2006/CompilacionEstadistica83-06.pdf</t>
        </is>
      </c>
      <c r="S1244" s="6" t="inlineStr">
        <is>
          <t>ANDE-83-06</t>
        </is>
      </c>
      <c r="T1244" s="6" t="inlineStr"/>
      <c r="U1244" s="4" t="inlineStr">
        <is>
          <t>2026-09-11 00:05:00</t>
        </is>
      </c>
      <c r="V1244" s="4" t="inlineStr">
        <is>
          <t>Exportacion historica clasificada como Itaipu segun tabla original.</t>
        </is>
      </c>
    </row>
    <row r="1245">
      <c r="A1245" s="6" t="inlineStr">
        <is>
          <t>R0001361</t>
        </is>
      </c>
      <c r="B1245" s="6" t="inlineStr">
        <is>
          <t>1989-01-01</t>
        </is>
      </c>
      <c r="C1245" s="6" t="inlineStr">
        <is>
          <t>1989-12-31</t>
        </is>
      </c>
      <c r="D1245" s="6" t="inlineStr">
        <is>
          <t>year</t>
        </is>
      </c>
      <c r="E1245" s="6" t="inlineStr">
        <is>
          <t>ANDE_EXPORT_BY_COUNTERPARTY</t>
        </is>
      </c>
      <c r="F1245" s="6" t="inlineStr">
        <is>
          <t>PY_SIN</t>
        </is>
      </c>
      <c r="G1245" s="6" t="inlineStr">
        <is>
          <t>PY</t>
        </is>
      </c>
      <c r="H1245" s="6" t="inlineStr">
        <is>
          <t>ITAIPU</t>
        </is>
      </c>
      <c r="I1245" s="8" t="n">
        <v>14306.539</v>
      </c>
      <c r="J1245" s="6" t="inlineStr">
        <is>
          <t>MWh</t>
        </is>
      </c>
      <c r="K1245" s="8" t="n">
        <v>14306.539</v>
      </c>
      <c r="L1245" s="6" t="inlineStr">
        <is>
          <t>MWh</t>
        </is>
      </c>
      <c r="M1245" s="6" t="inlineStr">
        <is>
          <t>ANDE</t>
        </is>
      </c>
      <c r="N1245" s="6" t="inlineStr">
        <is>
          <t>OFFICIAL_PRIMARY</t>
        </is>
      </c>
      <c r="O1245" s="9" t="inlineStr">
        <is>
          <t>OFFICIAL_AGGREGATE</t>
        </is>
      </c>
      <c r="P1245" s="8" t="n">
        <v>1</v>
      </c>
      <c r="Q1245" s="8" t="n">
        <v>45</v>
      </c>
      <c r="R1245" s="7" t="inlineStr">
        <is>
          <t>https://www.ande.gov.py/estadisticas/BalanceEnergia1983-2006/CompilacionEstadistica83-06.pdf</t>
        </is>
      </c>
      <c r="S1245" s="6" t="inlineStr">
        <is>
          <t>ANDE-83-06</t>
        </is>
      </c>
      <c r="T1245" s="6" t="inlineStr"/>
      <c r="U1245" s="4" t="inlineStr">
        <is>
          <t>2026-09-11 00:05:00</t>
        </is>
      </c>
      <c r="V1245" s="4" t="inlineStr">
        <is>
          <t>Exportacion historica clasificada como Itaipu segun tabla original.</t>
        </is>
      </c>
    </row>
    <row r="1246">
      <c r="A1246" s="6" t="inlineStr">
        <is>
          <t>R0001362</t>
        </is>
      </c>
      <c r="B1246" s="6" t="inlineStr">
        <is>
          <t>1990-01-01</t>
        </is>
      </c>
      <c r="C1246" s="6" t="inlineStr">
        <is>
          <t>1990-12-31</t>
        </is>
      </c>
      <c r="D1246" s="6" t="inlineStr">
        <is>
          <t>year</t>
        </is>
      </c>
      <c r="E1246" s="6" t="inlineStr">
        <is>
          <t>ANDE_EXPORT_BY_COUNTERPARTY</t>
        </is>
      </c>
      <c r="F1246" s="6" t="inlineStr">
        <is>
          <t>PY_SIN</t>
        </is>
      </c>
      <c r="G1246" s="6" t="inlineStr">
        <is>
          <t>PY</t>
        </is>
      </c>
      <c r="H1246" s="6" t="inlineStr">
        <is>
          <t>ITAIPU</t>
        </is>
      </c>
      <c r="I1246" s="8" t="n">
        <v>4695.6</v>
      </c>
      <c r="J1246" s="6" t="inlineStr">
        <is>
          <t>MWh</t>
        </is>
      </c>
      <c r="K1246" s="8" t="n">
        <v>4695.6</v>
      </c>
      <c r="L1246" s="6" t="inlineStr">
        <is>
          <t>MWh</t>
        </is>
      </c>
      <c r="M1246" s="6" t="inlineStr">
        <is>
          <t>ANDE</t>
        </is>
      </c>
      <c r="N1246" s="6" t="inlineStr">
        <is>
          <t>OFFICIAL_PRIMARY</t>
        </is>
      </c>
      <c r="O1246" s="9" t="inlineStr">
        <is>
          <t>OFFICIAL_AGGREGATE</t>
        </is>
      </c>
      <c r="P1246" s="8" t="n">
        <v>1</v>
      </c>
      <c r="Q1246" s="8" t="n">
        <v>45</v>
      </c>
      <c r="R1246" s="7" t="inlineStr">
        <is>
          <t>https://www.ande.gov.py/estadisticas/BalanceEnergia1983-2006/CompilacionEstadistica83-06.pdf</t>
        </is>
      </c>
      <c r="S1246" s="6" t="inlineStr">
        <is>
          <t>ANDE-83-06</t>
        </is>
      </c>
      <c r="T1246" s="6" t="inlineStr"/>
      <c r="U1246" s="4" t="inlineStr">
        <is>
          <t>2026-09-11 00:05:00</t>
        </is>
      </c>
      <c r="V1246" s="4" t="inlineStr">
        <is>
          <t>Exportacion historica clasificada como Itaipu segun tabla original.</t>
        </is>
      </c>
    </row>
    <row r="1247">
      <c r="A1247" s="6" t="inlineStr">
        <is>
          <t>R0001363</t>
        </is>
      </c>
      <c r="B1247" s="6" t="inlineStr">
        <is>
          <t>1987-01-01</t>
        </is>
      </c>
      <c r="C1247" s="6" t="inlineStr">
        <is>
          <t>1987-12-31</t>
        </is>
      </c>
      <c r="D1247" s="6" t="inlineStr">
        <is>
          <t>year</t>
        </is>
      </c>
      <c r="E1247" s="6" t="inlineStr">
        <is>
          <t>ANDE_EXPORT_BY_COUNTERPARTY</t>
        </is>
      </c>
      <c r="F1247" s="6" t="inlineStr">
        <is>
          <t>PY_SIN</t>
        </is>
      </c>
      <c r="G1247" s="6" t="inlineStr">
        <is>
          <t>PY</t>
        </is>
      </c>
      <c r="H1247" s="6" t="inlineStr">
        <is>
          <t>EMSA_COPEL_AGUA_ENERGIA</t>
        </is>
      </c>
      <c r="I1247" s="8" t="n">
        <v>26490.817</v>
      </c>
      <c r="J1247" s="6" t="inlineStr">
        <is>
          <t>MWh</t>
        </is>
      </c>
      <c r="K1247" s="8" t="n">
        <v>26490.817</v>
      </c>
      <c r="L1247" s="6" t="inlineStr">
        <is>
          <t>MWh</t>
        </is>
      </c>
      <c r="M1247" s="6" t="inlineStr">
        <is>
          <t>ANDE</t>
        </is>
      </c>
      <c r="N1247" s="6" t="inlineStr">
        <is>
          <t>OFFICIAL_PRIMARY</t>
        </is>
      </c>
      <c r="O1247" s="9" t="inlineStr">
        <is>
          <t>OFFICIAL_AGGREGATE</t>
        </is>
      </c>
      <c r="P1247" s="8" t="n">
        <v>1</v>
      </c>
      <c r="Q1247" s="8" t="n">
        <v>45</v>
      </c>
      <c r="R1247" s="7" t="inlineStr">
        <is>
          <t>https://www.ande.gov.py/estadisticas/BalanceEnergia1983-2006/CompilacionEstadistica83-06.pdf</t>
        </is>
      </c>
      <c r="S1247" s="6" t="inlineStr">
        <is>
          <t>ANDE-83-06</t>
        </is>
      </c>
      <c r="T1247" s="6" t="inlineStr"/>
      <c r="U1247" s="4" t="inlineStr">
        <is>
          <t>2026-09-11 00:05:00</t>
        </is>
      </c>
      <c r="V1247" s="4" t="inlineStr">
        <is>
          <t>Etiqueta exacta agrupada de la fuente: EMSA, COPEL, Agua y Energia.</t>
        </is>
      </c>
    </row>
    <row r="1248">
      <c r="A1248" s="6" t="inlineStr">
        <is>
          <t>R0001364</t>
        </is>
      </c>
      <c r="B1248" s="6" t="inlineStr">
        <is>
          <t>1988-01-01</t>
        </is>
      </c>
      <c r="C1248" s="6" t="inlineStr">
        <is>
          <t>1988-12-31</t>
        </is>
      </c>
      <c r="D1248" s="6" t="inlineStr">
        <is>
          <t>year</t>
        </is>
      </c>
      <c r="E1248" s="6" t="inlineStr">
        <is>
          <t>ANDE_EXPORT_BY_COUNTERPARTY</t>
        </is>
      </c>
      <c r="F1248" s="6" t="inlineStr">
        <is>
          <t>PY_SIN</t>
        </is>
      </c>
      <c r="G1248" s="6" t="inlineStr">
        <is>
          <t>PY</t>
        </is>
      </c>
      <c r="H1248" s="6" t="inlineStr">
        <is>
          <t>EMSA_COPEL_AGUA_ENERGIA</t>
        </is>
      </c>
      <c r="I1248" s="8" t="n">
        <v>219133.858</v>
      </c>
      <c r="J1248" s="6" t="inlineStr">
        <is>
          <t>MWh</t>
        </is>
      </c>
      <c r="K1248" s="8" t="n">
        <v>219133.858</v>
      </c>
      <c r="L1248" s="6" t="inlineStr">
        <is>
          <t>MWh</t>
        </is>
      </c>
      <c r="M1248" s="6" t="inlineStr">
        <is>
          <t>ANDE</t>
        </is>
      </c>
      <c r="N1248" s="6" t="inlineStr">
        <is>
          <t>OFFICIAL_PRIMARY</t>
        </is>
      </c>
      <c r="O1248" s="9" t="inlineStr">
        <is>
          <t>OFFICIAL_AGGREGATE</t>
        </is>
      </c>
      <c r="P1248" s="8" t="n">
        <v>1</v>
      </c>
      <c r="Q1248" s="8" t="n">
        <v>45</v>
      </c>
      <c r="R1248" s="7" t="inlineStr">
        <is>
          <t>https://www.ande.gov.py/estadisticas/BalanceEnergia1983-2006/CompilacionEstadistica83-06.pdf</t>
        </is>
      </c>
      <c r="S1248" s="6" t="inlineStr">
        <is>
          <t>ANDE-83-06</t>
        </is>
      </c>
      <c r="T1248" s="6" t="inlineStr"/>
      <c r="U1248" s="4" t="inlineStr">
        <is>
          <t>2026-09-11 00:05:00</t>
        </is>
      </c>
      <c r="V1248" s="4" t="inlineStr">
        <is>
          <t>Etiqueta exacta agrupada de la fuente: EMSA, COPEL, Agua y Energia.</t>
        </is>
      </c>
    </row>
    <row r="1249">
      <c r="A1249" s="6" t="inlineStr">
        <is>
          <t>R0001365</t>
        </is>
      </c>
      <c r="B1249" s="6" t="inlineStr">
        <is>
          <t>1989-01-01</t>
        </is>
      </c>
      <c r="C1249" s="6" t="inlineStr">
        <is>
          <t>1989-12-31</t>
        </is>
      </c>
      <c r="D1249" s="6" t="inlineStr">
        <is>
          <t>year</t>
        </is>
      </c>
      <c r="E1249" s="6" t="inlineStr">
        <is>
          <t>ANDE_EXPORT_BY_COUNTERPARTY</t>
        </is>
      </c>
      <c r="F1249" s="6" t="inlineStr">
        <is>
          <t>PY_SIN</t>
        </is>
      </c>
      <c r="G1249" s="6" t="inlineStr">
        <is>
          <t>PY</t>
        </is>
      </c>
      <c r="H1249" s="6" t="inlineStr">
        <is>
          <t>EMSA_COPEL_AGUA_ENERGIA</t>
        </is>
      </c>
      <c r="I1249" s="8" t="n">
        <v>157571.186</v>
      </c>
      <c r="J1249" s="6" t="inlineStr">
        <is>
          <t>MWh</t>
        </is>
      </c>
      <c r="K1249" s="8" t="n">
        <v>157571.186</v>
      </c>
      <c r="L1249" s="6" t="inlineStr">
        <is>
          <t>MWh</t>
        </is>
      </c>
      <c r="M1249" s="6" t="inlineStr">
        <is>
          <t>ANDE</t>
        </is>
      </c>
      <c r="N1249" s="6" t="inlineStr">
        <is>
          <t>OFFICIAL_PRIMARY</t>
        </is>
      </c>
      <c r="O1249" s="9" t="inlineStr">
        <is>
          <t>OFFICIAL_AGGREGATE</t>
        </is>
      </c>
      <c r="P1249" s="8" t="n">
        <v>1</v>
      </c>
      <c r="Q1249" s="8" t="n">
        <v>45</v>
      </c>
      <c r="R1249" s="7" t="inlineStr">
        <is>
          <t>https://www.ande.gov.py/estadisticas/BalanceEnergia1983-2006/CompilacionEstadistica83-06.pdf</t>
        </is>
      </c>
      <c r="S1249" s="6" t="inlineStr">
        <is>
          <t>ANDE-83-06</t>
        </is>
      </c>
      <c r="T1249" s="6" t="inlineStr"/>
      <c r="U1249" s="4" t="inlineStr">
        <is>
          <t>2026-09-11 00:05:00</t>
        </is>
      </c>
      <c r="V1249" s="4" t="inlineStr">
        <is>
          <t>Etiqueta exacta agrupada de la fuente: EMSA, COPEL, Agua y Energia.</t>
        </is>
      </c>
    </row>
    <row r="1250">
      <c r="A1250" s="6" t="inlineStr">
        <is>
          <t>R0001366</t>
        </is>
      </c>
      <c r="B1250" s="6" t="inlineStr">
        <is>
          <t>1990-01-01</t>
        </is>
      </c>
      <c r="C1250" s="6" t="inlineStr">
        <is>
          <t>1990-12-31</t>
        </is>
      </c>
      <c r="D1250" s="6" t="inlineStr">
        <is>
          <t>year</t>
        </is>
      </c>
      <c r="E1250" s="6" t="inlineStr">
        <is>
          <t>ANDE_EXPORT_BY_COUNTERPARTY</t>
        </is>
      </c>
      <c r="F1250" s="6" t="inlineStr">
        <is>
          <t>PY_SIN</t>
        </is>
      </c>
      <c r="G1250" s="6" t="inlineStr">
        <is>
          <t>PY</t>
        </is>
      </c>
      <c r="H1250" s="6" t="inlineStr">
        <is>
          <t>EMSA_COPEL_AGUA_ENERGIA</t>
        </is>
      </c>
      <c r="I1250" s="8" t="n">
        <v>129690.785</v>
      </c>
      <c r="J1250" s="6" t="inlineStr">
        <is>
          <t>MWh</t>
        </is>
      </c>
      <c r="K1250" s="8" t="n">
        <v>129690.785</v>
      </c>
      <c r="L1250" s="6" t="inlineStr">
        <is>
          <t>MWh</t>
        </is>
      </c>
      <c r="M1250" s="6" t="inlineStr">
        <is>
          <t>ANDE</t>
        </is>
      </c>
      <c r="N1250" s="6" t="inlineStr">
        <is>
          <t>OFFICIAL_PRIMARY</t>
        </is>
      </c>
      <c r="O1250" s="9" t="inlineStr">
        <is>
          <t>OFFICIAL_AGGREGATE</t>
        </is>
      </c>
      <c r="P1250" s="8" t="n">
        <v>1</v>
      </c>
      <c r="Q1250" s="8" t="n">
        <v>45</v>
      </c>
      <c r="R1250" s="7" t="inlineStr">
        <is>
          <t>https://www.ande.gov.py/estadisticas/BalanceEnergia1983-2006/CompilacionEstadistica83-06.pdf</t>
        </is>
      </c>
      <c r="S1250" s="6" t="inlineStr">
        <is>
          <t>ANDE-83-06</t>
        </is>
      </c>
      <c r="T1250" s="6" t="inlineStr"/>
      <c r="U1250" s="4" t="inlineStr">
        <is>
          <t>2026-09-11 00:05:00</t>
        </is>
      </c>
      <c r="V1250" s="4" t="inlineStr">
        <is>
          <t>Etiqueta exacta agrupada de la fuente: EMSA, COPEL, Agua y Energia.</t>
        </is>
      </c>
    </row>
    <row r="1251">
      <c r="A1251" s="6" t="inlineStr">
        <is>
          <t>R0001367</t>
        </is>
      </c>
      <c r="B1251" s="6" t="inlineStr">
        <is>
          <t>1991-01-01</t>
        </is>
      </c>
      <c r="C1251" s="6" t="inlineStr">
        <is>
          <t>1991-12-31</t>
        </is>
      </c>
      <c r="D1251" s="6" t="inlineStr">
        <is>
          <t>year</t>
        </is>
      </c>
      <c r="E1251" s="6" t="inlineStr">
        <is>
          <t>ANDE_EXPORT_BY_COUNTERPARTY</t>
        </is>
      </c>
      <c r="F1251" s="6" t="inlineStr">
        <is>
          <t>PY_SIN</t>
        </is>
      </c>
      <c r="G1251" s="6" t="inlineStr">
        <is>
          <t>PY</t>
        </is>
      </c>
      <c r="H1251" s="6" t="inlineStr">
        <is>
          <t>EMSA_COPEL_AGUA_ENERGIA</t>
        </is>
      </c>
      <c r="I1251" s="8" t="n">
        <v>85269.53999999999</v>
      </c>
      <c r="J1251" s="6" t="inlineStr">
        <is>
          <t>MWh</t>
        </is>
      </c>
      <c r="K1251" s="8" t="n">
        <v>85269.53999999999</v>
      </c>
      <c r="L1251" s="6" t="inlineStr">
        <is>
          <t>MWh</t>
        </is>
      </c>
      <c r="M1251" s="6" t="inlineStr">
        <is>
          <t>ANDE</t>
        </is>
      </c>
      <c r="N1251" s="6" t="inlineStr">
        <is>
          <t>OFFICIAL_PRIMARY</t>
        </is>
      </c>
      <c r="O1251" s="9" t="inlineStr">
        <is>
          <t>OFFICIAL_AGGREGATE</t>
        </is>
      </c>
      <c r="P1251" s="8" t="n">
        <v>1</v>
      </c>
      <c r="Q1251" s="8" t="n">
        <v>45</v>
      </c>
      <c r="R1251" s="7" t="inlineStr">
        <is>
          <t>https://www.ande.gov.py/estadisticas/BalanceEnergia1983-2006/CompilacionEstadistica83-06.pdf</t>
        </is>
      </c>
      <c r="S1251" s="6" t="inlineStr">
        <is>
          <t>ANDE-83-06</t>
        </is>
      </c>
      <c r="T1251" s="6" t="inlineStr"/>
      <c r="U1251" s="4" t="inlineStr">
        <is>
          <t>2026-09-11 00:05:00</t>
        </is>
      </c>
      <c r="V1251" s="4" t="inlineStr">
        <is>
          <t>Etiqueta exacta agrupada de la fuente: EMSA, COPEL, Agua y Energia.</t>
        </is>
      </c>
    </row>
    <row r="1252">
      <c r="A1252" s="6" t="inlineStr">
        <is>
          <t>R0001368</t>
        </is>
      </c>
      <c r="B1252" s="6" t="inlineStr">
        <is>
          <t>1992-01-01</t>
        </is>
      </c>
      <c r="C1252" s="6" t="inlineStr">
        <is>
          <t>1992-12-31</t>
        </is>
      </c>
      <c r="D1252" s="6" t="inlineStr">
        <is>
          <t>year</t>
        </is>
      </c>
      <c r="E1252" s="6" t="inlineStr">
        <is>
          <t>ANDE_EXPORT_BY_COUNTERPARTY</t>
        </is>
      </c>
      <c r="F1252" s="6" t="inlineStr">
        <is>
          <t>PY_SIN</t>
        </is>
      </c>
      <c r="G1252" s="6" t="inlineStr">
        <is>
          <t>PY</t>
        </is>
      </c>
      <c r="H1252" s="6" t="inlineStr">
        <is>
          <t>EMSA_COPEL_AGUA_ENERGIA</t>
        </is>
      </c>
      <c r="I1252" s="8" t="n">
        <v>59113.122</v>
      </c>
      <c r="J1252" s="6" t="inlineStr">
        <is>
          <t>MWh</t>
        </is>
      </c>
      <c r="K1252" s="8" t="n">
        <v>59113.122</v>
      </c>
      <c r="L1252" s="6" t="inlineStr">
        <is>
          <t>MWh</t>
        </is>
      </c>
      <c r="M1252" s="6" t="inlineStr">
        <is>
          <t>ANDE</t>
        </is>
      </c>
      <c r="N1252" s="6" t="inlineStr">
        <is>
          <t>OFFICIAL_PRIMARY</t>
        </is>
      </c>
      <c r="O1252" s="9" t="inlineStr">
        <is>
          <t>OFFICIAL_AGGREGATE</t>
        </is>
      </c>
      <c r="P1252" s="8" t="n">
        <v>1</v>
      </c>
      <c r="Q1252" s="8" t="n">
        <v>45</v>
      </c>
      <c r="R1252" s="7" t="inlineStr">
        <is>
          <t>https://www.ande.gov.py/estadisticas/BalanceEnergia1983-2006/CompilacionEstadistica83-06.pdf</t>
        </is>
      </c>
      <c r="S1252" s="6" t="inlineStr">
        <is>
          <t>ANDE-83-06</t>
        </is>
      </c>
      <c r="T1252" s="6" t="inlineStr"/>
      <c r="U1252" s="4" t="inlineStr">
        <is>
          <t>2026-09-11 00:05:00</t>
        </is>
      </c>
      <c r="V1252" s="4" t="inlineStr">
        <is>
          <t>Etiqueta exacta agrupada de la fuente: EMSA, COPEL, Agua y Energia.</t>
        </is>
      </c>
    </row>
    <row r="1253">
      <c r="A1253" s="6" t="inlineStr">
        <is>
          <t>R0001369</t>
        </is>
      </c>
      <c r="B1253" s="6" t="inlineStr">
        <is>
          <t>1993-01-01</t>
        </is>
      </c>
      <c r="C1253" s="6" t="inlineStr">
        <is>
          <t>1993-12-31</t>
        </is>
      </c>
      <c r="D1253" s="6" t="inlineStr">
        <is>
          <t>year</t>
        </is>
      </c>
      <c r="E1253" s="6" t="inlineStr">
        <is>
          <t>ANDE_EXPORT_BY_COUNTERPARTY</t>
        </is>
      </c>
      <c r="F1253" s="6" t="inlineStr">
        <is>
          <t>PY_SIN</t>
        </is>
      </c>
      <c r="G1253" s="6" t="inlineStr">
        <is>
          <t>PY</t>
        </is>
      </c>
      <c r="H1253" s="6" t="inlineStr">
        <is>
          <t>EMSA_COPEL_AGUA_ENERGIA</t>
        </is>
      </c>
      <c r="I1253" s="8" t="n">
        <v>50380.812</v>
      </c>
      <c r="J1253" s="6" t="inlineStr">
        <is>
          <t>MWh</t>
        </is>
      </c>
      <c r="K1253" s="8" t="n">
        <v>50380.812</v>
      </c>
      <c r="L1253" s="6" t="inlineStr">
        <is>
          <t>MWh</t>
        </is>
      </c>
      <c r="M1253" s="6" t="inlineStr">
        <is>
          <t>ANDE</t>
        </is>
      </c>
      <c r="N1253" s="6" t="inlineStr">
        <is>
          <t>OFFICIAL_PRIMARY</t>
        </is>
      </c>
      <c r="O1253" s="9" t="inlineStr">
        <is>
          <t>OFFICIAL_AGGREGATE</t>
        </is>
      </c>
      <c r="P1253" s="8" t="n">
        <v>1</v>
      </c>
      <c r="Q1253" s="8" t="n">
        <v>45</v>
      </c>
      <c r="R1253" s="7" t="inlineStr">
        <is>
          <t>https://www.ande.gov.py/estadisticas/BalanceEnergia1983-2006/CompilacionEstadistica83-06.pdf</t>
        </is>
      </c>
      <c r="S1253" s="6" t="inlineStr">
        <is>
          <t>ANDE-83-06</t>
        </is>
      </c>
      <c r="T1253" s="6" t="inlineStr"/>
      <c r="U1253" s="4" t="inlineStr">
        <is>
          <t>2026-09-11 00:05:00</t>
        </is>
      </c>
      <c r="V1253" s="4" t="inlineStr">
        <is>
          <t>Etiqueta exacta agrupada de la fuente: EMSA, COPEL, Agua y Energia.</t>
        </is>
      </c>
    </row>
    <row r="1254">
      <c r="A1254" s="6" t="inlineStr">
        <is>
          <t>R0001370</t>
        </is>
      </c>
      <c r="B1254" s="6" t="inlineStr">
        <is>
          <t>1994-01-01</t>
        </is>
      </c>
      <c r="C1254" s="6" t="inlineStr">
        <is>
          <t>1994-12-31</t>
        </is>
      </c>
      <c r="D1254" s="6" t="inlineStr">
        <is>
          <t>year</t>
        </is>
      </c>
      <c r="E1254" s="6" t="inlineStr">
        <is>
          <t>ANDE_EXPORT_BY_COUNTERPARTY</t>
        </is>
      </c>
      <c r="F1254" s="6" t="inlineStr">
        <is>
          <t>PY_SIN</t>
        </is>
      </c>
      <c r="G1254" s="6" t="inlineStr">
        <is>
          <t>PY</t>
        </is>
      </c>
      <c r="H1254" s="6" t="inlineStr">
        <is>
          <t>EMSA_COPEL_AGUA_ENERGIA</t>
        </is>
      </c>
      <c r="I1254" s="8" t="n">
        <v>111900.816</v>
      </c>
      <c r="J1254" s="6" t="inlineStr">
        <is>
          <t>MWh</t>
        </is>
      </c>
      <c r="K1254" s="8" t="n">
        <v>111900.816</v>
      </c>
      <c r="L1254" s="6" t="inlineStr">
        <is>
          <t>MWh</t>
        </is>
      </c>
      <c r="M1254" s="6" t="inlineStr">
        <is>
          <t>ANDE</t>
        </is>
      </c>
      <c r="N1254" s="6" t="inlineStr">
        <is>
          <t>OFFICIAL_PRIMARY</t>
        </is>
      </c>
      <c r="O1254" s="9" t="inlineStr">
        <is>
          <t>OFFICIAL_AGGREGATE</t>
        </is>
      </c>
      <c r="P1254" s="8" t="n">
        <v>1</v>
      </c>
      <c r="Q1254" s="8" t="n">
        <v>45</v>
      </c>
      <c r="R1254" s="7" t="inlineStr">
        <is>
          <t>https://www.ande.gov.py/estadisticas/BalanceEnergia1983-2006/CompilacionEstadistica83-06.pdf</t>
        </is>
      </c>
      <c r="S1254" s="6" t="inlineStr">
        <is>
          <t>ANDE-83-06</t>
        </is>
      </c>
      <c r="T1254" s="6" t="inlineStr"/>
      <c r="U1254" s="4" t="inlineStr">
        <is>
          <t>2026-09-11 00:05:00</t>
        </is>
      </c>
      <c r="V1254" s="4" t="inlineStr">
        <is>
          <t>Etiqueta exacta agrupada de la fuente: EMSA, COPEL, Agua y Energia.</t>
        </is>
      </c>
    </row>
    <row r="1255">
      <c r="A1255" s="6" t="inlineStr">
        <is>
          <t>R0001371</t>
        </is>
      </c>
      <c r="B1255" s="6" t="inlineStr">
        <is>
          <t>1995-01-01</t>
        </is>
      </c>
      <c r="C1255" s="6" t="inlineStr">
        <is>
          <t>1995-12-31</t>
        </is>
      </c>
      <c r="D1255" s="6" t="inlineStr">
        <is>
          <t>year</t>
        </is>
      </c>
      <c r="E1255" s="6" t="inlineStr">
        <is>
          <t>ANDE_EXPORT_BY_COUNTERPARTY</t>
        </is>
      </c>
      <c r="F1255" s="6" t="inlineStr">
        <is>
          <t>PY_SIN</t>
        </is>
      </c>
      <c r="G1255" s="6" t="inlineStr">
        <is>
          <t>PY</t>
        </is>
      </c>
      <c r="H1255" s="6" t="inlineStr">
        <is>
          <t>EMSA_COPEL_AGUA_ENERGIA</t>
        </is>
      </c>
      <c r="I1255" s="8" t="n">
        <v>161378.126</v>
      </c>
      <c r="J1255" s="6" t="inlineStr">
        <is>
          <t>MWh</t>
        </is>
      </c>
      <c r="K1255" s="8" t="n">
        <v>161378.126</v>
      </c>
      <c r="L1255" s="6" t="inlineStr">
        <is>
          <t>MWh</t>
        </is>
      </c>
      <c r="M1255" s="6" t="inlineStr">
        <is>
          <t>ANDE</t>
        </is>
      </c>
      <c r="N1255" s="6" t="inlineStr">
        <is>
          <t>OFFICIAL_PRIMARY</t>
        </is>
      </c>
      <c r="O1255" s="9" t="inlineStr">
        <is>
          <t>OFFICIAL_AGGREGATE</t>
        </is>
      </c>
      <c r="P1255" s="8" t="n">
        <v>1</v>
      </c>
      <c r="Q1255" s="8" t="n">
        <v>45</v>
      </c>
      <c r="R1255" s="7" t="inlineStr">
        <is>
          <t>https://www.ande.gov.py/estadisticas/BalanceEnergia1983-2006/CompilacionEstadistica83-06.pdf</t>
        </is>
      </c>
      <c r="S1255" s="6" t="inlineStr">
        <is>
          <t>ANDE-83-06</t>
        </is>
      </c>
      <c r="T1255" s="6" t="inlineStr"/>
      <c r="U1255" s="4" t="inlineStr">
        <is>
          <t>2026-09-11 00:05:00</t>
        </is>
      </c>
      <c r="V1255" s="4" t="inlineStr">
        <is>
          <t>Etiqueta exacta agrupada de la fuente: EMSA, COPEL, Agua y Energia.</t>
        </is>
      </c>
    </row>
    <row r="1256">
      <c r="A1256" s="6" t="inlineStr">
        <is>
          <t>R0001372</t>
        </is>
      </c>
      <c r="B1256" s="6" t="inlineStr">
        <is>
          <t>1996-01-01</t>
        </is>
      </c>
      <c r="C1256" s="6" t="inlineStr">
        <is>
          <t>1996-12-31</t>
        </is>
      </c>
      <c r="D1256" s="6" t="inlineStr">
        <is>
          <t>year</t>
        </is>
      </c>
      <c r="E1256" s="6" t="inlineStr">
        <is>
          <t>ANDE_EXPORT_BY_COUNTERPARTY</t>
        </is>
      </c>
      <c r="F1256" s="6" t="inlineStr">
        <is>
          <t>PY_SIN</t>
        </is>
      </c>
      <c r="G1256" s="6" t="inlineStr">
        <is>
          <t>PY</t>
        </is>
      </c>
      <c r="H1256" s="6" t="inlineStr">
        <is>
          <t>EMSA_COPEL_AGUA_ENERGIA</t>
        </is>
      </c>
      <c r="I1256" s="8" t="n">
        <v>159369.869</v>
      </c>
      <c r="J1256" s="6" t="inlineStr">
        <is>
          <t>MWh</t>
        </is>
      </c>
      <c r="K1256" s="8" t="n">
        <v>159369.869</v>
      </c>
      <c r="L1256" s="6" t="inlineStr">
        <is>
          <t>MWh</t>
        </is>
      </c>
      <c r="M1256" s="6" t="inlineStr">
        <is>
          <t>ANDE</t>
        </is>
      </c>
      <c r="N1256" s="6" t="inlineStr">
        <is>
          <t>OFFICIAL_PRIMARY</t>
        </is>
      </c>
      <c r="O1256" s="9" t="inlineStr">
        <is>
          <t>OFFICIAL_AGGREGATE</t>
        </is>
      </c>
      <c r="P1256" s="8" t="n">
        <v>1</v>
      </c>
      <c r="Q1256" s="8" t="n">
        <v>45</v>
      </c>
      <c r="R1256" s="7" t="inlineStr">
        <is>
          <t>https://www.ande.gov.py/estadisticas/BalanceEnergia1983-2006/CompilacionEstadistica83-06.pdf</t>
        </is>
      </c>
      <c r="S1256" s="6" t="inlineStr">
        <is>
          <t>ANDE-83-06</t>
        </is>
      </c>
      <c r="T1256" s="6" t="inlineStr"/>
      <c r="U1256" s="4" t="inlineStr">
        <is>
          <t>2026-09-11 00:05:00</t>
        </is>
      </c>
      <c r="V1256" s="4" t="inlineStr">
        <is>
          <t>Etiqueta exacta agrupada de la fuente: EMSA, COPEL, Agua y Energia.</t>
        </is>
      </c>
    </row>
    <row r="1257">
      <c r="A1257" s="6" t="inlineStr">
        <is>
          <t>R0001373</t>
        </is>
      </c>
      <c r="B1257" s="6" t="inlineStr">
        <is>
          <t>1997-01-01</t>
        </is>
      </c>
      <c r="C1257" s="6" t="inlineStr">
        <is>
          <t>1997-12-31</t>
        </is>
      </c>
      <c r="D1257" s="6" t="inlineStr">
        <is>
          <t>year</t>
        </is>
      </c>
      <c r="E1257" s="6" t="inlineStr">
        <is>
          <t>ANDE_EXPORT_BY_COUNTERPARTY</t>
        </is>
      </c>
      <c r="F1257" s="6" t="inlineStr">
        <is>
          <t>PY_SIN</t>
        </is>
      </c>
      <c r="G1257" s="6" t="inlineStr">
        <is>
          <t>PY</t>
        </is>
      </c>
      <c r="H1257" s="6" t="inlineStr">
        <is>
          <t>EMSA_COPEL_AGUA_ENERGIA</t>
        </is>
      </c>
      <c r="I1257" s="8" t="n">
        <v>109852.347</v>
      </c>
      <c r="J1257" s="6" t="inlineStr">
        <is>
          <t>MWh</t>
        </is>
      </c>
      <c r="K1257" s="8" t="n">
        <v>109852.347</v>
      </c>
      <c r="L1257" s="6" t="inlineStr">
        <is>
          <t>MWh</t>
        </is>
      </c>
      <c r="M1257" s="6" t="inlineStr">
        <is>
          <t>ANDE</t>
        </is>
      </c>
      <c r="N1257" s="6" t="inlineStr">
        <is>
          <t>OFFICIAL_PRIMARY</t>
        </is>
      </c>
      <c r="O1257" s="9" t="inlineStr">
        <is>
          <t>OFFICIAL_AGGREGATE</t>
        </is>
      </c>
      <c r="P1257" s="8" t="n">
        <v>1</v>
      </c>
      <c r="Q1257" s="8" t="n">
        <v>45</v>
      </c>
      <c r="R1257" s="7" t="inlineStr">
        <is>
          <t>https://www.ande.gov.py/estadisticas/BalanceEnergia1983-2006/CompilacionEstadistica83-06.pdf</t>
        </is>
      </c>
      <c r="S1257" s="6" t="inlineStr">
        <is>
          <t>ANDE-83-06</t>
        </is>
      </c>
      <c r="T1257" s="6" t="inlineStr"/>
      <c r="U1257" s="4" t="inlineStr">
        <is>
          <t>2026-09-11 00:05:00</t>
        </is>
      </c>
      <c r="V1257" s="4" t="inlineStr">
        <is>
          <t>Etiqueta exacta agrupada de la fuente: EMSA, COPEL, Agua y Energia.</t>
        </is>
      </c>
    </row>
    <row r="1258">
      <c r="A1258" s="6" t="inlineStr">
        <is>
          <t>R0001374</t>
        </is>
      </c>
      <c r="B1258" s="6" t="inlineStr">
        <is>
          <t>1998-01-01</t>
        </is>
      </c>
      <c r="C1258" s="6" t="inlineStr">
        <is>
          <t>1998-12-31</t>
        </is>
      </c>
      <c r="D1258" s="6" t="inlineStr">
        <is>
          <t>year</t>
        </is>
      </c>
      <c r="E1258" s="6" t="inlineStr">
        <is>
          <t>ANDE_EXPORT_BY_COUNTERPARTY</t>
        </is>
      </c>
      <c r="F1258" s="6" t="inlineStr">
        <is>
          <t>PY_SIN</t>
        </is>
      </c>
      <c r="G1258" s="6" t="inlineStr">
        <is>
          <t>PY</t>
        </is>
      </c>
      <c r="H1258" s="6" t="inlineStr">
        <is>
          <t>EMSA_COPEL_AGUA_ENERGIA</t>
        </is>
      </c>
      <c r="I1258" s="8" t="n">
        <v>102818.4</v>
      </c>
      <c r="J1258" s="6" t="inlineStr">
        <is>
          <t>MWh</t>
        </is>
      </c>
      <c r="K1258" s="8" t="n">
        <v>102818.4</v>
      </c>
      <c r="L1258" s="6" t="inlineStr">
        <is>
          <t>MWh</t>
        </is>
      </c>
      <c r="M1258" s="6" t="inlineStr">
        <is>
          <t>ANDE</t>
        </is>
      </c>
      <c r="N1258" s="6" t="inlineStr">
        <is>
          <t>OFFICIAL_PRIMARY</t>
        </is>
      </c>
      <c r="O1258" s="9" t="inlineStr">
        <is>
          <t>OFFICIAL_AGGREGATE</t>
        </is>
      </c>
      <c r="P1258" s="8" t="n">
        <v>1</v>
      </c>
      <c r="Q1258" s="8" t="n">
        <v>45</v>
      </c>
      <c r="R1258" s="7" t="inlineStr">
        <is>
          <t>https://www.ande.gov.py/estadisticas/BalanceEnergia1983-2006/CompilacionEstadistica83-06.pdf</t>
        </is>
      </c>
      <c r="S1258" s="6" t="inlineStr">
        <is>
          <t>ANDE-83-06</t>
        </is>
      </c>
      <c r="T1258" s="6" t="inlineStr"/>
      <c r="U1258" s="4" t="inlineStr">
        <is>
          <t>2026-09-11 00:05:00</t>
        </is>
      </c>
      <c r="V1258" s="4" t="inlineStr">
        <is>
          <t>Etiqueta exacta agrupada de la fuente: EMSA, COPEL, Agua y Energia.</t>
        </is>
      </c>
    </row>
    <row r="1259">
      <c r="A1259" s="6" t="inlineStr">
        <is>
          <t>R0001375</t>
        </is>
      </c>
      <c r="B1259" s="6" t="inlineStr">
        <is>
          <t>1999-01-01</t>
        </is>
      </c>
      <c r="C1259" s="6" t="inlineStr">
        <is>
          <t>1999-12-31</t>
        </is>
      </c>
      <c r="D1259" s="6" t="inlineStr">
        <is>
          <t>year</t>
        </is>
      </c>
      <c r="E1259" s="6" t="inlineStr">
        <is>
          <t>ANDE_EXPORT_BY_COUNTERPARTY</t>
        </is>
      </c>
      <c r="F1259" s="6" t="inlineStr">
        <is>
          <t>PY_SIN</t>
        </is>
      </c>
      <c r="G1259" s="6" t="inlineStr">
        <is>
          <t>PY</t>
        </is>
      </c>
      <c r="H1259" s="6" t="inlineStr">
        <is>
          <t>EMSA_COPEL_AGUA_ENERGIA</t>
        </is>
      </c>
      <c r="I1259" s="8" t="n">
        <v>484892.6</v>
      </c>
      <c r="J1259" s="6" t="inlineStr">
        <is>
          <t>MWh</t>
        </is>
      </c>
      <c r="K1259" s="8" t="n">
        <v>484892.6</v>
      </c>
      <c r="L1259" s="6" t="inlineStr">
        <is>
          <t>MWh</t>
        </is>
      </c>
      <c r="M1259" s="6" t="inlineStr">
        <is>
          <t>ANDE</t>
        </is>
      </c>
      <c r="N1259" s="6" t="inlineStr">
        <is>
          <t>OFFICIAL_PRIMARY</t>
        </is>
      </c>
      <c r="O1259" s="9" t="inlineStr">
        <is>
          <t>OFFICIAL_AGGREGATE</t>
        </is>
      </c>
      <c r="P1259" s="8" t="n">
        <v>1</v>
      </c>
      <c r="Q1259" s="8" t="n">
        <v>45</v>
      </c>
      <c r="R1259" s="7" t="inlineStr">
        <is>
          <t>https://www.ande.gov.py/estadisticas/BalanceEnergia1983-2006/CompilacionEstadistica83-06.pdf</t>
        </is>
      </c>
      <c r="S1259" s="6" t="inlineStr">
        <is>
          <t>ANDE-83-06</t>
        </is>
      </c>
      <c r="T1259" s="6" t="inlineStr"/>
      <c r="U1259" s="4" t="inlineStr">
        <is>
          <t>2026-09-11 00:05:00</t>
        </is>
      </c>
      <c r="V1259" s="4" t="inlineStr">
        <is>
          <t>Etiqueta exacta agrupada de la fuente: EMSA, COPEL, Agua y Energia.</t>
        </is>
      </c>
    </row>
    <row r="1260">
      <c r="A1260" s="6" t="inlineStr">
        <is>
          <t>R0001376</t>
        </is>
      </c>
      <c r="B1260" s="6" t="inlineStr">
        <is>
          <t>2000-01-01</t>
        </is>
      </c>
      <c r="C1260" s="6" t="inlineStr">
        <is>
          <t>2000-12-31</t>
        </is>
      </c>
      <c r="D1260" s="6" t="inlineStr">
        <is>
          <t>year</t>
        </is>
      </c>
      <c r="E1260" s="6" t="inlineStr">
        <is>
          <t>ANDE_EXPORT_BY_COUNTERPARTY</t>
        </is>
      </c>
      <c r="F1260" s="6" t="inlineStr">
        <is>
          <t>PY_SIN</t>
        </is>
      </c>
      <c r="G1260" s="6" t="inlineStr">
        <is>
          <t>PY</t>
        </is>
      </c>
      <c r="H1260" s="6" t="inlineStr">
        <is>
          <t>EMSA_COPEL_AGUA_ENERGIA</t>
        </is>
      </c>
      <c r="I1260" s="8" t="n">
        <v>608464.562</v>
      </c>
      <c r="J1260" s="6" t="inlineStr">
        <is>
          <t>MWh</t>
        </is>
      </c>
      <c r="K1260" s="8" t="n">
        <v>608464.562</v>
      </c>
      <c r="L1260" s="6" t="inlineStr">
        <is>
          <t>MWh</t>
        </is>
      </c>
      <c r="M1260" s="6" t="inlineStr">
        <is>
          <t>ANDE</t>
        </is>
      </c>
      <c r="N1260" s="6" t="inlineStr">
        <is>
          <t>OFFICIAL_PRIMARY</t>
        </is>
      </c>
      <c r="O1260" s="9" t="inlineStr">
        <is>
          <t>OFFICIAL_AGGREGATE</t>
        </is>
      </c>
      <c r="P1260" s="8" t="n">
        <v>1</v>
      </c>
      <c r="Q1260" s="8" t="n">
        <v>45</v>
      </c>
      <c r="R1260" s="7" t="inlineStr">
        <is>
          <t>https://www.ande.gov.py/estadisticas/BalanceEnergia1983-2006/CompilacionEstadistica83-06.pdf</t>
        </is>
      </c>
      <c r="S1260" s="6" t="inlineStr">
        <is>
          <t>ANDE-83-06</t>
        </is>
      </c>
      <c r="T1260" s="6" t="inlineStr"/>
      <c r="U1260" s="4" t="inlineStr">
        <is>
          <t>2026-09-11 00:05:00</t>
        </is>
      </c>
      <c r="V1260" s="4" t="inlineStr">
        <is>
          <t>Etiqueta exacta agrupada de la fuente: EMSA, COPEL, Agua y Energia.</t>
        </is>
      </c>
    </row>
    <row r="1261">
      <c r="A1261" s="6" t="inlineStr">
        <is>
          <t>R0001377</t>
        </is>
      </c>
      <c r="B1261" s="6" t="inlineStr">
        <is>
          <t>2001-01-01</t>
        </is>
      </c>
      <c r="C1261" s="6" t="inlineStr">
        <is>
          <t>2001-12-31</t>
        </is>
      </c>
      <c r="D1261" s="6" t="inlineStr">
        <is>
          <t>year</t>
        </is>
      </c>
      <c r="E1261" s="6" t="inlineStr">
        <is>
          <t>ANDE_EXPORT_BY_COUNTERPARTY</t>
        </is>
      </c>
      <c r="F1261" s="6" t="inlineStr">
        <is>
          <t>PY_SIN</t>
        </is>
      </c>
      <c r="G1261" s="6" t="inlineStr">
        <is>
          <t>PY</t>
        </is>
      </c>
      <c r="H1261" s="6" t="inlineStr">
        <is>
          <t>EMSA_COPEL_AGUA_ENERGIA</t>
        </is>
      </c>
      <c r="I1261" s="8" t="n">
        <v>636287.2120000001</v>
      </c>
      <c r="J1261" s="6" t="inlineStr">
        <is>
          <t>MWh</t>
        </is>
      </c>
      <c r="K1261" s="8" t="n">
        <v>636287.2120000001</v>
      </c>
      <c r="L1261" s="6" t="inlineStr">
        <is>
          <t>MWh</t>
        </is>
      </c>
      <c r="M1261" s="6" t="inlineStr">
        <is>
          <t>ANDE</t>
        </is>
      </c>
      <c r="N1261" s="6" t="inlineStr">
        <is>
          <t>OFFICIAL_PRIMARY</t>
        </is>
      </c>
      <c r="O1261" s="9" t="inlineStr">
        <is>
          <t>OFFICIAL_AGGREGATE</t>
        </is>
      </c>
      <c r="P1261" s="8" t="n">
        <v>1</v>
      </c>
      <c r="Q1261" s="8" t="n">
        <v>45</v>
      </c>
      <c r="R1261" s="7" t="inlineStr">
        <is>
          <t>https://www.ande.gov.py/estadisticas/BalanceEnergia1983-2006/CompilacionEstadistica83-06.pdf</t>
        </is>
      </c>
      <c r="S1261" s="6" t="inlineStr">
        <is>
          <t>ANDE-83-06</t>
        </is>
      </c>
      <c r="T1261" s="6" t="inlineStr"/>
      <c r="U1261" s="4" t="inlineStr">
        <is>
          <t>2026-09-11 00:05:00</t>
        </is>
      </c>
      <c r="V1261" s="4" t="inlineStr">
        <is>
          <t>Etiqueta exacta agrupada de la fuente: EMSA, COPEL, Agua y Energia.</t>
        </is>
      </c>
    </row>
    <row r="1262">
      <c r="A1262" s="6" t="inlineStr">
        <is>
          <t>R0001378</t>
        </is>
      </c>
      <c r="B1262" s="6" t="inlineStr">
        <is>
          <t>2002-01-01</t>
        </is>
      </c>
      <c r="C1262" s="6" t="inlineStr">
        <is>
          <t>2002-12-31</t>
        </is>
      </c>
      <c r="D1262" s="6" t="inlineStr">
        <is>
          <t>year</t>
        </is>
      </c>
      <c r="E1262" s="6" t="inlineStr">
        <is>
          <t>ANDE_EXPORT_BY_COUNTERPARTY</t>
        </is>
      </c>
      <c r="F1262" s="6" t="inlineStr">
        <is>
          <t>PY_SIN</t>
        </is>
      </c>
      <c r="G1262" s="6" t="inlineStr">
        <is>
          <t>PY</t>
        </is>
      </c>
      <c r="H1262" s="6" t="inlineStr">
        <is>
          <t>EMSA_COPEL_AGUA_ENERGIA</t>
        </is>
      </c>
      <c r="I1262" s="8" t="n">
        <v>667161.6</v>
      </c>
      <c r="J1262" s="6" t="inlineStr">
        <is>
          <t>MWh</t>
        </is>
      </c>
      <c r="K1262" s="8" t="n">
        <v>667161.6</v>
      </c>
      <c r="L1262" s="6" t="inlineStr">
        <is>
          <t>MWh</t>
        </is>
      </c>
      <c r="M1262" s="6" t="inlineStr">
        <is>
          <t>ANDE</t>
        </is>
      </c>
      <c r="N1262" s="6" t="inlineStr">
        <is>
          <t>OFFICIAL_PRIMARY</t>
        </is>
      </c>
      <c r="O1262" s="9" t="inlineStr">
        <is>
          <t>OFFICIAL_AGGREGATE</t>
        </is>
      </c>
      <c r="P1262" s="8" t="n">
        <v>1</v>
      </c>
      <c r="Q1262" s="8" t="n">
        <v>45</v>
      </c>
      <c r="R1262" s="7" t="inlineStr">
        <is>
          <t>https://www.ande.gov.py/estadisticas/BalanceEnergia1983-2006/CompilacionEstadistica83-06.pdf</t>
        </is>
      </c>
      <c r="S1262" s="6" t="inlineStr">
        <is>
          <t>ANDE-83-06</t>
        </is>
      </c>
      <c r="T1262" s="6" t="inlineStr"/>
      <c r="U1262" s="4" t="inlineStr">
        <is>
          <t>2026-09-11 00:05:00</t>
        </is>
      </c>
      <c r="V1262" s="4" t="inlineStr">
        <is>
          <t>Etiqueta exacta agrupada de la fuente: EMSA, COPEL, Agua y Energia.</t>
        </is>
      </c>
    </row>
    <row r="1263">
      <c r="A1263" s="6" t="inlineStr">
        <is>
          <t>R0001379</t>
        </is>
      </c>
      <c r="B1263" s="6" t="inlineStr">
        <is>
          <t>2003-01-01</t>
        </is>
      </c>
      <c r="C1263" s="6" t="inlineStr">
        <is>
          <t>2003-12-31</t>
        </is>
      </c>
      <c r="D1263" s="6" t="inlineStr">
        <is>
          <t>year</t>
        </is>
      </c>
      <c r="E1263" s="6" t="inlineStr">
        <is>
          <t>ANDE_EXPORT_BY_COUNTERPARTY</t>
        </is>
      </c>
      <c r="F1263" s="6" t="inlineStr">
        <is>
          <t>PY_SIN</t>
        </is>
      </c>
      <c r="G1263" s="6" t="inlineStr">
        <is>
          <t>PY</t>
        </is>
      </c>
      <c r="H1263" s="6" t="inlineStr">
        <is>
          <t>EMSA_COPEL_AGUA_ENERGIA</t>
        </is>
      </c>
      <c r="I1263" s="8" t="n">
        <v>617475.812</v>
      </c>
      <c r="J1263" s="6" t="inlineStr">
        <is>
          <t>MWh</t>
        </is>
      </c>
      <c r="K1263" s="8" t="n">
        <v>617475.812</v>
      </c>
      <c r="L1263" s="6" t="inlineStr">
        <is>
          <t>MWh</t>
        </is>
      </c>
      <c r="M1263" s="6" t="inlineStr">
        <is>
          <t>ANDE</t>
        </is>
      </c>
      <c r="N1263" s="6" t="inlineStr">
        <is>
          <t>OFFICIAL_PRIMARY</t>
        </is>
      </c>
      <c r="O1263" s="9" t="inlineStr">
        <is>
          <t>OFFICIAL_AGGREGATE</t>
        </is>
      </c>
      <c r="P1263" s="8" t="n">
        <v>1</v>
      </c>
      <c r="Q1263" s="8" t="n">
        <v>45</v>
      </c>
      <c r="R1263" s="7" t="inlineStr">
        <is>
          <t>https://www.ande.gov.py/estadisticas/BalanceEnergia1983-2006/CompilacionEstadistica83-06.pdf</t>
        </is>
      </c>
      <c r="S1263" s="6" t="inlineStr">
        <is>
          <t>ANDE-83-06</t>
        </is>
      </c>
      <c r="T1263" s="6" t="inlineStr"/>
      <c r="U1263" s="4" t="inlineStr">
        <is>
          <t>2026-09-11 00:05:00</t>
        </is>
      </c>
      <c r="V1263" s="4" t="inlineStr">
        <is>
          <t>Etiqueta exacta agrupada de la fuente: EMSA, COPEL, Agua y Energia.</t>
        </is>
      </c>
    </row>
    <row r="1264">
      <c r="A1264" s="6" t="inlineStr">
        <is>
          <t>R0001380</t>
        </is>
      </c>
      <c r="B1264" s="6" t="inlineStr">
        <is>
          <t>2004-01-01</t>
        </is>
      </c>
      <c r="C1264" s="6" t="inlineStr">
        <is>
          <t>2004-12-31</t>
        </is>
      </c>
      <c r="D1264" s="6" t="inlineStr">
        <is>
          <t>year</t>
        </is>
      </c>
      <c r="E1264" s="6" t="inlineStr">
        <is>
          <t>ANDE_EXPORT_BY_COUNTERPARTY</t>
        </is>
      </c>
      <c r="F1264" s="6" t="inlineStr">
        <is>
          <t>PY_SIN</t>
        </is>
      </c>
      <c r="G1264" s="6" t="inlineStr">
        <is>
          <t>PY</t>
        </is>
      </c>
      <c r="H1264" s="6" t="inlineStr">
        <is>
          <t>EMSA_COPEL_AGUA_ENERGIA</t>
        </is>
      </c>
      <c r="I1264" s="8" t="n">
        <v>732379.6679999999</v>
      </c>
      <c r="J1264" s="6" t="inlineStr">
        <is>
          <t>MWh</t>
        </is>
      </c>
      <c r="K1264" s="8" t="n">
        <v>732379.6679999999</v>
      </c>
      <c r="L1264" s="6" t="inlineStr">
        <is>
          <t>MWh</t>
        </is>
      </c>
      <c r="M1264" s="6" t="inlineStr">
        <is>
          <t>ANDE</t>
        </is>
      </c>
      <c r="N1264" s="6" t="inlineStr">
        <is>
          <t>OFFICIAL_PRIMARY</t>
        </is>
      </c>
      <c r="O1264" s="9" t="inlineStr">
        <is>
          <t>OFFICIAL_AGGREGATE</t>
        </is>
      </c>
      <c r="P1264" s="8" t="n">
        <v>1</v>
      </c>
      <c r="Q1264" s="8" t="n">
        <v>45</v>
      </c>
      <c r="R1264" s="7" t="inlineStr">
        <is>
          <t>https://www.ande.gov.py/estadisticas/BalanceEnergia1983-2006/CompilacionEstadistica83-06.pdf</t>
        </is>
      </c>
      <c r="S1264" s="6" t="inlineStr">
        <is>
          <t>ANDE-83-06</t>
        </is>
      </c>
      <c r="T1264" s="6" t="inlineStr"/>
      <c r="U1264" s="4" t="inlineStr">
        <is>
          <t>2026-09-11 00:05:00</t>
        </is>
      </c>
      <c r="V1264" s="4" t="inlineStr">
        <is>
          <t>Etiqueta exacta agrupada de la fuente: EMSA, COPEL, Agua y Energia.</t>
        </is>
      </c>
    </row>
    <row r="1265">
      <c r="A1265" s="6" t="inlineStr">
        <is>
          <t>R0001381</t>
        </is>
      </c>
      <c r="B1265" s="6" t="inlineStr">
        <is>
          <t>2005-01-01</t>
        </is>
      </c>
      <c r="C1265" s="6" t="inlineStr">
        <is>
          <t>2005-12-31</t>
        </is>
      </c>
      <c r="D1265" s="6" t="inlineStr">
        <is>
          <t>year</t>
        </is>
      </c>
      <c r="E1265" s="6" t="inlineStr">
        <is>
          <t>ANDE_EXPORT_BY_COUNTERPARTY</t>
        </is>
      </c>
      <c r="F1265" s="6" t="inlineStr">
        <is>
          <t>PY_SIN</t>
        </is>
      </c>
      <c r="G1265" s="6" t="inlineStr">
        <is>
          <t>PY</t>
        </is>
      </c>
      <c r="H1265" s="6" t="inlineStr">
        <is>
          <t>EMSA_COPEL_AGUA_ENERGIA</t>
        </is>
      </c>
      <c r="I1265" s="8" t="n">
        <v>417117.143</v>
      </c>
      <c r="J1265" s="6" t="inlineStr">
        <is>
          <t>MWh</t>
        </is>
      </c>
      <c r="K1265" s="8" t="n">
        <v>417117.143</v>
      </c>
      <c r="L1265" s="6" t="inlineStr">
        <is>
          <t>MWh</t>
        </is>
      </c>
      <c r="M1265" s="6" t="inlineStr">
        <is>
          <t>ANDE</t>
        </is>
      </c>
      <c r="N1265" s="6" t="inlineStr">
        <is>
          <t>OFFICIAL_PRIMARY</t>
        </is>
      </c>
      <c r="O1265" s="9" t="inlineStr">
        <is>
          <t>OFFICIAL_AGGREGATE</t>
        </is>
      </c>
      <c r="P1265" s="8" t="n">
        <v>1</v>
      </c>
      <c r="Q1265" s="8" t="n">
        <v>45</v>
      </c>
      <c r="R1265" s="7" t="inlineStr">
        <is>
          <t>https://www.ande.gov.py/estadisticas/BalanceEnergia1983-2006/CompilacionEstadistica83-06.pdf</t>
        </is>
      </c>
      <c r="S1265" s="6" t="inlineStr">
        <is>
          <t>ANDE-83-06</t>
        </is>
      </c>
      <c r="T1265" s="6" t="inlineStr"/>
      <c r="U1265" s="4" t="inlineStr">
        <is>
          <t>2026-09-11 00:05:00</t>
        </is>
      </c>
      <c r="V1265" s="4" t="inlineStr">
        <is>
          <t>Etiqueta exacta agrupada de la fuente: EMSA, COPEL, Agua y Energia.</t>
        </is>
      </c>
    </row>
    <row r="1266">
      <c r="A1266" s="6" t="inlineStr">
        <is>
          <t>R0001382</t>
        </is>
      </c>
      <c r="B1266" s="6" t="inlineStr">
        <is>
          <t>2006-01-01</t>
        </is>
      </c>
      <c r="C1266" s="6" t="inlineStr">
        <is>
          <t>2006-12-31</t>
        </is>
      </c>
      <c r="D1266" s="6" t="inlineStr">
        <is>
          <t>year</t>
        </is>
      </c>
      <c r="E1266" s="6" t="inlineStr">
        <is>
          <t>ANDE_EXPORT_BY_COUNTERPARTY</t>
        </is>
      </c>
      <c r="F1266" s="6" t="inlineStr">
        <is>
          <t>PY_SIN</t>
        </is>
      </c>
      <c r="G1266" s="6" t="inlineStr">
        <is>
          <t>PY</t>
        </is>
      </c>
      <c r="H1266" s="6" t="inlineStr">
        <is>
          <t>EMSA_COPEL_AGUA_ENERGIA</t>
        </is>
      </c>
      <c r="I1266" s="8" t="n">
        <v>725645.545</v>
      </c>
      <c r="J1266" s="6" t="inlineStr">
        <is>
          <t>MWh</t>
        </is>
      </c>
      <c r="K1266" s="8" t="n">
        <v>725645.545</v>
      </c>
      <c r="L1266" s="6" t="inlineStr">
        <is>
          <t>MWh</t>
        </is>
      </c>
      <c r="M1266" s="6" t="inlineStr">
        <is>
          <t>ANDE</t>
        </is>
      </c>
      <c r="N1266" s="6" t="inlineStr">
        <is>
          <t>OFFICIAL_PRIMARY</t>
        </is>
      </c>
      <c r="O1266" s="9" t="inlineStr">
        <is>
          <t>OFFICIAL_AGGREGATE</t>
        </is>
      </c>
      <c r="P1266" s="8" t="n">
        <v>1</v>
      </c>
      <c r="Q1266" s="8" t="n">
        <v>45</v>
      </c>
      <c r="R1266" s="7" t="inlineStr">
        <is>
          <t>https://www.ande.gov.py/estadisticas/BalanceEnergia1983-2006/CompilacionEstadistica83-06.pdf</t>
        </is>
      </c>
      <c r="S1266" s="6" t="inlineStr">
        <is>
          <t>ANDE-83-06</t>
        </is>
      </c>
      <c r="T1266" s="6" t="inlineStr"/>
      <c r="U1266" s="4" t="inlineStr">
        <is>
          <t>2026-09-11 00:05:00</t>
        </is>
      </c>
      <c r="V1266" s="4" t="inlineStr">
        <is>
          <t>Etiqueta exacta agrupada de la fuente: EMSA, COPEL, Agua y Energia.</t>
        </is>
      </c>
    </row>
    <row r="1267">
      <c r="A1267" s="6" t="inlineStr">
        <is>
          <t>R0001383</t>
        </is>
      </c>
      <c r="B1267" s="6" t="inlineStr">
        <is>
          <t>1989-01-01</t>
        </is>
      </c>
      <c r="C1267" s="6" t="inlineStr">
        <is>
          <t>1989-12-31</t>
        </is>
      </c>
      <c r="D1267" s="6" t="inlineStr">
        <is>
          <t>year</t>
        </is>
      </c>
      <c r="E1267" s="6" t="inlineStr">
        <is>
          <t>ANDE_EXPORT_BY_COUNTERPARTY</t>
        </is>
      </c>
      <c r="F1267" s="6" t="inlineStr">
        <is>
          <t>PY_SIN</t>
        </is>
      </c>
      <c r="G1267" s="6" t="inlineStr">
        <is>
          <t>PY</t>
        </is>
      </c>
      <c r="H1267" s="6" t="inlineStr">
        <is>
          <t>ERIDAY_YACYRETA</t>
        </is>
      </c>
      <c r="I1267" s="8" t="n">
        <v>88691.361</v>
      </c>
      <c r="J1267" s="6" t="inlineStr">
        <is>
          <t>MWh</t>
        </is>
      </c>
      <c r="K1267" s="8" t="n">
        <v>88691.361</v>
      </c>
      <c r="L1267" s="6" t="inlineStr">
        <is>
          <t>MWh</t>
        </is>
      </c>
      <c r="M1267" s="6" t="inlineStr">
        <is>
          <t>ANDE</t>
        </is>
      </c>
      <c r="N1267" s="6" t="inlineStr">
        <is>
          <t>OFFICIAL_PRIMARY</t>
        </is>
      </c>
      <c r="O1267" s="9" t="inlineStr">
        <is>
          <t>OFFICIAL_AGGREGATE</t>
        </is>
      </c>
      <c r="P1267" s="8" t="n">
        <v>1</v>
      </c>
      <c r="Q1267" s="8" t="n">
        <v>45</v>
      </c>
      <c r="R1267" s="7" t="inlineStr">
        <is>
          <t>https://www.ande.gov.py/estadisticas/BalanceEnergia1983-2006/CompilacionEstadistica83-06.pdf</t>
        </is>
      </c>
      <c r="S1267" s="6" t="inlineStr">
        <is>
          <t>ANDE-83-06</t>
        </is>
      </c>
      <c r="T1267" s="6" t="inlineStr"/>
      <c r="U1267" s="4" t="inlineStr">
        <is>
          <t>2026-09-11 00:05:00</t>
        </is>
      </c>
      <c r="V1267" s="4" t="inlineStr">
        <is>
          <t>Etiqueta historica ERIDAY/Yacyreta.</t>
        </is>
      </c>
    </row>
    <row r="1268">
      <c r="A1268" s="6" t="inlineStr">
        <is>
          <t>R0001384</t>
        </is>
      </c>
      <c r="B1268" s="6" t="inlineStr">
        <is>
          <t>1990-01-01</t>
        </is>
      </c>
      <c r="C1268" s="6" t="inlineStr">
        <is>
          <t>1990-12-31</t>
        </is>
      </c>
      <c r="D1268" s="6" t="inlineStr">
        <is>
          <t>year</t>
        </is>
      </c>
      <c r="E1268" s="6" t="inlineStr">
        <is>
          <t>ANDE_EXPORT_BY_COUNTERPARTY</t>
        </is>
      </c>
      <c r="F1268" s="6" t="inlineStr">
        <is>
          <t>PY_SIN</t>
        </is>
      </c>
      <c r="G1268" s="6" t="inlineStr">
        <is>
          <t>PY</t>
        </is>
      </c>
      <c r="H1268" s="6" t="inlineStr">
        <is>
          <t>ERIDAY_YACYRETA</t>
        </is>
      </c>
      <c r="I1268" s="8" t="n">
        <v>80830.69100000001</v>
      </c>
      <c r="J1268" s="6" t="inlineStr">
        <is>
          <t>MWh</t>
        </is>
      </c>
      <c r="K1268" s="8" t="n">
        <v>80830.69100000001</v>
      </c>
      <c r="L1268" s="6" t="inlineStr">
        <is>
          <t>MWh</t>
        </is>
      </c>
      <c r="M1268" s="6" t="inlineStr">
        <is>
          <t>ANDE</t>
        </is>
      </c>
      <c r="N1268" s="6" t="inlineStr">
        <is>
          <t>OFFICIAL_PRIMARY</t>
        </is>
      </c>
      <c r="O1268" s="9" t="inlineStr">
        <is>
          <t>OFFICIAL_AGGREGATE</t>
        </is>
      </c>
      <c r="P1268" s="8" t="n">
        <v>1</v>
      </c>
      <c r="Q1268" s="8" t="n">
        <v>45</v>
      </c>
      <c r="R1268" s="7" t="inlineStr">
        <is>
          <t>https://www.ande.gov.py/estadisticas/BalanceEnergia1983-2006/CompilacionEstadistica83-06.pdf</t>
        </is>
      </c>
      <c r="S1268" s="6" t="inlineStr">
        <is>
          <t>ANDE-83-06</t>
        </is>
      </c>
      <c r="T1268" s="6" t="inlineStr"/>
      <c r="U1268" s="4" t="inlineStr">
        <is>
          <t>2026-09-11 00:05:00</t>
        </is>
      </c>
      <c r="V1268" s="4" t="inlineStr">
        <is>
          <t>Etiqueta historica ERIDAY/Yacyreta.</t>
        </is>
      </c>
    </row>
    <row r="1269">
      <c r="A1269" s="6" t="inlineStr">
        <is>
          <t>R0001385</t>
        </is>
      </c>
      <c r="B1269" s="6" t="inlineStr">
        <is>
          <t>1991-01-01</t>
        </is>
      </c>
      <c r="C1269" s="6" t="inlineStr">
        <is>
          <t>1991-12-31</t>
        </is>
      </c>
      <c r="D1269" s="6" t="inlineStr">
        <is>
          <t>year</t>
        </is>
      </c>
      <c r="E1269" s="6" t="inlineStr">
        <is>
          <t>ANDE_EXPORT_BY_COUNTERPARTY</t>
        </is>
      </c>
      <c r="F1269" s="6" t="inlineStr">
        <is>
          <t>PY_SIN</t>
        </is>
      </c>
      <c r="G1269" s="6" t="inlineStr">
        <is>
          <t>PY</t>
        </is>
      </c>
      <c r="H1269" s="6" t="inlineStr">
        <is>
          <t>ERIDAY_YACYRETA</t>
        </is>
      </c>
      <c r="I1269" s="8" t="n">
        <v>61069.374</v>
      </c>
      <c r="J1269" s="6" t="inlineStr">
        <is>
          <t>MWh</t>
        </is>
      </c>
      <c r="K1269" s="8" t="n">
        <v>61069.374</v>
      </c>
      <c r="L1269" s="6" t="inlineStr">
        <is>
          <t>MWh</t>
        </is>
      </c>
      <c r="M1269" s="6" t="inlineStr">
        <is>
          <t>ANDE</t>
        </is>
      </c>
      <c r="N1269" s="6" t="inlineStr">
        <is>
          <t>OFFICIAL_PRIMARY</t>
        </is>
      </c>
      <c r="O1269" s="9" t="inlineStr">
        <is>
          <t>OFFICIAL_AGGREGATE</t>
        </is>
      </c>
      <c r="P1269" s="8" t="n">
        <v>1</v>
      </c>
      <c r="Q1269" s="8" t="n">
        <v>45</v>
      </c>
      <c r="R1269" s="7" t="inlineStr">
        <is>
          <t>https://www.ande.gov.py/estadisticas/BalanceEnergia1983-2006/CompilacionEstadistica83-06.pdf</t>
        </is>
      </c>
      <c r="S1269" s="6" t="inlineStr">
        <is>
          <t>ANDE-83-06</t>
        </is>
      </c>
      <c r="T1269" s="6" t="inlineStr"/>
      <c r="U1269" s="4" t="inlineStr">
        <is>
          <t>2026-09-11 00:05:00</t>
        </is>
      </c>
      <c r="V1269" s="4" t="inlineStr">
        <is>
          <t>Etiqueta historica ERIDAY/Yacyreta.</t>
        </is>
      </c>
    </row>
    <row r="1270">
      <c r="A1270" s="6" t="inlineStr">
        <is>
          <t>R0001386</t>
        </is>
      </c>
      <c r="B1270" s="6" t="inlineStr">
        <is>
          <t>1992-01-01</t>
        </is>
      </c>
      <c r="C1270" s="6" t="inlineStr">
        <is>
          <t>1992-12-31</t>
        </is>
      </c>
      <c r="D1270" s="6" t="inlineStr">
        <is>
          <t>year</t>
        </is>
      </c>
      <c r="E1270" s="6" t="inlineStr">
        <is>
          <t>ANDE_EXPORT_BY_COUNTERPARTY</t>
        </is>
      </c>
      <c r="F1270" s="6" t="inlineStr">
        <is>
          <t>PY_SIN</t>
        </is>
      </c>
      <c r="G1270" s="6" t="inlineStr">
        <is>
          <t>PY</t>
        </is>
      </c>
      <c r="H1270" s="6" t="inlineStr">
        <is>
          <t>ERIDAY_YACYRETA</t>
        </is>
      </c>
      <c r="I1270" s="8" t="n">
        <v>53108.123</v>
      </c>
      <c r="J1270" s="6" t="inlineStr">
        <is>
          <t>MWh</t>
        </is>
      </c>
      <c r="K1270" s="8" t="n">
        <v>53108.123</v>
      </c>
      <c r="L1270" s="6" t="inlineStr">
        <is>
          <t>MWh</t>
        </is>
      </c>
      <c r="M1270" s="6" t="inlineStr">
        <is>
          <t>ANDE</t>
        </is>
      </c>
      <c r="N1270" s="6" t="inlineStr">
        <is>
          <t>OFFICIAL_PRIMARY</t>
        </is>
      </c>
      <c r="O1270" s="9" t="inlineStr">
        <is>
          <t>OFFICIAL_AGGREGATE</t>
        </is>
      </c>
      <c r="P1270" s="8" t="n">
        <v>1</v>
      </c>
      <c r="Q1270" s="8" t="n">
        <v>45</v>
      </c>
      <c r="R1270" s="7" t="inlineStr">
        <is>
          <t>https://www.ande.gov.py/estadisticas/BalanceEnergia1983-2006/CompilacionEstadistica83-06.pdf</t>
        </is>
      </c>
      <c r="S1270" s="6" t="inlineStr">
        <is>
          <t>ANDE-83-06</t>
        </is>
      </c>
      <c r="T1270" s="6" t="inlineStr"/>
      <c r="U1270" s="4" t="inlineStr">
        <is>
          <t>2026-09-11 00:05:00</t>
        </is>
      </c>
      <c r="V1270" s="4" t="inlineStr">
        <is>
          <t>Etiqueta historica ERIDAY/Yacyreta.</t>
        </is>
      </c>
    </row>
    <row r="1271">
      <c r="A1271" s="6" t="inlineStr">
        <is>
          <t>R0001387</t>
        </is>
      </c>
      <c r="B1271" s="6" t="inlineStr">
        <is>
          <t>1993-01-01</t>
        </is>
      </c>
      <c r="C1271" s="6" t="inlineStr">
        <is>
          <t>1993-12-31</t>
        </is>
      </c>
      <c r="D1271" s="6" t="inlineStr">
        <is>
          <t>year</t>
        </is>
      </c>
      <c r="E1271" s="6" t="inlineStr">
        <is>
          <t>ANDE_EXPORT_BY_COUNTERPARTY</t>
        </is>
      </c>
      <c r="F1271" s="6" t="inlineStr">
        <is>
          <t>PY_SIN</t>
        </is>
      </c>
      <c r="G1271" s="6" t="inlineStr">
        <is>
          <t>PY</t>
        </is>
      </c>
      <c r="H1271" s="6" t="inlineStr">
        <is>
          <t>ERIDAY_YACYRETA</t>
        </is>
      </c>
      <c r="I1271" s="8" t="n">
        <v>64152.332</v>
      </c>
      <c r="J1271" s="6" t="inlineStr">
        <is>
          <t>MWh</t>
        </is>
      </c>
      <c r="K1271" s="8" t="n">
        <v>64152.332</v>
      </c>
      <c r="L1271" s="6" t="inlineStr">
        <is>
          <t>MWh</t>
        </is>
      </c>
      <c r="M1271" s="6" t="inlineStr">
        <is>
          <t>ANDE</t>
        </is>
      </c>
      <c r="N1271" s="6" t="inlineStr">
        <is>
          <t>OFFICIAL_PRIMARY</t>
        </is>
      </c>
      <c r="O1271" s="9" t="inlineStr">
        <is>
          <t>OFFICIAL_AGGREGATE</t>
        </is>
      </c>
      <c r="P1271" s="8" t="n">
        <v>1</v>
      </c>
      <c r="Q1271" s="8" t="n">
        <v>45</v>
      </c>
      <c r="R1271" s="7" t="inlineStr">
        <is>
          <t>https://www.ande.gov.py/estadisticas/BalanceEnergia1983-2006/CompilacionEstadistica83-06.pdf</t>
        </is>
      </c>
      <c r="S1271" s="6" t="inlineStr">
        <is>
          <t>ANDE-83-06</t>
        </is>
      </c>
      <c r="T1271" s="6" t="inlineStr"/>
      <c r="U1271" s="4" t="inlineStr">
        <is>
          <t>2026-09-11 00:05:00</t>
        </is>
      </c>
      <c r="V1271" s="4" t="inlineStr">
        <is>
          <t>Etiqueta historica ERIDAY/Yacyreta.</t>
        </is>
      </c>
    </row>
    <row r="1272">
      <c r="A1272" s="6" t="inlineStr">
        <is>
          <t>R0001388</t>
        </is>
      </c>
      <c r="B1272" s="6" t="inlineStr">
        <is>
          <t>1994-01-01</t>
        </is>
      </c>
      <c r="C1272" s="6" t="inlineStr">
        <is>
          <t>1994-12-31</t>
        </is>
      </c>
      <c r="D1272" s="6" t="inlineStr">
        <is>
          <t>year</t>
        </is>
      </c>
      <c r="E1272" s="6" t="inlineStr">
        <is>
          <t>ANDE_EXPORT_BY_COUNTERPARTY</t>
        </is>
      </c>
      <c r="F1272" s="6" t="inlineStr">
        <is>
          <t>PY_SIN</t>
        </is>
      </c>
      <c r="G1272" s="6" t="inlineStr">
        <is>
          <t>PY</t>
        </is>
      </c>
      <c r="H1272" s="6" t="inlineStr">
        <is>
          <t>ERIDAY_YACYRETA</t>
        </is>
      </c>
      <c r="I1272" s="8" t="n">
        <v>67530.88800000001</v>
      </c>
      <c r="J1272" s="6" t="inlineStr">
        <is>
          <t>MWh</t>
        </is>
      </c>
      <c r="K1272" s="8" t="n">
        <v>67530.88800000001</v>
      </c>
      <c r="L1272" s="6" t="inlineStr">
        <is>
          <t>MWh</t>
        </is>
      </c>
      <c r="M1272" s="6" t="inlineStr">
        <is>
          <t>ANDE</t>
        </is>
      </c>
      <c r="N1272" s="6" t="inlineStr">
        <is>
          <t>OFFICIAL_PRIMARY</t>
        </is>
      </c>
      <c r="O1272" s="9" t="inlineStr">
        <is>
          <t>OFFICIAL_AGGREGATE</t>
        </is>
      </c>
      <c r="P1272" s="8" t="n">
        <v>1</v>
      </c>
      <c r="Q1272" s="8" t="n">
        <v>45</v>
      </c>
      <c r="R1272" s="7" t="inlineStr">
        <is>
          <t>https://www.ande.gov.py/estadisticas/BalanceEnergia1983-2006/CompilacionEstadistica83-06.pdf</t>
        </is>
      </c>
      <c r="S1272" s="6" t="inlineStr">
        <is>
          <t>ANDE-83-06</t>
        </is>
      </c>
      <c r="T1272" s="6" t="inlineStr"/>
      <c r="U1272" s="4" t="inlineStr">
        <is>
          <t>2026-09-11 00:05:00</t>
        </is>
      </c>
      <c r="V1272" s="4" t="inlineStr">
        <is>
          <t>Etiqueta historica ERIDAY/Yacyreta.</t>
        </is>
      </c>
    </row>
    <row r="1273">
      <c r="A1273" s="6" t="inlineStr">
        <is>
          <t>R0001389</t>
        </is>
      </c>
      <c r="B1273" s="6" t="inlineStr">
        <is>
          <t>1995-01-01</t>
        </is>
      </c>
      <c r="C1273" s="6" t="inlineStr">
        <is>
          <t>1995-12-31</t>
        </is>
      </c>
      <c r="D1273" s="6" t="inlineStr">
        <is>
          <t>year</t>
        </is>
      </c>
      <c r="E1273" s="6" t="inlineStr">
        <is>
          <t>ANDE_EXPORT_BY_COUNTERPARTY</t>
        </is>
      </c>
      <c r="F1273" s="6" t="inlineStr">
        <is>
          <t>PY_SIN</t>
        </is>
      </c>
      <c r="G1273" s="6" t="inlineStr">
        <is>
          <t>PY</t>
        </is>
      </c>
      <c r="H1273" s="6" t="inlineStr">
        <is>
          <t>ERIDAY_YACYRETA</t>
        </is>
      </c>
      <c r="I1273" s="8" t="n">
        <v>64318.231</v>
      </c>
      <c r="J1273" s="6" t="inlineStr">
        <is>
          <t>MWh</t>
        </is>
      </c>
      <c r="K1273" s="8" t="n">
        <v>64318.231</v>
      </c>
      <c r="L1273" s="6" t="inlineStr">
        <is>
          <t>MWh</t>
        </is>
      </c>
      <c r="M1273" s="6" t="inlineStr">
        <is>
          <t>ANDE</t>
        </is>
      </c>
      <c r="N1273" s="6" t="inlineStr">
        <is>
          <t>OFFICIAL_PRIMARY</t>
        </is>
      </c>
      <c r="O1273" s="9" t="inlineStr">
        <is>
          <t>OFFICIAL_AGGREGATE</t>
        </is>
      </c>
      <c r="P1273" s="8" t="n">
        <v>1</v>
      </c>
      <c r="Q1273" s="8" t="n">
        <v>45</v>
      </c>
      <c r="R1273" s="7" t="inlineStr">
        <is>
          <t>https://www.ande.gov.py/estadisticas/BalanceEnergia1983-2006/CompilacionEstadistica83-06.pdf</t>
        </is>
      </c>
      <c r="S1273" s="6" t="inlineStr">
        <is>
          <t>ANDE-83-06</t>
        </is>
      </c>
      <c r="T1273" s="6" t="inlineStr"/>
      <c r="U1273" s="4" t="inlineStr">
        <is>
          <t>2026-09-11 00:05:00</t>
        </is>
      </c>
      <c r="V1273" s="4" t="inlineStr">
        <is>
          <t>Etiqueta historica ERIDAY/Yacyreta.</t>
        </is>
      </c>
    </row>
    <row r="1274">
      <c r="A1274" s="6" t="inlineStr">
        <is>
          <t>R0001390</t>
        </is>
      </c>
      <c r="B1274" s="6" t="inlineStr">
        <is>
          <t>1996-01-01</t>
        </is>
      </c>
      <c r="C1274" s="6" t="inlineStr">
        <is>
          <t>1996-12-31</t>
        </is>
      </c>
      <c r="D1274" s="6" t="inlineStr">
        <is>
          <t>year</t>
        </is>
      </c>
      <c r="E1274" s="6" t="inlineStr">
        <is>
          <t>ANDE_EXPORT_BY_COUNTERPARTY</t>
        </is>
      </c>
      <c r="F1274" s="6" t="inlineStr">
        <is>
          <t>PY_SIN</t>
        </is>
      </c>
      <c r="G1274" s="6" t="inlineStr">
        <is>
          <t>PY</t>
        </is>
      </c>
      <c r="H1274" s="6" t="inlineStr">
        <is>
          <t>ERIDAY_YACYRETA</t>
        </is>
      </c>
      <c r="I1274" s="8" t="n">
        <v>48014.341</v>
      </c>
      <c r="J1274" s="6" t="inlineStr">
        <is>
          <t>MWh</t>
        </is>
      </c>
      <c r="K1274" s="8" t="n">
        <v>48014.341</v>
      </c>
      <c r="L1274" s="6" t="inlineStr">
        <is>
          <t>MWh</t>
        </is>
      </c>
      <c r="M1274" s="6" t="inlineStr">
        <is>
          <t>ANDE</t>
        </is>
      </c>
      <c r="N1274" s="6" t="inlineStr">
        <is>
          <t>OFFICIAL_PRIMARY</t>
        </is>
      </c>
      <c r="O1274" s="9" t="inlineStr">
        <is>
          <t>OFFICIAL_AGGREGATE</t>
        </is>
      </c>
      <c r="P1274" s="8" t="n">
        <v>1</v>
      </c>
      <c r="Q1274" s="8" t="n">
        <v>45</v>
      </c>
      <c r="R1274" s="7" t="inlineStr">
        <is>
          <t>https://www.ande.gov.py/estadisticas/BalanceEnergia1983-2006/CompilacionEstadistica83-06.pdf</t>
        </is>
      </c>
      <c r="S1274" s="6" t="inlineStr">
        <is>
          <t>ANDE-83-06</t>
        </is>
      </c>
      <c r="T1274" s="6" t="inlineStr"/>
      <c r="U1274" s="4" t="inlineStr">
        <is>
          <t>2026-09-11 00:05:00</t>
        </is>
      </c>
      <c r="V1274" s="4" t="inlineStr">
        <is>
          <t>Etiqueta historica ERIDAY/Yacyreta.</t>
        </is>
      </c>
    </row>
    <row r="1275">
      <c r="A1275" s="6" t="inlineStr">
        <is>
          <t>R0001391</t>
        </is>
      </c>
      <c r="B1275" s="6" t="inlineStr">
        <is>
          <t>1997-01-01</t>
        </is>
      </c>
      <c r="C1275" s="6" t="inlineStr">
        <is>
          <t>1997-12-31</t>
        </is>
      </c>
      <c r="D1275" s="6" t="inlineStr">
        <is>
          <t>year</t>
        </is>
      </c>
      <c r="E1275" s="6" t="inlineStr">
        <is>
          <t>ANDE_EXPORT_BY_COUNTERPARTY</t>
        </is>
      </c>
      <c r="F1275" s="6" t="inlineStr">
        <is>
          <t>PY_SIN</t>
        </is>
      </c>
      <c r="G1275" s="6" t="inlineStr">
        <is>
          <t>PY</t>
        </is>
      </c>
      <c r="H1275" s="6" t="inlineStr">
        <is>
          <t>ERIDAY_YACYRETA</t>
        </is>
      </c>
      <c r="I1275" s="8" t="n">
        <v>35814.181</v>
      </c>
      <c r="J1275" s="6" t="inlineStr">
        <is>
          <t>MWh</t>
        </is>
      </c>
      <c r="K1275" s="8" t="n">
        <v>35814.181</v>
      </c>
      <c r="L1275" s="6" t="inlineStr">
        <is>
          <t>MWh</t>
        </is>
      </c>
      <c r="M1275" s="6" t="inlineStr">
        <is>
          <t>ANDE</t>
        </is>
      </c>
      <c r="N1275" s="6" t="inlineStr">
        <is>
          <t>OFFICIAL_PRIMARY</t>
        </is>
      </c>
      <c r="O1275" s="9" t="inlineStr">
        <is>
          <t>OFFICIAL_AGGREGATE</t>
        </is>
      </c>
      <c r="P1275" s="8" t="n">
        <v>1</v>
      </c>
      <c r="Q1275" s="8" t="n">
        <v>45</v>
      </c>
      <c r="R1275" s="7" t="inlineStr">
        <is>
          <t>https://www.ande.gov.py/estadisticas/BalanceEnergia1983-2006/CompilacionEstadistica83-06.pdf</t>
        </is>
      </c>
      <c r="S1275" s="6" t="inlineStr">
        <is>
          <t>ANDE-83-06</t>
        </is>
      </c>
      <c r="T1275" s="6" t="inlineStr"/>
      <c r="U1275" s="4" t="inlineStr">
        <is>
          <t>2026-09-11 00:05:00</t>
        </is>
      </c>
      <c r="V1275" s="4" t="inlineStr">
        <is>
          <t>Etiqueta historica ERIDAY/Yacyreta.</t>
        </is>
      </c>
    </row>
    <row r="1276">
      <c r="A1276" s="6" t="inlineStr">
        <is>
          <t>R0001392</t>
        </is>
      </c>
      <c r="B1276" s="6" t="inlineStr">
        <is>
          <t>1998-01-01</t>
        </is>
      </c>
      <c r="C1276" s="6" t="inlineStr">
        <is>
          <t>1998-12-31</t>
        </is>
      </c>
      <c r="D1276" s="6" t="inlineStr">
        <is>
          <t>year</t>
        </is>
      </c>
      <c r="E1276" s="6" t="inlineStr">
        <is>
          <t>ANDE_EXPORT_BY_COUNTERPARTY</t>
        </is>
      </c>
      <c r="F1276" s="6" t="inlineStr">
        <is>
          <t>PY_SIN</t>
        </is>
      </c>
      <c r="G1276" s="6" t="inlineStr">
        <is>
          <t>PY</t>
        </is>
      </c>
      <c r="H1276" s="6" t="inlineStr">
        <is>
          <t>ERIDAY_YACYRETA</t>
        </is>
      </c>
      <c r="I1276" s="8" t="n">
        <v>28577.074</v>
      </c>
      <c r="J1276" s="6" t="inlineStr">
        <is>
          <t>MWh</t>
        </is>
      </c>
      <c r="K1276" s="8" t="n">
        <v>28577.074</v>
      </c>
      <c r="L1276" s="6" t="inlineStr">
        <is>
          <t>MWh</t>
        </is>
      </c>
      <c r="M1276" s="6" t="inlineStr">
        <is>
          <t>ANDE</t>
        </is>
      </c>
      <c r="N1276" s="6" t="inlineStr">
        <is>
          <t>OFFICIAL_PRIMARY</t>
        </is>
      </c>
      <c r="O1276" s="9" t="inlineStr">
        <is>
          <t>OFFICIAL_AGGREGATE</t>
        </is>
      </c>
      <c r="P1276" s="8" t="n">
        <v>1</v>
      </c>
      <c r="Q1276" s="8" t="n">
        <v>45</v>
      </c>
      <c r="R1276" s="7" t="inlineStr">
        <is>
          <t>https://www.ande.gov.py/estadisticas/BalanceEnergia1983-2006/CompilacionEstadistica83-06.pdf</t>
        </is>
      </c>
      <c r="S1276" s="6" t="inlineStr">
        <is>
          <t>ANDE-83-06</t>
        </is>
      </c>
      <c r="T1276" s="6" t="inlineStr"/>
      <c r="U1276" s="4" t="inlineStr">
        <is>
          <t>2026-09-11 00:05:00</t>
        </is>
      </c>
      <c r="V1276" s="4" t="inlineStr">
        <is>
          <t>Etiqueta historica ERIDAY/Yacyreta.</t>
        </is>
      </c>
    </row>
    <row r="1277">
      <c r="A1277" s="6" t="inlineStr">
        <is>
          <t>R0001393</t>
        </is>
      </c>
      <c r="B1277" s="6" t="inlineStr">
        <is>
          <t>1999-01-01</t>
        </is>
      </c>
      <c r="C1277" s="6" t="inlineStr">
        <is>
          <t>1999-12-31</t>
        </is>
      </c>
      <c r="D1277" s="6" t="inlineStr">
        <is>
          <t>year</t>
        </is>
      </c>
      <c r="E1277" s="6" t="inlineStr">
        <is>
          <t>ANDE_EXPORT_BY_COUNTERPARTY</t>
        </is>
      </c>
      <c r="F1277" s="6" t="inlineStr">
        <is>
          <t>PY_SIN</t>
        </is>
      </c>
      <c r="G1277" s="6" t="inlineStr">
        <is>
          <t>PY</t>
        </is>
      </c>
      <c r="H1277" s="6" t="inlineStr">
        <is>
          <t>ERIDAY_YACYRETA</t>
        </is>
      </c>
      <c r="I1277" s="8" t="n">
        <v>20857.478</v>
      </c>
      <c r="J1277" s="6" t="inlineStr">
        <is>
          <t>MWh</t>
        </is>
      </c>
      <c r="K1277" s="8" t="n">
        <v>20857.478</v>
      </c>
      <c r="L1277" s="6" t="inlineStr">
        <is>
          <t>MWh</t>
        </is>
      </c>
      <c r="M1277" s="6" t="inlineStr">
        <is>
          <t>ANDE</t>
        </is>
      </c>
      <c r="N1277" s="6" t="inlineStr">
        <is>
          <t>OFFICIAL_PRIMARY</t>
        </is>
      </c>
      <c r="O1277" s="9" t="inlineStr">
        <is>
          <t>OFFICIAL_AGGREGATE</t>
        </is>
      </c>
      <c r="P1277" s="8" t="n">
        <v>1</v>
      </c>
      <c r="Q1277" s="8" t="n">
        <v>45</v>
      </c>
      <c r="R1277" s="7" t="inlineStr">
        <is>
          <t>https://www.ande.gov.py/estadisticas/BalanceEnergia1983-2006/CompilacionEstadistica83-06.pdf</t>
        </is>
      </c>
      <c r="S1277" s="6" t="inlineStr">
        <is>
          <t>ANDE-83-06</t>
        </is>
      </c>
      <c r="T1277" s="6" t="inlineStr"/>
      <c r="U1277" s="4" t="inlineStr">
        <is>
          <t>2026-09-11 00:05:00</t>
        </is>
      </c>
      <c r="V1277" s="4" t="inlineStr">
        <is>
          <t>Etiqueta historica ERIDAY/Yacyreta.</t>
        </is>
      </c>
    </row>
    <row r="1278">
      <c r="A1278" s="6" t="inlineStr">
        <is>
          <t>R0001394</t>
        </is>
      </c>
      <c r="B1278" s="6" t="inlineStr">
        <is>
          <t>2000-01-01</t>
        </is>
      </c>
      <c r="C1278" s="6" t="inlineStr">
        <is>
          <t>2000-12-31</t>
        </is>
      </c>
      <c r="D1278" s="6" t="inlineStr">
        <is>
          <t>year</t>
        </is>
      </c>
      <c r="E1278" s="6" t="inlineStr">
        <is>
          <t>ANDE_EXPORT_BY_COUNTERPARTY</t>
        </is>
      </c>
      <c r="F1278" s="6" t="inlineStr">
        <is>
          <t>PY_SIN</t>
        </is>
      </c>
      <c r="G1278" s="6" t="inlineStr">
        <is>
          <t>PY</t>
        </is>
      </c>
      <c r="H1278" s="6" t="inlineStr">
        <is>
          <t>ERIDAY_YACYRETA</t>
        </is>
      </c>
      <c r="I1278" s="8" t="n">
        <v>12925.443</v>
      </c>
      <c r="J1278" s="6" t="inlineStr">
        <is>
          <t>MWh</t>
        </is>
      </c>
      <c r="K1278" s="8" t="n">
        <v>12925.443</v>
      </c>
      <c r="L1278" s="6" t="inlineStr">
        <is>
          <t>MWh</t>
        </is>
      </c>
      <c r="M1278" s="6" t="inlineStr">
        <is>
          <t>ANDE</t>
        </is>
      </c>
      <c r="N1278" s="6" t="inlineStr">
        <is>
          <t>OFFICIAL_PRIMARY</t>
        </is>
      </c>
      <c r="O1278" s="9" t="inlineStr">
        <is>
          <t>OFFICIAL_AGGREGATE</t>
        </is>
      </c>
      <c r="P1278" s="8" t="n">
        <v>1</v>
      </c>
      <c r="Q1278" s="8" t="n">
        <v>45</v>
      </c>
      <c r="R1278" s="7" t="inlineStr">
        <is>
          <t>https://www.ande.gov.py/estadisticas/BalanceEnergia1983-2006/CompilacionEstadistica83-06.pdf</t>
        </is>
      </c>
      <c r="S1278" s="6" t="inlineStr">
        <is>
          <t>ANDE-83-06</t>
        </is>
      </c>
      <c r="T1278" s="6" t="inlineStr"/>
      <c r="U1278" s="4" t="inlineStr">
        <is>
          <t>2026-09-11 00:05:00</t>
        </is>
      </c>
      <c r="V1278" s="4" t="inlineStr">
        <is>
          <t>Etiqueta historica ERIDAY/Yacyreta.</t>
        </is>
      </c>
    </row>
    <row r="1279">
      <c r="A1279" s="6" t="inlineStr">
        <is>
          <t>R0001395</t>
        </is>
      </c>
      <c r="B1279" s="6" t="inlineStr">
        <is>
          <t>2001-01-01</t>
        </is>
      </c>
      <c r="C1279" s="6" t="inlineStr">
        <is>
          <t>2001-12-31</t>
        </is>
      </c>
      <c r="D1279" s="6" t="inlineStr">
        <is>
          <t>year</t>
        </is>
      </c>
      <c r="E1279" s="6" t="inlineStr">
        <is>
          <t>ANDE_EXPORT_BY_COUNTERPARTY</t>
        </is>
      </c>
      <c r="F1279" s="6" t="inlineStr">
        <is>
          <t>PY_SIN</t>
        </is>
      </c>
      <c r="G1279" s="6" t="inlineStr">
        <is>
          <t>PY</t>
        </is>
      </c>
      <c r="H1279" s="6" t="inlineStr">
        <is>
          <t>ERIDAY_YACYRETA</t>
        </is>
      </c>
      <c r="I1279" s="8" t="n">
        <v>3144.713</v>
      </c>
      <c r="J1279" s="6" t="inlineStr">
        <is>
          <t>MWh</t>
        </is>
      </c>
      <c r="K1279" s="8" t="n">
        <v>3144.713</v>
      </c>
      <c r="L1279" s="6" t="inlineStr">
        <is>
          <t>MWh</t>
        </is>
      </c>
      <c r="M1279" s="6" t="inlineStr">
        <is>
          <t>ANDE</t>
        </is>
      </c>
      <c r="N1279" s="6" t="inlineStr">
        <is>
          <t>OFFICIAL_PRIMARY</t>
        </is>
      </c>
      <c r="O1279" s="9" t="inlineStr">
        <is>
          <t>OFFICIAL_AGGREGATE</t>
        </is>
      </c>
      <c r="P1279" s="8" t="n">
        <v>1</v>
      </c>
      <c r="Q1279" s="8" t="n">
        <v>45</v>
      </c>
      <c r="R1279" s="7" t="inlineStr">
        <is>
          <t>https://www.ande.gov.py/estadisticas/BalanceEnergia1983-2006/CompilacionEstadistica83-06.pdf</t>
        </is>
      </c>
      <c r="S1279" s="6" t="inlineStr">
        <is>
          <t>ANDE-83-06</t>
        </is>
      </c>
      <c r="T1279" s="6" t="inlineStr"/>
      <c r="U1279" s="4" t="inlineStr">
        <is>
          <t>2026-09-11 00:05:00</t>
        </is>
      </c>
      <c r="V1279" s="4" t="inlineStr">
        <is>
          <t>Etiqueta historica ERIDAY/Yacyreta.</t>
        </is>
      </c>
    </row>
    <row r="1280">
      <c r="A1280" s="6" t="inlineStr">
        <is>
          <t>R0001396</t>
        </is>
      </c>
      <c r="B1280" s="6" t="inlineStr">
        <is>
          <t>2002-01-01</t>
        </is>
      </c>
      <c r="C1280" s="6" t="inlineStr">
        <is>
          <t>2002-12-31</t>
        </is>
      </c>
      <c r="D1280" s="6" t="inlineStr">
        <is>
          <t>year</t>
        </is>
      </c>
      <c r="E1280" s="6" t="inlineStr">
        <is>
          <t>ANDE_EXPORT_BY_COUNTERPARTY</t>
        </is>
      </c>
      <c r="F1280" s="6" t="inlineStr">
        <is>
          <t>PY_SIN</t>
        </is>
      </c>
      <c r="G1280" s="6" t="inlineStr">
        <is>
          <t>PY</t>
        </is>
      </c>
      <c r="H1280" s="6" t="inlineStr">
        <is>
          <t>ERIDAY_YACYRETA</t>
        </is>
      </c>
      <c r="I1280" s="8" t="n">
        <v>6392.369</v>
      </c>
      <c r="J1280" s="6" t="inlineStr">
        <is>
          <t>MWh</t>
        </is>
      </c>
      <c r="K1280" s="8" t="n">
        <v>6392.369</v>
      </c>
      <c r="L1280" s="6" t="inlineStr">
        <is>
          <t>MWh</t>
        </is>
      </c>
      <c r="M1280" s="6" t="inlineStr">
        <is>
          <t>ANDE</t>
        </is>
      </c>
      <c r="N1280" s="6" t="inlineStr">
        <is>
          <t>OFFICIAL_PRIMARY</t>
        </is>
      </c>
      <c r="O1280" s="9" t="inlineStr">
        <is>
          <t>OFFICIAL_AGGREGATE</t>
        </is>
      </c>
      <c r="P1280" s="8" t="n">
        <v>1</v>
      </c>
      <c r="Q1280" s="8" t="n">
        <v>45</v>
      </c>
      <c r="R1280" s="7" t="inlineStr">
        <is>
          <t>https://www.ande.gov.py/estadisticas/BalanceEnergia1983-2006/CompilacionEstadistica83-06.pdf</t>
        </is>
      </c>
      <c r="S1280" s="6" t="inlineStr">
        <is>
          <t>ANDE-83-06</t>
        </is>
      </c>
      <c r="T1280" s="6" t="inlineStr"/>
      <c r="U1280" s="4" t="inlineStr">
        <is>
          <t>2026-09-11 00:05:00</t>
        </is>
      </c>
      <c r="V1280" s="4" t="inlineStr">
        <is>
          <t>Etiqueta historica ERIDAY/Yacyreta.</t>
        </is>
      </c>
    </row>
    <row r="1281">
      <c r="A1281" s="6" t="inlineStr">
        <is>
          <t>R0001397</t>
        </is>
      </c>
      <c r="B1281" s="6" t="inlineStr">
        <is>
          <t>2003-01-01</t>
        </is>
      </c>
      <c r="C1281" s="6" t="inlineStr">
        <is>
          <t>2003-12-31</t>
        </is>
      </c>
      <c r="D1281" s="6" t="inlineStr">
        <is>
          <t>year</t>
        </is>
      </c>
      <c r="E1281" s="6" t="inlineStr">
        <is>
          <t>ANDE_EXPORT_BY_COUNTERPARTY</t>
        </is>
      </c>
      <c r="F1281" s="6" t="inlineStr">
        <is>
          <t>PY_SIN</t>
        </is>
      </c>
      <c r="G1281" s="6" t="inlineStr">
        <is>
          <t>PY</t>
        </is>
      </c>
      <c r="H1281" s="6" t="inlineStr">
        <is>
          <t>ERIDAY_YACYRETA</t>
        </is>
      </c>
      <c r="I1281" s="8" t="n">
        <v>3290.871</v>
      </c>
      <c r="J1281" s="6" t="inlineStr">
        <is>
          <t>MWh</t>
        </is>
      </c>
      <c r="K1281" s="8" t="n">
        <v>3290.871</v>
      </c>
      <c r="L1281" s="6" t="inlineStr">
        <is>
          <t>MWh</t>
        </is>
      </c>
      <c r="M1281" s="6" t="inlineStr">
        <is>
          <t>ANDE</t>
        </is>
      </c>
      <c r="N1281" s="6" t="inlineStr">
        <is>
          <t>OFFICIAL_PRIMARY</t>
        </is>
      </c>
      <c r="O1281" s="9" t="inlineStr">
        <is>
          <t>OFFICIAL_AGGREGATE</t>
        </is>
      </c>
      <c r="P1281" s="8" t="n">
        <v>1</v>
      </c>
      <c r="Q1281" s="8" t="n">
        <v>45</v>
      </c>
      <c r="R1281" s="7" t="inlineStr">
        <is>
          <t>https://www.ande.gov.py/estadisticas/BalanceEnergia1983-2006/CompilacionEstadistica83-06.pdf</t>
        </is>
      </c>
      <c r="S1281" s="6" t="inlineStr">
        <is>
          <t>ANDE-83-06</t>
        </is>
      </c>
      <c r="T1281" s="6" t="inlineStr"/>
      <c r="U1281" s="4" t="inlineStr">
        <is>
          <t>2026-09-11 00:05:00</t>
        </is>
      </c>
      <c r="V1281" s="4" t="inlineStr">
        <is>
          <t>Etiqueta historica ERIDAY/Yacyreta.</t>
        </is>
      </c>
    </row>
    <row r="1282">
      <c r="A1282" s="6" t="inlineStr">
        <is>
          <t>R0001398</t>
        </is>
      </c>
      <c r="B1282" s="6" t="inlineStr">
        <is>
          <t>2004-01-01</t>
        </is>
      </c>
      <c r="C1282" s="6" t="inlineStr">
        <is>
          <t>2004-12-31</t>
        </is>
      </c>
      <c r="D1282" s="6" t="inlineStr">
        <is>
          <t>year</t>
        </is>
      </c>
      <c r="E1282" s="6" t="inlineStr">
        <is>
          <t>ANDE_EXPORT_BY_COUNTERPARTY</t>
        </is>
      </c>
      <c r="F1282" s="6" t="inlineStr">
        <is>
          <t>PY_SIN</t>
        </is>
      </c>
      <c r="G1282" s="6" t="inlineStr">
        <is>
          <t>PY</t>
        </is>
      </c>
      <c r="H1282" s="6" t="inlineStr">
        <is>
          <t>ERIDAY_YACYRETA</t>
        </is>
      </c>
      <c r="I1282" s="8" t="n">
        <v>2931.074</v>
      </c>
      <c r="J1282" s="6" t="inlineStr">
        <is>
          <t>MWh</t>
        </is>
      </c>
      <c r="K1282" s="8" t="n">
        <v>2931.074</v>
      </c>
      <c r="L1282" s="6" t="inlineStr">
        <is>
          <t>MWh</t>
        </is>
      </c>
      <c r="M1282" s="6" t="inlineStr">
        <is>
          <t>ANDE</t>
        </is>
      </c>
      <c r="N1282" s="6" t="inlineStr">
        <is>
          <t>OFFICIAL_PRIMARY</t>
        </is>
      </c>
      <c r="O1282" s="9" t="inlineStr">
        <is>
          <t>OFFICIAL_AGGREGATE</t>
        </is>
      </c>
      <c r="P1282" s="8" t="n">
        <v>1</v>
      </c>
      <c r="Q1282" s="8" t="n">
        <v>45</v>
      </c>
      <c r="R1282" s="7" t="inlineStr">
        <is>
          <t>https://www.ande.gov.py/estadisticas/BalanceEnergia1983-2006/CompilacionEstadistica83-06.pdf</t>
        </is>
      </c>
      <c r="S1282" s="6" t="inlineStr">
        <is>
          <t>ANDE-83-06</t>
        </is>
      </c>
      <c r="T1282" s="6" t="inlineStr"/>
      <c r="U1282" s="4" t="inlineStr">
        <is>
          <t>2026-09-11 00:05:00</t>
        </is>
      </c>
      <c r="V1282" s="4" t="inlineStr">
        <is>
          <t>Etiqueta historica ERIDAY/Yacyreta.</t>
        </is>
      </c>
    </row>
    <row r="1283">
      <c r="A1283" s="6" t="inlineStr">
        <is>
          <t>R0001399</t>
        </is>
      </c>
      <c r="B1283" s="6" t="inlineStr">
        <is>
          <t>2005-01-01</t>
        </is>
      </c>
      <c r="C1283" s="6" t="inlineStr">
        <is>
          <t>2005-12-31</t>
        </is>
      </c>
      <c r="D1283" s="6" t="inlineStr">
        <is>
          <t>year</t>
        </is>
      </c>
      <c r="E1283" s="6" t="inlineStr">
        <is>
          <t>ANDE_EXPORT_BY_COUNTERPARTY</t>
        </is>
      </c>
      <c r="F1283" s="6" t="inlineStr">
        <is>
          <t>PY_SIN</t>
        </is>
      </c>
      <c r="G1283" s="6" t="inlineStr">
        <is>
          <t>PY</t>
        </is>
      </c>
      <c r="H1283" s="6" t="inlineStr">
        <is>
          <t>ERIDAY_YACYRETA</t>
        </is>
      </c>
      <c r="I1283" s="8" t="n">
        <v>2888.693</v>
      </c>
      <c r="J1283" s="6" t="inlineStr">
        <is>
          <t>MWh</t>
        </is>
      </c>
      <c r="K1283" s="8" t="n">
        <v>2888.693</v>
      </c>
      <c r="L1283" s="6" t="inlineStr">
        <is>
          <t>MWh</t>
        </is>
      </c>
      <c r="M1283" s="6" t="inlineStr">
        <is>
          <t>ANDE</t>
        </is>
      </c>
      <c r="N1283" s="6" t="inlineStr">
        <is>
          <t>OFFICIAL_PRIMARY</t>
        </is>
      </c>
      <c r="O1283" s="9" t="inlineStr">
        <is>
          <t>OFFICIAL_AGGREGATE</t>
        </is>
      </c>
      <c r="P1283" s="8" t="n">
        <v>1</v>
      </c>
      <c r="Q1283" s="8" t="n">
        <v>45</v>
      </c>
      <c r="R1283" s="7" t="inlineStr">
        <is>
          <t>https://www.ande.gov.py/estadisticas/BalanceEnergia1983-2006/CompilacionEstadistica83-06.pdf</t>
        </is>
      </c>
      <c r="S1283" s="6" t="inlineStr">
        <is>
          <t>ANDE-83-06</t>
        </is>
      </c>
      <c r="T1283" s="6" t="inlineStr"/>
      <c r="U1283" s="4" t="inlineStr">
        <is>
          <t>2026-09-11 00:05:00</t>
        </is>
      </c>
      <c r="V1283" s="4" t="inlineStr">
        <is>
          <t>Etiqueta historica ERIDAY/Yacyreta.</t>
        </is>
      </c>
    </row>
    <row r="1284">
      <c r="A1284" s="6" t="inlineStr">
        <is>
          <t>R0001400</t>
        </is>
      </c>
      <c r="B1284" s="6" t="inlineStr">
        <is>
          <t>2006-01-01</t>
        </is>
      </c>
      <c r="C1284" s="6" t="inlineStr">
        <is>
          <t>2006-12-31</t>
        </is>
      </c>
      <c r="D1284" s="6" t="inlineStr">
        <is>
          <t>year</t>
        </is>
      </c>
      <c r="E1284" s="6" t="inlineStr">
        <is>
          <t>ANDE_EXPORT_BY_COUNTERPARTY</t>
        </is>
      </c>
      <c r="F1284" s="6" t="inlineStr">
        <is>
          <t>PY_SIN</t>
        </is>
      </c>
      <c r="G1284" s="6" t="inlineStr">
        <is>
          <t>PY</t>
        </is>
      </c>
      <c r="H1284" s="6" t="inlineStr">
        <is>
          <t>ERIDAY_YACYRETA</t>
        </is>
      </c>
      <c r="I1284" s="8" t="n">
        <v>2080.324</v>
      </c>
      <c r="J1284" s="6" t="inlineStr">
        <is>
          <t>MWh</t>
        </is>
      </c>
      <c r="K1284" s="8" t="n">
        <v>2080.324</v>
      </c>
      <c r="L1284" s="6" t="inlineStr">
        <is>
          <t>MWh</t>
        </is>
      </c>
      <c r="M1284" s="6" t="inlineStr">
        <is>
          <t>ANDE</t>
        </is>
      </c>
      <c r="N1284" s="6" t="inlineStr">
        <is>
          <t>OFFICIAL_PRIMARY</t>
        </is>
      </c>
      <c r="O1284" s="9" t="inlineStr">
        <is>
          <t>OFFICIAL_AGGREGATE</t>
        </is>
      </c>
      <c r="P1284" s="8" t="n">
        <v>1</v>
      </c>
      <c r="Q1284" s="8" t="n">
        <v>45</v>
      </c>
      <c r="R1284" s="7" t="inlineStr">
        <is>
          <t>https://www.ande.gov.py/estadisticas/BalanceEnergia1983-2006/CompilacionEstadistica83-06.pdf</t>
        </is>
      </c>
      <c r="S1284" s="6" t="inlineStr">
        <is>
          <t>ANDE-83-06</t>
        </is>
      </c>
      <c r="T1284" s="6" t="inlineStr"/>
      <c r="U1284" s="4" t="inlineStr">
        <is>
          <t>2026-09-11 00:05:00</t>
        </is>
      </c>
      <c r="V1284" s="4" t="inlineStr">
        <is>
          <t>Etiqueta historica ERIDAY/Yacyreta.</t>
        </is>
      </c>
    </row>
    <row r="1285">
      <c r="A1285" s="6" t="inlineStr">
        <is>
          <t>R0001401</t>
        </is>
      </c>
      <c r="B1285" s="6" t="inlineStr">
        <is>
          <t>1984-01-01</t>
        </is>
      </c>
      <c r="C1285" s="6" t="inlineStr">
        <is>
          <t>1984-12-31</t>
        </is>
      </c>
      <c r="D1285" s="6" t="inlineStr">
        <is>
          <t>year</t>
        </is>
      </c>
      <c r="E1285" s="6" t="inlineStr">
        <is>
          <t>ITAIPU_GROSS_GENERATION</t>
        </is>
      </c>
      <c r="F1285" s="6" t="inlineStr">
        <is>
          <t>ITAIPU</t>
        </is>
      </c>
      <c r="G1285" s="6" t="inlineStr">
        <is>
          <t>ITAIPU</t>
        </is>
      </c>
      <c r="H1285" s="6" t="inlineStr">
        <is>
          <t>TOTAL</t>
        </is>
      </c>
      <c r="I1285" s="8" t="n">
        <v>277000</v>
      </c>
      <c r="J1285" s="6" t="inlineStr">
        <is>
          <t>MWh</t>
        </is>
      </c>
      <c r="K1285" s="8" t="n">
        <v>277000</v>
      </c>
      <c r="L1285" s="6" t="inlineStr">
        <is>
          <t>MWh</t>
        </is>
      </c>
      <c r="M1285" s="6" t="inlineStr">
        <is>
          <t>ITAIPU</t>
        </is>
      </c>
      <c r="N1285" s="6" t="inlineStr">
        <is>
          <t>OFFICIAL_PRIMARY</t>
        </is>
      </c>
      <c r="O1285" s="9" t="inlineStr">
        <is>
          <t>OFFICIAL_AGGREGATE</t>
        </is>
      </c>
      <c r="P1285" s="8" t="n">
        <v>1</v>
      </c>
      <c r="Q1285" s="8" t="n">
        <v>95</v>
      </c>
      <c r="R1285" s="7" t="inlineStr">
        <is>
          <t>https://www.itaipu.gov.py/sites/default/files/af_df/Memoria%20Anual%202002.pdf</t>
        </is>
      </c>
      <c r="S1285" s="6" t="inlineStr">
        <is>
          <t>ITAIPU-MEM-2002</t>
        </is>
      </c>
      <c r="T1285" s="6" t="inlineStr"/>
      <c r="U1285" s="4" t="inlineStr">
        <is>
          <t>2026-09-11 00:05:00</t>
        </is>
      </c>
      <c r="V1285" s="4" t="inlineStr">
        <is>
          <t>Produccion anual oficial; valores de memoria en GWh.</t>
        </is>
      </c>
    </row>
    <row r="1286">
      <c r="A1286" s="6" t="inlineStr">
        <is>
          <t>R0001402</t>
        </is>
      </c>
      <c r="B1286" s="6" t="inlineStr">
        <is>
          <t>1985-01-01</t>
        </is>
      </c>
      <c r="C1286" s="6" t="inlineStr">
        <is>
          <t>1985-12-31</t>
        </is>
      </c>
      <c r="D1286" s="6" t="inlineStr">
        <is>
          <t>year</t>
        </is>
      </c>
      <c r="E1286" s="6" t="inlineStr">
        <is>
          <t>ITAIPU_GROSS_GENERATION</t>
        </is>
      </c>
      <c r="F1286" s="6" t="inlineStr">
        <is>
          <t>ITAIPU</t>
        </is>
      </c>
      <c r="G1286" s="6" t="inlineStr">
        <is>
          <t>ITAIPU</t>
        </is>
      </c>
      <c r="H1286" s="6" t="inlineStr">
        <is>
          <t>TOTAL</t>
        </is>
      </c>
      <c r="I1286" s="8" t="n">
        <v>6327000</v>
      </c>
      <c r="J1286" s="6" t="inlineStr">
        <is>
          <t>MWh</t>
        </is>
      </c>
      <c r="K1286" s="8" t="n">
        <v>6327000</v>
      </c>
      <c r="L1286" s="6" t="inlineStr">
        <is>
          <t>MWh</t>
        </is>
      </c>
      <c r="M1286" s="6" t="inlineStr">
        <is>
          <t>ITAIPU</t>
        </is>
      </c>
      <c r="N1286" s="6" t="inlineStr">
        <is>
          <t>OFFICIAL_PRIMARY</t>
        </is>
      </c>
      <c r="O1286" s="9" t="inlineStr">
        <is>
          <t>OFFICIAL_AGGREGATE</t>
        </is>
      </c>
      <c r="P1286" s="8" t="n">
        <v>1</v>
      </c>
      <c r="Q1286" s="8" t="n">
        <v>95</v>
      </c>
      <c r="R1286" s="7" t="inlineStr">
        <is>
          <t>https://www.itaipu.gov.py/sites/default/files/af_df/Memoria%20Anual%202002.pdf</t>
        </is>
      </c>
      <c r="S1286" s="6" t="inlineStr">
        <is>
          <t>ITAIPU-MEM-2002</t>
        </is>
      </c>
      <c r="T1286" s="6" t="inlineStr"/>
      <c r="U1286" s="4" t="inlineStr">
        <is>
          <t>2026-09-11 00:05:00</t>
        </is>
      </c>
      <c r="V1286" s="4" t="inlineStr">
        <is>
          <t>Produccion anual oficial; valores de memoria en GWh.</t>
        </is>
      </c>
    </row>
    <row r="1287">
      <c r="A1287" s="6" t="inlineStr">
        <is>
          <t>R0001403</t>
        </is>
      </c>
      <c r="B1287" s="6" t="inlineStr">
        <is>
          <t>1986-01-01</t>
        </is>
      </c>
      <c r="C1287" s="6" t="inlineStr">
        <is>
          <t>1986-12-31</t>
        </is>
      </c>
      <c r="D1287" s="6" t="inlineStr">
        <is>
          <t>year</t>
        </is>
      </c>
      <c r="E1287" s="6" t="inlineStr">
        <is>
          <t>ITAIPU_GROSS_GENERATION</t>
        </is>
      </c>
      <c r="F1287" s="6" t="inlineStr">
        <is>
          <t>ITAIPU</t>
        </is>
      </c>
      <c r="G1287" s="6" t="inlineStr">
        <is>
          <t>ITAIPU</t>
        </is>
      </c>
      <c r="H1287" s="6" t="inlineStr">
        <is>
          <t>TOTAL</t>
        </is>
      </c>
      <c r="I1287" s="8" t="n">
        <v>21853000</v>
      </c>
      <c r="J1287" s="6" t="inlineStr">
        <is>
          <t>MWh</t>
        </is>
      </c>
      <c r="K1287" s="8" t="n">
        <v>21853000</v>
      </c>
      <c r="L1287" s="6" t="inlineStr">
        <is>
          <t>MWh</t>
        </is>
      </c>
      <c r="M1287" s="6" t="inlineStr">
        <is>
          <t>ITAIPU</t>
        </is>
      </c>
      <c r="N1287" s="6" t="inlineStr">
        <is>
          <t>OFFICIAL_PRIMARY</t>
        </is>
      </c>
      <c r="O1287" s="9" t="inlineStr">
        <is>
          <t>OFFICIAL_AGGREGATE</t>
        </is>
      </c>
      <c r="P1287" s="8" t="n">
        <v>1</v>
      </c>
      <c r="Q1287" s="8" t="n">
        <v>95</v>
      </c>
      <c r="R1287" s="7" t="inlineStr">
        <is>
          <t>https://www.itaipu.gov.py/sites/default/files/af_df/Memoria%20Anual%202002.pdf</t>
        </is>
      </c>
      <c r="S1287" s="6" t="inlineStr">
        <is>
          <t>ITAIPU-MEM-2002</t>
        </is>
      </c>
      <c r="T1287" s="6" t="inlineStr"/>
      <c r="U1287" s="4" t="inlineStr">
        <is>
          <t>2026-09-11 00:05:00</t>
        </is>
      </c>
      <c r="V1287" s="4" t="inlineStr">
        <is>
          <t>Produccion anual oficial; valores de memoria en GWh.</t>
        </is>
      </c>
    </row>
    <row r="1288">
      <c r="A1288" s="6" t="inlineStr">
        <is>
          <t>R0001404</t>
        </is>
      </c>
      <c r="B1288" s="6" t="inlineStr">
        <is>
          <t>1987-01-01</t>
        </is>
      </c>
      <c r="C1288" s="6" t="inlineStr">
        <is>
          <t>1987-12-31</t>
        </is>
      </c>
      <c r="D1288" s="6" t="inlineStr">
        <is>
          <t>year</t>
        </is>
      </c>
      <c r="E1288" s="6" t="inlineStr">
        <is>
          <t>ITAIPU_GROSS_GENERATION</t>
        </is>
      </c>
      <c r="F1288" s="6" t="inlineStr">
        <is>
          <t>ITAIPU</t>
        </is>
      </c>
      <c r="G1288" s="6" t="inlineStr">
        <is>
          <t>ITAIPU</t>
        </is>
      </c>
      <c r="H1288" s="6" t="inlineStr">
        <is>
          <t>TOTAL</t>
        </is>
      </c>
      <c r="I1288" s="8" t="n">
        <v>35807000</v>
      </c>
      <c r="J1288" s="6" t="inlineStr">
        <is>
          <t>MWh</t>
        </is>
      </c>
      <c r="K1288" s="8" t="n">
        <v>35807000</v>
      </c>
      <c r="L1288" s="6" t="inlineStr">
        <is>
          <t>MWh</t>
        </is>
      </c>
      <c r="M1288" s="6" t="inlineStr">
        <is>
          <t>ITAIPU</t>
        </is>
      </c>
      <c r="N1288" s="6" t="inlineStr">
        <is>
          <t>OFFICIAL_PRIMARY</t>
        </is>
      </c>
      <c r="O1288" s="9" t="inlineStr">
        <is>
          <t>OFFICIAL_AGGREGATE</t>
        </is>
      </c>
      <c r="P1288" s="8" t="n">
        <v>1</v>
      </c>
      <c r="Q1288" s="8" t="n">
        <v>95</v>
      </c>
      <c r="R1288" s="7" t="inlineStr">
        <is>
          <t>https://www.itaipu.gov.py/sites/default/files/af_df/Memoria%20Anual%202002.pdf</t>
        </is>
      </c>
      <c r="S1288" s="6" t="inlineStr">
        <is>
          <t>ITAIPU-MEM-2002</t>
        </is>
      </c>
      <c r="T1288" s="6" t="inlineStr"/>
      <c r="U1288" s="4" t="inlineStr">
        <is>
          <t>2026-09-11 00:05:00</t>
        </is>
      </c>
      <c r="V1288" s="4" t="inlineStr">
        <is>
          <t>Produccion anual oficial; valores de memoria en GWh.</t>
        </is>
      </c>
    </row>
    <row r="1289">
      <c r="A1289" s="6" t="inlineStr">
        <is>
          <t>R0001405</t>
        </is>
      </c>
      <c r="B1289" s="6" t="inlineStr">
        <is>
          <t>1988-01-01</t>
        </is>
      </c>
      <c r="C1289" s="6" t="inlineStr">
        <is>
          <t>1988-12-31</t>
        </is>
      </c>
      <c r="D1289" s="6" t="inlineStr">
        <is>
          <t>year</t>
        </is>
      </c>
      <c r="E1289" s="6" t="inlineStr">
        <is>
          <t>ITAIPU_GROSS_GENERATION</t>
        </is>
      </c>
      <c r="F1289" s="6" t="inlineStr">
        <is>
          <t>ITAIPU</t>
        </is>
      </c>
      <c r="G1289" s="6" t="inlineStr">
        <is>
          <t>ITAIPU</t>
        </is>
      </c>
      <c r="H1289" s="6" t="inlineStr">
        <is>
          <t>TOTAL</t>
        </is>
      </c>
      <c r="I1289" s="8" t="n">
        <v>38508000</v>
      </c>
      <c r="J1289" s="6" t="inlineStr">
        <is>
          <t>MWh</t>
        </is>
      </c>
      <c r="K1289" s="8" t="n">
        <v>38508000</v>
      </c>
      <c r="L1289" s="6" t="inlineStr">
        <is>
          <t>MWh</t>
        </is>
      </c>
      <c r="M1289" s="6" t="inlineStr">
        <is>
          <t>ITAIPU</t>
        </is>
      </c>
      <c r="N1289" s="6" t="inlineStr">
        <is>
          <t>OFFICIAL_PRIMARY</t>
        </is>
      </c>
      <c r="O1289" s="9" t="inlineStr">
        <is>
          <t>OFFICIAL_AGGREGATE</t>
        </is>
      </c>
      <c r="P1289" s="8" t="n">
        <v>1</v>
      </c>
      <c r="Q1289" s="8" t="n">
        <v>95</v>
      </c>
      <c r="R1289" s="7" t="inlineStr">
        <is>
          <t>https://www.itaipu.gov.py/sites/default/files/af_df/Memoria%20Anual%202002.pdf</t>
        </is>
      </c>
      <c r="S1289" s="6" t="inlineStr">
        <is>
          <t>ITAIPU-MEM-2002</t>
        </is>
      </c>
      <c r="T1289" s="6" t="inlineStr"/>
      <c r="U1289" s="4" t="inlineStr">
        <is>
          <t>2026-09-11 00:05:00</t>
        </is>
      </c>
      <c r="V1289" s="4" t="inlineStr">
        <is>
          <t>Produccion anual oficial; valores de memoria en GWh.</t>
        </is>
      </c>
    </row>
    <row r="1290">
      <c r="A1290" s="6" t="inlineStr">
        <is>
          <t>R0001406</t>
        </is>
      </c>
      <c r="B1290" s="6" t="inlineStr">
        <is>
          <t>1989-01-01</t>
        </is>
      </c>
      <c r="C1290" s="6" t="inlineStr">
        <is>
          <t>1989-12-31</t>
        </is>
      </c>
      <c r="D1290" s="6" t="inlineStr">
        <is>
          <t>year</t>
        </is>
      </c>
      <c r="E1290" s="6" t="inlineStr">
        <is>
          <t>ITAIPU_GROSS_GENERATION</t>
        </is>
      </c>
      <c r="F1290" s="6" t="inlineStr">
        <is>
          <t>ITAIPU</t>
        </is>
      </c>
      <c r="G1290" s="6" t="inlineStr">
        <is>
          <t>ITAIPU</t>
        </is>
      </c>
      <c r="H1290" s="6" t="inlineStr">
        <is>
          <t>TOTAL</t>
        </is>
      </c>
      <c r="I1290" s="8" t="n">
        <v>47230000</v>
      </c>
      <c r="J1290" s="6" t="inlineStr">
        <is>
          <t>MWh</t>
        </is>
      </c>
      <c r="K1290" s="8" t="n">
        <v>47230000</v>
      </c>
      <c r="L1290" s="6" t="inlineStr">
        <is>
          <t>MWh</t>
        </is>
      </c>
      <c r="M1290" s="6" t="inlineStr">
        <is>
          <t>ITAIPU</t>
        </is>
      </c>
      <c r="N1290" s="6" t="inlineStr">
        <is>
          <t>OFFICIAL_PRIMARY</t>
        </is>
      </c>
      <c r="O1290" s="9" t="inlineStr">
        <is>
          <t>OFFICIAL_AGGREGATE</t>
        </is>
      </c>
      <c r="P1290" s="8" t="n">
        <v>1</v>
      </c>
      <c r="Q1290" s="8" t="n">
        <v>95</v>
      </c>
      <c r="R1290" s="7" t="inlineStr">
        <is>
          <t>https://www.itaipu.gov.py/sites/default/files/af_df/Memoria%20Anual%202002.pdf</t>
        </is>
      </c>
      <c r="S1290" s="6" t="inlineStr">
        <is>
          <t>ITAIPU-MEM-2002</t>
        </is>
      </c>
      <c r="T1290" s="6" t="inlineStr"/>
      <c r="U1290" s="4" t="inlineStr">
        <is>
          <t>2026-09-11 00:05:00</t>
        </is>
      </c>
      <c r="V1290" s="4" t="inlineStr">
        <is>
          <t>Produccion anual oficial; valores de memoria en GWh.</t>
        </is>
      </c>
    </row>
    <row r="1291">
      <c r="A1291" s="6" t="inlineStr">
        <is>
          <t>R0001407</t>
        </is>
      </c>
      <c r="B1291" s="6" t="inlineStr">
        <is>
          <t>1990-01-01</t>
        </is>
      </c>
      <c r="C1291" s="6" t="inlineStr">
        <is>
          <t>1990-12-31</t>
        </is>
      </c>
      <c r="D1291" s="6" t="inlineStr">
        <is>
          <t>year</t>
        </is>
      </c>
      <c r="E1291" s="6" t="inlineStr">
        <is>
          <t>ITAIPU_GROSS_GENERATION</t>
        </is>
      </c>
      <c r="F1291" s="6" t="inlineStr">
        <is>
          <t>ITAIPU</t>
        </is>
      </c>
      <c r="G1291" s="6" t="inlineStr">
        <is>
          <t>ITAIPU</t>
        </is>
      </c>
      <c r="H1291" s="6" t="inlineStr">
        <is>
          <t>TOTAL</t>
        </is>
      </c>
      <c r="I1291" s="8" t="n">
        <v>53090000</v>
      </c>
      <c r="J1291" s="6" t="inlineStr">
        <is>
          <t>MWh</t>
        </is>
      </c>
      <c r="K1291" s="8" t="n">
        <v>53090000</v>
      </c>
      <c r="L1291" s="6" t="inlineStr">
        <is>
          <t>MWh</t>
        </is>
      </c>
      <c r="M1291" s="6" t="inlineStr">
        <is>
          <t>ITAIPU</t>
        </is>
      </c>
      <c r="N1291" s="6" t="inlineStr">
        <is>
          <t>OFFICIAL_PRIMARY</t>
        </is>
      </c>
      <c r="O1291" s="9" t="inlineStr">
        <is>
          <t>OFFICIAL_AGGREGATE</t>
        </is>
      </c>
      <c r="P1291" s="8" t="n">
        <v>1</v>
      </c>
      <c r="Q1291" s="8" t="n">
        <v>95</v>
      </c>
      <c r="R1291" s="7" t="inlineStr">
        <is>
          <t>https://www.itaipu.gov.py/sites/default/files/af_df/Memoria%20Anual%202002.pdf</t>
        </is>
      </c>
      <c r="S1291" s="6" t="inlineStr">
        <is>
          <t>ITAIPU-MEM-2002</t>
        </is>
      </c>
      <c r="T1291" s="6" t="inlineStr"/>
      <c r="U1291" s="4" t="inlineStr">
        <is>
          <t>2026-09-11 00:05:00</t>
        </is>
      </c>
      <c r="V1291" s="4" t="inlineStr">
        <is>
          <t>Produccion anual oficial; valores de memoria en GWh.</t>
        </is>
      </c>
    </row>
    <row r="1292">
      <c r="A1292" s="6" t="inlineStr">
        <is>
          <t>R0001408</t>
        </is>
      </c>
      <c r="B1292" s="6" t="inlineStr">
        <is>
          <t>1991-01-01</t>
        </is>
      </c>
      <c r="C1292" s="6" t="inlineStr">
        <is>
          <t>1991-12-31</t>
        </is>
      </c>
      <c r="D1292" s="6" t="inlineStr">
        <is>
          <t>year</t>
        </is>
      </c>
      <c r="E1292" s="6" t="inlineStr">
        <is>
          <t>ITAIPU_GROSS_GENERATION</t>
        </is>
      </c>
      <c r="F1292" s="6" t="inlineStr">
        <is>
          <t>ITAIPU</t>
        </is>
      </c>
      <c r="G1292" s="6" t="inlineStr">
        <is>
          <t>ITAIPU</t>
        </is>
      </c>
      <c r="H1292" s="6" t="inlineStr">
        <is>
          <t>TOTAL</t>
        </is>
      </c>
      <c r="I1292" s="8" t="n">
        <v>57518000</v>
      </c>
      <c r="J1292" s="6" t="inlineStr">
        <is>
          <t>MWh</t>
        </is>
      </c>
      <c r="K1292" s="8" t="n">
        <v>57518000</v>
      </c>
      <c r="L1292" s="6" t="inlineStr">
        <is>
          <t>MWh</t>
        </is>
      </c>
      <c r="M1292" s="6" t="inlineStr">
        <is>
          <t>ITAIPU</t>
        </is>
      </c>
      <c r="N1292" s="6" t="inlineStr">
        <is>
          <t>OFFICIAL_PRIMARY</t>
        </is>
      </c>
      <c r="O1292" s="9" t="inlineStr">
        <is>
          <t>OFFICIAL_AGGREGATE</t>
        </is>
      </c>
      <c r="P1292" s="8" t="n">
        <v>1</v>
      </c>
      <c r="Q1292" s="8" t="n">
        <v>95</v>
      </c>
      <c r="R1292" s="7" t="inlineStr">
        <is>
          <t>https://www.itaipu.gov.py/sites/default/files/af_df/Memoria%20Anual%202002.pdf</t>
        </is>
      </c>
      <c r="S1292" s="6" t="inlineStr">
        <is>
          <t>ITAIPU-MEM-2002</t>
        </is>
      </c>
      <c r="T1292" s="6" t="inlineStr"/>
      <c r="U1292" s="4" t="inlineStr">
        <is>
          <t>2026-09-11 00:05:00</t>
        </is>
      </c>
      <c r="V1292" s="4" t="inlineStr">
        <is>
          <t>Produccion anual oficial; valores de memoria en GWh.</t>
        </is>
      </c>
    </row>
    <row r="1293">
      <c r="A1293" s="6" t="inlineStr">
        <is>
          <t>R0001409</t>
        </is>
      </c>
      <c r="B1293" s="6" t="inlineStr">
        <is>
          <t>1992-01-01</t>
        </is>
      </c>
      <c r="C1293" s="6" t="inlineStr">
        <is>
          <t>1992-12-31</t>
        </is>
      </c>
      <c r="D1293" s="6" t="inlineStr">
        <is>
          <t>year</t>
        </is>
      </c>
      <c r="E1293" s="6" t="inlineStr">
        <is>
          <t>ITAIPU_GROSS_GENERATION</t>
        </is>
      </c>
      <c r="F1293" s="6" t="inlineStr">
        <is>
          <t>ITAIPU</t>
        </is>
      </c>
      <c r="G1293" s="6" t="inlineStr">
        <is>
          <t>ITAIPU</t>
        </is>
      </c>
      <c r="H1293" s="6" t="inlineStr">
        <is>
          <t>TOTAL</t>
        </is>
      </c>
      <c r="I1293" s="8" t="n">
        <v>52268000</v>
      </c>
      <c r="J1293" s="6" t="inlineStr">
        <is>
          <t>MWh</t>
        </is>
      </c>
      <c r="K1293" s="8" t="n">
        <v>52268000</v>
      </c>
      <c r="L1293" s="6" t="inlineStr">
        <is>
          <t>MWh</t>
        </is>
      </c>
      <c r="M1293" s="6" t="inlineStr">
        <is>
          <t>ITAIPU</t>
        </is>
      </c>
      <c r="N1293" s="6" t="inlineStr">
        <is>
          <t>OFFICIAL_PRIMARY</t>
        </is>
      </c>
      <c r="O1293" s="9" t="inlineStr">
        <is>
          <t>OFFICIAL_AGGREGATE</t>
        </is>
      </c>
      <c r="P1293" s="8" t="n">
        <v>1</v>
      </c>
      <c r="Q1293" s="8" t="n">
        <v>95</v>
      </c>
      <c r="R1293" s="7" t="inlineStr">
        <is>
          <t>https://www.itaipu.gov.py/sites/default/files/af_df/Memoria%20Anual%202002.pdf</t>
        </is>
      </c>
      <c r="S1293" s="6" t="inlineStr">
        <is>
          <t>ITAIPU-MEM-2002</t>
        </is>
      </c>
      <c r="T1293" s="6" t="inlineStr"/>
      <c r="U1293" s="4" t="inlineStr">
        <is>
          <t>2026-09-11 00:05:00</t>
        </is>
      </c>
      <c r="V1293" s="4" t="inlineStr">
        <is>
          <t>Produccion anual oficial; valores de memoria en GWh.</t>
        </is>
      </c>
    </row>
    <row r="1294">
      <c r="A1294" s="6" t="inlineStr">
        <is>
          <t>R0001410</t>
        </is>
      </c>
      <c r="B1294" s="6" t="inlineStr">
        <is>
          <t>1993-01-01</t>
        </is>
      </c>
      <c r="C1294" s="6" t="inlineStr">
        <is>
          <t>1993-12-31</t>
        </is>
      </c>
      <c r="D1294" s="6" t="inlineStr">
        <is>
          <t>year</t>
        </is>
      </c>
      <c r="E1294" s="6" t="inlineStr">
        <is>
          <t>ITAIPU_GROSS_GENERATION</t>
        </is>
      </c>
      <c r="F1294" s="6" t="inlineStr">
        <is>
          <t>ITAIPU</t>
        </is>
      </c>
      <c r="G1294" s="6" t="inlineStr">
        <is>
          <t>ITAIPU</t>
        </is>
      </c>
      <c r="H1294" s="6" t="inlineStr">
        <is>
          <t>TOTAL</t>
        </is>
      </c>
      <c r="I1294" s="8" t="n">
        <v>59997000</v>
      </c>
      <c r="J1294" s="6" t="inlineStr">
        <is>
          <t>MWh</t>
        </is>
      </c>
      <c r="K1294" s="8" t="n">
        <v>59997000</v>
      </c>
      <c r="L1294" s="6" t="inlineStr">
        <is>
          <t>MWh</t>
        </is>
      </c>
      <c r="M1294" s="6" t="inlineStr">
        <is>
          <t>ITAIPU</t>
        </is>
      </c>
      <c r="N1294" s="6" t="inlineStr">
        <is>
          <t>OFFICIAL_PRIMARY</t>
        </is>
      </c>
      <c r="O1294" s="9" t="inlineStr">
        <is>
          <t>OFFICIAL_AGGREGATE</t>
        </is>
      </c>
      <c r="P1294" s="8" t="n">
        <v>1</v>
      </c>
      <c r="Q1294" s="8" t="n">
        <v>95</v>
      </c>
      <c r="R1294" s="7" t="inlineStr">
        <is>
          <t>https://www.itaipu.gov.py/sites/default/files/af_df/Memoria%20Anual%202002.pdf</t>
        </is>
      </c>
      <c r="S1294" s="6" t="inlineStr">
        <is>
          <t>ITAIPU-MEM-2002</t>
        </is>
      </c>
      <c r="T1294" s="6" t="inlineStr"/>
      <c r="U1294" s="4" t="inlineStr">
        <is>
          <t>2026-09-11 00:05:00</t>
        </is>
      </c>
      <c r="V1294" s="4" t="inlineStr">
        <is>
          <t>Produccion anual oficial; valores de memoria en GWh.</t>
        </is>
      </c>
    </row>
    <row r="1295">
      <c r="A1295" s="6" t="inlineStr">
        <is>
          <t>R0001411</t>
        </is>
      </c>
      <c r="B1295" s="6" t="inlineStr">
        <is>
          <t>1994-01-01</t>
        </is>
      </c>
      <c r="C1295" s="6" t="inlineStr">
        <is>
          <t>1994-12-31</t>
        </is>
      </c>
      <c r="D1295" s="6" t="inlineStr">
        <is>
          <t>year</t>
        </is>
      </c>
      <c r="E1295" s="6" t="inlineStr">
        <is>
          <t>ITAIPU_GROSS_GENERATION</t>
        </is>
      </c>
      <c r="F1295" s="6" t="inlineStr">
        <is>
          <t>ITAIPU</t>
        </is>
      </c>
      <c r="G1295" s="6" t="inlineStr">
        <is>
          <t>ITAIPU</t>
        </is>
      </c>
      <c r="H1295" s="6" t="inlineStr">
        <is>
          <t>TOTAL</t>
        </is>
      </c>
      <c r="I1295" s="8" t="n">
        <v>69394000</v>
      </c>
      <c r="J1295" s="6" t="inlineStr">
        <is>
          <t>MWh</t>
        </is>
      </c>
      <c r="K1295" s="8" t="n">
        <v>69394000</v>
      </c>
      <c r="L1295" s="6" t="inlineStr">
        <is>
          <t>MWh</t>
        </is>
      </c>
      <c r="M1295" s="6" t="inlineStr">
        <is>
          <t>ITAIPU</t>
        </is>
      </c>
      <c r="N1295" s="6" t="inlineStr">
        <is>
          <t>OFFICIAL_PRIMARY</t>
        </is>
      </c>
      <c r="O1295" s="9" t="inlineStr">
        <is>
          <t>OFFICIAL_AGGREGATE</t>
        </is>
      </c>
      <c r="P1295" s="8" t="n">
        <v>1</v>
      </c>
      <c r="Q1295" s="8" t="n">
        <v>95</v>
      </c>
      <c r="R1295" s="7" t="inlineStr">
        <is>
          <t>https://www.itaipu.gov.py/sites/default/files/af_df/Memoria%20Anual%202002.pdf</t>
        </is>
      </c>
      <c r="S1295" s="6" t="inlineStr">
        <is>
          <t>ITAIPU-MEM-2002</t>
        </is>
      </c>
      <c r="T1295" s="6" t="inlineStr"/>
      <c r="U1295" s="4" t="inlineStr">
        <is>
          <t>2026-09-11 00:05:00</t>
        </is>
      </c>
      <c r="V1295" s="4" t="inlineStr">
        <is>
          <t>Produccion anual oficial; valores de memoria en GWh.</t>
        </is>
      </c>
    </row>
    <row r="1296">
      <c r="A1296" s="6" t="inlineStr">
        <is>
          <t>R0001412</t>
        </is>
      </c>
      <c r="B1296" s="6" t="inlineStr">
        <is>
          <t>1995-01-01</t>
        </is>
      </c>
      <c r="C1296" s="6" t="inlineStr">
        <is>
          <t>1995-12-31</t>
        </is>
      </c>
      <c r="D1296" s="6" t="inlineStr">
        <is>
          <t>year</t>
        </is>
      </c>
      <c r="E1296" s="6" t="inlineStr">
        <is>
          <t>ITAIPU_GROSS_GENERATION</t>
        </is>
      </c>
      <c r="F1296" s="6" t="inlineStr">
        <is>
          <t>ITAIPU</t>
        </is>
      </c>
      <c r="G1296" s="6" t="inlineStr">
        <is>
          <t>ITAIPU</t>
        </is>
      </c>
      <c r="H1296" s="6" t="inlineStr">
        <is>
          <t>TOTAL</t>
        </is>
      </c>
      <c r="I1296" s="8" t="n">
        <v>77212000</v>
      </c>
      <c r="J1296" s="6" t="inlineStr">
        <is>
          <t>MWh</t>
        </is>
      </c>
      <c r="K1296" s="8" t="n">
        <v>77212000</v>
      </c>
      <c r="L1296" s="6" t="inlineStr">
        <is>
          <t>MWh</t>
        </is>
      </c>
      <c r="M1296" s="6" t="inlineStr">
        <is>
          <t>ITAIPU</t>
        </is>
      </c>
      <c r="N1296" s="6" t="inlineStr">
        <is>
          <t>OFFICIAL_PRIMARY</t>
        </is>
      </c>
      <c r="O1296" s="9" t="inlineStr">
        <is>
          <t>OFFICIAL_AGGREGATE</t>
        </is>
      </c>
      <c r="P1296" s="8" t="n">
        <v>1</v>
      </c>
      <c r="Q1296" s="8" t="n">
        <v>95</v>
      </c>
      <c r="R1296" s="7" t="inlineStr">
        <is>
          <t>https://www.itaipu.gov.py/sites/default/files/af_df/Memoria%20Anual%202002.pdf</t>
        </is>
      </c>
      <c r="S1296" s="6" t="inlineStr">
        <is>
          <t>ITAIPU-MEM-2002</t>
        </is>
      </c>
      <c r="T1296" s="6" t="inlineStr"/>
      <c r="U1296" s="4" t="inlineStr">
        <is>
          <t>2026-09-11 00:05:00</t>
        </is>
      </c>
      <c r="V1296" s="4" t="inlineStr">
        <is>
          <t>Produccion anual oficial; valores de memoria en GWh.</t>
        </is>
      </c>
    </row>
    <row r="1297">
      <c r="A1297" s="6" t="inlineStr">
        <is>
          <t>R0001413</t>
        </is>
      </c>
      <c r="B1297" s="6" t="inlineStr">
        <is>
          <t>1996-01-01</t>
        </is>
      </c>
      <c r="C1297" s="6" t="inlineStr">
        <is>
          <t>1996-12-31</t>
        </is>
      </c>
      <c r="D1297" s="6" t="inlineStr">
        <is>
          <t>year</t>
        </is>
      </c>
      <c r="E1297" s="6" t="inlineStr">
        <is>
          <t>ITAIPU_GROSS_GENERATION</t>
        </is>
      </c>
      <c r="F1297" s="6" t="inlineStr">
        <is>
          <t>ITAIPU</t>
        </is>
      </c>
      <c r="G1297" s="6" t="inlineStr">
        <is>
          <t>ITAIPU</t>
        </is>
      </c>
      <c r="H1297" s="6" t="inlineStr">
        <is>
          <t>TOTAL</t>
        </is>
      </c>
      <c r="I1297" s="8" t="n">
        <v>81654000</v>
      </c>
      <c r="J1297" s="6" t="inlineStr">
        <is>
          <t>MWh</t>
        </is>
      </c>
      <c r="K1297" s="8" t="n">
        <v>81654000</v>
      </c>
      <c r="L1297" s="6" t="inlineStr">
        <is>
          <t>MWh</t>
        </is>
      </c>
      <c r="M1297" s="6" t="inlineStr">
        <is>
          <t>ITAIPU</t>
        </is>
      </c>
      <c r="N1297" s="6" t="inlineStr">
        <is>
          <t>OFFICIAL_PRIMARY</t>
        </is>
      </c>
      <c r="O1297" s="9" t="inlineStr">
        <is>
          <t>OFFICIAL_AGGREGATE</t>
        </is>
      </c>
      <c r="P1297" s="8" t="n">
        <v>1</v>
      </c>
      <c r="Q1297" s="8" t="n">
        <v>95</v>
      </c>
      <c r="R1297" s="7" t="inlineStr">
        <is>
          <t>https://www.itaipu.gov.py/sites/default/files/af_df/Memoria%20Anual%202002.pdf</t>
        </is>
      </c>
      <c r="S1297" s="6" t="inlineStr">
        <is>
          <t>ITAIPU-MEM-2002</t>
        </is>
      </c>
      <c r="T1297" s="6" t="inlineStr"/>
      <c r="U1297" s="4" t="inlineStr">
        <is>
          <t>2026-09-11 00:05:00</t>
        </is>
      </c>
      <c r="V1297" s="4" t="inlineStr">
        <is>
          <t>Produccion anual oficial; valores de memoria en GWh.</t>
        </is>
      </c>
    </row>
    <row r="1298">
      <c r="A1298" s="6" t="inlineStr">
        <is>
          <t>R0001414</t>
        </is>
      </c>
      <c r="B1298" s="6" t="inlineStr">
        <is>
          <t>1997-01-01</t>
        </is>
      </c>
      <c r="C1298" s="6" t="inlineStr">
        <is>
          <t>1997-12-31</t>
        </is>
      </c>
      <c r="D1298" s="6" t="inlineStr">
        <is>
          <t>year</t>
        </is>
      </c>
      <c r="E1298" s="6" t="inlineStr">
        <is>
          <t>ITAIPU_GROSS_GENERATION</t>
        </is>
      </c>
      <c r="F1298" s="6" t="inlineStr">
        <is>
          <t>ITAIPU</t>
        </is>
      </c>
      <c r="G1298" s="6" t="inlineStr">
        <is>
          <t>ITAIPU</t>
        </is>
      </c>
      <c r="H1298" s="6" t="inlineStr">
        <is>
          <t>TOTAL</t>
        </is>
      </c>
      <c r="I1298" s="8" t="n">
        <v>89237000</v>
      </c>
      <c r="J1298" s="6" t="inlineStr">
        <is>
          <t>MWh</t>
        </is>
      </c>
      <c r="K1298" s="8" t="n">
        <v>89237000</v>
      </c>
      <c r="L1298" s="6" t="inlineStr">
        <is>
          <t>MWh</t>
        </is>
      </c>
      <c r="M1298" s="6" t="inlineStr">
        <is>
          <t>ITAIPU</t>
        </is>
      </c>
      <c r="N1298" s="6" t="inlineStr">
        <is>
          <t>OFFICIAL_PRIMARY</t>
        </is>
      </c>
      <c r="O1298" s="9" t="inlineStr">
        <is>
          <t>OFFICIAL_AGGREGATE</t>
        </is>
      </c>
      <c r="P1298" s="8" t="n">
        <v>1</v>
      </c>
      <c r="Q1298" s="8" t="n">
        <v>95</v>
      </c>
      <c r="R1298" s="7" t="inlineStr">
        <is>
          <t>https://www.itaipu.gov.py/sites/default/files/af_df/Memoria%20Anual%202002.pdf</t>
        </is>
      </c>
      <c r="S1298" s="6" t="inlineStr">
        <is>
          <t>ITAIPU-MEM-2002</t>
        </is>
      </c>
      <c r="T1298" s="6" t="inlineStr"/>
      <c r="U1298" s="4" t="inlineStr">
        <is>
          <t>2026-09-11 00:05:00</t>
        </is>
      </c>
      <c r="V1298" s="4" t="inlineStr">
        <is>
          <t>Produccion anual oficial; valores de memoria en GWh.</t>
        </is>
      </c>
    </row>
    <row r="1299">
      <c r="A1299" s="6" t="inlineStr">
        <is>
          <t>R0001415</t>
        </is>
      </c>
      <c r="B1299" s="6" t="inlineStr">
        <is>
          <t>1998-01-01</t>
        </is>
      </c>
      <c r="C1299" s="6" t="inlineStr">
        <is>
          <t>1998-12-31</t>
        </is>
      </c>
      <c r="D1299" s="6" t="inlineStr">
        <is>
          <t>year</t>
        </is>
      </c>
      <c r="E1299" s="6" t="inlineStr">
        <is>
          <t>ITAIPU_GROSS_GENERATION</t>
        </is>
      </c>
      <c r="F1299" s="6" t="inlineStr">
        <is>
          <t>ITAIPU</t>
        </is>
      </c>
      <c r="G1299" s="6" t="inlineStr">
        <is>
          <t>ITAIPU</t>
        </is>
      </c>
      <c r="H1299" s="6" t="inlineStr">
        <is>
          <t>TOTAL</t>
        </is>
      </c>
      <c r="I1299" s="8" t="n">
        <v>87846000</v>
      </c>
      <c r="J1299" s="6" t="inlineStr">
        <is>
          <t>MWh</t>
        </is>
      </c>
      <c r="K1299" s="8" t="n">
        <v>87846000</v>
      </c>
      <c r="L1299" s="6" t="inlineStr">
        <is>
          <t>MWh</t>
        </is>
      </c>
      <c r="M1299" s="6" t="inlineStr">
        <is>
          <t>ITAIPU</t>
        </is>
      </c>
      <c r="N1299" s="6" t="inlineStr">
        <is>
          <t>OFFICIAL_PRIMARY</t>
        </is>
      </c>
      <c r="O1299" s="9" t="inlineStr">
        <is>
          <t>OFFICIAL_AGGREGATE</t>
        </is>
      </c>
      <c r="P1299" s="8" t="n">
        <v>1</v>
      </c>
      <c r="Q1299" s="8" t="n">
        <v>95</v>
      </c>
      <c r="R1299" s="7" t="inlineStr">
        <is>
          <t>https://www.itaipu.gov.py/sites/default/files/af_df/Memoria%20Anual%202002.pdf</t>
        </is>
      </c>
      <c r="S1299" s="6" t="inlineStr">
        <is>
          <t>ITAIPU-MEM-2002</t>
        </is>
      </c>
      <c r="T1299" s="6" t="inlineStr"/>
      <c r="U1299" s="4" t="inlineStr">
        <is>
          <t>2026-09-11 00:05:00</t>
        </is>
      </c>
      <c r="V1299" s="4" t="inlineStr">
        <is>
          <t>Produccion anual oficial; valores de memoria en GWh.</t>
        </is>
      </c>
    </row>
    <row r="1300">
      <c r="A1300" s="6" t="inlineStr">
        <is>
          <t>R0001416</t>
        </is>
      </c>
      <c r="B1300" s="6" t="inlineStr">
        <is>
          <t>1999-01-01</t>
        </is>
      </c>
      <c r="C1300" s="6" t="inlineStr">
        <is>
          <t>1999-12-31</t>
        </is>
      </c>
      <c r="D1300" s="6" t="inlineStr">
        <is>
          <t>year</t>
        </is>
      </c>
      <c r="E1300" s="6" t="inlineStr">
        <is>
          <t>ITAIPU_GROSS_GENERATION</t>
        </is>
      </c>
      <c r="F1300" s="6" t="inlineStr">
        <is>
          <t>ITAIPU</t>
        </is>
      </c>
      <c r="G1300" s="6" t="inlineStr">
        <is>
          <t>ITAIPU</t>
        </is>
      </c>
      <c r="H1300" s="6" t="inlineStr">
        <is>
          <t>TOTAL</t>
        </is>
      </c>
      <c r="I1300" s="8" t="n">
        <v>90002000</v>
      </c>
      <c r="J1300" s="6" t="inlineStr">
        <is>
          <t>MWh</t>
        </is>
      </c>
      <c r="K1300" s="8" t="n">
        <v>90002000</v>
      </c>
      <c r="L1300" s="6" t="inlineStr">
        <is>
          <t>MWh</t>
        </is>
      </c>
      <c r="M1300" s="6" t="inlineStr">
        <is>
          <t>ITAIPU</t>
        </is>
      </c>
      <c r="N1300" s="6" t="inlineStr">
        <is>
          <t>OFFICIAL_PRIMARY</t>
        </is>
      </c>
      <c r="O1300" s="9" t="inlineStr">
        <is>
          <t>OFFICIAL_AGGREGATE</t>
        </is>
      </c>
      <c r="P1300" s="8" t="n">
        <v>1</v>
      </c>
      <c r="Q1300" s="8" t="n">
        <v>95</v>
      </c>
      <c r="R1300" s="7" t="inlineStr">
        <is>
          <t>https://www.itaipu.gov.py/sites/default/files/af_df/Memoria%20Anual%202002.pdf</t>
        </is>
      </c>
      <c r="S1300" s="6" t="inlineStr">
        <is>
          <t>ITAIPU-MEM-2002</t>
        </is>
      </c>
      <c r="T1300" s="6" t="inlineStr"/>
      <c r="U1300" s="4" t="inlineStr">
        <is>
          <t>2026-09-11 00:05:00</t>
        </is>
      </c>
      <c r="V1300" s="4" t="inlineStr">
        <is>
          <t>Produccion anual oficial; valores de memoria en GWh.</t>
        </is>
      </c>
    </row>
    <row r="1301">
      <c r="A1301" s="6" t="inlineStr">
        <is>
          <t>R0001417</t>
        </is>
      </c>
      <c r="B1301" s="6" t="inlineStr">
        <is>
          <t>2000-01-01</t>
        </is>
      </c>
      <c r="C1301" s="6" t="inlineStr">
        <is>
          <t>2000-12-31</t>
        </is>
      </c>
      <c r="D1301" s="6" t="inlineStr">
        <is>
          <t>year</t>
        </is>
      </c>
      <c r="E1301" s="6" t="inlineStr">
        <is>
          <t>ITAIPU_GROSS_GENERATION</t>
        </is>
      </c>
      <c r="F1301" s="6" t="inlineStr">
        <is>
          <t>ITAIPU</t>
        </is>
      </c>
      <c r="G1301" s="6" t="inlineStr">
        <is>
          <t>ITAIPU</t>
        </is>
      </c>
      <c r="H1301" s="6" t="inlineStr">
        <is>
          <t>TOTAL</t>
        </is>
      </c>
      <c r="I1301" s="8" t="n">
        <v>93428000</v>
      </c>
      <c r="J1301" s="6" t="inlineStr">
        <is>
          <t>MWh</t>
        </is>
      </c>
      <c r="K1301" s="8" t="n">
        <v>93428000</v>
      </c>
      <c r="L1301" s="6" t="inlineStr">
        <is>
          <t>MWh</t>
        </is>
      </c>
      <c r="M1301" s="6" t="inlineStr">
        <is>
          <t>ITAIPU</t>
        </is>
      </c>
      <c r="N1301" s="6" t="inlineStr">
        <is>
          <t>OFFICIAL_PRIMARY</t>
        </is>
      </c>
      <c r="O1301" s="9" t="inlineStr">
        <is>
          <t>OFFICIAL_AGGREGATE</t>
        </is>
      </c>
      <c r="P1301" s="8" t="n">
        <v>1</v>
      </c>
      <c r="Q1301" s="8" t="n">
        <v>95</v>
      </c>
      <c r="R1301" s="7" t="inlineStr">
        <is>
          <t>https://www.itaipu.gov.py/sites/default/files/af_df/Memoria%20Anual%202002.pdf</t>
        </is>
      </c>
      <c r="S1301" s="6" t="inlineStr">
        <is>
          <t>ITAIPU-MEM-2002</t>
        </is>
      </c>
      <c r="T1301" s="6" t="inlineStr"/>
      <c r="U1301" s="4" t="inlineStr">
        <is>
          <t>2026-09-11 00:05:00</t>
        </is>
      </c>
      <c r="V1301" s="4" t="inlineStr">
        <is>
          <t>Produccion anual oficial; valores de memoria en GWh.</t>
        </is>
      </c>
    </row>
    <row r="1302">
      <c r="A1302" s="6" t="inlineStr">
        <is>
          <t>R0001418</t>
        </is>
      </c>
      <c r="B1302" s="6" t="inlineStr">
        <is>
          <t>2001-01-01</t>
        </is>
      </c>
      <c r="C1302" s="6" t="inlineStr">
        <is>
          <t>2001-12-31</t>
        </is>
      </c>
      <c r="D1302" s="6" t="inlineStr">
        <is>
          <t>year</t>
        </is>
      </c>
      <c r="E1302" s="6" t="inlineStr">
        <is>
          <t>ITAIPU_GROSS_GENERATION</t>
        </is>
      </c>
      <c r="F1302" s="6" t="inlineStr">
        <is>
          <t>ITAIPU</t>
        </is>
      </c>
      <c r="G1302" s="6" t="inlineStr">
        <is>
          <t>ITAIPU</t>
        </is>
      </c>
      <c r="H1302" s="6" t="inlineStr">
        <is>
          <t>TOTAL</t>
        </is>
      </c>
      <c r="I1302" s="8" t="n">
        <v>79307000</v>
      </c>
      <c r="J1302" s="6" t="inlineStr">
        <is>
          <t>MWh</t>
        </is>
      </c>
      <c r="K1302" s="8" t="n">
        <v>79307000</v>
      </c>
      <c r="L1302" s="6" t="inlineStr">
        <is>
          <t>MWh</t>
        </is>
      </c>
      <c r="M1302" s="6" t="inlineStr">
        <is>
          <t>ITAIPU</t>
        </is>
      </c>
      <c r="N1302" s="6" t="inlineStr">
        <is>
          <t>OFFICIAL_PRIMARY</t>
        </is>
      </c>
      <c r="O1302" s="9" t="inlineStr">
        <is>
          <t>OFFICIAL_AGGREGATE</t>
        </is>
      </c>
      <c r="P1302" s="8" t="n">
        <v>1</v>
      </c>
      <c r="Q1302" s="8" t="n">
        <v>95</v>
      </c>
      <c r="R1302" s="7" t="inlineStr">
        <is>
          <t>https://www.itaipu.gov.py/sites/default/files/af_df/Memoria%20Anual%202002.pdf</t>
        </is>
      </c>
      <c r="S1302" s="6" t="inlineStr">
        <is>
          <t>ITAIPU-MEM-2002</t>
        </is>
      </c>
      <c r="T1302" s="6" t="inlineStr"/>
      <c r="U1302" s="4" t="inlineStr">
        <is>
          <t>2026-09-11 00:05:00</t>
        </is>
      </c>
      <c r="V1302" s="4" t="inlineStr">
        <is>
          <t>Produccion anual oficial; valores de memoria en GWh.</t>
        </is>
      </c>
    </row>
    <row r="1303">
      <c r="A1303" s="6" t="inlineStr">
        <is>
          <t>R0001419</t>
        </is>
      </c>
      <c r="B1303" s="6" t="inlineStr">
        <is>
          <t>2002-01-01</t>
        </is>
      </c>
      <c r="C1303" s="6" t="inlineStr">
        <is>
          <t>2002-12-31</t>
        </is>
      </c>
      <c r="D1303" s="6" t="inlineStr">
        <is>
          <t>year</t>
        </is>
      </c>
      <c r="E1303" s="6" t="inlineStr">
        <is>
          <t>ITAIPU_GROSS_GENERATION</t>
        </is>
      </c>
      <c r="F1303" s="6" t="inlineStr">
        <is>
          <t>ITAIPU</t>
        </is>
      </c>
      <c r="G1303" s="6" t="inlineStr">
        <is>
          <t>ITAIPU</t>
        </is>
      </c>
      <c r="H1303" s="6" t="inlineStr">
        <is>
          <t>TOTAL</t>
        </is>
      </c>
      <c r="I1303" s="8" t="n">
        <v>82914000</v>
      </c>
      <c r="J1303" s="6" t="inlineStr">
        <is>
          <t>MWh</t>
        </is>
      </c>
      <c r="K1303" s="8" t="n">
        <v>82914000</v>
      </c>
      <c r="L1303" s="6" t="inlineStr">
        <is>
          <t>MWh</t>
        </is>
      </c>
      <c r="M1303" s="6" t="inlineStr">
        <is>
          <t>ITAIPU</t>
        </is>
      </c>
      <c r="N1303" s="6" t="inlineStr">
        <is>
          <t>OFFICIAL_PRIMARY</t>
        </is>
      </c>
      <c r="O1303" s="9" t="inlineStr">
        <is>
          <t>OFFICIAL_AGGREGATE</t>
        </is>
      </c>
      <c r="P1303" s="8" t="n">
        <v>1</v>
      </c>
      <c r="Q1303" s="8" t="n">
        <v>95</v>
      </c>
      <c r="R1303" s="7" t="inlineStr">
        <is>
          <t>https://www.itaipu.gov.py/sites/default/files/af_df/Memoria%20Anual%202002.pdf</t>
        </is>
      </c>
      <c r="S1303" s="6" t="inlineStr">
        <is>
          <t>ITAIPU-MEM-2002</t>
        </is>
      </c>
      <c r="T1303" s="6" t="inlineStr"/>
      <c r="U1303" s="4" t="inlineStr">
        <is>
          <t>2026-09-11 00:05:00</t>
        </is>
      </c>
      <c r="V1303" s="4" t="inlineStr">
        <is>
          <t>Produccion anual oficial; valores de memoria en GWh.</t>
        </is>
      </c>
    </row>
    <row r="1304">
      <c r="A1304" s="6" t="inlineStr">
        <is>
          <t>R0001420</t>
        </is>
      </c>
      <c r="B1304" s="6" t="inlineStr">
        <is>
          <t>2024-01-01</t>
        </is>
      </c>
      <c r="C1304" s="6" t="inlineStr">
        <is>
          <t>2024-12-31</t>
        </is>
      </c>
      <c r="D1304" s="6" t="inlineStr">
        <is>
          <t>year</t>
        </is>
      </c>
      <c r="E1304" s="6" t="inlineStr">
        <is>
          <t>ITAIPU_GROSS_GENERATION</t>
        </is>
      </c>
      <c r="F1304" s="6" t="inlineStr">
        <is>
          <t>ITAIPU</t>
        </is>
      </c>
      <c r="G1304" s="6" t="inlineStr">
        <is>
          <t>ITAIPU</t>
        </is>
      </c>
      <c r="H1304" s="6" t="inlineStr">
        <is>
          <t>TOTAL</t>
        </is>
      </c>
      <c r="I1304" s="8" t="n">
        <v>67088571</v>
      </c>
      <c r="J1304" s="6" t="inlineStr">
        <is>
          <t>MWh</t>
        </is>
      </c>
      <c r="K1304" s="8" t="n">
        <v>67088571</v>
      </c>
      <c r="L1304" s="6" t="inlineStr">
        <is>
          <t>MWh</t>
        </is>
      </c>
      <c r="M1304" s="6" t="inlineStr">
        <is>
          <t>ITAIPU</t>
        </is>
      </c>
      <c r="N1304" s="6" t="inlineStr">
        <is>
          <t>OFFICIAL_PRIMARY</t>
        </is>
      </c>
      <c r="O1304" s="9" t="inlineStr">
        <is>
          <t>OFFICIAL_AGGREGATE</t>
        </is>
      </c>
      <c r="P1304" s="8" t="n">
        <v>1</v>
      </c>
      <c r="Q1304" s="8" t="n">
        <v>95</v>
      </c>
      <c r="R1304" s="7" t="inlineStr">
        <is>
          <t>https://www.itaipu.gov.py/</t>
        </is>
      </c>
      <c r="S1304" s="6" t="inlineStr">
        <is>
          <t>ITAIPU-RECENT</t>
        </is>
      </c>
      <c r="T1304" s="6" t="inlineStr"/>
      <c r="U1304" s="4" t="inlineStr">
        <is>
          <t>2026-09-11 00:05:00</t>
        </is>
      </c>
      <c r="V1304" s="4" t="inlineStr">
        <is>
          <t>Produccion 2024 reportada por Itaipu.</t>
        </is>
      </c>
    </row>
    <row r="1305">
      <c r="A1305" s="6" t="inlineStr">
        <is>
          <t>R0001421</t>
        </is>
      </c>
      <c r="B1305" s="6" t="inlineStr">
        <is>
          <t>2025-01-01</t>
        </is>
      </c>
      <c r="C1305" s="6" t="inlineStr">
        <is>
          <t>2025-12-31</t>
        </is>
      </c>
      <c r="D1305" s="6" t="inlineStr">
        <is>
          <t>year</t>
        </is>
      </c>
      <c r="E1305" s="6" t="inlineStr">
        <is>
          <t>ITAIPU_GROSS_GENERATION</t>
        </is>
      </c>
      <c r="F1305" s="6" t="inlineStr">
        <is>
          <t>ITAIPU</t>
        </is>
      </c>
      <c r="G1305" s="6" t="inlineStr">
        <is>
          <t>ITAIPU</t>
        </is>
      </c>
      <c r="H1305" s="6" t="inlineStr">
        <is>
          <t>TOTAL</t>
        </is>
      </c>
      <c r="I1305" s="8" t="n">
        <v>72879287</v>
      </c>
      <c r="J1305" s="6" t="inlineStr">
        <is>
          <t>MWh</t>
        </is>
      </c>
      <c r="K1305" s="8" t="n">
        <v>72879287</v>
      </c>
      <c r="L1305" s="6" t="inlineStr">
        <is>
          <t>MWh</t>
        </is>
      </c>
      <c r="M1305" s="6" t="inlineStr">
        <is>
          <t>ITAIPU</t>
        </is>
      </c>
      <c r="N1305" s="6" t="inlineStr">
        <is>
          <t>OFFICIAL_PRIMARY</t>
        </is>
      </c>
      <c r="O1305" s="9" t="inlineStr">
        <is>
          <t>OFFICIAL_AGGREGATE</t>
        </is>
      </c>
      <c r="P1305" s="8" t="n">
        <v>1</v>
      </c>
      <c r="Q1305" s="8" t="n">
        <v>95</v>
      </c>
      <c r="R1305" s="7" t="inlineStr">
        <is>
          <t>https://www.itaipu.gov.py/</t>
        </is>
      </c>
      <c r="S1305" s="6" t="inlineStr">
        <is>
          <t>ITAIPU-RECENT</t>
        </is>
      </c>
      <c r="T1305" s="6" t="inlineStr"/>
      <c r="U1305" s="4" t="inlineStr">
        <is>
          <t>2026-09-11 00:05:00</t>
        </is>
      </c>
      <c r="V1305" s="4" t="inlineStr">
        <is>
          <t>Produccion 2025 reportada por Itaipu.</t>
        </is>
      </c>
    </row>
    <row r="1306">
      <c r="A1306" s="6" t="inlineStr">
        <is>
          <t>R0001422</t>
        </is>
      </c>
      <c r="B1306" s="6" t="inlineStr">
        <is>
          <t>2025-01-01</t>
        </is>
      </c>
      <c r="C1306" s="6" t="inlineStr">
        <is>
          <t>2025-12-31</t>
        </is>
      </c>
      <c r="D1306" s="6" t="inlineStr">
        <is>
          <t>year</t>
        </is>
      </c>
      <c r="E1306" s="6" t="inlineStr">
        <is>
          <t>ENERGY_TO_PY</t>
        </is>
      </c>
      <c r="F1306" s="6" t="inlineStr">
        <is>
          <t>ITAIPU</t>
        </is>
      </c>
      <c r="G1306" s="6" t="inlineStr">
        <is>
          <t>ITAIPU</t>
        </is>
      </c>
      <c r="H1306" s="6" t="inlineStr">
        <is>
          <t>PY</t>
        </is>
      </c>
      <c r="I1306" s="8" t="n">
        <v>25768000</v>
      </c>
      <c r="J1306" s="6" t="inlineStr">
        <is>
          <t>MWh</t>
        </is>
      </c>
      <c r="K1306" s="8" t="n">
        <v>25768000</v>
      </c>
      <c r="L1306" s="6" t="inlineStr">
        <is>
          <t>MWh</t>
        </is>
      </c>
      <c r="M1306" s="6" t="inlineStr">
        <is>
          <t>ITAIPU</t>
        </is>
      </c>
      <c r="N1306" s="6" t="inlineStr">
        <is>
          <t>OFFICIAL_PRIMARY</t>
        </is>
      </c>
      <c r="O1306" s="9" t="inlineStr">
        <is>
          <t>OFFICIAL_AGGREGATE</t>
        </is>
      </c>
      <c r="P1306" s="8" t="n">
        <v>1</v>
      </c>
      <c r="Q1306" s="8" t="n">
        <v>95</v>
      </c>
      <c r="R1306" s="7" t="inlineStr">
        <is>
          <t>https://www.itaipu.gov.py/</t>
        </is>
      </c>
      <c r="S1306" s="6" t="inlineStr">
        <is>
          <t>ITAIPU-RECENT</t>
        </is>
      </c>
      <c r="T1306" s="6" t="inlineStr"/>
      <c r="U1306" s="4" t="inlineStr">
        <is>
          <t>2026-09-11 00:05:00</t>
        </is>
      </c>
      <c r="V1306" s="4" t="inlineStr">
        <is>
          <t>Suministro 2025 a Paraguay.</t>
        </is>
      </c>
    </row>
    <row r="1307">
      <c r="A1307" s="6" t="inlineStr">
        <is>
          <t>R0001423</t>
        </is>
      </c>
      <c r="B1307" s="6" t="inlineStr">
        <is>
          <t>2018-01-01</t>
        </is>
      </c>
      <c r="C1307" s="6" t="inlineStr">
        <is>
          <t>2018-12-31</t>
        </is>
      </c>
      <c r="D1307" s="6" t="inlineStr">
        <is>
          <t>year</t>
        </is>
      </c>
      <c r="E1307" s="6" t="inlineStr">
        <is>
          <t>ITAIPU_SUPPLIED_ENERGY</t>
        </is>
      </c>
      <c r="F1307" s="6" t="inlineStr">
        <is>
          <t>ITAIPU</t>
        </is>
      </c>
      <c r="G1307" s="6" t="inlineStr">
        <is>
          <t>ITAIPU</t>
        </is>
      </c>
      <c r="H1307" s="6" t="inlineStr">
        <is>
          <t>BR</t>
        </is>
      </c>
      <c r="I1307" s="8" t="n">
        <v>80838912</v>
      </c>
      <c r="J1307" s="6" t="inlineStr">
        <is>
          <t>MWh</t>
        </is>
      </c>
      <c r="K1307" s="8" t="n">
        <v>80838912</v>
      </c>
      <c r="L1307" s="6" t="inlineStr">
        <is>
          <t>MWh</t>
        </is>
      </c>
      <c r="M1307" s="6" t="inlineStr">
        <is>
          <t>ITAIPU</t>
        </is>
      </c>
      <c r="N1307" s="6" t="inlineStr">
        <is>
          <t>OFFICIAL_PRIMARY</t>
        </is>
      </c>
      <c r="O1307" s="9" t="inlineStr">
        <is>
          <t>OFFICIAL_ACCOUNTING</t>
        </is>
      </c>
      <c r="P1307" s="8" t="n">
        <v>1</v>
      </c>
      <c r="Q1307" s="8" t="n">
        <v>90</v>
      </c>
      <c r="R1307" s="7" t="inlineStr">
        <is>
          <t>https://www.itaipu.gov.py/</t>
        </is>
      </c>
      <c r="S1307" s="6" t="inlineStr">
        <is>
          <t>ITAIPU-FIN</t>
        </is>
      </c>
      <c r="T1307" s="6" t="inlineStr"/>
      <c r="U1307" s="4" t="inlineStr">
        <is>
          <t>2026-09-11 00:05:00</t>
        </is>
      </c>
      <c r="V1307" s="4" t="inlineStr">
        <is>
          <t>Energia suministrada al Brasil segun estados financieros.</t>
        </is>
      </c>
    </row>
    <row r="1308">
      <c r="A1308" s="6" t="inlineStr">
        <is>
          <t>R0001424</t>
        </is>
      </c>
      <c r="B1308" s="6" t="inlineStr">
        <is>
          <t>2018-01-01</t>
        </is>
      </c>
      <c r="C1308" s="6" t="inlineStr">
        <is>
          <t>2018-12-31</t>
        </is>
      </c>
      <c r="D1308" s="6" t="inlineStr">
        <is>
          <t>year</t>
        </is>
      </c>
      <c r="E1308" s="6" t="inlineStr">
        <is>
          <t>ITAIPU_SUPPLIED_ENERGY</t>
        </is>
      </c>
      <c r="F1308" s="6" t="inlineStr">
        <is>
          <t>ITAIPU</t>
        </is>
      </c>
      <c r="G1308" s="6" t="inlineStr">
        <is>
          <t>ITAIPU</t>
        </is>
      </c>
      <c r="H1308" s="6" t="inlineStr">
        <is>
          <t>PY</t>
        </is>
      </c>
      <c r="I1308" s="8" t="n">
        <v>15043900</v>
      </c>
      <c r="J1308" s="6" t="inlineStr">
        <is>
          <t>MWh</t>
        </is>
      </c>
      <c r="K1308" s="8" t="n">
        <v>15043900</v>
      </c>
      <c r="L1308" s="6" t="inlineStr">
        <is>
          <t>MWh</t>
        </is>
      </c>
      <c r="M1308" s="6" t="inlineStr">
        <is>
          <t>ITAIPU</t>
        </is>
      </c>
      <c r="N1308" s="6" t="inlineStr">
        <is>
          <t>OFFICIAL_PRIMARY</t>
        </is>
      </c>
      <c r="O1308" s="9" t="inlineStr">
        <is>
          <t>OFFICIAL_ACCOUNTING</t>
        </is>
      </c>
      <c r="P1308" s="8" t="n">
        <v>1</v>
      </c>
      <c r="Q1308" s="8" t="n">
        <v>90</v>
      </c>
      <c r="R1308" s="7" t="inlineStr">
        <is>
          <t>https://www.itaipu.gov.py/</t>
        </is>
      </c>
      <c r="S1308" s="6" t="inlineStr">
        <is>
          <t>ITAIPU-FIN</t>
        </is>
      </c>
      <c r="T1308" s="6" t="inlineStr"/>
      <c r="U1308" s="4" t="inlineStr">
        <is>
          <t>2026-09-11 00:05:00</t>
        </is>
      </c>
      <c r="V1308" s="4" t="inlineStr">
        <is>
          <t>Energia suministrada al Paraguay segun estados financieros.</t>
        </is>
      </c>
    </row>
    <row r="1309">
      <c r="A1309" s="6" t="inlineStr">
        <is>
          <t>R0001425</t>
        </is>
      </c>
      <c r="B1309" s="6" t="inlineStr">
        <is>
          <t>2019-01-01</t>
        </is>
      </c>
      <c r="C1309" s="6" t="inlineStr">
        <is>
          <t>2019-12-31</t>
        </is>
      </c>
      <c r="D1309" s="6" t="inlineStr">
        <is>
          <t>year</t>
        </is>
      </c>
      <c r="E1309" s="6" t="inlineStr">
        <is>
          <t>ITAIPU_SUPPLIED_ENERGY</t>
        </is>
      </c>
      <c r="F1309" s="6" t="inlineStr">
        <is>
          <t>ITAIPU</t>
        </is>
      </c>
      <c r="G1309" s="6" t="inlineStr">
        <is>
          <t>ITAIPU</t>
        </is>
      </c>
      <c r="H1309" s="6" t="inlineStr">
        <is>
          <t>BR</t>
        </is>
      </c>
      <c r="I1309" s="8" t="n">
        <v>63627155</v>
      </c>
      <c r="J1309" s="6" t="inlineStr">
        <is>
          <t>MWh</t>
        </is>
      </c>
      <c r="K1309" s="8" t="n">
        <v>63627155</v>
      </c>
      <c r="L1309" s="6" t="inlineStr">
        <is>
          <t>MWh</t>
        </is>
      </c>
      <c r="M1309" s="6" t="inlineStr">
        <is>
          <t>ITAIPU</t>
        </is>
      </c>
      <c r="N1309" s="6" t="inlineStr">
        <is>
          <t>OFFICIAL_PRIMARY</t>
        </is>
      </c>
      <c r="O1309" s="9" t="inlineStr">
        <is>
          <t>OFFICIAL_ACCOUNTING</t>
        </is>
      </c>
      <c r="P1309" s="8" t="n">
        <v>1</v>
      </c>
      <c r="Q1309" s="8" t="n">
        <v>90</v>
      </c>
      <c r="R1309" s="7" t="inlineStr">
        <is>
          <t>https://www.itaipu.gov.py/</t>
        </is>
      </c>
      <c r="S1309" s="6" t="inlineStr">
        <is>
          <t>ITAIPU-FIN</t>
        </is>
      </c>
      <c r="T1309" s="6" t="inlineStr"/>
      <c r="U1309" s="4" t="inlineStr">
        <is>
          <t>2026-09-11 00:05:00</t>
        </is>
      </c>
      <c r="V1309" s="4" t="inlineStr">
        <is>
          <t>Energia suministrada al Brasil segun estados financieros.</t>
        </is>
      </c>
    </row>
    <row r="1310">
      <c r="A1310" s="6" t="inlineStr">
        <is>
          <t>R0001426</t>
        </is>
      </c>
      <c r="B1310" s="6" t="inlineStr">
        <is>
          <t>2019-01-01</t>
        </is>
      </c>
      <c r="C1310" s="6" t="inlineStr">
        <is>
          <t>2019-12-31</t>
        </is>
      </c>
      <c r="D1310" s="6" t="inlineStr">
        <is>
          <t>year</t>
        </is>
      </c>
      <c r="E1310" s="6" t="inlineStr">
        <is>
          <t>ITAIPU_SUPPLIED_ENERGY</t>
        </is>
      </c>
      <c r="F1310" s="6" t="inlineStr">
        <is>
          <t>ITAIPU</t>
        </is>
      </c>
      <c r="G1310" s="6" t="inlineStr">
        <is>
          <t>ITAIPU</t>
        </is>
      </c>
      <c r="H1310" s="6" t="inlineStr">
        <is>
          <t>PY</t>
        </is>
      </c>
      <c r="I1310" s="8" t="n">
        <v>15266241</v>
      </c>
      <c r="J1310" s="6" t="inlineStr">
        <is>
          <t>MWh</t>
        </is>
      </c>
      <c r="K1310" s="8" t="n">
        <v>15266241</v>
      </c>
      <c r="L1310" s="6" t="inlineStr">
        <is>
          <t>MWh</t>
        </is>
      </c>
      <c r="M1310" s="6" t="inlineStr">
        <is>
          <t>ITAIPU</t>
        </is>
      </c>
      <c r="N1310" s="6" t="inlineStr">
        <is>
          <t>OFFICIAL_PRIMARY</t>
        </is>
      </c>
      <c r="O1310" s="9" t="inlineStr">
        <is>
          <t>OFFICIAL_ACCOUNTING</t>
        </is>
      </c>
      <c r="P1310" s="8" t="n">
        <v>1</v>
      </c>
      <c r="Q1310" s="8" t="n">
        <v>90</v>
      </c>
      <c r="R1310" s="7" t="inlineStr">
        <is>
          <t>https://www.itaipu.gov.py/</t>
        </is>
      </c>
      <c r="S1310" s="6" t="inlineStr">
        <is>
          <t>ITAIPU-FIN</t>
        </is>
      </c>
      <c r="T1310" s="6" t="inlineStr"/>
      <c r="U1310" s="4" t="inlineStr">
        <is>
          <t>2026-09-11 00:05:00</t>
        </is>
      </c>
      <c r="V1310" s="4" t="inlineStr">
        <is>
          <t>Energia suministrada al Paraguay segun estados financieros.</t>
        </is>
      </c>
    </row>
    <row r="1311">
      <c r="A1311" s="6" t="inlineStr">
        <is>
          <t>R0001427</t>
        </is>
      </c>
      <c r="B1311" s="6" t="inlineStr">
        <is>
          <t>2020-01-01</t>
        </is>
      </c>
      <c r="C1311" s="6" t="inlineStr">
        <is>
          <t>2020-12-31</t>
        </is>
      </c>
      <c r="D1311" s="6" t="inlineStr">
        <is>
          <t>year</t>
        </is>
      </c>
      <c r="E1311" s="6" t="inlineStr">
        <is>
          <t>ITAIPU_SUPPLIED_ENERGY</t>
        </is>
      </c>
      <c r="F1311" s="6" t="inlineStr">
        <is>
          <t>ITAIPU</t>
        </is>
      </c>
      <c r="G1311" s="6" t="inlineStr">
        <is>
          <t>ITAIPU</t>
        </is>
      </c>
      <c r="H1311" s="6" t="inlineStr">
        <is>
          <t>BR</t>
        </is>
      </c>
      <c r="I1311" s="8" t="n">
        <v>60045120</v>
      </c>
      <c r="J1311" s="6" t="inlineStr">
        <is>
          <t>MWh</t>
        </is>
      </c>
      <c r="K1311" s="8" t="n">
        <v>60045120</v>
      </c>
      <c r="L1311" s="6" t="inlineStr">
        <is>
          <t>MWh</t>
        </is>
      </c>
      <c r="M1311" s="6" t="inlineStr">
        <is>
          <t>ITAIPU</t>
        </is>
      </c>
      <c r="N1311" s="6" t="inlineStr">
        <is>
          <t>OFFICIAL_PRIMARY</t>
        </is>
      </c>
      <c r="O1311" s="9" t="inlineStr">
        <is>
          <t>OFFICIAL_ACCOUNTING</t>
        </is>
      </c>
      <c r="P1311" s="8" t="n">
        <v>1</v>
      </c>
      <c r="Q1311" s="8" t="n">
        <v>90</v>
      </c>
      <c r="R1311" s="7" t="inlineStr">
        <is>
          <t>https://www.itaipu.gov.py/</t>
        </is>
      </c>
      <c r="S1311" s="6" t="inlineStr">
        <is>
          <t>ITAIPU-FIN</t>
        </is>
      </c>
      <c r="T1311" s="6" t="inlineStr"/>
      <c r="U1311" s="4" t="inlineStr">
        <is>
          <t>2026-09-11 00:05:00</t>
        </is>
      </c>
      <c r="V1311" s="4" t="inlineStr">
        <is>
          <t>Energia suministrada al Brasil segun estados financieros.</t>
        </is>
      </c>
    </row>
    <row r="1312">
      <c r="A1312" s="6" t="inlineStr">
        <is>
          <t>R0001428</t>
        </is>
      </c>
      <c r="B1312" s="6" t="inlineStr">
        <is>
          <t>2020-01-01</t>
        </is>
      </c>
      <c r="C1312" s="6" t="inlineStr">
        <is>
          <t>2020-12-31</t>
        </is>
      </c>
      <c r="D1312" s="6" t="inlineStr">
        <is>
          <t>year</t>
        </is>
      </c>
      <c r="E1312" s="6" t="inlineStr">
        <is>
          <t>ITAIPU_SUPPLIED_ENERGY</t>
        </is>
      </c>
      <c r="F1312" s="6" t="inlineStr">
        <is>
          <t>ITAIPU</t>
        </is>
      </c>
      <c r="G1312" s="6" t="inlineStr">
        <is>
          <t>ITAIPU</t>
        </is>
      </c>
      <c r="H1312" s="6" t="inlineStr">
        <is>
          <t>PY</t>
        </is>
      </c>
      <c r="I1312" s="8" t="n">
        <v>15861298</v>
      </c>
      <c r="J1312" s="6" t="inlineStr">
        <is>
          <t>MWh</t>
        </is>
      </c>
      <c r="K1312" s="8" t="n">
        <v>15861298</v>
      </c>
      <c r="L1312" s="6" t="inlineStr">
        <is>
          <t>MWh</t>
        </is>
      </c>
      <c r="M1312" s="6" t="inlineStr">
        <is>
          <t>ITAIPU</t>
        </is>
      </c>
      <c r="N1312" s="6" t="inlineStr">
        <is>
          <t>OFFICIAL_PRIMARY</t>
        </is>
      </c>
      <c r="O1312" s="9" t="inlineStr">
        <is>
          <t>OFFICIAL_ACCOUNTING</t>
        </is>
      </c>
      <c r="P1312" s="8" t="n">
        <v>1</v>
      </c>
      <c r="Q1312" s="8" t="n">
        <v>90</v>
      </c>
      <c r="R1312" s="7" t="inlineStr">
        <is>
          <t>https://www.itaipu.gov.py/</t>
        </is>
      </c>
      <c r="S1312" s="6" t="inlineStr">
        <is>
          <t>ITAIPU-FIN</t>
        </is>
      </c>
      <c r="T1312" s="6" t="inlineStr"/>
      <c r="U1312" s="4" t="inlineStr">
        <is>
          <t>2026-09-11 00:05:00</t>
        </is>
      </c>
      <c r="V1312" s="4" t="inlineStr">
        <is>
          <t>Energia suministrada al Paraguay segun estados financieros.</t>
        </is>
      </c>
    </row>
    <row r="1313">
      <c r="A1313" s="6" t="inlineStr">
        <is>
          <t>R0001429</t>
        </is>
      </c>
      <c r="B1313" s="6" t="inlineStr">
        <is>
          <t>2016-01-01</t>
        </is>
      </c>
      <c r="C1313" s="6" t="inlineStr">
        <is>
          <t>2016-12-31</t>
        </is>
      </c>
      <c r="D1313" s="6" t="inlineStr">
        <is>
          <t>year</t>
        </is>
      </c>
      <c r="E1313" s="6" t="inlineStr">
        <is>
          <t>ITAIPU_GROSS_GENERATION</t>
        </is>
      </c>
      <c r="F1313" s="6" t="inlineStr">
        <is>
          <t>ITAIPU</t>
        </is>
      </c>
      <c r="G1313" s="6" t="inlineStr">
        <is>
          <t>ITAIPU</t>
        </is>
      </c>
      <c r="H1313" s="6" t="inlineStr">
        <is>
          <t>TOTAL</t>
        </is>
      </c>
      <c r="I1313" s="8" t="n">
        <v>103098366</v>
      </c>
      <c r="J1313" s="6" t="inlineStr">
        <is>
          <t>MWh</t>
        </is>
      </c>
      <c r="K1313" s="8" t="n">
        <v>103098366</v>
      </c>
      <c r="L1313" s="6" t="inlineStr">
        <is>
          <t>MWh</t>
        </is>
      </c>
      <c r="M1313" s="6" t="inlineStr">
        <is>
          <t>ITAIPU</t>
        </is>
      </c>
      <c r="N1313" s="6" t="inlineStr">
        <is>
          <t>OFFICIAL_PRIMARY</t>
        </is>
      </c>
      <c r="O1313" s="9" t="inlineStr">
        <is>
          <t>OFFICIAL_AGGREGATE</t>
        </is>
      </c>
      <c r="P1313" s="8" t="n">
        <v>1</v>
      </c>
      <c r="Q1313" s="8" t="n">
        <v>100</v>
      </c>
      <c r="R1313" s="7" t="inlineStr">
        <is>
          <t>https://www.itaipu.gov.py/noticias/institucional/itaipu-produjo-en-2016-un-total-de-103-098-366-de-mwh-y-usd-100-millones-adicionales-para-el-paraguay</t>
        </is>
      </c>
      <c r="S1313" s="6" t="inlineStr">
        <is>
          <t>ITAIPU-2016</t>
        </is>
      </c>
      <c r="T1313" s="6" t="inlineStr"/>
      <c r="U1313" s="4" t="inlineStr">
        <is>
          <t>2026-09-11 00:05:00</t>
        </is>
      </c>
      <c r="V1313" s="4" t="inlineStr">
        <is>
          <t>Record mundial anual 2016.</t>
        </is>
      </c>
    </row>
    <row r="1314">
      <c r="A1314" s="6" t="inlineStr">
        <is>
          <t>R0001430</t>
        </is>
      </c>
      <c r="B1314" s="6" t="inlineStr">
        <is>
          <t>2022-01-01</t>
        </is>
      </c>
      <c r="C1314" s="6" t="inlineStr">
        <is>
          <t>2022-12-31</t>
        </is>
      </c>
      <c r="D1314" s="6" t="inlineStr">
        <is>
          <t>year</t>
        </is>
      </c>
      <c r="E1314" s="6" t="inlineStr">
        <is>
          <t>ITAIPU_SUPPLIED_ENERGY</t>
        </is>
      </c>
      <c r="F1314" s="6" t="inlineStr">
        <is>
          <t>ITAIPU</t>
        </is>
      </c>
      <c r="G1314" s="6" t="inlineStr">
        <is>
          <t>ITAIPU</t>
        </is>
      </c>
      <c r="H1314" s="6" t="inlineStr">
        <is>
          <t>PY</t>
        </is>
      </c>
      <c r="I1314" s="8" t="n">
        <v>16965000</v>
      </c>
      <c r="J1314" s="6" t="inlineStr">
        <is>
          <t>MWh</t>
        </is>
      </c>
      <c r="K1314" s="8" t="n">
        <v>16965000</v>
      </c>
      <c r="L1314" s="6" t="inlineStr">
        <is>
          <t>MWh</t>
        </is>
      </c>
      <c r="M1314" s="6" t="inlineStr">
        <is>
          <t>ITAIPU</t>
        </is>
      </c>
      <c r="N1314" s="6" t="inlineStr">
        <is>
          <t>OFFICIAL_PRIMARY</t>
        </is>
      </c>
      <c r="O1314" s="9" t="inlineStr">
        <is>
          <t>OFFICIAL_AGGREGATE</t>
        </is>
      </c>
      <c r="P1314" s="8" t="n">
        <v>1</v>
      </c>
      <c r="Q1314" s="8" t="n">
        <v>98</v>
      </c>
      <c r="R1314" s="7" t="inlineStr">
        <is>
          <t>https://www.itaipu.gov.py/sites/default/files/u62/Memoria%20Anual%20Itaipu%202023_Espa%C3%B1ol_internet.pdf</t>
        </is>
      </c>
      <c r="S1314" s="6" t="inlineStr">
        <is>
          <t>ITAIPU-MEM-2023</t>
        </is>
      </c>
      <c r="T1314" s="6" t="inlineStr"/>
      <c r="U1314" s="4" t="inlineStr">
        <is>
          <t>2026-09-11 00:05:00</t>
        </is>
      </c>
      <c r="V1314" s="4" t="inlineStr">
        <is>
          <t>Energia suministrada a ANDE; valores redondeados en GWh.</t>
        </is>
      </c>
    </row>
    <row r="1315">
      <c r="A1315" s="6" t="inlineStr">
        <is>
          <t>R0001431</t>
        </is>
      </c>
      <c r="B1315" s="6" t="inlineStr">
        <is>
          <t>2022-01-01</t>
        </is>
      </c>
      <c r="C1315" s="6" t="inlineStr">
        <is>
          <t>2022-12-31</t>
        </is>
      </c>
      <c r="D1315" s="6" t="inlineStr">
        <is>
          <t>year</t>
        </is>
      </c>
      <c r="E1315" s="6" t="inlineStr">
        <is>
          <t>ITAIPU_SUPPLIED_ENERGY</t>
        </is>
      </c>
      <c r="F1315" s="6" t="inlineStr">
        <is>
          <t>ITAIPU</t>
        </is>
      </c>
      <c r="G1315" s="6" t="inlineStr">
        <is>
          <t>ITAIPU</t>
        </is>
      </c>
      <c r="H1315" s="6" t="inlineStr">
        <is>
          <t>BR</t>
        </is>
      </c>
      <c r="I1315" s="8" t="n">
        <v>52527000</v>
      </c>
      <c r="J1315" s="6" t="inlineStr">
        <is>
          <t>MWh</t>
        </is>
      </c>
      <c r="K1315" s="8" t="n">
        <v>52527000</v>
      </c>
      <c r="L1315" s="6" t="inlineStr">
        <is>
          <t>MWh</t>
        </is>
      </c>
      <c r="M1315" s="6" t="inlineStr">
        <is>
          <t>ITAIPU</t>
        </is>
      </c>
      <c r="N1315" s="6" t="inlineStr">
        <is>
          <t>OFFICIAL_PRIMARY</t>
        </is>
      </c>
      <c r="O1315" s="9" t="inlineStr">
        <is>
          <t>OFFICIAL_AGGREGATE</t>
        </is>
      </c>
      <c r="P1315" s="8" t="n">
        <v>1</v>
      </c>
      <c r="Q1315" s="8" t="n">
        <v>98</v>
      </c>
      <c r="R1315" s="7" t="inlineStr">
        <is>
          <t>https://www.itaipu.gov.py/sites/default/files/u62/Memoria%20Anual%20Itaipu%202023_Espa%C3%B1ol_internet.pdf</t>
        </is>
      </c>
      <c r="S1315" s="6" t="inlineStr">
        <is>
          <t>ITAIPU-MEM-2023</t>
        </is>
      </c>
      <c r="T1315" s="6" t="inlineStr"/>
      <c r="U1315" s="4" t="inlineStr">
        <is>
          <t>2026-09-11 00:05:00</t>
        </is>
      </c>
      <c r="V1315" s="4" t="inlineStr">
        <is>
          <t>Energia suministrada a ENBPar; valores redondeados en GWh.</t>
        </is>
      </c>
    </row>
    <row r="1316">
      <c r="A1316" s="6" t="inlineStr">
        <is>
          <t>R0001432</t>
        </is>
      </c>
      <c r="B1316" s="6" t="inlineStr">
        <is>
          <t>2023-01-01</t>
        </is>
      </c>
      <c r="C1316" s="6" t="inlineStr">
        <is>
          <t>2023-12-31</t>
        </is>
      </c>
      <c r="D1316" s="6" t="inlineStr">
        <is>
          <t>year</t>
        </is>
      </c>
      <c r="E1316" s="6" t="inlineStr">
        <is>
          <t>ITAIPU_SUPPLIED_ENERGY</t>
        </is>
      </c>
      <c r="F1316" s="6" t="inlineStr">
        <is>
          <t>ITAIPU</t>
        </is>
      </c>
      <c r="G1316" s="6" t="inlineStr">
        <is>
          <t>ITAIPU</t>
        </is>
      </c>
      <c r="H1316" s="6" t="inlineStr">
        <is>
          <t>PY</t>
        </is>
      </c>
      <c r="I1316" s="8" t="n">
        <v>19515000</v>
      </c>
      <c r="J1316" s="6" t="inlineStr">
        <is>
          <t>MWh</t>
        </is>
      </c>
      <c r="K1316" s="8" t="n">
        <v>19515000</v>
      </c>
      <c r="L1316" s="6" t="inlineStr">
        <is>
          <t>MWh</t>
        </is>
      </c>
      <c r="M1316" s="6" t="inlineStr">
        <is>
          <t>ITAIPU</t>
        </is>
      </c>
      <c r="N1316" s="6" t="inlineStr">
        <is>
          <t>OFFICIAL_PRIMARY</t>
        </is>
      </c>
      <c r="O1316" s="9" t="inlineStr">
        <is>
          <t>OFFICIAL_AGGREGATE</t>
        </is>
      </c>
      <c r="P1316" s="8" t="n">
        <v>1</v>
      </c>
      <c r="Q1316" s="8" t="n">
        <v>98</v>
      </c>
      <c r="R1316" s="7" t="inlineStr">
        <is>
          <t>https://www.itaipu.gov.py/sites/default/files/u62/Memoria%20Anual%20Itaipu%202023_Espa%C3%B1ol_internet.pdf</t>
        </is>
      </c>
      <c r="S1316" s="6" t="inlineStr">
        <is>
          <t>ITAIPU-MEM-2023</t>
        </is>
      </c>
      <c r="T1316" s="6" t="inlineStr"/>
      <c r="U1316" s="4" t="inlineStr">
        <is>
          <t>2026-09-11 00:05:00</t>
        </is>
      </c>
      <c r="V1316" s="4" t="inlineStr">
        <is>
          <t>Energia suministrada a ANDE; valores redondeados en GWh.</t>
        </is>
      </c>
    </row>
    <row r="1317">
      <c r="A1317" s="6" t="inlineStr">
        <is>
          <t>R0001433</t>
        </is>
      </c>
      <c r="B1317" s="6" t="inlineStr">
        <is>
          <t>2023-01-01</t>
        </is>
      </c>
      <c r="C1317" s="6" t="inlineStr">
        <is>
          <t>2023-12-31</t>
        </is>
      </c>
      <c r="D1317" s="6" t="inlineStr">
        <is>
          <t>year</t>
        </is>
      </c>
      <c r="E1317" s="6" t="inlineStr">
        <is>
          <t>ITAIPU_SUPPLIED_ENERGY</t>
        </is>
      </c>
      <c r="F1317" s="6" t="inlineStr">
        <is>
          <t>ITAIPU</t>
        </is>
      </c>
      <c r="G1317" s="6" t="inlineStr">
        <is>
          <t>ITAIPU</t>
        </is>
      </c>
      <c r="H1317" s="6" t="inlineStr">
        <is>
          <t>BR</t>
        </is>
      </c>
      <c r="I1317" s="8" t="n">
        <v>63920000</v>
      </c>
      <c r="J1317" s="6" t="inlineStr">
        <is>
          <t>MWh</t>
        </is>
      </c>
      <c r="K1317" s="8" t="n">
        <v>63920000</v>
      </c>
      <c r="L1317" s="6" t="inlineStr">
        <is>
          <t>MWh</t>
        </is>
      </c>
      <c r="M1317" s="6" t="inlineStr">
        <is>
          <t>ITAIPU</t>
        </is>
      </c>
      <c r="N1317" s="6" t="inlineStr">
        <is>
          <t>OFFICIAL_PRIMARY</t>
        </is>
      </c>
      <c r="O1317" s="9" t="inlineStr">
        <is>
          <t>OFFICIAL_AGGREGATE</t>
        </is>
      </c>
      <c r="P1317" s="8" t="n">
        <v>1</v>
      </c>
      <c r="Q1317" s="8" t="n">
        <v>98</v>
      </c>
      <c r="R1317" s="7" t="inlineStr">
        <is>
          <t>https://www.itaipu.gov.py/sites/default/files/u62/Memoria%20Anual%20Itaipu%202023_Espa%C3%B1ol_internet.pdf</t>
        </is>
      </c>
      <c r="S1317" s="6" t="inlineStr">
        <is>
          <t>ITAIPU-MEM-2023</t>
        </is>
      </c>
      <c r="T1317" s="6" t="inlineStr"/>
      <c r="U1317" s="4" t="inlineStr">
        <is>
          <t>2026-09-11 00:05:00</t>
        </is>
      </c>
      <c r="V1317" s="4" t="inlineStr">
        <is>
          <t>Energia suministrada a ENBPar; valores redondeados en GWh.</t>
        </is>
      </c>
    </row>
    <row r="1318">
      <c r="A1318" s="6" t="inlineStr">
        <is>
          <t>R0001434</t>
        </is>
      </c>
      <c r="B1318" s="6" t="inlineStr">
        <is>
          <t>2023-01-01</t>
        </is>
      </c>
      <c r="C1318" s="6" t="inlineStr">
        <is>
          <t>2023-01-31</t>
        </is>
      </c>
      <c r="D1318" s="6" t="inlineStr">
        <is>
          <t>month</t>
        </is>
      </c>
      <c r="E1318" s="6" t="inlineStr">
        <is>
          <t>ITAIPU_SUPPLIED_ENERGY</t>
        </is>
      </c>
      <c r="F1318" s="6" t="inlineStr">
        <is>
          <t>ITAIPU</t>
        </is>
      </c>
      <c r="G1318" s="6" t="inlineStr">
        <is>
          <t>ITAIPU</t>
        </is>
      </c>
      <c r="H1318" s="6" t="inlineStr">
        <is>
          <t>PY</t>
        </is>
      </c>
      <c r="I1318" s="8" t="n">
        <v>2019000</v>
      </c>
      <c r="J1318" s="6" t="inlineStr">
        <is>
          <t>MWh</t>
        </is>
      </c>
      <c r="K1318" s="8" t="n">
        <v>2019000</v>
      </c>
      <c r="L1318" s="6" t="inlineStr">
        <is>
          <t>MWh</t>
        </is>
      </c>
      <c r="M1318" s="6" t="inlineStr">
        <is>
          <t>ITAIPU</t>
        </is>
      </c>
      <c r="N1318" s="6" t="inlineStr">
        <is>
          <t>OFFICIAL_PRIMARY</t>
        </is>
      </c>
      <c r="O1318" s="9" t="inlineStr">
        <is>
          <t>OFFICIAL_AGGREGATE</t>
        </is>
      </c>
      <c r="P1318" s="8" t="n">
        <v>1</v>
      </c>
      <c r="Q1318" s="8" t="n">
        <v>98</v>
      </c>
      <c r="R1318" s="7" t="inlineStr">
        <is>
          <t>https://www.itaipu.gov.py/sites/default/files/u62/Memoria%20Anual%20Itaipu%202023_Espa%C3%B1ol_internet.pdf</t>
        </is>
      </c>
      <c r="S1318" s="6" t="inlineStr">
        <is>
          <t>ITAIPU-MEM-2023</t>
        </is>
      </c>
      <c r="T1318" s="6" t="inlineStr"/>
      <c r="U1318" s="4" t="inlineStr">
        <is>
          <t>2026-09-11 00:05:00</t>
        </is>
      </c>
      <c r="V1318" s="4" t="inlineStr">
        <is>
          <t>Tabla mensual oficial, valores redondeados a GWh.</t>
        </is>
      </c>
    </row>
    <row r="1319">
      <c r="A1319" s="6" t="inlineStr">
        <is>
          <t>R0001435</t>
        </is>
      </c>
      <c r="B1319" s="6" t="inlineStr">
        <is>
          <t>2023-01-01</t>
        </is>
      </c>
      <c r="C1319" s="6" t="inlineStr">
        <is>
          <t>2023-01-31</t>
        </is>
      </c>
      <c r="D1319" s="6" t="inlineStr">
        <is>
          <t>month</t>
        </is>
      </c>
      <c r="E1319" s="6" t="inlineStr">
        <is>
          <t>ITAIPU_SUPPLIED_ENERGY</t>
        </is>
      </c>
      <c r="F1319" s="6" t="inlineStr">
        <is>
          <t>ITAIPU</t>
        </is>
      </c>
      <c r="G1319" s="6" t="inlineStr">
        <is>
          <t>ITAIPU</t>
        </is>
      </c>
      <c r="H1319" s="6" t="inlineStr">
        <is>
          <t>BR</t>
        </is>
      </c>
      <c r="I1319" s="8" t="n">
        <v>4301000</v>
      </c>
      <c r="J1319" s="6" t="inlineStr">
        <is>
          <t>MWh</t>
        </is>
      </c>
      <c r="K1319" s="8" t="n">
        <v>4301000</v>
      </c>
      <c r="L1319" s="6" t="inlineStr">
        <is>
          <t>MWh</t>
        </is>
      </c>
      <c r="M1319" s="6" t="inlineStr">
        <is>
          <t>ITAIPU</t>
        </is>
      </c>
      <c r="N1319" s="6" t="inlineStr">
        <is>
          <t>OFFICIAL_PRIMARY</t>
        </is>
      </c>
      <c r="O1319" s="9" t="inlineStr">
        <is>
          <t>OFFICIAL_AGGREGATE</t>
        </is>
      </c>
      <c r="P1319" s="8" t="n">
        <v>1</v>
      </c>
      <c r="Q1319" s="8" t="n">
        <v>98</v>
      </c>
      <c r="R1319" s="7" t="inlineStr">
        <is>
          <t>https://www.itaipu.gov.py/sites/default/files/u62/Memoria%20Anual%20Itaipu%202023_Espa%C3%B1ol_internet.pdf</t>
        </is>
      </c>
      <c r="S1319" s="6" t="inlineStr">
        <is>
          <t>ITAIPU-MEM-2023</t>
        </is>
      </c>
      <c r="T1319" s="6" t="inlineStr"/>
      <c r="U1319" s="4" t="inlineStr">
        <is>
          <t>2026-09-11 00:05:00</t>
        </is>
      </c>
      <c r="V1319" s="4" t="inlineStr">
        <is>
          <t>Tabla mensual oficial, valores redondeados a GWh.</t>
        </is>
      </c>
    </row>
    <row r="1320">
      <c r="A1320" s="6" t="inlineStr">
        <is>
          <t>R0001436</t>
        </is>
      </c>
      <c r="B1320" s="6" t="inlineStr">
        <is>
          <t>2023-02-01</t>
        </is>
      </c>
      <c r="C1320" s="6" t="inlineStr">
        <is>
          <t>2023-02-28</t>
        </is>
      </c>
      <c r="D1320" s="6" t="inlineStr">
        <is>
          <t>month</t>
        </is>
      </c>
      <c r="E1320" s="6" t="inlineStr">
        <is>
          <t>ITAIPU_SUPPLIED_ENERGY</t>
        </is>
      </c>
      <c r="F1320" s="6" t="inlineStr">
        <is>
          <t>ITAIPU</t>
        </is>
      </c>
      <c r="G1320" s="6" t="inlineStr">
        <is>
          <t>ITAIPU</t>
        </is>
      </c>
      <c r="H1320" s="6" t="inlineStr">
        <is>
          <t>PY</t>
        </is>
      </c>
      <c r="I1320" s="8" t="n">
        <v>1726000</v>
      </c>
      <c r="J1320" s="6" t="inlineStr">
        <is>
          <t>MWh</t>
        </is>
      </c>
      <c r="K1320" s="8" t="n">
        <v>1726000</v>
      </c>
      <c r="L1320" s="6" t="inlineStr">
        <is>
          <t>MWh</t>
        </is>
      </c>
      <c r="M1320" s="6" t="inlineStr">
        <is>
          <t>ITAIPU</t>
        </is>
      </c>
      <c r="N1320" s="6" t="inlineStr">
        <is>
          <t>OFFICIAL_PRIMARY</t>
        </is>
      </c>
      <c r="O1320" s="9" t="inlineStr">
        <is>
          <t>OFFICIAL_AGGREGATE</t>
        </is>
      </c>
      <c r="P1320" s="8" t="n">
        <v>1</v>
      </c>
      <c r="Q1320" s="8" t="n">
        <v>98</v>
      </c>
      <c r="R1320" s="7" t="inlineStr">
        <is>
          <t>https://www.itaipu.gov.py/sites/default/files/u62/Memoria%20Anual%20Itaipu%202023_Espa%C3%B1ol_internet.pdf</t>
        </is>
      </c>
      <c r="S1320" s="6" t="inlineStr">
        <is>
          <t>ITAIPU-MEM-2023</t>
        </is>
      </c>
      <c r="T1320" s="6" t="inlineStr"/>
      <c r="U1320" s="4" t="inlineStr">
        <is>
          <t>2026-09-11 00:05:00</t>
        </is>
      </c>
      <c r="V1320" s="4" t="inlineStr">
        <is>
          <t>Tabla mensual oficial, valores redondeados a GWh.</t>
        </is>
      </c>
    </row>
    <row r="1321">
      <c r="A1321" s="6" t="inlineStr">
        <is>
          <t>R0001437</t>
        </is>
      </c>
      <c r="B1321" s="6" t="inlineStr">
        <is>
          <t>2023-02-01</t>
        </is>
      </c>
      <c r="C1321" s="6" t="inlineStr">
        <is>
          <t>2023-02-28</t>
        </is>
      </c>
      <c r="D1321" s="6" t="inlineStr">
        <is>
          <t>month</t>
        </is>
      </c>
      <c r="E1321" s="6" t="inlineStr">
        <is>
          <t>ITAIPU_SUPPLIED_ENERGY</t>
        </is>
      </c>
      <c r="F1321" s="6" t="inlineStr">
        <is>
          <t>ITAIPU</t>
        </is>
      </c>
      <c r="G1321" s="6" t="inlineStr">
        <is>
          <t>ITAIPU</t>
        </is>
      </c>
      <c r="H1321" s="6" t="inlineStr">
        <is>
          <t>BR</t>
        </is>
      </c>
      <c r="I1321" s="8" t="n">
        <v>4762000</v>
      </c>
      <c r="J1321" s="6" t="inlineStr">
        <is>
          <t>MWh</t>
        </is>
      </c>
      <c r="K1321" s="8" t="n">
        <v>4762000</v>
      </c>
      <c r="L1321" s="6" t="inlineStr">
        <is>
          <t>MWh</t>
        </is>
      </c>
      <c r="M1321" s="6" t="inlineStr">
        <is>
          <t>ITAIPU</t>
        </is>
      </c>
      <c r="N1321" s="6" t="inlineStr">
        <is>
          <t>OFFICIAL_PRIMARY</t>
        </is>
      </c>
      <c r="O1321" s="9" t="inlineStr">
        <is>
          <t>OFFICIAL_AGGREGATE</t>
        </is>
      </c>
      <c r="P1321" s="8" t="n">
        <v>1</v>
      </c>
      <c r="Q1321" s="8" t="n">
        <v>98</v>
      </c>
      <c r="R1321" s="7" t="inlineStr">
        <is>
          <t>https://www.itaipu.gov.py/sites/default/files/u62/Memoria%20Anual%20Itaipu%202023_Espa%C3%B1ol_internet.pdf</t>
        </is>
      </c>
      <c r="S1321" s="6" t="inlineStr">
        <is>
          <t>ITAIPU-MEM-2023</t>
        </is>
      </c>
      <c r="T1321" s="6" t="inlineStr"/>
      <c r="U1321" s="4" t="inlineStr">
        <is>
          <t>2026-09-11 00:05:00</t>
        </is>
      </c>
      <c r="V1321" s="4" t="inlineStr">
        <is>
          <t>Tabla mensual oficial, valores redondeados a GWh.</t>
        </is>
      </c>
    </row>
    <row r="1322">
      <c r="A1322" s="6" t="inlineStr">
        <is>
          <t>R0001438</t>
        </is>
      </c>
      <c r="B1322" s="6" t="inlineStr">
        <is>
          <t>2023-03-01</t>
        </is>
      </c>
      <c r="C1322" s="6" t="inlineStr">
        <is>
          <t>2023-03-31</t>
        </is>
      </c>
      <c r="D1322" s="6" t="inlineStr">
        <is>
          <t>month</t>
        </is>
      </c>
      <c r="E1322" s="6" t="inlineStr">
        <is>
          <t>ITAIPU_SUPPLIED_ENERGY</t>
        </is>
      </c>
      <c r="F1322" s="6" t="inlineStr">
        <is>
          <t>ITAIPU</t>
        </is>
      </c>
      <c r="G1322" s="6" t="inlineStr">
        <is>
          <t>ITAIPU</t>
        </is>
      </c>
      <c r="H1322" s="6" t="inlineStr">
        <is>
          <t>PY</t>
        </is>
      </c>
      <c r="I1322" s="8" t="n">
        <v>1844000</v>
      </c>
      <c r="J1322" s="6" t="inlineStr">
        <is>
          <t>MWh</t>
        </is>
      </c>
      <c r="K1322" s="8" t="n">
        <v>1844000</v>
      </c>
      <c r="L1322" s="6" t="inlineStr">
        <is>
          <t>MWh</t>
        </is>
      </c>
      <c r="M1322" s="6" t="inlineStr">
        <is>
          <t>ITAIPU</t>
        </is>
      </c>
      <c r="N1322" s="6" t="inlineStr">
        <is>
          <t>OFFICIAL_PRIMARY</t>
        </is>
      </c>
      <c r="O1322" s="9" t="inlineStr">
        <is>
          <t>OFFICIAL_AGGREGATE</t>
        </is>
      </c>
      <c r="P1322" s="8" t="n">
        <v>1</v>
      </c>
      <c r="Q1322" s="8" t="n">
        <v>98</v>
      </c>
      <c r="R1322" s="7" t="inlineStr">
        <is>
          <t>https://www.itaipu.gov.py/sites/default/files/u62/Memoria%20Anual%20Itaipu%202023_Espa%C3%B1ol_internet.pdf</t>
        </is>
      </c>
      <c r="S1322" s="6" t="inlineStr">
        <is>
          <t>ITAIPU-MEM-2023</t>
        </is>
      </c>
      <c r="T1322" s="6" t="inlineStr"/>
      <c r="U1322" s="4" t="inlineStr">
        <is>
          <t>2026-09-11 00:05:00</t>
        </is>
      </c>
      <c r="V1322" s="4" t="inlineStr">
        <is>
          <t>Tabla mensual oficial, valores redondeados a GWh.</t>
        </is>
      </c>
    </row>
    <row r="1323">
      <c r="A1323" s="6" t="inlineStr">
        <is>
          <t>R0001439</t>
        </is>
      </c>
      <c r="B1323" s="6" t="inlineStr">
        <is>
          <t>2023-03-01</t>
        </is>
      </c>
      <c r="C1323" s="6" t="inlineStr">
        <is>
          <t>2023-03-31</t>
        </is>
      </c>
      <c r="D1323" s="6" t="inlineStr">
        <is>
          <t>month</t>
        </is>
      </c>
      <c r="E1323" s="6" t="inlineStr">
        <is>
          <t>ITAIPU_SUPPLIED_ENERGY</t>
        </is>
      </c>
      <c r="F1323" s="6" t="inlineStr">
        <is>
          <t>ITAIPU</t>
        </is>
      </c>
      <c r="G1323" s="6" t="inlineStr">
        <is>
          <t>ITAIPU</t>
        </is>
      </c>
      <c r="H1323" s="6" t="inlineStr">
        <is>
          <t>BR</t>
        </is>
      </c>
      <c r="I1323" s="8" t="n">
        <v>5861000</v>
      </c>
      <c r="J1323" s="6" t="inlineStr">
        <is>
          <t>MWh</t>
        </is>
      </c>
      <c r="K1323" s="8" t="n">
        <v>5861000</v>
      </c>
      <c r="L1323" s="6" t="inlineStr">
        <is>
          <t>MWh</t>
        </is>
      </c>
      <c r="M1323" s="6" t="inlineStr">
        <is>
          <t>ITAIPU</t>
        </is>
      </c>
      <c r="N1323" s="6" t="inlineStr">
        <is>
          <t>OFFICIAL_PRIMARY</t>
        </is>
      </c>
      <c r="O1323" s="9" t="inlineStr">
        <is>
          <t>OFFICIAL_AGGREGATE</t>
        </is>
      </c>
      <c r="P1323" s="8" t="n">
        <v>1</v>
      </c>
      <c r="Q1323" s="8" t="n">
        <v>98</v>
      </c>
      <c r="R1323" s="7" t="inlineStr">
        <is>
          <t>https://www.itaipu.gov.py/sites/default/files/u62/Memoria%20Anual%20Itaipu%202023_Espa%C3%B1ol_internet.pdf</t>
        </is>
      </c>
      <c r="S1323" s="6" t="inlineStr">
        <is>
          <t>ITAIPU-MEM-2023</t>
        </is>
      </c>
      <c r="T1323" s="6" t="inlineStr"/>
      <c r="U1323" s="4" t="inlineStr">
        <is>
          <t>2026-09-11 00:05:00</t>
        </is>
      </c>
      <c r="V1323" s="4" t="inlineStr">
        <is>
          <t>Tabla mensual oficial, valores redondeados a GWh.</t>
        </is>
      </c>
    </row>
    <row r="1324">
      <c r="A1324" s="6" t="inlineStr">
        <is>
          <t>R0001440</t>
        </is>
      </c>
      <c r="B1324" s="6" t="inlineStr">
        <is>
          <t>2023-04-01</t>
        </is>
      </c>
      <c r="C1324" s="6" t="inlineStr">
        <is>
          <t>2023-04-30</t>
        </is>
      </c>
      <c r="D1324" s="6" t="inlineStr">
        <is>
          <t>month</t>
        </is>
      </c>
      <c r="E1324" s="6" t="inlineStr">
        <is>
          <t>ITAIPU_SUPPLIED_ENERGY</t>
        </is>
      </c>
      <c r="F1324" s="6" t="inlineStr">
        <is>
          <t>ITAIPU</t>
        </is>
      </c>
      <c r="G1324" s="6" t="inlineStr">
        <is>
          <t>ITAIPU</t>
        </is>
      </c>
      <c r="H1324" s="6" t="inlineStr">
        <is>
          <t>PY</t>
        </is>
      </c>
      <c r="I1324" s="8" t="n">
        <v>1408000</v>
      </c>
      <c r="J1324" s="6" t="inlineStr">
        <is>
          <t>MWh</t>
        </is>
      </c>
      <c r="K1324" s="8" t="n">
        <v>1408000</v>
      </c>
      <c r="L1324" s="6" t="inlineStr">
        <is>
          <t>MWh</t>
        </is>
      </c>
      <c r="M1324" s="6" t="inlineStr">
        <is>
          <t>ITAIPU</t>
        </is>
      </c>
      <c r="N1324" s="6" t="inlineStr">
        <is>
          <t>OFFICIAL_PRIMARY</t>
        </is>
      </c>
      <c r="O1324" s="9" t="inlineStr">
        <is>
          <t>OFFICIAL_AGGREGATE</t>
        </is>
      </c>
      <c r="P1324" s="8" t="n">
        <v>1</v>
      </c>
      <c r="Q1324" s="8" t="n">
        <v>98</v>
      </c>
      <c r="R1324" s="7" t="inlineStr">
        <is>
          <t>https://www.itaipu.gov.py/sites/default/files/u62/Memoria%20Anual%20Itaipu%202023_Espa%C3%B1ol_internet.pdf</t>
        </is>
      </c>
      <c r="S1324" s="6" t="inlineStr">
        <is>
          <t>ITAIPU-MEM-2023</t>
        </is>
      </c>
      <c r="T1324" s="6" t="inlineStr"/>
      <c r="U1324" s="4" t="inlineStr">
        <is>
          <t>2026-09-11 00:05:00</t>
        </is>
      </c>
      <c r="V1324" s="4" t="inlineStr">
        <is>
          <t>Tabla mensual oficial, valores redondeados a GWh.</t>
        </is>
      </c>
    </row>
    <row r="1325">
      <c r="A1325" s="6" t="inlineStr">
        <is>
          <t>R0001441</t>
        </is>
      </c>
      <c r="B1325" s="6" t="inlineStr">
        <is>
          <t>2023-04-01</t>
        </is>
      </c>
      <c r="C1325" s="6" t="inlineStr">
        <is>
          <t>2023-04-30</t>
        </is>
      </c>
      <c r="D1325" s="6" t="inlineStr">
        <is>
          <t>month</t>
        </is>
      </c>
      <c r="E1325" s="6" t="inlineStr">
        <is>
          <t>ITAIPU_SUPPLIED_ENERGY</t>
        </is>
      </c>
      <c r="F1325" s="6" t="inlineStr">
        <is>
          <t>ITAIPU</t>
        </is>
      </c>
      <c r="G1325" s="6" t="inlineStr">
        <is>
          <t>ITAIPU</t>
        </is>
      </c>
      <c r="H1325" s="6" t="inlineStr">
        <is>
          <t>BR</t>
        </is>
      </c>
      <c r="I1325" s="8" t="n">
        <v>5412000</v>
      </c>
      <c r="J1325" s="6" t="inlineStr">
        <is>
          <t>MWh</t>
        </is>
      </c>
      <c r="K1325" s="8" t="n">
        <v>5412000</v>
      </c>
      <c r="L1325" s="6" t="inlineStr">
        <is>
          <t>MWh</t>
        </is>
      </c>
      <c r="M1325" s="6" t="inlineStr">
        <is>
          <t>ITAIPU</t>
        </is>
      </c>
      <c r="N1325" s="6" t="inlineStr">
        <is>
          <t>OFFICIAL_PRIMARY</t>
        </is>
      </c>
      <c r="O1325" s="9" t="inlineStr">
        <is>
          <t>OFFICIAL_AGGREGATE</t>
        </is>
      </c>
      <c r="P1325" s="8" t="n">
        <v>1</v>
      </c>
      <c r="Q1325" s="8" t="n">
        <v>98</v>
      </c>
      <c r="R1325" s="7" t="inlineStr">
        <is>
          <t>https://www.itaipu.gov.py/sites/default/files/u62/Memoria%20Anual%20Itaipu%202023_Espa%C3%B1ol_internet.pdf</t>
        </is>
      </c>
      <c r="S1325" s="6" t="inlineStr">
        <is>
          <t>ITAIPU-MEM-2023</t>
        </is>
      </c>
      <c r="T1325" s="6" t="inlineStr"/>
      <c r="U1325" s="4" t="inlineStr">
        <is>
          <t>2026-09-11 00:05:00</t>
        </is>
      </c>
      <c r="V1325" s="4" t="inlineStr">
        <is>
          <t>Tabla mensual oficial, valores redondeados a GWh.</t>
        </is>
      </c>
    </row>
    <row r="1326">
      <c r="A1326" s="6" t="inlineStr">
        <is>
          <t>R0001442</t>
        </is>
      </c>
      <c r="B1326" s="6" t="inlineStr">
        <is>
          <t>2023-05-01</t>
        </is>
      </c>
      <c r="C1326" s="6" t="inlineStr">
        <is>
          <t>2023-05-31</t>
        </is>
      </c>
      <c r="D1326" s="6" t="inlineStr">
        <is>
          <t>month</t>
        </is>
      </c>
      <c r="E1326" s="6" t="inlineStr">
        <is>
          <t>ITAIPU_SUPPLIED_ENERGY</t>
        </is>
      </c>
      <c r="F1326" s="6" t="inlineStr">
        <is>
          <t>ITAIPU</t>
        </is>
      </c>
      <c r="G1326" s="6" t="inlineStr">
        <is>
          <t>ITAIPU</t>
        </is>
      </c>
      <c r="H1326" s="6" t="inlineStr">
        <is>
          <t>PY</t>
        </is>
      </c>
      <c r="I1326" s="8" t="n">
        <v>1180000</v>
      </c>
      <c r="J1326" s="6" t="inlineStr">
        <is>
          <t>MWh</t>
        </is>
      </c>
      <c r="K1326" s="8" t="n">
        <v>1180000</v>
      </c>
      <c r="L1326" s="6" t="inlineStr">
        <is>
          <t>MWh</t>
        </is>
      </c>
      <c r="M1326" s="6" t="inlineStr">
        <is>
          <t>ITAIPU</t>
        </is>
      </c>
      <c r="N1326" s="6" t="inlineStr">
        <is>
          <t>OFFICIAL_PRIMARY</t>
        </is>
      </c>
      <c r="O1326" s="9" t="inlineStr">
        <is>
          <t>OFFICIAL_AGGREGATE</t>
        </is>
      </c>
      <c r="P1326" s="8" t="n">
        <v>1</v>
      </c>
      <c r="Q1326" s="8" t="n">
        <v>98</v>
      </c>
      <c r="R1326" s="7" t="inlineStr">
        <is>
          <t>https://www.itaipu.gov.py/sites/default/files/u62/Memoria%20Anual%20Itaipu%202023_Espa%C3%B1ol_internet.pdf</t>
        </is>
      </c>
      <c r="S1326" s="6" t="inlineStr">
        <is>
          <t>ITAIPU-MEM-2023</t>
        </is>
      </c>
      <c r="T1326" s="6" t="inlineStr"/>
      <c r="U1326" s="4" t="inlineStr">
        <is>
          <t>2026-09-11 00:05:00</t>
        </is>
      </c>
      <c r="V1326" s="4" t="inlineStr">
        <is>
          <t>Tabla mensual oficial, valores redondeados a GWh.</t>
        </is>
      </c>
    </row>
    <row r="1327">
      <c r="A1327" s="6" t="inlineStr">
        <is>
          <t>R0001443</t>
        </is>
      </c>
      <c r="B1327" s="6" t="inlineStr">
        <is>
          <t>2023-05-01</t>
        </is>
      </c>
      <c r="C1327" s="6" t="inlineStr">
        <is>
          <t>2023-05-31</t>
        </is>
      </c>
      <c r="D1327" s="6" t="inlineStr">
        <is>
          <t>month</t>
        </is>
      </c>
      <c r="E1327" s="6" t="inlineStr">
        <is>
          <t>ITAIPU_SUPPLIED_ENERGY</t>
        </is>
      </c>
      <c r="F1327" s="6" t="inlineStr">
        <is>
          <t>ITAIPU</t>
        </is>
      </c>
      <c r="G1327" s="6" t="inlineStr">
        <is>
          <t>ITAIPU</t>
        </is>
      </c>
      <c r="H1327" s="6" t="inlineStr">
        <is>
          <t>BR</t>
        </is>
      </c>
      <c r="I1327" s="8" t="n">
        <v>5600000</v>
      </c>
      <c r="J1327" s="6" t="inlineStr">
        <is>
          <t>MWh</t>
        </is>
      </c>
      <c r="K1327" s="8" t="n">
        <v>5600000</v>
      </c>
      <c r="L1327" s="6" t="inlineStr">
        <is>
          <t>MWh</t>
        </is>
      </c>
      <c r="M1327" s="6" t="inlineStr">
        <is>
          <t>ITAIPU</t>
        </is>
      </c>
      <c r="N1327" s="6" t="inlineStr">
        <is>
          <t>OFFICIAL_PRIMARY</t>
        </is>
      </c>
      <c r="O1327" s="9" t="inlineStr">
        <is>
          <t>OFFICIAL_AGGREGATE</t>
        </is>
      </c>
      <c r="P1327" s="8" t="n">
        <v>1</v>
      </c>
      <c r="Q1327" s="8" t="n">
        <v>98</v>
      </c>
      <c r="R1327" s="7" t="inlineStr">
        <is>
          <t>https://www.itaipu.gov.py/sites/default/files/u62/Memoria%20Anual%20Itaipu%202023_Espa%C3%B1ol_internet.pdf</t>
        </is>
      </c>
      <c r="S1327" s="6" t="inlineStr">
        <is>
          <t>ITAIPU-MEM-2023</t>
        </is>
      </c>
      <c r="T1327" s="6" t="inlineStr"/>
      <c r="U1327" s="4" t="inlineStr">
        <is>
          <t>2026-09-11 00:05:00</t>
        </is>
      </c>
      <c r="V1327" s="4" t="inlineStr">
        <is>
          <t>Tabla mensual oficial, valores redondeados a GWh.</t>
        </is>
      </c>
    </row>
    <row r="1328">
      <c r="A1328" s="6" t="inlineStr">
        <is>
          <t>R0001444</t>
        </is>
      </c>
      <c r="B1328" s="6" t="inlineStr">
        <is>
          <t>2023-06-01</t>
        </is>
      </c>
      <c r="C1328" s="6" t="inlineStr">
        <is>
          <t>2023-06-30</t>
        </is>
      </c>
      <c r="D1328" s="6" t="inlineStr">
        <is>
          <t>month</t>
        </is>
      </c>
      <c r="E1328" s="6" t="inlineStr">
        <is>
          <t>ITAIPU_SUPPLIED_ENERGY</t>
        </is>
      </c>
      <c r="F1328" s="6" t="inlineStr">
        <is>
          <t>ITAIPU</t>
        </is>
      </c>
      <c r="G1328" s="6" t="inlineStr">
        <is>
          <t>ITAIPU</t>
        </is>
      </c>
      <c r="H1328" s="6" t="inlineStr">
        <is>
          <t>PY</t>
        </is>
      </c>
      <c r="I1328" s="8" t="n">
        <v>1286000</v>
      </c>
      <c r="J1328" s="6" t="inlineStr">
        <is>
          <t>MWh</t>
        </is>
      </c>
      <c r="K1328" s="8" t="n">
        <v>1286000</v>
      </c>
      <c r="L1328" s="6" t="inlineStr">
        <is>
          <t>MWh</t>
        </is>
      </c>
      <c r="M1328" s="6" t="inlineStr">
        <is>
          <t>ITAIPU</t>
        </is>
      </c>
      <c r="N1328" s="6" t="inlineStr">
        <is>
          <t>OFFICIAL_PRIMARY</t>
        </is>
      </c>
      <c r="O1328" s="9" t="inlineStr">
        <is>
          <t>OFFICIAL_AGGREGATE</t>
        </is>
      </c>
      <c r="P1328" s="8" t="n">
        <v>1</v>
      </c>
      <c r="Q1328" s="8" t="n">
        <v>98</v>
      </c>
      <c r="R1328" s="7" t="inlineStr">
        <is>
          <t>https://www.itaipu.gov.py/sites/default/files/u62/Memoria%20Anual%20Itaipu%202023_Espa%C3%B1ol_internet.pdf</t>
        </is>
      </c>
      <c r="S1328" s="6" t="inlineStr">
        <is>
          <t>ITAIPU-MEM-2023</t>
        </is>
      </c>
      <c r="T1328" s="6" t="inlineStr"/>
      <c r="U1328" s="4" t="inlineStr">
        <is>
          <t>2026-09-11 00:05:00</t>
        </is>
      </c>
      <c r="V1328" s="4" t="inlineStr">
        <is>
          <t>Tabla mensual oficial, valores redondeados a GWh.</t>
        </is>
      </c>
    </row>
    <row r="1329">
      <c r="A1329" s="6" t="inlineStr">
        <is>
          <t>R0001445</t>
        </is>
      </c>
      <c r="B1329" s="6" t="inlineStr">
        <is>
          <t>2023-06-01</t>
        </is>
      </c>
      <c r="C1329" s="6" t="inlineStr">
        <is>
          <t>2023-06-30</t>
        </is>
      </c>
      <c r="D1329" s="6" t="inlineStr">
        <is>
          <t>month</t>
        </is>
      </c>
      <c r="E1329" s="6" t="inlineStr">
        <is>
          <t>ITAIPU_SUPPLIED_ENERGY</t>
        </is>
      </c>
      <c r="F1329" s="6" t="inlineStr">
        <is>
          <t>ITAIPU</t>
        </is>
      </c>
      <c r="G1329" s="6" t="inlineStr">
        <is>
          <t>ITAIPU</t>
        </is>
      </c>
      <c r="H1329" s="6" t="inlineStr">
        <is>
          <t>BR</t>
        </is>
      </c>
      <c r="I1329" s="8" t="n">
        <v>5041000</v>
      </c>
      <c r="J1329" s="6" t="inlineStr">
        <is>
          <t>MWh</t>
        </is>
      </c>
      <c r="K1329" s="8" t="n">
        <v>5041000</v>
      </c>
      <c r="L1329" s="6" t="inlineStr">
        <is>
          <t>MWh</t>
        </is>
      </c>
      <c r="M1329" s="6" t="inlineStr">
        <is>
          <t>ITAIPU</t>
        </is>
      </c>
      <c r="N1329" s="6" t="inlineStr">
        <is>
          <t>OFFICIAL_PRIMARY</t>
        </is>
      </c>
      <c r="O1329" s="9" t="inlineStr">
        <is>
          <t>OFFICIAL_AGGREGATE</t>
        </is>
      </c>
      <c r="P1329" s="8" t="n">
        <v>1</v>
      </c>
      <c r="Q1329" s="8" t="n">
        <v>98</v>
      </c>
      <c r="R1329" s="7" t="inlineStr">
        <is>
          <t>https://www.itaipu.gov.py/sites/default/files/u62/Memoria%20Anual%20Itaipu%202023_Espa%C3%B1ol_internet.pdf</t>
        </is>
      </c>
      <c r="S1329" s="6" t="inlineStr">
        <is>
          <t>ITAIPU-MEM-2023</t>
        </is>
      </c>
      <c r="T1329" s="6" t="inlineStr"/>
      <c r="U1329" s="4" t="inlineStr">
        <is>
          <t>2026-09-11 00:05:00</t>
        </is>
      </c>
      <c r="V1329" s="4" t="inlineStr">
        <is>
          <t>Tabla mensual oficial, valores redondeados a GWh.</t>
        </is>
      </c>
    </row>
    <row r="1330">
      <c r="A1330" s="6" t="inlineStr">
        <is>
          <t>R0001446</t>
        </is>
      </c>
      <c r="B1330" s="6" t="inlineStr">
        <is>
          <t>2023-07-01</t>
        </is>
      </c>
      <c r="C1330" s="6" t="inlineStr">
        <is>
          <t>2023-07-31</t>
        </is>
      </c>
      <c r="D1330" s="6" t="inlineStr">
        <is>
          <t>month</t>
        </is>
      </c>
      <c r="E1330" s="6" t="inlineStr">
        <is>
          <t>ITAIPU_SUPPLIED_ENERGY</t>
        </is>
      </c>
      <c r="F1330" s="6" t="inlineStr">
        <is>
          <t>ITAIPU</t>
        </is>
      </c>
      <c r="G1330" s="6" t="inlineStr">
        <is>
          <t>ITAIPU</t>
        </is>
      </c>
      <c r="H1330" s="6" t="inlineStr">
        <is>
          <t>PY</t>
        </is>
      </c>
      <c r="I1330" s="8" t="n">
        <v>1424000</v>
      </c>
      <c r="J1330" s="6" t="inlineStr">
        <is>
          <t>MWh</t>
        </is>
      </c>
      <c r="K1330" s="8" t="n">
        <v>1424000</v>
      </c>
      <c r="L1330" s="6" t="inlineStr">
        <is>
          <t>MWh</t>
        </is>
      </c>
      <c r="M1330" s="6" t="inlineStr">
        <is>
          <t>ITAIPU</t>
        </is>
      </c>
      <c r="N1330" s="6" t="inlineStr">
        <is>
          <t>OFFICIAL_PRIMARY</t>
        </is>
      </c>
      <c r="O1330" s="9" t="inlineStr">
        <is>
          <t>OFFICIAL_AGGREGATE</t>
        </is>
      </c>
      <c r="P1330" s="8" t="n">
        <v>1</v>
      </c>
      <c r="Q1330" s="8" t="n">
        <v>98</v>
      </c>
      <c r="R1330" s="7" t="inlineStr">
        <is>
          <t>https://www.itaipu.gov.py/sites/default/files/u62/Memoria%20Anual%20Itaipu%202023_Espa%C3%B1ol_internet.pdf</t>
        </is>
      </c>
      <c r="S1330" s="6" t="inlineStr">
        <is>
          <t>ITAIPU-MEM-2023</t>
        </is>
      </c>
      <c r="T1330" s="6" t="inlineStr"/>
      <c r="U1330" s="4" t="inlineStr">
        <is>
          <t>2026-09-11 00:05:00</t>
        </is>
      </c>
      <c r="V1330" s="4" t="inlineStr">
        <is>
          <t>Tabla mensual oficial, valores redondeados a GWh.</t>
        </is>
      </c>
    </row>
    <row r="1331">
      <c r="A1331" s="6" t="inlineStr">
        <is>
          <t>R0001447</t>
        </is>
      </c>
      <c r="B1331" s="6" t="inlineStr">
        <is>
          <t>2023-07-01</t>
        </is>
      </c>
      <c r="C1331" s="6" t="inlineStr">
        <is>
          <t>2023-07-31</t>
        </is>
      </c>
      <c r="D1331" s="6" t="inlineStr">
        <is>
          <t>month</t>
        </is>
      </c>
      <c r="E1331" s="6" t="inlineStr">
        <is>
          <t>ITAIPU_SUPPLIED_ENERGY</t>
        </is>
      </c>
      <c r="F1331" s="6" t="inlineStr">
        <is>
          <t>ITAIPU</t>
        </is>
      </c>
      <c r="G1331" s="6" t="inlineStr">
        <is>
          <t>ITAIPU</t>
        </is>
      </c>
      <c r="H1331" s="6" t="inlineStr">
        <is>
          <t>BR</t>
        </is>
      </c>
      <c r="I1331" s="8" t="n">
        <v>4741000</v>
      </c>
      <c r="J1331" s="6" t="inlineStr">
        <is>
          <t>MWh</t>
        </is>
      </c>
      <c r="K1331" s="8" t="n">
        <v>4741000</v>
      </c>
      <c r="L1331" s="6" t="inlineStr">
        <is>
          <t>MWh</t>
        </is>
      </c>
      <c r="M1331" s="6" t="inlineStr">
        <is>
          <t>ITAIPU</t>
        </is>
      </c>
      <c r="N1331" s="6" t="inlineStr">
        <is>
          <t>OFFICIAL_PRIMARY</t>
        </is>
      </c>
      <c r="O1331" s="9" t="inlineStr">
        <is>
          <t>OFFICIAL_AGGREGATE</t>
        </is>
      </c>
      <c r="P1331" s="8" t="n">
        <v>1</v>
      </c>
      <c r="Q1331" s="8" t="n">
        <v>98</v>
      </c>
      <c r="R1331" s="7" t="inlineStr">
        <is>
          <t>https://www.itaipu.gov.py/sites/default/files/u62/Memoria%20Anual%20Itaipu%202023_Espa%C3%B1ol_internet.pdf</t>
        </is>
      </c>
      <c r="S1331" s="6" t="inlineStr">
        <is>
          <t>ITAIPU-MEM-2023</t>
        </is>
      </c>
      <c r="T1331" s="6" t="inlineStr"/>
      <c r="U1331" s="4" t="inlineStr">
        <is>
          <t>2026-09-11 00:05:00</t>
        </is>
      </c>
      <c r="V1331" s="4" t="inlineStr">
        <is>
          <t>Tabla mensual oficial, valores redondeados a GWh.</t>
        </is>
      </c>
    </row>
    <row r="1332">
      <c r="A1332" s="6" t="inlineStr">
        <is>
          <t>R0001448</t>
        </is>
      </c>
      <c r="B1332" s="6" t="inlineStr">
        <is>
          <t>2023-08-01</t>
        </is>
      </c>
      <c r="C1332" s="6" t="inlineStr">
        <is>
          <t>2023-08-31</t>
        </is>
      </c>
      <c r="D1332" s="6" t="inlineStr">
        <is>
          <t>month</t>
        </is>
      </c>
      <c r="E1332" s="6" t="inlineStr">
        <is>
          <t>ITAIPU_SUPPLIED_ENERGY</t>
        </is>
      </c>
      <c r="F1332" s="6" t="inlineStr">
        <is>
          <t>ITAIPU</t>
        </is>
      </c>
      <c r="G1332" s="6" t="inlineStr">
        <is>
          <t>ITAIPU</t>
        </is>
      </c>
      <c r="H1332" s="6" t="inlineStr">
        <is>
          <t>PY</t>
        </is>
      </c>
      <c r="I1332" s="8" t="n">
        <v>1530000</v>
      </c>
      <c r="J1332" s="6" t="inlineStr">
        <is>
          <t>MWh</t>
        </is>
      </c>
      <c r="K1332" s="8" t="n">
        <v>1530000</v>
      </c>
      <c r="L1332" s="6" t="inlineStr">
        <is>
          <t>MWh</t>
        </is>
      </c>
      <c r="M1332" s="6" t="inlineStr">
        <is>
          <t>ITAIPU</t>
        </is>
      </c>
      <c r="N1332" s="6" t="inlineStr">
        <is>
          <t>OFFICIAL_PRIMARY</t>
        </is>
      </c>
      <c r="O1332" s="9" t="inlineStr">
        <is>
          <t>OFFICIAL_AGGREGATE</t>
        </is>
      </c>
      <c r="P1332" s="8" t="n">
        <v>1</v>
      </c>
      <c r="Q1332" s="8" t="n">
        <v>98</v>
      </c>
      <c r="R1332" s="7" t="inlineStr">
        <is>
          <t>https://www.itaipu.gov.py/sites/default/files/u62/Memoria%20Anual%20Itaipu%202023_Espa%C3%B1ol_internet.pdf</t>
        </is>
      </c>
      <c r="S1332" s="6" t="inlineStr">
        <is>
          <t>ITAIPU-MEM-2023</t>
        </is>
      </c>
      <c r="T1332" s="6" t="inlineStr"/>
      <c r="U1332" s="4" t="inlineStr">
        <is>
          <t>2026-09-11 00:05:00</t>
        </is>
      </c>
      <c r="V1332" s="4" t="inlineStr">
        <is>
          <t>Tabla mensual oficial, valores redondeados a GWh.</t>
        </is>
      </c>
    </row>
    <row r="1333">
      <c r="A1333" s="6" t="inlineStr">
        <is>
          <t>R0001449</t>
        </is>
      </c>
      <c r="B1333" s="6" t="inlineStr">
        <is>
          <t>2023-08-01</t>
        </is>
      </c>
      <c r="C1333" s="6" t="inlineStr">
        <is>
          <t>2023-08-31</t>
        </is>
      </c>
      <c r="D1333" s="6" t="inlineStr">
        <is>
          <t>month</t>
        </is>
      </c>
      <c r="E1333" s="6" t="inlineStr">
        <is>
          <t>ITAIPU_SUPPLIED_ENERGY</t>
        </is>
      </c>
      <c r="F1333" s="6" t="inlineStr">
        <is>
          <t>ITAIPU</t>
        </is>
      </c>
      <c r="G1333" s="6" t="inlineStr">
        <is>
          <t>ITAIPU</t>
        </is>
      </c>
      <c r="H1333" s="6" t="inlineStr">
        <is>
          <t>BR</t>
        </is>
      </c>
      <c r="I1333" s="8" t="n">
        <v>5159000</v>
      </c>
      <c r="J1333" s="6" t="inlineStr">
        <is>
          <t>MWh</t>
        </is>
      </c>
      <c r="K1333" s="8" t="n">
        <v>5159000</v>
      </c>
      <c r="L1333" s="6" t="inlineStr">
        <is>
          <t>MWh</t>
        </is>
      </c>
      <c r="M1333" s="6" t="inlineStr">
        <is>
          <t>ITAIPU</t>
        </is>
      </c>
      <c r="N1333" s="6" t="inlineStr">
        <is>
          <t>OFFICIAL_PRIMARY</t>
        </is>
      </c>
      <c r="O1333" s="9" t="inlineStr">
        <is>
          <t>OFFICIAL_AGGREGATE</t>
        </is>
      </c>
      <c r="P1333" s="8" t="n">
        <v>1</v>
      </c>
      <c r="Q1333" s="8" t="n">
        <v>98</v>
      </c>
      <c r="R1333" s="7" t="inlineStr">
        <is>
          <t>https://www.itaipu.gov.py/sites/default/files/u62/Memoria%20Anual%20Itaipu%202023_Espa%C3%B1ol_internet.pdf</t>
        </is>
      </c>
      <c r="S1333" s="6" t="inlineStr">
        <is>
          <t>ITAIPU-MEM-2023</t>
        </is>
      </c>
      <c r="T1333" s="6" t="inlineStr"/>
      <c r="U1333" s="4" t="inlineStr">
        <is>
          <t>2026-09-11 00:05:00</t>
        </is>
      </c>
      <c r="V1333" s="4" t="inlineStr">
        <is>
          <t>Tabla mensual oficial, valores redondeados a GWh.</t>
        </is>
      </c>
    </row>
    <row r="1334">
      <c r="A1334" s="6" t="inlineStr">
        <is>
          <t>R0001450</t>
        </is>
      </c>
      <c r="B1334" s="6" t="inlineStr">
        <is>
          <t>2023-09-01</t>
        </is>
      </c>
      <c r="C1334" s="6" t="inlineStr">
        <is>
          <t>2023-09-30</t>
        </is>
      </c>
      <c r="D1334" s="6" t="inlineStr">
        <is>
          <t>month</t>
        </is>
      </c>
      <c r="E1334" s="6" t="inlineStr">
        <is>
          <t>ITAIPU_SUPPLIED_ENERGY</t>
        </is>
      </c>
      <c r="F1334" s="6" t="inlineStr">
        <is>
          <t>ITAIPU</t>
        </is>
      </c>
      <c r="G1334" s="6" t="inlineStr">
        <is>
          <t>ITAIPU</t>
        </is>
      </c>
      <c r="H1334" s="6" t="inlineStr">
        <is>
          <t>PY</t>
        </is>
      </c>
      <c r="I1334" s="8" t="n">
        <v>1533000</v>
      </c>
      <c r="J1334" s="6" t="inlineStr">
        <is>
          <t>MWh</t>
        </is>
      </c>
      <c r="K1334" s="8" t="n">
        <v>1533000</v>
      </c>
      <c r="L1334" s="6" t="inlineStr">
        <is>
          <t>MWh</t>
        </is>
      </c>
      <c r="M1334" s="6" t="inlineStr">
        <is>
          <t>ITAIPU</t>
        </is>
      </c>
      <c r="N1334" s="6" t="inlineStr">
        <is>
          <t>OFFICIAL_PRIMARY</t>
        </is>
      </c>
      <c r="O1334" s="9" t="inlineStr">
        <is>
          <t>OFFICIAL_AGGREGATE</t>
        </is>
      </c>
      <c r="P1334" s="8" t="n">
        <v>1</v>
      </c>
      <c r="Q1334" s="8" t="n">
        <v>98</v>
      </c>
      <c r="R1334" s="7" t="inlineStr">
        <is>
          <t>https://www.itaipu.gov.py/sites/default/files/u62/Memoria%20Anual%20Itaipu%202023_Espa%C3%B1ol_internet.pdf</t>
        </is>
      </c>
      <c r="S1334" s="6" t="inlineStr">
        <is>
          <t>ITAIPU-MEM-2023</t>
        </is>
      </c>
      <c r="T1334" s="6" t="inlineStr"/>
      <c r="U1334" s="4" t="inlineStr">
        <is>
          <t>2026-09-11 00:05:00</t>
        </is>
      </c>
      <c r="V1334" s="4" t="inlineStr">
        <is>
          <t>Tabla mensual oficial, valores redondeados a GWh.</t>
        </is>
      </c>
    </row>
    <row r="1335">
      <c r="A1335" s="6" t="inlineStr">
        <is>
          <t>R0001451</t>
        </is>
      </c>
      <c r="B1335" s="6" t="inlineStr">
        <is>
          <t>2023-09-01</t>
        </is>
      </c>
      <c r="C1335" s="6" t="inlineStr">
        <is>
          <t>2023-09-30</t>
        </is>
      </c>
      <c r="D1335" s="6" t="inlineStr">
        <is>
          <t>month</t>
        </is>
      </c>
      <c r="E1335" s="6" t="inlineStr">
        <is>
          <t>ITAIPU_SUPPLIED_ENERGY</t>
        </is>
      </c>
      <c r="F1335" s="6" t="inlineStr">
        <is>
          <t>ITAIPU</t>
        </is>
      </c>
      <c r="G1335" s="6" t="inlineStr">
        <is>
          <t>ITAIPU</t>
        </is>
      </c>
      <c r="H1335" s="6" t="inlineStr">
        <is>
          <t>BR</t>
        </is>
      </c>
      <c r="I1335" s="8" t="n">
        <v>5306000</v>
      </c>
      <c r="J1335" s="6" t="inlineStr">
        <is>
          <t>MWh</t>
        </is>
      </c>
      <c r="K1335" s="8" t="n">
        <v>5306000</v>
      </c>
      <c r="L1335" s="6" t="inlineStr">
        <is>
          <t>MWh</t>
        </is>
      </c>
      <c r="M1335" s="6" t="inlineStr">
        <is>
          <t>ITAIPU</t>
        </is>
      </c>
      <c r="N1335" s="6" t="inlineStr">
        <is>
          <t>OFFICIAL_PRIMARY</t>
        </is>
      </c>
      <c r="O1335" s="9" t="inlineStr">
        <is>
          <t>OFFICIAL_AGGREGATE</t>
        </is>
      </c>
      <c r="P1335" s="8" t="n">
        <v>1</v>
      </c>
      <c r="Q1335" s="8" t="n">
        <v>98</v>
      </c>
      <c r="R1335" s="7" t="inlineStr">
        <is>
          <t>https://www.itaipu.gov.py/sites/default/files/u62/Memoria%20Anual%20Itaipu%202023_Espa%C3%B1ol_internet.pdf</t>
        </is>
      </c>
      <c r="S1335" s="6" t="inlineStr">
        <is>
          <t>ITAIPU-MEM-2023</t>
        </is>
      </c>
      <c r="T1335" s="6" t="inlineStr"/>
      <c r="U1335" s="4" t="inlineStr">
        <is>
          <t>2026-09-11 00:05:00</t>
        </is>
      </c>
      <c r="V1335" s="4" t="inlineStr">
        <is>
          <t>Tabla mensual oficial, valores redondeados a GWh.</t>
        </is>
      </c>
    </row>
    <row r="1336">
      <c r="A1336" s="6" t="inlineStr">
        <is>
          <t>R0001452</t>
        </is>
      </c>
      <c r="B1336" s="6" t="inlineStr">
        <is>
          <t>2023-10-01</t>
        </is>
      </c>
      <c r="C1336" s="6" t="inlineStr">
        <is>
          <t>2023-10-31</t>
        </is>
      </c>
      <c r="D1336" s="6" t="inlineStr">
        <is>
          <t>month</t>
        </is>
      </c>
      <c r="E1336" s="6" t="inlineStr">
        <is>
          <t>ITAIPU_SUPPLIED_ENERGY</t>
        </is>
      </c>
      <c r="F1336" s="6" t="inlineStr">
        <is>
          <t>ITAIPU</t>
        </is>
      </c>
      <c r="G1336" s="6" t="inlineStr">
        <is>
          <t>ITAIPU</t>
        </is>
      </c>
      <c r="H1336" s="6" t="inlineStr">
        <is>
          <t>PY</t>
        </is>
      </c>
      <c r="I1336" s="8" t="n">
        <v>1705000</v>
      </c>
      <c r="J1336" s="6" t="inlineStr">
        <is>
          <t>MWh</t>
        </is>
      </c>
      <c r="K1336" s="8" t="n">
        <v>1705000</v>
      </c>
      <c r="L1336" s="6" t="inlineStr">
        <is>
          <t>MWh</t>
        </is>
      </c>
      <c r="M1336" s="6" t="inlineStr">
        <is>
          <t>ITAIPU</t>
        </is>
      </c>
      <c r="N1336" s="6" t="inlineStr">
        <is>
          <t>OFFICIAL_PRIMARY</t>
        </is>
      </c>
      <c r="O1336" s="9" t="inlineStr">
        <is>
          <t>OFFICIAL_AGGREGATE</t>
        </is>
      </c>
      <c r="P1336" s="8" t="n">
        <v>1</v>
      </c>
      <c r="Q1336" s="8" t="n">
        <v>98</v>
      </c>
      <c r="R1336" s="7" t="inlineStr">
        <is>
          <t>https://www.itaipu.gov.py/sites/default/files/u62/Memoria%20Anual%20Itaipu%202023_Espa%C3%B1ol_internet.pdf</t>
        </is>
      </c>
      <c r="S1336" s="6" t="inlineStr">
        <is>
          <t>ITAIPU-MEM-2023</t>
        </is>
      </c>
      <c r="T1336" s="6" t="inlineStr"/>
      <c r="U1336" s="4" t="inlineStr">
        <is>
          <t>2026-09-11 00:05:00</t>
        </is>
      </c>
      <c r="V1336" s="4" t="inlineStr">
        <is>
          <t>Tabla mensual oficial, valores redondeados a GWh.</t>
        </is>
      </c>
    </row>
    <row r="1337">
      <c r="A1337" s="6" t="inlineStr">
        <is>
          <t>R0001453</t>
        </is>
      </c>
      <c r="B1337" s="6" t="inlineStr">
        <is>
          <t>2023-10-01</t>
        </is>
      </c>
      <c r="C1337" s="6" t="inlineStr">
        <is>
          <t>2023-10-31</t>
        </is>
      </c>
      <c r="D1337" s="6" t="inlineStr">
        <is>
          <t>month</t>
        </is>
      </c>
      <c r="E1337" s="6" t="inlineStr">
        <is>
          <t>ITAIPU_SUPPLIED_ENERGY</t>
        </is>
      </c>
      <c r="F1337" s="6" t="inlineStr">
        <is>
          <t>ITAIPU</t>
        </is>
      </c>
      <c r="G1337" s="6" t="inlineStr">
        <is>
          <t>ITAIPU</t>
        </is>
      </c>
      <c r="H1337" s="6" t="inlineStr">
        <is>
          <t>BR</t>
        </is>
      </c>
      <c r="I1337" s="8" t="n">
        <v>5234000</v>
      </c>
      <c r="J1337" s="6" t="inlineStr">
        <is>
          <t>MWh</t>
        </is>
      </c>
      <c r="K1337" s="8" t="n">
        <v>5234000</v>
      </c>
      <c r="L1337" s="6" t="inlineStr">
        <is>
          <t>MWh</t>
        </is>
      </c>
      <c r="M1337" s="6" t="inlineStr">
        <is>
          <t>ITAIPU</t>
        </is>
      </c>
      <c r="N1337" s="6" t="inlineStr">
        <is>
          <t>OFFICIAL_PRIMARY</t>
        </is>
      </c>
      <c r="O1337" s="9" t="inlineStr">
        <is>
          <t>OFFICIAL_AGGREGATE</t>
        </is>
      </c>
      <c r="P1337" s="8" t="n">
        <v>1</v>
      </c>
      <c r="Q1337" s="8" t="n">
        <v>98</v>
      </c>
      <c r="R1337" s="7" t="inlineStr">
        <is>
          <t>https://www.itaipu.gov.py/sites/default/files/u62/Memoria%20Anual%20Itaipu%202023_Espa%C3%B1ol_internet.pdf</t>
        </is>
      </c>
      <c r="S1337" s="6" t="inlineStr">
        <is>
          <t>ITAIPU-MEM-2023</t>
        </is>
      </c>
      <c r="T1337" s="6" t="inlineStr"/>
      <c r="U1337" s="4" t="inlineStr">
        <is>
          <t>2026-09-11 00:05:00</t>
        </is>
      </c>
      <c r="V1337" s="4" t="inlineStr">
        <is>
          <t>Tabla mensual oficial, valores redondeados a GWh.</t>
        </is>
      </c>
    </row>
    <row r="1338">
      <c r="A1338" s="6" t="inlineStr">
        <is>
          <t>R0001454</t>
        </is>
      </c>
      <c r="B1338" s="6" t="inlineStr">
        <is>
          <t>2023-11-01</t>
        </is>
      </c>
      <c r="C1338" s="6" t="inlineStr">
        <is>
          <t>2023-11-30</t>
        </is>
      </c>
      <c r="D1338" s="6" t="inlineStr">
        <is>
          <t>month</t>
        </is>
      </c>
      <c r="E1338" s="6" t="inlineStr">
        <is>
          <t>ITAIPU_SUPPLIED_ENERGY</t>
        </is>
      </c>
      <c r="F1338" s="6" t="inlineStr">
        <is>
          <t>ITAIPU</t>
        </is>
      </c>
      <c r="G1338" s="6" t="inlineStr">
        <is>
          <t>ITAIPU</t>
        </is>
      </c>
      <c r="H1338" s="6" t="inlineStr">
        <is>
          <t>PY</t>
        </is>
      </c>
      <c r="I1338" s="8" t="n">
        <v>1790000</v>
      </c>
      <c r="J1338" s="6" t="inlineStr">
        <is>
          <t>MWh</t>
        </is>
      </c>
      <c r="K1338" s="8" t="n">
        <v>1790000</v>
      </c>
      <c r="L1338" s="6" t="inlineStr">
        <is>
          <t>MWh</t>
        </is>
      </c>
      <c r="M1338" s="6" t="inlineStr">
        <is>
          <t>ITAIPU</t>
        </is>
      </c>
      <c r="N1338" s="6" t="inlineStr">
        <is>
          <t>OFFICIAL_PRIMARY</t>
        </is>
      </c>
      <c r="O1338" s="9" t="inlineStr">
        <is>
          <t>OFFICIAL_AGGREGATE</t>
        </is>
      </c>
      <c r="P1338" s="8" t="n">
        <v>1</v>
      </c>
      <c r="Q1338" s="8" t="n">
        <v>98</v>
      </c>
      <c r="R1338" s="7" t="inlineStr">
        <is>
          <t>https://www.itaipu.gov.py/sites/default/files/u62/Memoria%20Anual%20Itaipu%202023_Espa%C3%B1ol_internet.pdf</t>
        </is>
      </c>
      <c r="S1338" s="6" t="inlineStr">
        <is>
          <t>ITAIPU-MEM-2023</t>
        </is>
      </c>
      <c r="T1338" s="6" t="inlineStr"/>
      <c r="U1338" s="4" t="inlineStr">
        <is>
          <t>2026-09-11 00:05:00</t>
        </is>
      </c>
      <c r="V1338" s="4" t="inlineStr">
        <is>
          <t>Tabla mensual oficial, valores redondeados a GWh.</t>
        </is>
      </c>
    </row>
    <row r="1339">
      <c r="A1339" s="6" t="inlineStr">
        <is>
          <t>R0001455</t>
        </is>
      </c>
      <c r="B1339" s="6" t="inlineStr">
        <is>
          <t>2023-11-01</t>
        </is>
      </c>
      <c r="C1339" s="6" t="inlineStr">
        <is>
          <t>2023-11-30</t>
        </is>
      </c>
      <c r="D1339" s="6" t="inlineStr">
        <is>
          <t>month</t>
        </is>
      </c>
      <c r="E1339" s="6" t="inlineStr">
        <is>
          <t>ITAIPU_SUPPLIED_ENERGY</t>
        </is>
      </c>
      <c r="F1339" s="6" t="inlineStr">
        <is>
          <t>ITAIPU</t>
        </is>
      </c>
      <c r="G1339" s="6" t="inlineStr">
        <is>
          <t>ITAIPU</t>
        </is>
      </c>
      <c r="H1339" s="6" t="inlineStr">
        <is>
          <t>BR</t>
        </is>
      </c>
      <c r="I1339" s="8" t="n">
        <v>6179000</v>
      </c>
      <c r="J1339" s="6" t="inlineStr">
        <is>
          <t>MWh</t>
        </is>
      </c>
      <c r="K1339" s="8" t="n">
        <v>6179000</v>
      </c>
      <c r="L1339" s="6" t="inlineStr">
        <is>
          <t>MWh</t>
        </is>
      </c>
      <c r="M1339" s="6" t="inlineStr">
        <is>
          <t>ITAIPU</t>
        </is>
      </c>
      <c r="N1339" s="6" t="inlineStr">
        <is>
          <t>OFFICIAL_PRIMARY</t>
        </is>
      </c>
      <c r="O1339" s="9" t="inlineStr">
        <is>
          <t>OFFICIAL_AGGREGATE</t>
        </is>
      </c>
      <c r="P1339" s="8" t="n">
        <v>1</v>
      </c>
      <c r="Q1339" s="8" t="n">
        <v>98</v>
      </c>
      <c r="R1339" s="7" t="inlineStr">
        <is>
          <t>https://www.itaipu.gov.py/sites/default/files/u62/Memoria%20Anual%20Itaipu%202023_Espa%C3%B1ol_internet.pdf</t>
        </is>
      </c>
      <c r="S1339" s="6" t="inlineStr">
        <is>
          <t>ITAIPU-MEM-2023</t>
        </is>
      </c>
      <c r="T1339" s="6" t="inlineStr"/>
      <c r="U1339" s="4" t="inlineStr">
        <is>
          <t>2026-09-11 00:05:00</t>
        </is>
      </c>
      <c r="V1339" s="4" t="inlineStr">
        <is>
          <t>Tabla mensual oficial, valores redondeados a GWh.</t>
        </is>
      </c>
    </row>
    <row r="1340">
      <c r="A1340" s="6" t="inlineStr">
        <is>
          <t>R0001456</t>
        </is>
      </c>
      <c r="B1340" s="6" t="inlineStr">
        <is>
          <t>2023-12-01</t>
        </is>
      </c>
      <c r="C1340" s="6" t="inlineStr">
        <is>
          <t>2023-12-31</t>
        </is>
      </c>
      <c r="D1340" s="6" t="inlineStr">
        <is>
          <t>month</t>
        </is>
      </c>
      <c r="E1340" s="6" t="inlineStr">
        <is>
          <t>ITAIPU_SUPPLIED_ENERGY</t>
        </is>
      </c>
      <c r="F1340" s="6" t="inlineStr">
        <is>
          <t>ITAIPU</t>
        </is>
      </c>
      <c r="G1340" s="6" t="inlineStr">
        <is>
          <t>ITAIPU</t>
        </is>
      </c>
      <c r="H1340" s="6" t="inlineStr">
        <is>
          <t>PY</t>
        </is>
      </c>
      <c r="I1340" s="8" t="n">
        <v>2069000</v>
      </c>
      <c r="J1340" s="6" t="inlineStr">
        <is>
          <t>MWh</t>
        </is>
      </c>
      <c r="K1340" s="8" t="n">
        <v>2069000</v>
      </c>
      <c r="L1340" s="6" t="inlineStr">
        <is>
          <t>MWh</t>
        </is>
      </c>
      <c r="M1340" s="6" t="inlineStr">
        <is>
          <t>ITAIPU</t>
        </is>
      </c>
      <c r="N1340" s="6" t="inlineStr">
        <is>
          <t>OFFICIAL_PRIMARY</t>
        </is>
      </c>
      <c r="O1340" s="9" t="inlineStr">
        <is>
          <t>OFFICIAL_AGGREGATE</t>
        </is>
      </c>
      <c r="P1340" s="8" t="n">
        <v>1</v>
      </c>
      <c r="Q1340" s="8" t="n">
        <v>98</v>
      </c>
      <c r="R1340" s="7" t="inlineStr">
        <is>
          <t>https://www.itaipu.gov.py/sites/default/files/u62/Memoria%20Anual%20Itaipu%202023_Espa%C3%B1ol_internet.pdf</t>
        </is>
      </c>
      <c r="S1340" s="6" t="inlineStr">
        <is>
          <t>ITAIPU-MEM-2023</t>
        </is>
      </c>
      <c r="T1340" s="6" t="inlineStr"/>
      <c r="U1340" s="4" t="inlineStr">
        <is>
          <t>2026-09-11 00:05:00</t>
        </is>
      </c>
      <c r="V1340" s="4" t="inlineStr">
        <is>
          <t>Tabla mensual oficial, valores redondeados a GWh.</t>
        </is>
      </c>
    </row>
    <row r="1341">
      <c r="A1341" s="6" t="inlineStr">
        <is>
          <t>R0001457</t>
        </is>
      </c>
      <c r="B1341" s="6" t="inlineStr">
        <is>
          <t>2023-12-01</t>
        </is>
      </c>
      <c r="C1341" s="6" t="inlineStr">
        <is>
          <t>2023-12-31</t>
        </is>
      </c>
      <c r="D1341" s="6" t="inlineStr">
        <is>
          <t>month</t>
        </is>
      </c>
      <c r="E1341" s="6" t="inlineStr">
        <is>
          <t>ITAIPU_SUPPLIED_ENERGY</t>
        </is>
      </c>
      <c r="F1341" s="6" t="inlineStr">
        <is>
          <t>ITAIPU</t>
        </is>
      </c>
      <c r="G1341" s="6" t="inlineStr">
        <is>
          <t>ITAIPU</t>
        </is>
      </c>
      <c r="H1341" s="6" t="inlineStr">
        <is>
          <t>BR</t>
        </is>
      </c>
      <c r="I1341" s="8" t="n">
        <v>6324000</v>
      </c>
      <c r="J1341" s="6" t="inlineStr">
        <is>
          <t>MWh</t>
        </is>
      </c>
      <c r="K1341" s="8" t="n">
        <v>6324000</v>
      </c>
      <c r="L1341" s="6" t="inlineStr">
        <is>
          <t>MWh</t>
        </is>
      </c>
      <c r="M1341" s="6" t="inlineStr">
        <is>
          <t>ITAIPU</t>
        </is>
      </c>
      <c r="N1341" s="6" t="inlineStr">
        <is>
          <t>OFFICIAL_PRIMARY</t>
        </is>
      </c>
      <c r="O1341" s="9" t="inlineStr">
        <is>
          <t>OFFICIAL_AGGREGATE</t>
        </is>
      </c>
      <c r="P1341" s="8" t="n">
        <v>1</v>
      </c>
      <c r="Q1341" s="8" t="n">
        <v>98</v>
      </c>
      <c r="R1341" s="7" t="inlineStr">
        <is>
          <t>https://www.itaipu.gov.py/sites/default/files/u62/Memoria%20Anual%20Itaipu%202023_Espa%C3%B1ol_internet.pdf</t>
        </is>
      </c>
      <c r="S1341" s="6" t="inlineStr">
        <is>
          <t>ITAIPU-MEM-2023</t>
        </is>
      </c>
      <c r="T1341" s="6" t="inlineStr"/>
      <c r="U1341" s="4" t="inlineStr">
        <is>
          <t>2026-09-11 00:05:00</t>
        </is>
      </c>
      <c r="V1341" s="4" t="inlineStr">
        <is>
          <t>Tabla mensual oficial, valores redondeados a GWh.</t>
        </is>
      </c>
    </row>
    <row r="1342">
      <c r="A1342" s="40" t="inlineStr">
        <is>
          <t>V5_0001</t>
        </is>
      </c>
      <c r="B1342" s="40" t="inlineStr">
        <is>
          <t>2026-01-01</t>
        </is>
      </c>
      <c r="C1342" s="40" t="inlineStr">
        <is>
          <t>2026-08-31</t>
        </is>
      </c>
      <c r="D1342" s="40" t="inlineStr">
        <is>
          <t>YTD</t>
        </is>
      </c>
      <c r="E1342" s="40" t="inlineStr">
        <is>
          <t>ITAIPU_SUPPLY_TO_PY</t>
        </is>
      </c>
      <c r="F1342" s="40" t="inlineStr">
        <is>
          <t>ITAIPU</t>
        </is>
      </c>
      <c r="G1342" s="40" t="n"/>
      <c r="H1342" s="40" t="n"/>
      <c r="I1342" s="40" t="n">
        <v>19276</v>
      </c>
      <c r="J1342" s="40" t="inlineStr">
        <is>
          <t>GWh</t>
        </is>
      </c>
      <c r="K1342" s="40" t="n">
        <v>19276</v>
      </c>
      <c r="L1342" s="40" t="inlineStr">
        <is>
          <t>GWh</t>
        </is>
      </c>
      <c r="M1342" s="40" t="inlineStr">
        <is>
          <t>ITAIPU</t>
        </is>
      </c>
      <c r="N1342" s="40" t="inlineStr">
        <is>
          <t>OFFICIAL_PRIMARY</t>
        </is>
      </c>
      <c r="O1342" s="40" t="inlineStr">
        <is>
          <t>OFFICIAL_AGGREGATE</t>
        </is>
      </c>
      <c r="P1342" s="40" t="n">
        <v>1</v>
      </c>
      <c r="Q1342" s="40" t="n">
        <v>95</v>
      </c>
      <c r="R1342" s="40" t="inlineStr">
        <is>
          <t>https://www.itaipu.gov.py/noticias/energia/itaipu-suministro-19-276-gwh-de-energia-electrica-a-la-ande-de-enero-a-agosto-de-2026</t>
        </is>
      </c>
      <c r="S1342" s="40" t="inlineStr">
        <is>
          <t>V5_CURRENT_BASELINES</t>
        </is>
      </c>
      <c r="T1342" s="40" t="n"/>
      <c r="U1342" s="40" t="inlineStr">
        <is>
          <t>2026-09-11T01:00:00-03:00</t>
        </is>
      </c>
      <c r="V1342" s="40" t="inlineStr">
        <is>
          <t>Supplied to Paraguay through ANDE Jan-Aug 2026.</t>
        </is>
      </c>
    </row>
    <row r="1343">
      <c r="A1343" s="40" t="inlineStr">
        <is>
          <t>V5_0002</t>
        </is>
      </c>
      <c r="B1343" s="40" t="inlineStr">
        <is>
          <t>2026-01-01</t>
        </is>
      </c>
      <c r="C1343" s="40" t="inlineStr">
        <is>
          <t>2026-08-31</t>
        </is>
      </c>
      <c r="D1343" s="40" t="inlineStr">
        <is>
          <t>YTD</t>
        </is>
      </c>
      <c r="E1343" s="40" t="inlineStr">
        <is>
          <t>ITAIPU_TOTAL_GENERATION</t>
        </is>
      </c>
      <c r="F1343" s="40" t="inlineStr">
        <is>
          <t>ITAIPU</t>
        </is>
      </c>
      <c r="G1343" s="40" t="n"/>
      <c r="H1343" s="40" t="n"/>
      <c r="I1343" s="40" t="n">
        <v>51144</v>
      </c>
      <c r="J1343" s="40" t="inlineStr">
        <is>
          <t>GWh</t>
        </is>
      </c>
      <c r="K1343" s="40" t="n">
        <v>51144</v>
      </c>
      <c r="L1343" s="40" t="inlineStr">
        <is>
          <t>GWh</t>
        </is>
      </c>
      <c r="M1343" s="40" t="inlineStr">
        <is>
          <t>ITAIPU</t>
        </is>
      </c>
      <c r="N1343" s="40" t="inlineStr">
        <is>
          <t>OFFICIAL_PRIMARY</t>
        </is>
      </c>
      <c r="O1343" s="40" t="inlineStr">
        <is>
          <t>OFFICIAL_AGGREGATE</t>
        </is>
      </c>
      <c r="P1343" s="40" t="n">
        <v>1</v>
      </c>
      <c r="Q1343" s="40" t="n">
        <v>95</v>
      </c>
      <c r="R1343" s="40" t="inlineStr">
        <is>
          <t>https://www.itaipu.gov.py/noticias/energia/itaipu-suministro-19-276-gwh-de-energia-electrica-a-la-ande-de-enero-a-agosto-de-2026</t>
        </is>
      </c>
      <c r="S1343" s="40" t="inlineStr">
        <is>
          <t>V5_CURRENT_BASELINES</t>
        </is>
      </c>
      <c r="T1343" s="40" t="n"/>
      <c r="U1343" s="40" t="inlineStr">
        <is>
          <t>2026-09-11T01:00:00-03:00</t>
        </is>
      </c>
      <c r="V1343" s="40" t="inlineStr">
        <is>
          <t>Total generation Jan-Aug 2026.</t>
        </is>
      </c>
    </row>
    <row r="1344">
      <c r="A1344" s="40" t="inlineStr">
        <is>
          <t>V5_0003</t>
        </is>
      </c>
      <c r="B1344" s="40" t="inlineStr">
        <is>
          <t>2026-01-01</t>
        </is>
      </c>
      <c r="C1344" s="40" t="inlineStr">
        <is>
          <t>2026-08-31</t>
        </is>
      </c>
      <c r="D1344" s="40" t="inlineStr">
        <is>
          <t>YTD</t>
        </is>
      </c>
      <c r="E1344" s="40" t="inlineStr">
        <is>
          <t>ITAIPU_UNIT_AVAILABILITY</t>
        </is>
      </c>
      <c r="F1344" s="40" t="inlineStr">
        <is>
          <t>ITAIPU</t>
        </is>
      </c>
      <c r="G1344" s="40" t="n"/>
      <c r="H1344" s="40" t="n"/>
      <c r="I1344" s="40" t="n">
        <v>96.34999999999999</v>
      </c>
      <c r="J1344" s="40" t="inlineStr">
        <is>
          <t>percent</t>
        </is>
      </c>
      <c r="K1344" s="40" t="n">
        <v>96.34999999999999</v>
      </c>
      <c r="L1344" s="40" t="inlineStr">
        <is>
          <t>percent</t>
        </is>
      </c>
      <c r="M1344" s="40" t="inlineStr">
        <is>
          <t>ITAIPU</t>
        </is>
      </c>
      <c r="N1344" s="40" t="inlineStr">
        <is>
          <t>OFFICIAL_PRIMARY</t>
        </is>
      </c>
      <c r="O1344" s="40" t="inlineStr">
        <is>
          <t>OFFICIAL_AGGREGATE</t>
        </is>
      </c>
      <c r="P1344" s="40" t="n">
        <v>1</v>
      </c>
      <c r="Q1344" s="40" t="n">
        <v>95</v>
      </c>
      <c r="R1344" s="40" t="inlineStr">
        <is>
          <t>https://www.itaipu.gov.py/noticias/energia/itaipu-suministro-19-276-gwh-de-energia-electrica-a-la-ande-de-enero-a-agosto-de-2026</t>
        </is>
      </c>
      <c r="S1344" s="40" t="inlineStr">
        <is>
          <t>V5_CURRENT_BASELINES</t>
        </is>
      </c>
      <c r="T1344" s="40" t="n"/>
      <c r="U1344" s="40" t="inlineStr">
        <is>
          <t>2026-09-11T01:00:00-03:00</t>
        </is>
      </c>
      <c r="V1344" s="40" t="inlineStr">
        <is>
          <t>Availability through August 2026.</t>
        </is>
      </c>
    </row>
    <row r="1345">
      <c r="A1345" s="40" t="inlineStr">
        <is>
          <t>V5_0004</t>
        </is>
      </c>
      <c r="B1345" s="40" t="inlineStr">
        <is>
          <t>2026-08-01</t>
        </is>
      </c>
      <c r="C1345" s="40" t="inlineStr">
        <is>
          <t>2026-08-31</t>
        </is>
      </c>
      <c r="D1345" s="40" t="inlineStr">
        <is>
          <t>month</t>
        </is>
      </c>
      <c r="E1345" s="40" t="inlineStr">
        <is>
          <t>ITAIPU_AUG_TOTAL_GENERATION</t>
        </is>
      </c>
      <c r="F1345" s="40" t="inlineStr">
        <is>
          <t>ITAIPU</t>
        </is>
      </c>
      <c r="G1345" s="40" t="n"/>
      <c r="H1345" s="40" t="n"/>
      <c r="I1345" s="40" t="n">
        <v>6796</v>
      </c>
      <c r="J1345" s="40" t="inlineStr">
        <is>
          <t>GWh</t>
        </is>
      </c>
      <c r="K1345" s="40" t="n">
        <v>6796</v>
      </c>
      <c r="L1345" s="40" t="inlineStr">
        <is>
          <t>GWh</t>
        </is>
      </c>
      <c r="M1345" s="40" t="inlineStr">
        <is>
          <t>ITAIPU</t>
        </is>
      </c>
      <c r="N1345" s="40" t="inlineStr">
        <is>
          <t>OFFICIAL_PRIMARY</t>
        </is>
      </c>
      <c r="O1345" s="40" t="inlineStr">
        <is>
          <t>OFFICIAL_AGGREGATE</t>
        </is>
      </c>
      <c r="P1345" s="40" t="n">
        <v>1</v>
      </c>
      <c r="Q1345" s="40" t="n">
        <v>95</v>
      </c>
      <c r="R1345" s="40" t="inlineStr">
        <is>
          <t>https://www.itaipu.gov.py/noticias/energia/itaipu-suministro-19-276-gwh-de-energia-electrica-a-la-ande-de-enero-a-agosto-de-2026</t>
        </is>
      </c>
      <c r="S1345" s="40" t="inlineStr">
        <is>
          <t>V5_CURRENT_BASELINES</t>
        </is>
      </c>
      <c r="T1345" s="40" t="n"/>
      <c r="U1345" s="40" t="inlineStr">
        <is>
          <t>2026-09-11T01:00:00-03:00</t>
        </is>
      </c>
      <c r="V1345" s="40" t="inlineStr"/>
    </row>
    <row r="1346">
      <c r="A1346" s="40" t="inlineStr">
        <is>
          <t>V5_0005</t>
        </is>
      </c>
      <c r="B1346" s="40" t="inlineStr">
        <is>
          <t>2026-08-01</t>
        </is>
      </c>
      <c r="C1346" s="40" t="inlineStr">
        <is>
          <t>2026-08-31</t>
        </is>
      </c>
      <c r="D1346" s="40" t="inlineStr">
        <is>
          <t>month</t>
        </is>
      </c>
      <c r="E1346" s="40" t="inlineStr">
        <is>
          <t>ITAIPU_AUG_50HZ_GENERATION</t>
        </is>
      </c>
      <c r="F1346" s="40" t="inlineStr">
        <is>
          <t>ITAIPU</t>
        </is>
      </c>
      <c r="G1346" s="40" t="n"/>
      <c r="H1346" s="40" t="n"/>
      <c r="I1346" s="40" t="n">
        <v>3428</v>
      </c>
      <c r="J1346" s="40" t="inlineStr">
        <is>
          <t>GWh</t>
        </is>
      </c>
      <c r="K1346" s="40" t="n">
        <v>3428</v>
      </c>
      <c r="L1346" s="40" t="inlineStr">
        <is>
          <t>GWh</t>
        </is>
      </c>
      <c r="M1346" s="40" t="inlineStr">
        <is>
          <t>ITAIPU</t>
        </is>
      </c>
      <c r="N1346" s="40" t="inlineStr">
        <is>
          <t>OFFICIAL_PRIMARY</t>
        </is>
      </c>
      <c r="O1346" s="40" t="inlineStr">
        <is>
          <t>OFFICIAL_AGGREGATE</t>
        </is>
      </c>
      <c r="P1346" s="40" t="n">
        <v>1</v>
      </c>
      <c r="Q1346" s="40" t="n">
        <v>95</v>
      </c>
      <c r="R1346" s="40" t="inlineStr">
        <is>
          <t>https://www.itaipu.gov.py/noticias/energia/itaipu-suministro-19-276-gwh-de-energia-electrica-a-la-ande-de-enero-a-agosto-de-2026</t>
        </is>
      </c>
      <c r="S1346" s="40" t="inlineStr">
        <is>
          <t>V5_CURRENT_BASELINES</t>
        </is>
      </c>
      <c r="T1346" s="40" t="n"/>
      <c r="U1346" s="40" t="inlineStr">
        <is>
          <t>2026-09-11T01:00:00-03:00</t>
        </is>
      </c>
      <c r="V1346" s="40" t="inlineStr"/>
    </row>
    <row r="1347">
      <c r="A1347" s="40" t="inlineStr">
        <is>
          <t>V5_0006</t>
        </is>
      </c>
      <c r="B1347" s="40" t="inlineStr">
        <is>
          <t>2026-08-01</t>
        </is>
      </c>
      <c r="C1347" s="40" t="inlineStr">
        <is>
          <t>2026-08-31</t>
        </is>
      </c>
      <c r="D1347" s="40" t="inlineStr">
        <is>
          <t>month</t>
        </is>
      </c>
      <c r="E1347" s="40" t="inlineStr">
        <is>
          <t>ITAIPU_AUG_SUPPLY_TO_ANDE</t>
        </is>
      </c>
      <c r="F1347" s="40" t="inlineStr">
        <is>
          <t>ITAIPU</t>
        </is>
      </c>
      <c r="G1347" s="40" t="n"/>
      <c r="H1347" s="40" t="n"/>
      <c r="I1347" s="40" t="n">
        <v>2401</v>
      </c>
      <c r="J1347" s="40" t="inlineStr">
        <is>
          <t>GWh</t>
        </is>
      </c>
      <c r="K1347" s="40" t="n">
        <v>2401</v>
      </c>
      <c r="L1347" s="40" t="inlineStr">
        <is>
          <t>GWh</t>
        </is>
      </c>
      <c r="M1347" s="40" t="inlineStr">
        <is>
          <t>ITAIPU</t>
        </is>
      </c>
      <c r="N1347" s="40" t="inlineStr">
        <is>
          <t>OFFICIAL_PRIMARY</t>
        </is>
      </c>
      <c r="O1347" s="40" t="inlineStr">
        <is>
          <t>OFFICIAL_AGGREGATE</t>
        </is>
      </c>
      <c r="P1347" s="40" t="n">
        <v>1</v>
      </c>
      <c r="Q1347" s="40" t="n">
        <v>95</v>
      </c>
      <c r="R1347" s="40" t="inlineStr">
        <is>
          <t>https://www.itaipu.gov.py/noticias/energia/itaipu-suministro-19-276-gwh-de-energia-electrica-a-la-ande-de-enero-a-agosto-de-2026</t>
        </is>
      </c>
      <c r="S1347" s="40" t="inlineStr">
        <is>
          <t>V5_CURRENT_BASELINES</t>
        </is>
      </c>
      <c r="T1347" s="40" t="n"/>
      <c r="U1347" s="40" t="inlineStr">
        <is>
          <t>2026-09-11T01:00:00-03:00</t>
        </is>
      </c>
      <c r="V1347" s="40" t="inlineStr"/>
    </row>
    <row r="1348">
      <c r="A1348" s="40" t="inlineStr">
        <is>
          <t>V5_0007</t>
        </is>
      </c>
      <c r="B1348" s="40" t="inlineStr">
        <is>
          <t>2026-01-01</t>
        </is>
      </c>
      <c r="C1348" s="40" t="inlineStr">
        <is>
          <t>2026-08-31</t>
        </is>
      </c>
      <c r="D1348" s="40" t="inlineStr">
        <is>
          <t>YTD_avg</t>
        </is>
      </c>
      <c r="E1348" s="40" t="inlineStr">
        <is>
          <t>ITAIPU_AVG_POWER_TO_PY_EQUIV</t>
        </is>
      </c>
      <c r="F1348" s="40" t="inlineStr">
        <is>
          <t>ITAIPU</t>
        </is>
      </c>
      <c r="G1348" s="40" t="n"/>
      <c r="H1348" s="40" t="n"/>
      <c r="I1348" s="40" t="n">
        <v>3305.213</v>
      </c>
      <c r="J1348" s="40" t="inlineStr">
        <is>
          <t>MW</t>
        </is>
      </c>
      <c r="K1348" s="40" t="n">
        <v>3305.213</v>
      </c>
      <c r="L1348" s="40" t="inlineStr">
        <is>
          <t>MW</t>
        </is>
      </c>
      <c r="M1348" s="40" t="inlineStr">
        <is>
          <t>ENERGIAPY</t>
        </is>
      </c>
      <c r="N1348" s="40" t="inlineStr">
        <is>
          <t>DERIVED</t>
        </is>
      </c>
      <c r="O1348" s="40" t="inlineStr">
        <is>
          <t>DERIVED_FROM_OFFICIAL</t>
        </is>
      </c>
      <c r="P1348" s="40" t="n">
        <v>1</v>
      </c>
      <c r="Q1348" s="40" t="n">
        <v>80</v>
      </c>
      <c r="R1348" s="40" t="inlineStr">
        <is>
          <t>https://www.itaipu.gov.py/noticias/energia/itaipu-suministro-19-276-gwh-de-energia-electrica-a-la-ande-de-enero-a-agosto-de-2026</t>
        </is>
      </c>
      <c r="S1348" s="40" t="inlineStr">
        <is>
          <t>V5_CURRENT_BASELINES</t>
        </is>
      </c>
      <c r="T1348" s="40" t="n"/>
      <c r="U1348" s="40" t="inlineStr">
        <is>
          <t>2026-09-11T01:00:00-03:00</t>
        </is>
      </c>
      <c r="V1348" s="40" t="inlineStr">
        <is>
          <t>Energy/time equivalent average; not an instantaneous measurement.</t>
        </is>
      </c>
    </row>
    <row r="1349">
      <c r="A1349" s="40" t="inlineStr">
        <is>
          <t>V5_0008</t>
        </is>
      </c>
      <c r="B1349" s="40" t="inlineStr">
        <is>
          <t>2026-01-01</t>
        </is>
      </c>
      <c r="C1349" s="40" t="inlineStr">
        <is>
          <t>2026-08-31</t>
        </is>
      </c>
      <c r="D1349" s="40" t="inlineStr">
        <is>
          <t>YTD_avg</t>
        </is>
      </c>
      <c r="E1349" s="40" t="inlineStr">
        <is>
          <t>ITAIPU_AVG_TOTAL_POWER_EQUIV</t>
        </is>
      </c>
      <c r="F1349" s="40" t="inlineStr">
        <is>
          <t>ITAIPU</t>
        </is>
      </c>
      <c r="G1349" s="40" t="n"/>
      <c r="H1349" s="40" t="n"/>
      <c r="I1349" s="40" t="n">
        <v>8769.547</v>
      </c>
      <c r="J1349" s="40" t="inlineStr">
        <is>
          <t>MW</t>
        </is>
      </c>
      <c r="K1349" s="40" t="n">
        <v>8769.547</v>
      </c>
      <c r="L1349" s="40" t="inlineStr">
        <is>
          <t>MW</t>
        </is>
      </c>
      <c r="M1349" s="40" t="inlineStr">
        <is>
          <t>ENERGIAPY</t>
        </is>
      </c>
      <c r="N1349" s="40" t="inlineStr">
        <is>
          <t>DERIVED</t>
        </is>
      </c>
      <c r="O1349" s="40" t="inlineStr">
        <is>
          <t>DERIVED_FROM_OFFICIAL</t>
        </is>
      </c>
      <c r="P1349" s="40" t="n">
        <v>1</v>
      </c>
      <c r="Q1349" s="40" t="n">
        <v>80</v>
      </c>
      <c r="R1349" s="40" t="inlineStr">
        <is>
          <t>https://www.itaipu.gov.py/noticias/energia/itaipu-suministro-19-276-gwh-de-energia-electrica-a-la-ande-de-enero-a-agosto-de-2026</t>
        </is>
      </c>
      <c r="S1349" s="40" t="inlineStr">
        <is>
          <t>V5_CURRENT_BASELINES</t>
        </is>
      </c>
      <c r="T1349" s="40" t="n"/>
      <c r="U1349" s="40" t="inlineStr">
        <is>
          <t>2026-09-11T01:00:00-03:00</t>
        </is>
      </c>
      <c r="V1349" s="40" t="inlineStr">
        <is>
          <t>Energy/time equivalent average; not an instantaneous measurement.</t>
        </is>
      </c>
    </row>
    <row r="1350">
      <c r="A1350" s="40" t="inlineStr">
        <is>
          <t>V5_0009</t>
        </is>
      </c>
      <c r="B1350" s="40" t="inlineStr">
        <is>
          <t>2026-08-01</t>
        </is>
      </c>
      <c r="C1350" s="40" t="inlineStr">
        <is>
          <t>2026-08-31</t>
        </is>
      </c>
      <c r="D1350" s="40" t="inlineStr">
        <is>
          <t>month_avg</t>
        </is>
      </c>
      <c r="E1350" s="40" t="inlineStr">
        <is>
          <t>ITAIPU_AUG_AVG_POWER_EQUIV</t>
        </is>
      </c>
      <c r="F1350" s="40" t="inlineStr">
        <is>
          <t>ITAIPU</t>
        </is>
      </c>
      <c r="G1350" s="40" t="n"/>
      <c r="H1350" s="40" t="n"/>
      <c r="I1350" s="40" t="n">
        <v>9134.409</v>
      </c>
      <c r="J1350" s="40" t="inlineStr">
        <is>
          <t>MW</t>
        </is>
      </c>
      <c r="K1350" s="40" t="n">
        <v>9134.409</v>
      </c>
      <c r="L1350" s="40" t="inlineStr">
        <is>
          <t>MW</t>
        </is>
      </c>
      <c r="M1350" s="40" t="inlineStr">
        <is>
          <t>ENERGIAPY</t>
        </is>
      </c>
      <c r="N1350" s="40" t="inlineStr">
        <is>
          <t>DERIVED</t>
        </is>
      </c>
      <c r="O1350" s="40" t="inlineStr">
        <is>
          <t>DERIVED_FROM_OFFICIAL</t>
        </is>
      </c>
      <c r="P1350" s="40" t="n">
        <v>1</v>
      </c>
      <c r="Q1350" s="40" t="n">
        <v>80</v>
      </c>
      <c r="R1350" s="40" t="inlineStr">
        <is>
          <t>https://www.itaipu.gov.py/noticias/energia/itaipu-suministro-19-276-gwh-de-energia-electrica-a-la-ande-de-enero-a-agosto-de-2026</t>
        </is>
      </c>
      <c r="S1350" s="40" t="inlineStr">
        <is>
          <t>V5_CURRENT_BASELINES</t>
        </is>
      </c>
      <c r="T1350" s="40" t="n"/>
      <c r="U1350" s="40" t="inlineStr">
        <is>
          <t>2026-09-11T01:00:00-03:00</t>
        </is>
      </c>
      <c r="V1350" s="40" t="inlineStr"/>
    </row>
    <row r="1351">
      <c r="A1351" s="40" t="inlineStr">
        <is>
          <t>V5_0010</t>
        </is>
      </c>
      <c r="B1351" s="40" t="inlineStr">
        <is>
          <t>2026-08-01</t>
        </is>
      </c>
      <c r="C1351" s="40" t="inlineStr">
        <is>
          <t>2026-08-31</t>
        </is>
      </c>
      <c r="D1351" s="40" t="inlineStr">
        <is>
          <t>month_avg</t>
        </is>
      </c>
      <c r="E1351" s="40" t="inlineStr">
        <is>
          <t>ITAIPU_AUG_AVG_TO_ANDE_EQUIV</t>
        </is>
      </c>
      <c r="F1351" s="40" t="inlineStr">
        <is>
          <t>ITAIPU</t>
        </is>
      </c>
      <c r="G1351" s="40" t="n"/>
      <c r="H1351" s="40" t="n"/>
      <c r="I1351" s="40" t="n">
        <v>3227.151</v>
      </c>
      <c r="J1351" s="40" t="inlineStr">
        <is>
          <t>MW</t>
        </is>
      </c>
      <c r="K1351" s="40" t="n">
        <v>3227.151</v>
      </c>
      <c r="L1351" s="40" t="inlineStr">
        <is>
          <t>MW</t>
        </is>
      </c>
      <c r="M1351" s="40" t="inlineStr">
        <is>
          <t>ENERGIAPY</t>
        </is>
      </c>
      <c r="N1351" s="40" t="inlineStr">
        <is>
          <t>DERIVED</t>
        </is>
      </c>
      <c r="O1351" s="40" t="inlineStr">
        <is>
          <t>DERIVED_FROM_OFFICIAL</t>
        </is>
      </c>
      <c r="P1351" s="40" t="n">
        <v>1</v>
      </c>
      <c r="Q1351" s="40" t="n">
        <v>80</v>
      </c>
      <c r="R1351" s="40" t="inlineStr">
        <is>
          <t>https://www.itaipu.gov.py/noticias/energia/itaipu-suministro-19-276-gwh-de-energia-electrica-a-la-ande-de-enero-a-agosto-de-2026</t>
        </is>
      </c>
      <c r="S1351" s="40" t="inlineStr">
        <is>
          <t>V5_CURRENT_BASELINES</t>
        </is>
      </c>
      <c r="T1351" s="40" t="n"/>
      <c r="U1351" s="40" t="inlineStr">
        <is>
          <t>2026-09-11T01:00:00-03:00</t>
        </is>
      </c>
      <c r="V1351" s="40" t="inlineStr"/>
    </row>
    <row r="1352">
      <c r="A1352" s="40" t="inlineStr">
        <is>
          <t>V5_0011</t>
        </is>
      </c>
      <c r="B1352" s="40" t="inlineStr">
        <is>
          <t>2026-09-11</t>
        </is>
      </c>
      <c r="C1352" s="40" t="inlineStr">
        <is>
          <t>2026-09-11</t>
        </is>
      </c>
      <c r="D1352" s="40" t="inlineStr">
        <is>
          <t>latest_hour_label</t>
        </is>
      </c>
      <c r="E1352" s="40" t="inlineStr">
        <is>
          <t>YACYRETA_POWER_LAST_HOUR</t>
        </is>
      </c>
      <c r="F1352" s="40" t="inlineStr">
        <is>
          <t>YACYRETA</t>
        </is>
      </c>
      <c r="G1352" s="40" t="n"/>
      <c r="H1352" s="40" t="n"/>
      <c r="I1352" s="40" t="n">
        <v>2034</v>
      </c>
      <c r="J1352" s="40" t="inlineStr">
        <is>
          <t>MW</t>
        </is>
      </c>
      <c r="K1352" s="40" t="n">
        <v>2034</v>
      </c>
      <c r="L1352" s="40" t="inlineStr">
        <is>
          <t>MW</t>
        </is>
      </c>
      <c r="M1352" s="40" t="inlineStr">
        <is>
          <t>EBY</t>
        </is>
      </c>
      <c r="N1352" s="40" t="inlineStr">
        <is>
          <t>OFFICIAL_PRIMARY</t>
        </is>
      </c>
      <c r="O1352" s="40" t="inlineStr">
        <is>
          <t>OFFICIAL_WEB_CURRENT</t>
        </is>
      </c>
      <c r="P1352" s="40" t="n">
        <v>1</v>
      </c>
      <c r="Q1352" s="40" t="n">
        <v>95</v>
      </c>
      <c r="R1352" s="40" t="inlineStr">
        <is>
          <t>https://eby.gov.py/</t>
        </is>
      </c>
      <c r="S1352" s="40" t="inlineStr">
        <is>
          <t>V5_CURRENT_BASELINES</t>
        </is>
      </c>
      <c r="T1352" s="40" t="n"/>
      <c r="U1352" s="40" t="inlineStr">
        <is>
          <t>2026-09-11T01:00:00-03:00</t>
        </is>
      </c>
      <c r="V1352" s="40" t="inlineStr">
        <is>
          <t>EBY homepage says power generated in the last hour; exact measurement timestamp is not exposed.</t>
        </is>
      </c>
    </row>
    <row r="1353">
      <c r="A1353" s="40" t="inlineStr">
        <is>
          <t>V5_0012</t>
        </is>
      </c>
      <c r="B1353" s="40" t="inlineStr">
        <is>
          <t>2026-09-10</t>
        </is>
      </c>
      <c r="C1353" s="40" t="inlineStr">
        <is>
          <t>2026-09-10</t>
        </is>
      </c>
      <c r="D1353" s="40" t="inlineStr">
        <is>
          <t>06:00</t>
        </is>
      </c>
      <c r="E1353" s="40" t="inlineStr">
        <is>
          <t>YACYRETA_RESERVOIR_LEVEL</t>
        </is>
      </c>
      <c r="F1353" s="40" t="inlineStr">
        <is>
          <t>YACYRETA</t>
        </is>
      </c>
      <c r="G1353" s="40" t="n"/>
      <c r="H1353" s="40" t="n"/>
      <c r="I1353" s="40" t="n">
        <v>82.81999999999999</v>
      </c>
      <c r="J1353" s="40" t="inlineStr">
        <is>
          <t>mSNM</t>
        </is>
      </c>
      <c r="K1353" s="40" t="n">
        <v>82.81999999999999</v>
      </c>
      <c r="L1353" s="40" t="inlineStr">
        <is>
          <t>mSNM</t>
        </is>
      </c>
      <c r="M1353" s="40" t="inlineStr">
        <is>
          <t>EBY</t>
        </is>
      </c>
      <c r="N1353" s="40" t="inlineStr">
        <is>
          <t>OFFICIAL_PRIMARY</t>
        </is>
      </c>
      <c r="O1353" s="40" t="inlineStr">
        <is>
          <t>OFFICIAL_MEASURED</t>
        </is>
      </c>
      <c r="P1353" s="40" t="n">
        <v>1</v>
      </c>
      <c r="Q1353" s="40" t="n">
        <v>95</v>
      </c>
      <c r="R1353" s="40" t="inlineStr">
        <is>
          <t>https://eby.gov.py/cota-82-82-msnm-resumen-ejecutivo-n-6077-10-09-2026/</t>
        </is>
      </c>
      <c r="S1353" s="40" t="inlineStr">
        <is>
          <t>V5_CURRENT_BASELINES</t>
        </is>
      </c>
      <c r="T1353" s="40" t="n"/>
      <c r="U1353" s="40" t="inlineStr">
        <is>
          <t>2026-09-11T01:00:00-03:00</t>
        </is>
      </c>
      <c r="V1353" s="40" t="inlineStr"/>
    </row>
    <row r="1354">
      <c r="A1354" s="40" t="inlineStr">
        <is>
          <t>V5_0013</t>
        </is>
      </c>
      <c r="B1354" s="40" t="inlineStr">
        <is>
          <t>2026-09-10</t>
        </is>
      </c>
      <c r="C1354" s="40" t="inlineStr">
        <is>
          <t>2026-09-10</t>
        </is>
      </c>
      <c r="D1354" s="40" t="inlineStr">
        <is>
          <t>day</t>
        </is>
      </c>
      <c r="E1354" s="40" t="inlineStr">
        <is>
          <t>YACYRETA_INFLOW_FORECAST</t>
        </is>
      </c>
      <c r="F1354" s="40" t="inlineStr">
        <is>
          <t>YACYRETA</t>
        </is>
      </c>
      <c r="G1354" s="40" t="n"/>
      <c r="H1354" s="40" t="n"/>
      <c r="I1354" s="40" t="n">
        <v>13400</v>
      </c>
      <c r="J1354" s="40" t="inlineStr">
        <is>
          <t>m3/s</t>
        </is>
      </c>
      <c r="K1354" s="40" t="n">
        <v>13400</v>
      </c>
      <c r="L1354" s="40" t="inlineStr">
        <is>
          <t>m3/s</t>
        </is>
      </c>
      <c r="M1354" s="40" t="inlineStr">
        <is>
          <t>EBY</t>
        </is>
      </c>
      <c r="N1354" s="40" t="inlineStr">
        <is>
          <t>OFFICIAL_PRIMARY</t>
        </is>
      </c>
      <c r="O1354" s="40" t="inlineStr">
        <is>
          <t>OFFICIAL_FORECAST</t>
        </is>
      </c>
      <c r="P1354" s="40" t="n">
        <v>1</v>
      </c>
      <c r="Q1354" s="40" t="n">
        <v>95</v>
      </c>
      <c r="R1354" s="40" t="inlineStr">
        <is>
          <t>https://eby.gov.py/cota-82-82-msnm-resumen-ejecutivo-n-6077-10-09-2026/</t>
        </is>
      </c>
      <c r="S1354" s="40" t="inlineStr">
        <is>
          <t>V5_CURRENT_BASELINES</t>
        </is>
      </c>
      <c r="T1354" s="40" t="n"/>
      <c r="U1354" s="40" t="inlineStr">
        <is>
          <t>2026-09-11T01:00:00-03:00</t>
        </is>
      </c>
      <c r="V1354" s="40" t="inlineStr"/>
    </row>
    <row r="1355">
      <c r="A1355" s="40" t="inlineStr">
        <is>
          <t>V5_0014</t>
        </is>
      </c>
      <c r="B1355" s="40" t="inlineStr">
        <is>
          <t>2026-09-11</t>
        </is>
      </c>
      <c r="C1355" s="40" t="inlineStr">
        <is>
          <t>2026-09-11</t>
        </is>
      </c>
      <c r="D1355" s="40" t="inlineStr">
        <is>
          <t>day</t>
        </is>
      </c>
      <c r="E1355" s="40" t="inlineStr">
        <is>
          <t>YACYRETA_INFLOW_FORECAST_NEXT_DAY</t>
        </is>
      </c>
      <c r="F1355" s="40" t="inlineStr">
        <is>
          <t>YACYRETA</t>
        </is>
      </c>
      <c r="G1355" s="40" t="n"/>
      <c r="H1355" s="40" t="n"/>
      <c r="I1355" s="40" t="n">
        <v>14500</v>
      </c>
      <c r="J1355" s="40" t="inlineStr">
        <is>
          <t>m3/s</t>
        </is>
      </c>
      <c r="K1355" s="40" t="n">
        <v>14500</v>
      </c>
      <c r="L1355" s="40" t="inlineStr">
        <is>
          <t>m3/s</t>
        </is>
      </c>
      <c r="M1355" s="40" t="inlineStr">
        <is>
          <t>EBY</t>
        </is>
      </c>
      <c r="N1355" s="40" t="inlineStr">
        <is>
          <t>OFFICIAL_PRIMARY</t>
        </is>
      </c>
      <c r="O1355" s="40" t="inlineStr">
        <is>
          <t>OFFICIAL_FORECAST</t>
        </is>
      </c>
      <c r="P1355" s="40" t="n">
        <v>1</v>
      </c>
      <c r="Q1355" s="40" t="n">
        <v>95</v>
      </c>
      <c r="R1355" s="40" t="inlineStr">
        <is>
          <t>https://eby.gov.py/cota-82-82-msnm-resumen-ejecutivo-n-6077-10-09-2026/</t>
        </is>
      </c>
      <c r="S1355" s="40" t="inlineStr">
        <is>
          <t>V5_CURRENT_BASELINES</t>
        </is>
      </c>
      <c r="T1355" s="40" t="n"/>
      <c r="U1355" s="40" t="inlineStr">
        <is>
          <t>2026-09-11T01:00:00-03:00</t>
        </is>
      </c>
      <c r="V1355" s="40" t="inlineStr"/>
    </row>
    <row r="1356">
      <c r="A1356" s="40" t="inlineStr">
        <is>
          <t>V5_0015</t>
        </is>
      </c>
      <c r="B1356" s="40" t="inlineStr">
        <is>
          <t>2026-09-10</t>
        </is>
      </c>
      <c r="C1356" s="40" t="inlineStr">
        <is>
          <t>2026-09-10</t>
        </is>
      </c>
      <c r="D1356" s="40" t="inlineStr">
        <is>
          <t>day</t>
        </is>
      </c>
      <c r="E1356" s="40" t="inlineStr">
        <is>
          <t>YACYRETA_ANACUA_FLOW</t>
        </is>
      </c>
      <c r="F1356" s="40" t="inlineStr">
        <is>
          <t>YACYRETA</t>
        </is>
      </c>
      <c r="G1356" s="40" t="n"/>
      <c r="H1356" s="40" t="n"/>
      <c r="I1356" s="40" t="n">
        <v>1000</v>
      </c>
      <c r="J1356" s="40" t="inlineStr">
        <is>
          <t>m3/s</t>
        </is>
      </c>
      <c r="K1356" s="40" t="n">
        <v>1000</v>
      </c>
      <c r="L1356" s="40" t="inlineStr">
        <is>
          <t>m3/s</t>
        </is>
      </c>
      <c r="M1356" s="40" t="inlineStr">
        <is>
          <t>EBY</t>
        </is>
      </c>
      <c r="N1356" s="40" t="inlineStr">
        <is>
          <t>OFFICIAL_PRIMARY</t>
        </is>
      </c>
      <c r="O1356" s="40" t="inlineStr">
        <is>
          <t>OFFICIAL_OPERATIONAL</t>
        </is>
      </c>
      <c r="P1356" s="40" t="n">
        <v>1</v>
      </c>
      <c r="Q1356" s="40" t="n">
        <v>95</v>
      </c>
      <c r="R1356" s="40" t="inlineStr">
        <is>
          <t>https://eby.gov.py/cota-82-82-msnm-resumen-ejecutivo-n-6077-10-09-2026/</t>
        </is>
      </c>
      <c r="S1356" s="40" t="inlineStr">
        <is>
          <t>V5_CURRENT_BASELINES</t>
        </is>
      </c>
      <c r="T1356" s="40" t="n"/>
      <c r="U1356" s="40" t="inlineStr">
        <is>
          <t>2026-09-11T01:00:00-03:00</t>
        </is>
      </c>
      <c r="V1356" s="40" t="inlineStr">
        <is>
          <t>Brazo Ana Cua spillway.</t>
        </is>
      </c>
    </row>
    <row r="1357">
      <c r="A1357" s="40" t="inlineStr">
        <is>
          <t>V5_0016</t>
        </is>
      </c>
      <c r="B1357" s="40" t="inlineStr">
        <is>
          <t>2026-09-10</t>
        </is>
      </c>
      <c r="C1357" s="40" t="inlineStr">
        <is>
          <t>2026-09-10</t>
        </is>
      </c>
      <c r="D1357" s="40" t="inlineStr">
        <is>
          <t>day</t>
        </is>
      </c>
      <c r="E1357" s="40" t="inlineStr">
        <is>
          <t>AYOLAS_RIVER_LEVEL</t>
        </is>
      </c>
      <c r="F1357" s="40" t="inlineStr">
        <is>
          <t>AYOLAS</t>
        </is>
      </c>
      <c r="G1357" s="40" t="n"/>
      <c r="H1357" s="40" t="n"/>
      <c r="I1357" s="40" t="n">
        <v>1.8</v>
      </c>
      <c r="J1357" s="40" t="inlineStr">
        <is>
          <t>m</t>
        </is>
      </c>
      <c r="K1357" s="40" t="n">
        <v>1.8</v>
      </c>
      <c r="L1357" s="40" t="inlineStr">
        <is>
          <t>m</t>
        </is>
      </c>
      <c r="M1357" s="40" t="inlineStr">
        <is>
          <t>EBY</t>
        </is>
      </c>
      <c r="N1357" s="40" t="inlineStr">
        <is>
          <t>OFFICIAL_PRIMARY</t>
        </is>
      </c>
      <c r="O1357" s="40" t="inlineStr">
        <is>
          <t>OFFICIAL_MEASURED</t>
        </is>
      </c>
      <c r="P1357" s="40" t="n">
        <v>1</v>
      </c>
      <c r="Q1357" s="40" t="n">
        <v>95</v>
      </c>
      <c r="R1357" s="40" t="inlineStr">
        <is>
          <t>https://eby.gov.py/cota-82-82-msnm-resumen-ejecutivo-n-6077-10-09-2026/</t>
        </is>
      </c>
      <c r="S1357" s="40" t="inlineStr">
        <is>
          <t>V5_CURRENT_BASELINES</t>
        </is>
      </c>
      <c r="T1357" s="40" t="n"/>
      <c r="U1357" s="40" t="inlineStr">
        <is>
          <t>2026-09-11T01:00:00-03:00</t>
        </is>
      </c>
      <c r="V1357" s="40" t="inlineStr"/>
    </row>
    <row r="1358">
      <c r="A1358" s="40" t="inlineStr">
        <is>
          <t>V5_0017</t>
        </is>
      </c>
      <c r="B1358" s="40" t="inlineStr">
        <is>
          <t>2026-09-10</t>
        </is>
      </c>
      <c r="C1358" s="40" t="inlineStr">
        <is>
          <t>2026-09-10</t>
        </is>
      </c>
      <c r="D1358" s="40" t="inlineStr">
        <is>
          <t>02:00</t>
        </is>
      </c>
      <c r="E1358" s="40" t="inlineStr">
        <is>
          <t>ITUZAINGO_RIVER_LEVEL</t>
        </is>
      </c>
      <c r="F1358" s="40" t="inlineStr">
        <is>
          <t>ITUZAINGO</t>
        </is>
      </c>
      <c r="G1358" s="40" t="n"/>
      <c r="H1358" s="40" t="n"/>
      <c r="I1358" s="40" t="n">
        <v>1.6</v>
      </c>
      <c r="J1358" s="40" t="inlineStr">
        <is>
          <t>m</t>
        </is>
      </c>
      <c r="K1358" s="40" t="n">
        <v>1.6</v>
      </c>
      <c r="L1358" s="40" t="inlineStr">
        <is>
          <t>m</t>
        </is>
      </c>
      <c r="M1358" s="40" t="inlineStr">
        <is>
          <t>EBY</t>
        </is>
      </c>
      <c r="N1358" s="40" t="inlineStr">
        <is>
          <t>OFFICIAL_PRIMARY</t>
        </is>
      </c>
      <c r="O1358" s="40" t="inlineStr">
        <is>
          <t>OFFICIAL_MEASURED</t>
        </is>
      </c>
      <c r="P1358" s="40" t="n">
        <v>1</v>
      </c>
      <c r="Q1358" s="40" t="n">
        <v>95</v>
      </c>
      <c r="R1358" s="40" t="inlineStr">
        <is>
          <t>https://eby.gov.py/cota-82-82-msnm-resumen-ejecutivo-n-6077-10-09-2026/</t>
        </is>
      </c>
      <c r="S1358" s="40" t="inlineStr">
        <is>
          <t>V5_CURRENT_BASELINES</t>
        </is>
      </c>
      <c r="T1358" s="40" t="n"/>
      <c r="U1358" s="40" t="inlineStr">
        <is>
          <t>2026-09-11T01:00:00-03:00</t>
        </is>
      </c>
      <c r="V1358" s="40" t="inlineStr"/>
    </row>
    <row r="1359">
      <c r="A1359" s="40" t="inlineStr">
        <is>
          <t>V5_0018</t>
        </is>
      </c>
      <c r="B1359" s="40" t="inlineStr">
        <is>
          <t>2025-01-01</t>
        </is>
      </c>
      <c r="C1359" s="40" t="inlineStr">
        <is>
          <t>2025-12-31</t>
        </is>
      </c>
      <c r="D1359" s="40" t="inlineStr">
        <is>
          <t>year</t>
        </is>
      </c>
      <c r="E1359" s="40" t="inlineStr">
        <is>
          <t>PY_SIN_ENERGY_CONSUMPTION</t>
        </is>
      </c>
      <c r="F1359" s="40" t="inlineStr">
        <is>
          <t>PY_SIN</t>
        </is>
      </c>
      <c r="G1359" s="40" t="n"/>
      <c r="H1359" s="40" t="n"/>
      <c r="I1359" s="40" t="n">
        <v>29418538</v>
      </c>
      <c r="J1359" s="40" t="inlineStr">
        <is>
          <t>MWh</t>
        </is>
      </c>
      <c r="K1359" s="40" t="n">
        <v>29418538</v>
      </c>
      <c r="L1359" s="40" t="inlineStr">
        <is>
          <t>MWh</t>
        </is>
      </c>
      <c r="M1359" s="40" t="inlineStr">
        <is>
          <t>ANDE</t>
        </is>
      </c>
      <c r="N1359" s="40" t="inlineStr">
        <is>
          <t>OFFICIAL_PRIMARY</t>
        </is>
      </c>
      <c r="O1359" s="40" t="inlineStr">
        <is>
          <t>OFFICIAL_AGGREGATE</t>
        </is>
      </c>
      <c r="P1359" s="40" t="n">
        <v>1</v>
      </c>
      <c r="Q1359" s="40" t="n">
        <v>95</v>
      </c>
      <c r="R1359" s="40" t="inlineStr">
        <is>
          <t>https://www.ande.gov.py/finanzas/BAGP%202025%20ANDE.pdf</t>
        </is>
      </c>
      <c r="S1359" s="40" t="inlineStr">
        <is>
          <t>V5_CURRENT_BASELINES</t>
        </is>
      </c>
      <c r="T1359" s="40" t="n"/>
      <c r="U1359" s="40" t="inlineStr">
        <is>
          <t>2026-09-11T01:00:00-03:00</t>
        </is>
      </c>
      <c r="V1359" s="40" t="inlineStr"/>
    </row>
    <row r="1360">
      <c r="A1360" s="40" t="inlineStr">
        <is>
          <t>V5_0019</t>
        </is>
      </c>
      <c r="B1360" s="40" t="inlineStr">
        <is>
          <t>2025-01-01</t>
        </is>
      </c>
      <c r="C1360" s="40" t="inlineStr">
        <is>
          <t>2025-12-31</t>
        </is>
      </c>
      <c r="D1360" s="40" t="inlineStr">
        <is>
          <t>year</t>
        </is>
      </c>
      <c r="E1360" s="40" t="inlineStr">
        <is>
          <t>PY_SIN_MAX_DEMAND</t>
        </is>
      </c>
      <c r="F1360" s="40" t="inlineStr">
        <is>
          <t>PY_SIN</t>
        </is>
      </c>
      <c r="G1360" s="40" t="n"/>
      <c r="H1360" s="40" t="n"/>
      <c r="I1360" s="40" t="n">
        <v>5280</v>
      </c>
      <c r="J1360" s="40" t="inlineStr">
        <is>
          <t>MW</t>
        </is>
      </c>
      <c r="K1360" s="40" t="n">
        <v>5280</v>
      </c>
      <c r="L1360" s="40" t="inlineStr">
        <is>
          <t>MW</t>
        </is>
      </c>
      <c r="M1360" s="40" t="inlineStr">
        <is>
          <t>ANDE</t>
        </is>
      </c>
      <c r="N1360" s="40" t="inlineStr">
        <is>
          <t>OFFICIAL_PRIMARY</t>
        </is>
      </c>
      <c r="O1360" s="40" t="inlineStr">
        <is>
          <t>OFFICIAL_AGGREGATE</t>
        </is>
      </c>
      <c r="P1360" s="40" t="n">
        <v>1</v>
      </c>
      <c r="Q1360" s="40" t="n">
        <v>95</v>
      </c>
      <c r="R1360" s="40" t="inlineStr">
        <is>
          <t>https://www.ande.gov.py/finanzas/BAGP%202025%20ANDE.pdf</t>
        </is>
      </c>
      <c r="S1360" s="40" t="inlineStr">
        <is>
          <t>V5_CURRENT_BASELINES</t>
        </is>
      </c>
      <c r="T1360" s="40" t="n"/>
      <c r="U1360" s="40" t="inlineStr">
        <is>
          <t>2026-09-11T01:00:00-03:00</t>
        </is>
      </c>
      <c r="V1360" s="40" t="inlineStr"/>
    </row>
    <row r="1361">
      <c r="A1361" s="40" t="inlineStr">
        <is>
          <t>V5_0020</t>
        </is>
      </c>
      <c r="B1361" s="40" t="inlineStr">
        <is>
          <t>2025-01-01</t>
        </is>
      </c>
      <c r="C1361" s="40" t="inlineStr">
        <is>
          <t>2025-12-31</t>
        </is>
      </c>
      <c r="D1361" s="40" t="inlineStr">
        <is>
          <t>year</t>
        </is>
      </c>
      <c r="E1361" s="40" t="inlineStr">
        <is>
          <t>PY_SIN_LOAD_FACTOR</t>
        </is>
      </c>
      <c r="F1361" s="40" t="inlineStr">
        <is>
          <t>PY_SIN</t>
        </is>
      </c>
      <c r="G1361" s="40" t="n"/>
      <c r="H1361" s="40" t="n"/>
      <c r="I1361" s="40" t="n">
        <v>63.6</v>
      </c>
      <c r="J1361" s="40" t="inlineStr">
        <is>
          <t>percent</t>
        </is>
      </c>
      <c r="K1361" s="40" t="n">
        <v>63.6</v>
      </c>
      <c r="L1361" s="40" t="inlineStr">
        <is>
          <t>percent</t>
        </is>
      </c>
      <c r="M1361" s="40" t="inlineStr">
        <is>
          <t>ANDE</t>
        </is>
      </c>
      <c r="N1361" s="40" t="inlineStr">
        <is>
          <t>OFFICIAL_PRIMARY</t>
        </is>
      </c>
      <c r="O1361" s="40" t="inlineStr">
        <is>
          <t>OFFICIAL_AGGREGATE</t>
        </is>
      </c>
      <c r="P1361" s="40" t="n">
        <v>1</v>
      </c>
      <c r="Q1361" s="40" t="n">
        <v>95</v>
      </c>
      <c r="R1361" s="40" t="inlineStr">
        <is>
          <t>https://www.ande.gov.py/finanzas/BAGP%202025%20ANDE.pdf</t>
        </is>
      </c>
      <c r="S1361" s="40" t="inlineStr">
        <is>
          <t>V5_CURRENT_BASELINES</t>
        </is>
      </c>
      <c r="T1361" s="40" t="n"/>
      <c r="U1361" s="40" t="inlineStr">
        <is>
          <t>2026-09-11T01:00:00-03:00</t>
        </is>
      </c>
      <c r="V1361" s="40" t="inlineStr"/>
    </row>
    <row r="1362">
      <c r="A1362" s="40" t="inlineStr">
        <is>
          <t>V5_0021</t>
        </is>
      </c>
      <c r="B1362" s="40" t="inlineStr">
        <is>
          <t>2025-01-01</t>
        </is>
      </c>
      <c r="C1362" s="40" t="inlineStr">
        <is>
          <t>2025-12-31</t>
        </is>
      </c>
      <c r="D1362" s="40" t="inlineStr">
        <is>
          <t>year</t>
        </is>
      </c>
      <c r="E1362" s="40" t="inlineStr">
        <is>
          <t>ANDE_TOTAL_LOSS_RATE</t>
        </is>
      </c>
      <c r="F1362" s="40" t="inlineStr">
        <is>
          <t>PY_GRID</t>
        </is>
      </c>
      <c r="G1362" s="40" t="n"/>
      <c r="H1362" s="40" t="n"/>
      <c r="I1362" s="40" t="n">
        <v>24.4</v>
      </c>
      <c r="J1362" s="40" t="inlineStr">
        <is>
          <t>percent</t>
        </is>
      </c>
      <c r="K1362" s="40" t="n">
        <v>24.4</v>
      </c>
      <c r="L1362" s="40" t="inlineStr">
        <is>
          <t>percent</t>
        </is>
      </c>
      <c r="M1362" s="40" t="inlineStr">
        <is>
          <t>ANDE</t>
        </is>
      </c>
      <c r="N1362" s="40" t="inlineStr">
        <is>
          <t>OFFICIAL_PRIMARY</t>
        </is>
      </c>
      <c r="O1362" s="40" t="inlineStr">
        <is>
          <t>OFFICIAL_AGGREGATE</t>
        </is>
      </c>
      <c r="P1362" s="40" t="n">
        <v>1</v>
      </c>
      <c r="Q1362" s="40" t="n">
        <v>95</v>
      </c>
      <c r="R1362" s="40" t="inlineStr">
        <is>
          <t>https://www.ande.gov.py/finanzas/BAGP%202025%20ANDE.pdf</t>
        </is>
      </c>
      <c r="S1362" s="40" t="inlineStr">
        <is>
          <t>V5_CURRENT_BASELINES</t>
        </is>
      </c>
      <c r="T1362" s="40" t="n"/>
      <c r="U1362" s="40" t="inlineStr">
        <is>
          <t>2026-09-11T01:00:00-03:00</t>
        </is>
      </c>
      <c r="V1362" s="40" t="inlineStr">
        <is>
          <t>BAGP annual canonical figure. ANDE news rounds this to 24.5%.</t>
        </is>
      </c>
    </row>
    <row r="1363">
      <c r="A1363" s="40" t="inlineStr">
        <is>
          <t>V5_0022</t>
        </is>
      </c>
      <c r="B1363" s="40" t="inlineStr">
        <is>
          <t>2025-01-01</t>
        </is>
      </c>
      <c r="C1363" s="40" t="inlineStr">
        <is>
          <t>2025-12-31</t>
        </is>
      </c>
      <c r="D1363" s="40" t="inlineStr">
        <is>
          <t>year</t>
        </is>
      </c>
      <c r="E1363" s="40" t="inlineStr">
        <is>
          <t>ANDE_DISTRIBUTION_LOSS_RATE</t>
        </is>
      </c>
      <c r="F1363" s="40" t="inlineStr">
        <is>
          <t>PY_GRID</t>
        </is>
      </c>
      <c r="G1363" s="40" t="n"/>
      <c r="H1363" s="40" t="n"/>
      <c r="I1363" s="40" t="n">
        <v>20.03</v>
      </c>
      <c r="J1363" s="40" t="inlineStr">
        <is>
          <t>percent</t>
        </is>
      </c>
      <c r="K1363" s="40" t="n">
        <v>20.03</v>
      </c>
      <c r="L1363" s="40" t="inlineStr">
        <is>
          <t>percent</t>
        </is>
      </c>
      <c r="M1363" s="40" t="inlineStr">
        <is>
          <t>ANDE</t>
        </is>
      </c>
      <c r="N1363" s="40" t="inlineStr">
        <is>
          <t>OFFICIAL_PRIMARY</t>
        </is>
      </c>
      <c r="O1363" s="40" t="inlineStr">
        <is>
          <t>OFFICIAL_RELEASE</t>
        </is>
      </c>
      <c r="P1363" s="40" t="n">
        <v>1</v>
      </c>
      <c r="Q1363" s="40" t="n">
        <v>95</v>
      </c>
      <c r="R1363" s="40" t="inlineStr">
        <is>
          <t>https://www.ande.gov.py/interna.php?id=15116</t>
        </is>
      </c>
      <c r="S1363" s="40" t="inlineStr">
        <is>
          <t>V5_CURRENT_BASELINES</t>
        </is>
      </c>
      <c r="T1363" s="40" t="n"/>
      <c r="U1363" s="40" t="inlineStr">
        <is>
          <t>2026-09-11T01:00:00-03:00</t>
        </is>
      </c>
      <c r="V1363" s="40" t="inlineStr"/>
    </row>
    <row r="1364">
      <c r="A1364" s="40" t="inlineStr">
        <is>
          <t>V5_0023</t>
        </is>
      </c>
      <c r="B1364" s="40" t="inlineStr">
        <is>
          <t>2024-12-01</t>
        </is>
      </c>
      <c r="C1364" s="40" t="inlineStr">
        <is>
          <t>2025-03-31</t>
        </is>
      </c>
      <c r="D1364" s="40" t="inlineStr">
        <is>
          <t>season</t>
        </is>
      </c>
      <c r="E1364" s="40" t="inlineStr">
        <is>
          <t>DEP_METROPOLITAN_SUMMER</t>
        </is>
      </c>
      <c r="F1364" s="40" t="inlineStr">
        <is>
          <t>PY_GRID_METRO</t>
        </is>
      </c>
      <c r="G1364" s="40" t="n"/>
      <c r="H1364" s="40" t="n"/>
      <c r="I1364" s="40" t="n">
        <v>2.44</v>
      </c>
      <c r="J1364" s="40" t="inlineStr">
        <is>
          <t>hours</t>
        </is>
      </c>
      <c r="K1364" s="40" t="n">
        <v>2.44</v>
      </c>
      <c r="L1364" s="40" t="inlineStr">
        <is>
          <t>hours</t>
        </is>
      </c>
      <c r="M1364" s="40" t="inlineStr">
        <is>
          <t>ANDE</t>
        </is>
      </c>
      <c r="N1364" s="40" t="inlineStr">
        <is>
          <t>OFFICIAL_PRIMARY</t>
        </is>
      </c>
      <c r="O1364" s="40" t="inlineStr">
        <is>
          <t>OFFICIAL_RELEASE</t>
        </is>
      </c>
      <c r="P1364" s="40" t="n">
        <v>1</v>
      </c>
      <c r="Q1364" s="40" t="n">
        <v>95</v>
      </c>
      <c r="R1364" s="40" t="inlineStr">
        <is>
          <t>https://www.ande.gov.py/interna.php?id=13680</t>
        </is>
      </c>
      <c r="S1364" s="40" t="inlineStr">
        <is>
          <t>V5_CURRENT_BASELINES</t>
        </is>
      </c>
      <c r="T1364" s="40" t="n"/>
      <c r="U1364" s="40" t="inlineStr">
        <is>
          <t>2026-09-11T01:00:00-03:00</t>
        </is>
      </c>
      <c r="V1364" s="40" t="inlineStr"/>
    </row>
    <row r="1365">
      <c r="A1365" s="40" t="inlineStr">
        <is>
          <t>V5_0024</t>
        </is>
      </c>
      <c r="B1365" s="40" t="inlineStr">
        <is>
          <t>2024-12-01</t>
        </is>
      </c>
      <c r="C1365" s="40" t="inlineStr">
        <is>
          <t>2025-03-31</t>
        </is>
      </c>
      <c r="D1365" s="40" t="inlineStr">
        <is>
          <t>season</t>
        </is>
      </c>
      <c r="E1365" s="40" t="inlineStr">
        <is>
          <t>FEP_METROPOLITAN_SUMMER</t>
        </is>
      </c>
      <c r="F1365" s="40" t="inlineStr">
        <is>
          <t>PY_GRID_METRO</t>
        </is>
      </c>
      <c r="G1365" s="40" t="n"/>
      <c r="H1365" s="40" t="n"/>
      <c r="I1365" s="40" t="n">
        <v>3.79</v>
      </c>
      <c r="J1365" s="40" t="inlineStr">
        <is>
          <t>interruptions_equivalent</t>
        </is>
      </c>
      <c r="K1365" s="40" t="n">
        <v>3.79</v>
      </c>
      <c r="L1365" s="40" t="inlineStr">
        <is>
          <t>interruptions_equivalent</t>
        </is>
      </c>
      <c r="M1365" s="40" t="inlineStr">
        <is>
          <t>ANDE</t>
        </is>
      </c>
      <c r="N1365" s="40" t="inlineStr">
        <is>
          <t>OFFICIAL_PRIMARY</t>
        </is>
      </c>
      <c r="O1365" s="40" t="inlineStr">
        <is>
          <t>OFFICIAL_RELEASE</t>
        </is>
      </c>
      <c r="P1365" s="40" t="n">
        <v>1</v>
      </c>
      <c r="Q1365" s="40" t="n">
        <v>95</v>
      </c>
      <c r="R1365" s="40" t="inlineStr">
        <is>
          <t>https://www.ande.gov.py/interna.php?id=13680</t>
        </is>
      </c>
      <c r="S1365" s="40" t="inlineStr">
        <is>
          <t>V5_CURRENT_BASELINES</t>
        </is>
      </c>
      <c r="T1365" s="40" t="n"/>
      <c r="U1365" s="40" t="inlineStr">
        <is>
          <t>2026-09-11T01:00:00-03:00</t>
        </is>
      </c>
      <c r="V1365" s="40" t="inlineStr"/>
    </row>
    <row r="1366">
      <c r="A1366" s="40" t="inlineStr">
        <is>
          <t>V5_0025</t>
        </is>
      </c>
      <c r="B1366" s="40" t="inlineStr">
        <is>
          <t>2025-01-01</t>
        </is>
      </c>
      <c r="C1366" s="40" t="inlineStr">
        <is>
          <t>2025-12-31</t>
        </is>
      </c>
      <c r="D1366" s="40" t="inlineStr">
        <is>
          <t>year</t>
        </is>
      </c>
      <c r="E1366" s="40" t="inlineStr">
        <is>
          <t>TARIFA_SOCIAL_SUBSIDY_TOTAL</t>
        </is>
      </c>
      <c r="F1366" s="40" t="inlineStr">
        <is>
          <t>PY_HOUSEHOLDS</t>
        </is>
      </c>
      <c r="G1366" s="40" t="n"/>
      <c r="H1366" s="40" t="n"/>
      <c r="I1366" s="40" t="n">
        <v>50185</v>
      </c>
      <c r="J1366" s="40" t="inlineStr">
        <is>
          <t>million_PYG</t>
        </is>
      </c>
      <c r="K1366" s="40" t="n">
        <v>50185</v>
      </c>
      <c r="L1366" s="40" t="inlineStr">
        <is>
          <t>million_PYG</t>
        </is>
      </c>
      <c r="M1366" s="40" t="inlineStr">
        <is>
          <t>ANDE</t>
        </is>
      </c>
      <c r="N1366" s="40" t="inlineStr">
        <is>
          <t>OFFICIAL_PRIMARY</t>
        </is>
      </c>
      <c r="O1366" s="40" t="inlineStr">
        <is>
          <t>OFFICIAL_AGGREGATE</t>
        </is>
      </c>
      <c r="P1366" s="40" t="n">
        <v>1</v>
      </c>
      <c r="Q1366" s="40" t="n">
        <v>95</v>
      </c>
      <c r="R1366" s="40" t="inlineStr">
        <is>
          <t>https://www.ande.gov.py/finanzas/BAGP%202025%20ANDE.pdf</t>
        </is>
      </c>
      <c r="S1366" s="40" t="inlineStr">
        <is>
          <t>V5_CURRENT_BASELINES</t>
        </is>
      </c>
      <c r="T1366" s="40" t="n"/>
      <c r="U1366" s="40" t="inlineStr">
        <is>
          <t>2026-09-11T01:00:00-03:00</t>
        </is>
      </c>
      <c r="V1366" s="40" t="inlineStr"/>
    </row>
    <row r="1367">
      <c r="A1367" s="40" t="inlineStr">
        <is>
          <t>V5_0026</t>
        </is>
      </c>
      <c r="B1367" s="40" t="inlineStr">
        <is>
          <t>2025-01-01</t>
        </is>
      </c>
      <c r="C1367" s="40" t="inlineStr">
        <is>
          <t>2025-12-31</t>
        </is>
      </c>
      <c r="D1367" s="40" t="inlineStr">
        <is>
          <t>year_avg</t>
        </is>
      </c>
      <c r="E1367" s="40" t="inlineStr">
        <is>
          <t>TARIFA_SOCIAL_SUBSIDY_MONTHLY_AVG</t>
        </is>
      </c>
      <c r="F1367" s="40" t="inlineStr">
        <is>
          <t>PY_HOUSEHOLDS</t>
        </is>
      </c>
      <c r="G1367" s="40" t="n"/>
      <c r="H1367" s="40" t="n"/>
      <c r="I1367" s="40" t="n">
        <v>4182</v>
      </c>
      <c r="J1367" s="40" t="inlineStr">
        <is>
          <t>million_PYG/month</t>
        </is>
      </c>
      <c r="K1367" s="40" t="n">
        <v>4182</v>
      </c>
      <c r="L1367" s="40" t="inlineStr">
        <is>
          <t>million_PYG/month</t>
        </is>
      </c>
      <c r="M1367" s="40" t="inlineStr">
        <is>
          <t>ANDE</t>
        </is>
      </c>
      <c r="N1367" s="40" t="inlineStr">
        <is>
          <t>OFFICIAL_PRIMARY</t>
        </is>
      </c>
      <c r="O1367" s="40" t="inlineStr">
        <is>
          <t>OFFICIAL_AGGREGATE</t>
        </is>
      </c>
      <c r="P1367" s="40" t="n">
        <v>1</v>
      </c>
      <c r="Q1367" s="40" t="n">
        <v>95</v>
      </c>
      <c r="R1367" s="40" t="inlineStr">
        <is>
          <t>https://www.ande.gov.py/finanzas/BAGP%202025%20ANDE.pdf</t>
        </is>
      </c>
      <c r="S1367" s="40" t="inlineStr">
        <is>
          <t>V5_CURRENT_BASELINES</t>
        </is>
      </c>
      <c r="T1367" s="40" t="n"/>
      <c r="U1367" s="40" t="inlineStr">
        <is>
          <t>2026-09-11T01:00:00-03:00</t>
        </is>
      </c>
      <c r="V1367" s="40" t="inlineStr">
        <is>
          <t>Published average in BAGP.</t>
        </is>
      </c>
    </row>
    <row r="1368">
      <c r="A1368" s="40" t="inlineStr">
        <is>
          <t>V5_0027</t>
        </is>
      </c>
      <c r="B1368" s="40" t="inlineStr">
        <is>
          <t>2024-01-01</t>
        </is>
      </c>
      <c r="C1368" s="40" t="inlineStr">
        <is>
          <t>2025-12-31</t>
        </is>
      </c>
      <c r="D1368" s="40" t="inlineStr">
        <is>
          <t>2y</t>
        </is>
      </c>
      <c r="E1368" s="40" t="inlineStr">
        <is>
          <t>ILLEGAL_CRYPTO_POWER_INTERVENED</t>
        </is>
      </c>
      <c r="F1368" s="40" t="inlineStr">
        <is>
          <t>PY_GRID</t>
        </is>
      </c>
      <c r="G1368" s="40" t="n"/>
      <c r="H1368" s="40" t="n"/>
      <c r="I1368" s="40" t="n">
        <v>91.8</v>
      </c>
      <c r="J1368" s="40" t="inlineStr">
        <is>
          <t>MW</t>
        </is>
      </c>
      <c r="K1368" s="40" t="n">
        <v>91.8</v>
      </c>
      <c r="L1368" s="40" t="inlineStr">
        <is>
          <t>MW</t>
        </is>
      </c>
      <c r="M1368" s="40" t="inlineStr">
        <is>
          <t>ANDE</t>
        </is>
      </c>
      <c r="N1368" s="40" t="inlineStr">
        <is>
          <t>OFFICIAL_PRIMARY</t>
        </is>
      </c>
      <c r="O1368" s="40" t="inlineStr">
        <is>
          <t>OFFICIAL_RELEASE</t>
        </is>
      </c>
      <c r="P1368" s="40" t="n">
        <v>1</v>
      </c>
      <c r="Q1368" s="40" t="n">
        <v>95</v>
      </c>
      <c r="R1368" s="40" t="inlineStr">
        <is>
          <t>https://www.ande.gov.py/interna.php?id=15116</t>
        </is>
      </c>
      <c r="S1368" s="40" t="inlineStr">
        <is>
          <t>V5_CURRENT_BASELINES</t>
        </is>
      </c>
      <c r="T1368" s="40" t="n"/>
      <c r="U1368" s="40" t="inlineStr">
        <is>
          <t>2026-09-11T01:00:00-03:00</t>
        </is>
      </c>
      <c r="V1368" s="40" t="inlineStr">
        <is>
          <t>37 illegal crypto farms intervened in 2024-2025.</t>
        </is>
      </c>
    </row>
    <row r="1369">
      <c r="A1369" s="40" t="inlineStr">
        <is>
          <t>V5_0028</t>
        </is>
      </c>
      <c r="B1369" s="40" t="inlineStr">
        <is>
          <t>2024-01-01</t>
        </is>
      </c>
      <c r="C1369" s="40" t="inlineStr">
        <is>
          <t>2025-12-31</t>
        </is>
      </c>
      <c r="D1369" s="40" t="inlineStr">
        <is>
          <t>2y_context</t>
        </is>
      </c>
      <c r="E1369" s="40" t="inlineStr">
        <is>
          <t>ILLEGAL_CRYPTO_AVOIDED_LOSS_MONTHLY</t>
        </is>
      </c>
      <c r="F1369" s="40" t="inlineStr">
        <is>
          <t>PY_GRID</t>
        </is>
      </c>
      <c r="G1369" s="40" t="n"/>
      <c r="H1369" s="40" t="n"/>
      <c r="I1369" s="40" t="n">
        <v>18600</v>
      </c>
      <c r="J1369" s="40" t="inlineStr">
        <is>
          <t>million_PYG/month</t>
        </is>
      </c>
      <c r="K1369" s="40" t="n">
        <v>18600</v>
      </c>
      <c r="L1369" s="40" t="inlineStr">
        <is>
          <t>million_PYG/month</t>
        </is>
      </c>
      <c r="M1369" s="40" t="inlineStr">
        <is>
          <t>ANDE</t>
        </is>
      </c>
      <c r="N1369" s="40" t="inlineStr">
        <is>
          <t>OFFICIAL_PRIMARY</t>
        </is>
      </c>
      <c r="O1369" s="40" t="inlineStr">
        <is>
          <t>OFFICIAL_RELEASE</t>
        </is>
      </c>
      <c r="P1369" s="40" t="n">
        <v>1</v>
      </c>
      <c r="Q1369" s="40" t="n">
        <v>95</v>
      </c>
      <c r="R1369" s="40" t="inlineStr">
        <is>
          <t>https://www.ande.gov.py/interna.php?id=15116</t>
        </is>
      </c>
      <c r="S1369" s="40" t="inlineStr">
        <is>
          <t>V5_CURRENT_BASELINES</t>
        </is>
      </c>
      <c r="T1369" s="40" t="n"/>
      <c r="U1369" s="40" t="inlineStr">
        <is>
          <t>2026-09-11T01:00:00-03:00</t>
        </is>
      </c>
      <c r="V1369" s="40" t="inlineStr">
        <is>
          <t>ANDE says monthly economic harm avoided exceeds this amount.</t>
        </is>
      </c>
    </row>
    <row r="1370">
      <c r="A1370" s="40" t="inlineStr">
        <is>
          <t>V5_0029</t>
        </is>
      </c>
      <c r="B1370" s="40" t="inlineStr">
        <is>
          <t>2026-06-01</t>
        </is>
      </c>
      <c r="C1370" s="40" t="inlineStr">
        <is>
          <t>2026-06-30</t>
        </is>
      </c>
      <c r="D1370" s="40" t="inlineStr">
        <is>
          <t>month_or_YTD</t>
        </is>
      </c>
      <c r="E1370" s="40" t="inlineStr">
        <is>
          <t>IMAEP_YOY</t>
        </is>
      </c>
      <c r="F1370" s="40" t="inlineStr">
        <is>
          <t>PY_ECONOMY</t>
        </is>
      </c>
      <c r="G1370" s="40" t="n"/>
      <c r="H1370" s="40" t="n"/>
      <c r="I1370" s="40" t="n">
        <v>5.6</v>
      </c>
      <c r="J1370" s="40" t="inlineStr">
        <is>
          <t>percent</t>
        </is>
      </c>
      <c r="K1370" s="40" t="n">
        <v>5.6</v>
      </c>
      <c r="L1370" s="40" t="inlineStr">
        <is>
          <t>percent</t>
        </is>
      </c>
      <c r="M1370" s="40" t="inlineStr">
        <is>
          <t>BCP</t>
        </is>
      </c>
      <c r="N1370" s="40" t="inlineStr">
        <is>
          <t>OFFICIAL_PRIMARY</t>
        </is>
      </c>
      <c r="O1370" s="40" t="inlineStr">
        <is>
          <t>OFFICIAL_PRELIMINARY</t>
        </is>
      </c>
      <c r="P1370" s="40" t="n">
        <v>1</v>
      </c>
      <c r="Q1370" s="40" t="n">
        <v>95</v>
      </c>
      <c r="R1370" s="40" t="inlineStr">
        <is>
          <t>https://www.bcp.gov.py/documents/20117/2588253/Informe%2BIMAEP-Sectores-Junio_2026.pdf/1b25c6bf-e43c-1c91-9a58-037d4cee0653</t>
        </is>
      </c>
      <c r="S1370" s="40" t="inlineStr">
        <is>
          <t>V5_CURRENT_BASELINES</t>
        </is>
      </c>
      <c r="T1370" s="40" t="n"/>
      <c r="U1370" s="40" t="inlineStr">
        <is>
          <t>2026-09-11T01:00:00-03:00</t>
        </is>
      </c>
      <c r="V1370" s="40" t="inlineStr">
        <is>
          <t>IMAEP total interannual growth</t>
        </is>
      </c>
    </row>
    <row r="1371">
      <c r="A1371" s="40" t="inlineStr">
        <is>
          <t>V5_0030</t>
        </is>
      </c>
      <c r="B1371" s="40" t="inlineStr">
        <is>
          <t>2026-01-01</t>
        </is>
      </c>
      <c r="C1371" s="40" t="inlineStr">
        <is>
          <t>2026-06-30</t>
        </is>
      </c>
      <c r="D1371" s="40" t="inlineStr">
        <is>
          <t>month_or_YTD</t>
        </is>
      </c>
      <c r="E1371" s="40" t="inlineStr">
        <is>
          <t>IMAEP_YTD</t>
        </is>
      </c>
      <c r="F1371" s="40" t="inlineStr">
        <is>
          <t>PY_ECONOMY</t>
        </is>
      </c>
      <c r="G1371" s="40" t="n"/>
      <c r="H1371" s="40" t="n"/>
      <c r="I1371" s="40" t="n">
        <v>5.6</v>
      </c>
      <c r="J1371" s="40" t="inlineStr">
        <is>
          <t>percent</t>
        </is>
      </c>
      <c r="K1371" s="40" t="n">
        <v>5.6</v>
      </c>
      <c r="L1371" s="40" t="inlineStr">
        <is>
          <t>percent</t>
        </is>
      </c>
      <c r="M1371" s="40" t="inlineStr">
        <is>
          <t>BCP</t>
        </is>
      </c>
      <c r="N1371" s="40" t="inlineStr">
        <is>
          <t>OFFICIAL_PRIMARY</t>
        </is>
      </c>
      <c r="O1371" s="40" t="inlineStr">
        <is>
          <t>OFFICIAL_PRELIMINARY</t>
        </is>
      </c>
      <c r="P1371" s="40" t="n">
        <v>1</v>
      </c>
      <c r="Q1371" s="40" t="n">
        <v>95</v>
      </c>
      <c r="R1371" s="40" t="inlineStr">
        <is>
          <t>https://www.bcp.gov.py/documents/20117/2588253/Informe%2BIMAEP-Sectores-Junio_2026.pdf/1b25c6bf-e43c-1c91-9a58-037d4cee0653</t>
        </is>
      </c>
      <c r="S1371" s="40" t="inlineStr">
        <is>
          <t>V5_CURRENT_BASELINES</t>
        </is>
      </c>
      <c r="T1371" s="40" t="n"/>
      <c r="U1371" s="40" t="inlineStr">
        <is>
          <t>2026-09-11T01:00:00-03:00</t>
        </is>
      </c>
      <c r="V1371" s="40" t="inlineStr">
        <is>
          <t>IMAEP accumulated Jan-Jun 2026</t>
        </is>
      </c>
    </row>
    <row r="1372">
      <c r="A1372" s="40" t="inlineStr">
        <is>
          <t>V5_0031</t>
        </is>
      </c>
      <c r="B1372" s="40" t="inlineStr">
        <is>
          <t>2026-06-01</t>
        </is>
      </c>
      <c r="C1372" s="40" t="inlineStr">
        <is>
          <t>2026-06-30</t>
        </is>
      </c>
      <c r="D1372" s="40" t="inlineStr">
        <is>
          <t>month_or_YTD</t>
        </is>
      </c>
      <c r="E1372" s="40" t="inlineStr">
        <is>
          <t>IMAEP_PRIMARY_YOY</t>
        </is>
      </c>
      <c r="F1372" s="40" t="inlineStr">
        <is>
          <t>PY_ECONOMY</t>
        </is>
      </c>
      <c r="G1372" s="40" t="n"/>
      <c r="H1372" s="40" t="n"/>
      <c r="I1372" s="40" t="n">
        <v>9.4</v>
      </c>
      <c r="J1372" s="40" t="inlineStr">
        <is>
          <t>percent</t>
        </is>
      </c>
      <c r="K1372" s="40" t="n">
        <v>9.4</v>
      </c>
      <c r="L1372" s="40" t="inlineStr">
        <is>
          <t>percent</t>
        </is>
      </c>
      <c r="M1372" s="40" t="inlineStr">
        <is>
          <t>BCP</t>
        </is>
      </c>
      <c r="N1372" s="40" t="inlineStr">
        <is>
          <t>OFFICIAL_PRIMARY</t>
        </is>
      </c>
      <c r="O1372" s="40" t="inlineStr">
        <is>
          <t>OFFICIAL_PRELIMINARY</t>
        </is>
      </c>
      <c r="P1372" s="40" t="n">
        <v>1</v>
      </c>
      <c r="Q1372" s="40" t="n">
        <v>95</v>
      </c>
      <c r="R1372" s="40" t="inlineStr">
        <is>
          <t>https://www.bcp.gov.py/documents/20117/2588253/Informe%2BIMAEP-Sectores-Junio_2026.pdf/1b25c6bf-e43c-1c91-9a58-037d4cee0653</t>
        </is>
      </c>
      <c r="S1372" s="40" t="inlineStr">
        <is>
          <t>V5_CURRENT_BASELINES</t>
        </is>
      </c>
      <c r="T1372" s="40" t="n"/>
      <c r="U1372" s="40" t="inlineStr">
        <is>
          <t>2026-09-11T01:00:00-03:00</t>
        </is>
      </c>
      <c r="V1372" s="40" t="inlineStr">
        <is>
          <t>Primary sector interannual</t>
        </is>
      </c>
    </row>
    <row r="1373">
      <c r="A1373" s="40" t="inlineStr">
        <is>
          <t>V5_0032</t>
        </is>
      </c>
      <c r="B1373" s="40" t="inlineStr">
        <is>
          <t>2026-01-01</t>
        </is>
      </c>
      <c r="C1373" s="40" t="inlineStr">
        <is>
          <t>2026-06-30</t>
        </is>
      </c>
      <c r="D1373" s="40" t="inlineStr">
        <is>
          <t>month_or_YTD</t>
        </is>
      </c>
      <c r="E1373" s="40" t="inlineStr">
        <is>
          <t>IMAEP_PRIMARY_YTD</t>
        </is>
      </c>
      <c r="F1373" s="40" t="inlineStr">
        <is>
          <t>PY_ECONOMY</t>
        </is>
      </c>
      <c r="G1373" s="40" t="n"/>
      <c r="H1373" s="40" t="n"/>
      <c r="I1373" s="40" t="n">
        <v>9.800000000000001</v>
      </c>
      <c r="J1373" s="40" t="inlineStr">
        <is>
          <t>percent</t>
        </is>
      </c>
      <c r="K1373" s="40" t="n">
        <v>9.800000000000001</v>
      </c>
      <c r="L1373" s="40" t="inlineStr">
        <is>
          <t>percent</t>
        </is>
      </c>
      <c r="M1373" s="40" t="inlineStr">
        <is>
          <t>BCP</t>
        </is>
      </c>
      <c r="N1373" s="40" t="inlineStr">
        <is>
          <t>OFFICIAL_PRIMARY</t>
        </is>
      </c>
      <c r="O1373" s="40" t="inlineStr">
        <is>
          <t>OFFICIAL_PRELIMINARY</t>
        </is>
      </c>
      <c r="P1373" s="40" t="n">
        <v>1</v>
      </c>
      <c r="Q1373" s="40" t="n">
        <v>95</v>
      </c>
      <c r="R1373" s="40" t="inlineStr">
        <is>
          <t>https://www.bcp.gov.py/documents/20117/2588253/Informe%2BIMAEP-Sectores-Junio_2026.pdf/1b25c6bf-e43c-1c91-9a58-037d4cee0653</t>
        </is>
      </c>
      <c r="S1373" s="40" t="inlineStr">
        <is>
          <t>V5_CURRENT_BASELINES</t>
        </is>
      </c>
      <c r="T1373" s="40" t="n"/>
      <c r="U1373" s="40" t="inlineStr">
        <is>
          <t>2026-09-11T01:00:00-03:00</t>
        </is>
      </c>
      <c r="V1373" s="40" t="inlineStr">
        <is>
          <t>Primary sector accumulated</t>
        </is>
      </c>
    </row>
    <row r="1374">
      <c r="A1374" s="40" t="inlineStr">
        <is>
          <t>V5_0033</t>
        </is>
      </c>
      <c r="B1374" s="40" t="inlineStr">
        <is>
          <t>2026-06-01</t>
        </is>
      </c>
      <c r="C1374" s="40" t="inlineStr">
        <is>
          <t>2026-06-30</t>
        </is>
      </c>
      <c r="D1374" s="40" t="inlineStr">
        <is>
          <t>month_or_YTD</t>
        </is>
      </c>
      <c r="E1374" s="40" t="inlineStr">
        <is>
          <t>IMAEP_SECONDARY_YOY</t>
        </is>
      </c>
      <c r="F1374" s="40" t="inlineStr">
        <is>
          <t>PY_ECONOMY</t>
        </is>
      </c>
      <c r="G1374" s="40" t="n"/>
      <c r="H1374" s="40" t="n"/>
      <c r="I1374" s="40" t="n">
        <v>5.6</v>
      </c>
      <c r="J1374" s="40" t="inlineStr">
        <is>
          <t>percent</t>
        </is>
      </c>
      <c r="K1374" s="40" t="n">
        <v>5.6</v>
      </c>
      <c r="L1374" s="40" t="inlineStr">
        <is>
          <t>percent</t>
        </is>
      </c>
      <c r="M1374" s="40" t="inlineStr">
        <is>
          <t>BCP</t>
        </is>
      </c>
      <c r="N1374" s="40" t="inlineStr">
        <is>
          <t>OFFICIAL_PRIMARY</t>
        </is>
      </c>
      <c r="O1374" s="40" t="inlineStr">
        <is>
          <t>OFFICIAL_PRELIMINARY</t>
        </is>
      </c>
      <c r="P1374" s="40" t="n">
        <v>1</v>
      </c>
      <c r="Q1374" s="40" t="n">
        <v>95</v>
      </c>
      <c r="R1374" s="40" t="inlineStr">
        <is>
          <t>https://www.bcp.gov.py/documents/20117/2588253/Informe%2BIMAEP-Sectores-Junio_2026.pdf/1b25c6bf-e43c-1c91-9a58-037d4cee0653</t>
        </is>
      </c>
      <c r="S1374" s="40" t="inlineStr">
        <is>
          <t>V5_CURRENT_BASELINES</t>
        </is>
      </c>
      <c r="T1374" s="40" t="n"/>
      <c r="U1374" s="40" t="inlineStr">
        <is>
          <t>2026-09-11T01:00:00-03:00</t>
        </is>
      </c>
      <c r="V1374" s="40" t="inlineStr">
        <is>
          <t>Secondary sector interannual</t>
        </is>
      </c>
    </row>
    <row r="1375">
      <c r="A1375" s="40" t="inlineStr">
        <is>
          <t>V5_0034</t>
        </is>
      </c>
      <c r="B1375" s="40" t="inlineStr">
        <is>
          <t>2026-01-01</t>
        </is>
      </c>
      <c r="C1375" s="40" t="inlineStr">
        <is>
          <t>2026-06-30</t>
        </is>
      </c>
      <c r="D1375" s="40" t="inlineStr">
        <is>
          <t>month_or_YTD</t>
        </is>
      </c>
      <c r="E1375" s="40" t="inlineStr">
        <is>
          <t>IMAEP_SECONDARY_YTD</t>
        </is>
      </c>
      <c r="F1375" s="40" t="inlineStr">
        <is>
          <t>PY_ECONOMY</t>
        </is>
      </c>
      <c r="G1375" s="40" t="n"/>
      <c r="H1375" s="40" t="n"/>
      <c r="I1375" s="40" t="n">
        <v>4.7</v>
      </c>
      <c r="J1375" s="40" t="inlineStr">
        <is>
          <t>percent</t>
        </is>
      </c>
      <c r="K1375" s="40" t="n">
        <v>4.7</v>
      </c>
      <c r="L1375" s="40" t="inlineStr">
        <is>
          <t>percent</t>
        </is>
      </c>
      <c r="M1375" s="40" t="inlineStr">
        <is>
          <t>BCP</t>
        </is>
      </c>
      <c r="N1375" s="40" t="inlineStr">
        <is>
          <t>OFFICIAL_PRIMARY</t>
        </is>
      </c>
      <c r="O1375" s="40" t="inlineStr">
        <is>
          <t>OFFICIAL_PRELIMINARY</t>
        </is>
      </c>
      <c r="P1375" s="40" t="n">
        <v>1</v>
      </c>
      <c r="Q1375" s="40" t="n">
        <v>95</v>
      </c>
      <c r="R1375" s="40" t="inlineStr">
        <is>
          <t>https://www.bcp.gov.py/documents/20117/2588253/Informe%2BIMAEP-Sectores-Junio_2026.pdf/1b25c6bf-e43c-1c91-9a58-037d4cee0653</t>
        </is>
      </c>
      <c r="S1375" s="40" t="inlineStr">
        <is>
          <t>V5_CURRENT_BASELINES</t>
        </is>
      </c>
      <c r="T1375" s="40" t="n"/>
      <c r="U1375" s="40" t="inlineStr">
        <is>
          <t>2026-09-11T01:00:00-03:00</t>
        </is>
      </c>
      <c r="V1375" s="40" t="inlineStr">
        <is>
          <t>Secondary sector accumulated</t>
        </is>
      </c>
    </row>
    <row r="1376">
      <c r="A1376" s="40" t="inlineStr">
        <is>
          <t>V5_0035</t>
        </is>
      </c>
      <c r="B1376" s="40" t="inlineStr">
        <is>
          <t>2026-06-01</t>
        </is>
      </c>
      <c r="C1376" s="40" t="inlineStr">
        <is>
          <t>2026-06-30</t>
        </is>
      </c>
      <c r="D1376" s="40" t="inlineStr">
        <is>
          <t>month_or_YTD</t>
        </is>
      </c>
      <c r="E1376" s="40" t="inlineStr">
        <is>
          <t>IMAEP_MANUFACTURING_YOY</t>
        </is>
      </c>
      <c r="F1376" s="40" t="inlineStr">
        <is>
          <t>PY_ECONOMY</t>
        </is>
      </c>
      <c r="G1376" s="40" t="n"/>
      <c r="H1376" s="40" t="n"/>
      <c r="I1376" s="40" t="n">
        <v>2.8</v>
      </c>
      <c r="J1376" s="40" t="inlineStr">
        <is>
          <t>percent</t>
        </is>
      </c>
      <c r="K1376" s="40" t="n">
        <v>2.8</v>
      </c>
      <c r="L1376" s="40" t="inlineStr">
        <is>
          <t>percent</t>
        </is>
      </c>
      <c r="M1376" s="40" t="inlineStr">
        <is>
          <t>BCP</t>
        </is>
      </c>
      <c r="N1376" s="40" t="inlineStr">
        <is>
          <t>OFFICIAL_PRIMARY</t>
        </is>
      </c>
      <c r="O1376" s="40" t="inlineStr">
        <is>
          <t>OFFICIAL_PRELIMINARY</t>
        </is>
      </c>
      <c r="P1376" s="40" t="n">
        <v>1</v>
      </c>
      <c r="Q1376" s="40" t="n">
        <v>95</v>
      </c>
      <c r="R1376" s="40" t="inlineStr">
        <is>
          <t>https://www.bcp.gov.py/documents/20117/2588253/Informe%2BIMAEP-Sectores-Junio_2026.pdf/1b25c6bf-e43c-1c91-9a58-037d4cee0653</t>
        </is>
      </c>
      <c r="S1376" s="40" t="inlineStr">
        <is>
          <t>V5_CURRENT_BASELINES</t>
        </is>
      </c>
      <c r="T1376" s="40" t="n"/>
      <c r="U1376" s="40" t="inlineStr">
        <is>
          <t>2026-09-11T01:00:00-03:00</t>
        </is>
      </c>
      <c r="V1376" s="40" t="inlineStr">
        <is>
          <t>Manufacturing interannual</t>
        </is>
      </c>
    </row>
    <row r="1377">
      <c r="A1377" s="40" t="inlineStr">
        <is>
          <t>V5_0036</t>
        </is>
      </c>
      <c r="B1377" s="40" t="inlineStr">
        <is>
          <t>2026-01-01</t>
        </is>
      </c>
      <c r="C1377" s="40" t="inlineStr">
        <is>
          <t>2026-06-30</t>
        </is>
      </c>
      <c r="D1377" s="40" t="inlineStr">
        <is>
          <t>month_or_YTD</t>
        </is>
      </c>
      <c r="E1377" s="40" t="inlineStr">
        <is>
          <t>IMAEP_MANUFACTURING_YTD</t>
        </is>
      </c>
      <c r="F1377" s="40" t="inlineStr">
        <is>
          <t>PY_ECONOMY</t>
        </is>
      </c>
      <c r="G1377" s="40" t="n"/>
      <c r="H1377" s="40" t="n"/>
      <c r="I1377" s="40" t="n">
        <v>3.1</v>
      </c>
      <c r="J1377" s="40" t="inlineStr">
        <is>
          <t>percent</t>
        </is>
      </c>
      <c r="K1377" s="40" t="n">
        <v>3.1</v>
      </c>
      <c r="L1377" s="40" t="inlineStr">
        <is>
          <t>percent</t>
        </is>
      </c>
      <c r="M1377" s="40" t="inlineStr">
        <is>
          <t>BCP</t>
        </is>
      </c>
      <c r="N1377" s="40" t="inlineStr">
        <is>
          <t>OFFICIAL_PRIMARY</t>
        </is>
      </c>
      <c r="O1377" s="40" t="inlineStr">
        <is>
          <t>OFFICIAL_PRELIMINARY</t>
        </is>
      </c>
      <c r="P1377" s="40" t="n">
        <v>1</v>
      </c>
      <c r="Q1377" s="40" t="n">
        <v>95</v>
      </c>
      <c r="R1377" s="40" t="inlineStr">
        <is>
          <t>https://www.bcp.gov.py/documents/20117/2588253/Informe%2BIMAEP-Sectores-Junio_2026.pdf/1b25c6bf-e43c-1c91-9a58-037d4cee0653</t>
        </is>
      </c>
      <c r="S1377" s="40" t="inlineStr">
        <is>
          <t>V5_CURRENT_BASELINES</t>
        </is>
      </c>
      <c r="T1377" s="40" t="n"/>
      <c r="U1377" s="40" t="inlineStr">
        <is>
          <t>2026-09-11T01:00:00-03:00</t>
        </is>
      </c>
      <c r="V1377" s="40" t="inlineStr">
        <is>
          <t>Manufacturing accumulated</t>
        </is>
      </c>
    </row>
    <row r="1378">
      <c r="A1378" s="40" t="inlineStr">
        <is>
          <t>V5_0037</t>
        </is>
      </c>
      <c r="B1378" s="40" t="inlineStr">
        <is>
          <t>2026-06-01</t>
        </is>
      </c>
      <c r="C1378" s="40" t="inlineStr">
        <is>
          <t>2026-06-30</t>
        </is>
      </c>
      <c r="D1378" s="40" t="inlineStr">
        <is>
          <t>month_or_YTD</t>
        </is>
      </c>
      <c r="E1378" s="40" t="inlineStr">
        <is>
          <t>IMAEP_SERVICES_YOY</t>
        </is>
      </c>
      <c r="F1378" s="40" t="inlineStr">
        <is>
          <t>PY_ECONOMY</t>
        </is>
      </c>
      <c r="G1378" s="40" t="n"/>
      <c r="H1378" s="40" t="n"/>
      <c r="I1378" s="40" t="n">
        <v>4.9</v>
      </c>
      <c r="J1378" s="40" t="inlineStr">
        <is>
          <t>percent</t>
        </is>
      </c>
      <c r="K1378" s="40" t="n">
        <v>4.9</v>
      </c>
      <c r="L1378" s="40" t="inlineStr">
        <is>
          <t>percent</t>
        </is>
      </c>
      <c r="M1378" s="40" t="inlineStr">
        <is>
          <t>BCP</t>
        </is>
      </c>
      <c r="N1378" s="40" t="inlineStr">
        <is>
          <t>OFFICIAL_PRIMARY</t>
        </is>
      </c>
      <c r="O1378" s="40" t="inlineStr">
        <is>
          <t>OFFICIAL_PRELIMINARY</t>
        </is>
      </c>
      <c r="P1378" s="40" t="n">
        <v>1</v>
      </c>
      <c r="Q1378" s="40" t="n">
        <v>95</v>
      </c>
      <c r="R1378" s="40" t="inlineStr">
        <is>
          <t>https://www.bcp.gov.py/documents/20117/2588253/Informe%2BIMAEP-Sectores-Junio_2026.pdf/1b25c6bf-e43c-1c91-9a58-037d4cee0653</t>
        </is>
      </c>
      <c r="S1378" s="40" t="inlineStr">
        <is>
          <t>V5_CURRENT_BASELINES</t>
        </is>
      </c>
      <c r="T1378" s="40" t="n"/>
      <c r="U1378" s="40" t="inlineStr">
        <is>
          <t>2026-09-11T01:00:00-03:00</t>
        </is>
      </c>
      <c r="V1378" s="40" t="inlineStr">
        <is>
          <t>Services interannual</t>
        </is>
      </c>
    </row>
    <row r="1379">
      <c r="A1379" s="40" t="inlineStr">
        <is>
          <t>V5_0038</t>
        </is>
      </c>
      <c r="B1379" s="40" t="inlineStr">
        <is>
          <t>2026-01-01</t>
        </is>
      </c>
      <c r="C1379" s="40" t="inlineStr">
        <is>
          <t>2026-06-30</t>
        </is>
      </c>
      <c r="D1379" s="40" t="inlineStr">
        <is>
          <t>month_or_YTD</t>
        </is>
      </c>
      <c r="E1379" s="40" t="inlineStr">
        <is>
          <t>IMAEP_SERVICES_YTD</t>
        </is>
      </c>
      <c r="F1379" s="40" t="inlineStr">
        <is>
          <t>PY_ECONOMY</t>
        </is>
      </c>
      <c r="G1379" s="40" t="n"/>
      <c r="H1379" s="40" t="n"/>
      <c r="I1379" s="40" t="n">
        <v>5.1</v>
      </c>
      <c r="J1379" s="40" t="inlineStr">
        <is>
          <t>percent</t>
        </is>
      </c>
      <c r="K1379" s="40" t="n">
        <v>5.1</v>
      </c>
      <c r="L1379" s="40" t="inlineStr">
        <is>
          <t>percent</t>
        </is>
      </c>
      <c r="M1379" s="40" t="inlineStr">
        <is>
          <t>BCP</t>
        </is>
      </c>
      <c r="N1379" s="40" t="inlineStr">
        <is>
          <t>OFFICIAL_PRIMARY</t>
        </is>
      </c>
      <c r="O1379" s="40" t="inlineStr">
        <is>
          <t>OFFICIAL_PRELIMINARY</t>
        </is>
      </c>
      <c r="P1379" s="40" t="n">
        <v>1</v>
      </c>
      <c r="Q1379" s="40" t="n">
        <v>95</v>
      </c>
      <c r="R1379" s="40" t="inlineStr">
        <is>
          <t>https://www.bcp.gov.py/documents/20117/2588253/Informe%2BIMAEP-Sectores-Junio_2026.pdf/1b25c6bf-e43c-1c91-9a58-037d4cee0653</t>
        </is>
      </c>
      <c r="S1379" s="40" t="inlineStr">
        <is>
          <t>V5_CURRENT_BASELINES</t>
        </is>
      </c>
      <c r="T1379" s="40" t="n"/>
      <c r="U1379" s="40" t="inlineStr">
        <is>
          <t>2026-09-11T01:00:00-03:00</t>
        </is>
      </c>
      <c r="V1379" s="40" t="inlineStr">
        <is>
          <t>Services accumulated</t>
        </is>
      </c>
    </row>
    <row r="1380">
      <c r="A1380" s="40" t="inlineStr">
        <is>
          <t>V5_0039</t>
        </is>
      </c>
      <c r="B1380" s="40" t="inlineStr">
        <is>
          <t>2026-06-01</t>
        </is>
      </c>
      <c r="C1380" s="40" t="inlineStr">
        <is>
          <t>2026-06-30</t>
        </is>
      </c>
      <c r="D1380" s="40" t="inlineStr">
        <is>
          <t>month_or_YTD</t>
        </is>
      </c>
      <c r="E1380" s="40" t="inlineStr">
        <is>
          <t>IMAEP_EX_AGRI_BINATIONAL_YOY</t>
        </is>
      </c>
      <c r="F1380" s="40" t="inlineStr">
        <is>
          <t>PY_ECONOMY</t>
        </is>
      </c>
      <c r="G1380" s="40" t="n"/>
      <c r="H1380" s="40" t="n"/>
      <c r="I1380" s="40" t="n">
        <v>5</v>
      </c>
      <c r="J1380" s="40" t="inlineStr">
        <is>
          <t>percent</t>
        </is>
      </c>
      <c r="K1380" s="40" t="n">
        <v>5</v>
      </c>
      <c r="L1380" s="40" t="inlineStr">
        <is>
          <t>percent</t>
        </is>
      </c>
      <c r="M1380" s="40" t="inlineStr">
        <is>
          <t>BCP</t>
        </is>
      </c>
      <c r="N1380" s="40" t="inlineStr">
        <is>
          <t>OFFICIAL_PRIMARY</t>
        </is>
      </c>
      <c r="O1380" s="40" t="inlineStr">
        <is>
          <t>OFFICIAL_PRELIMINARY</t>
        </is>
      </c>
      <c r="P1380" s="40" t="n">
        <v>1</v>
      </c>
      <c r="Q1380" s="40" t="n">
        <v>95</v>
      </c>
      <c r="R1380" s="40" t="inlineStr">
        <is>
          <t>https://www.bcp.gov.py/documents/20117/2588253/Informe%2BIMAEP-Sectores-Junio_2026.pdf/1b25c6bf-e43c-1c91-9a58-037d4cee0653</t>
        </is>
      </c>
      <c r="S1380" s="40" t="inlineStr">
        <is>
          <t>V5_CURRENT_BASELINES</t>
        </is>
      </c>
      <c r="T1380" s="40" t="n"/>
      <c r="U1380" s="40" t="inlineStr">
        <is>
          <t>2026-09-11T01:00:00-03:00</t>
        </is>
      </c>
      <c r="V1380" s="40" t="inlineStr">
        <is>
          <t>IMAEP excluding agriculture and binational entities interannual</t>
        </is>
      </c>
    </row>
    <row r="1381">
      <c r="A1381" s="40" t="inlineStr">
        <is>
          <t>V5_0040</t>
        </is>
      </c>
      <c r="B1381" s="40" t="inlineStr">
        <is>
          <t>2026-01-01</t>
        </is>
      </c>
      <c r="C1381" s="40" t="inlineStr">
        <is>
          <t>2026-06-30</t>
        </is>
      </c>
      <c r="D1381" s="40" t="inlineStr">
        <is>
          <t>month_or_YTD</t>
        </is>
      </c>
      <c r="E1381" s="40" t="inlineStr">
        <is>
          <t>IMAEP_EX_AGRI_BINATIONAL_YTD</t>
        </is>
      </c>
      <c r="F1381" s="40" t="inlineStr">
        <is>
          <t>PY_ECONOMY</t>
        </is>
      </c>
      <c r="G1381" s="40" t="n"/>
      <c r="H1381" s="40" t="n"/>
      <c r="I1381" s="40" t="n">
        <v>5</v>
      </c>
      <c r="J1381" s="40" t="inlineStr">
        <is>
          <t>percent</t>
        </is>
      </c>
      <c r="K1381" s="40" t="n">
        <v>5</v>
      </c>
      <c r="L1381" s="40" t="inlineStr">
        <is>
          <t>percent</t>
        </is>
      </c>
      <c r="M1381" s="40" t="inlineStr">
        <is>
          <t>BCP</t>
        </is>
      </c>
      <c r="N1381" s="40" t="inlineStr">
        <is>
          <t>OFFICIAL_PRIMARY</t>
        </is>
      </c>
      <c r="O1381" s="40" t="inlineStr">
        <is>
          <t>OFFICIAL_PRELIMINARY</t>
        </is>
      </c>
      <c r="P1381" s="40" t="n">
        <v>1</v>
      </c>
      <c r="Q1381" s="40" t="n">
        <v>95</v>
      </c>
      <c r="R1381" s="40" t="inlineStr">
        <is>
          <t>https://www.bcp.gov.py/documents/20117/2588253/Informe%2BIMAEP-Sectores-Junio_2026.pdf/1b25c6bf-e43c-1c91-9a58-037d4cee0653</t>
        </is>
      </c>
      <c r="S1381" s="40" t="inlineStr">
        <is>
          <t>V5_CURRENT_BASELINES</t>
        </is>
      </c>
      <c r="T1381" s="40" t="n"/>
      <c r="U1381" s="40" t="inlineStr">
        <is>
          <t>2026-09-11T01:00:00-03:00</t>
        </is>
      </c>
      <c r="V1381" s="40" t="inlineStr">
        <is>
          <t>IMAEP excluding agriculture and binational entities accumulated</t>
        </is>
      </c>
    </row>
    <row r="1382">
      <c r="A1382" s="40" t="inlineStr">
        <is>
          <t>V5_0041</t>
        </is>
      </c>
      <c r="B1382" s="40" t="inlineStr">
        <is>
          <t>2025-01-01</t>
        </is>
      </c>
      <c r="C1382" s="40" t="inlineStr">
        <is>
          <t>2025-12-31</t>
        </is>
      </c>
      <c r="D1382" s="40" t="inlineStr">
        <is>
          <t>year</t>
        </is>
      </c>
      <c r="E1382" s="40" t="inlineStr">
        <is>
          <t>HOUSEHOLD_AVAILABLE_INCOME_AVG</t>
        </is>
      </c>
      <c r="F1382" s="40" t="inlineStr">
        <is>
          <t>PY_HOUSEHOLDS</t>
        </is>
      </c>
      <c r="G1382" s="40" t="n"/>
      <c r="H1382" s="40" t="n"/>
      <c r="I1382" s="40" t="n">
        <v>6864000</v>
      </c>
      <c r="J1382" s="40" t="inlineStr">
        <is>
          <t>PYG/month</t>
        </is>
      </c>
      <c r="K1382" s="40" t="n">
        <v>6864000</v>
      </c>
      <c r="L1382" s="40" t="inlineStr">
        <is>
          <t>PYG/month</t>
        </is>
      </c>
      <c r="M1382" s="40" t="inlineStr">
        <is>
          <t>INE</t>
        </is>
      </c>
      <c r="N1382" s="40" t="inlineStr">
        <is>
          <t>OFFICIAL_PRIMARY</t>
        </is>
      </c>
      <c r="O1382" s="40" t="inlineStr">
        <is>
          <t>OFFICIAL_SURVEY</t>
        </is>
      </c>
      <c r="P1382" s="40" t="n">
        <v>1</v>
      </c>
      <c r="Q1382" s="40" t="n">
        <v>95</v>
      </c>
      <c r="R1382" s="40" t="inlineStr">
        <is>
          <t>https://www.ine.gov.py/Publicaciones/Biblioteca/documento/308/Pobreza%20Monetaria_%20EPHC_2025_INE.pdf</t>
        </is>
      </c>
      <c r="S1382" s="40" t="inlineStr">
        <is>
          <t>V5_CURRENT_BASELINES</t>
        </is>
      </c>
      <c r="T1382" s="40" t="n"/>
      <c r="U1382" s="40" t="inlineStr">
        <is>
          <t>2026-09-11T01:00:00-03:00</t>
        </is>
      </c>
      <c r="V1382" s="40" t="inlineStr">
        <is>
          <t>Average monthly disposable household income</t>
        </is>
      </c>
    </row>
    <row r="1383">
      <c r="A1383" s="40" t="inlineStr">
        <is>
          <t>V5_0042</t>
        </is>
      </c>
      <c r="B1383" s="40" t="inlineStr">
        <is>
          <t>2025-01-01</t>
        </is>
      </c>
      <c r="C1383" s="40" t="inlineStr">
        <is>
          <t>2025-12-31</t>
        </is>
      </c>
      <c r="D1383" s="40" t="inlineStr">
        <is>
          <t>year</t>
        </is>
      </c>
      <c r="E1383" s="40" t="inlineStr">
        <is>
          <t>HOUSEHOLD_LABOR_INCOME_AVG</t>
        </is>
      </c>
      <c r="F1383" s="40" t="inlineStr">
        <is>
          <t>PY_HOUSEHOLDS</t>
        </is>
      </c>
      <c r="G1383" s="40" t="n"/>
      <c r="H1383" s="40" t="n"/>
      <c r="I1383" s="40" t="n">
        <v>6394000</v>
      </c>
      <c r="J1383" s="40" t="inlineStr">
        <is>
          <t>PYG/month</t>
        </is>
      </c>
      <c r="K1383" s="40" t="n">
        <v>6394000</v>
      </c>
      <c r="L1383" s="40" t="inlineStr">
        <is>
          <t>PYG/month</t>
        </is>
      </c>
      <c r="M1383" s="40" t="inlineStr">
        <is>
          <t>INE</t>
        </is>
      </c>
      <c r="N1383" s="40" t="inlineStr">
        <is>
          <t>OFFICIAL_PRIMARY</t>
        </is>
      </c>
      <c r="O1383" s="40" t="inlineStr">
        <is>
          <t>OFFICIAL_SURVEY</t>
        </is>
      </c>
      <c r="P1383" s="40" t="n">
        <v>1</v>
      </c>
      <c r="Q1383" s="40" t="n">
        <v>95</v>
      </c>
      <c r="R1383" s="40" t="inlineStr">
        <is>
          <t>https://www.ine.gov.py/Publicaciones/Biblioteca/documento/308/Pobreza%20Monetaria_%20EPHC_2025_INE.pdf</t>
        </is>
      </c>
      <c r="S1383" s="40" t="inlineStr">
        <is>
          <t>V5_CURRENT_BASELINES</t>
        </is>
      </c>
      <c r="T1383" s="40" t="n"/>
      <c r="U1383" s="40" t="inlineStr">
        <is>
          <t>2026-09-11T01:00:00-03:00</t>
        </is>
      </c>
      <c r="V1383" s="40" t="inlineStr">
        <is>
          <t>Average monthly household labor income</t>
        </is>
      </c>
    </row>
    <row r="1384">
      <c r="A1384" s="40" t="inlineStr">
        <is>
          <t>V5_0043</t>
        </is>
      </c>
      <c r="B1384" s="40" t="inlineStr">
        <is>
          <t>2025-01-01</t>
        </is>
      </c>
      <c r="C1384" s="40" t="inlineStr">
        <is>
          <t>2025-12-31</t>
        </is>
      </c>
      <c r="D1384" s="40" t="inlineStr">
        <is>
          <t>year</t>
        </is>
      </c>
      <c r="E1384" s="40" t="inlineStr">
        <is>
          <t>HOUSEHOLD_AVAILABLE_INCOME_Q1</t>
        </is>
      </c>
      <c r="F1384" s="40" t="inlineStr">
        <is>
          <t>PY_HOUSEHOLDS</t>
        </is>
      </c>
      <c r="G1384" s="40" t="n"/>
      <c r="H1384" s="40" t="n"/>
      <c r="I1384" s="40" t="n">
        <v>2296000</v>
      </c>
      <c r="J1384" s="40" t="inlineStr">
        <is>
          <t>PYG/month</t>
        </is>
      </c>
      <c r="K1384" s="40" t="n">
        <v>2296000</v>
      </c>
      <c r="L1384" s="40" t="inlineStr">
        <is>
          <t>PYG/month</t>
        </is>
      </c>
      <c r="M1384" s="40" t="inlineStr">
        <is>
          <t>INE</t>
        </is>
      </c>
      <c r="N1384" s="40" t="inlineStr">
        <is>
          <t>OFFICIAL_PRIMARY</t>
        </is>
      </c>
      <c r="O1384" s="40" t="inlineStr">
        <is>
          <t>OFFICIAL_SURVEY</t>
        </is>
      </c>
      <c r="P1384" s="40" t="n">
        <v>1</v>
      </c>
      <c r="Q1384" s="40" t="n">
        <v>95</v>
      </c>
      <c r="R1384" s="40" t="inlineStr">
        <is>
          <t>https://www.ine.gov.py/Publicaciones/Biblioteca/documento/308/Pobreza%20Monetaria_%20EPHC_2025_INE.pdf</t>
        </is>
      </c>
      <c r="S1384" s="40" t="inlineStr">
        <is>
          <t>V5_CURRENT_BASELINES</t>
        </is>
      </c>
      <c r="T1384" s="40" t="n"/>
      <c r="U1384" s="40" t="inlineStr">
        <is>
          <t>2026-09-11T01:00:00-03:00</t>
        </is>
      </c>
      <c r="V1384" s="40" t="inlineStr">
        <is>
          <t>Lowest income quintile household disposable income</t>
        </is>
      </c>
    </row>
    <row r="1385">
      <c r="A1385" s="40" t="inlineStr">
        <is>
          <t>V5_0044</t>
        </is>
      </c>
      <c r="B1385" s="40" t="inlineStr">
        <is>
          <t>2025-01-01</t>
        </is>
      </c>
      <c r="C1385" s="40" t="inlineStr">
        <is>
          <t>2025-12-31</t>
        </is>
      </c>
      <c r="D1385" s="40" t="inlineStr">
        <is>
          <t>year</t>
        </is>
      </c>
      <c r="E1385" s="40" t="inlineStr">
        <is>
          <t>HOUSEHOLD_AVAILABLE_INCOME_Q2</t>
        </is>
      </c>
      <c r="F1385" s="40" t="inlineStr">
        <is>
          <t>PY_HOUSEHOLDS</t>
        </is>
      </c>
      <c r="G1385" s="40" t="n"/>
      <c r="H1385" s="40" t="n"/>
      <c r="I1385" s="40" t="n">
        <v>3680000</v>
      </c>
      <c r="J1385" s="40" t="inlineStr">
        <is>
          <t>PYG/month</t>
        </is>
      </c>
      <c r="K1385" s="40" t="n">
        <v>3680000</v>
      </c>
      <c r="L1385" s="40" t="inlineStr">
        <is>
          <t>PYG/month</t>
        </is>
      </c>
      <c r="M1385" s="40" t="inlineStr">
        <is>
          <t>INE</t>
        </is>
      </c>
      <c r="N1385" s="40" t="inlineStr">
        <is>
          <t>OFFICIAL_PRIMARY</t>
        </is>
      </c>
      <c r="O1385" s="40" t="inlineStr">
        <is>
          <t>OFFICIAL_SURVEY</t>
        </is>
      </c>
      <c r="P1385" s="40" t="n">
        <v>1</v>
      </c>
      <c r="Q1385" s="40" t="n">
        <v>95</v>
      </c>
      <c r="R1385" s="40" t="inlineStr">
        <is>
          <t>https://www.ine.gov.py/Publicaciones/Biblioteca/documento/308/Pobreza%20Monetaria_%20EPHC_2025_INE.pdf</t>
        </is>
      </c>
      <c r="S1385" s="40" t="inlineStr">
        <is>
          <t>V5_CURRENT_BASELINES</t>
        </is>
      </c>
      <c r="T1385" s="40" t="n"/>
      <c r="U1385" s="40" t="inlineStr">
        <is>
          <t>2026-09-11T01:00:00-03:00</t>
        </is>
      </c>
      <c r="V1385" s="40" t="inlineStr">
        <is>
          <t>Second quintile</t>
        </is>
      </c>
    </row>
    <row r="1386">
      <c r="A1386" s="40" t="inlineStr">
        <is>
          <t>V5_0045</t>
        </is>
      </c>
      <c r="B1386" s="40" t="inlineStr">
        <is>
          <t>2025-01-01</t>
        </is>
      </c>
      <c r="C1386" s="40" t="inlineStr">
        <is>
          <t>2025-12-31</t>
        </is>
      </c>
      <c r="D1386" s="40" t="inlineStr">
        <is>
          <t>year</t>
        </is>
      </c>
      <c r="E1386" s="40" t="inlineStr">
        <is>
          <t>HOUSEHOLD_AVAILABLE_INCOME_Q3</t>
        </is>
      </c>
      <c r="F1386" s="40" t="inlineStr">
        <is>
          <t>PY_HOUSEHOLDS</t>
        </is>
      </c>
      <c r="G1386" s="40" t="n"/>
      <c r="H1386" s="40" t="n"/>
      <c r="I1386" s="40" t="n">
        <v>5032000</v>
      </c>
      <c r="J1386" s="40" t="inlineStr">
        <is>
          <t>PYG/month</t>
        </is>
      </c>
      <c r="K1386" s="40" t="n">
        <v>5032000</v>
      </c>
      <c r="L1386" s="40" t="inlineStr">
        <is>
          <t>PYG/month</t>
        </is>
      </c>
      <c r="M1386" s="40" t="inlineStr">
        <is>
          <t>INE</t>
        </is>
      </c>
      <c r="N1386" s="40" t="inlineStr">
        <is>
          <t>OFFICIAL_PRIMARY</t>
        </is>
      </c>
      <c r="O1386" s="40" t="inlineStr">
        <is>
          <t>OFFICIAL_SURVEY</t>
        </is>
      </c>
      <c r="P1386" s="40" t="n">
        <v>1</v>
      </c>
      <c r="Q1386" s="40" t="n">
        <v>95</v>
      </c>
      <c r="R1386" s="40" t="inlineStr">
        <is>
          <t>https://www.ine.gov.py/Publicaciones/Biblioteca/documento/308/Pobreza%20Monetaria_%20EPHC_2025_INE.pdf</t>
        </is>
      </c>
      <c r="S1386" s="40" t="inlineStr">
        <is>
          <t>V5_CURRENT_BASELINES</t>
        </is>
      </c>
      <c r="T1386" s="40" t="n"/>
      <c r="U1386" s="40" t="inlineStr">
        <is>
          <t>2026-09-11T01:00:00-03:00</t>
        </is>
      </c>
      <c r="V1386" s="40" t="inlineStr">
        <is>
          <t>Third quintile</t>
        </is>
      </c>
    </row>
    <row r="1387">
      <c r="A1387" s="40" t="inlineStr">
        <is>
          <t>V5_0046</t>
        </is>
      </c>
      <c r="B1387" s="40" t="inlineStr">
        <is>
          <t>2025-01-01</t>
        </is>
      </c>
      <c r="C1387" s="40" t="inlineStr">
        <is>
          <t>2025-12-31</t>
        </is>
      </c>
      <c r="D1387" s="40" t="inlineStr">
        <is>
          <t>year</t>
        </is>
      </c>
      <c r="E1387" s="40" t="inlineStr">
        <is>
          <t>HOUSEHOLD_AVAILABLE_INCOME_Q4</t>
        </is>
      </c>
      <c r="F1387" s="40" t="inlineStr">
        <is>
          <t>PY_HOUSEHOLDS</t>
        </is>
      </c>
      <c r="G1387" s="40" t="n"/>
      <c r="H1387" s="40" t="n"/>
      <c r="I1387" s="40" t="n">
        <v>6724000</v>
      </c>
      <c r="J1387" s="40" t="inlineStr">
        <is>
          <t>PYG/month</t>
        </is>
      </c>
      <c r="K1387" s="40" t="n">
        <v>6724000</v>
      </c>
      <c r="L1387" s="40" t="inlineStr">
        <is>
          <t>PYG/month</t>
        </is>
      </c>
      <c r="M1387" s="40" t="inlineStr">
        <is>
          <t>INE</t>
        </is>
      </c>
      <c r="N1387" s="40" t="inlineStr">
        <is>
          <t>OFFICIAL_PRIMARY</t>
        </is>
      </c>
      <c r="O1387" s="40" t="inlineStr">
        <is>
          <t>OFFICIAL_SURVEY</t>
        </is>
      </c>
      <c r="P1387" s="40" t="n">
        <v>1</v>
      </c>
      <c r="Q1387" s="40" t="n">
        <v>95</v>
      </c>
      <c r="R1387" s="40" t="inlineStr">
        <is>
          <t>https://www.ine.gov.py/Publicaciones/Biblioteca/documento/308/Pobreza%20Monetaria_%20EPHC_2025_INE.pdf</t>
        </is>
      </c>
      <c r="S1387" s="40" t="inlineStr">
        <is>
          <t>V5_CURRENT_BASELINES</t>
        </is>
      </c>
      <c r="T1387" s="40" t="n"/>
      <c r="U1387" s="40" t="inlineStr">
        <is>
          <t>2026-09-11T01:00:00-03:00</t>
        </is>
      </c>
      <c r="V1387" s="40" t="inlineStr">
        <is>
          <t>Fourth quintile</t>
        </is>
      </c>
    </row>
    <row r="1388">
      <c r="A1388" s="40" t="inlineStr">
        <is>
          <t>V5_0047</t>
        </is>
      </c>
      <c r="B1388" s="40" t="inlineStr">
        <is>
          <t>2025-01-01</t>
        </is>
      </c>
      <c r="C1388" s="40" t="inlineStr">
        <is>
          <t>2025-12-31</t>
        </is>
      </c>
      <c r="D1388" s="40" t="inlineStr">
        <is>
          <t>year</t>
        </is>
      </c>
      <c r="E1388" s="40" t="inlineStr">
        <is>
          <t>HOUSEHOLD_AVAILABLE_INCOME_Q5</t>
        </is>
      </c>
      <c r="F1388" s="40" t="inlineStr">
        <is>
          <t>PY_HOUSEHOLDS</t>
        </is>
      </c>
      <c r="G1388" s="40" t="n"/>
      <c r="H1388" s="40" t="n"/>
      <c r="I1388" s="40" t="n">
        <v>13155000</v>
      </c>
      <c r="J1388" s="40" t="inlineStr">
        <is>
          <t>PYG/month</t>
        </is>
      </c>
      <c r="K1388" s="40" t="n">
        <v>13155000</v>
      </c>
      <c r="L1388" s="40" t="inlineStr">
        <is>
          <t>PYG/month</t>
        </is>
      </c>
      <c r="M1388" s="40" t="inlineStr">
        <is>
          <t>INE</t>
        </is>
      </c>
      <c r="N1388" s="40" t="inlineStr">
        <is>
          <t>OFFICIAL_PRIMARY</t>
        </is>
      </c>
      <c r="O1388" s="40" t="inlineStr">
        <is>
          <t>OFFICIAL_SURVEY</t>
        </is>
      </c>
      <c r="P1388" s="40" t="n">
        <v>1</v>
      </c>
      <c r="Q1388" s="40" t="n">
        <v>95</v>
      </c>
      <c r="R1388" s="40" t="inlineStr">
        <is>
          <t>https://www.ine.gov.py/Publicaciones/Biblioteca/documento/308/Pobreza%20Monetaria_%20EPHC_2025_INE.pdf</t>
        </is>
      </c>
      <c r="S1388" s="40" t="inlineStr">
        <is>
          <t>V5_CURRENT_BASELINES</t>
        </is>
      </c>
      <c r="T1388" s="40" t="n"/>
      <c r="U1388" s="40" t="inlineStr">
        <is>
          <t>2026-09-11T01:00:00-03:00</t>
        </is>
      </c>
      <c r="V1388" s="40" t="inlineStr">
        <is>
          <t>Highest quintile</t>
        </is>
      </c>
    </row>
    <row r="1389">
      <c r="A1389" s="40" t="inlineStr">
        <is>
          <t>V5_0048</t>
        </is>
      </c>
      <c r="B1389" s="40" t="inlineStr">
        <is>
          <t>2022-01-01</t>
        </is>
      </c>
      <c r="C1389" s="40" t="inlineStr">
        <is>
          <t>2022-12-31</t>
        </is>
      </c>
      <c r="D1389" s="40" t="inlineStr">
        <is>
          <t>year</t>
        </is>
      </c>
      <c r="E1389" s="40" t="inlineStr">
        <is>
          <t>POPULATION_CENSUS</t>
        </is>
      </c>
      <c r="F1389" s="40" t="inlineStr">
        <is>
          <t>PY_HOUSEHOLDS</t>
        </is>
      </c>
      <c r="G1389" s="40" t="n"/>
      <c r="H1389" s="40" t="n"/>
      <c r="I1389" s="40" t="n">
        <v>6109903</v>
      </c>
      <c r="J1389" s="40" t="inlineStr">
        <is>
          <t>persons</t>
        </is>
      </c>
      <c r="K1389" s="40" t="n">
        <v>6109903</v>
      </c>
      <c r="L1389" s="40" t="inlineStr">
        <is>
          <t>persons</t>
        </is>
      </c>
      <c r="M1389" s="40" t="inlineStr">
        <is>
          <t>INE</t>
        </is>
      </c>
      <c r="N1389" s="40" t="inlineStr">
        <is>
          <t>OFFICIAL_PRIMARY</t>
        </is>
      </c>
      <c r="O1389" s="40" t="inlineStr">
        <is>
          <t>OFFICIAL_CENSUS</t>
        </is>
      </c>
      <c r="P1389" s="40" t="n">
        <v>1</v>
      </c>
      <c r="Q1389" s="40" t="n">
        <v>95</v>
      </c>
      <c r="R1389" s="40" t="inlineStr">
        <is>
          <t>https://www.ine.gov.py/censo2022/documentos/Tr%C3%ADptico%20Resultados%20Finales_web.pdf</t>
        </is>
      </c>
      <c r="S1389" s="40" t="inlineStr">
        <is>
          <t>V5_CURRENT_BASELINES</t>
        </is>
      </c>
      <c r="T1389" s="40" t="n"/>
      <c r="U1389" s="40" t="inlineStr">
        <is>
          <t>2026-09-11T01:00:00-03:00</t>
        </is>
      </c>
      <c r="V1389" s="40" t="inlineStr">
        <is>
          <t>Census population</t>
        </is>
      </c>
    </row>
    <row r="1390">
      <c r="A1390" s="40" t="inlineStr">
        <is>
          <t>V5_0049</t>
        </is>
      </c>
      <c r="B1390" s="40" t="inlineStr">
        <is>
          <t>2022-01-01</t>
        </is>
      </c>
      <c r="C1390" s="40" t="inlineStr">
        <is>
          <t>2022-12-31</t>
        </is>
      </c>
      <c r="D1390" s="40" t="inlineStr">
        <is>
          <t>year</t>
        </is>
      </c>
      <c r="E1390" s="40" t="inlineStr">
        <is>
          <t>OCCUPIED_PRIVATE_DWELLINGS</t>
        </is>
      </c>
      <c r="F1390" s="40" t="inlineStr">
        <is>
          <t>PY_HOUSEHOLDS</t>
        </is>
      </c>
      <c r="G1390" s="40" t="n"/>
      <c r="H1390" s="40" t="n"/>
      <c r="I1390" s="40" t="n">
        <v>1749336</v>
      </c>
      <c r="J1390" s="40" t="inlineStr">
        <is>
          <t>dwellings</t>
        </is>
      </c>
      <c r="K1390" s="40" t="n">
        <v>1749336</v>
      </c>
      <c r="L1390" s="40" t="inlineStr">
        <is>
          <t>dwellings</t>
        </is>
      </c>
      <c r="M1390" s="40" t="inlineStr">
        <is>
          <t>INE</t>
        </is>
      </c>
      <c r="N1390" s="40" t="inlineStr">
        <is>
          <t>OFFICIAL_PRIMARY</t>
        </is>
      </c>
      <c r="O1390" s="40" t="inlineStr">
        <is>
          <t>OFFICIAL_CENSUS</t>
        </is>
      </c>
      <c r="P1390" s="40" t="n">
        <v>1</v>
      </c>
      <c r="Q1390" s="40" t="n">
        <v>95</v>
      </c>
      <c r="R1390" s="40" t="inlineStr">
        <is>
          <t>https://www.ine.gov.py/censo2022/documentos/Tr%C3%ADptico%20Resultados%20Finales_web.pdf</t>
        </is>
      </c>
      <c r="S1390" s="40" t="inlineStr">
        <is>
          <t>V5_CURRENT_BASELINES</t>
        </is>
      </c>
      <c r="T1390" s="40" t="n"/>
      <c r="U1390" s="40" t="inlineStr">
        <is>
          <t>2026-09-11T01:00:00-03:00</t>
        </is>
      </c>
      <c r="V1390" s="40" t="inlineStr">
        <is>
          <t>Occupied private dwellings</t>
        </is>
      </c>
    </row>
    <row r="1391">
      <c r="A1391" s="40" t="inlineStr">
        <is>
          <t>V5_0050</t>
        </is>
      </c>
      <c r="B1391" s="40" t="inlineStr">
        <is>
          <t>2022-01-01</t>
        </is>
      </c>
      <c r="C1391" s="40" t="inlineStr">
        <is>
          <t>2022-12-31</t>
        </is>
      </c>
      <c r="D1391" s="40" t="inlineStr">
        <is>
          <t>year</t>
        </is>
      </c>
      <c r="E1391" s="40" t="inlineStr">
        <is>
          <t>DWELLINGS_ELECTRICITY_ACCESS</t>
        </is>
      </c>
      <c r="F1391" s="40" t="inlineStr">
        <is>
          <t>PY_HOUSEHOLDS</t>
        </is>
      </c>
      <c r="G1391" s="40" t="n"/>
      <c r="H1391" s="40" t="n"/>
      <c r="I1391" s="40" t="n">
        <v>1725111</v>
      </c>
      <c r="J1391" s="40" t="inlineStr">
        <is>
          <t>dwellings</t>
        </is>
      </c>
      <c r="K1391" s="40" t="n">
        <v>1725111</v>
      </c>
      <c r="L1391" s="40" t="inlineStr">
        <is>
          <t>dwellings</t>
        </is>
      </c>
      <c r="M1391" s="40" t="inlineStr">
        <is>
          <t>INE</t>
        </is>
      </c>
      <c r="N1391" s="40" t="inlineStr">
        <is>
          <t>OFFICIAL_PRIMARY</t>
        </is>
      </c>
      <c r="O1391" s="40" t="inlineStr">
        <is>
          <t>OFFICIAL_CENSUS</t>
        </is>
      </c>
      <c r="P1391" s="40" t="n">
        <v>1</v>
      </c>
      <c r="Q1391" s="40" t="n">
        <v>95</v>
      </c>
      <c r="R1391" s="40" t="inlineStr">
        <is>
          <t>https://www.ine.gov.py/censo2022/documentos/Tr%C3%ADptico%20Resultados%20Finales_web.pdf</t>
        </is>
      </c>
      <c r="S1391" s="40" t="inlineStr">
        <is>
          <t>V5_CURRENT_BASELINES</t>
        </is>
      </c>
      <c r="T1391" s="40" t="n"/>
      <c r="U1391" s="40" t="inlineStr">
        <is>
          <t>2026-09-11T01:00:00-03:00</t>
        </is>
      </c>
      <c r="V1391" s="40" t="inlineStr">
        <is>
          <t>Dwellings with electric power access</t>
        </is>
      </c>
    </row>
    <row r="1392">
      <c r="A1392" s="40" t="inlineStr">
        <is>
          <t>V5_0051</t>
        </is>
      </c>
      <c r="B1392" s="40" t="inlineStr">
        <is>
          <t>2022-01-01</t>
        </is>
      </c>
      <c r="C1392" s="40" t="inlineStr">
        <is>
          <t>2022-12-31</t>
        </is>
      </c>
      <c r="D1392" s="40" t="inlineStr">
        <is>
          <t>year</t>
        </is>
      </c>
      <c r="E1392" s="40" t="inlineStr">
        <is>
          <t>DWELLINGS_ELECTRICITY_ACCESS_RATE</t>
        </is>
      </c>
      <c r="F1392" s="40" t="inlineStr">
        <is>
          <t>PY_HOUSEHOLDS</t>
        </is>
      </c>
      <c r="G1392" s="40" t="n"/>
      <c r="H1392" s="40" t="n"/>
      <c r="I1392" s="40" t="n">
        <v>98.59999999999999</v>
      </c>
      <c r="J1392" s="40" t="inlineStr">
        <is>
          <t>percent</t>
        </is>
      </c>
      <c r="K1392" s="40" t="n">
        <v>98.59999999999999</v>
      </c>
      <c r="L1392" s="40" t="inlineStr">
        <is>
          <t>percent</t>
        </is>
      </c>
      <c r="M1392" s="40" t="inlineStr">
        <is>
          <t>INE</t>
        </is>
      </c>
      <c r="N1392" s="40" t="inlineStr">
        <is>
          <t>OFFICIAL_PRIMARY</t>
        </is>
      </c>
      <c r="O1392" s="40" t="inlineStr">
        <is>
          <t>OFFICIAL_CENSUS</t>
        </is>
      </c>
      <c r="P1392" s="40" t="n">
        <v>1</v>
      </c>
      <c r="Q1392" s="40" t="n">
        <v>95</v>
      </c>
      <c r="R1392" s="40" t="inlineStr">
        <is>
          <t>https://www.ine.gov.py/censo2022/documentos/Tr%C3%ADptico%20Resultados%20Finales_web.pdf</t>
        </is>
      </c>
      <c r="S1392" s="40" t="inlineStr">
        <is>
          <t>V5_CURRENT_BASELINES</t>
        </is>
      </c>
      <c r="T1392" s="40" t="n"/>
      <c r="U1392" s="40" t="inlineStr">
        <is>
          <t>2026-09-11T01:00:00-03:00</t>
        </is>
      </c>
      <c r="V1392" s="40" t="inlineStr">
        <is>
          <t>Share of occupied private dwellings with electricity</t>
        </is>
      </c>
    </row>
    <row r="1393">
      <c r="A1393" s="40" t="inlineStr">
        <is>
          <t>V5_0052</t>
        </is>
      </c>
      <c r="B1393" s="40" t="inlineStr">
        <is>
          <t>2022-01-01</t>
        </is>
      </c>
      <c r="C1393" s="40" t="inlineStr">
        <is>
          <t>2022-12-31</t>
        </is>
      </c>
      <c r="D1393" s="40" t="inlineStr">
        <is>
          <t>year</t>
        </is>
      </c>
      <c r="E1393" s="40" t="inlineStr">
        <is>
          <t>DWELLINGS_AUTOMATIC_WASHER</t>
        </is>
      </c>
      <c r="F1393" s="40" t="inlineStr">
        <is>
          <t>PY_HOUSEHOLDS</t>
        </is>
      </c>
      <c r="G1393" s="40" t="n"/>
      <c r="H1393" s="40" t="n"/>
      <c r="I1393" s="40" t="n">
        <v>1106542</v>
      </c>
      <c r="J1393" s="40" t="inlineStr">
        <is>
          <t>dwellings</t>
        </is>
      </c>
      <c r="K1393" s="40" t="n">
        <v>1106542</v>
      </c>
      <c r="L1393" s="40" t="inlineStr">
        <is>
          <t>dwellings</t>
        </is>
      </c>
      <c r="M1393" s="40" t="inlineStr">
        <is>
          <t>INE</t>
        </is>
      </c>
      <c r="N1393" s="40" t="inlineStr">
        <is>
          <t>OFFICIAL_PRIMARY</t>
        </is>
      </c>
      <c r="O1393" s="40" t="inlineStr">
        <is>
          <t>OFFICIAL_CENSUS</t>
        </is>
      </c>
      <c r="P1393" s="40" t="n">
        <v>1</v>
      </c>
      <c r="Q1393" s="40" t="n">
        <v>95</v>
      </c>
      <c r="R1393" s="40" t="inlineStr">
        <is>
          <t>https://www.ine.gov.py/censo2022/documentos/Tr%C3%ADptico%20Resultados%20Finales_web.pdf</t>
        </is>
      </c>
      <c r="S1393" s="40" t="inlineStr">
        <is>
          <t>V5_CURRENT_BASELINES</t>
        </is>
      </c>
      <c r="T1393" s="40" t="n"/>
      <c r="U1393" s="40" t="inlineStr">
        <is>
          <t>2026-09-11T01:00:00-03:00</t>
        </is>
      </c>
      <c r="V1393" s="40" t="inlineStr">
        <is>
          <t>Automatic washing machine</t>
        </is>
      </c>
    </row>
    <row r="1394">
      <c r="A1394" s="40" t="inlineStr">
        <is>
          <t>V5_0053</t>
        </is>
      </c>
      <c r="B1394" s="40" t="inlineStr">
        <is>
          <t>2022-01-01</t>
        </is>
      </c>
      <c r="C1394" s="40" t="inlineStr">
        <is>
          <t>2022-12-31</t>
        </is>
      </c>
      <c r="D1394" s="40" t="inlineStr">
        <is>
          <t>year</t>
        </is>
      </c>
      <c r="E1394" s="40" t="inlineStr">
        <is>
          <t>DWELLINGS_AUTOMATIC_WASHER_RATE</t>
        </is>
      </c>
      <c r="F1394" s="40" t="inlineStr">
        <is>
          <t>PY_HOUSEHOLDS</t>
        </is>
      </c>
      <c r="G1394" s="40" t="n"/>
      <c r="H1394" s="40" t="n"/>
      <c r="I1394" s="40" t="n">
        <v>63.3</v>
      </c>
      <c r="J1394" s="40" t="inlineStr">
        <is>
          <t>percent</t>
        </is>
      </c>
      <c r="K1394" s="40" t="n">
        <v>63.3</v>
      </c>
      <c r="L1394" s="40" t="inlineStr">
        <is>
          <t>percent</t>
        </is>
      </c>
      <c r="M1394" s="40" t="inlineStr">
        <is>
          <t>INE</t>
        </is>
      </c>
      <c r="N1394" s="40" t="inlineStr">
        <is>
          <t>OFFICIAL_PRIMARY</t>
        </is>
      </c>
      <c r="O1394" s="40" t="inlineStr">
        <is>
          <t>OFFICIAL_CENSUS</t>
        </is>
      </c>
      <c r="P1394" s="40" t="n">
        <v>1</v>
      </c>
      <c r="Q1394" s="40" t="n">
        <v>95</v>
      </c>
      <c r="R1394" s="40" t="inlineStr">
        <is>
          <t>https://www.ine.gov.py/censo2022/documentos/Tr%C3%ADptico%20Resultados%20Finales_web.pdf</t>
        </is>
      </c>
      <c r="S1394" s="40" t="inlineStr">
        <is>
          <t>V5_CURRENT_BASELINES</t>
        </is>
      </c>
      <c r="T1394" s="40" t="n"/>
      <c r="U1394" s="40" t="inlineStr">
        <is>
          <t>2026-09-11T01:00:00-03:00</t>
        </is>
      </c>
      <c r="V1394" s="40" t="inlineStr">
        <is>
          <t>Automatic washing machine penetration</t>
        </is>
      </c>
    </row>
    <row r="1395">
      <c r="A1395" s="40" t="inlineStr">
        <is>
          <t>V5_0054</t>
        </is>
      </c>
      <c r="B1395" s="40" t="inlineStr">
        <is>
          <t>2022-01-01</t>
        </is>
      </c>
      <c r="C1395" s="40" t="inlineStr">
        <is>
          <t>2022-12-31</t>
        </is>
      </c>
      <c r="D1395" s="40" t="inlineStr">
        <is>
          <t>year</t>
        </is>
      </c>
      <c r="E1395" s="40" t="inlineStr">
        <is>
          <t>DWELLINGS_DRYER</t>
        </is>
      </c>
      <c r="F1395" s="40" t="inlineStr">
        <is>
          <t>PY_HOUSEHOLDS</t>
        </is>
      </c>
      <c r="G1395" s="40" t="n"/>
      <c r="H1395" s="40" t="n"/>
      <c r="I1395" s="40" t="n">
        <v>611264</v>
      </c>
      <c r="J1395" s="40" t="inlineStr">
        <is>
          <t>dwellings</t>
        </is>
      </c>
      <c r="K1395" s="40" t="n">
        <v>611264</v>
      </c>
      <c r="L1395" s="40" t="inlineStr">
        <is>
          <t>dwellings</t>
        </is>
      </c>
      <c r="M1395" s="40" t="inlineStr">
        <is>
          <t>INE</t>
        </is>
      </c>
      <c r="N1395" s="40" t="inlineStr">
        <is>
          <t>OFFICIAL_PRIMARY</t>
        </is>
      </c>
      <c r="O1395" s="40" t="inlineStr">
        <is>
          <t>OFFICIAL_CENSUS</t>
        </is>
      </c>
      <c r="P1395" s="40" t="n">
        <v>1</v>
      </c>
      <c r="Q1395" s="40" t="n">
        <v>95</v>
      </c>
      <c r="R1395" s="40" t="inlineStr">
        <is>
          <t>https://www.ine.gov.py/censo2022/documentos/Tr%C3%ADptico%20Resultados%20Finales_web.pdf</t>
        </is>
      </c>
      <c r="S1395" s="40" t="inlineStr">
        <is>
          <t>V5_CURRENT_BASELINES</t>
        </is>
      </c>
      <c r="T1395" s="40" t="n"/>
      <c r="U1395" s="40" t="inlineStr">
        <is>
          <t>2026-09-11T01:00:00-03:00</t>
        </is>
      </c>
      <c r="V1395" s="40" t="inlineStr">
        <is>
          <t>Clothes dryer</t>
        </is>
      </c>
    </row>
    <row r="1396">
      <c r="A1396" s="40" t="inlineStr">
        <is>
          <t>V5_0055</t>
        </is>
      </c>
      <c r="B1396" s="40" t="inlineStr">
        <is>
          <t>2022-01-01</t>
        </is>
      </c>
      <c r="C1396" s="40" t="inlineStr">
        <is>
          <t>2022-12-31</t>
        </is>
      </c>
      <c r="D1396" s="40" t="inlineStr">
        <is>
          <t>year</t>
        </is>
      </c>
      <c r="E1396" s="40" t="inlineStr">
        <is>
          <t>DWELLINGS_DRYER_RATE</t>
        </is>
      </c>
      <c r="F1396" s="40" t="inlineStr">
        <is>
          <t>PY_HOUSEHOLDS</t>
        </is>
      </c>
      <c r="G1396" s="40" t="n"/>
      <c r="H1396" s="40" t="n"/>
      <c r="I1396" s="40" t="n">
        <v>34.9</v>
      </c>
      <c r="J1396" s="40" t="inlineStr">
        <is>
          <t>percent</t>
        </is>
      </c>
      <c r="K1396" s="40" t="n">
        <v>34.9</v>
      </c>
      <c r="L1396" s="40" t="inlineStr">
        <is>
          <t>percent</t>
        </is>
      </c>
      <c r="M1396" s="40" t="inlineStr">
        <is>
          <t>INE</t>
        </is>
      </c>
      <c r="N1396" s="40" t="inlineStr">
        <is>
          <t>OFFICIAL_PRIMARY</t>
        </is>
      </c>
      <c r="O1396" s="40" t="inlineStr">
        <is>
          <t>OFFICIAL_CENSUS</t>
        </is>
      </c>
      <c r="P1396" s="40" t="n">
        <v>1</v>
      </c>
      <c r="Q1396" s="40" t="n">
        <v>95</v>
      </c>
      <c r="R1396" s="40" t="inlineStr">
        <is>
          <t>https://www.ine.gov.py/censo2022/documentos/Tr%C3%ADptico%20Resultados%20Finales_web.pdf</t>
        </is>
      </c>
      <c r="S1396" s="40" t="inlineStr">
        <is>
          <t>V5_CURRENT_BASELINES</t>
        </is>
      </c>
      <c r="T1396" s="40" t="n"/>
      <c r="U1396" s="40" t="inlineStr">
        <is>
          <t>2026-09-11T01:00:00-03:00</t>
        </is>
      </c>
      <c r="V1396" s="40" t="inlineStr">
        <is>
          <t>Clothes dryer penetration</t>
        </is>
      </c>
    </row>
    <row r="1397">
      <c r="A1397" s="40" t="inlineStr">
        <is>
          <t>V5_0056</t>
        </is>
      </c>
      <c r="B1397" s="40" t="inlineStr">
        <is>
          <t>2022-01-01</t>
        </is>
      </c>
      <c r="C1397" s="40" t="inlineStr">
        <is>
          <t>2022-12-31</t>
        </is>
      </c>
      <c r="D1397" s="40" t="inlineStr">
        <is>
          <t>year</t>
        </is>
      </c>
      <c r="E1397" s="40" t="inlineStr">
        <is>
          <t>DWELLINGS_ELECTRIC_SHOWER</t>
        </is>
      </c>
      <c r="F1397" s="40" t="inlineStr">
        <is>
          <t>PY_HOUSEHOLDS</t>
        </is>
      </c>
      <c r="G1397" s="40" t="n"/>
      <c r="H1397" s="40" t="n"/>
      <c r="I1397" s="40" t="n">
        <v>1155448</v>
      </c>
      <c r="J1397" s="40" t="inlineStr">
        <is>
          <t>dwellings</t>
        </is>
      </c>
      <c r="K1397" s="40" t="n">
        <v>1155448</v>
      </c>
      <c r="L1397" s="40" t="inlineStr">
        <is>
          <t>dwellings</t>
        </is>
      </c>
      <c r="M1397" s="40" t="inlineStr">
        <is>
          <t>INE</t>
        </is>
      </c>
      <c r="N1397" s="40" t="inlineStr">
        <is>
          <t>OFFICIAL_PRIMARY</t>
        </is>
      </c>
      <c r="O1397" s="40" t="inlineStr">
        <is>
          <t>OFFICIAL_CENSUS</t>
        </is>
      </c>
      <c r="P1397" s="40" t="n">
        <v>1</v>
      </c>
      <c r="Q1397" s="40" t="n">
        <v>95</v>
      </c>
      <c r="R1397" s="40" t="inlineStr">
        <is>
          <t>https://www.ine.gov.py/censo2022/documentos/Tr%C3%ADptico%20Resultados%20Finales_web.pdf</t>
        </is>
      </c>
      <c r="S1397" s="40" t="inlineStr">
        <is>
          <t>V5_CURRENT_BASELINES</t>
        </is>
      </c>
      <c r="T1397" s="40" t="n"/>
      <c r="U1397" s="40" t="inlineStr">
        <is>
          <t>2026-09-11T01:00:00-03:00</t>
        </is>
      </c>
      <c r="V1397" s="40" t="inlineStr">
        <is>
          <t>Electric shower</t>
        </is>
      </c>
    </row>
    <row r="1398">
      <c r="A1398" s="40" t="inlineStr">
        <is>
          <t>V5_0057</t>
        </is>
      </c>
      <c r="B1398" s="40" t="inlineStr">
        <is>
          <t>2022-01-01</t>
        </is>
      </c>
      <c r="C1398" s="40" t="inlineStr">
        <is>
          <t>2022-12-31</t>
        </is>
      </c>
      <c r="D1398" s="40" t="inlineStr">
        <is>
          <t>year</t>
        </is>
      </c>
      <c r="E1398" s="40" t="inlineStr">
        <is>
          <t>DWELLINGS_ELECTRIC_SHOWER_RATE</t>
        </is>
      </c>
      <c r="F1398" s="40" t="inlineStr">
        <is>
          <t>PY_HOUSEHOLDS</t>
        </is>
      </c>
      <c r="G1398" s="40" t="n"/>
      <c r="H1398" s="40" t="n"/>
      <c r="I1398" s="40" t="n">
        <v>66.09999999999999</v>
      </c>
      <c r="J1398" s="40" t="inlineStr">
        <is>
          <t>percent</t>
        </is>
      </c>
      <c r="K1398" s="40" t="n">
        <v>66.09999999999999</v>
      </c>
      <c r="L1398" s="40" t="inlineStr">
        <is>
          <t>percent</t>
        </is>
      </c>
      <c r="M1398" s="40" t="inlineStr">
        <is>
          <t>INE</t>
        </is>
      </c>
      <c r="N1398" s="40" t="inlineStr">
        <is>
          <t>OFFICIAL_PRIMARY</t>
        </is>
      </c>
      <c r="O1398" s="40" t="inlineStr">
        <is>
          <t>OFFICIAL_CENSUS</t>
        </is>
      </c>
      <c r="P1398" s="40" t="n">
        <v>1</v>
      </c>
      <c r="Q1398" s="40" t="n">
        <v>95</v>
      </c>
      <c r="R1398" s="40" t="inlineStr">
        <is>
          <t>https://www.ine.gov.py/censo2022/documentos/Tr%C3%ADptico%20Resultados%20Finales_web.pdf</t>
        </is>
      </c>
      <c r="S1398" s="40" t="inlineStr">
        <is>
          <t>V5_CURRENT_BASELINES</t>
        </is>
      </c>
      <c r="T1398" s="40" t="n"/>
      <c r="U1398" s="40" t="inlineStr">
        <is>
          <t>2026-09-11T01:00:00-03:00</t>
        </is>
      </c>
      <c r="V1398" s="40" t="inlineStr">
        <is>
          <t>Electric shower penetration</t>
        </is>
      </c>
    </row>
    <row r="1399">
      <c r="A1399" s="40" t="inlineStr">
        <is>
          <t>V5_0058</t>
        </is>
      </c>
      <c r="B1399" s="40" t="inlineStr">
        <is>
          <t>2022-01-01</t>
        </is>
      </c>
      <c r="C1399" s="40" t="inlineStr">
        <is>
          <t>2022-12-31</t>
        </is>
      </c>
      <c r="D1399" s="40" t="inlineStr">
        <is>
          <t>year</t>
        </is>
      </c>
      <c r="E1399" s="40" t="inlineStr">
        <is>
          <t>DWELLINGS_WATER_HEATER</t>
        </is>
      </c>
      <c r="F1399" s="40" t="inlineStr">
        <is>
          <t>PY_HOUSEHOLDS</t>
        </is>
      </c>
      <c r="G1399" s="40" t="n"/>
      <c r="H1399" s="40" t="n"/>
      <c r="I1399" s="40" t="n">
        <v>354102</v>
      </c>
      <c r="J1399" s="40" t="inlineStr">
        <is>
          <t>dwellings</t>
        </is>
      </c>
      <c r="K1399" s="40" t="n">
        <v>354102</v>
      </c>
      <c r="L1399" s="40" t="inlineStr">
        <is>
          <t>dwellings</t>
        </is>
      </c>
      <c r="M1399" s="40" t="inlineStr">
        <is>
          <t>INE</t>
        </is>
      </c>
      <c r="N1399" s="40" t="inlineStr">
        <is>
          <t>OFFICIAL_PRIMARY</t>
        </is>
      </c>
      <c r="O1399" s="40" t="inlineStr">
        <is>
          <t>OFFICIAL_CENSUS</t>
        </is>
      </c>
      <c r="P1399" s="40" t="n">
        <v>1</v>
      </c>
      <c r="Q1399" s="40" t="n">
        <v>95</v>
      </c>
      <c r="R1399" s="40" t="inlineStr">
        <is>
          <t>https://www.ine.gov.py/censo2022/documentos/Tr%C3%ADptico%20Resultados%20Finales_web.pdf</t>
        </is>
      </c>
      <c r="S1399" s="40" t="inlineStr">
        <is>
          <t>V5_CURRENT_BASELINES</t>
        </is>
      </c>
      <c r="T1399" s="40" t="n"/>
      <c r="U1399" s="40" t="inlineStr">
        <is>
          <t>2026-09-11T01:00:00-03:00</t>
        </is>
      </c>
      <c r="V1399" s="40" t="inlineStr">
        <is>
          <t>Electric/other water heater (termocalefon category)</t>
        </is>
      </c>
    </row>
    <row r="1400">
      <c r="A1400" s="40" t="inlineStr">
        <is>
          <t>V5_0059</t>
        </is>
      </c>
      <c r="B1400" s="40" t="inlineStr">
        <is>
          <t>2022-01-01</t>
        </is>
      </c>
      <c r="C1400" s="40" t="inlineStr">
        <is>
          <t>2022-12-31</t>
        </is>
      </c>
      <c r="D1400" s="40" t="inlineStr">
        <is>
          <t>year</t>
        </is>
      </c>
      <c r="E1400" s="40" t="inlineStr">
        <is>
          <t>DWELLINGS_WATER_HEATER_RATE</t>
        </is>
      </c>
      <c r="F1400" s="40" t="inlineStr">
        <is>
          <t>PY_HOUSEHOLDS</t>
        </is>
      </c>
      <c r="G1400" s="40" t="n"/>
      <c r="H1400" s="40" t="n"/>
      <c r="I1400" s="40" t="n">
        <v>20.2</v>
      </c>
      <c r="J1400" s="40" t="inlineStr">
        <is>
          <t>percent</t>
        </is>
      </c>
      <c r="K1400" s="40" t="n">
        <v>20.2</v>
      </c>
      <c r="L1400" s="40" t="inlineStr">
        <is>
          <t>percent</t>
        </is>
      </c>
      <c r="M1400" s="40" t="inlineStr">
        <is>
          <t>INE</t>
        </is>
      </c>
      <c r="N1400" s="40" t="inlineStr">
        <is>
          <t>OFFICIAL_PRIMARY</t>
        </is>
      </c>
      <c r="O1400" s="40" t="inlineStr">
        <is>
          <t>OFFICIAL_CENSUS</t>
        </is>
      </c>
      <c r="P1400" s="40" t="n">
        <v>1</v>
      </c>
      <c r="Q1400" s="40" t="n">
        <v>95</v>
      </c>
      <c r="R1400" s="40" t="inlineStr">
        <is>
          <t>https://www.ine.gov.py/censo2022/documentos/Tr%C3%ADptico%20Resultados%20Finales_web.pdf</t>
        </is>
      </c>
      <c r="S1400" s="40" t="inlineStr">
        <is>
          <t>V5_CURRENT_BASELINES</t>
        </is>
      </c>
      <c r="T1400" s="40" t="n"/>
      <c r="U1400" s="40" t="inlineStr">
        <is>
          <t>2026-09-11T01:00:00-03:00</t>
        </is>
      </c>
      <c r="V1400" s="40" t="inlineStr">
        <is>
          <t>Water heater penetration</t>
        </is>
      </c>
    </row>
    <row r="1401">
      <c r="A1401" s="40" t="inlineStr">
        <is>
          <t>V5_0060</t>
        </is>
      </c>
      <c r="B1401" s="40" t="inlineStr">
        <is>
          <t>2022-01-01</t>
        </is>
      </c>
      <c r="C1401" s="40" t="inlineStr">
        <is>
          <t>2022-12-31</t>
        </is>
      </c>
      <c r="D1401" s="40" t="inlineStr">
        <is>
          <t>year</t>
        </is>
      </c>
      <c r="E1401" s="40" t="inlineStr">
        <is>
          <t>DWELLINGS_MICROWAVE</t>
        </is>
      </c>
      <c r="F1401" s="40" t="inlineStr">
        <is>
          <t>PY_HOUSEHOLDS</t>
        </is>
      </c>
      <c r="G1401" s="40" t="n"/>
      <c r="H1401" s="40" t="n"/>
      <c r="I1401" s="40" t="n">
        <v>625998</v>
      </c>
      <c r="J1401" s="40" t="inlineStr">
        <is>
          <t>dwellings</t>
        </is>
      </c>
      <c r="K1401" s="40" t="n">
        <v>625998</v>
      </c>
      <c r="L1401" s="40" t="inlineStr">
        <is>
          <t>dwellings</t>
        </is>
      </c>
      <c r="M1401" s="40" t="inlineStr">
        <is>
          <t>INE</t>
        </is>
      </c>
      <c r="N1401" s="40" t="inlineStr">
        <is>
          <t>OFFICIAL_PRIMARY</t>
        </is>
      </c>
      <c r="O1401" s="40" t="inlineStr">
        <is>
          <t>OFFICIAL_CENSUS</t>
        </is>
      </c>
      <c r="P1401" s="40" t="n">
        <v>1</v>
      </c>
      <c r="Q1401" s="40" t="n">
        <v>95</v>
      </c>
      <c r="R1401" s="40" t="inlineStr">
        <is>
          <t>https://www.ine.gov.py/censo2022/documentos/Tr%C3%ADptico%20Resultados%20Finales_web.pdf</t>
        </is>
      </c>
      <c r="S1401" s="40" t="inlineStr">
        <is>
          <t>V5_CURRENT_BASELINES</t>
        </is>
      </c>
      <c r="T1401" s="40" t="n"/>
      <c r="U1401" s="40" t="inlineStr">
        <is>
          <t>2026-09-11T01:00:00-03:00</t>
        </is>
      </c>
      <c r="V1401" s="40" t="inlineStr">
        <is>
          <t>Microwave</t>
        </is>
      </c>
    </row>
    <row r="1402">
      <c r="A1402" s="40" t="inlineStr">
        <is>
          <t>V5_0061</t>
        </is>
      </c>
      <c r="B1402" s="40" t="inlineStr">
        <is>
          <t>2022-01-01</t>
        </is>
      </c>
      <c r="C1402" s="40" t="inlineStr">
        <is>
          <t>2022-12-31</t>
        </is>
      </c>
      <c r="D1402" s="40" t="inlineStr">
        <is>
          <t>year</t>
        </is>
      </c>
      <c r="E1402" s="40" t="inlineStr">
        <is>
          <t>DWELLINGS_MICROWAVE_RATE</t>
        </is>
      </c>
      <c r="F1402" s="40" t="inlineStr">
        <is>
          <t>PY_HOUSEHOLDS</t>
        </is>
      </c>
      <c r="G1402" s="40" t="n"/>
      <c r="H1402" s="40" t="n"/>
      <c r="I1402" s="40" t="n">
        <v>35.8</v>
      </c>
      <c r="J1402" s="40" t="inlineStr">
        <is>
          <t>percent</t>
        </is>
      </c>
      <c r="K1402" s="40" t="n">
        <v>35.8</v>
      </c>
      <c r="L1402" s="40" t="inlineStr">
        <is>
          <t>percent</t>
        </is>
      </c>
      <c r="M1402" s="40" t="inlineStr">
        <is>
          <t>INE</t>
        </is>
      </c>
      <c r="N1402" s="40" t="inlineStr">
        <is>
          <t>OFFICIAL_PRIMARY</t>
        </is>
      </c>
      <c r="O1402" s="40" t="inlineStr">
        <is>
          <t>OFFICIAL_CENSUS</t>
        </is>
      </c>
      <c r="P1402" s="40" t="n">
        <v>1</v>
      </c>
      <c r="Q1402" s="40" t="n">
        <v>95</v>
      </c>
      <c r="R1402" s="40" t="inlineStr">
        <is>
          <t>https://www.ine.gov.py/censo2022/documentos/Tr%C3%ADptico%20Resultados%20Finales_web.pdf</t>
        </is>
      </c>
      <c r="S1402" s="40" t="inlineStr">
        <is>
          <t>V5_CURRENT_BASELINES</t>
        </is>
      </c>
      <c r="T1402" s="40" t="n"/>
      <c r="U1402" s="40" t="inlineStr">
        <is>
          <t>2026-09-11T01:00:00-03:00</t>
        </is>
      </c>
      <c r="V1402" s="40" t="inlineStr">
        <is>
          <t>Microwave penetration</t>
        </is>
      </c>
    </row>
    <row r="1403">
      <c r="A1403" s="40" t="inlineStr">
        <is>
          <t>V5_0062</t>
        </is>
      </c>
      <c r="B1403" s="40" t="inlineStr">
        <is>
          <t>2022-01-01</t>
        </is>
      </c>
      <c r="C1403" s="40" t="inlineStr">
        <is>
          <t>2022-12-31</t>
        </is>
      </c>
      <c r="D1403" s="40" t="inlineStr">
        <is>
          <t>year</t>
        </is>
      </c>
      <c r="E1403" s="40" t="inlineStr">
        <is>
          <t>DWELLINGS_AIR_CONDITIONER</t>
        </is>
      </c>
      <c r="F1403" s="40" t="inlineStr">
        <is>
          <t>PY_HOUSEHOLDS</t>
        </is>
      </c>
      <c r="G1403" s="40" t="n"/>
      <c r="H1403" s="40" t="n"/>
      <c r="I1403" s="40" t="n">
        <v>930301</v>
      </c>
      <c r="J1403" s="40" t="inlineStr">
        <is>
          <t>dwellings</t>
        </is>
      </c>
      <c r="K1403" s="40" t="n">
        <v>930301</v>
      </c>
      <c r="L1403" s="40" t="inlineStr">
        <is>
          <t>dwellings</t>
        </is>
      </c>
      <c r="M1403" s="40" t="inlineStr">
        <is>
          <t>INE</t>
        </is>
      </c>
      <c r="N1403" s="40" t="inlineStr">
        <is>
          <t>OFFICIAL_PRIMARY</t>
        </is>
      </c>
      <c r="O1403" s="40" t="inlineStr">
        <is>
          <t>OFFICIAL_CENSUS</t>
        </is>
      </c>
      <c r="P1403" s="40" t="n">
        <v>1</v>
      </c>
      <c r="Q1403" s="40" t="n">
        <v>95</v>
      </c>
      <c r="R1403" s="40" t="inlineStr">
        <is>
          <t>https://www.ine.gov.py/censo2022/documentos/Tr%C3%ADptico%20Resultados%20Finales_web.pdf</t>
        </is>
      </c>
      <c r="S1403" s="40" t="inlineStr">
        <is>
          <t>V5_CURRENT_BASELINES</t>
        </is>
      </c>
      <c r="T1403" s="40" t="n"/>
      <c r="U1403" s="40" t="inlineStr">
        <is>
          <t>2026-09-11T01:00:00-03:00</t>
        </is>
      </c>
      <c r="V1403" s="40" t="inlineStr">
        <is>
          <t>Air conditioner</t>
        </is>
      </c>
    </row>
    <row r="1404">
      <c r="A1404" s="40" t="inlineStr">
        <is>
          <t>V5_0063</t>
        </is>
      </c>
      <c r="B1404" s="40" t="inlineStr">
        <is>
          <t>2022-01-01</t>
        </is>
      </c>
      <c r="C1404" s="40" t="inlineStr">
        <is>
          <t>2022-12-31</t>
        </is>
      </c>
      <c r="D1404" s="40" t="inlineStr">
        <is>
          <t>year</t>
        </is>
      </c>
      <c r="E1404" s="40" t="inlineStr">
        <is>
          <t>DWELLINGS_AIR_CONDITIONER_RATE</t>
        </is>
      </c>
      <c r="F1404" s="40" t="inlineStr">
        <is>
          <t>PY_HOUSEHOLDS</t>
        </is>
      </c>
      <c r="G1404" s="40" t="n"/>
      <c r="H1404" s="40" t="n"/>
      <c r="I1404" s="40" t="n">
        <v>53.2</v>
      </c>
      <c r="J1404" s="40" t="inlineStr">
        <is>
          <t>percent</t>
        </is>
      </c>
      <c r="K1404" s="40" t="n">
        <v>53.2</v>
      </c>
      <c r="L1404" s="40" t="inlineStr">
        <is>
          <t>percent</t>
        </is>
      </c>
      <c r="M1404" s="40" t="inlineStr">
        <is>
          <t>INE</t>
        </is>
      </c>
      <c r="N1404" s="40" t="inlineStr">
        <is>
          <t>OFFICIAL_PRIMARY</t>
        </is>
      </c>
      <c r="O1404" s="40" t="inlineStr">
        <is>
          <t>OFFICIAL_CENSUS</t>
        </is>
      </c>
      <c r="P1404" s="40" t="n">
        <v>1</v>
      </c>
      <c r="Q1404" s="40" t="n">
        <v>95</v>
      </c>
      <c r="R1404" s="40" t="inlineStr">
        <is>
          <t>https://www.ine.gov.py/censo2022/documentos/Tr%C3%ADptico%20Resultados%20Finales_web.pdf</t>
        </is>
      </c>
      <c r="S1404" s="40" t="inlineStr">
        <is>
          <t>V5_CURRENT_BASELINES</t>
        </is>
      </c>
      <c r="T1404" s="40" t="n"/>
      <c r="U1404" s="40" t="inlineStr">
        <is>
          <t>2026-09-11T01:00:00-03:00</t>
        </is>
      </c>
      <c r="V1404" s="40" t="inlineStr">
        <is>
          <t>Air-conditioner penetration</t>
        </is>
      </c>
    </row>
    <row r="1405">
      <c r="A1405" s="40" t="inlineStr">
        <is>
          <t>V5_0064</t>
        </is>
      </c>
      <c r="B1405" s="40" t="inlineStr">
        <is>
          <t>2026-01-01</t>
        </is>
      </c>
      <c r="C1405" s="40" t="inlineStr">
        <is>
          <t>2030-12-31</t>
        </is>
      </c>
      <c r="D1405" s="40" t="inlineStr">
        <is>
          <t>plan</t>
        </is>
      </c>
      <c r="E1405" s="40" t="inlineStr">
        <is>
          <t>NEW_USERS_PLANNED_TO_2030</t>
        </is>
      </c>
      <c r="F1405" s="40" t="inlineStr">
        <is>
          <t>PY_SIN</t>
        </is>
      </c>
      <c r="G1405" s="40" t="n"/>
      <c r="H1405" s="40" t="n"/>
      <c r="I1405" s="40" t="n">
        <v>383000</v>
      </c>
      <c r="J1405" s="40" t="inlineStr">
        <is>
          <t>users</t>
        </is>
      </c>
      <c r="K1405" s="40" t="n">
        <v>383000</v>
      </c>
      <c r="L1405" s="40" t="inlineStr">
        <is>
          <t>users</t>
        </is>
      </c>
      <c r="M1405" s="40" t="inlineStr">
        <is>
          <t>ANDE</t>
        </is>
      </c>
      <c r="N1405" s="40" t="inlineStr">
        <is>
          <t>OFFICIAL_PRIMARY</t>
        </is>
      </c>
      <c r="O1405" s="40" t="inlineStr">
        <is>
          <t>OFFICIAL_PLAN</t>
        </is>
      </c>
      <c r="P1405" s="40" t="n">
        <v>1</v>
      </c>
      <c r="Q1405" s="40" t="n">
        <v>95</v>
      </c>
      <c r="R1405" s="40" t="inlineStr">
        <is>
          <t>https://www.ande.gov.py/finanzas/BAGP%202025%20ANDE.pdf</t>
        </is>
      </c>
      <c r="S1405" s="40" t="inlineStr">
        <is>
          <t>V5_CURRENT_BASELINES</t>
        </is>
      </c>
      <c r="T1405" s="40" t="n"/>
      <c r="U1405" s="40" t="inlineStr">
        <is>
          <t>2026-09-11T01:00:00-03:00</t>
        </is>
      </c>
      <c r="V1405" s="40" t="inlineStr">
        <is>
          <t>BAGP 2025 states projected connection of 383,000 new users by 2030.</t>
        </is>
      </c>
    </row>
    <row r="1406">
      <c r="A1406" s="40" t="inlineStr">
        <is>
          <t>V5_0065</t>
        </is>
      </c>
      <c r="B1406" s="40" t="inlineStr">
        <is>
          <t>2026-01-01</t>
        </is>
      </c>
      <c r="C1406" s="40" t="inlineStr">
        <is>
          <t>2028-12-31</t>
        </is>
      </c>
      <c r="D1406" s="40" t="inlineStr">
        <is>
          <t>plan</t>
        </is>
      </c>
      <c r="E1406" s="40" t="inlineStr">
        <is>
          <t>NATIONAL_ELECTRIFICATION_TARGET</t>
        </is>
      </c>
      <c r="F1406" s="40" t="inlineStr">
        <is>
          <t>PY_SIN</t>
        </is>
      </c>
      <c r="G1406" s="40" t="n"/>
      <c r="H1406" s="40" t="n"/>
      <c r="I1406" s="40" t="n">
        <v>100</v>
      </c>
      <c r="J1406" s="40" t="inlineStr">
        <is>
          <t>percent</t>
        </is>
      </c>
      <c r="K1406" s="40" t="n">
        <v>100</v>
      </c>
      <c r="L1406" s="40" t="inlineStr">
        <is>
          <t>percent</t>
        </is>
      </c>
      <c r="M1406" s="40" t="inlineStr">
        <is>
          <t>ANDE</t>
        </is>
      </c>
      <c r="N1406" s="40" t="inlineStr">
        <is>
          <t>OFFICIAL_PRIMARY</t>
        </is>
      </c>
      <c r="O1406" s="40" t="inlineStr">
        <is>
          <t>OFFICIAL_PLAN</t>
        </is>
      </c>
      <c r="P1406" s="40" t="n">
        <v>1</v>
      </c>
      <c r="Q1406" s="40" t="n">
        <v>95</v>
      </c>
      <c r="R1406" s="40" t="inlineStr">
        <is>
          <t>https://www.ande.gov.py/finanzas/BAGP%202025%20ANDE.pdf</t>
        </is>
      </c>
      <c r="S1406" s="40" t="inlineStr">
        <is>
          <t>V5_CURRENT_BASELINES</t>
        </is>
      </c>
      <c r="T1406" s="40" t="n"/>
      <c r="U1406" s="40" t="inlineStr">
        <is>
          <t>2026-09-11T01:00:00-03:00</t>
        </is>
      </c>
      <c r="V1406" s="40" t="inlineStr">
        <is>
          <t>Target of 100% national electricity coverage by 2028.</t>
        </is>
      </c>
    </row>
    <row r="1407">
      <c r="A1407" s="40" t="inlineStr">
        <is>
          <t>V5_0066</t>
        </is>
      </c>
      <c r="B1407" s="40" t="inlineStr">
        <is>
          <t>2025-01-01</t>
        </is>
      </c>
      <c r="C1407" s="40" t="inlineStr">
        <is>
          <t>2028-12-31</t>
        </is>
      </c>
      <c r="D1407" s="40" t="inlineStr">
        <is>
          <t>plan</t>
        </is>
      </c>
      <c r="E1407" s="40" t="inlineStr">
        <is>
          <t>DISTRIBUTION_LOSS_TARGET_2028</t>
        </is>
      </c>
      <c r="F1407" s="40" t="inlineStr">
        <is>
          <t>PY_GRID</t>
        </is>
      </c>
      <c r="G1407" s="40" t="n"/>
      <c r="H1407" s="40" t="n"/>
      <c r="I1407" s="40" t="n">
        <v>15</v>
      </c>
      <c r="J1407" s="40" t="inlineStr">
        <is>
          <t>percent</t>
        </is>
      </c>
      <c r="K1407" s="40" t="n">
        <v>15</v>
      </c>
      <c r="L1407" s="40" t="inlineStr">
        <is>
          <t>percent</t>
        </is>
      </c>
      <c r="M1407" s="40" t="inlineStr">
        <is>
          <t>ANDE</t>
        </is>
      </c>
      <c r="N1407" s="40" t="inlineStr">
        <is>
          <t>OFFICIAL_PRIMARY</t>
        </is>
      </c>
      <c r="O1407" s="40" t="inlineStr">
        <is>
          <t>OFFICIAL_PLAN</t>
        </is>
      </c>
      <c r="P1407" s="40" t="n">
        <v>1</v>
      </c>
      <c r="Q1407" s="40" t="n">
        <v>95</v>
      </c>
      <c r="R1407" s="40" t="inlineStr">
        <is>
          <t>https://www.ande.gov.py/interna.php?id=15116</t>
        </is>
      </c>
      <c r="S1407" s="40" t="inlineStr">
        <is>
          <t>V5_CURRENT_BASELINES</t>
        </is>
      </c>
      <c r="T1407" s="40" t="n"/>
      <c r="U1407" s="40" t="inlineStr">
        <is>
          <t>2026-09-11T01:00:00-03:00</t>
        </is>
      </c>
      <c r="V1407" s="40" t="inlineStr">
        <is>
          <t>ANDE target for total distribution losses by end-2028.</t>
        </is>
      </c>
    </row>
  </sheetData>
  <autoFilter ref="A1:V134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  <hyperlink xmlns:r="http://schemas.openxmlformats.org/officeDocument/2006/relationships" ref="R169" r:id="rId168"/>
    <hyperlink xmlns:r="http://schemas.openxmlformats.org/officeDocument/2006/relationships" ref="R170" r:id="rId169"/>
    <hyperlink xmlns:r="http://schemas.openxmlformats.org/officeDocument/2006/relationships" ref="R171" r:id="rId170"/>
    <hyperlink xmlns:r="http://schemas.openxmlformats.org/officeDocument/2006/relationships" ref="R172" r:id="rId171"/>
    <hyperlink xmlns:r="http://schemas.openxmlformats.org/officeDocument/2006/relationships" ref="R173" r:id="rId172"/>
    <hyperlink xmlns:r="http://schemas.openxmlformats.org/officeDocument/2006/relationships" ref="R174" r:id="rId173"/>
    <hyperlink xmlns:r="http://schemas.openxmlformats.org/officeDocument/2006/relationships" ref="R175" r:id="rId174"/>
    <hyperlink xmlns:r="http://schemas.openxmlformats.org/officeDocument/2006/relationships" ref="R176" r:id="rId175"/>
    <hyperlink xmlns:r="http://schemas.openxmlformats.org/officeDocument/2006/relationships" ref="R177" r:id="rId176"/>
    <hyperlink xmlns:r="http://schemas.openxmlformats.org/officeDocument/2006/relationships" ref="R178" r:id="rId177"/>
    <hyperlink xmlns:r="http://schemas.openxmlformats.org/officeDocument/2006/relationships" ref="R179" r:id="rId178"/>
    <hyperlink xmlns:r="http://schemas.openxmlformats.org/officeDocument/2006/relationships" ref="R180" r:id="rId179"/>
    <hyperlink xmlns:r="http://schemas.openxmlformats.org/officeDocument/2006/relationships" ref="R181" r:id="rId180"/>
    <hyperlink xmlns:r="http://schemas.openxmlformats.org/officeDocument/2006/relationships" ref="R182" r:id="rId181"/>
    <hyperlink xmlns:r="http://schemas.openxmlformats.org/officeDocument/2006/relationships" ref="R183" r:id="rId182"/>
    <hyperlink xmlns:r="http://schemas.openxmlformats.org/officeDocument/2006/relationships" ref="R184" r:id="rId183"/>
    <hyperlink xmlns:r="http://schemas.openxmlformats.org/officeDocument/2006/relationships" ref="R185" r:id="rId184"/>
    <hyperlink xmlns:r="http://schemas.openxmlformats.org/officeDocument/2006/relationships" ref="R186" r:id="rId185"/>
    <hyperlink xmlns:r="http://schemas.openxmlformats.org/officeDocument/2006/relationships" ref="R187" r:id="rId186"/>
    <hyperlink xmlns:r="http://schemas.openxmlformats.org/officeDocument/2006/relationships" ref="R188" r:id="rId187"/>
    <hyperlink xmlns:r="http://schemas.openxmlformats.org/officeDocument/2006/relationships" ref="R189" r:id="rId188"/>
    <hyperlink xmlns:r="http://schemas.openxmlformats.org/officeDocument/2006/relationships" ref="R190" r:id="rId189"/>
    <hyperlink xmlns:r="http://schemas.openxmlformats.org/officeDocument/2006/relationships" ref="R191" r:id="rId190"/>
    <hyperlink xmlns:r="http://schemas.openxmlformats.org/officeDocument/2006/relationships" ref="R192" r:id="rId191"/>
    <hyperlink xmlns:r="http://schemas.openxmlformats.org/officeDocument/2006/relationships" ref="R193" r:id="rId192"/>
    <hyperlink xmlns:r="http://schemas.openxmlformats.org/officeDocument/2006/relationships" ref="R194" r:id="rId193"/>
    <hyperlink xmlns:r="http://schemas.openxmlformats.org/officeDocument/2006/relationships" ref="R195" r:id="rId194"/>
    <hyperlink xmlns:r="http://schemas.openxmlformats.org/officeDocument/2006/relationships" ref="R196" r:id="rId195"/>
    <hyperlink xmlns:r="http://schemas.openxmlformats.org/officeDocument/2006/relationships" ref="R197" r:id="rId196"/>
    <hyperlink xmlns:r="http://schemas.openxmlformats.org/officeDocument/2006/relationships" ref="R198" r:id="rId197"/>
    <hyperlink xmlns:r="http://schemas.openxmlformats.org/officeDocument/2006/relationships" ref="R199" r:id="rId198"/>
    <hyperlink xmlns:r="http://schemas.openxmlformats.org/officeDocument/2006/relationships" ref="R200" r:id="rId199"/>
    <hyperlink xmlns:r="http://schemas.openxmlformats.org/officeDocument/2006/relationships" ref="R201" r:id="rId200"/>
    <hyperlink xmlns:r="http://schemas.openxmlformats.org/officeDocument/2006/relationships" ref="R202" r:id="rId201"/>
    <hyperlink xmlns:r="http://schemas.openxmlformats.org/officeDocument/2006/relationships" ref="R203" r:id="rId202"/>
    <hyperlink xmlns:r="http://schemas.openxmlformats.org/officeDocument/2006/relationships" ref="R204" r:id="rId203"/>
    <hyperlink xmlns:r="http://schemas.openxmlformats.org/officeDocument/2006/relationships" ref="R205" r:id="rId204"/>
    <hyperlink xmlns:r="http://schemas.openxmlformats.org/officeDocument/2006/relationships" ref="R206" r:id="rId205"/>
    <hyperlink xmlns:r="http://schemas.openxmlformats.org/officeDocument/2006/relationships" ref="R207" r:id="rId206"/>
    <hyperlink xmlns:r="http://schemas.openxmlformats.org/officeDocument/2006/relationships" ref="R208" r:id="rId207"/>
    <hyperlink xmlns:r="http://schemas.openxmlformats.org/officeDocument/2006/relationships" ref="R209" r:id="rId208"/>
    <hyperlink xmlns:r="http://schemas.openxmlformats.org/officeDocument/2006/relationships" ref="R210" r:id="rId209"/>
    <hyperlink xmlns:r="http://schemas.openxmlformats.org/officeDocument/2006/relationships" ref="R211" r:id="rId210"/>
    <hyperlink xmlns:r="http://schemas.openxmlformats.org/officeDocument/2006/relationships" ref="R212" r:id="rId211"/>
    <hyperlink xmlns:r="http://schemas.openxmlformats.org/officeDocument/2006/relationships" ref="R213" r:id="rId212"/>
    <hyperlink xmlns:r="http://schemas.openxmlformats.org/officeDocument/2006/relationships" ref="R214" r:id="rId213"/>
    <hyperlink xmlns:r="http://schemas.openxmlformats.org/officeDocument/2006/relationships" ref="R215" r:id="rId214"/>
    <hyperlink xmlns:r="http://schemas.openxmlformats.org/officeDocument/2006/relationships" ref="R216" r:id="rId215"/>
    <hyperlink xmlns:r="http://schemas.openxmlformats.org/officeDocument/2006/relationships" ref="R217" r:id="rId216"/>
    <hyperlink xmlns:r="http://schemas.openxmlformats.org/officeDocument/2006/relationships" ref="R218" r:id="rId217"/>
    <hyperlink xmlns:r="http://schemas.openxmlformats.org/officeDocument/2006/relationships" ref="R219" r:id="rId218"/>
    <hyperlink xmlns:r="http://schemas.openxmlformats.org/officeDocument/2006/relationships" ref="R220" r:id="rId219"/>
    <hyperlink xmlns:r="http://schemas.openxmlformats.org/officeDocument/2006/relationships" ref="R221" r:id="rId220"/>
    <hyperlink xmlns:r="http://schemas.openxmlformats.org/officeDocument/2006/relationships" ref="R222" r:id="rId221"/>
    <hyperlink xmlns:r="http://schemas.openxmlformats.org/officeDocument/2006/relationships" ref="R223" r:id="rId222"/>
    <hyperlink xmlns:r="http://schemas.openxmlformats.org/officeDocument/2006/relationships" ref="R224" r:id="rId223"/>
    <hyperlink xmlns:r="http://schemas.openxmlformats.org/officeDocument/2006/relationships" ref="R225" r:id="rId224"/>
    <hyperlink xmlns:r="http://schemas.openxmlformats.org/officeDocument/2006/relationships" ref="R226" r:id="rId225"/>
    <hyperlink xmlns:r="http://schemas.openxmlformats.org/officeDocument/2006/relationships" ref="R227" r:id="rId226"/>
    <hyperlink xmlns:r="http://schemas.openxmlformats.org/officeDocument/2006/relationships" ref="R228" r:id="rId227"/>
    <hyperlink xmlns:r="http://schemas.openxmlformats.org/officeDocument/2006/relationships" ref="R229" r:id="rId228"/>
    <hyperlink xmlns:r="http://schemas.openxmlformats.org/officeDocument/2006/relationships" ref="R230" r:id="rId229"/>
    <hyperlink xmlns:r="http://schemas.openxmlformats.org/officeDocument/2006/relationships" ref="R231" r:id="rId230"/>
    <hyperlink xmlns:r="http://schemas.openxmlformats.org/officeDocument/2006/relationships" ref="R232" r:id="rId231"/>
    <hyperlink xmlns:r="http://schemas.openxmlformats.org/officeDocument/2006/relationships" ref="R233" r:id="rId232"/>
    <hyperlink xmlns:r="http://schemas.openxmlformats.org/officeDocument/2006/relationships" ref="R234" r:id="rId233"/>
    <hyperlink xmlns:r="http://schemas.openxmlformats.org/officeDocument/2006/relationships" ref="R235" r:id="rId234"/>
    <hyperlink xmlns:r="http://schemas.openxmlformats.org/officeDocument/2006/relationships" ref="R236" r:id="rId235"/>
    <hyperlink xmlns:r="http://schemas.openxmlformats.org/officeDocument/2006/relationships" ref="R237" r:id="rId236"/>
    <hyperlink xmlns:r="http://schemas.openxmlformats.org/officeDocument/2006/relationships" ref="R238" r:id="rId237"/>
    <hyperlink xmlns:r="http://schemas.openxmlformats.org/officeDocument/2006/relationships" ref="R239" r:id="rId238"/>
    <hyperlink xmlns:r="http://schemas.openxmlformats.org/officeDocument/2006/relationships" ref="R240" r:id="rId239"/>
    <hyperlink xmlns:r="http://schemas.openxmlformats.org/officeDocument/2006/relationships" ref="R241" r:id="rId240"/>
    <hyperlink xmlns:r="http://schemas.openxmlformats.org/officeDocument/2006/relationships" ref="R242" r:id="rId241"/>
    <hyperlink xmlns:r="http://schemas.openxmlformats.org/officeDocument/2006/relationships" ref="R243" r:id="rId242"/>
    <hyperlink xmlns:r="http://schemas.openxmlformats.org/officeDocument/2006/relationships" ref="R244" r:id="rId243"/>
    <hyperlink xmlns:r="http://schemas.openxmlformats.org/officeDocument/2006/relationships" ref="R245" r:id="rId244"/>
    <hyperlink xmlns:r="http://schemas.openxmlformats.org/officeDocument/2006/relationships" ref="R246" r:id="rId245"/>
    <hyperlink xmlns:r="http://schemas.openxmlformats.org/officeDocument/2006/relationships" ref="R247" r:id="rId246"/>
    <hyperlink xmlns:r="http://schemas.openxmlformats.org/officeDocument/2006/relationships" ref="R248" r:id="rId247"/>
    <hyperlink xmlns:r="http://schemas.openxmlformats.org/officeDocument/2006/relationships" ref="R249" r:id="rId248"/>
    <hyperlink xmlns:r="http://schemas.openxmlformats.org/officeDocument/2006/relationships" ref="R250" r:id="rId249"/>
    <hyperlink xmlns:r="http://schemas.openxmlformats.org/officeDocument/2006/relationships" ref="R251" r:id="rId250"/>
    <hyperlink xmlns:r="http://schemas.openxmlformats.org/officeDocument/2006/relationships" ref="R252" r:id="rId251"/>
    <hyperlink xmlns:r="http://schemas.openxmlformats.org/officeDocument/2006/relationships" ref="R253" r:id="rId252"/>
    <hyperlink xmlns:r="http://schemas.openxmlformats.org/officeDocument/2006/relationships" ref="R254" r:id="rId253"/>
    <hyperlink xmlns:r="http://schemas.openxmlformats.org/officeDocument/2006/relationships" ref="R255" r:id="rId254"/>
    <hyperlink xmlns:r="http://schemas.openxmlformats.org/officeDocument/2006/relationships" ref="R256" r:id="rId255"/>
    <hyperlink xmlns:r="http://schemas.openxmlformats.org/officeDocument/2006/relationships" ref="R257" r:id="rId256"/>
    <hyperlink xmlns:r="http://schemas.openxmlformats.org/officeDocument/2006/relationships" ref="R258" r:id="rId257"/>
    <hyperlink xmlns:r="http://schemas.openxmlformats.org/officeDocument/2006/relationships" ref="R259" r:id="rId258"/>
    <hyperlink xmlns:r="http://schemas.openxmlformats.org/officeDocument/2006/relationships" ref="R260" r:id="rId259"/>
    <hyperlink xmlns:r="http://schemas.openxmlformats.org/officeDocument/2006/relationships" ref="R261" r:id="rId260"/>
    <hyperlink xmlns:r="http://schemas.openxmlformats.org/officeDocument/2006/relationships" ref="R262" r:id="rId261"/>
    <hyperlink xmlns:r="http://schemas.openxmlformats.org/officeDocument/2006/relationships" ref="R263" r:id="rId262"/>
    <hyperlink xmlns:r="http://schemas.openxmlformats.org/officeDocument/2006/relationships" ref="R264" r:id="rId263"/>
    <hyperlink xmlns:r="http://schemas.openxmlformats.org/officeDocument/2006/relationships" ref="R265" r:id="rId264"/>
    <hyperlink xmlns:r="http://schemas.openxmlformats.org/officeDocument/2006/relationships" ref="R266" r:id="rId265"/>
    <hyperlink xmlns:r="http://schemas.openxmlformats.org/officeDocument/2006/relationships" ref="R267" r:id="rId266"/>
    <hyperlink xmlns:r="http://schemas.openxmlformats.org/officeDocument/2006/relationships" ref="R268" r:id="rId267"/>
    <hyperlink xmlns:r="http://schemas.openxmlformats.org/officeDocument/2006/relationships" ref="R269" r:id="rId268"/>
    <hyperlink xmlns:r="http://schemas.openxmlformats.org/officeDocument/2006/relationships" ref="R270" r:id="rId269"/>
    <hyperlink xmlns:r="http://schemas.openxmlformats.org/officeDocument/2006/relationships" ref="R271" r:id="rId270"/>
    <hyperlink xmlns:r="http://schemas.openxmlformats.org/officeDocument/2006/relationships" ref="R272" r:id="rId271"/>
    <hyperlink xmlns:r="http://schemas.openxmlformats.org/officeDocument/2006/relationships" ref="R273" r:id="rId272"/>
    <hyperlink xmlns:r="http://schemas.openxmlformats.org/officeDocument/2006/relationships" ref="R274" r:id="rId273"/>
    <hyperlink xmlns:r="http://schemas.openxmlformats.org/officeDocument/2006/relationships" ref="R275" r:id="rId274"/>
    <hyperlink xmlns:r="http://schemas.openxmlformats.org/officeDocument/2006/relationships" ref="R276" r:id="rId275"/>
    <hyperlink xmlns:r="http://schemas.openxmlformats.org/officeDocument/2006/relationships" ref="R277" r:id="rId276"/>
    <hyperlink xmlns:r="http://schemas.openxmlformats.org/officeDocument/2006/relationships" ref="R278" r:id="rId277"/>
    <hyperlink xmlns:r="http://schemas.openxmlformats.org/officeDocument/2006/relationships" ref="R279" r:id="rId278"/>
    <hyperlink xmlns:r="http://schemas.openxmlformats.org/officeDocument/2006/relationships" ref="R280" r:id="rId279"/>
    <hyperlink xmlns:r="http://schemas.openxmlformats.org/officeDocument/2006/relationships" ref="R281" r:id="rId280"/>
    <hyperlink xmlns:r="http://schemas.openxmlformats.org/officeDocument/2006/relationships" ref="R282" r:id="rId281"/>
    <hyperlink xmlns:r="http://schemas.openxmlformats.org/officeDocument/2006/relationships" ref="R283" r:id="rId282"/>
    <hyperlink xmlns:r="http://schemas.openxmlformats.org/officeDocument/2006/relationships" ref="R284" r:id="rId283"/>
    <hyperlink xmlns:r="http://schemas.openxmlformats.org/officeDocument/2006/relationships" ref="R285" r:id="rId284"/>
    <hyperlink xmlns:r="http://schemas.openxmlformats.org/officeDocument/2006/relationships" ref="R286" r:id="rId285"/>
    <hyperlink xmlns:r="http://schemas.openxmlformats.org/officeDocument/2006/relationships" ref="R287" r:id="rId286"/>
    <hyperlink xmlns:r="http://schemas.openxmlformats.org/officeDocument/2006/relationships" ref="R288" r:id="rId287"/>
    <hyperlink xmlns:r="http://schemas.openxmlformats.org/officeDocument/2006/relationships" ref="R289" r:id="rId288"/>
    <hyperlink xmlns:r="http://schemas.openxmlformats.org/officeDocument/2006/relationships" ref="R290" r:id="rId289"/>
    <hyperlink xmlns:r="http://schemas.openxmlformats.org/officeDocument/2006/relationships" ref="R291" r:id="rId290"/>
    <hyperlink xmlns:r="http://schemas.openxmlformats.org/officeDocument/2006/relationships" ref="R292" r:id="rId291"/>
    <hyperlink xmlns:r="http://schemas.openxmlformats.org/officeDocument/2006/relationships" ref="R293" r:id="rId292"/>
    <hyperlink xmlns:r="http://schemas.openxmlformats.org/officeDocument/2006/relationships" ref="R294" r:id="rId293"/>
    <hyperlink xmlns:r="http://schemas.openxmlformats.org/officeDocument/2006/relationships" ref="R295" r:id="rId294"/>
    <hyperlink xmlns:r="http://schemas.openxmlformats.org/officeDocument/2006/relationships" ref="R296" r:id="rId295"/>
    <hyperlink xmlns:r="http://schemas.openxmlformats.org/officeDocument/2006/relationships" ref="R297" r:id="rId296"/>
    <hyperlink xmlns:r="http://schemas.openxmlformats.org/officeDocument/2006/relationships" ref="R298" r:id="rId297"/>
    <hyperlink xmlns:r="http://schemas.openxmlformats.org/officeDocument/2006/relationships" ref="R299" r:id="rId298"/>
    <hyperlink xmlns:r="http://schemas.openxmlformats.org/officeDocument/2006/relationships" ref="R300" r:id="rId299"/>
    <hyperlink xmlns:r="http://schemas.openxmlformats.org/officeDocument/2006/relationships" ref="R301" r:id="rId300"/>
    <hyperlink xmlns:r="http://schemas.openxmlformats.org/officeDocument/2006/relationships" ref="R302" r:id="rId301"/>
    <hyperlink xmlns:r="http://schemas.openxmlformats.org/officeDocument/2006/relationships" ref="R303" r:id="rId302"/>
    <hyperlink xmlns:r="http://schemas.openxmlformats.org/officeDocument/2006/relationships" ref="R304" r:id="rId303"/>
    <hyperlink xmlns:r="http://schemas.openxmlformats.org/officeDocument/2006/relationships" ref="R305" r:id="rId304"/>
    <hyperlink xmlns:r="http://schemas.openxmlformats.org/officeDocument/2006/relationships" ref="R306" r:id="rId305"/>
    <hyperlink xmlns:r="http://schemas.openxmlformats.org/officeDocument/2006/relationships" ref="R307" r:id="rId306"/>
    <hyperlink xmlns:r="http://schemas.openxmlformats.org/officeDocument/2006/relationships" ref="R308" r:id="rId307"/>
    <hyperlink xmlns:r="http://schemas.openxmlformats.org/officeDocument/2006/relationships" ref="R309" r:id="rId308"/>
    <hyperlink xmlns:r="http://schemas.openxmlformats.org/officeDocument/2006/relationships" ref="R310" r:id="rId309"/>
    <hyperlink xmlns:r="http://schemas.openxmlformats.org/officeDocument/2006/relationships" ref="R311" r:id="rId310"/>
    <hyperlink xmlns:r="http://schemas.openxmlformats.org/officeDocument/2006/relationships" ref="R312" r:id="rId311"/>
    <hyperlink xmlns:r="http://schemas.openxmlformats.org/officeDocument/2006/relationships" ref="R313" r:id="rId312"/>
    <hyperlink xmlns:r="http://schemas.openxmlformats.org/officeDocument/2006/relationships" ref="R314" r:id="rId313"/>
    <hyperlink xmlns:r="http://schemas.openxmlformats.org/officeDocument/2006/relationships" ref="R315" r:id="rId314"/>
    <hyperlink xmlns:r="http://schemas.openxmlformats.org/officeDocument/2006/relationships" ref="R316" r:id="rId315"/>
    <hyperlink xmlns:r="http://schemas.openxmlformats.org/officeDocument/2006/relationships" ref="R317" r:id="rId316"/>
    <hyperlink xmlns:r="http://schemas.openxmlformats.org/officeDocument/2006/relationships" ref="R318" r:id="rId317"/>
    <hyperlink xmlns:r="http://schemas.openxmlformats.org/officeDocument/2006/relationships" ref="R319" r:id="rId318"/>
    <hyperlink xmlns:r="http://schemas.openxmlformats.org/officeDocument/2006/relationships" ref="R320" r:id="rId319"/>
    <hyperlink xmlns:r="http://schemas.openxmlformats.org/officeDocument/2006/relationships" ref="R321" r:id="rId320"/>
    <hyperlink xmlns:r="http://schemas.openxmlformats.org/officeDocument/2006/relationships" ref="R322" r:id="rId321"/>
    <hyperlink xmlns:r="http://schemas.openxmlformats.org/officeDocument/2006/relationships" ref="R323" r:id="rId322"/>
    <hyperlink xmlns:r="http://schemas.openxmlformats.org/officeDocument/2006/relationships" ref="R324" r:id="rId323"/>
    <hyperlink xmlns:r="http://schemas.openxmlformats.org/officeDocument/2006/relationships" ref="R325" r:id="rId324"/>
    <hyperlink xmlns:r="http://schemas.openxmlformats.org/officeDocument/2006/relationships" ref="R326" r:id="rId325"/>
    <hyperlink xmlns:r="http://schemas.openxmlformats.org/officeDocument/2006/relationships" ref="R327" r:id="rId326"/>
    <hyperlink xmlns:r="http://schemas.openxmlformats.org/officeDocument/2006/relationships" ref="R328" r:id="rId327"/>
    <hyperlink xmlns:r="http://schemas.openxmlformats.org/officeDocument/2006/relationships" ref="R329" r:id="rId328"/>
    <hyperlink xmlns:r="http://schemas.openxmlformats.org/officeDocument/2006/relationships" ref="R330" r:id="rId329"/>
    <hyperlink xmlns:r="http://schemas.openxmlformats.org/officeDocument/2006/relationships" ref="R331" r:id="rId330"/>
    <hyperlink xmlns:r="http://schemas.openxmlformats.org/officeDocument/2006/relationships" ref="R332" r:id="rId331"/>
    <hyperlink xmlns:r="http://schemas.openxmlformats.org/officeDocument/2006/relationships" ref="R333" r:id="rId332"/>
    <hyperlink xmlns:r="http://schemas.openxmlformats.org/officeDocument/2006/relationships" ref="R334" r:id="rId333"/>
    <hyperlink xmlns:r="http://schemas.openxmlformats.org/officeDocument/2006/relationships" ref="R335" r:id="rId334"/>
    <hyperlink xmlns:r="http://schemas.openxmlformats.org/officeDocument/2006/relationships" ref="R336" r:id="rId335"/>
    <hyperlink xmlns:r="http://schemas.openxmlformats.org/officeDocument/2006/relationships" ref="R337" r:id="rId336"/>
    <hyperlink xmlns:r="http://schemas.openxmlformats.org/officeDocument/2006/relationships" ref="R338" r:id="rId337"/>
    <hyperlink xmlns:r="http://schemas.openxmlformats.org/officeDocument/2006/relationships" ref="R339" r:id="rId338"/>
    <hyperlink xmlns:r="http://schemas.openxmlformats.org/officeDocument/2006/relationships" ref="R340" r:id="rId339"/>
    <hyperlink xmlns:r="http://schemas.openxmlformats.org/officeDocument/2006/relationships" ref="R341" r:id="rId340"/>
    <hyperlink xmlns:r="http://schemas.openxmlformats.org/officeDocument/2006/relationships" ref="R342" r:id="rId341"/>
    <hyperlink xmlns:r="http://schemas.openxmlformats.org/officeDocument/2006/relationships" ref="R343" r:id="rId342"/>
    <hyperlink xmlns:r="http://schemas.openxmlformats.org/officeDocument/2006/relationships" ref="R344" r:id="rId343"/>
    <hyperlink xmlns:r="http://schemas.openxmlformats.org/officeDocument/2006/relationships" ref="R345" r:id="rId344"/>
    <hyperlink xmlns:r="http://schemas.openxmlformats.org/officeDocument/2006/relationships" ref="R346" r:id="rId345"/>
    <hyperlink xmlns:r="http://schemas.openxmlformats.org/officeDocument/2006/relationships" ref="R347" r:id="rId346"/>
    <hyperlink xmlns:r="http://schemas.openxmlformats.org/officeDocument/2006/relationships" ref="R348" r:id="rId347"/>
    <hyperlink xmlns:r="http://schemas.openxmlformats.org/officeDocument/2006/relationships" ref="R349" r:id="rId348"/>
    <hyperlink xmlns:r="http://schemas.openxmlformats.org/officeDocument/2006/relationships" ref="R350" r:id="rId349"/>
    <hyperlink xmlns:r="http://schemas.openxmlformats.org/officeDocument/2006/relationships" ref="R351" r:id="rId350"/>
    <hyperlink xmlns:r="http://schemas.openxmlformats.org/officeDocument/2006/relationships" ref="R352" r:id="rId351"/>
    <hyperlink xmlns:r="http://schemas.openxmlformats.org/officeDocument/2006/relationships" ref="R353" r:id="rId352"/>
    <hyperlink xmlns:r="http://schemas.openxmlformats.org/officeDocument/2006/relationships" ref="R354" r:id="rId353"/>
    <hyperlink xmlns:r="http://schemas.openxmlformats.org/officeDocument/2006/relationships" ref="R355" r:id="rId354"/>
    <hyperlink xmlns:r="http://schemas.openxmlformats.org/officeDocument/2006/relationships" ref="R356" r:id="rId355"/>
    <hyperlink xmlns:r="http://schemas.openxmlformats.org/officeDocument/2006/relationships" ref="R357" r:id="rId356"/>
    <hyperlink xmlns:r="http://schemas.openxmlformats.org/officeDocument/2006/relationships" ref="R358" r:id="rId357"/>
    <hyperlink xmlns:r="http://schemas.openxmlformats.org/officeDocument/2006/relationships" ref="R359" r:id="rId358"/>
    <hyperlink xmlns:r="http://schemas.openxmlformats.org/officeDocument/2006/relationships" ref="R360" r:id="rId359"/>
    <hyperlink xmlns:r="http://schemas.openxmlformats.org/officeDocument/2006/relationships" ref="R361" r:id="rId360"/>
    <hyperlink xmlns:r="http://schemas.openxmlformats.org/officeDocument/2006/relationships" ref="R362" r:id="rId361"/>
    <hyperlink xmlns:r="http://schemas.openxmlformats.org/officeDocument/2006/relationships" ref="R363" r:id="rId362"/>
    <hyperlink xmlns:r="http://schemas.openxmlformats.org/officeDocument/2006/relationships" ref="R364" r:id="rId363"/>
    <hyperlink xmlns:r="http://schemas.openxmlformats.org/officeDocument/2006/relationships" ref="R365" r:id="rId364"/>
    <hyperlink xmlns:r="http://schemas.openxmlformats.org/officeDocument/2006/relationships" ref="R366" r:id="rId365"/>
    <hyperlink xmlns:r="http://schemas.openxmlformats.org/officeDocument/2006/relationships" ref="R367" r:id="rId366"/>
    <hyperlink xmlns:r="http://schemas.openxmlformats.org/officeDocument/2006/relationships" ref="R368" r:id="rId367"/>
    <hyperlink xmlns:r="http://schemas.openxmlformats.org/officeDocument/2006/relationships" ref="R369" r:id="rId368"/>
    <hyperlink xmlns:r="http://schemas.openxmlformats.org/officeDocument/2006/relationships" ref="R370" r:id="rId369"/>
    <hyperlink xmlns:r="http://schemas.openxmlformats.org/officeDocument/2006/relationships" ref="R371" r:id="rId370"/>
    <hyperlink xmlns:r="http://schemas.openxmlformats.org/officeDocument/2006/relationships" ref="R372" r:id="rId371"/>
    <hyperlink xmlns:r="http://schemas.openxmlformats.org/officeDocument/2006/relationships" ref="R373" r:id="rId372"/>
    <hyperlink xmlns:r="http://schemas.openxmlformats.org/officeDocument/2006/relationships" ref="R374" r:id="rId373"/>
    <hyperlink xmlns:r="http://schemas.openxmlformats.org/officeDocument/2006/relationships" ref="R375" r:id="rId374"/>
    <hyperlink xmlns:r="http://schemas.openxmlformats.org/officeDocument/2006/relationships" ref="R376" r:id="rId375"/>
    <hyperlink xmlns:r="http://schemas.openxmlformats.org/officeDocument/2006/relationships" ref="R377" r:id="rId376"/>
    <hyperlink xmlns:r="http://schemas.openxmlformats.org/officeDocument/2006/relationships" ref="R378" r:id="rId377"/>
    <hyperlink xmlns:r="http://schemas.openxmlformats.org/officeDocument/2006/relationships" ref="R379" r:id="rId378"/>
    <hyperlink xmlns:r="http://schemas.openxmlformats.org/officeDocument/2006/relationships" ref="R380" r:id="rId379"/>
    <hyperlink xmlns:r="http://schemas.openxmlformats.org/officeDocument/2006/relationships" ref="R381" r:id="rId380"/>
    <hyperlink xmlns:r="http://schemas.openxmlformats.org/officeDocument/2006/relationships" ref="R382" r:id="rId381"/>
    <hyperlink xmlns:r="http://schemas.openxmlformats.org/officeDocument/2006/relationships" ref="R383" r:id="rId382"/>
    <hyperlink xmlns:r="http://schemas.openxmlformats.org/officeDocument/2006/relationships" ref="R384" r:id="rId383"/>
    <hyperlink xmlns:r="http://schemas.openxmlformats.org/officeDocument/2006/relationships" ref="R385" r:id="rId384"/>
    <hyperlink xmlns:r="http://schemas.openxmlformats.org/officeDocument/2006/relationships" ref="R386" r:id="rId385"/>
    <hyperlink xmlns:r="http://schemas.openxmlformats.org/officeDocument/2006/relationships" ref="R387" r:id="rId386"/>
    <hyperlink xmlns:r="http://schemas.openxmlformats.org/officeDocument/2006/relationships" ref="R388" r:id="rId387"/>
    <hyperlink xmlns:r="http://schemas.openxmlformats.org/officeDocument/2006/relationships" ref="R389" r:id="rId388"/>
    <hyperlink xmlns:r="http://schemas.openxmlformats.org/officeDocument/2006/relationships" ref="R390" r:id="rId389"/>
    <hyperlink xmlns:r="http://schemas.openxmlformats.org/officeDocument/2006/relationships" ref="R391" r:id="rId390"/>
    <hyperlink xmlns:r="http://schemas.openxmlformats.org/officeDocument/2006/relationships" ref="R392" r:id="rId391"/>
    <hyperlink xmlns:r="http://schemas.openxmlformats.org/officeDocument/2006/relationships" ref="R393" r:id="rId392"/>
    <hyperlink xmlns:r="http://schemas.openxmlformats.org/officeDocument/2006/relationships" ref="R394" r:id="rId393"/>
    <hyperlink xmlns:r="http://schemas.openxmlformats.org/officeDocument/2006/relationships" ref="R395" r:id="rId394"/>
    <hyperlink xmlns:r="http://schemas.openxmlformats.org/officeDocument/2006/relationships" ref="R396" r:id="rId395"/>
    <hyperlink xmlns:r="http://schemas.openxmlformats.org/officeDocument/2006/relationships" ref="R397" r:id="rId396"/>
    <hyperlink xmlns:r="http://schemas.openxmlformats.org/officeDocument/2006/relationships" ref="R398" r:id="rId397"/>
    <hyperlink xmlns:r="http://schemas.openxmlformats.org/officeDocument/2006/relationships" ref="R399" r:id="rId398"/>
    <hyperlink xmlns:r="http://schemas.openxmlformats.org/officeDocument/2006/relationships" ref="R400" r:id="rId399"/>
    <hyperlink xmlns:r="http://schemas.openxmlformats.org/officeDocument/2006/relationships" ref="R401" r:id="rId400"/>
    <hyperlink xmlns:r="http://schemas.openxmlformats.org/officeDocument/2006/relationships" ref="R402" r:id="rId401"/>
    <hyperlink xmlns:r="http://schemas.openxmlformats.org/officeDocument/2006/relationships" ref="R403" r:id="rId402"/>
    <hyperlink xmlns:r="http://schemas.openxmlformats.org/officeDocument/2006/relationships" ref="R404" r:id="rId403"/>
    <hyperlink xmlns:r="http://schemas.openxmlformats.org/officeDocument/2006/relationships" ref="R405" r:id="rId404"/>
    <hyperlink xmlns:r="http://schemas.openxmlformats.org/officeDocument/2006/relationships" ref="R406" r:id="rId405"/>
    <hyperlink xmlns:r="http://schemas.openxmlformats.org/officeDocument/2006/relationships" ref="R407" r:id="rId406"/>
    <hyperlink xmlns:r="http://schemas.openxmlformats.org/officeDocument/2006/relationships" ref="R408" r:id="rId407"/>
    <hyperlink xmlns:r="http://schemas.openxmlformats.org/officeDocument/2006/relationships" ref="R409" r:id="rId408"/>
    <hyperlink xmlns:r="http://schemas.openxmlformats.org/officeDocument/2006/relationships" ref="R410" r:id="rId409"/>
    <hyperlink xmlns:r="http://schemas.openxmlformats.org/officeDocument/2006/relationships" ref="R411" r:id="rId410"/>
    <hyperlink xmlns:r="http://schemas.openxmlformats.org/officeDocument/2006/relationships" ref="R412" r:id="rId411"/>
    <hyperlink xmlns:r="http://schemas.openxmlformats.org/officeDocument/2006/relationships" ref="R413" r:id="rId412"/>
    <hyperlink xmlns:r="http://schemas.openxmlformats.org/officeDocument/2006/relationships" ref="R414" r:id="rId413"/>
    <hyperlink xmlns:r="http://schemas.openxmlformats.org/officeDocument/2006/relationships" ref="R415" r:id="rId414"/>
    <hyperlink xmlns:r="http://schemas.openxmlformats.org/officeDocument/2006/relationships" ref="R416" r:id="rId415"/>
    <hyperlink xmlns:r="http://schemas.openxmlformats.org/officeDocument/2006/relationships" ref="R417" r:id="rId416"/>
    <hyperlink xmlns:r="http://schemas.openxmlformats.org/officeDocument/2006/relationships" ref="R418" r:id="rId417"/>
    <hyperlink xmlns:r="http://schemas.openxmlformats.org/officeDocument/2006/relationships" ref="R419" r:id="rId418"/>
    <hyperlink xmlns:r="http://schemas.openxmlformats.org/officeDocument/2006/relationships" ref="R420" r:id="rId419"/>
    <hyperlink xmlns:r="http://schemas.openxmlformats.org/officeDocument/2006/relationships" ref="R421" r:id="rId420"/>
    <hyperlink xmlns:r="http://schemas.openxmlformats.org/officeDocument/2006/relationships" ref="R422" r:id="rId421"/>
    <hyperlink xmlns:r="http://schemas.openxmlformats.org/officeDocument/2006/relationships" ref="R423" r:id="rId422"/>
    <hyperlink xmlns:r="http://schemas.openxmlformats.org/officeDocument/2006/relationships" ref="R424" r:id="rId423"/>
    <hyperlink xmlns:r="http://schemas.openxmlformats.org/officeDocument/2006/relationships" ref="R425" r:id="rId424"/>
    <hyperlink xmlns:r="http://schemas.openxmlformats.org/officeDocument/2006/relationships" ref="R426" r:id="rId425"/>
    <hyperlink xmlns:r="http://schemas.openxmlformats.org/officeDocument/2006/relationships" ref="R427" r:id="rId426"/>
    <hyperlink xmlns:r="http://schemas.openxmlformats.org/officeDocument/2006/relationships" ref="R428" r:id="rId427"/>
    <hyperlink xmlns:r="http://schemas.openxmlformats.org/officeDocument/2006/relationships" ref="R429" r:id="rId428"/>
    <hyperlink xmlns:r="http://schemas.openxmlformats.org/officeDocument/2006/relationships" ref="R430" r:id="rId429"/>
    <hyperlink xmlns:r="http://schemas.openxmlformats.org/officeDocument/2006/relationships" ref="R431" r:id="rId430"/>
    <hyperlink xmlns:r="http://schemas.openxmlformats.org/officeDocument/2006/relationships" ref="R432" r:id="rId431"/>
    <hyperlink xmlns:r="http://schemas.openxmlformats.org/officeDocument/2006/relationships" ref="R433" r:id="rId432"/>
    <hyperlink xmlns:r="http://schemas.openxmlformats.org/officeDocument/2006/relationships" ref="R434" r:id="rId433"/>
    <hyperlink xmlns:r="http://schemas.openxmlformats.org/officeDocument/2006/relationships" ref="R435" r:id="rId434"/>
    <hyperlink xmlns:r="http://schemas.openxmlformats.org/officeDocument/2006/relationships" ref="R436" r:id="rId435"/>
    <hyperlink xmlns:r="http://schemas.openxmlformats.org/officeDocument/2006/relationships" ref="R437" r:id="rId436"/>
    <hyperlink xmlns:r="http://schemas.openxmlformats.org/officeDocument/2006/relationships" ref="R438" r:id="rId437"/>
    <hyperlink xmlns:r="http://schemas.openxmlformats.org/officeDocument/2006/relationships" ref="R439" r:id="rId438"/>
    <hyperlink xmlns:r="http://schemas.openxmlformats.org/officeDocument/2006/relationships" ref="R440" r:id="rId439"/>
    <hyperlink xmlns:r="http://schemas.openxmlformats.org/officeDocument/2006/relationships" ref="R441" r:id="rId440"/>
    <hyperlink xmlns:r="http://schemas.openxmlformats.org/officeDocument/2006/relationships" ref="R442" r:id="rId441"/>
    <hyperlink xmlns:r="http://schemas.openxmlformats.org/officeDocument/2006/relationships" ref="R443" r:id="rId442"/>
    <hyperlink xmlns:r="http://schemas.openxmlformats.org/officeDocument/2006/relationships" ref="R444" r:id="rId443"/>
    <hyperlink xmlns:r="http://schemas.openxmlformats.org/officeDocument/2006/relationships" ref="R445" r:id="rId444"/>
    <hyperlink xmlns:r="http://schemas.openxmlformats.org/officeDocument/2006/relationships" ref="R446" r:id="rId445"/>
    <hyperlink xmlns:r="http://schemas.openxmlformats.org/officeDocument/2006/relationships" ref="R447" r:id="rId446"/>
    <hyperlink xmlns:r="http://schemas.openxmlformats.org/officeDocument/2006/relationships" ref="R448" r:id="rId447"/>
    <hyperlink xmlns:r="http://schemas.openxmlformats.org/officeDocument/2006/relationships" ref="R449" r:id="rId448"/>
    <hyperlink xmlns:r="http://schemas.openxmlformats.org/officeDocument/2006/relationships" ref="R450" r:id="rId449"/>
    <hyperlink xmlns:r="http://schemas.openxmlformats.org/officeDocument/2006/relationships" ref="R451" r:id="rId450"/>
    <hyperlink xmlns:r="http://schemas.openxmlformats.org/officeDocument/2006/relationships" ref="R452" r:id="rId451"/>
    <hyperlink xmlns:r="http://schemas.openxmlformats.org/officeDocument/2006/relationships" ref="R453" r:id="rId452"/>
    <hyperlink xmlns:r="http://schemas.openxmlformats.org/officeDocument/2006/relationships" ref="R454" r:id="rId453"/>
    <hyperlink xmlns:r="http://schemas.openxmlformats.org/officeDocument/2006/relationships" ref="R455" r:id="rId454"/>
    <hyperlink xmlns:r="http://schemas.openxmlformats.org/officeDocument/2006/relationships" ref="R456" r:id="rId455"/>
    <hyperlink xmlns:r="http://schemas.openxmlformats.org/officeDocument/2006/relationships" ref="R457" r:id="rId456"/>
    <hyperlink xmlns:r="http://schemas.openxmlformats.org/officeDocument/2006/relationships" ref="R458" r:id="rId457"/>
    <hyperlink xmlns:r="http://schemas.openxmlformats.org/officeDocument/2006/relationships" ref="R459" r:id="rId458"/>
    <hyperlink xmlns:r="http://schemas.openxmlformats.org/officeDocument/2006/relationships" ref="R460" r:id="rId459"/>
    <hyperlink xmlns:r="http://schemas.openxmlformats.org/officeDocument/2006/relationships" ref="R461" r:id="rId460"/>
    <hyperlink xmlns:r="http://schemas.openxmlformats.org/officeDocument/2006/relationships" ref="R462" r:id="rId461"/>
    <hyperlink xmlns:r="http://schemas.openxmlformats.org/officeDocument/2006/relationships" ref="R463" r:id="rId462"/>
    <hyperlink xmlns:r="http://schemas.openxmlformats.org/officeDocument/2006/relationships" ref="R464" r:id="rId463"/>
    <hyperlink xmlns:r="http://schemas.openxmlformats.org/officeDocument/2006/relationships" ref="R465" r:id="rId464"/>
    <hyperlink xmlns:r="http://schemas.openxmlformats.org/officeDocument/2006/relationships" ref="R466" r:id="rId465"/>
    <hyperlink xmlns:r="http://schemas.openxmlformats.org/officeDocument/2006/relationships" ref="R467" r:id="rId466"/>
    <hyperlink xmlns:r="http://schemas.openxmlformats.org/officeDocument/2006/relationships" ref="R468" r:id="rId467"/>
    <hyperlink xmlns:r="http://schemas.openxmlformats.org/officeDocument/2006/relationships" ref="R469" r:id="rId468"/>
    <hyperlink xmlns:r="http://schemas.openxmlformats.org/officeDocument/2006/relationships" ref="R470" r:id="rId469"/>
    <hyperlink xmlns:r="http://schemas.openxmlformats.org/officeDocument/2006/relationships" ref="R471" r:id="rId470"/>
    <hyperlink xmlns:r="http://schemas.openxmlformats.org/officeDocument/2006/relationships" ref="R472" r:id="rId471"/>
    <hyperlink xmlns:r="http://schemas.openxmlformats.org/officeDocument/2006/relationships" ref="R473" r:id="rId472"/>
    <hyperlink xmlns:r="http://schemas.openxmlformats.org/officeDocument/2006/relationships" ref="R474" r:id="rId473"/>
    <hyperlink xmlns:r="http://schemas.openxmlformats.org/officeDocument/2006/relationships" ref="R475" r:id="rId474"/>
    <hyperlink xmlns:r="http://schemas.openxmlformats.org/officeDocument/2006/relationships" ref="R476" r:id="rId475"/>
    <hyperlink xmlns:r="http://schemas.openxmlformats.org/officeDocument/2006/relationships" ref="R477" r:id="rId476"/>
    <hyperlink xmlns:r="http://schemas.openxmlformats.org/officeDocument/2006/relationships" ref="R478" r:id="rId477"/>
    <hyperlink xmlns:r="http://schemas.openxmlformats.org/officeDocument/2006/relationships" ref="R479" r:id="rId478"/>
    <hyperlink xmlns:r="http://schemas.openxmlformats.org/officeDocument/2006/relationships" ref="R480" r:id="rId479"/>
    <hyperlink xmlns:r="http://schemas.openxmlformats.org/officeDocument/2006/relationships" ref="R481" r:id="rId480"/>
    <hyperlink xmlns:r="http://schemas.openxmlformats.org/officeDocument/2006/relationships" ref="R482" r:id="rId481"/>
    <hyperlink xmlns:r="http://schemas.openxmlformats.org/officeDocument/2006/relationships" ref="R483" r:id="rId482"/>
    <hyperlink xmlns:r="http://schemas.openxmlformats.org/officeDocument/2006/relationships" ref="R484" r:id="rId483"/>
    <hyperlink xmlns:r="http://schemas.openxmlformats.org/officeDocument/2006/relationships" ref="R485" r:id="rId484"/>
    <hyperlink xmlns:r="http://schemas.openxmlformats.org/officeDocument/2006/relationships" ref="R486" r:id="rId485"/>
    <hyperlink xmlns:r="http://schemas.openxmlformats.org/officeDocument/2006/relationships" ref="R487" r:id="rId486"/>
    <hyperlink xmlns:r="http://schemas.openxmlformats.org/officeDocument/2006/relationships" ref="R488" r:id="rId487"/>
    <hyperlink xmlns:r="http://schemas.openxmlformats.org/officeDocument/2006/relationships" ref="R489" r:id="rId488"/>
    <hyperlink xmlns:r="http://schemas.openxmlformats.org/officeDocument/2006/relationships" ref="R490" r:id="rId489"/>
    <hyperlink xmlns:r="http://schemas.openxmlformats.org/officeDocument/2006/relationships" ref="R491" r:id="rId490"/>
    <hyperlink xmlns:r="http://schemas.openxmlformats.org/officeDocument/2006/relationships" ref="R492" r:id="rId491"/>
    <hyperlink xmlns:r="http://schemas.openxmlformats.org/officeDocument/2006/relationships" ref="R493" r:id="rId492"/>
    <hyperlink xmlns:r="http://schemas.openxmlformats.org/officeDocument/2006/relationships" ref="R494" r:id="rId493"/>
    <hyperlink xmlns:r="http://schemas.openxmlformats.org/officeDocument/2006/relationships" ref="R495" r:id="rId494"/>
    <hyperlink xmlns:r="http://schemas.openxmlformats.org/officeDocument/2006/relationships" ref="R496" r:id="rId495"/>
    <hyperlink xmlns:r="http://schemas.openxmlformats.org/officeDocument/2006/relationships" ref="R497" r:id="rId496"/>
    <hyperlink xmlns:r="http://schemas.openxmlformats.org/officeDocument/2006/relationships" ref="R498" r:id="rId497"/>
    <hyperlink xmlns:r="http://schemas.openxmlformats.org/officeDocument/2006/relationships" ref="R499" r:id="rId498"/>
    <hyperlink xmlns:r="http://schemas.openxmlformats.org/officeDocument/2006/relationships" ref="R500" r:id="rId499"/>
    <hyperlink xmlns:r="http://schemas.openxmlformats.org/officeDocument/2006/relationships" ref="R501" r:id="rId500"/>
    <hyperlink xmlns:r="http://schemas.openxmlformats.org/officeDocument/2006/relationships" ref="R502" r:id="rId501"/>
    <hyperlink xmlns:r="http://schemas.openxmlformats.org/officeDocument/2006/relationships" ref="R503" r:id="rId502"/>
    <hyperlink xmlns:r="http://schemas.openxmlformats.org/officeDocument/2006/relationships" ref="R504" r:id="rId503"/>
    <hyperlink xmlns:r="http://schemas.openxmlformats.org/officeDocument/2006/relationships" ref="R505" r:id="rId504"/>
    <hyperlink xmlns:r="http://schemas.openxmlformats.org/officeDocument/2006/relationships" ref="R506" r:id="rId505"/>
    <hyperlink xmlns:r="http://schemas.openxmlformats.org/officeDocument/2006/relationships" ref="R507" r:id="rId506"/>
    <hyperlink xmlns:r="http://schemas.openxmlformats.org/officeDocument/2006/relationships" ref="R508" r:id="rId507"/>
    <hyperlink xmlns:r="http://schemas.openxmlformats.org/officeDocument/2006/relationships" ref="R509" r:id="rId508"/>
    <hyperlink xmlns:r="http://schemas.openxmlformats.org/officeDocument/2006/relationships" ref="R510" r:id="rId509"/>
    <hyperlink xmlns:r="http://schemas.openxmlformats.org/officeDocument/2006/relationships" ref="R511" r:id="rId510"/>
    <hyperlink xmlns:r="http://schemas.openxmlformats.org/officeDocument/2006/relationships" ref="R512" r:id="rId511"/>
    <hyperlink xmlns:r="http://schemas.openxmlformats.org/officeDocument/2006/relationships" ref="R513" r:id="rId512"/>
    <hyperlink xmlns:r="http://schemas.openxmlformats.org/officeDocument/2006/relationships" ref="R514" r:id="rId513"/>
    <hyperlink xmlns:r="http://schemas.openxmlformats.org/officeDocument/2006/relationships" ref="R515" r:id="rId514"/>
    <hyperlink xmlns:r="http://schemas.openxmlformats.org/officeDocument/2006/relationships" ref="R516" r:id="rId515"/>
    <hyperlink xmlns:r="http://schemas.openxmlformats.org/officeDocument/2006/relationships" ref="R517" r:id="rId516"/>
    <hyperlink xmlns:r="http://schemas.openxmlformats.org/officeDocument/2006/relationships" ref="R518" r:id="rId517"/>
    <hyperlink xmlns:r="http://schemas.openxmlformats.org/officeDocument/2006/relationships" ref="R519" r:id="rId518"/>
    <hyperlink xmlns:r="http://schemas.openxmlformats.org/officeDocument/2006/relationships" ref="R520" r:id="rId519"/>
    <hyperlink xmlns:r="http://schemas.openxmlformats.org/officeDocument/2006/relationships" ref="R521" r:id="rId520"/>
    <hyperlink xmlns:r="http://schemas.openxmlformats.org/officeDocument/2006/relationships" ref="R522" r:id="rId521"/>
    <hyperlink xmlns:r="http://schemas.openxmlformats.org/officeDocument/2006/relationships" ref="R523" r:id="rId522"/>
    <hyperlink xmlns:r="http://schemas.openxmlformats.org/officeDocument/2006/relationships" ref="R524" r:id="rId523"/>
    <hyperlink xmlns:r="http://schemas.openxmlformats.org/officeDocument/2006/relationships" ref="R525" r:id="rId524"/>
    <hyperlink xmlns:r="http://schemas.openxmlformats.org/officeDocument/2006/relationships" ref="R526" r:id="rId525"/>
    <hyperlink xmlns:r="http://schemas.openxmlformats.org/officeDocument/2006/relationships" ref="R527" r:id="rId526"/>
    <hyperlink xmlns:r="http://schemas.openxmlformats.org/officeDocument/2006/relationships" ref="R528" r:id="rId527"/>
    <hyperlink xmlns:r="http://schemas.openxmlformats.org/officeDocument/2006/relationships" ref="R529" r:id="rId528"/>
    <hyperlink xmlns:r="http://schemas.openxmlformats.org/officeDocument/2006/relationships" ref="R530" r:id="rId529"/>
    <hyperlink xmlns:r="http://schemas.openxmlformats.org/officeDocument/2006/relationships" ref="R531" r:id="rId530"/>
    <hyperlink xmlns:r="http://schemas.openxmlformats.org/officeDocument/2006/relationships" ref="R532" r:id="rId531"/>
    <hyperlink xmlns:r="http://schemas.openxmlformats.org/officeDocument/2006/relationships" ref="R533" r:id="rId532"/>
    <hyperlink xmlns:r="http://schemas.openxmlformats.org/officeDocument/2006/relationships" ref="R534" r:id="rId533"/>
    <hyperlink xmlns:r="http://schemas.openxmlformats.org/officeDocument/2006/relationships" ref="R535" r:id="rId534"/>
    <hyperlink xmlns:r="http://schemas.openxmlformats.org/officeDocument/2006/relationships" ref="R536" r:id="rId535"/>
    <hyperlink xmlns:r="http://schemas.openxmlformats.org/officeDocument/2006/relationships" ref="R537" r:id="rId536"/>
    <hyperlink xmlns:r="http://schemas.openxmlformats.org/officeDocument/2006/relationships" ref="R538" r:id="rId537"/>
    <hyperlink xmlns:r="http://schemas.openxmlformats.org/officeDocument/2006/relationships" ref="R539" r:id="rId538"/>
    <hyperlink xmlns:r="http://schemas.openxmlformats.org/officeDocument/2006/relationships" ref="R540" r:id="rId539"/>
    <hyperlink xmlns:r="http://schemas.openxmlformats.org/officeDocument/2006/relationships" ref="R541" r:id="rId540"/>
    <hyperlink xmlns:r="http://schemas.openxmlformats.org/officeDocument/2006/relationships" ref="R542" r:id="rId541"/>
    <hyperlink xmlns:r="http://schemas.openxmlformats.org/officeDocument/2006/relationships" ref="R543" r:id="rId542"/>
    <hyperlink xmlns:r="http://schemas.openxmlformats.org/officeDocument/2006/relationships" ref="R544" r:id="rId543"/>
    <hyperlink xmlns:r="http://schemas.openxmlformats.org/officeDocument/2006/relationships" ref="R545" r:id="rId544"/>
    <hyperlink xmlns:r="http://schemas.openxmlformats.org/officeDocument/2006/relationships" ref="R546" r:id="rId545"/>
    <hyperlink xmlns:r="http://schemas.openxmlformats.org/officeDocument/2006/relationships" ref="R547" r:id="rId546"/>
    <hyperlink xmlns:r="http://schemas.openxmlformats.org/officeDocument/2006/relationships" ref="R548" r:id="rId547"/>
    <hyperlink xmlns:r="http://schemas.openxmlformats.org/officeDocument/2006/relationships" ref="R549" r:id="rId548"/>
    <hyperlink xmlns:r="http://schemas.openxmlformats.org/officeDocument/2006/relationships" ref="R550" r:id="rId549"/>
    <hyperlink xmlns:r="http://schemas.openxmlformats.org/officeDocument/2006/relationships" ref="R551" r:id="rId550"/>
    <hyperlink xmlns:r="http://schemas.openxmlformats.org/officeDocument/2006/relationships" ref="R552" r:id="rId551"/>
    <hyperlink xmlns:r="http://schemas.openxmlformats.org/officeDocument/2006/relationships" ref="R553" r:id="rId552"/>
    <hyperlink xmlns:r="http://schemas.openxmlformats.org/officeDocument/2006/relationships" ref="R554" r:id="rId553"/>
    <hyperlink xmlns:r="http://schemas.openxmlformats.org/officeDocument/2006/relationships" ref="R555" r:id="rId554"/>
    <hyperlink xmlns:r="http://schemas.openxmlformats.org/officeDocument/2006/relationships" ref="R556" r:id="rId555"/>
    <hyperlink xmlns:r="http://schemas.openxmlformats.org/officeDocument/2006/relationships" ref="R557" r:id="rId556"/>
    <hyperlink xmlns:r="http://schemas.openxmlformats.org/officeDocument/2006/relationships" ref="R558" r:id="rId557"/>
    <hyperlink xmlns:r="http://schemas.openxmlformats.org/officeDocument/2006/relationships" ref="R559" r:id="rId558"/>
    <hyperlink xmlns:r="http://schemas.openxmlformats.org/officeDocument/2006/relationships" ref="R560" r:id="rId559"/>
    <hyperlink xmlns:r="http://schemas.openxmlformats.org/officeDocument/2006/relationships" ref="R561" r:id="rId560"/>
    <hyperlink xmlns:r="http://schemas.openxmlformats.org/officeDocument/2006/relationships" ref="R562" r:id="rId561"/>
    <hyperlink xmlns:r="http://schemas.openxmlformats.org/officeDocument/2006/relationships" ref="R563" r:id="rId562"/>
    <hyperlink xmlns:r="http://schemas.openxmlformats.org/officeDocument/2006/relationships" ref="R564" r:id="rId563"/>
    <hyperlink xmlns:r="http://schemas.openxmlformats.org/officeDocument/2006/relationships" ref="R565" r:id="rId564"/>
    <hyperlink xmlns:r="http://schemas.openxmlformats.org/officeDocument/2006/relationships" ref="R566" r:id="rId565"/>
    <hyperlink xmlns:r="http://schemas.openxmlformats.org/officeDocument/2006/relationships" ref="R567" r:id="rId566"/>
    <hyperlink xmlns:r="http://schemas.openxmlformats.org/officeDocument/2006/relationships" ref="R568" r:id="rId567"/>
    <hyperlink xmlns:r="http://schemas.openxmlformats.org/officeDocument/2006/relationships" ref="R569" r:id="rId568"/>
    <hyperlink xmlns:r="http://schemas.openxmlformats.org/officeDocument/2006/relationships" ref="R570" r:id="rId569"/>
    <hyperlink xmlns:r="http://schemas.openxmlformats.org/officeDocument/2006/relationships" ref="R571" r:id="rId570"/>
    <hyperlink xmlns:r="http://schemas.openxmlformats.org/officeDocument/2006/relationships" ref="R572" r:id="rId571"/>
    <hyperlink xmlns:r="http://schemas.openxmlformats.org/officeDocument/2006/relationships" ref="R573" r:id="rId572"/>
    <hyperlink xmlns:r="http://schemas.openxmlformats.org/officeDocument/2006/relationships" ref="R574" r:id="rId573"/>
    <hyperlink xmlns:r="http://schemas.openxmlformats.org/officeDocument/2006/relationships" ref="R575" r:id="rId574"/>
    <hyperlink xmlns:r="http://schemas.openxmlformats.org/officeDocument/2006/relationships" ref="R576" r:id="rId575"/>
    <hyperlink xmlns:r="http://schemas.openxmlformats.org/officeDocument/2006/relationships" ref="R577" r:id="rId576"/>
    <hyperlink xmlns:r="http://schemas.openxmlformats.org/officeDocument/2006/relationships" ref="R578" r:id="rId577"/>
    <hyperlink xmlns:r="http://schemas.openxmlformats.org/officeDocument/2006/relationships" ref="R579" r:id="rId578"/>
    <hyperlink xmlns:r="http://schemas.openxmlformats.org/officeDocument/2006/relationships" ref="R580" r:id="rId579"/>
    <hyperlink xmlns:r="http://schemas.openxmlformats.org/officeDocument/2006/relationships" ref="R581" r:id="rId580"/>
    <hyperlink xmlns:r="http://schemas.openxmlformats.org/officeDocument/2006/relationships" ref="R582" r:id="rId581"/>
    <hyperlink xmlns:r="http://schemas.openxmlformats.org/officeDocument/2006/relationships" ref="R583" r:id="rId582"/>
    <hyperlink xmlns:r="http://schemas.openxmlformats.org/officeDocument/2006/relationships" ref="R584" r:id="rId583"/>
    <hyperlink xmlns:r="http://schemas.openxmlformats.org/officeDocument/2006/relationships" ref="R585" r:id="rId584"/>
    <hyperlink xmlns:r="http://schemas.openxmlformats.org/officeDocument/2006/relationships" ref="R586" r:id="rId585"/>
    <hyperlink xmlns:r="http://schemas.openxmlformats.org/officeDocument/2006/relationships" ref="R587" r:id="rId586"/>
    <hyperlink xmlns:r="http://schemas.openxmlformats.org/officeDocument/2006/relationships" ref="R588" r:id="rId587"/>
    <hyperlink xmlns:r="http://schemas.openxmlformats.org/officeDocument/2006/relationships" ref="R589" r:id="rId588"/>
    <hyperlink xmlns:r="http://schemas.openxmlformats.org/officeDocument/2006/relationships" ref="R590" r:id="rId589"/>
    <hyperlink xmlns:r="http://schemas.openxmlformats.org/officeDocument/2006/relationships" ref="R591" r:id="rId590"/>
    <hyperlink xmlns:r="http://schemas.openxmlformats.org/officeDocument/2006/relationships" ref="R592" r:id="rId591"/>
    <hyperlink xmlns:r="http://schemas.openxmlformats.org/officeDocument/2006/relationships" ref="R593" r:id="rId592"/>
    <hyperlink xmlns:r="http://schemas.openxmlformats.org/officeDocument/2006/relationships" ref="R594" r:id="rId593"/>
    <hyperlink xmlns:r="http://schemas.openxmlformats.org/officeDocument/2006/relationships" ref="R595" r:id="rId594"/>
    <hyperlink xmlns:r="http://schemas.openxmlformats.org/officeDocument/2006/relationships" ref="R596" r:id="rId595"/>
    <hyperlink xmlns:r="http://schemas.openxmlformats.org/officeDocument/2006/relationships" ref="R597" r:id="rId596"/>
    <hyperlink xmlns:r="http://schemas.openxmlformats.org/officeDocument/2006/relationships" ref="R598" r:id="rId597"/>
    <hyperlink xmlns:r="http://schemas.openxmlformats.org/officeDocument/2006/relationships" ref="R599" r:id="rId598"/>
    <hyperlink xmlns:r="http://schemas.openxmlformats.org/officeDocument/2006/relationships" ref="R600" r:id="rId599"/>
    <hyperlink xmlns:r="http://schemas.openxmlformats.org/officeDocument/2006/relationships" ref="R601" r:id="rId600"/>
    <hyperlink xmlns:r="http://schemas.openxmlformats.org/officeDocument/2006/relationships" ref="R602" r:id="rId601"/>
    <hyperlink xmlns:r="http://schemas.openxmlformats.org/officeDocument/2006/relationships" ref="R603" r:id="rId602"/>
    <hyperlink xmlns:r="http://schemas.openxmlformats.org/officeDocument/2006/relationships" ref="R604" r:id="rId603"/>
    <hyperlink xmlns:r="http://schemas.openxmlformats.org/officeDocument/2006/relationships" ref="R605" r:id="rId604"/>
    <hyperlink xmlns:r="http://schemas.openxmlformats.org/officeDocument/2006/relationships" ref="R606" r:id="rId605"/>
    <hyperlink xmlns:r="http://schemas.openxmlformats.org/officeDocument/2006/relationships" ref="R607" r:id="rId606"/>
    <hyperlink xmlns:r="http://schemas.openxmlformats.org/officeDocument/2006/relationships" ref="R608" r:id="rId607"/>
    <hyperlink xmlns:r="http://schemas.openxmlformats.org/officeDocument/2006/relationships" ref="R609" r:id="rId608"/>
    <hyperlink xmlns:r="http://schemas.openxmlformats.org/officeDocument/2006/relationships" ref="R610" r:id="rId609"/>
    <hyperlink xmlns:r="http://schemas.openxmlformats.org/officeDocument/2006/relationships" ref="R611" r:id="rId610"/>
    <hyperlink xmlns:r="http://schemas.openxmlformats.org/officeDocument/2006/relationships" ref="R612" r:id="rId611"/>
    <hyperlink xmlns:r="http://schemas.openxmlformats.org/officeDocument/2006/relationships" ref="R613" r:id="rId612"/>
    <hyperlink xmlns:r="http://schemas.openxmlformats.org/officeDocument/2006/relationships" ref="R614" r:id="rId613"/>
    <hyperlink xmlns:r="http://schemas.openxmlformats.org/officeDocument/2006/relationships" ref="R615" r:id="rId614"/>
    <hyperlink xmlns:r="http://schemas.openxmlformats.org/officeDocument/2006/relationships" ref="R616" r:id="rId615"/>
    <hyperlink xmlns:r="http://schemas.openxmlformats.org/officeDocument/2006/relationships" ref="R617" r:id="rId616"/>
    <hyperlink xmlns:r="http://schemas.openxmlformats.org/officeDocument/2006/relationships" ref="R618" r:id="rId617"/>
    <hyperlink xmlns:r="http://schemas.openxmlformats.org/officeDocument/2006/relationships" ref="R619" r:id="rId618"/>
    <hyperlink xmlns:r="http://schemas.openxmlformats.org/officeDocument/2006/relationships" ref="R620" r:id="rId619"/>
    <hyperlink xmlns:r="http://schemas.openxmlformats.org/officeDocument/2006/relationships" ref="R621" r:id="rId620"/>
    <hyperlink xmlns:r="http://schemas.openxmlformats.org/officeDocument/2006/relationships" ref="R622" r:id="rId621"/>
    <hyperlink xmlns:r="http://schemas.openxmlformats.org/officeDocument/2006/relationships" ref="R623" r:id="rId622"/>
    <hyperlink xmlns:r="http://schemas.openxmlformats.org/officeDocument/2006/relationships" ref="R624" r:id="rId623"/>
    <hyperlink xmlns:r="http://schemas.openxmlformats.org/officeDocument/2006/relationships" ref="R625" r:id="rId624"/>
    <hyperlink xmlns:r="http://schemas.openxmlformats.org/officeDocument/2006/relationships" ref="R626" r:id="rId625"/>
    <hyperlink xmlns:r="http://schemas.openxmlformats.org/officeDocument/2006/relationships" ref="R627" r:id="rId626"/>
    <hyperlink xmlns:r="http://schemas.openxmlformats.org/officeDocument/2006/relationships" ref="R628" r:id="rId627"/>
    <hyperlink xmlns:r="http://schemas.openxmlformats.org/officeDocument/2006/relationships" ref="R629" r:id="rId628"/>
    <hyperlink xmlns:r="http://schemas.openxmlformats.org/officeDocument/2006/relationships" ref="R630" r:id="rId629"/>
    <hyperlink xmlns:r="http://schemas.openxmlformats.org/officeDocument/2006/relationships" ref="R631" r:id="rId630"/>
    <hyperlink xmlns:r="http://schemas.openxmlformats.org/officeDocument/2006/relationships" ref="R632" r:id="rId631"/>
    <hyperlink xmlns:r="http://schemas.openxmlformats.org/officeDocument/2006/relationships" ref="R633" r:id="rId632"/>
    <hyperlink xmlns:r="http://schemas.openxmlformats.org/officeDocument/2006/relationships" ref="R634" r:id="rId633"/>
    <hyperlink xmlns:r="http://schemas.openxmlformats.org/officeDocument/2006/relationships" ref="R635" r:id="rId634"/>
    <hyperlink xmlns:r="http://schemas.openxmlformats.org/officeDocument/2006/relationships" ref="R636" r:id="rId635"/>
    <hyperlink xmlns:r="http://schemas.openxmlformats.org/officeDocument/2006/relationships" ref="R637" r:id="rId636"/>
    <hyperlink xmlns:r="http://schemas.openxmlformats.org/officeDocument/2006/relationships" ref="R638" r:id="rId637"/>
    <hyperlink xmlns:r="http://schemas.openxmlformats.org/officeDocument/2006/relationships" ref="R639" r:id="rId638"/>
    <hyperlink xmlns:r="http://schemas.openxmlformats.org/officeDocument/2006/relationships" ref="R640" r:id="rId639"/>
    <hyperlink xmlns:r="http://schemas.openxmlformats.org/officeDocument/2006/relationships" ref="R641" r:id="rId640"/>
    <hyperlink xmlns:r="http://schemas.openxmlformats.org/officeDocument/2006/relationships" ref="R642" r:id="rId641"/>
    <hyperlink xmlns:r="http://schemas.openxmlformats.org/officeDocument/2006/relationships" ref="R643" r:id="rId642"/>
    <hyperlink xmlns:r="http://schemas.openxmlformats.org/officeDocument/2006/relationships" ref="R644" r:id="rId643"/>
    <hyperlink xmlns:r="http://schemas.openxmlformats.org/officeDocument/2006/relationships" ref="R645" r:id="rId644"/>
    <hyperlink xmlns:r="http://schemas.openxmlformats.org/officeDocument/2006/relationships" ref="R646" r:id="rId645"/>
    <hyperlink xmlns:r="http://schemas.openxmlformats.org/officeDocument/2006/relationships" ref="R647" r:id="rId646"/>
    <hyperlink xmlns:r="http://schemas.openxmlformats.org/officeDocument/2006/relationships" ref="R648" r:id="rId647"/>
    <hyperlink xmlns:r="http://schemas.openxmlformats.org/officeDocument/2006/relationships" ref="R649" r:id="rId648"/>
    <hyperlink xmlns:r="http://schemas.openxmlformats.org/officeDocument/2006/relationships" ref="R650" r:id="rId649"/>
    <hyperlink xmlns:r="http://schemas.openxmlformats.org/officeDocument/2006/relationships" ref="R651" r:id="rId650"/>
    <hyperlink xmlns:r="http://schemas.openxmlformats.org/officeDocument/2006/relationships" ref="R652" r:id="rId651"/>
    <hyperlink xmlns:r="http://schemas.openxmlformats.org/officeDocument/2006/relationships" ref="R653" r:id="rId652"/>
    <hyperlink xmlns:r="http://schemas.openxmlformats.org/officeDocument/2006/relationships" ref="R654" r:id="rId653"/>
    <hyperlink xmlns:r="http://schemas.openxmlformats.org/officeDocument/2006/relationships" ref="R655" r:id="rId654"/>
    <hyperlink xmlns:r="http://schemas.openxmlformats.org/officeDocument/2006/relationships" ref="R656" r:id="rId655"/>
    <hyperlink xmlns:r="http://schemas.openxmlformats.org/officeDocument/2006/relationships" ref="R657" r:id="rId656"/>
    <hyperlink xmlns:r="http://schemas.openxmlformats.org/officeDocument/2006/relationships" ref="R658" r:id="rId657"/>
    <hyperlink xmlns:r="http://schemas.openxmlformats.org/officeDocument/2006/relationships" ref="R659" r:id="rId658"/>
    <hyperlink xmlns:r="http://schemas.openxmlformats.org/officeDocument/2006/relationships" ref="R660" r:id="rId659"/>
    <hyperlink xmlns:r="http://schemas.openxmlformats.org/officeDocument/2006/relationships" ref="R661" r:id="rId660"/>
    <hyperlink xmlns:r="http://schemas.openxmlformats.org/officeDocument/2006/relationships" ref="R662" r:id="rId661"/>
    <hyperlink xmlns:r="http://schemas.openxmlformats.org/officeDocument/2006/relationships" ref="R663" r:id="rId662"/>
    <hyperlink xmlns:r="http://schemas.openxmlformats.org/officeDocument/2006/relationships" ref="R664" r:id="rId663"/>
    <hyperlink xmlns:r="http://schemas.openxmlformats.org/officeDocument/2006/relationships" ref="R665" r:id="rId664"/>
    <hyperlink xmlns:r="http://schemas.openxmlformats.org/officeDocument/2006/relationships" ref="R666" r:id="rId665"/>
    <hyperlink xmlns:r="http://schemas.openxmlformats.org/officeDocument/2006/relationships" ref="R667" r:id="rId666"/>
    <hyperlink xmlns:r="http://schemas.openxmlformats.org/officeDocument/2006/relationships" ref="R668" r:id="rId667"/>
    <hyperlink xmlns:r="http://schemas.openxmlformats.org/officeDocument/2006/relationships" ref="R669" r:id="rId668"/>
    <hyperlink xmlns:r="http://schemas.openxmlformats.org/officeDocument/2006/relationships" ref="R670" r:id="rId669"/>
    <hyperlink xmlns:r="http://schemas.openxmlformats.org/officeDocument/2006/relationships" ref="R671" r:id="rId670"/>
    <hyperlink xmlns:r="http://schemas.openxmlformats.org/officeDocument/2006/relationships" ref="R672" r:id="rId671"/>
    <hyperlink xmlns:r="http://schemas.openxmlformats.org/officeDocument/2006/relationships" ref="R673" r:id="rId672"/>
    <hyperlink xmlns:r="http://schemas.openxmlformats.org/officeDocument/2006/relationships" ref="R674" r:id="rId673"/>
    <hyperlink xmlns:r="http://schemas.openxmlformats.org/officeDocument/2006/relationships" ref="R675" r:id="rId674"/>
    <hyperlink xmlns:r="http://schemas.openxmlformats.org/officeDocument/2006/relationships" ref="R676" r:id="rId675"/>
    <hyperlink xmlns:r="http://schemas.openxmlformats.org/officeDocument/2006/relationships" ref="R677" r:id="rId676"/>
    <hyperlink xmlns:r="http://schemas.openxmlformats.org/officeDocument/2006/relationships" ref="R678" r:id="rId677"/>
    <hyperlink xmlns:r="http://schemas.openxmlformats.org/officeDocument/2006/relationships" ref="R679" r:id="rId678"/>
    <hyperlink xmlns:r="http://schemas.openxmlformats.org/officeDocument/2006/relationships" ref="R680" r:id="rId679"/>
    <hyperlink xmlns:r="http://schemas.openxmlformats.org/officeDocument/2006/relationships" ref="R681" r:id="rId680"/>
    <hyperlink xmlns:r="http://schemas.openxmlformats.org/officeDocument/2006/relationships" ref="R682" r:id="rId681"/>
    <hyperlink xmlns:r="http://schemas.openxmlformats.org/officeDocument/2006/relationships" ref="R683" r:id="rId682"/>
    <hyperlink xmlns:r="http://schemas.openxmlformats.org/officeDocument/2006/relationships" ref="R684" r:id="rId683"/>
    <hyperlink xmlns:r="http://schemas.openxmlformats.org/officeDocument/2006/relationships" ref="R685" r:id="rId684"/>
    <hyperlink xmlns:r="http://schemas.openxmlformats.org/officeDocument/2006/relationships" ref="R686" r:id="rId685"/>
    <hyperlink xmlns:r="http://schemas.openxmlformats.org/officeDocument/2006/relationships" ref="R687" r:id="rId686"/>
    <hyperlink xmlns:r="http://schemas.openxmlformats.org/officeDocument/2006/relationships" ref="R688" r:id="rId687"/>
    <hyperlink xmlns:r="http://schemas.openxmlformats.org/officeDocument/2006/relationships" ref="R689" r:id="rId688"/>
    <hyperlink xmlns:r="http://schemas.openxmlformats.org/officeDocument/2006/relationships" ref="R690" r:id="rId689"/>
    <hyperlink xmlns:r="http://schemas.openxmlformats.org/officeDocument/2006/relationships" ref="R691" r:id="rId690"/>
    <hyperlink xmlns:r="http://schemas.openxmlformats.org/officeDocument/2006/relationships" ref="R692" r:id="rId691"/>
    <hyperlink xmlns:r="http://schemas.openxmlformats.org/officeDocument/2006/relationships" ref="R693" r:id="rId692"/>
    <hyperlink xmlns:r="http://schemas.openxmlformats.org/officeDocument/2006/relationships" ref="R694" r:id="rId693"/>
    <hyperlink xmlns:r="http://schemas.openxmlformats.org/officeDocument/2006/relationships" ref="R695" r:id="rId694"/>
    <hyperlink xmlns:r="http://schemas.openxmlformats.org/officeDocument/2006/relationships" ref="R696" r:id="rId695"/>
    <hyperlink xmlns:r="http://schemas.openxmlformats.org/officeDocument/2006/relationships" ref="R697" r:id="rId696"/>
    <hyperlink xmlns:r="http://schemas.openxmlformats.org/officeDocument/2006/relationships" ref="R698" r:id="rId697"/>
    <hyperlink xmlns:r="http://schemas.openxmlformats.org/officeDocument/2006/relationships" ref="R699" r:id="rId698"/>
    <hyperlink xmlns:r="http://schemas.openxmlformats.org/officeDocument/2006/relationships" ref="R700" r:id="rId699"/>
    <hyperlink xmlns:r="http://schemas.openxmlformats.org/officeDocument/2006/relationships" ref="R701" r:id="rId700"/>
    <hyperlink xmlns:r="http://schemas.openxmlformats.org/officeDocument/2006/relationships" ref="R702" r:id="rId701"/>
    <hyperlink xmlns:r="http://schemas.openxmlformats.org/officeDocument/2006/relationships" ref="R703" r:id="rId702"/>
    <hyperlink xmlns:r="http://schemas.openxmlformats.org/officeDocument/2006/relationships" ref="R704" r:id="rId703"/>
    <hyperlink xmlns:r="http://schemas.openxmlformats.org/officeDocument/2006/relationships" ref="R705" r:id="rId704"/>
    <hyperlink xmlns:r="http://schemas.openxmlformats.org/officeDocument/2006/relationships" ref="R706" r:id="rId705"/>
    <hyperlink xmlns:r="http://schemas.openxmlformats.org/officeDocument/2006/relationships" ref="R707" r:id="rId706"/>
    <hyperlink xmlns:r="http://schemas.openxmlformats.org/officeDocument/2006/relationships" ref="R708" r:id="rId707"/>
    <hyperlink xmlns:r="http://schemas.openxmlformats.org/officeDocument/2006/relationships" ref="R709" r:id="rId708"/>
    <hyperlink xmlns:r="http://schemas.openxmlformats.org/officeDocument/2006/relationships" ref="R710" r:id="rId709"/>
    <hyperlink xmlns:r="http://schemas.openxmlformats.org/officeDocument/2006/relationships" ref="R711" r:id="rId710"/>
    <hyperlink xmlns:r="http://schemas.openxmlformats.org/officeDocument/2006/relationships" ref="R712" r:id="rId711"/>
    <hyperlink xmlns:r="http://schemas.openxmlformats.org/officeDocument/2006/relationships" ref="R713" r:id="rId712"/>
    <hyperlink xmlns:r="http://schemas.openxmlformats.org/officeDocument/2006/relationships" ref="R714" r:id="rId713"/>
    <hyperlink xmlns:r="http://schemas.openxmlformats.org/officeDocument/2006/relationships" ref="R715" r:id="rId714"/>
    <hyperlink xmlns:r="http://schemas.openxmlformats.org/officeDocument/2006/relationships" ref="R716" r:id="rId715"/>
    <hyperlink xmlns:r="http://schemas.openxmlformats.org/officeDocument/2006/relationships" ref="R717" r:id="rId716"/>
    <hyperlink xmlns:r="http://schemas.openxmlformats.org/officeDocument/2006/relationships" ref="R718" r:id="rId717"/>
    <hyperlink xmlns:r="http://schemas.openxmlformats.org/officeDocument/2006/relationships" ref="R719" r:id="rId718"/>
    <hyperlink xmlns:r="http://schemas.openxmlformats.org/officeDocument/2006/relationships" ref="R720" r:id="rId719"/>
    <hyperlink xmlns:r="http://schemas.openxmlformats.org/officeDocument/2006/relationships" ref="R721" r:id="rId720"/>
    <hyperlink xmlns:r="http://schemas.openxmlformats.org/officeDocument/2006/relationships" ref="R722" r:id="rId721"/>
    <hyperlink xmlns:r="http://schemas.openxmlformats.org/officeDocument/2006/relationships" ref="R723" r:id="rId722"/>
    <hyperlink xmlns:r="http://schemas.openxmlformats.org/officeDocument/2006/relationships" ref="R724" r:id="rId723"/>
    <hyperlink xmlns:r="http://schemas.openxmlformats.org/officeDocument/2006/relationships" ref="R725" r:id="rId724"/>
    <hyperlink xmlns:r="http://schemas.openxmlformats.org/officeDocument/2006/relationships" ref="R726" r:id="rId725"/>
    <hyperlink xmlns:r="http://schemas.openxmlformats.org/officeDocument/2006/relationships" ref="R727" r:id="rId726"/>
    <hyperlink xmlns:r="http://schemas.openxmlformats.org/officeDocument/2006/relationships" ref="R728" r:id="rId727"/>
    <hyperlink xmlns:r="http://schemas.openxmlformats.org/officeDocument/2006/relationships" ref="R729" r:id="rId728"/>
    <hyperlink xmlns:r="http://schemas.openxmlformats.org/officeDocument/2006/relationships" ref="R730" r:id="rId729"/>
    <hyperlink xmlns:r="http://schemas.openxmlformats.org/officeDocument/2006/relationships" ref="R731" r:id="rId730"/>
    <hyperlink xmlns:r="http://schemas.openxmlformats.org/officeDocument/2006/relationships" ref="R732" r:id="rId731"/>
    <hyperlink xmlns:r="http://schemas.openxmlformats.org/officeDocument/2006/relationships" ref="R733" r:id="rId732"/>
    <hyperlink xmlns:r="http://schemas.openxmlformats.org/officeDocument/2006/relationships" ref="R734" r:id="rId733"/>
    <hyperlink xmlns:r="http://schemas.openxmlformats.org/officeDocument/2006/relationships" ref="R735" r:id="rId734"/>
    <hyperlink xmlns:r="http://schemas.openxmlformats.org/officeDocument/2006/relationships" ref="R736" r:id="rId735"/>
    <hyperlink xmlns:r="http://schemas.openxmlformats.org/officeDocument/2006/relationships" ref="R737" r:id="rId736"/>
    <hyperlink xmlns:r="http://schemas.openxmlformats.org/officeDocument/2006/relationships" ref="R738" r:id="rId737"/>
    <hyperlink xmlns:r="http://schemas.openxmlformats.org/officeDocument/2006/relationships" ref="R739" r:id="rId738"/>
    <hyperlink xmlns:r="http://schemas.openxmlformats.org/officeDocument/2006/relationships" ref="R740" r:id="rId739"/>
    <hyperlink xmlns:r="http://schemas.openxmlformats.org/officeDocument/2006/relationships" ref="R741" r:id="rId740"/>
    <hyperlink xmlns:r="http://schemas.openxmlformats.org/officeDocument/2006/relationships" ref="R742" r:id="rId741"/>
    <hyperlink xmlns:r="http://schemas.openxmlformats.org/officeDocument/2006/relationships" ref="R743" r:id="rId742"/>
    <hyperlink xmlns:r="http://schemas.openxmlformats.org/officeDocument/2006/relationships" ref="R744" r:id="rId743"/>
    <hyperlink xmlns:r="http://schemas.openxmlformats.org/officeDocument/2006/relationships" ref="R745" r:id="rId744"/>
    <hyperlink xmlns:r="http://schemas.openxmlformats.org/officeDocument/2006/relationships" ref="R746" r:id="rId745"/>
    <hyperlink xmlns:r="http://schemas.openxmlformats.org/officeDocument/2006/relationships" ref="R747" r:id="rId746"/>
    <hyperlink xmlns:r="http://schemas.openxmlformats.org/officeDocument/2006/relationships" ref="R748" r:id="rId747"/>
    <hyperlink xmlns:r="http://schemas.openxmlformats.org/officeDocument/2006/relationships" ref="R749" r:id="rId748"/>
    <hyperlink xmlns:r="http://schemas.openxmlformats.org/officeDocument/2006/relationships" ref="R750" r:id="rId749"/>
    <hyperlink xmlns:r="http://schemas.openxmlformats.org/officeDocument/2006/relationships" ref="R751" r:id="rId750"/>
    <hyperlink xmlns:r="http://schemas.openxmlformats.org/officeDocument/2006/relationships" ref="R752" r:id="rId751"/>
    <hyperlink xmlns:r="http://schemas.openxmlformats.org/officeDocument/2006/relationships" ref="R753" r:id="rId752"/>
    <hyperlink xmlns:r="http://schemas.openxmlformats.org/officeDocument/2006/relationships" ref="R754" r:id="rId753"/>
    <hyperlink xmlns:r="http://schemas.openxmlformats.org/officeDocument/2006/relationships" ref="R755" r:id="rId754"/>
    <hyperlink xmlns:r="http://schemas.openxmlformats.org/officeDocument/2006/relationships" ref="R756" r:id="rId755"/>
    <hyperlink xmlns:r="http://schemas.openxmlformats.org/officeDocument/2006/relationships" ref="R757" r:id="rId756"/>
    <hyperlink xmlns:r="http://schemas.openxmlformats.org/officeDocument/2006/relationships" ref="R758" r:id="rId757"/>
    <hyperlink xmlns:r="http://schemas.openxmlformats.org/officeDocument/2006/relationships" ref="R759" r:id="rId758"/>
    <hyperlink xmlns:r="http://schemas.openxmlformats.org/officeDocument/2006/relationships" ref="R760" r:id="rId759"/>
    <hyperlink xmlns:r="http://schemas.openxmlformats.org/officeDocument/2006/relationships" ref="R761" r:id="rId760"/>
    <hyperlink xmlns:r="http://schemas.openxmlformats.org/officeDocument/2006/relationships" ref="R762" r:id="rId761"/>
    <hyperlink xmlns:r="http://schemas.openxmlformats.org/officeDocument/2006/relationships" ref="R763" r:id="rId762"/>
    <hyperlink xmlns:r="http://schemas.openxmlformats.org/officeDocument/2006/relationships" ref="R764" r:id="rId763"/>
    <hyperlink xmlns:r="http://schemas.openxmlformats.org/officeDocument/2006/relationships" ref="R765" r:id="rId764"/>
    <hyperlink xmlns:r="http://schemas.openxmlformats.org/officeDocument/2006/relationships" ref="R766" r:id="rId765"/>
    <hyperlink xmlns:r="http://schemas.openxmlformats.org/officeDocument/2006/relationships" ref="R767" r:id="rId766"/>
    <hyperlink xmlns:r="http://schemas.openxmlformats.org/officeDocument/2006/relationships" ref="R768" r:id="rId767"/>
    <hyperlink xmlns:r="http://schemas.openxmlformats.org/officeDocument/2006/relationships" ref="R769" r:id="rId768"/>
    <hyperlink xmlns:r="http://schemas.openxmlformats.org/officeDocument/2006/relationships" ref="R770" r:id="rId769"/>
    <hyperlink xmlns:r="http://schemas.openxmlformats.org/officeDocument/2006/relationships" ref="R771" r:id="rId770"/>
    <hyperlink xmlns:r="http://schemas.openxmlformats.org/officeDocument/2006/relationships" ref="R772" r:id="rId771"/>
    <hyperlink xmlns:r="http://schemas.openxmlformats.org/officeDocument/2006/relationships" ref="R773" r:id="rId772"/>
    <hyperlink xmlns:r="http://schemas.openxmlformats.org/officeDocument/2006/relationships" ref="R774" r:id="rId773"/>
    <hyperlink xmlns:r="http://schemas.openxmlformats.org/officeDocument/2006/relationships" ref="R775" r:id="rId774"/>
    <hyperlink xmlns:r="http://schemas.openxmlformats.org/officeDocument/2006/relationships" ref="R776" r:id="rId775"/>
    <hyperlink xmlns:r="http://schemas.openxmlformats.org/officeDocument/2006/relationships" ref="R777" r:id="rId776"/>
    <hyperlink xmlns:r="http://schemas.openxmlformats.org/officeDocument/2006/relationships" ref="R778" r:id="rId777"/>
    <hyperlink xmlns:r="http://schemas.openxmlformats.org/officeDocument/2006/relationships" ref="R779" r:id="rId778"/>
    <hyperlink xmlns:r="http://schemas.openxmlformats.org/officeDocument/2006/relationships" ref="R780" r:id="rId779"/>
    <hyperlink xmlns:r="http://schemas.openxmlformats.org/officeDocument/2006/relationships" ref="R781" r:id="rId780"/>
    <hyperlink xmlns:r="http://schemas.openxmlformats.org/officeDocument/2006/relationships" ref="R782" r:id="rId781"/>
    <hyperlink xmlns:r="http://schemas.openxmlformats.org/officeDocument/2006/relationships" ref="R783" r:id="rId782"/>
    <hyperlink xmlns:r="http://schemas.openxmlformats.org/officeDocument/2006/relationships" ref="R784" r:id="rId783"/>
    <hyperlink xmlns:r="http://schemas.openxmlformats.org/officeDocument/2006/relationships" ref="R785" r:id="rId784"/>
    <hyperlink xmlns:r="http://schemas.openxmlformats.org/officeDocument/2006/relationships" ref="R786" r:id="rId785"/>
    <hyperlink xmlns:r="http://schemas.openxmlformats.org/officeDocument/2006/relationships" ref="R787" r:id="rId786"/>
    <hyperlink xmlns:r="http://schemas.openxmlformats.org/officeDocument/2006/relationships" ref="R788" r:id="rId787"/>
    <hyperlink xmlns:r="http://schemas.openxmlformats.org/officeDocument/2006/relationships" ref="R789" r:id="rId788"/>
    <hyperlink xmlns:r="http://schemas.openxmlformats.org/officeDocument/2006/relationships" ref="R790" r:id="rId789"/>
    <hyperlink xmlns:r="http://schemas.openxmlformats.org/officeDocument/2006/relationships" ref="R791" r:id="rId790"/>
    <hyperlink xmlns:r="http://schemas.openxmlformats.org/officeDocument/2006/relationships" ref="R792" r:id="rId791"/>
    <hyperlink xmlns:r="http://schemas.openxmlformats.org/officeDocument/2006/relationships" ref="R793" r:id="rId792"/>
    <hyperlink xmlns:r="http://schemas.openxmlformats.org/officeDocument/2006/relationships" ref="R794" r:id="rId793"/>
    <hyperlink xmlns:r="http://schemas.openxmlformats.org/officeDocument/2006/relationships" ref="R795" r:id="rId794"/>
    <hyperlink xmlns:r="http://schemas.openxmlformats.org/officeDocument/2006/relationships" ref="R796" r:id="rId795"/>
    <hyperlink xmlns:r="http://schemas.openxmlformats.org/officeDocument/2006/relationships" ref="R797" r:id="rId796"/>
    <hyperlink xmlns:r="http://schemas.openxmlformats.org/officeDocument/2006/relationships" ref="R798" r:id="rId797"/>
    <hyperlink xmlns:r="http://schemas.openxmlformats.org/officeDocument/2006/relationships" ref="R799" r:id="rId798"/>
    <hyperlink xmlns:r="http://schemas.openxmlformats.org/officeDocument/2006/relationships" ref="R800" r:id="rId799"/>
    <hyperlink xmlns:r="http://schemas.openxmlformats.org/officeDocument/2006/relationships" ref="R801" r:id="rId800"/>
    <hyperlink xmlns:r="http://schemas.openxmlformats.org/officeDocument/2006/relationships" ref="R802" r:id="rId801"/>
    <hyperlink xmlns:r="http://schemas.openxmlformats.org/officeDocument/2006/relationships" ref="R803" r:id="rId802"/>
    <hyperlink xmlns:r="http://schemas.openxmlformats.org/officeDocument/2006/relationships" ref="R804" r:id="rId803"/>
    <hyperlink xmlns:r="http://schemas.openxmlformats.org/officeDocument/2006/relationships" ref="R805" r:id="rId804"/>
    <hyperlink xmlns:r="http://schemas.openxmlformats.org/officeDocument/2006/relationships" ref="R806" r:id="rId805"/>
    <hyperlink xmlns:r="http://schemas.openxmlformats.org/officeDocument/2006/relationships" ref="R807" r:id="rId806"/>
    <hyperlink xmlns:r="http://schemas.openxmlformats.org/officeDocument/2006/relationships" ref="R808" r:id="rId807"/>
    <hyperlink xmlns:r="http://schemas.openxmlformats.org/officeDocument/2006/relationships" ref="R809" r:id="rId808"/>
    <hyperlink xmlns:r="http://schemas.openxmlformats.org/officeDocument/2006/relationships" ref="R810" r:id="rId809"/>
    <hyperlink xmlns:r="http://schemas.openxmlformats.org/officeDocument/2006/relationships" ref="R811" r:id="rId810"/>
    <hyperlink xmlns:r="http://schemas.openxmlformats.org/officeDocument/2006/relationships" ref="R812" r:id="rId811"/>
    <hyperlink xmlns:r="http://schemas.openxmlformats.org/officeDocument/2006/relationships" ref="R813" r:id="rId812"/>
    <hyperlink xmlns:r="http://schemas.openxmlformats.org/officeDocument/2006/relationships" ref="R814" r:id="rId813"/>
    <hyperlink xmlns:r="http://schemas.openxmlformats.org/officeDocument/2006/relationships" ref="R815" r:id="rId814"/>
    <hyperlink xmlns:r="http://schemas.openxmlformats.org/officeDocument/2006/relationships" ref="R816" r:id="rId815"/>
    <hyperlink xmlns:r="http://schemas.openxmlformats.org/officeDocument/2006/relationships" ref="R817" r:id="rId816"/>
    <hyperlink xmlns:r="http://schemas.openxmlformats.org/officeDocument/2006/relationships" ref="R818" r:id="rId817"/>
    <hyperlink xmlns:r="http://schemas.openxmlformats.org/officeDocument/2006/relationships" ref="R819" r:id="rId818"/>
    <hyperlink xmlns:r="http://schemas.openxmlformats.org/officeDocument/2006/relationships" ref="R820" r:id="rId819"/>
    <hyperlink xmlns:r="http://schemas.openxmlformats.org/officeDocument/2006/relationships" ref="R821" r:id="rId820"/>
    <hyperlink xmlns:r="http://schemas.openxmlformats.org/officeDocument/2006/relationships" ref="R822" r:id="rId821"/>
    <hyperlink xmlns:r="http://schemas.openxmlformats.org/officeDocument/2006/relationships" ref="R823" r:id="rId822"/>
    <hyperlink xmlns:r="http://schemas.openxmlformats.org/officeDocument/2006/relationships" ref="R824" r:id="rId823"/>
    <hyperlink xmlns:r="http://schemas.openxmlformats.org/officeDocument/2006/relationships" ref="R825" r:id="rId824"/>
    <hyperlink xmlns:r="http://schemas.openxmlformats.org/officeDocument/2006/relationships" ref="R826" r:id="rId825"/>
    <hyperlink xmlns:r="http://schemas.openxmlformats.org/officeDocument/2006/relationships" ref="R827" r:id="rId826"/>
    <hyperlink xmlns:r="http://schemas.openxmlformats.org/officeDocument/2006/relationships" ref="R828" r:id="rId827"/>
    <hyperlink xmlns:r="http://schemas.openxmlformats.org/officeDocument/2006/relationships" ref="R829" r:id="rId828"/>
    <hyperlink xmlns:r="http://schemas.openxmlformats.org/officeDocument/2006/relationships" ref="R830" r:id="rId829"/>
    <hyperlink xmlns:r="http://schemas.openxmlformats.org/officeDocument/2006/relationships" ref="R831" r:id="rId830"/>
    <hyperlink xmlns:r="http://schemas.openxmlformats.org/officeDocument/2006/relationships" ref="R832" r:id="rId831"/>
    <hyperlink xmlns:r="http://schemas.openxmlformats.org/officeDocument/2006/relationships" ref="R833" r:id="rId832"/>
    <hyperlink xmlns:r="http://schemas.openxmlformats.org/officeDocument/2006/relationships" ref="R834" r:id="rId833"/>
    <hyperlink xmlns:r="http://schemas.openxmlformats.org/officeDocument/2006/relationships" ref="R835" r:id="rId834"/>
    <hyperlink xmlns:r="http://schemas.openxmlformats.org/officeDocument/2006/relationships" ref="R836" r:id="rId835"/>
    <hyperlink xmlns:r="http://schemas.openxmlformats.org/officeDocument/2006/relationships" ref="R837" r:id="rId836"/>
    <hyperlink xmlns:r="http://schemas.openxmlformats.org/officeDocument/2006/relationships" ref="R838" r:id="rId837"/>
    <hyperlink xmlns:r="http://schemas.openxmlformats.org/officeDocument/2006/relationships" ref="R839" r:id="rId838"/>
    <hyperlink xmlns:r="http://schemas.openxmlformats.org/officeDocument/2006/relationships" ref="R840" r:id="rId839"/>
    <hyperlink xmlns:r="http://schemas.openxmlformats.org/officeDocument/2006/relationships" ref="R841" r:id="rId840"/>
    <hyperlink xmlns:r="http://schemas.openxmlformats.org/officeDocument/2006/relationships" ref="R842" r:id="rId841"/>
    <hyperlink xmlns:r="http://schemas.openxmlformats.org/officeDocument/2006/relationships" ref="R843" r:id="rId842"/>
    <hyperlink xmlns:r="http://schemas.openxmlformats.org/officeDocument/2006/relationships" ref="R844" r:id="rId843"/>
    <hyperlink xmlns:r="http://schemas.openxmlformats.org/officeDocument/2006/relationships" ref="R845" r:id="rId844"/>
    <hyperlink xmlns:r="http://schemas.openxmlformats.org/officeDocument/2006/relationships" ref="R846" r:id="rId845"/>
    <hyperlink xmlns:r="http://schemas.openxmlformats.org/officeDocument/2006/relationships" ref="R847" r:id="rId846"/>
    <hyperlink xmlns:r="http://schemas.openxmlformats.org/officeDocument/2006/relationships" ref="R848" r:id="rId847"/>
    <hyperlink xmlns:r="http://schemas.openxmlformats.org/officeDocument/2006/relationships" ref="R849" r:id="rId848"/>
    <hyperlink xmlns:r="http://schemas.openxmlformats.org/officeDocument/2006/relationships" ref="R850" r:id="rId849"/>
    <hyperlink xmlns:r="http://schemas.openxmlformats.org/officeDocument/2006/relationships" ref="R851" r:id="rId850"/>
    <hyperlink xmlns:r="http://schemas.openxmlformats.org/officeDocument/2006/relationships" ref="R852" r:id="rId851"/>
    <hyperlink xmlns:r="http://schemas.openxmlformats.org/officeDocument/2006/relationships" ref="R853" r:id="rId852"/>
    <hyperlink xmlns:r="http://schemas.openxmlformats.org/officeDocument/2006/relationships" ref="R854" r:id="rId853"/>
    <hyperlink xmlns:r="http://schemas.openxmlformats.org/officeDocument/2006/relationships" ref="R855" r:id="rId854"/>
    <hyperlink xmlns:r="http://schemas.openxmlformats.org/officeDocument/2006/relationships" ref="R856" r:id="rId855"/>
    <hyperlink xmlns:r="http://schemas.openxmlformats.org/officeDocument/2006/relationships" ref="R857" r:id="rId856"/>
    <hyperlink xmlns:r="http://schemas.openxmlformats.org/officeDocument/2006/relationships" ref="R858" r:id="rId857"/>
    <hyperlink xmlns:r="http://schemas.openxmlformats.org/officeDocument/2006/relationships" ref="R859" r:id="rId858"/>
    <hyperlink xmlns:r="http://schemas.openxmlformats.org/officeDocument/2006/relationships" ref="R860" r:id="rId859"/>
    <hyperlink xmlns:r="http://schemas.openxmlformats.org/officeDocument/2006/relationships" ref="R861" r:id="rId860"/>
    <hyperlink xmlns:r="http://schemas.openxmlformats.org/officeDocument/2006/relationships" ref="R862" r:id="rId861"/>
    <hyperlink xmlns:r="http://schemas.openxmlformats.org/officeDocument/2006/relationships" ref="R863" r:id="rId862"/>
    <hyperlink xmlns:r="http://schemas.openxmlformats.org/officeDocument/2006/relationships" ref="R864" r:id="rId863"/>
    <hyperlink xmlns:r="http://schemas.openxmlformats.org/officeDocument/2006/relationships" ref="R865" r:id="rId864"/>
    <hyperlink xmlns:r="http://schemas.openxmlformats.org/officeDocument/2006/relationships" ref="R866" r:id="rId865"/>
    <hyperlink xmlns:r="http://schemas.openxmlformats.org/officeDocument/2006/relationships" ref="R867" r:id="rId866"/>
    <hyperlink xmlns:r="http://schemas.openxmlformats.org/officeDocument/2006/relationships" ref="R868" r:id="rId867"/>
    <hyperlink xmlns:r="http://schemas.openxmlformats.org/officeDocument/2006/relationships" ref="R869" r:id="rId868"/>
    <hyperlink xmlns:r="http://schemas.openxmlformats.org/officeDocument/2006/relationships" ref="R870" r:id="rId869"/>
    <hyperlink xmlns:r="http://schemas.openxmlformats.org/officeDocument/2006/relationships" ref="R871" r:id="rId870"/>
    <hyperlink xmlns:r="http://schemas.openxmlformats.org/officeDocument/2006/relationships" ref="R872" r:id="rId871"/>
    <hyperlink xmlns:r="http://schemas.openxmlformats.org/officeDocument/2006/relationships" ref="R873" r:id="rId872"/>
    <hyperlink xmlns:r="http://schemas.openxmlformats.org/officeDocument/2006/relationships" ref="R874" r:id="rId873"/>
    <hyperlink xmlns:r="http://schemas.openxmlformats.org/officeDocument/2006/relationships" ref="R875" r:id="rId874"/>
    <hyperlink xmlns:r="http://schemas.openxmlformats.org/officeDocument/2006/relationships" ref="R876" r:id="rId875"/>
    <hyperlink xmlns:r="http://schemas.openxmlformats.org/officeDocument/2006/relationships" ref="R877" r:id="rId876"/>
    <hyperlink xmlns:r="http://schemas.openxmlformats.org/officeDocument/2006/relationships" ref="R878" r:id="rId877"/>
    <hyperlink xmlns:r="http://schemas.openxmlformats.org/officeDocument/2006/relationships" ref="R879" r:id="rId878"/>
    <hyperlink xmlns:r="http://schemas.openxmlformats.org/officeDocument/2006/relationships" ref="R880" r:id="rId879"/>
    <hyperlink xmlns:r="http://schemas.openxmlformats.org/officeDocument/2006/relationships" ref="R881" r:id="rId880"/>
    <hyperlink xmlns:r="http://schemas.openxmlformats.org/officeDocument/2006/relationships" ref="R882" r:id="rId881"/>
    <hyperlink xmlns:r="http://schemas.openxmlformats.org/officeDocument/2006/relationships" ref="R883" r:id="rId882"/>
    <hyperlink xmlns:r="http://schemas.openxmlformats.org/officeDocument/2006/relationships" ref="R884" r:id="rId883"/>
    <hyperlink xmlns:r="http://schemas.openxmlformats.org/officeDocument/2006/relationships" ref="R885" r:id="rId884"/>
    <hyperlink xmlns:r="http://schemas.openxmlformats.org/officeDocument/2006/relationships" ref="R886" r:id="rId885"/>
    <hyperlink xmlns:r="http://schemas.openxmlformats.org/officeDocument/2006/relationships" ref="R887" r:id="rId886"/>
    <hyperlink xmlns:r="http://schemas.openxmlformats.org/officeDocument/2006/relationships" ref="R888" r:id="rId887"/>
    <hyperlink xmlns:r="http://schemas.openxmlformats.org/officeDocument/2006/relationships" ref="R889" r:id="rId888"/>
    <hyperlink xmlns:r="http://schemas.openxmlformats.org/officeDocument/2006/relationships" ref="R890" r:id="rId889"/>
    <hyperlink xmlns:r="http://schemas.openxmlformats.org/officeDocument/2006/relationships" ref="R891" r:id="rId890"/>
    <hyperlink xmlns:r="http://schemas.openxmlformats.org/officeDocument/2006/relationships" ref="R892" r:id="rId891"/>
    <hyperlink xmlns:r="http://schemas.openxmlformats.org/officeDocument/2006/relationships" ref="R893" r:id="rId892"/>
    <hyperlink xmlns:r="http://schemas.openxmlformats.org/officeDocument/2006/relationships" ref="R894" r:id="rId893"/>
    <hyperlink xmlns:r="http://schemas.openxmlformats.org/officeDocument/2006/relationships" ref="R895" r:id="rId894"/>
    <hyperlink xmlns:r="http://schemas.openxmlformats.org/officeDocument/2006/relationships" ref="R896" r:id="rId895"/>
    <hyperlink xmlns:r="http://schemas.openxmlformats.org/officeDocument/2006/relationships" ref="R897" r:id="rId896"/>
    <hyperlink xmlns:r="http://schemas.openxmlformats.org/officeDocument/2006/relationships" ref="R898" r:id="rId897"/>
    <hyperlink xmlns:r="http://schemas.openxmlformats.org/officeDocument/2006/relationships" ref="R899" r:id="rId898"/>
    <hyperlink xmlns:r="http://schemas.openxmlformats.org/officeDocument/2006/relationships" ref="R900" r:id="rId899"/>
    <hyperlink xmlns:r="http://schemas.openxmlformats.org/officeDocument/2006/relationships" ref="R901" r:id="rId900"/>
    <hyperlink xmlns:r="http://schemas.openxmlformats.org/officeDocument/2006/relationships" ref="R902" r:id="rId901"/>
    <hyperlink xmlns:r="http://schemas.openxmlformats.org/officeDocument/2006/relationships" ref="R903" r:id="rId902"/>
    <hyperlink xmlns:r="http://schemas.openxmlformats.org/officeDocument/2006/relationships" ref="R904" r:id="rId903"/>
    <hyperlink xmlns:r="http://schemas.openxmlformats.org/officeDocument/2006/relationships" ref="R905" r:id="rId904"/>
    <hyperlink xmlns:r="http://schemas.openxmlformats.org/officeDocument/2006/relationships" ref="R906" r:id="rId905"/>
    <hyperlink xmlns:r="http://schemas.openxmlformats.org/officeDocument/2006/relationships" ref="R907" r:id="rId906"/>
    <hyperlink xmlns:r="http://schemas.openxmlformats.org/officeDocument/2006/relationships" ref="R908" r:id="rId907"/>
    <hyperlink xmlns:r="http://schemas.openxmlformats.org/officeDocument/2006/relationships" ref="R909" r:id="rId908"/>
    <hyperlink xmlns:r="http://schemas.openxmlformats.org/officeDocument/2006/relationships" ref="R910" r:id="rId909"/>
    <hyperlink xmlns:r="http://schemas.openxmlformats.org/officeDocument/2006/relationships" ref="R911" r:id="rId910"/>
    <hyperlink xmlns:r="http://schemas.openxmlformats.org/officeDocument/2006/relationships" ref="R912" r:id="rId911"/>
    <hyperlink xmlns:r="http://schemas.openxmlformats.org/officeDocument/2006/relationships" ref="R913" r:id="rId912"/>
    <hyperlink xmlns:r="http://schemas.openxmlformats.org/officeDocument/2006/relationships" ref="R914" r:id="rId913"/>
    <hyperlink xmlns:r="http://schemas.openxmlformats.org/officeDocument/2006/relationships" ref="R915" r:id="rId914"/>
    <hyperlink xmlns:r="http://schemas.openxmlformats.org/officeDocument/2006/relationships" ref="R916" r:id="rId915"/>
    <hyperlink xmlns:r="http://schemas.openxmlformats.org/officeDocument/2006/relationships" ref="R917" r:id="rId916"/>
    <hyperlink xmlns:r="http://schemas.openxmlformats.org/officeDocument/2006/relationships" ref="R918" r:id="rId917"/>
    <hyperlink xmlns:r="http://schemas.openxmlformats.org/officeDocument/2006/relationships" ref="R919" r:id="rId918"/>
    <hyperlink xmlns:r="http://schemas.openxmlformats.org/officeDocument/2006/relationships" ref="R920" r:id="rId919"/>
    <hyperlink xmlns:r="http://schemas.openxmlformats.org/officeDocument/2006/relationships" ref="R921" r:id="rId920"/>
    <hyperlink xmlns:r="http://schemas.openxmlformats.org/officeDocument/2006/relationships" ref="R922" r:id="rId921"/>
    <hyperlink xmlns:r="http://schemas.openxmlformats.org/officeDocument/2006/relationships" ref="R923" r:id="rId922"/>
    <hyperlink xmlns:r="http://schemas.openxmlformats.org/officeDocument/2006/relationships" ref="R924" r:id="rId923"/>
    <hyperlink xmlns:r="http://schemas.openxmlformats.org/officeDocument/2006/relationships" ref="R925" r:id="rId924"/>
    <hyperlink xmlns:r="http://schemas.openxmlformats.org/officeDocument/2006/relationships" ref="R926" r:id="rId925"/>
    <hyperlink xmlns:r="http://schemas.openxmlformats.org/officeDocument/2006/relationships" ref="R927" r:id="rId926"/>
    <hyperlink xmlns:r="http://schemas.openxmlformats.org/officeDocument/2006/relationships" ref="R928" r:id="rId927"/>
    <hyperlink xmlns:r="http://schemas.openxmlformats.org/officeDocument/2006/relationships" ref="R929" r:id="rId928"/>
    <hyperlink xmlns:r="http://schemas.openxmlformats.org/officeDocument/2006/relationships" ref="R930" r:id="rId929"/>
    <hyperlink xmlns:r="http://schemas.openxmlformats.org/officeDocument/2006/relationships" ref="R931" r:id="rId930"/>
    <hyperlink xmlns:r="http://schemas.openxmlformats.org/officeDocument/2006/relationships" ref="R932" r:id="rId931"/>
    <hyperlink xmlns:r="http://schemas.openxmlformats.org/officeDocument/2006/relationships" ref="R933" r:id="rId932"/>
    <hyperlink xmlns:r="http://schemas.openxmlformats.org/officeDocument/2006/relationships" ref="R934" r:id="rId933"/>
    <hyperlink xmlns:r="http://schemas.openxmlformats.org/officeDocument/2006/relationships" ref="R935" r:id="rId934"/>
    <hyperlink xmlns:r="http://schemas.openxmlformats.org/officeDocument/2006/relationships" ref="R936" r:id="rId935"/>
    <hyperlink xmlns:r="http://schemas.openxmlformats.org/officeDocument/2006/relationships" ref="R937" r:id="rId936"/>
    <hyperlink xmlns:r="http://schemas.openxmlformats.org/officeDocument/2006/relationships" ref="R938" r:id="rId937"/>
    <hyperlink xmlns:r="http://schemas.openxmlformats.org/officeDocument/2006/relationships" ref="R939" r:id="rId938"/>
    <hyperlink xmlns:r="http://schemas.openxmlformats.org/officeDocument/2006/relationships" ref="R940" r:id="rId939"/>
    <hyperlink xmlns:r="http://schemas.openxmlformats.org/officeDocument/2006/relationships" ref="R941" r:id="rId940"/>
    <hyperlink xmlns:r="http://schemas.openxmlformats.org/officeDocument/2006/relationships" ref="R942" r:id="rId941"/>
    <hyperlink xmlns:r="http://schemas.openxmlformats.org/officeDocument/2006/relationships" ref="R943" r:id="rId942"/>
    <hyperlink xmlns:r="http://schemas.openxmlformats.org/officeDocument/2006/relationships" ref="R944" r:id="rId943"/>
    <hyperlink xmlns:r="http://schemas.openxmlformats.org/officeDocument/2006/relationships" ref="R945" r:id="rId944"/>
    <hyperlink xmlns:r="http://schemas.openxmlformats.org/officeDocument/2006/relationships" ref="R946" r:id="rId945"/>
    <hyperlink xmlns:r="http://schemas.openxmlformats.org/officeDocument/2006/relationships" ref="R947" r:id="rId946"/>
    <hyperlink xmlns:r="http://schemas.openxmlformats.org/officeDocument/2006/relationships" ref="R948" r:id="rId947"/>
    <hyperlink xmlns:r="http://schemas.openxmlformats.org/officeDocument/2006/relationships" ref="R949" r:id="rId948"/>
    <hyperlink xmlns:r="http://schemas.openxmlformats.org/officeDocument/2006/relationships" ref="R950" r:id="rId949"/>
    <hyperlink xmlns:r="http://schemas.openxmlformats.org/officeDocument/2006/relationships" ref="R951" r:id="rId950"/>
    <hyperlink xmlns:r="http://schemas.openxmlformats.org/officeDocument/2006/relationships" ref="R952" r:id="rId951"/>
    <hyperlink xmlns:r="http://schemas.openxmlformats.org/officeDocument/2006/relationships" ref="R953" r:id="rId952"/>
    <hyperlink xmlns:r="http://schemas.openxmlformats.org/officeDocument/2006/relationships" ref="R954" r:id="rId953"/>
    <hyperlink xmlns:r="http://schemas.openxmlformats.org/officeDocument/2006/relationships" ref="R955" r:id="rId954"/>
    <hyperlink xmlns:r="http://schemas.openxmlformats.org/officeDocument/2006/relationships" ref="R956" r:id="rId955"/>
    <hyperlink xmlns:r="http://schemas.openxmlformats.org/officeDocument/2006/relationships" ref="R957" r:id="rId956"/>
    <hyperlink xmlns:r="http://schemas.openxmlformats.org/officeDocument/2006/relationships" ref="R958" r:id="rId957"/>
    <hyperlink xmlns:r="http://schemas.openxmlformats.org/officeDocument/2006/relationships" ref="R959" r:id="rId958"/>
    <hyperlink xmlns:r="http://schemas.openxmlformats.org/officeDocument/2006/relationships" ref="R960" r:id="rId959"/>
    <hyperlink xmlns:r="http://schemas.openxmlformats.org/officeDocument/2006/relationships" ref="R961" r:id="rId960"/>
    <hyperlink xmlns:r="http://schemas.openxmlformats.org/officeDocument/2006/relationships" ref="R962" r:id="rId961"/>
    <hyperlink xmlns:r="http://schemas.openxmlformats.org/officeDocument/2006/relationships" ref="R963" r:id="rId962"/>
    <hyperlink xmlns:r="http://schemas.openxmlformats.org/officeDocument/2006/relationships" ref="R964" r:id="rId963"/>
    <hyperlink xmlns:r="http://schemas.openxmlformats.org/officeDocument/2006/relationships" ref="R965" r:id="rId964"/>
    <hyperlink xmlns:r="http://schemas.openxmlformats.org/officeDocument/2006/relationships" ref="R966" r:id="rId965"/>
    <hyperlink xmlns:r="http://schemas.openxmlformats.org/officeDocument/2006/relationships" ref="R967" r:id="rId966"/>
    <hyperlink xmlns:r="http://schemas.openxmlformats.org/officeDocument/2006/relationships" ref="R968" r:id="rId967"/>
    <hyperlink xmlns:r="http://schemas.openxmlformats.org/officeDocument/2006/relationships" ref="R969" r:id="rId968"/>
    <hyperlink xmlns:r="http://schemas.openxmlformats.org/officeDocument/2006/relationships" ref="R970" r:id="rId969"/>
    <hyperlink xmlns:r="http://schemas.openxmlformats.org/officeDocument/2006/relationships" ref="R971" r:id="rId970"/>
    <hyperlink xmlns:r="http://schemas.openxmlformats.org/officeDocument/2006/relationships" ref="R972" r:id="rId971"/>
    <hyperlink xmlns:r="http://schemas.openxmlformats.org/officeDocument/2006/relationships" ref="R973" r:id="rId972"/>
    <hyperlink xmlns:r="http://schemas.openxmlformats.org/officeDocument/2006/relationships" ref="R974" r:id="rId973"/>
    <hyperlink xmlns:r="http://schemas.openxmlformats.org/officeDocument/2006/relationships" ref="R975" r:id="rId974"/>
    <hyperlink xmlns:r="http://schemas.openxmlformats.org/officeDocument/2006/relationships" ref="R976" r:id="rId975"/>
    <hyperlink xmlns:r="http://schemas.openxmlformats.org/officeDocument/2006/relationships" ref="R977" r:id="rId976"/>
    <hyperlink xmlns:r="http://schemas.openxmlformats.org/officeDocument/2006/relationships" ref="R978" r:id="rId977"/>
    <hyperlink xmlns:r="http://schemas.openxmlformats.org/officeDocument/2006/relationships" ref="R979" r:id="rId978"/>
    <hyperlink xmlns:r="http://schemas.openxmlformats.org/officeDocument/2006/relationships" ref="R980" r:id="rId979"/>
    <hyperlink xmlns:r="http://schemas.openxmlformats.org/officeDocument/2006/relationships" ref="R981" r:id="rId980"/>
    <hyperlink xmlns:r="http://schemas.openxmlformats.org/officeDocument/2006/relationships" ref="R982" r:id="rId981"/>
    <hyperlink xmlns:r="http://schemas.openxmlformats.org/officeDocument/2006/relationships" ref="R983" r:id="rId982"/>
    <hyperlink xmlns:r="http://schemas.openxmlformats.org/officeDocument/2006/relationships" ref="R984" r:id="rId983"/>
    <hyperlink xmlns:r="http://schemas.openxmlformats.org/officeDocument/2006/relationships" ref="R985" r:id="rId984"/>
    <hyperlink xmlns:r="http://schemas.openxmlformats.org/officeDocument/2006/relationships" ref="R986" r:id="rId985"/>
    <hyperlink xmlns:r="http://schemas.openxmlformats.org/officeDocument/2006/relationships" ref="R987" r:id="rId986"/>
    <hyperlink xmlns:r="http://schemas.openxmlformats.org/officeDocument/2006/relationships" ref="R988" r:id="rId987"/>
    <hyperlink xmlns:r="http://schemas.openxmlformats.org/officeDocument/2006/relationships" ref="R989" r:id="rId988"/>
    <hyperlink xmlns:r="http://schemas.openxmlformats.org/officeDocument/2006/relationships" ref="R990" r:id="rId989"/>
    <hyperlink xmlns:r="http://schemas.openxmlformats.org/officeDocument/2006/relationships" ref="R991" r:id="rId990"/>
    <hyperlink xmlns:r="http://schemas.openxmlformats.org/officeDocument/2006/relationships" ref="R992" r:id="rId991"/>
    <hyperlink xmlns:r="http://schemas.openxmlformats.org/officeDocument/2006/relationships" ref="R993" r:id="rId992"/>
    <hyperlink xmlns:r="http://schemas.openxmlformats.org/officeDocument/2006/relationships" ref="R994" r:id="rId993"/>
    <hyperlink xmlns:r="http://schemas.openxmlformats.org/officeDocument/2006/relationships" ref="R995" r:id="rId994"/>
    <hyperlink xmlns:r="http://schemas.openxmlformats.org/officeDocument/2006/relationships" ref="R996" r:id="rId995"/>
    <hyperlink xmlns:r="http://schemas.openxmlformats.org/officeDocument/2006/relationships" ref="R997" r:id="rId996"/>
    <hyperlink xmlns:r="http://schemas.openxmlformats.org/officeDocument/2006/relationships" ref="R998" r:id="rId997"/>
    <hyperlink xmlns:r="http://schemas.openxmlformats.org/officeDocument/2006/relationships" ref="R999" r:id="rId998"/>
    <hyperlink xmlns:r="http://schemas.openxmlformats.org/officeDocument/2006/relationships" ref="R1000" r:id="rId999"/>
    <hyperlink xmlns:r="http://schemas.openxmlformats.org/officeDocument/2006/relationships" ref="R1001" r:id="rId1000"/>
    <hyperlink xmlns:r="http://schemas.openxmlformats.org/officeDocument/2006/relationships" ref="R1002" r:id="rId1001"/>
    <hyperlink xmlns:r="http://schemas.openxmlformats.org/officeDocument/2006/relationships" ref="R1003" r:id="rId1002"/>
    <hyperlink xmlns:r="http://schemas.openxmlformats.org/officeDocument/2006/relationships" ref="R1004" r:id="rId1003"/>
    <hyperlink xmlns:r="http://schemas.openxmlformats.org/officeDocument/2006/relationships" ref="R1005" r:id="rId1004"/>
    <hyperlink xmlns:r="http://schemas.openxmlformats.org/officeDocument/2006/relationships" ref="R1006" r:id="rId1005"/>
    <hyperlink xmlns:r="http://schemas.openxmlformats.org/officeDocument/2006/relationships" ref="R1007" r:id="rId1006"/>
    <hyperlink xmlns:r="http://schemas.openxmlformats.org/officeDocument/2006/relationships" ref="R1008" r:id="rId1007"/>
    <hyperlink xmlns:r="http://schemas.openxmlformats.org/officeDocument/2006/relationships" ref="R1009" r:id="rId1008"/>
    <hyperlink xmlns:r="http://schemas.openxmlformats.org/officeDocument/2006/relationships" ref="R1010" r:id="rId1009"/>
    <hyperlink xmlns:r="http://schemas.openxmlformats.org/officeDocument/2006/relationships" ref="R1011" r:id="rId1010"/>
    <hyperlink xmlns:r="http://schemas.openxmlformats.org/officeDocument/2006/relationships" ref="R1012" r:id="rId1011"/>
    <hyperlink xmlns:r="http://schemas.openxmlformats.org/officeDocument/2006/relationships" ref="R1013" r:id="rId1012"/>
    <hyperlink xmlns:r="http://schemas.openxmlformats.org/officeDocument/2006/relationships" ref="R1014" r:id="rId1013"/>
    <hyperlink xmlns:r="http://schemas.openxmlformats.org/officeDocument/2006/relationships" ref="R1015" r:id="rId1014"/>
    <hyperlink xmlns:r="http://schemas.openxmlformats.org/officeDocument/2006/relationships" ref="R1016" r:id="rId1015"/>
    <hyperlink xmlns:r="http://schemas.openxmlformats.org/officeDocument/2006/relationships" ref="R1017" r:id="rId1016"/>
    <hyperlink xmlns:r="http://schemas.openxmlformats.org/officeDocument/2006/relationships" ref="R1018" r:id="rId1017"/>
    <hyperlink xmlns:r="http://schemas.openxmlformats.org/officeDocument/2006/relationships" ref="R1019" r:id="rId1018"/>
    <hyperlink xmlns:r="http://schemas.openxmlformats.org/officeDocument/2006/relationships" ref="R1020" r:id="rId1019"/>
    <hyperlink xmlns:r="http://schemas.openxmlformats.org/officeDocument/2006/relationships" ref="R1021" r:id="rId1020"/>
    <hyperlink xmlns:r="http://schemas.openxmlformats.org/officeDocument/2006/relationships" ref="R1022" r:id="rId1021"/>
    <hyperlink xmlns:r="http://schemas.openxmlformats.org/officeDocument/2006/relationships" ref="R1023" r:id="rId1022"/>
    <hyperlink xmlns:r="http://schemas.openxmlformats.org/officeDocument/2006/relationships" ref="R1024" r:id="rId1023"/>
    <hyperlink xmlns:r="http://schemas.openxmlformats.org/officeDocument/2006/relationships" ref="R1025" r:id="rId1024"/>
    <hyperlink xmlns:r="http://schemas.openxmlformats.org/officeDocument/2006/relationships" ref="R1026" r:id="rId1025"/>
    <hyperlink xmlns:r="http://schemas.openxmlformats.org/officeDocument/2006/relationships" ref="R1027" r:id="rId1026"/>
    <hyperlink xmlns:r="http://schemas.openxmlformats.org/officeDocument/2006/relationships" ref="R1028" r:id="rId1027"/>
    <hyperlink xmlns:r="http://schemas.openxmlformats.org/officeDocument/2006/relationships" ref="R1029" r:id="rId1028"/>
    <hyperlink xmlns:r="http://schemas.openxmlformats.org/officeDocument/2006/relationships" ref="R1030" r:id="rId1029"/>
    <hyperlink xmlns:r="http://schemas.openxmlformats.org/officeDocument/2006/relationships" ref="R1031" r:id="rId1030"/>
    <hyperlink xmlns:r="http://schemas.openxmlformats.org/officeDocument/2006/relationships" ref="R1032" r:id="rId1031"/>
    <hyperlink xmlns:r="http://schemas.openxmlformats.org/officeDocument/2006/relationships" ref="R1033" r:id="rId1032"/>
    <hyperlink xmlns:r="http://schemas.openxmlformats.org/officeDocument/2006/relationships" ref="R1034" r:id="rId1033"/>
    <hyperlink xmlns:r="http://schemas.openxmlformats.org/officeDocument/2006/relationships" ref="R1035" r:id="rId1034"/>
    <hyperlink xmlns:r="http://schemas.openxmlformats.org/officeDocument/2006/relationships" ref="R1036" r:id="rId1035"/>
    <hyperlink xmlns:r="http://schemas.openxmlformats.org/officeDocument/2006/relationships" ref="R1037" r:id="rId1036"/>
    <hyperlink xmlns:r="http://schemas.openxmlformats.org/officeDocument/2006/relationships" ref="R1038" r:id="rId1037"/>
    <hyperlink xmlns:r="http://schemas.openxmlformats.org/officeDocument/2006/relationships" ref="R1039" r:id="rId1038"/>
    <hyperlink xmlns:r="http://schemas.openxmlformats.org/officeDocument/2006/relationships" ref="R1040" r:id="rId1039"/>
    <hyperlink xmlns:r="http://schemas.openxmlformats.org/officeDocument/2006/relationships" ref="R1041" r:id="rId1040"/>
    <hyperlink xmlns:r="http://schemas.openxmlformats.org/officeDocument/2006/relationships" ref="R1042" r:id="rId1041"/>
    <hyperlink xmlns:r="http://schemas.openxmlformats.org/officeDocument/2006/relationships" ref="R1043" r:id="rId1042"/>
    <hyperlink xmlns:r="http://schemas.openxmlformats.org/officeDocument/2006/relationships" ref="R1044" r:id="rId1043"/>
    <hyperlink xmlns:r="http://schemas.openxmlformats.org/officeDocument/2006/relationships" ref="R1045" r:id="rId1044"/>
    <hyperlink xmlns:r="http://schemas.openxmlformats.org/officeDocument/2006/relationships" ref="R1046" r:id="rId1045"/>
    <hyperlink xmlns:r="http://schemas.openxmlformats.org/officeDocument/2006/relationships" ref="R1047" r:id="rId1046"/>
    <hyperlink xmlns:r="http://schemas.openxmlformats.org/officeDocument/2006/relationships" ref="R1048" r:id="rId1047"/>
    <hyperlink xmlns:r="http://schemas.openxmlformats.org/officeDocument/2006/relationships" ref="R1049" r:id="rId1048"/>
    <hyperlink xmlns:r="http://schemas.openxmlformats.org/officeDocument/2006/relationships" ref="R1050" r:id="rId1049"/>
    <hyperlink xmlns:r="http://schemas.openxmlformats.org/officeDocument/2006/relationships" ref="R1051" r:id="rId1050"/>
    <hyperlink xmlns:r="http://schemas.openxmlformats.org/officeDocument/2006/relationships" ref="R1052" r:id="rId1051"/>
    <hyperlink xmlns:r="http://schemas.openxmlformats.org/officeDocument/2006/relationships" ref="R1053" r:id="rId1052"/>
    <hyperlink xmlns:r="http://schemas.openxmlformats.org/officeDocument/2006/relationships" ref="R1054" r:id="rId1053"/>
    <hyperlink xmlns:r="http://schemas.openxmlformats.org/officeDocument/2006/relationships" ref="R1055" r:id="rId1054"/>
    <hyperlink xmlns:r="http://schemas.openxmlformats.org/officeDocument/2006/relationships" ref="R1056" r:id="rId1055"/>
    <hyperlink xmlns:r="http://schemas.openxmlformats.org/officeDocument/2006/relationships" ref="R1057" r:id="rId1056"/>
    <hyperlink xmlns:r="http://schemas.openxmlformats.org/officeDocument/2006/relationships" ref="R1058" r:id="rId1057"/>
    <hyperlink xmlns:r="http://schemas.openxmlformats.org/officeDocument/2006/relationships" ref="R1059" r:id="rId1058"/>
    <hyperlink xmlns:r="http://schemas.openxmlformats.org/officeDocument/2006/relationships" ref="R1060" r:id="rId1059"/>
    <hyperlink xmlns:r="http://schemas.openxmlformats.org/officeDocument/2006/relationships" ref="R1061" r:id="rId1060"/>
    <hyperlink xmlns:r="http://schemas.openxmlformats.org/officeDocument/2006/relationships" ref="R1062" r:id="rId1061"/>
    <hyperlink xmlns:r="http://schemas.openxmlformats.org/officeDocument/2006/relationships" ref="R1063" r:id="rId1062"/>
    <hyperlink xmlns:r="http://schemas.openxmlformats.org/officeDocument/2006/relationships" ref="R1064" r:id="rId1063"/>
    <hyperlink xmlns:r="http://schemas.openxmlformats.org/officeDocument/2006/relationships" ref="R1065" r:id="rId1064"/>
    <hyperlink xmlns:r="http://schemas.openxmlformats.org/officeDocument/2006/relationships" ref="R1066" r:id="rId1065"/>
    <hyperlink xmlns:r="http://schemas.openxmlformats.org/officeDocument/2006/relationships" ref="R1067" r:id="rId1066"/>
    <hyperlink xmlns:r="http://schemas.openxmlformats.org/officeDocument/2006/relationships" ref="R1068" r:id="rId1067"/>
    <hyperlink xmlns:r="http://schemas.openxmlformats.org/officeDocument/2006/relationships" ref="R1069" r:id="rId1068"/>
    <hyperlink xmlns:r="http://schemas.openxmlformats.org/officeDocument/2006/relationships" ref="R1070" r:id="rId1069"/>
    <hyperlink xmlns:r="http://schemas.openxmlformats.org/officeDocument/2006/relationships" ref="R1071" r:id="rId1070"/>
    <hyperlink xmlns:r="http://schemas.openxmlformats.org/officeDocument/2006/relationships" ref="R1072" r:id="rId1071"/>
    <hyperlink xmlns:r="http://schemas.openxmlformats.org/officeDocument/2006/relationships" ref="R1073" r:id="rId1072"/>
    <hyperlink xmlns:r="http://schemas.openxmlformats.org/officeDocument/2006/relationships" ref="R1074" r:id="rId1073"/>
    <hyperlink xmlns:r="http://schemas.openxmlformats.org/officeDocument/2006/relationships" ref="R1075" r:id="rId1074"/>
    <hyperlink xmlns:r="http://schemas.openxmlformats.org/officeDocument/2006/relationships" ref="R1076" r:id="rId1075"/>
    <hyperlink xmlns:r="http://schemas.openxmlformats.org/officeDocument/2006/relationships" ref="R1077" r:id="rId1076"/>
    <hyperlink xmlns:r="http://schemas.openxmlformats.org/officeDocument/2006/relationships" ref="R1078" r:id="rId1077"/>
    <hyperlink xmlns:r="http://schemas.openxmlformats.org/officeDocument/2006/relationships" ref="R1079" r:id="rId1078"/>
    <hyperlink xmlns:r="http://schemas.openxmlformats.org/officeDocument/2006/relationships" ref="R1080" r:id="rId1079"/>
    <hyperlink xmlns:r="http://schemas.openxmlformats.org/officeDocument/2006/relationships" ref="R1081" r:id="rId1080"/>
    <hyperlink xmlns:r="http://schemas.openxmlformats.org/officeDocument/2006/relationships" ref="R1082" r:id="rId1081"/>
    <hyperlink xmlns:r="http://schemas.openxmlformats.org/officeDocument/2006/relationships" ref="R1083" r:id="rId1082"/>
    <hyperlink xmlns:r="http://schemas.openxmlformats.org/officeDocument/2006/relationships" ref="R1084" r:id="rId1083"/>
    <hyperlink xmlns:r="http://schemas.openxmlformats.org/officeDocument/2006/relationships" ref="R1085" r:id="rId1084"/>
    <hyperlink xmlns:r="http://schemas.openxmlformats.org/officeDocument/2006/relationships" ref="R1086" r:id="rId1085"/>
    <hyperlink xmlns:r="http://schemas.openxmlformats.org/officeDocument/2006/relationships" ref="R1087" r:id="rId1086"/>
    <hyperlink xmlns:r="http://schemas.openxmlformats.org/officeDocument/2006/relationships" ref="R1088" r:id="rId1087"/>
    <hyperlink xmlns:r="http://schemas.openxmlformats.org/officeDocument/2006/relationships" ref="R1089" r:id="rId1088"/>
    <hyperlink xmlns:r="http://schemas.openxmlformats.org/officeDocument/2006/relationships" ref="R1090" r:id="rId1089"/>
    <hyperlink xmlns:r="http://schemas.openxmlformats.org/officeDocument/2006/relationships" ref="R1091" r:id="rId1090"/>
    <hyperlink xmlns:r="http://schemas.openxmlformats.org/officeDocument/2006/relationships" ref="R1092" r:id="rId1091"/>
    <hyperlink xmlns:r="http://schemas.openxmlformats.org/officeDocument/2006/relationships" ref="R1093" r:id="rId1092"/>
    <hyperlink xmlns:r="http://schemas.openxmlformats.org/officeDocument/2006/relationships" ref="R1094" r:id="rId1093"/>
    <hyperlink xmlns:r="http://schemas.openxmlformats.org/officeDocument/2006/relationships" ref="R1095" r:id="rId1094"/>
    <hyperlink xmlns:r="http://schemas.openxmlformats.org/officeDocument/2006/relationships" ref="R1096" r:id="rId1095"/>
    <hyperlink xmlns:r="http://schemas.openxmlformats.org/officeDocument/2006/relationships" ref="R1097" r:id="rId1096"/>
    <hyperlink xmlns:r="http://schemas.openxmlformats.org/officeDocument/2006/relationships" ref="R1098" r:id="rId1097"/>
    <hyperlink xmlns:r="http://schemas.openxmlformats.org/officeDocument/2006/relationships" ref="R1099" r:id="rId1098"/>
    <hyperlink xmlns:r="http://schemas.openxmlformats.org/officeDocument/2006/relationships" ref="R1100" r:id="rId1099"/>
    <hyperlink xmlns:r="http://schemas.openxmlformats.org/officeDocument/2006/relationships" ref="R1101" r:id="rId1100"/>
    <hyperlink xmlns:r="http://schemas.openxmlformats.org/officeDocument/2006/relationships" ref="R1102" r:id="rId1101"/>
    <hyperlink xmlns:r="http://schemas.openxmlformats.org/officeDocument/2006/relationships" ref="R1103" r:id="rId1102"/>
    <hyperlink xmlns:r="http://schemas.openxmlformats.org/officeDocument/2006/relationships" ref="R1104" r:id="rId1103"/>
    <hyperlink xmlns:r="http://schemas.openxmlformats.org/officeDocument/2006/relationships" ref="R1105" r:id="rId1104"/>
    <hyperlink xmlns:r="http://schemas.openxmlformats.org/officeDocument/2006/relationships" ref="R1106" r:id="rId1105"/>
    <hyperlink xmlns:r="http://schemas.openxmlformats.org/officeDocument/2006/relationships" ref="R1107" r:id="rId1106"/>
    <hyperlink xmlns:r="http://schemas.openxmlformats.org/officeDocument/2006/relationships" ref="R1108" r:id="rId1107"/>
    <hyperlink xmlns:r="http://schemas.openxmlformats.org/officeDocument/2006/relationships" ref="R1109" r:id="rId1108"/>
    <hyperlink xmlns:r="http://schemas.openxmlformats.org/officeDocument/2006/relationships" ref="R1110" r:id="rId1109"/>
    <hyperlink xmlns:r="http://schemas.openxmlformats.org/officeDocument/2006/relationships" ref="R1111" r:id="rId1110"/>
    <hyperlink xmlns:r="http://schemas.openxmlformats.org/officeDocument/2006/relationships" ref="R1112" r:id="rId1111"/>
    <hyperlink xmlns:r="http://schemas.openxmlformats.org/officeDocument/2006/relationships" ref="R1113" r:id="rId1112"/>
    <hyperlink xmlns:r="http://schemas.openxmlformats.org/officeDocument/2006/relationships" ref="R1114" r:id="rId1113"/>
    <hyperlink xmlns:r="http://schemas.openxmlformats.org/officeDocument/2006/relationships" ref="R1115" r:id="rId1114"/>
    <hyperlink xmlns:r="http://schemas.openxmlformats.org/officeDocument/2006/relationships" ref="R1116" r:id="rId1115"/>
    <hyperlink xmlns:r="http://schemas.openxmlformats.org/officeDocument/2006/relationships" ref="R1117" r:id="rId1116"/>
    <hyperlink xmlns:r="http://schemas.openxmlformats.org/officeDocument/2006/relationships" ref="R1118" r:id="rId1117"/>
    <hyperlink xmlns:r="http://schemas.openxmlformats.org/officeDocument/2006/relationships" ref="R1119" r:id="rId1118"/>
    <hyperlink xmlns:r="http://schemas.openxmlformats.org/officeDocument/2006/relationships" ref="R1120" r:id="rId1119"/>
    <hyperlink xmlns:r="http://schemas.openxmlformats.org/officeDocument/2006/relationships" ref="R1121" r:id="rId1120"/>
    <hyperlink xmlns:r="http://schemas.openxmlformats.org/officeDocument/2006/relationships" ref="R1122" r:id="rId1121"/>
    <hyperlink xmlns:r="http://schemas.openxmlformats.org/officeDocument/2006/relationships" ref="R1123" r:id="rId1122"/>
    <hyperlink xmlns:r="http://schemas.openxmlformats.org/officeDocument/2006/relationships" ref="R1124" r:id="rId1123"/>
    <hyperlink xmlns:r="http://schemas.openxmlformats.org/officeDocument/2006/relationships" ref="R1125" r:id="rId1124"/>
    <hyperlink xmlns:r="http://schemas.openxmlformats.org/officeDocument/2006/relationships" ref="R1126" r:id="rId1125"/>
    <hyperlink xmlns:r="http://schemas.openxmlformats.org/officeDocument/2006/relationships" ref="R1127" r:id="rId1126"/>
    <hyperlink xmlns:r="http://schemas.openxmlformats.org/officeDocument/2006/relationships" ref="R1128" r:id="rId1127"/>
    <hyperlink xmlns:r="http://schemas.openxmlformats.org/officeDocument/2006/relationships" ref="R1129" r:id="rId1128"/>
    <hyperlink xmlns:r="http://schemas.openxmlformats.org/officeDocument/2006/relationships" ref="R1130" r:id="rId1129"/>
    <hyperlink xmlns:r="http://schemas.openxmlformats.org/officeDocument/2006/relationships" ref="R1131" r:id="rId1130"/>
    <hyperlink xmlns:r="http://schemas.openxmlformats.org/officeDocument/2006/relationships" ref="R1132" r:id="rId1131"/>
    <hyperlink xmlns:r="http://schemas.openxmlformats.org/officeDocument/2006/relationships" ref="R1133" r:id="rId1132"/>
    <hyperlink xmlns:r="http://schemas.openxmlformats.org/officeDocument/2006/relationships" ref="R1134" r:id="rId1133"/>
    <hyperlink xmlns:r="http://schemas.openxmlformats.org/officeDocument/2006/relationships" ref="R1135" r:id="rId1134"/>
    <hyperlink xmlns:r="http://schemas.openxmlformats.org/officeDocument/2006/relationships" ref="R1136" r:id="rId1135"/>
    <hyperlink xmlns:r="http://schemas.openxmlformats.org/officeDocument/2006/relationships" ref="R1137" r:id="rId1136"/>
    <hyperlink xmlns:r="http://schemas.openxmlformats.org/officeDocument/2006/relationships" ref="R1138" r:id="rId1137"/>
    <hyperlink xmlns:r="http://schemas.openxmlformats.org/officeDocument/2006/relationships" ref="R1139" r:id="rId1138"/>
    <hyperlink xmlns:r="http://schemas.openxmlformats.org/officeDocument/2006/relationships" ref="R1140" r:id="rId1139"/>
    <hyperlink xmlns:r="http://schemas.openxmlformats.org/officeDocument/2006/relationships" ref="R1141" r:id="rId1140"/>
    <hyperlink xmlns:r="http://schemas.openxmlformats.org/officeDocument/2006/relationships" ref="R1142" r:id="rId1141"/>
    <hyperlink xmlns:r="http://schemas.openxmlformats.org/officeDocument/2006/relationships" ref="R1143" r:id="rId1142"/>
    <hyperlink xmlns:r="http://schemas.openxmlformats.org/officeDocument/2006/relationships" ref="R1144" r:id="rId1143"/>
    <hyperlink xmlns:r="http://schemas.openxmlformats.org/officeDocument/2006/relationships" ref="R1145" r:id="rId1144"/>
    <hyperlink xmlns:r="http://schemas.openxmlformats.org/officeDocument/2006/relationships" ref="R1146" r:id="rId1145"/>
    <hyperlink xmlns:r="http://schemas.openxmlformats.org/officeDocument/2006/relationships" ref="R1147" r:id="rId1146"/>
    <hyperlink xmlns:r="http://schemas.openxmlformats.org/officeDocument/2006/relationships" ref="R1148" r:id="rId1147"/>
    <hyperlink xmlns:r="http://schemas.openxmlformats.org/officeDocument/2006/relationships" ref="R1149" r:id="rId1148"/>
    <hyperlink xmlns:r="http://schemas.openxmlformats.org/officeDocument/2006/relationships" ref="R1150" r:id="rId1149"/>
    <hyperlink xmlns:r="http://schemas.openxmlformats.org/officeDocument/2006/relationships" ref="R1151" r:id="rId1150"/>
    <hyperlink xmlns:r="http://schemas.openxmlformats.org/officeDocument/2006/relationships" ref="R1152" r:id="rId1151"/>
    <hyperlink xmlns:r="http://schemas.openxmlformats.org/officeDocument/2006/relationships" ref="R1153" r:id="rId1152"/>
    <hyperlink xmlns:r="http://schemas.openxmlformats.org/officeDocument/2006/relationships" ref="R1154" r:id="rId1153"/>
    <hyperlink xmlns:r="http://schemas.openxmlformats.org/officeDocument/2006/relationships" ref="R1155" r:id="rId1154"/>
    <hyperlink xmlns:r="http://schemas.openxmlformats.org/officeDocument/2006/relationships" ref="R1156" r:id="rId1155"/>
    <hyperlink xmlns:r="http://schemas.openxmlformats.org/officeDocument/2006/relationships" ref="R1157" r:id="rId1156"/>
    <hyperlink xmlns:r="http://schemas.openxmlformats.org/officeDocument/2006/relationships" ref="R1158" r:id="rId1157"/>
    <hyperlink xmlns:r="http://schemas.openxmlformats.org/officeDocument/2006/relationships" ref="R1159" r:id="rId1158"/>
    <hyperlink xmlns:r="http://schemas.openxmlformats.org/officeDocument/2006/relationships" ref="R1160" r:id="rId1159"/>
    <hyperlink xmlns:r="http://schemas.openxmlformats.org/officeDocument/2006/relationships" ref="R1161" r:id="rId1160"/>
    <hyperlink xmlns:r="http://schemas.openxmlformats.org/officeDocument/2006/relationships" ref="R1162" r:id="rId1161"/>
    <hyperlink xmlns:r="http://schemas.openxmlformats.org/officeDocument/2006/relationships" ref="R1163" r:id="rId1162"/>
    <hyperlink xmlns:r="http://schemas.openxmlformats.org/officeDocument/2006/relationships" ref="R1164" r:id="rId1163"/>
    <hyperlink xmlns:r="http://schemas.openxmlformats.org/officeDocument/2006/relationships" ref="R1165" r:id="rId1164"/>
    <hyperlink xmlns:r="http://schemas.openxmlformats.org/officeDocument/2006/relationships" ref="R1166" r:id="rId1165"/>
    <hyperlink xmlns:r="http://schemas.openxmlformats.org/officeDocument/2006/relationships" ref="R1167" r:id="rId1166"/>
    <hyperlink xmlns:r="http://schemas.openxmlformats.org/officeDocument/2006/relationships" ref="R1168" r:id="rId1167"/>
    <hyperlink xmlns:r="http://schemas.openxmlformats.org/officeDocument/2006/relationships" ref="R1169" r:id="rId1168"/>
    <hyperlink xmlns:r="http://schemas.openxmlformats.org/officeDocument/2006/relationships" ref="R1170" r:id="rId1169"/>
    <hyperlink xmlns:r="http://schemas.openxmlformats.org/officeDocument/2006/relationships" ref="R1171" r:id="rId1170"/>
    <hyperlink xmlns:r="http://schemas.openxmlformats.org/officeDocument/2006/relationships" ref="R1172" r:id="rId1171"/>
    <hyperlink xmlns:r="http://schemas.openxmlformats.org/officeDocument/2006/relationships" ref="R1173" r:id="rId1172"/>
    <hyperlink xmlns:r="http://schemas.openxmlformats.org/officeDocument/2006/relationships" ref="R1174" r:id="rId1173"/>
    <hyperlink xmlns:r="http://schemas.openxmlformats.org/officeDocument/2006/relationships" ref="R1175" r:id="rId1174"/>
    <hyperlink xmlns:r="http://schemas.openxmlformats.org/officeDocument/2006/relationships" ref="R1176" r:id="rId1175"/>
    <hyperlink xmlns:r="http://schemas.openxmlformats.org/officeDocument/2006/relationships" ref="R1177" r:id="rId1176"/>
    <hyperlink xmlns:r="http://schemas.openxmlformats.org/officeDocument/2006/relationships" ref="R1178" r:id="rId1177"/>
    <hyperlink xmlns:r="http://schemas.openxmlformats.org/officeDocument/2006/relationships" ref="R1179" r:id="rId1178"/>
    <hyperlink xmlns:r="http://schemas.openxmlformats.org/officeDocument/2006/relationships" ref="R1180" r:id="rId1179"/>
    <hyperlink xmlns:r="http://schemas.openxmlformats.org/officeDocument/2006/relationships" ref="R1181" r:id="rId1180"/>
    <hyperlink xmlns:r="http://schemas.openxmlformats.org/officeDocument/2006/relationships" ref="R1182" r:id="rId1181"/>
    <hyperlink xmlns:r="http://schemas.openxmlformats.org/officeDocument/2006/relationships" ref="R1183" r:id="rId1182"/>
    <hyperlink xmlns:r="http://schemas.openxmlformats.org/officeDocument/2006/relationships" ref="R1184" r:id="rId1183"/>
    <hyperlink xmlns:r="http://schemas.openxmlformats.org/officeDocument/2006/relationships" ref="R1185" r:id="rId1184"/>
    <hyperlink xmlns:r="http://schemas.openxmlformats.org/officeDocument/2006/relationships" ref="R1186" r:id="rId1185"/>
    <hyperlink xmlns:r="http://schemas.openxmlformats.org/officeDocument/2006/relationships" ref="R1187" r:id="rId1186"/>
    <hyperlink xmlns:r="http://schemas.openxmlformats.org/officeDocument/2006/relationships" ref="R1188" r:id="rId1187"/>
    <hyperlink xmlns:r="http://schemas.openxmlformats.org/officeDocument/2006/relationships" ref="R1189" r:id="rId1188"/>
    <hyperlink xmlns:r="http://schemas.openxmlformats.org/officeDocument/2006/relationships" ref="R1190" r:id="rId1189"/>
    <hyperlink xmlns:r="http://schemas.openxmlformats.org/officeDocument/2006/relationships" ref="R1191" r:id="rId1190"/>
    <hyperlink xmlns:r="http://schemas.openxmlformats.org/officeDocument/2006/relationships" ref="R1192" r:id="rId1191"/>
    <hyperlink xmlns:r="http://schemas.openxmlformats.org/officeDocument/2006/relationships" ref="R1193" r:id="rId1192"/>
    <hyperlink xmlns:r="http://schemas.openxmlformats.org/officeDocument/2006/relationships" ref="R1194" r:id="rId1193"/>
    <hyperlink xmlns:r="http://schemas.openxmlformats.org/officeDocument/2006/relationships" ref="R1195" r:id="rId1194"/>
    <hyperlink xmlns:r="http://schemas.openxmlformats.org/officeDocument/2006/relationships" ref="R1196" r:id="rId1195"/>
    <hyperlink xmlns:r="http://schemas.openxmlformats.org/officeDocument/2006/relationships" ref="R1197" r:id="rId1196"/>
    <hyperlink xmlns:r="http://schemas.openxmlformats.org/officeDocument/2006/relationships" ref="R1198" r:id="rId1197"/>
    <hyperlink xmlns:r="http://schemas.openxmlformats.org/officeDocument/2006/relationships" ref="R1199" r:id="rId1198"/>
    <hyperlink xmlns:r="http://schemas.openxmlformats.org/officeDocument/2006/relationships" ref="R1200" r:id="rId1199"/>
    <hyperlink xmlns:r="http://schemas.openxmlformats.org/officeDocument/2006/relationships" ref="R1201" r:id="rId1200"/>
    <hyperlink xmlns:r="http://schemas.openxmlformats.org/officeDocument/2006/relationships" ref="R1202" r:id="rId1201"/>
    <hyperlink xmlns:r="http://schemas.openxmlformats.org/officeDocument/2006/relationships" ref="R1203" r:id="rId1202"/>
    <hyperlink xmlns:r="http://schemas.openxmlformats.org/officeDocument/2006/relationships" ref="R1204" r:id="rId1203"/>
    <hyperlink xmlns:r="http://schemas.openxmlformats.org/officeDocument/2006/relationships" ref="R1205" r:id="rId1204"/>
    <hyperlink xmlns:r="http://schemas.openxmlformats.org/officeDocument/2006/relationships" ref="R1206" r:id="rId1205"/>
    <hyperlink xmlns:r="http://schemas.openxmlformats.org/officeDocument/2006/relationships" ref="R1207" r:id="rId1206"/>
    <hyperlink xmlns:r="http://schemas.openxmlformats.org/officeDocument/2006/relationships" ref="R1208" r:id="rId1207"/>
    <hyperlink xmlns:r="http://schemas.openxmlformats.org/officeDocument/2006/relationships" ref="R1209" r:id="rId1208"/>
    <hyperlink xmlns:r="http://schemas.openxmlformats.org/officeDocument/2006/relationships" ref="R1210" r:id="rId1209"/>
    <hyperlink xmlns:r="http://schemas.openxmlformats.org/officeDocument/2006/relationships" ref="R1211" r:id="rId1210"/>
    <hyperlink xmlns:r="http://schemas.openxmlformats.org/officeDocument/2006/relationships" ref="R1212" r:id="rId1211"/>
    <hyperlink xmlns:r="http://schemas.openxmlformats.org/officeDocument/2006/relationships" ref="R1213" r:id="rId1212"/>
    <hyperlink xmlns:r="http://schemas.openxmlformats.org/officeDocument/2006/relationships" ref="R1214" r:id="rId1213"/>
    <hyperlink xmlns:r="http://schemas.openxmlformats.org/officeDocument/2006/relationships" ref="R1215" r:id="rId1214"/>
    <hyperlink xmlns:r="http://schemas.openxmlformats.org/officeDocument/2006/relationships" ref="R1216" r:id="rId1215"/>
    <hyperlink xmlns:r="http://schemas.openxmlformats.org/officeDocument/2006/relationships" ref="R1217" r:id="rId1216"/>
    <hyperlink xmlns:r="http://schemas.openxmlformats.org/officeDocument/2006/relationships" ref="R1218" r:id="rId1217"/>
    <hyperlink xmlns:r="http://schemas.openxmlformats.org/officeDocument/2006/relationships" ref="R1219" r:id="rId1218"/>
    <hyperlink xmlns:r="http://schemas.openxmlformats.org/officeDocument/2006/relationships" ref="R1220" r:id="rId1219"/>
    <hyperlink xmlns:r="http://schemas.openxmlformats.org/officeDocument/2006/relationships" ref="R1221" r:id="rId1220"/>
    <hyperlink xmlns:r="http://schemas.openxmlformats.org/officeDocument/2006/relationships" ref="R1222" r:id="rId1221"/>
    <hyperlink xmlns:r="http://schemas.openxmlformats.org/officeDocument/2006/relationships" ref="R1223" r:id="rId1222"/>
    <hyperlink xmlns:r="http://schemas.openxmlformats.org/officeDocument/2006/relationships" ref="R1224" r:id="rId1223"/>
    <hyperlink xmlns:r="http://schemas.openxmlformats.org/officeDocument/2006/relationships" ref="R1225" r:id="rId1224"/>
    <hyperlink xmlns:r="http://schemas.openxmlformats.org/officeDocument/2006/relationships" ref="R1226" r:id="rId1225"/>
    <hyperlink xmlns:r="http://schemas.openxmlformats.org/officeDocument/2006/relationships" ref="R1227" r:id="rId1226"/>
    <hyperlink xmlns:r="http://schemas.openxmlformats.org/officeDocument/2006/relationships" ref="R1228" r:id="rId1227"/>
    <hyperlink xmlns:r="http://schemas.openxmlformats.org/officeDocument/2006/relationships" ref="R1229" r:id="rId1228"/>
    <hyperlink xmlns:r="http://schemas.openxmlformats.org/officeDocument/2006/relationships" ref="R1230" r:id="rId1229"/>
    <hyperlink xmlns:r="http://schemas.openxmlformats.org/officeDocument/2006/relationships" ref="R1231" r:id="rId1230"/>
    <hyperlink xmlns:r="http://schemas.openxmlformats.org/officeDocument/2006/relationships" ref="R1232" r:id="rId1231"/>
    <hyperlink xmlns:r="http://schemas.openxmlformats.org/officeDocument/2006/relationships" ref="R1233" r:id="rId1232"/>
    <hyperlink xmlns:r="http://schemas.openxmlformats.org/officeDocument/2006/relationships" ref="R1234" r:id="rId1233"/>
    <hyperlink xmlns:r="http://schemas.openxmlformats.org/officeDocument/2006/relationships" ref="R1235" r:id="rId1234"/>
    <hyperlink xmlns:r="http://schemas.openxmlformats.org/officeDocument/2006/relationships" ref="R1236" r:id="rId1235"/>
    <hyperlink xmlns:r="http://schemas.openxmlformats.org/officeDocument/2006/relationships" ref="R1237" r:id="rId1236"/>
    <hyperlink xmlns:r="http://schemas.openxmlformats.org/officeDocument/2006/relationships" ref="R1238" r:id="rId1237"/>
    <hyperlink xmlns:r="http://schemas.openxmlformats.org/officeDocument/2006/relationships" ref="R1239" r:id="rId1238"/>
    <hyperlink xmlns:r="http://schemas.openxmlformats.org/officeDocument/2006/relationships" ref="R1240" r:id="rId1239"/>
    <hyperlink xmlns:r="http://schemas.openxmlformats.org/officeDocument/2006/relationships" ref="R1241" r:id="rId1240"/>
    <hyperlink xmlns:r="http://schemas.openxmlformats.org/officeDocument/2006/relationships" ref="R1242" r:id="rId1241"/>
    <hyperlink xmlns:r="http://schemas.openxmlformats.org/officeDocument/2006/relationships" ref="R1243" r:id="rId1242"/>
    <hyperlink xmlns:r="http://schemas.openxmlformats.org/officeDocument/2006/relationships" ref="R1244" r:id="rId1243"/>
    <hyperlink xmlns:r="http://schemas.openxmlformats.org/officeDocument/2006/relationships" ref="R1245" r:id="rId1244"/>
    <hyperlink xmlns:r="http://schemas.openxmlformats.org/officeDocument/2006/relationships" ref="R1246" r:id="rId1245"/>
    <hyperlink xmlns:r="http://schemas.openxmlformats.org/officeDocument/2006/relationships" ref="R1247" r:id="rId1246"/>
    <hyperlink xmlns:r="http://schemas.openxmlformats.org/officeDocument/2006/relationships" ref="R1248" r:id="rId1247"/>
    <hyperlink xmlns:r="http://schemas.openxmlformats.org/officeDocument/2006/relationships" ref="R1249" r:id="rId1248"/>
    <hyperlink xmlns:r="http://schemas.openxmlformats.org/officeDocument/2006/relationships" ref="R1250" r:id="rId1249"/>
    <hyperlink xmlns:r="http://schemas.openxmlformats.org/officeDocument/2006/relationships" ref="R1251" r:id="rId1250"/>
    <hyperlink xmlns:r="http://schemas.openxmlformats.org/officeDocument/2006/relationships" ref="R1252" r:id="rId1251"/>
    <hyperlink xmlns:r="http://schemas.openxmlformats.org/officeDocument/2006/relationships" ref="R1253" r:id="rId1252"/>
    <hyperlink xmlns:r="http://schemas.openxmlformats.org/officeDocument/2006/relationships" ref="R1254" r:id="rId1253"/>
    <hyperlink xmlns:r="http://schemas.openxmlformats.org/officeDocument/2006/relationships" ref="R1255" r:id="rId1254"/>
    <hyperlink xmlns:r="http://schemas.openxmlformats.org/officeDocument/2006/relationships" ref="R1256" r:id="rId1255"/>
    <hyperlink xmlns:r="http://schemas.openxmlformats.org/officeDocument/2006/relationships" ref="R1257" r:id="rId1256"/>
    <hyperlink xmlns:r="http://schemas.openxmlformats.org/officeDocument/2006/relationships" ref="R1258" r:id="rId1257"/>
    <hyperlink xmlns:r="http://schemas.openxmlformats.org/officeDocument/2006/relationships" ref="R1259" r:id="rId1258"/>
    <hyperlink xmlns:r="http://schemas.openxmlformats.org/officeDocument/2006/relationships" ref="R1260" r:id="rId1259"/>
    <hyperlink xmlns:r="http://schemas.openxmlformats.org/officeDocument/2006/relationships" ref="R1261" r:id="rId1260"/>
    <hyperlink xmlns:r="http://schemas.openxmlformats.org/officeDocument/2006/relationships" ref="R1262" r:id="rId1261"/>
    <hyperlink xmlns:r="http://schemas.openxmlformats.org/officeDocument/2006/relationships" ref="R1263" r:id="rId1262"/>
    <hyperlink xmlns:r="http://schemas.openxmlformats.org/officeDocument/2006/relationships" ref="R1264" r:id="rId1263"/>
    <hyperlink xmlns:r="http://schemas.openxmlformats.org/officeDocument/2006/relationships" ref="R1265" r:id="rId1264"/>
    <hyperlink xmlns:r="http://schemas.openxmlformats.org/officeDocument/2006/relationships" ref="R1266" r:id="rId1265"/>
    <hyperlink xmlns:r="http://schemas.openxmlformats.org/officeDocument/2006/relationships" ref="R1267" r:id="rId1266"/>
    <hyperlink xmlns:r="http://schemas.openxmlformats.org/officeDocument/2006/relationships" ref="R1268" r:id="rId1267"/>
    <hyperlink xmlns:r="http://schemas.openxmlformats.org/officeDocument/2006/relationships" ref="R1269" r:id="rId1268"/>
    <hyperlink xmlns:r="http://schemas.openxmlformats.org/officeDocument/2006/relationships" ref="R1270" r:id="rId1269"/>
    <hyperlink xmlns:r="http://schemas.openxmlformats.org/officeDocument/2006/relationships" ref="R1271" r:id="rId1270"/>
    <hyperlink xmlns:r="http://schemas.openxmlformats.org/officeDocument/2006/relationships" ref="R1272" r:id="rId1271"/>
    <hyperlink xmlns:r="http://schemas.openxmlformats.org/officeDocument/2006/relationships" ref="R1273" r:id="rId1272"/>
    <hyperlink xmlns:r="http://schemas.openxmlformats.org/officeDocument/2006/relationships" ref="R1274" r:id="rId1273"/>
    <hyperlink xmlns:r="http://schemas.openxmlformats.org/officeDocument/2006/relationships" ref="R1275" r:id="rId1274"/>
    <hyperlink xmlns:r="http://schemas.openxmlformats.org/officeDocument/2006/relationships" ref="R1276" r:id="rId1275"/>
    <hyperlink xmlns:r="http://schemas.openxmlformats.org/officeDocument/2006/relationships" ref="R1277" r:id="rId1276"/>
    <hyperlink xmlns:r="http://schemas.openxmlformats.org/officeDocument/2006/relationships" ref="R1278" r:id="rId1277"/>
    <hyperlink xmlns:r="http://schemas.openxmlformats.org/officeDocument/2006/relationships" ref="R1279" r:id="rId1278"/>
    <hyperlink xmlns:r="http://schemas.openxmlformats.org/officeDocument/2006/relationships" ref="R1280" r:id="rId1279"/>
    <hyperlink xmlns:r="http://schemas.openxmlformats.org/officeDocument/2006/relationships" ref="R1281" r:id="rId1280"/>
    <hyperlink xmlns:r="http://schemas.openxmlformats.org/officeDocument/2006/relationships" ref="R1282" r:id="rId1281"/>
    <hyperlink xmlns:r="http://schemas.openxmlformats.org/officeDocument/2006/relationships" ref="R1283" r:id="rId1282"/>
    <hyperlink xmlns:r="http://schemas.openxmlformats.org/officeDocument/2006/relationships" ref="R1284" r:id="rId1283"/>
    <hyperlink xmlns:r="http://schemas.openxmlformats.org/officeDocument/2006/relationships" ref="R1285" r:id="rId1284"/>
    <hyperlink xmlns:r="http://schemas.openxmlformats.org/officeDocument/2006/relationships" ref="R1286" r:id="rId1285"/>
    <hyperlink xmlns:r="http://schemas.openxmlformats.org/officeDocument/2006/relationships" ref="R1287" r:id="rId1286"/>
    <hyperlink xmlns:r="http://schemas.openxmlformats.org/officeDocument/2006/relationships" ref="R1288" r:id="rId1287"/>
    <hyperlink xmlns:r="http://schemas.openxmlformats.org/officeDocument/2006/relationships" ref="R1289" r:id="rId1288"/>
    <hyperlink xmlns:r="http://schemas.openxmlformats.org/officeDocument/2006/relationships" ref="R1290" r:id="rId1289"/>
    <hyperlink xmlns:r="http://schemas.openxmlformats.org/officeDocument/2006/relationships" ref="R1291" r:id="rId1290"/>
    <hyperlink xmlns:r="http://schemas.openxmlformats.org/officeDocument/2006/relationships" ref="R1292" r:id="rId1291"/>
    <hyperlink xmlns:r="http://schemas.openxmlformats.org/officeDocument/2006/relationships" ref="R1293" r:id="rId1292"/>
    <hyperlink xmlns:r="http://schemas.openxmlformats.org/officeDocument/2006/relationships" ref="R1294" r:id="rId1293"/>
    <hyperlink xmlns:r="http://schemas.openxmlformats.org/officeDocument/2006/relationships" ref="R1295" r:id="rId1294"/>
    <hyperlink xmlns:r="http://schemas.openxmlformats.org/officeDocument/2006/relationships" ref="R1296" r:id="rId1295"/>
    <hyperlink xmlns:r="http://schemas.openxmlformats.org/officeDocument/2006/relationships" ref="R1297" r:id="rId1296"/>
    <hyperlink xmlns:r="http://schemas.openxmlformats.org/officeDocument/2006/relationships" ref="R1298" r:id="rId1297"/>
    <hyperlink xmlns:r="http://schemas.openxmlformats.org/officeDocument/2006/relationships" ref="R1299" r:id="rId1298"/>
    <hyperlink xmlns:r="http://schemas.openxmlformats.org/officeDocument/2006/relationships" ref="R1300" r:id="rId1299"/>
    <hyperlink xmlns:r="http://schemas.openxmlformats.org/officeDocument/2006/relationships" ref="R1301" r:id="rId1300"/>
    <hyperlink xmlns:r="http://schemas.openxmlformats.org/officeDocument/2006/relationships" ref="R1302" r:id="rId1301"/>
    <hyperlink xmlns:r="http://schemas.openxmlformats.org/officeDocument/2006/relationships" ref="R1303" r:id="rId1302"/>
    <hyperlink xmlns:r="http://schemas.openxmlformats.org/officeDocument/2006/relationships" ref="R1304" r:id="rId1303"/>
    <hyperlink xmlns:r="http://schemas.openxmlformats.org/officeDocument/2006/relationships" ref="R1305" r:id="rId1304"/>
    <hyperlink xmlns:r="http://schemas.openxmlformats.org/officeDocument/2006/relationships" ref="R1306" r:id="rId1305"/>
    <hyperlink xmlns:r="http://schemas.openxmlformats.org/officeDocument/2006/relationships" ref="R1307" r:id="rId1306"/>
    <hyperlink xmlns:r="http://schemas.openxmlformats.org/officeDocument/2006/relationships" ref="R1308" r:id="rId1307"/>
    <hyperlink xmlns:r="http://schemas.openxmlformats.org/officeDocument/2006/relationships" ref="R1309" r:id="rId1308"/>
    <hyperlink xmlns:r="http://schemas.openxmlformats.org/officeDocument/2006/relationships" ref="R1310" r:id="rId1309"/>
    <hyperlink xmlns:r="http://schemas.openxmlformats.org/officeDocument/2006/relationships" ref="R1311" r:id="rId1310"/>
    <hyperlink xmlns:r="http://schemas.openxmlformats.org/officeDocument/2006/relationships" ref="R1312" r:id="rId1311"/>
    <hyperlink xmlns:r="http://schemas.openxmlformats.org/officeDocument/2006/relationships" ref="R1313" r:id="rId1312"/>
    <hyperlink xmlns:r="http://schemas.openxmlformats.org/officeDocument/2006/relationships" ref="R1314" r:id="rId1313"/>
    <hyperlink xmlns:r="http://schemas.openxmlformats.org/officeDocument/2006/relationships" ref="R1315" r:id="rId1314"/>
    <hyperlink xmlns:r="http://schemas.openxmlformats.org/officeDocument/2006/relationships" ref="R1316" r:id="rId1315"/>
    <hyperlink xmlns:r="http://schemas.openxmlformats.org/officeDocument/2006/relationships" ref="R1317" r:id="rId1316"/>
    <hyperlink xmlns:r="http://schemas.openxmlformats.org/officeDocument/2006/relationships" ref="R1318" r:id="rId1317"/>
    <hyperlink xmlns:r="http://schemas.openxmlformats.org/officeDocument/2006/relationships" ref="R1319" r:id="rId1318"/>
    <hyperlink xmlns:r="http://schemas.openxmlformats.org/officeDocument/2006/relationships" ref="R1320" r:id="rId1319"/>
    <hyperlink xmlns:r="http://schemas.openxmlformats.org/officeDocument/2006/relationships" ref="R1321" r:id="rId1320"/>
    <hyperlink xmlns:r="http://schemas.openxmlformats.org/officeDocument/2006/relationships" ref="R1322" r:id="rId1321"/>
    <hyperlink xmlns:r="http://schemas.openxmlformats.org/officeDocument/2006/relationships" ref="R1323" r:id="rId1322"/>
    <hyperlink xmlns:r="http://schemas.openxmlformats.org/officeDocument/2006/relationships" ref="R1324" r:id="rId1323"/>
    <hyperlink xmlns:r="http://schemas.openxmlformats.org/officeDocument/2006/relationships" ref="R1325" r:id="rId1324"/>
    <hyperlink xmlns:r="http://schemas.openxmlformats.org/officeDocument/2006/relationships" ref="R1326" r:id="rId1325"/>
    <hyperlink xmlns:r="http://schemas.openxmlformats.org/officeDocument/2006/relationships" ref="R1327" r:id="rId1326"/>
    <hyperlink xmlns:r="http://schemas.openxmlformats.org/officeDocument/2006/relationships" ref="R1328" r:id="rId1327"/>
    <hyperlink xmlns:r="http://schemas.openxmlformats.org/officeDocument/2006/relationships" ref="R1329" r:id="rId1328"/>
    <hyperlink xmlns:r="http://schemas.openxmlformats.org/officeDocument/2006/relationships" ref="R1330" r:id="rId1329"/>
    <hyperlink xmlns:r="http://schemas.openxmlformats.org/officeDocument/2006/relationships" ref="R1331" r:id="rId1330"/>
    <hyperlink xmlns:r="http://schemas.openxmlformats.org/officeDocument/2006/relationships" ref="R1332" r:id="rId1331"/>
    <hyperlink xmlns:r="http://schemas.openxmlformats.org/officeDocument/2006/relationships" ref="R1333" r:id="rId1332"/>
    <hyperlink xmlns:r="http://schemas.openxmlformats.org/officeDocument/2006/relationships" ref="R1334" r:id="rId1333"/>
    <hyperlink xmlns:r="http://schemas.openxmlformats.org/officeDocument/2006/relationships" ref="R1335" r:id="rId1334"/>
    <hyperlink xmlns:r="http://schemas.openxmlformats.org/officeDocument/2006/relationships" ref="R1336" r:id="rId1335"/>
    <hyperlink xmlns:r="http://schemas.openxmlformats.org/officeDocument/2006/relationships" ref="R1337" r:id="rId1336"/>
    <hyperlink xmlns:r="http://schemas.openxmlformats.org/officeDocument/2006/relationships" ref="R1338" r:id="rId1337"/>
    <hyperlink xmlns:r="http://schemas.openxmlformats.org/officeDocument/2006/relationships" ref="R1339" r:id="rId1338"/>
    <hyperlink xmlns:r="http://schemas.openxmlformats.org/officeDocument/2006/relationships" ref="R1340" r:id="rId1339"/>
    <hyperlink xmlns:r="http://schemas.openxmlformats.org/officeDocument/2006/relationships" ref="R1341" r:id="rId134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6" customWidth="1" min="4" max="4"/>
    <col width="3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42" customWidth="1" min="14" max="14"/>
    <col width="16" customWidth="1" min="15" max="15"/>
    <col width="48" customWidth="1" min="16" max="16"/>
  </cols>
  <sheetData>
    <row r="1" ht="32" customHeight="1">
      <c r="A1" s="5" t="inlineStr">
        <is>
          <t>price_id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grain</t>
        </is>
      </c>
      <c r="E1" s="5" t="inlineStr">
        <is>
          <t>price_code</t>
        </is>
      </c>
      <c r="F1" s="5" t="inlineStr">
        <is>
          <t>asset_code</t>
        </is>
      </c>
      <c r="G1" s="5" t="inlineStr">
        <is>
          <t>market_counterparty</t>
        </is>
      </c>
      <c r="H1" s="5" t="inlineStr">
        <is>
          <t>value</t>
        </is>
      </c>
      <c r="I1" s="5" t="inlineStr">
        <is>
          <t>unit</t>
        </is>
      </c>
      <c r="J1" s="5" t="inlineStr">
        <is>
          <t>currency</t>
        </is>
      </c>
      <c r="K1" s="5" t="inlineStr">
        <is>
          <t>source_code</t>
        </is>
      </c>
      <c r="L1" s="5" t="inlineStr">
        <is>
          <t>authority_class</t>
        </is>
      </c>
      <c r="M1" s="5" t="inlineStr">
        <is>
          <t>quality_class</t>
        </is>
      </c>
      <c r="N1" s="5" t="inlineStr">
        <is>
          <t>source_url</t>
        </is>
      </c>
      <c r="O1" s="5" t="inlineStr">
        <is>
          <t>revision_priority</t>
        </is>
      </c>
      <c r="P1" s="5" t="inlineStr">
        <is>
          <t>notes</t>
        </is>
      </c>
    </row>
    <row r="2">
      <c r="A2" s="6" t="inlineStr">
        <is>
          <t>P00001</t>
        </is>
      </c>
      <c r="B2" s="6" t="inlineStr">
        <is>
          <t>1990-01-01</t>
        </is>
      </c>
      <c r="C2" s="6" t="inlineStr">
        <is>
          <t>1990-12-31</t>
        </is>
      </c>
      <c r="D2" s="6" t="inlineStr">
        <is>
          <t>year</t>
        </is>
      </c>
      <c r="E2" s="6" t="inlineStr">
        <is>
          <t>ANDE_TARIFF_RESIDENTIAL</t>
        </is>
      </c>
      <c r="F2" s="6" t="inlineStr">
        <is>
          <t>PY_SIN</t>
        </is>
      </c>
      <c r="G2" s="6" t="inlineStr">
        <is>
          <t>PY</t>
        </is>
      </c>
      <c r="H2" s="8" t="n">
        <v>56.1</v>
      </c>
      <c r="I2" s="6" t="inlineStr">
        <is>
          <t>Gs/kWh</t>
        </is>
      </c>
      <c r="J2" s="6" t="inlineStr">
        <is>
          <t>PYG</t>
        </is>
      </c>
      <c r="K2" s="6" t="inlineStr">
        <is>
          <t>ANDE</t>
        </is>
      </c>
      <c r="L2" s="6" t="inlineStr">
        <is>
          <t>OFFICIAL_PRIMARY</t>
        </is>
      </c>
      <c r="M2" s="9" t="inlineStr">
        <is>
          <t>OFFICIAL_AGGREGATE</t>
        </is>
      </c>
      <c r="N2" s="7" t="inlineStr">
        <is>
          <t>https://www.ande.gov.py/documentos_contables/157/compilacion_estadistica_1990-2010.pdf</t>
        </is>
      </c>
      <c r="O2" s="12" t="n">
        <v>75</v>
      </c>
      <c r="P2" s="4" t="inlineStr">
        <is>
          <t>Tarifa media anual sin impuestos segun compilacion.</t>
        </is>
      </c>
    </row>
    <row r="3">
      <c r="A3" s="6" t="inlineStr">
        <is>
          <t>P00002</t>
        </is>
      </c>
      <c r="B3" s="6" t="inlineStr">
        <is>
          <t>1991-01-01</t>
        </is>
      </c>
      <c r="C3" s="6" t="inlineStr">
        <is>
          <t>1991-12-31</t>
        </is>
      </c>
      <c r="D3" s="6" t="inlineStr">
        <is>
          <t>year</t>
        </is>
      </c>
      <c r="E3" s="6" t="inlineStr">
        <is>
          <t>ANDE_TARIFF_RESIDENTIAL</t>
        </is>
      </c>
      <c r="F3" s="6" t="inlineStr">
        <is>
          <t>PY_SIN</t>
        </is>
      </c>
      <c r="G3" s="6" t="inlineStr">
        <is>
          <t>PY</t>
        </is>
      </c>
      <c r="H3" s="8" t="n">
        <v>66.2</v>
      </c>
      <c r="I3" s="6" t="inlineStr">
        <is>
          <t>Gs/kWh</t>
        </is>
      </c>
      <c r="J3" s="6" t="inlineStr">
        <is>
          <t>PYG</t>
        </is>
      </c>
      <c r="K3" s="6" t="inlineStr">
        <is>
          <t>ANDE</t>
        </is>
      </c>
      <c r="L3" s="6" t="inlineStr">
        <is>
          <t>OFFICIAL_PRIMARY</t>
        </is>
      </c>
      <c r="M3" s="9" t="inlineStr">
        <is>
          <t>OFFICIAL_AGGREGATE</t>
        </is>
      </c>
      <c r="N3" s="7" t="inlineStr">
        <is>
          <t>https://www.ande.gov.py/documentos_contables/157/compilacion_estadistica_1990-2010.pdf</t>
        </is>
      </c>
      <c r="O3" s="12" t="n">
        <v>75</v>
      </c>
      <c r="P3" s="4" t="inlineStr">
        <is>
          <t>Tarifa media anual sin impuestos segun compilacion.</t>
        </is>
      </c>
    </row>
    <row r="4">
      <c r="A4" s="6" t="inlineStr">
        <is>
          <t>P00003</t>
        </is>
      </c>
      <c r="B4" s="6" t="inlineStr">
        <is>
          <t>1992-01-01</t>
        </is>
      </c>
      <c r="C4" s="6" t="inlineStr">
        <is>
          <t>1992-12-31</t>
        </is>
      </c>
      <c r="D4" s="6" t="inlineStr">
        <is>
          <t>year</t>
        </is>
      </c>
      <c r="E4" s="6" t="inlineStr">
        <is>
          <t>ANDE_TARIFF_RESIDENTIAL</t>
        </is>
      </c>
      <c r="F4" s="6" t="inlineStr">
        <is>
          <t>PY_SIN</t>
        </is>
      </c>
      <c r="G4" s="6" t="inlineStr">
        <is>
          <t>PY</t>
        </is>
      </c>
      <c r="H4" s="8" t="n">
        <v>66.3</v>
      </c>
      <c r="I4" s="6" t="inlineStr">
        <is>
          <t>Gs/kWh</t>
        </is>
      </c>
      <c r="J4" s="6" t="inlineStr">
        <is>
          <t>PYG</t>
        </is>
      </c>
      <c r="K4" s="6" t="inlineStr">
        <is>
          <t>ANDE</t>
        </is>
      </c>
      <c r="L4" s="6" t="inlineStr">
        <is>
          <t>OFFICIAL_PRIMARY</t>
        </is>
      </c>
      <c r="M4" s="9" t="inlineStr">
        <is>
          <t>OFFICIAL_AGGREGATE</t>
        </is>
      </c>
      <c r="N4" s="7" t="inlineStr">
        <is>
          <t>https://www.ande.gov.py/documentos_contables/157/compilacion_estadistica_1990-2010.pdf</t>
        </is>
      </c>
      <c r="O4" s="12" t="n">
        <v>75</v>
      </c>
      <c r="P4" s="4" t="inlineStr">
        <is>
          <t>Tarifa media anual sin impuestos segun compilacion.</t>
        </is>
      </c>
    </row>
    <row r="5">
      <c r="A5" s="6" t="inlineStr">
        <is>
          <t>P00004</t>
        </is>
      </c>
      <c r="B5" s="6" t="inlineStr">
        <is>
          <t>1993-01-01</t>
        </is>
      </c>
      <c r="C5" s="6" t="inlineStr">
        <is>
          <t>1993-12-31</t>
        </is>
      </c>
      <c r="D5" s="6" t="inlineStr">
        <is>
          <t>year</t>
        </is>
      </c>
      <c r="E5" s="6" t="inlineStr">
        <is>
          <t>ANDE_TARIFF_RESIDENTIAL</t>
        </is>
      </c>
      <c r="F5" s="6" t="inlineStr">
        <is>
          <t>PY_SIN</t>
        </is>
      </c>
      <c r="G5" s="6" t="inlineStr">
        <is>
          <t>PY</t>
        </is>
      </c>
      <c r="H5" s="8" t="n">
        <v>70.59999999999999</v>
      </c>
      <c r="I5" s="6" t="inlineStr">
        <is>
          <t>Gs/kWh</t>
        </is>
      </c>
      <c r="J5" s="6" t="inlineStr">
        <is>
          <t>PYG</t>
        </is>
      </c>
      <c r="K5" s="6" t="inlineStr">
        <is>
          <t>ANDE</t>
        </is>
      </c>
      <c r="L5" s="6" t="inlineStr">
        <is>
          <t>OFFICIAL_PRIMARY</t>
        </is>
      </c>
      <c r="M5" s="9" t="inlineStr">
        <is>
          <t>OFFICIAL_AGGREGATE</t>
        </is>
      </c>
      <c r="N5" s="7" t="inlineStr">
        <is>
          <t>https://www.ande.gov.py/documentos_contables/157/compilacion_estadistica_1990-2010.pdf</t>
        </is>
      </c>
      <c r="O5" s="12" t="n">
        <v>75</v>
      </c>
      <c r="P5" s="4" t="inlineStr">
        <is>
          <t>Tarifa media anual sin impuestos segun compilacion.</t>
        </is>
      </c>
    </row>
    <row r="6">
      <c r="A6" s="6" t="inlineStr">
        <is>
          <t>P00005</t>
        </is>
      </c>
      <c r="B6" s="6" t="inlineStr">
        <is>
          <t>1994-01-01</t>
        </is>
      </c>
      <c r="C6" s="6" t="inlineStr">
        <is>
          <t>1994-12-31</t>
        </is>
      </c>
      <c r="D6" s="6" t="inlineStr">
        <is>
          <t>year</t>
        </is>
      </c>
      <c r="E6" s="6" t="inlineStr">
        <is>
          <t>ANDE_TARIFF_RESIDENTIAL</t>
        </is>
      </c>
      <c r="F6" s="6" t="inlineStr">
        <is>
          <t>PY_SIN</t>
        </is>
      </c>
      <c r="G6" s="6" t="inlineStr">
        <is>
          <t>PY</t>
        </is>
      </c>
      <c r="H6" s="8" t="n">
        <v>85.5</v>
      </c>
      <c r="I6" s="6" t="inlineStr">
        <is>
          <t>Gs/kWh</t>
        </is>
      </c>
      <c r="J6" s="6" t="inlineStr">
        <is>
          <t>PYG</t>
        </is>
      </c>
      <c r="K6" s="6" t="inlineStr">
        <is>
          <t>ANDE</t>
        </is>
      </c>
      <c r="L6" s="6" t="inlineStr">
        <is>
          <t>OFFICIAL_PRIMARY</t>
        </is>
      </c>
      <c r="M6" s="9" t="inlineStr">
        <is>
          <t>OFFICIAL_AGGREGATE</t>
        </is>
      </c>
      <c r="N6" s="7" t="inlineStr">
        <is>
          <t>https://www.ande.gov.py/documentos_contables/157/compilacion_estadistica_1990-2010.pdf</t>
        </is>
      </c>
      <c r="O6" s="12" t="n">
        <v>75</v>
      </c>
      <c r="P6" s="4" t="inlineStr">
        <is>
          <t>Tarifa media anual sin impuestos segun compilacion.</t>
        </is>
      </c>
    </row>
    <row r="7">
      <c r="A7" s="6" t="inlineStr">
        <is>
          <t>P00006</t>
        </is>
      </c>
      <c r="B7" s="6" t="inlineStr">
        <is>
          <t>1995-01-01</t>
        </is>
      </c>
      <c r="C7" s="6" t="inlineStr">
        <is>
          <t>1995-12-31</t>
        </is>
      </c>
      <c r="D7" s="6" t="inlineStr">
        <is>
          <t>year</t>
        </is>
      </c>
      <c r="E7" s="6" t="inlineStr">
        <is>
          <t>ANDE_TARIFF_RESIDENTIAL</t>
        </is>
      </c>
      <c r="F7" s="6" t="inlineStr">
        <is>
          <t>PY_SIN</t>
        </is>
      </c>
      <c r="G7" s="6" t="inlineStr">
        <is>
          <t>PY</t>
        </is>
      </c>
      <c r="H7" s="8" t="n">
        <v>95.5</v>
      </c>
      <c r="I7" s="6" t="inlineStr">
        <is>
          <t>Gs/kWh</t>
        </is>
      </c>
      <c r="J7" s="6" t="inlineStr">
        <is>
          <t>PYG</t>
        </is>
      </c>
      <c r="K7" s="6" t="inlineStr">
        <is>
          <t>ANDE</t>
        </is>
      </c>
      <c r="L7" s="6" t="inlineStr">
        <is>
          <t>OFFICIAL_PRIMARY</t>
        </is>
      </c>
      <c r="M7" s="9" t="inlineStr">
        <is>
          <t>OFFICIAL_AGGREGATE</t>
        </is>
      </c>
      <c r="N7" s="7" t="inlineStr">
        <is>
          <t>https://www.ande.gov.py/documentos_contables/157/compilacion_estadistica_1990-2010.pdf</t>
        </is>
      </c>
      <c r="O7" s="12" t="n">
        <v>75</v>
      </c>
      <c r="P7" s="4" t="inlineStr">
        <is>
          <t>Tarifa media anual sin impuestos segun compilacion.</t>
        </is>
      </c>
    </row>
    <row r="8">
      <c r="A8" s="6" t="inlineStr">
        <is>
          <t>P00007</t>
        </is>
      </c>
      <c r="B8" s="6" t="inlineStr">
        <is>
          <t>1996-01-01</t>
        </is>
      </c>
      <c r="C8" s="6" t="inlineStr">
        <is>
          <t>1996-12-31</t>
        </is>
      </c>
      <c r="D8" s="6" t="inlineStr">
        <is>
          <t>year</t>
        </is>
      </c>
      <c r="E8" s="6" t="inlineStr">
        <is>
          <t>ANDE_TARIFF_RESIDENTIAL</t>
        </is>
      </c>
      <c r="F8" s="6" t="inlineStr">
        <is>
          <t>PY_SIN</t>
        </is>
      </c>
      <c r="G8" s="6" t="inlineStr">
        <is>
          <t>PY</t>
        </is>
      </c>
      <c r="H8" s="8" t="n">
        <v>118</v>
      </c>
      <c r="I8" s="6" t="inlineStr">
        <is>
          <t>Gs/kWh</t>
        </is>
      </c>
      <c r="J8" s="6" t="inlineStr">
        <is>
          <t>PYG</t>
        </is>
      </c>
      <c r="K8" s="6" t="inlineStr">
        <is>
          <t>ANDE</t>
        </is>
      </c>
      <c r="L8" s="6" t="inlineStr">
        <is>
          <t>OFFICIAL_PRIMARY</t>
        </is>
      </c>
      <c r="M8" s="9" t="inlineStr">
        <is>
          <t>OFFICIAL_AGGREGATE</t>
        </is>
      </c>
      <c r="N8" s="7" t="inlineStr">
        <is>
          <t>https://www.ande.gov.py/documentos_contables/157/compilacion_estadistica_1990-2010.pdf</t>
        </is>
      </c>
      <c r="O8" s="12" t="n">
        <v>75</v>
      </c>
      <c r="P8" s="4" t="inlineStr">
        <is>
          <t>Tarifa media anual sin impuestos segun compilacion.</t>
        </is>
      </c>
    </row>
    <row r="9">
      <c r="A9" s="6" t="inlineStr">
        <is>
          <t>P00008</t>
        </is>
      </c>
      <c r="B9" s="6" t="inlineStr">
        <is>
          <t>1997-01-01</t>
        </is>
      </c>
      <c r="C9" s="6" t="inlineStr">
        <is>
          <t>1997-12-31</t>
        </is>
      </c>
      <c r="D9" s="6" t="inlineStr">
        <is>
          <t>year</t>
        </is>
      </c>
      <c r="E9" s="6" t="inlineStr">
        <is>
          <t>ANDE_TARIFF_RESIDENTIAL</t>
        </is>
      </c>
      <c r="F9" s="6" t="inlineStr">
        <is>
          <t>PY_SIN</t>
        </is>
      </c>
      <c r="G9" s="6" t="inlineStr">
        <is>
          <t>PY</t>
        </is>
      </c>
      <c r="H9" s="8" t="n">
        <v>135.1</v>
      </c>
      <c r="I9" s="6" t="inlineStr">
        <is>
          <t>Gs/kWh</t>
        </is>
      </c>
      <c r="J9" s="6" t="inlineStr">
        <is>
          <t>PYG</t>
        </is>
      </c>
      <c r="K9" s="6" t="inlineStr">
        <is>
          <t>ANDE</t>
        </is>
      </c>
      <c r="L9" s="6" t="inlineStr">
        <is>
          <t>OFFICIAL_PRIMARY</t>
        </is>
      </c>
      <c r="M9" s="9" t="inlineStr">
        <is>
          <t>OFFICIAL_AGGREGATE</t>
        </is>
      </c>
      <c r="N9" s="7" t="inlineStr">
        <is>
          <t>https://www.ande.gov.py/documentos_contables/157/compilacion_estadistica_1990-2010.pdf</t>
        </is>
      </c>
      <c r="O9" s="12" t="n">
        <v>75</v>
      </c>
      <c r="P9" s="4" t="inlineStr">
        <is>
          <t>Tarifa media anual sin impuestos segun compilacion.</t>
        </is>
      </c>
    </row>
    <row r="10">
      <c r="A10" s="6" t="inlineStr">
        <is>
          <t>P00009</t>
        </is>
      </c>
      <c r="B10" s="6" t="inlineStr">
        <is>
          <t>1998-01-01</t>
        </is>
      </c>
      <c r="C10" s="6" t="inlineStr">
        <is>
          <t>1998-12-31</t>
        </is>
      </c>
      <c r="D10" s="6" t="inlineStr">
        <is>
          <t>year</t>
        </is>
      </c>
      <c r="E10" s="6" t="inlineStr">
        <is>
          <t>ANDE_TARIFF_RESIDENTIAL</t>
        </is>
      </c>
      <c r="F10" s="6" t="inlineStr">
        <is>
          <t>PY_SIN</t>
        </is>
      </c>
      <c r="G10" s="6" t="inlineStr">
        <is>
          <t>PY</t>
        </is>
      </c>
      <c r="H10" s="8" t="n">
        <v>159.9</v>
      </c>
      <c r="I10" s="6" t="inlineStr">
        <is>
          <t>Gs/kWh</t>
        </is>
      </c>
      <c r="J10" s="6" t="inlineStr">
        <is>
          <t>PYG</t>
        </is>
      </c>
      <c r="K10" s="6" t="inlineStr">
        <is>
          <t>ANDE</t>
        </is>
      </c>
      <c r="L10" s="6" t="inlineStr">
        <is>
          <t>OFFICIAL_PRIMARY</t>
        </is>
      </c>
      <c r="M10" s="9" t="inlineStr">
        <is>
          <t>OFFICIAL_AGGREGATE</t>
        </is>
      </c>
      <c r="N10" s="7" t="inlineStr">
        <is>
          <t>https://www.ande.gov.py/documentos_contables/157/compilacion_estadistica_1990-2010.pdf</t>
        </is>
      </c>
      <c r="O10" s="12" t="n">
        <v>75</v>
      </c>
      <c r="P10" s="4" t="inlineStr">
        <is>
          <t>Tarifa media anual sin impuestos segun compilacion.</t>
        </is>
      </c>
    </row>
    <row r="11">
      <c r="A11" s="6" t="inlineStr">
        <is>
          <t>P00010</t>
        </is>
      </c>
      <c r="B11" s="6" t="inlineStr">
        <is>
          <t>1999-01-01</t>
        </is>
      </c>
      <c r="C11" s="6" t="inlineStr">
        <is>
          <t>1999-12-31</t>
        </is>
      </c>
      <c r="D11" s="6" t="inlineStr">
        <is>
          <t>year</t>
        </is>
      </c>
      <c r="E11" s="6" t="inlineStr">
        <is>
          <t>ANDE_TARIFF_RESIDENTIAL</t>
        </is>
      </c>
      <c r="F11" s="6" t="inlineStr">
        <is>
          <t>PY_SIN</t>
        </is>
      </c>
      <c r="G11" s="6" t="inlineStr">
        <is>
          <t>PY</t>
        </is>
      </c>
      <c r="H11" s="8" t="n">
        <v>161.7</v>
      </c>
      <c r="I11" s="6" t="inlineStr">
        <is>
          <t>Gs/kWh</t>
        </is>
      </c>
      <c r="J11" s="6" t="inlineStr">
        <is>
          <t>PYG</t>
        </is>
      </c>
      <c r="K11" s="6" t="inlineStr">
        <is>
          <t>ANDE</t>
        </is>
      </c>
      <c r="L11" s="6" t="inlineStr">
        <is>
          <t>OFFICIAL_PRIMARY</t>
        </is>
      </c>
      <c r="M11" s="9" t="inlineStr">
        <is>
          <t>OFFICIAL_AGGREGATE</t>
        </is>
      </c>
      <c r="N11" s="7" t="inlineStr">
        <is>
          <t>https://www.ande.gov.py/documentos_contables/157/compilacion_estadistica_1990-2010.pdf</t>
        </is>
      </c>
      <c r="O11" s="12" t="n">
        <v>75</v>
      </c>
      <c r="P11" s="4" t="inlineStr">
        <is>
          <t>Tarifa media anual sin impuestos segun compilacion.</t>
        </is>
      </c>
    </row>
    <row r="12">
      <c r="A12" s="6" t="inlineStr">
        <is>
          <t>P00011</t>
        </is>
      </c>
      <c r="B12" s="6" t="inlineStr">
        <is>
          <t>2000-01-01</t>
        </is>
      </c>
      <c r="C12" s="6" t="inlineStr">
        <is>
          <t>2000-12-31</t>
        </is>
      </c>
      <c r="D12" s="6" t="inlineStr">
        <is>
          <t>year</t>
        </is>
      </c>
      <c r="E12" s="6" t="inlineStr">
        <is>
          <t>ANDE_TARIFF_RESIDENTIAL</t>
        </is>
      </c>
      <c r="F12" s="6" t="inlineStr">
        <is>
          <t>PY_SIN</t>
        </is>
      </c>
      <c r="G12" s="6" t="inlineStr">
        <is>
          <t>PY</t>
        </is>
      </c>
      <c r="H12" s="8" t="n">
        <v>171.4</v>
      </c>
      <c r="I12" s="6" t="inlineStr">
        <is>
          <t>Gs/kWh</t>
        </is>
      </c>
      <c r="J12" s="6" t="inlineStr">
        <is>
          <t>PYG</t>
        </is>
      </c>
      <c r="K12" s="6" t="inlineStr">
        <is>
          <t>ANDE</t>
        </is>
      </c>
      <c r="L12" s="6" t="inlineStr">
        <is>
          <t>OFFICIAL_PRIMARY</t>
        </is>
      </c>
      <c r="M12" s="9" t="inlineStr">
        <is>
          <t>OFFICIAL_AGGREGATE</t>
        </is>
      </c>
      <c r="N12" s="7" t="inlineStr">
        <is>
          <t>https://www.ande.gov.py/documentos_contables/157/compilacion_estadistica_1990-2010.pdf</t>
        </is>
      </c>
      <c r="O12" s="12" t="n">
        <v>75</v>
      </c>
      <c r="P12" s="4" t="inlineStr">
        <is>
          <t>Tarifa media anual sin impuestos segun compilacion.</t>
        </is>
      </c>
    </row>
    <row r="13">
      <c r="A13" s="6" t="inlineStr">
        <is>
          <t>P00012</t>
        </is>
      </c>
      <c r="B13" s="6" t="inlineStr">
        <is>
          <t>2001-01-01</t>
        </is>
      </c>
      <c r="C13" s="6" t="inlineStr">
        <is>
          <t>2001-12-31</t>
        </is>
      </c>
      <c r="D13" s="6" t="inlineStr">
        <is>
          <t>year</t>
        </is>
      </c>
      <c r="E13" s="6" t="inlineStr">
        <is>
          <t>ANDE_TARIFF_RESIDENTIAL</t>
        </is>
      </c>
      <c r="F13" s="6" t="inlineStr">
        <is>
          <t>PY_SIN</t>
        </is>
      </c>
      <c r="G13" s="6" t="inlineStr">
        <is>
          <t>PY</t>
        </is>
      </c>
      <c r="H13" s="8" t="n">
        <v>232</v>
      </c>
      <c r="I13" s="6" t="inlineStr">
        <is>
          <t>Gs/kWh</t>
        </is>
      </c>
      <c r="J13" s="6" t="inlineStr">
        <is>
          <t>PYG</t>
        </is>
      </c>
      <c r="K13" s="6" t="inlineStr">
        <is>
          <t>ANDE</t>
        </is>
      </c>
      <c r="L13" s="6" t="inlineStr">
        <is>
          <t>OFFICIAL_PRIMARY</t>
        </is>
      </c>
      <c r="M13" s="9" t="inlineStr">
        <is>
          <t>OFFICIAL_AGGREGATE</t>
        </is>
      </c>
      <c r="N13" s="7" t="inlineStr">
        <is>
          <t>https://www.ande.gov.py/documentos_contables/157/compilacion_estadistica_1990-2010.pdf</t>
        </is>
      </c>
      <c r="O13" s="12" t="n">
        <v>75</v>
      </c>
      <c r="P13" s="4" t="inlineStr">
        <is>
          <t>Tarifa media anual sin impuestos segun compilacion.</t>
        </is>
      </c>
    </row>
    <row r="14">
      <c r="A14" s="6" t="inlineStr">
        <is>
          <t>P00013</t>
        </is>
      </c>
      <c r="B14" s="6" t="inlineStr">
        <is>
          <t>2002-01-01</t>
        </is>
      </c>
      <c r="C14" s="6" t="inlineStr">
        <is>
          <t>2002-12-31</t>
        </is>
      </c>
      <c r="D14" s="6" t="inlineStr">
        <is>
          <t>year</t>
        </is>
      </c>
      <c r="E14" s="6" t="inlineStr">
        <is>
          <t>ANDE_TARIFF_RESIDENTIAL</t>
        </is>
      </c>
      <c r="F14" s="6" t="inlineStr">
        <is>
          <t>PY_SIN</t>
        </is>
      </c>
      <c r="G14" s="6" t="inlineStr">
        <is>
          <t>PY</t>
        </is>
      </c>
      <c r="H14" s="8" t="n">
        <v>299.7</v>
      </c>
      <c r="I14" s="6" t="inlineStr">
        <is>
          <t>Gs/kWh</t>
        </is>
      </c>
      <c r="J14" s="6" t="inlineStr">
        <is>
          <t>PYG</t>
        </is>
      </c>
      <c r="K14" s="6" t="inlineStr">
        <is>
          <t>ANDE</t>
        </is>
      </c>
      <c r="L14" s="6" t="inlineStr">
        <is>
          <t>OFFICIAL_PRIMARY</t>
        </is>
      </c>
      <c r="M14" s="9" t="inlineStr">
        <is>
          <t>OFFICIAL_AGGREGATE</t>
        </is>
      </c>
      <c r="N14" s="7" t="inlineStr">
        <is>
          <t>https://www.ande.gov.py/documentos_contables/157/compilacion_estadistica_1990-2010.pdf</t>
        </is>
      </c>
      <c r="O14" s="12" t="n">
        <v>75</v>
      </c>
      <c r="P14" s="4" t="inlineStr">
        <is>
          <t>Tarifa media anual sin impuestos segun compilacion.</t>
        </is>
      </c>
    </row>
    <row r="15">
      <c r="A15" s="6" t="inlineStr">
        <is>
          <t>P00014</t>
        </is>
      </c>
      <c r="B15" s="6" t="inlineStr">
        <is>
          <t>1990-01-01</t>
        </is>
      </c>
      <c r="C15" s="6" t="inlineStr">
        <is>
          <t>1990-12-31</t>
        </is>
      </c>
      <c r="D15" s="6" t="inlineStr">
        <is>
          <t>year</t>
        </is>
      </c>
      <c r="E15" s="6" t="inlineStr">
        <is>
          <t>ANDE_TARIFF_COMMERCIAL</t>
        </is>
      </c>
      <c r="F15" s="6" t="inlineStr">
        <is>
          <t>PY_SIN</t>
        </is>
      </c>
      <c r="G15" s="6" t="inlineStr">
        <is>
          <t>PY</t>
        </is>
      </c>
      <c r="H15" s="8" t="n">
        <v>72.90000000000001</v>
      </c>
      <c r="I15" s="6" t="inlineStr">
        <is>
          <t>Gs/kWh</t>
        </is>
      </c>
      <c r="J15" s="6" t="inlineStr">
        <is>
          <t>PYG</t>
        </is>
      </c>
      <c r="K15" s="6" t="inlineStr">
        <is>
          <t>ANDE</t>
        </is>
      </c>
      <c r="L15" s="6" t="inlineStr">
        <is>
          <t>OFFICIAL_PRIMARY</t>
        </is>
      </c>
      <c r="M15" s="9" t="inlineStr">
        <is>
          <t>OFFICIAL_AGGREGATE</t>
        </is>
      </c>
      <c r="N15" s="7" t="inlineStr">
        <is>
          <t>https://www.ande.gov.py/documentos_contables/157/compilacion_estadistica_1990-2010.pdf</t>
        </is>
      </c>
      <c r="O15" s="12" t="n">
        <v>75</v>
      </c>
      <c r="P15" s="4" t="inlineStr">
        <is>
          <t>Tarifa media anual sin impuestos segun compilacion.</t>
        </is>
      </c>
    </row>
    <row r="16">
      <c r="A16" s="6" t="inlineStr">
        <is>
          <t>P00015</t>
        </is>
      </c>
      <c r="B16" s="6" t="inlineStr">
        <is>
          <t>1991-01-01</t>
        </is>
      </c>
      <c r="C16" s="6" t="inlineStr">
        <is>
          <t>1991-12-31</t>
        </is>
      </c>
      <c r="D16" s="6" t="inlineStr">
        <is>
          <t>year</t>
        </is>
      </c>
      <c r="E16" s="6" t="inlineStr">
        <is>
          <t>ANDE_TARIFF_COMMERCIAL</t>
        </is>
      </c>
      <c r="F16" s="6" t="inlineStr">
        <is>
          <t>PY_SIN</t>
        </is>
      </c>
      <c r="G16" s="6" t="inlineStr">
        <is>
          <t>PY</t>
        </is>
      </c>
      <c r="H16" s="8" t="n">
        <v>85.40000000000001</v>
      </c>
      <c r="I16" s="6" t="inlineStr">
        <is>
          <t>Gs/kWh</t>
        </is>
      </c>
      <c r="J16" s="6" t="inlineStr">
        <is>
          <t>PYG</t>
        </is>
      </c>
      <c r="K16" s="6" t="inlineStr">
        <is>
          <t>ANDE</t>
        </is>
      </c>
      <c r="L16" s="6" t="inlineStr">
        <is>
          <t>OFFICIAL_PRIMARY</t>
        </is>
      </c>
      <c r="M16" s="9" t="inlineStr">
        <is>
          <t>OFFICIAL_AGGREGATE</t>
        </is>
      </c>
      <c r="N16" s="7" t="inlineStr">
        <is>
          <t>https://www.ande.gov.py/documentos_contables/157/compilacion_estadistica_1990-2010.pdf</t>
        </is>
      </c>
      <c r="O16" s="12" t="n">
        <v>75</v>
      </c>
      <c r="P16" s="4" t="inlineStr">
        <is>
          <t>Tarifa media anual sin impuestos segun compilacion.</t>
        </is>
      </c>
    </row>
    <row r="17">
      <c r="A17" s="6" t="inlineStr">
        <is>
          <t>P00016</t>
        </is>
      </c>
      <c r="B17" s="6" t="inlineStr">
        <is>
          <t>1992-01-01</t>
        </is>
      </c>
      <c r="C17" s="6" t="inlineStr">
        <is>
          <t>1992-12-31</t>
        </is>
      </c>
      <c r="D17" s="6" t="inlineStr">
        <is>
          <t>year</t>
        </is>
      </c>
      <c r="E17" s="6" t="inlineStr">
        <is>
          <t>ANDE_TARIFF_COMMERCIAL</t>
        </is>
      </c>
      <c r="F17" s="6" t="inlineStr">
        <is>
          <t>PY_SIN</t>
        </is>
      </c>
      <c r="G17" s="6" t="inlineStr">
        <is>
          <t>PY</t>
        </is>
      </c>
      <c r="H17" s="8" t="n">
        <v>85.09999999999999</v>
      </c>
      <c r="I17" s="6" t="inlineStr">
        <is>
          <t>Gs/kWh</t>
        </is>
      </c>
      <c r="J17" s="6" t="inlineStr">
        <is>
          <t>PYG</t>
        </is>
      </c>
      <c r="K17" s="6" t="inlineStr">
        <is>
          <t>ANDE</t>
        </is>
      </c>
      <c r="L17" s="6" t="inlineStr">
        <is>
          <t>OFFICIAL_PRIMARY</t>
        </is>
      </c>
      <c r="M17" s="9" t="inlineStr">
        <is>
          <t>OFFICIAL_AGGREGATE</t>
        </is>
      </c>
      <c r="N17" s="7" t="inlineStr">
        <is>
          <t>https://www.ande.gov.py/documentos_contables/157/compilacion_estadistica_1990-2010.pdf</t>
        </is>
      </c>
      <c r="O17" s="12" t="n">
        <v>75</v>
      </c>
      <c r="P17" s="4" t="inlineStr">
        <is>
          <t>Tarifa media anual sin impuestos segun compilacion.</t>
        </is>
      </c>
    </row>
    <row r="18">
      <c r="A18" s="6" t="inlineStr">
        <is>
          <t>P00017</t>
        </is>
      </c>
      <c r="B18" s="6" t="inlineStr">
        <is>
          <t>1993-01-01</t>
        </is>
      </c>
      <c r="C18" s="6" t="inlineStr">
        <is>
          <t>1993-12-31</t>
        </is>
      </c>
      <c r="D18" s="6" t="inlineStr">
        <is>
          <t>year</t>
        </is>
      </c>
      <c r="E18" s="6" t="inlineStr">
        <is>
          <t>ANDE_TARIFF_COMMERCIAL</t>
        </is>
      </c>
      <c r="F18" s="6" t="inlineStr">
        <is>
          <t>PY_SIN</t>
        </is>
      </c>
      <c r="G18" s="6" t="inlineStr">
        <is>
          <t>PY</t>
        </is>
      </c>
      <c r="H18" s="8" t="n">
        <v>85.40000000000001</v>
      </c>
      <c r="I18" s="6" t="inlineStr">
        <is>
          <t>Gs/kWh</t>
        </is>
      </c>
      <c r="J18" s="6" t="inlineStr">
        <is>
          <t>PYG</t>
        </is>
      </c>
      <c r="K18" s="6" t="inlineStr">
        <is>
          <t>ANDE</t>
        </is>
      </c>
      <c r="L18" s="6" t="inlineStr">
        <is>
          <t>OFFICIAL_PRIMARY</t>
        </is>
      </c>
      <c r="M18" s="9" t="inlineStr">
        <is>
          <t>OFFICIAL_AGGREGATE</t>
        </is>
      </c>
      <c r="N18" s="7" t="inlineStr">
        <is>
          <t>https://www.ande.gov.py/documentos_contables/157/compilacion_estadistica_1990-2010.pdf</t>
        </is>
      </c>
      <c r="O18" s="12" t="n">
        <v>75</v>
      </c>
      <c r="P18" s="4" t="inlineStr">
        <is>
          <t>Tarifa media anual sin impuestos segun compilacion.</t>
        </is>
      </c>
    </row>
    <row r="19">
      <c r="A19" s="6" t="inlineStr">
        <is>
          <t>P00018</t>
        </is>
      </c>
      <c r="B19" s="6" t="inlineStr">
        <is>
          <t>1994-01-01</t>
        </is>
      </c>
      <c r="C19" s="6" t="inlineStr">
        <is>
          <t>1994-12-31</t>
        </is>
      </c>
      <c r="D19" s="6" t="inlineStr">
        <is>
          <t>year</t>
        </is>
      </c>
      <c r="E19" s="6" t="inlineStr">
        <is>
          <t>ANDE_TARIFF_COMMERCIAL</t>
        </is>
      </c>
      <c r="F19" s="6" t="inlineStr">
        <is>
          <t>PY_SIN</t>
        </is>
      </c>
      <c r="G19" s="6" t="inlineStr">
        <is>
          <t>PY</t>
        </is>
      </c>
      <c r="H19" s="8" t="n">
        <v>94.7</v>
      </c>
      <c r="I19" s="6" t="inlineStr">
        <is>
          <t>Gs/kWh</t>
        </is>
      </c>
      <c r="J19" s="6" t="inlineStr">
        <is>
          <t>PYG</t>
        </is>
      </c>
      <c r="K19" s="6" t="inlineStr">
        <is>
          <t>ANDE</t>
        </is>
      </c>
      <c r="L19" s="6" t="inlineStr">
        <is>
          <t>OFFICIAL_PRIMARY</t>
        </is>
      </c>
      <c r="M19" s="9" t="inlineStr">
        <is>
          <t>OFFICIAL_AGGREGATE</t>
        </is>
      </c>
      <c r="N19" s="7" t="inlineStr">
        <is>
          <t>https://www.ande.gov.py/documentos_contables/157/compilacion_estadistica_1990-2010.pdf</t>
        </is>
      </c>
      <c r="O19" s="12" t="n">
        <v>75</v>
      </c>
      <c r="P19" s="4" t="inlineStr">
        <is>
          <t>Tarifa media anual sin impuestos segun compilacion.</t>
        </is>
      </c>
    </row>
    <row r="20">
      <c r="A20" s="6" t="inlineStr">
        <is>
          <t>P00019</t>
        </is>
      </c>
      <c r="B20" s="6" t="inlineStr">
        <is>
          <t>1995-01-01</t>
        </is>
      </c>
      <c r="C20" s="6" t="inlineStr">
        <is>
          <t>1995-12-31</t>
        </is>
      </c>
      <c r="D20" s="6" t="inlineStr">
        <is>
          <t>year</t>
        </is>
      </c>
      <c r="E20" s="6" t="inlineStr">
        <is>
          <t>ANDE_TARIFF_COMMERCIAL</t>
        </is>
      </c>
      <c r="F20" s="6" t="inlineStr">
        <is>
          <t>PY_SIN</t>
        </is>
      </c>
      <c r="G20" s="6" t="inlineStr">
        <is>
          <t>PY</t>
        </is>
      </c>
      <c r="H20" s="8" t="n">
        <v>103.5</v>
      </c>
      <c r="I20" s="6" t="inlineStr">
        <is>
          <t>Gs/kWh</t>
        </is>
      </c>
      <c r="J20" s="6" t="inlineStr">
        <is>
          <t>PYG</t>
        </is>
      </c>
      <c r="K20" s="6" t="inlineStr">
        <is>
          <t>ANDE</t>
        </is>
      </c>
      <c r="L20" s="6" t="inlineStr">
        <is>
          <t>OFFICIAL_PRIMARY</t>
        </is>
      </c>
      <c r="M20" s="9" t="inlineStr">
        <is>
          <t>OFFICIAL_AGGREGATE</t>
        </is>
      </c>
      <c r="N20" s="7" t="inlineStr">
        <is>
          <t>https://www.ande.gov.py/documentos_contables/157/compilacion_estadistica_1990-2010.pdf</t>
        </is>
      </c>
      <c r="O20" s="12" t="n">
        <v>75</v>
      </c>
      <c r="P20" s="4" t="inlineStr">
        <is>
          <t>Tarifa media anual sin impuestos segun compilacion.</t>
        </is>
      </c>
    </row>
    <row r="21">
      <c r="A21" s="6" t="inlineStr">
        <is>
          <t>P00020</t>
        </is>
      </c>
      <c r="B21" s="6" t="inlineStr">
        <is>
          <t>1996-01-01</t>
        </is>
      </c>
      <c r="C21" s="6" t="inlineStr">
        <is>
          <t>1996-12-31</t>
        </is>
      </c>
      <c r="D21" s="6" t="inlineStr">
        <is>
          <t>year</t>
        </is>
      </c>
      <c r="E21" s="6" t="inlineStr">
        <is>
          <t>ANDE_TARIFF_COMMERCIAL</t>
        </is>
      </c>
      <c r="F21" s="6" t="inlineStr">
        <is>
          <t>PY_SIN</t>
        </is>
      </c>
      <c r="G21" s="6" t="inlineStr">
        <is>
          <t>PY</t>
        </is>
      </c>
      <c r="H21" s="8" t="n">
        <v>123.9</v>
      </c>
      <c r="I21" s="6" t="inlineStr">
        <is>
          <t>Gs/kWh</t>
        </is>
      </c>
      <c r="J21" s="6" t="inlineStr">
        <is>
          <t>PYG</t>
        </is>
      </c>
      <c r="K21" s="6" t="inlineStr">
        <is>
          <t>ANDE</t>
        </is>
      </c>
      <c r="L21" s="6" t="inlineStr">
        <is>
          <t>OFFICIAL_PRIMARY</t>
        </is>
      </c>
      <c r="M21" s="9" t="inlineStr">
        <is>
          <t>OFFICIAL_AGGREGATE</t>
        </is>
      </c>
      <c r="N21" s="7" t="inlineStr">
        <is>
          <t>https://www.ande.gov.py/documentos_contables/157/compilacion_estadistica_1990-2010.pdf</t>
        </is>
      </c>
      <c r="O21" s="12" t="n">
        <v>75</v>
      </c>
      <c r="P21" s="4" t="inlineStr">
        <is>
          <t>Tarifa media anual sin impuestos segun compilacion.</t>
        </is>
      </c>
    </row>
    <row r="22">
      <c r="A22" s="6" t="inlineStr">
        <is>
          <t>P00021</t>
        </is>
      </c>
      <c r="B22" s="6" t="inlineStr">
        <is>
          <t>1997-01-01</t>
        </is>
      </c>
      <c r="C22" s="6" t="inlineStr">
        <is>
          <t>1997-12-31</t>
        </is>
      </c>
      <c r="D22" s="6" t="inlineStr">
        <is>
          <t>year</t>
        </is>
      </c>
      <c r="E22" s="6" t="inlineStr">
        <is>
          <t>ANDE_TARIFF_COMMERCIAL</t>
        </is>
      </c>
      <c r="F22" s="6" t="inlineStr">
        <is>
          <t>PY_SIN</t>
        </is>
      </c>
      <c r="G22" s="6" t="inlineStr">
        <is>
          <t>PY</t>
        </is>
      </c>
      <c r="H22" s="8" t="n">
        <v>139.3</v>
      </c>
      <c r="I22" s="6" t="inlineStr">
        <is>
          <t>Gs/kWh</t>
        </is>
      </c>
      <c r="J22" s="6" t="inlineStr">
        <is>
          <t>PYG</t>
        </is>
      </c>
      <c r="K22" s="6" t="inlineStr">
        <is>
          <t>ANDE</t>
        </is>
      </c>
      <c r="L22" s="6" t="inlineStr">
        <is>
          <t>OFFICIAL_PRIMARY</t>
        </is>
      </c>
      <c r="M22" s="9" t="inlineStr">
        <is>
          <t>OFFICIAL_AGGREGATE</t>
        </is>
      </c>
      <c r="N22" s="7" t="inlineStr">
        <is>
          <t>https://www.ande.gov.py/documentos_contables/157/compilacion_estadistica_1990-2010.pdf</t>
        </is>
      </c>
      <c r="O22" s="12" t="n">
        <v>75</v>
      </c>
      <c r="P22" s="4" t="inlineStr">
        <is>
          <t>Tarifa media anual sin impuestos segun compilacion.</t>
        </is>
      </c>
    </row>
    <row r="23">
      <c r="A23" s="6" t="inlineStr">
        <is>
          <t>P00022</t>
        </is>
      </c>
      <c r="B23" s="6" t="inlineStr">
        <is>
          <t>1998-01-01</t>
        </is>
      </c>
      <c r="C23" s="6" t="inlineStr">
        <is>
          <t>1998-12-31</t>
        </is>
      </c>
      <c r="D23" s="6" t="inlineStr">
        <is>
          <t>year</t>
        </is>
      </c>
      <c r="E23" s="6" t="inlineStr">
        <is>
          <t>ANDE_TARIFF_COMMERCIAL</t>
        </is>
      </c>
      <c r="F23" s="6" t="inlineStr">
        <is>
          <t>PY_SIN</t>
        </is>
      </c>
      <c r="G23" s="6" t="inlineStr">
        <is>
          <t>PY</t>
        </is>
      </c>
      <c r="H23" s="8" t="n">
        <v>163.2</v>
      </c>
      <c r="I23" s="6" t="inlineStr">
        <is>
          <t>Gs/kWh</t>
        </is>
      </c>
      <c r="J23" s="6" t="inlineStr">
        <is>
          <t>PYG</t>
        </is>
      </c>
      <c r="K23" s="6" t="inlineStr">
        <is>
          <t>ANDE</t>
        </is>
      </c>
      <c r="L23" s="6" t="inlineStr">
        <is>
          <t>OFFICIAL_PRIMARY</t>
        </is>
      </c>
      <c r="M23" s="9" t="inlineStr">
        <is>
          <t>OFFICIAL_AGGREGATE</t>
        </is>
      </c>
      <c r="N23" s="7" t="inlineStr">
        <is>
          <t>https://www.ande.gov.py/documentos_contables/157/compilacion_estadistica_1990-2010.pdf</t>
        </is>
      </c>
      <c r="O23" s="12" t="n">
        <v>75</v>
      </c>
      <c r="P23" s="4" t="inlineStr">
        <is>
          <t>Tarifa media anual sin impuestos segun compilacion.</t>
        </is>
      </c>
    </row>
    <row r="24">
      <c r="A24" s="6" t="inlineStr">
        <is>
          <t>P00023</t>
        </is>
      </c>
      <c r="B24" s="6" t="inlineStr">
        <is>
          <t>1999-01-01</t>
        </is>
      </c>
      <c r="C24" s="6" t="inlineStr">
        <is>
          <t>1999-12-31</t>
        </is>
      </c>
      <c r="D24" s="6" t="inlineStr">
        <is>
          <t>year</t>
        </is>
      </c>
      <c r="E24" s="6" t="inlineStr">
        <is>
          <t>ANDE_TARIFF_COMMERCIAL</t>
        </is>
      </c>
      <c r="F24" s="6" t="inlineStr">
        <is>
          <t>PY_SIN</t>
        </is>
      </c>
      <c r="G24" s="6" t="inlineStr">
        <is>
          <t>PY</t>
        </is>
      </c>
      <c r="H24" s="8" t="n">
        <v>163.4</v>
      </c>
      <c r="I24" s="6" t="inlineStr">
        <is>
          <t>Gs/kWh</t>
        </is>
      </c>
      <c r="J24" s="6" t="inlineStr">
        <is>
          <t>PYG</t>
        </is>
      </c>
      <c r="K24" s="6" t="inlineStr">
        <is>
          <t>ANDE</t>
        </is>
      </c>
      <c r="L24" s="6" t="inlineStr">
        <is>
          <t>OFFICIAL_PRIMARY</t>
        </is>
      </c>
      <c r="M24" s="9" t="inlineStr">
        <is>
          <t>OFFICIAL_AGGREGATE</t>
        </is>
      </c>
      <c r="N24" s="7" t="inlineStr">
        <is>
          <t>https://www.ande.gov.py/documentos_contables/157/compilacion_estadistica_1990-2010.pdf</t>
        </is>
      </c>
      <c r="O24" s="12" t="n">
        <v>75</v>
      </c>
      <c r="P24" s="4" t="inlineStr">
        <is>
          <t>Tarifa media anual sin impuestos segun compilacion.</t>
        </is>
      </c>
    </row>
    <row r="25">
      <c r="A25" s="6" t="inlineStr">
        <is>
          <t>P00024</t>
        </is>
      </c>
      <c r="B25" s="6" t="inlineStr">
        <is>
          <t>2000-01-01</t>
        </is>
      </c>
      <c r="C25" s="6" t="inlineStr">
        <is>
          <t>2000-12-31</t>
        </is>
      </c>
      <c r="D25" s="6" t="inlineStr">
        <is>
          <t>year</t>
        </is>
      </c>
      <c r="E25" s="6" t="inlineStr">
        <is>
          <t>ANDE_TARIFF_COMMERCIAL</t>
        </is>
      </c>
      <c r="F25" s="6" t="inlineStr">
        <is>
          <t>PY_SIN</t>
        </is>
      </c>
      <c r="G25" s="6" t="inlineStr">
        <is>
          <t>PY</t>
        </is>
      </c>
      <c r="H25" s="8" t="n">
        <v>175.9</v>
      </c>
      <c r="I25" s="6" t="inlineStr">
        <is>
          <t>Gs/kWh</t>
        </is>
      </c>
      <c r="J25" s="6" t="inlineStr">
        <is>
          <t>PYG</t>
        </is>
      </c>
      <c r="K25" s="6" t="inlineStr">
        <is>
          <t>ANDE</t>
        </is>
      </c>
      <c r="L25" s="6" t="inlineStr">
        <is>
          <t>OFFICIAL_PRIMARY</t>
        </is>
      </c>
      <c r="M25" s="9" t="inlineStr">
        <is>
          <t>OFFICIAL_AGGREGATE</t>
        </is>
      </c>
      <c r="N25" s="7" t="inlineStr">
        <is>
          <t>https://www.ande.gov.py/documentos_contables/157/compilacion_estadistica_1990-2010.pdf</t>
        </is>
      </c>
      <c r="O25" s="12" t="n">
        <v>75</v>
      </c>
      <c r="P25" s="4" t="inlineStr">
        <is>
          <t>Tarifa media anual sin impuestos segun compilacion.</t>
        </is>
      </c>
    </row>
    <row r="26">
      <c r="A26" s="6" t="inlineStr">
        <is>
          <t>P00025</t>
        </is>
      </c>
      <c r="B26" s="6" t="inlineStr">
        <is>
          <t>2001-01-01</t>
        </is>
      </c>
      <c r="C26" s="6" t="inlineStr">
        <is>
          <t>2001-12-31</t>
        </is>
      </c>
      <c r="D26" s="6" t="inlineStr">
        <is>
          <t>year</t>
        </is>
      </c>
      <c r="E26" s="6" t="inlineStr">
        <is>
          <t>ANDE_TARIFF_COMMERCIAL</t>
        </is>
      </c>
      <c r="F26" s="6" t="inlineStr">
        <is>
          <t>PY_SIN</t>
        </is>
      </c>
      <c r="G26" s="6" t="inlineStr">
        <is>
          <t>PY</t>
        </is>
      </c>
      <c r="H26" s="8" t="n">
        <v>230.3</v>
      </c>
      <c r="I26" s="6" t="inlineStr">
        <is>
          <t>Gs/kWh</t>
        </is>
      </c>
      <c r="J26" s="6" t="inlineStr">
        <is>
          <t>PYG</t>
        </is>
      </c>
      <c r="K26" s="6" t="inlineStr">
        <is>
          <t>ANDE</t>
        </is>
      </c>
      <c r="L26" s="6" t="inlineStr">
        <is>
          <t>OFFICIAL_PRIMARY</t>
        </is>
      </c>
      <c r="M26" s="9" t="inlineStr">
        <is>
          <t>OFFICIAL_AGGREGATE</t>
        </is>
      </c>
      <c r="N26" s="7" t="inlineStr">
        <is>
          <t>https://www.ande.gov.py/documentos_contables/157/compilacion_estadistica_1990-2010.pdf</t>
        </is>
      </c>
      <c r="O26" s="12" t="n">
        <v>75</v>
      </c>
      <c r="P26" s="4" t="inlineStr">
        <is>
          <t>Tarifa media anual sin impuestos segun compilacion.</t>
        </is>
      </c>
    </row>
    <row r="27">
      <c r="A27" s="6" t="inlineStr">
        <is>
          <t>P00026</t>
        </is>
      </c>
      <c r="B27" s="6" t="inlineStr">
        <is>
          <t>2002-01-01</t>
        </is>
      </c>
      <c r="C27" s="6" t="inlineStr">
        <is>
          <t>2002-12-31</t>
        </is>
      </c>
      <c r="D27" s="6" t="inlineStr">
        <is>
          <t>year</t>
        </is>
      </c>
      <c r="E27" s="6" t="inlineStr">
        <is>
          <t>ANDE_TARIFF_COMMERCIAL</t>
        </is>
      </c>
      <c r="F27" s="6" t="inlineStr">
        <is>
          <t>PY_SIN</t>
        </is>
      </c>
      <c r="G27" s="6" t="inlineStr">
        <is>
          <t>PY</t>
        </is>
      </c>
      <c r="H27" s="8" t="n">
        <v>300.1</v>
      </c>
      <c r="I27" s="6" t="inlineStr">
        <is>
          <t>Gs/kWh</t>
        </is>
      </c>
      <c r="J27" s="6" t="inlineStr">
        <is>
          <t>PYG</t>
        </is>
      </c>
      <c r="K27" s="6" t="inlineStr">
        <is>
          <t>ANDE</t>
        </is>
      </c>
      <c r="L27" s="6" t="inlineStr">
        <is>
          <t>OFFICIAL_PRIMARY</t>
        </is>
      </c>
      <c r="M27" s="9" t="inlineStr">
        <is>
          <t>OFFICIAL_AGGREGATE</t>
        </is>
      </c>
      <c r="N27" s="7" t="inlineStr">
        <is>
          <t>https://www.ande.gov.py/documentos_contables/157/compilacion_estadistica_1990-2010.pdf</t>
        </is>
      </c>
      <c r="O27" s="12" t="n">
        <v>75</v>
      </c>
      <c r="P27" s="4" t="inlineStr">
        <is>
          <t>Tarifa media anual sin impuestos segun compilacion.</t>
        </is>
      </c>
    </row>
    <row r="28">
      <c r="A28" s="6" t="inlineStr">
        <is>
          <t>P00027</t>
        </is>
      </c>
      <c r="B28" s="6" t="inlineStr">
        <is>
          <t>1990-01-01</t>
        </is>
      </c>
      <c r="C28" s="6" t="inlineStr">
        <is>
          <t>1990-12-31</t>
        </is>
      </c>
      <c r="D28" s="6" t="inlineStr">
        <is>
          <t>year</t>
        </is>
      </c>
      <c r="E28" s="6" t="inlineStr">
        <is>
          <t>ANDE_TARIFF_INDUSTRIAL</t>
        </is>
      </c>
      <c r="F28" s="6" t="inlineStr">
        <is>
          <t>PY_SIN</t>
        </is>
      </c>
      <c r="G28" s="6" t="inlineStr">
        <is>
          <t>PY</t>
        </is>
      </c>
      <c r="H28" s="8" t="n">
        <v>40.1</v>
      </c>
      <c r="I28" s="6" t="inlineStr">
        <is>
          <t>Gs/kWh</t>
        </is>
      </c>
      <c r="J28" s="6" t="inlineStr">
        <is>
          <t>PYG</t>
        </is>
      </c>
      <c r="K28" s="6" t="inlineStr">
        <is>
          <t>ANDE</t>
        </is>
      </c>
      <c r="L28" s="6" t="inlineStr">
        <is>
          <t>OFFICIAL_PRIMARY</t>
        </is>
      </c>
      <c r="M28" s="9" t="inlineStr">
        <is>
          <t>OFFICIAL_AGGREGATE</t>
        </is>
      </c>
      <c r="N28" s="7" t="inlineStr">
        <is>
          <t>https://www.ande.gov.py/documentos_contables/157/compilacion_estadistica_1990-2010.pdf</t>
        </is>
      </c>
      <c r="O28" s="12" t="n">
        <v>75</v>
      </c>
      <c r="P28" s="4" t="inlineStr">
        <is>
          <t>Tarifa media anual sin impuestos segun compilacion.</t>
        </is>
      </c>
    </row>
    <row r="29">
      <c r="A29" s="6" t="inlineStr">
        <is>
          <t>P00028</t>
        </is>
      </c>
      <c r="B29" s="6" t="inlineStr">
        <is>
          <t>1991-01-01</t>
        </is>
      </c>
      <c r="C29" s="6" t="inlineStr">
        <is>
          <t>1991-12-31</t>
        </is>
      </c>
      <c r="D29" s="6" t="inlineStr">
        <is>
          <t>year</t>
        </is>
      </c>
      <c r="E29" s="6" t="inlineStr">
        <is>
          <t>ANDE_TARIFF_INDUSTRIAL</t>
        </is>
      </c>
      <c r="F29" s="6" t="inlineStr">
        <is>
          <t>PY_SIN</t>
        </is>
      </c>
      <c r="G29" s="6" t="inlineStr">
        <is>
          <t>PY</t>
        </is>
      </c>
      <c r="H29" s="8" t="n">
        <v>49.2</v>
      </c>
      <c r="I29" s="6" t="inlineStr">
        <is>
          <t>Gs/kWh</t>
        </is>
      </c>
      <c r="J29" s="6" t="inlineStr">
        <is>
          <t>PYG</t>
        </is>
      </c>
      <c r="K29" s="6" t="inlineStr">
        <is>
          <t>ANDE</t>
        </is>
      </c>
      <c r="L29" s="6" t="inlineStr">
        <is>
          <t>OFFICIAL_PRIMARY</t>
        </is>
      </c>
      <c r="M29" s="9" t="inlineStr">
        <is>
          <t>OFFICIAL_AGGREGATE</t>
        </is>
      </c>
      <c r="N29" s="7" t="inlineStr">
        <is>
          <t>https://www.ande.gov.py/documentos_contables/157/compilacion_estadistica_1990-2010.pdf</t>
        </is>
      </c>
      <c r="O29" s="12" t="n">
        <v>75</v>
      </c>
      <c r="P29" s="4" t="inlineStr">
        <is>
          <t>Tarifa media anual sin impuestos segun compilacion.</t>
        </is>
      </c>
    </row>
    <row r="30">
      <c r="A30" s="6" t="inlineStr">
        <is>
          <t>P00029</t>
        </is>
      </c>
      <c r="B30" s="6" t="inlineStr">
        <is>
          <t>1992-01-01</t>
        </is>
      </c>
      <c r="C30" s="6" t="inlineStr">
        <is>
          <t>1992-12-31</t>
        </is>
      </c>
      <c r="D30" s="6" t="inlineStr">
        <is>
          <t>year</t>
        </is>
      </c>
      <c r="E30" s="6" t="inlineStr">
        <is>
          <t>ANDE_TARIFF_INDUSTRIAL</t>
        </is>
      </c>
      <c r="F30" s="6" t="inlineStr">
        <is>
          <t>PY_SIN</t>
        </is>
      </c>
      <c r="G30" s="6" t="inlineStr">
        <is>
          <t>PY</t>
        </is>
      </c>
      <c r="H30" s="8" t="n">
        <v>46.9</v>
      </c>
      <c r="I30" s="6" t="inlineStr">
        <is>
          <t>Gs/kWh</t>
        </is>
      </c>
      <c r="J30" s="6" t="inlineStr">
        <is>
          <t>PYG</t>
        </is>
      </c>
      <c r="K30" s="6" t="inlineStr">
        <is>
          <t>ANDE</t>
        </is>
      </c>
      <c r="L30" s="6" t="inlineStr">
        <is>
          <t>OFFICIAL_PRIMARY</t>
        </is>
      </c>
      <c r="M30" s="9" t="inlineStr">
        <is>
          <t>OFFICIAL_AGGREGATE</t>
        </is>
      </c>
      <c r="N30" s="7" t="inlineStr">
        <is>
          <t>https://www.ande.gov.py/documentos_contables/157/compilacion_estadistica_1990-2010.pdf</t>
        </is>
      </c>
      <c r="O30" s="12" t="n">
        <v>75</v>
      </c>
      <c r="P30" s="4" t="inlineStr">
        <is>
          <t>Tarifa media anual sin impuestos segun compilacion.</t>
        </is>
      </c>
    </row>
    <row r="31">
      <c r="A31" s="6" t="inlineStr">
        <is>
          <t>P00030</t>
        </is>
      </c>
      <c r="B31" s="6" t="inlineStr">
        <is>
          <t>1993-01-01</t>
        </is>
      </c>
      <c r="C31" s="6" t="inlineStr">
        <is>
          <t>1993-12-31</t>
        </is>
      </c>
      <c r="D31" s="6" t="inlineStr">
        <is>
          <t>year</t>
        </is>
      </c>
      <c r="E31" s="6" t="inlineStr">
        <is>
          <t>ANDE_TARIFF_INDUSTRIAL</t>
        </is>
      </c>
      <c r="F31" s="6" t="inlineStr">
        <is>
          <t>PY_SIN</t>
        </is>
      </c>
      <c r="G31" s="6" t="inlineStr">
        <is>
          <t>PY</t>
        </is>
      </c>
      <c r="H31" s="8" t="n">
        <v>52.2</v>
      </c>
      <c r="I31" s="6" t="inlineStr">
        <is>
          <t>Gs/kWh</t>
        </is>
      </c>
      <c r="J31" s="6" t="inlineStr">
        <is>
          <t>PYG</t>
        </is>
      </c>
      <c r="K31" s="6" t="inlineStr">
        <is>
          <t>ANDE</t>
        </is>
      </c>
      <c r="L31" s="6" t="inlineStr">
        <is>
          <t>OFFICIAL_PRIMARY</t>
        </is>
      </c>
      <c r="M31" s="9" t="inlineStr">
        <is>
          <t>OFFICIAL_AGGREGATE</t>
        </is>
      </c>
      <c r="N31" s="7" t="inlineStr">
        <is>
          <t>https://www.ande.gov.py/documentos_contables/157/compilacion_estadistica_1990-2010.pdf</t>
        </is>
      </c>
      <c r="O31" s="12" t="n">
        <v>75</v>
      </c>
      <c r="P31" s="4" t="inlineStr">
        <is>
          <t>Tarifa media anual sin impuestos segun compilacion.</t>
        </is>
      </c>
    </row>
    <row r="32">
      <c r="A32" s="6" t="inlineStr">
        <is>
          <t>P00031</t>
        </is>
      </c>
      <c r="B32" s="6" t="inlineStr">
        <is>
          <t>1994-01-01</t>
        </is>
      </c>
      <c r="C32" s="6" t="inlineStr">
        <is>
          <t>1994-12-31</t>
        </is>
      </c>
      <c r="D32" s="6" t="inlineStr">
        <is>
          <t>year</t>
        </is>
      </c>
      <c r="E32" s="6" t="inlineStr">
        <is>
          <t>ANDE_TARIFF_INDUSTRIAL</t>
        </is>
      </c>
      <c r="F32" s="6" t="inlineStr">
        <is>
          <t>PY_SIN</t>
        </is>
      </c>
      <c r="G32" s="6" t="inlineStr">
        <is>
          <t>PY</t>
        </is>
      </c>
      <c r="H32" s="8" t="n">
        <v>63.9</v>
      </c>
      <c r="I32" s="6" t="inlineStr">
        <is>
          <t>Gs/kWh</t>
        </is>
      </c>
      <c r="J32" s="6" t="inlineStr">
        <is>
          <t>PYG</t>
        </is>
      </c>
      <c r="K32" s="6" t="inlineStr">
        <is>
          <t>ANDE</t>
        </is>
      </c>
      <c r="L32" s="6" t="inlineStr">
        <is>
          <t>OFFICIAL_PRIMARY</t>
        </is>
      </c>
      <c r="M32" s="9" t="inlineStr">
        <is>
          <t>OFFICIAL_AGGREGATE</t>
        </is>
      </c>
      <c r="N32" s="7" t="inlineStr">
        <is>
          <t>https://www.ande.gov.py/documentos_contables/157/compilacion_estadistica_1990-2010.pdf</t>
        </is>
      </c>
      <c r="O32" s="12" t="n">
        <v>75</v>
      </c>
      <c r="P32" s="4" t="inlineStr">
        <is>
          <t>Tarifa media anual sin impuestos segun compilacion.</t>
        </is>
      </c>
    </row>
    <row r="33">
      <c r="A33" s="6" t="inlineStr">
        <is>
          <t>P00032</t>
        </is>
      </c>
      <c r="B33" s="6" t="inlineStr">
        <is>
          <t>1995-01-01</t>
        </is>
      </c>
      <c r="C33" s="6" t="inlineStr">
        <is>
          <t>1995-12-31</t>
        </is>
      </c>
      <c r="D33" s="6" t="inlineStr">
        <is>
          <t>year</t>
        </is>
      </c>
      <c r="E33" s="6" t="inlineStr">
        <is>
          <t>ANDE_TARIFF_INDUSTRIAL</t>
        </is>
      </c>
      <c r="F33" s="6" t="inlineStr">
        <is>
          <t>PY_SIN</t>
        </is>
      </c>
      <c r="G33" s="6" t="inlineStr">
        <is>
          <t>PY</t>
        </is>
      </c>
      <c r="H33" s="8" t="n">
        <v>69.40000000000001</v>
      </c>
      <c r="I33" s="6" t="inlineStr">
        <is>
          <t>Gs/kWh</t>
        </is>
      </c>
      <c r="J33" s="6" t="inlineStr">
        <is>
          <t>PYG</t>
        </is>
      </c>
      <c r="K33" s="6" t="inlineStr">
        <is>
          <t>ANDE</t>
        </is>
      </c>
      <c r="L33" s="6" t="inlineStr">
        <is>
          <t>OFFICIAL_PRIMARY</t>
        </is>
      </c>
      <c r="M33" s="9" t="inlineStr">
        <is>
          <t>OFFICIAL_AGGREGATE</t>
        </is>
      </c>
      <c r="N33" s="7" t="inlineStr">
        <is>
          <t>https://www.ande.gov.py/documentos_contables/157/compilacion_estadistica_1990-2010.pdf</t>
        </is>
      </c>
      <c r="O33" s="12" t="n">
        <v>75</v>
      </c>
      <c r="P33" s="4" t="inlineStr">
        <is>
          <t>Tarifa media anual sin impuestos segun compilacion.</t>
        </is>
      </c>
    </row>
    <row r="34">
      <c r="A34" s="6" t="inlineStr">
        <is>
          <t>P00033</t>
        </is>
      </c>
      <c r="B34" s="6" t="inlineStr">
        <is>
          <t>1996-01-01</t>
        </is>
      </c>
      <c r="C34" s="6" t="inlineStr">
        <is>
          <t>1996-12-31</t>
        </is>
      </c>
      <c r="D34" s="6" t="inlineStr">
        <is>
          <t>year</t>
        </is>
      </c>
      <c r="E34" s="6" t="inlineStr">
        <is>
          <t>ANDE_TARIFF_INDUSTRIAL</t>
        </is>
      </c>
      <c r="F34" s="6" t="inlineStr">
        <is>
          <t>PY_SIN</t>
        </is>
      </c>
      <c r="G34" s="6" t="inlineStr">
        <is>
          <t>PY</t>
        </is>
      </c>
      <c r="H34" s="8" t="n">
        <v>85.8</v>
      </c>
      <c r="I34" s="6" t="inlineStr">
        <is>
          <t>Gs/kWh</t>
        </is>
      </c>
      <c r="J34" s="6" t="inlineStr">
        <is>
          <t>PYG</t>
        </is>
      </c>
      <c r="K34" s="6" t="inlineStr">
        <is>
          <t>ANDE</t>
        </is>
      </c>
      <c r="L34" s="6" t="inlineStr">
        <is>
          <t>OFFICIAL_PRIMARY</t>
        </is>
      </c>
      <c r="M34" s="9" t="inlineStr">
        <is>
          <t>OFFICIAL_AGGREGATE</t>
        </is>
      </c>
      <c r="N34" s="7" t="inlineStr">
        <is>
          <t>https://www.ande.gov.py/documentos_contables/157/compilacion_estadistica_1990-2010.pdf</t>
        </is>
      </c>
      <c r="O34" s="12" t="n">
        <v>75</v>
      </c>
      <c r="P34" s="4" t="inlineStr">
        <is>
          <t>Tarifa media anual sin impuestos segun compilacion.</t>
        </is>
      </c>
    </row>
    <row r="35">
      <c r="A35" s="6" t="inlineStr">
        <is>
          <t>P00034</t>
        </is>
      </c>
      <c r="B35" s="6" t="inlineStr">
        <is>
          <t>1997-01-01</t>
        </is>
      </c>
      <c r="C35" s="6" t="inlineStr">
        <is>
          <t>1997-12-31</t>
        </is>
      </c>
      <c r="D35" s="6" t="inlineStr">
        <is>
          <t>year</t>
        </is>
      </c>
      <c r="E35" s="6" t="inlineStr">
        <is>
          <t>ANDE_TARIFF_INDUSTRIAL</t>
        </is>
      </c>
      <c r="F35" s="6" t="inlineStr">
        <is>
          <t>PY_SIN</t>
        </is>
      </c>
      <c r="G35" s="6" t="inlineStr">
        <is>
          <t>PY</t>
        </is>
      </c>
      <c r="H35" s="8" t="n">
        <v>95.8</v>
      </c>
      <c r="I35" s="6" t="inlineStr">
        <is>
          <t>Gs/kWh</t>
        </is>
      </c>
      <c r="J35" s="6" t="inlineStr">
        <is>
          <t>PYG</t>
        </is>
      </c>
      <c r="K35" s="6" t="inlineStr">
        <is>
          <t>ANDE</t>
        </is>
      </c>
      <c r="L35" s="6" t="inlineStr">
        <is>
          <t>OFFICIAL_PRIMARY</t>
        </is>
      </c>
      <c r="M35" s="9" t="inlineStr">
        <is>
          <t>OFFICIAL_AGGREGATE</t>
        </is>
      </c>
      <c r="N35" s="7" t="inlineStr">
        <is>
          <t>https://www.ande.gov.py/documentos_contables/157/compilacion_estadistica_1990-2010.pdf</t>
        </is>
      </c>
      <c r="O35" s="12" t="n">
        <v>75</v>
      </c>
      <c r="P35" s="4" t="inlineStr">
        <is>
          <t>Tarifa media anual sin impuestos segun compilacion.</t>
        </is>
      </c>
    </row>
    <row r="36">
      <c r="A36" s="6" t="inlineStr">
        <is>
          <t>P00035</t>
        </is>
      </c>
      <c r="B36" s="6" t="inlineStr">
        <is>
          <t>1998-01-01</t>
        </is>
      </c>
      <c r="C36" s="6" t="inlineStr">
        <is>
          <t>1998-12-31</t>
        </is>
      </c>
      <c r="D36" s="6" t="inlineStr">
        <is>
          <t>year</t>
        </is>
      </c>
      <c r="E36" s="6" t="inlineStr">
        <is>
          <t>ANDE_TARIFF_INDUSTRIAL</t>
        </is>
      </c>
      <c r="F36" s="6" t="inlineStr">
        <is>
          <t>PY_SIN</t>
        </is>
      </c>
      <c r="G36" s="6" t="inlineStr">
        <is>
          <t>PY</t>
        </is>
      </c>
      <c r="H36" s="8" t="n">
        <v>109.6</v>
      </c>
      <c r="I36" s="6" t="inlineStr">
        <is>
          <t>Gs/kWh</t>
        </is>
      </c>
      <c r="J36" s="6" t="inlineStr">
        <is>
          <t>PYG</t>
        </is>
      </c>
      <c r="K36" s="6" t="inlineStr">
        <is>
          <t>ANDE</t>
        </is>
      </c>
      <c r="L36" s="6" t="inlineStr">
        <is>
          <t>OFFICIAL_PRIMARY</t>
        </is>
      </c>
      <c r="M36" s="9" t="inlineStr">
        <is>
          <t>OFFICIAL_AGGREGATE</t>
        </is>
      </c>
      <c r="N36" s="7" t="inlineStr">
        <is>
          <t>https://www.ande.gov.py/documentos_contables/157/compilacion_estadistica_1990-2010.pdf</t>
        </is>
      </c>
      <c r="O36" s="12" t="n">
        <v>75</v>
      </c>
      <c r="P36" s="4" t="inlineStr">
        <is>
          <t>Tarifa media anual sin impuestos segun compilacion.</t>
        </is>
      </c>
    </row>
    <row r="37">
      <c r="A37" s="6" t="inlineStr">
        <is>
          <t>P00036</t>
        </is>
      </c>
      <c r="B37" s="6" t="inlineStr">
        <is>
          <t>1999-01-01</t>
        </is>
      </c>
      <c r="C37" s="6" t="inlineStr">
        <is>
          <t>1999-12-31</t>
        </is>
      </c>
      <c r="D37" s="6" t="inlineStr">
        <is>
          <t>year</t>
        </is>
      </c>
      <c r="E37" s="6" t="inlineStr">
        <is>
          <t>ANDE_TARIFF_INDUSTRIAL</t>
        </is>
      </c>
      <c r="F37" s="6" t="inlineStr">
        <is>
          <t>PY_SIN</t>
        </is>
      </c>
      <c r="G37" s="6" t="inlineStr">
        <is>
          <t>PY</t>
        </is>
      </c>
      <c r="H37" s="8" t="n">
        <v>99.90000000000001</v>
      </c>
      <c r="I37" s="6" t="inlineStr">
        <is>
          <t>Gs/kWh</t>
        </is>
      </c>
      <c r="J37" s="6" t="inlineStr">
        <is>
          <t>PYG</t>
        </is>
      </c>
      <c r="K37" s="6" t="inlineStr">
        <is>
          <t>ANDE</t>
        </is>
      </c>
      <c r="L37" s="6" t="inlineStr">
        <is>
          <t>OFFICIAL_PRIMARY</t>
        </is>
      </c>
      <c r="M37" s="9" t="inlineStr">
        <is>
          <t>OFFICIAL_AGGREGATE</t>
        </is>
      </c>
      <c r="N37" s="7" t="inlineStr">
        <is>
          <t>https://www.ande.gov.py/documentos_contables/157/compilacion_estadistica_1990-2010.pdf</t>
        </is>
      </c>
      <c r="O37" s="12" t="n">
        <v>75</v>
      </c>
      <c r="P37" s="4" t="inlineStr">
        <is>
          <t>Tarifa media anual sin impuestos segun compilacion.</t>
        </is>
      </c>
    </row>
    <row r="38">
      <c r="A38" s="6" t="inlineStr">
        <is>
          <t>P00037</t>
        </is>
      </c>
      <c r="B38" s="6" t="inlineStr">
        <is>
          <t>2000-01-01</t>
        </is>
      </c>
      <c r="C38" s="6" t="inlineStr">
        <is>
          <t>2000-12-31</t>
        </is>
      </c>
      <c r="D38" s="6" t="inlineStr">
        <is>
          <t>year</t>
        </is>
      </c>
      <c r="E38" s="6" t="inlineStr">
        <is>
          <t>ANDE_TARIFF_INDUSTRIAL</t>
        </is>
      </c>
      <c r="F38" s="6" t="inlineStr">
        <is>
          <t>PY_SIN</t>
        </is>
      </c>
      <c r="G38" s="6" t="inlineStr">
        <is>
          <t>PY</t>
        </is>
      </c>
      <c r="H38" s="8" t="n">
        <v>111.6</v>
      </c>
      <c r="I38" s="6" t="inlineStr">
        <is>
          <t>Gs/kWh</t>
        </is>
      </c>
      <c r="J38" s="6" t="inlineStr">
        <is>
          <t>PYG</t>
        </is>
      </c>
      <c r="K38" s="6" t="inlineStr">
        <is>
          <t>ANDE</t>
        </is>
      </c>
      <c r="L38" s="6" t="inlineStr">
        <is>
          <t>OFFICIAL_PRIMARY</t>
        </is>
      </c>
      <c r="M38" s="9" t="inlineStr">
        <is>
          <t>OFFICIAL_AGGREGATE</t>
        </is>
      </c>
      <c r="N38" s="7" t="inlineStr">
        <is>
          <t>https://www.ande.gov.py/documentos_contables/157/compilacion_estadistica_1990-2010.pdf</t>
        </is>
      </c>
      <c r="O38" s="12" t="n">
        <v>75</v>
      </c>
      <c r="P38" s="4" t="inlineStr">
        <is>
          <t>Tarifa media anual sin impuestos segun compilacion.</t>
        </is>
      </c>
    </row>
    <row r="39">
      <c r="A39" s="6" t="inlineStr">
        <is>
          <t>P00038</t>
        </is>
      </c>
      <c r="B39" s="6" t="inlineStr">
        <is>
          <t>2001-01-01</t>
        </is>
      </c>
      <c r="C39" s="6" t="inlineStr">
        <is>
          <t>2001-12-31</t>
        </is>
      </c>
      <c r="D39" s="6" t="inlineStr">
        <is>
          <t>year</t>
        </is>
      </c>
      <c r="E39" s="6" t="inlineStr">
        <is>
          <t>ANDE_TARIFF_INDUSTRIAL</t>
        </is>
      </c>
      <c r="F39" s="6" t="inlineStr">
        <is>
          <t>PY_SIN</t>
        </is>
      </c>
      <c r="G39" s="6" t="inlineStr">
        <is>
          <t>PY</t>
        </is>
      </c>
      <c r="H39" s="8" t="n">
        <v>147</v>
      </c>
      <c r="I39" s="6" t="inlineStr">
        <is>
          <t>Gs/kWh</t>
        </is>
      </c>
      <c r="J39" s="6" t="inlineStr">
        <is>
          <t>PYG</t>
        </is>
      </c>
      <c r="K39" s="6" t="inlineStr">
        <is>
          <t>ANDE</t>
        </is>
      </c>
      <c r="L39" s="6" t="inlineStr">
        <is>
          <t>OFFICIAL_PRIMARY</t>
        </is>
      </c>
      <c r="M39" s="9" t="inlineStr">
        <is>
          <t>OFFICIAL_AGGREGATE</t>
        </is>
      </c>
      <c r="N39" s="7" t="inlineStr">
        <is>
          <t>https://www.ande.gov.py/documentos_contables/157/compilacion_estadistica_1990-2010.pdf</t>
        </is>
      </c>
      <c r="O39" s="12" t="n">
        <v>75</v>
      </c>
      <c r="P39" s="4" t="inlineStr">
        <is>
          <t>Tarifa media anual sin impuestos segun compilacion.</t>
        </is>
      </c>
    </row>
    <row r="40">
      <c r="A40" s="6" t="inlineStr">
        <is>
          <t>P00039</t>
        </is>
      </c>
      <c r="B40" s="6" t="inlineStr">
        <is>
          <t>2002-01-01</t>
        </is>
      </c>
      <c r="C40" s="6" t="inlineStr">
        <is>
          <t>2002-12-31</t>
        </is>
      </c>
      <c r="D40" s="6" t="inlineStr">
        <is>
          <t>year</t>
        </is>
      </c>
      <c r="E40" s="6" t="inlineStr">
        <is>
          <t>ANDE_TARIFF_INDUSTRIAL</t>
        </is>
      </c>
      <c r="F40" s="6" t="inlineStr">
        <is>
          <t>PY_SIN</t>
        </is>
      </c>
      <c r="G40" s="6" t="inlineStr">
        <is>
          <t>PY</t>
        </is>
      </c>
      <c r="H40" s="8" t="n">
        <v>199.6</v>
      </c>
      <c r="I40" s="6" t="inlineStr">
        <is>
          <t>Gs/kWh</t>
        </is>
      </c>
      <c r="J40" s="6" t="inlineStr">
        <is>
          <t>PYG</t>
        </is>
      </c>
      <c r="K40" s="6" t="inlineStr">
        <is>
          <t>ANDE</t>
        </is>
      </c>
      <c r="L40" s="6" t="inlineStr">
        <is>
          <t>OFFICIAL_PRIMARY</t>
        </is>
      </c>
      <c r="M40" s="9" t="inlineStr">
        <is>
          <t>OFFICIAL_AGGREGATE</t>
        </is>
      </c>
      <c r="N40" s="7" t="inlineStr">
        <is>
          <t>https://www.ande.gov.py/documentos_contables/157/compilacion_estadistica_1990-2010.pdf</t>
        </is>
      </c>
      <c r="O40" s="12" t="n">
        <v>75</v>
      </c>
      <c r="P40" s="4" t="inlineStr">
        <is>
          <t>Tarifa media anual sin impuestos segun compilacion.</t>
        </is>
      </c>
    </row>
    <row r="41">
      <c r="A41" s="6" t="inlineStr">
        <is>
          <t>P00040</t>
        </is>
      </c>
      <c r="B41" s="6" t="inlineStr">
        <is>
          <t>1990-01-01</t>
        </is>
      </c>
      <c r="C41" s="6" t="inlineStr">
        <is>
          <t>1990-12-31</t>
        </is>
      </c>
      <c r="D41" s="6" t="inlineStr">
        <is>
          <t>year</t>
        </is>
      </c>
      <c r="E41" s="6" t="inlineStr">
        <is>
          <t>ANDE_TARIFF_GENERAL</t>
        </is>
      </c>
      <c r="F41" s="6" t="inlineStr">
        <is>
          <t>PY_SIN</t>
        </is>
      </c>
      <c r="G41" s="6" t="inlineStr">
        <is>
          <t>PY</t>
        </is>
      </c>
      <c r="H41" s="8" t="n">
        <v>48.9</v>
      </c>
      <c r="I41" s="6" t="inlineStr">
        <is>
          <t>Gs/kWh</t>
        </is>
      </c>
      <c r="J41" s="6" t="inlineStr">
        <is>
          <t>PYG</t>
        </is>
      </c>
      <c r="K41" s="6" t="inlineStr">
        <is>
          <t>ANDE</t>
        </is>
      </c>
      <c r="L41" s="6" t="inlineStr">
        <is>
          <t>OFFICIAL_PRIMARY</t>
        </is>
      </c>
      <c r="M41" s="9" t="inlineStr">
        <is>
          <t>OFFICIAL_AGGREGATE</t>
        </is>
      </c>
      <c r="N41" s="7" t="inlineStr">
        <is>
          <t>https://www.ande.gov.py/documentos_contables/157/compilacion_estadistica_1990-2010.pdf</t>
        </is>
      </c>
      <c r="O41" s="12" t="n">
        <v>75</v>
      </c>
      <c r="P41" s="4" t="inlineStr">
        <is>
          <t>Tarifa media anual sin impuestos segun compilacion.</t>
        </is>
      </c>
    </row>
    <row r="42">
      <c r="A42" s="6" t="inlineStr">
        <is>
          <t>P00041</t>
        </is>
      </c>
      <c r="B42" s="6" t="inlineStr">
        <is>
          <t>1991-01-01</t>
        </is>
      </c>
      <c r="C42" s="6" t="inlineStr">
        <is>
          <t>1991-12-31</t>
        </is>
      </c>
      <c r="D42" s="6" t="inlineStr">
        <is>
          <t>year</t>
        </is>
      </c>
      <c r="E42" s="6" t="inlineStr">
        <is>
          <t>ANDE_TARIFF_GENERAL</t>
        </is>
      </c>
      <c r="F42" s="6" t="inlineStr">
        <is>
          <t>PY_SIN</t>
        </is>
      </c>
      <c r="G42" s="6" t="inlineStr">
        <is>
          <t>PY</t>
        </is>
      </c>
      <c r="H42" s="8" t="n">
        <v>56.1</v>
      </c>
      <c r="I42" s="6" t="inlineStr">
        <is>
          <t>Gs/kWh</t>
        </is>
      </c>
      <c r="J42" s="6" t="inlineStr">
        <is>
          <t>PYG</t>
        </is>
      </c>
      <c r="K42" s="6" t="inlineStr">
        <is>
          <t>ANDE</t>
        </is>
      </c>
      <c r="L42" s="6" t="inlineStr">
        <is>
          <t>OFFICIAL_PRIMARY</t>
        </is>
      </c>
      <c r="M42" s="9" t="inlineStr">
        <is>
          <t>OFFICIAL_AGGREGATE</t>
        </is>
      </c>
      <c r="N42" s="7" t="inlineStr">
        <is>
          <t>https://www.ande.gov.py/documentos_contables/157/compilacion_estadistica_1990-2010.pdf</t>
        </is>
      </c>
      <c r="O42" s="12" t="n">
        <v>75</v>
      </c>
      <c r="P42" s="4" t="inlineStr">
        <is>
          <t>Tarifa media anual sin impuestos segun compilacion.</t>
        </is>
      </c>
    </row>
    <row r="43">
      <c r="A43" s="6" t="inlineStr">
        <is>
          <t>P00042</t>
        </is>
      </c>
      <c r="B43" s="6" t="inlineStr">
        <is>
          <t>1992-01-01</t>
        </is>
      </c>
      <c r="C43" s="6" t="inlineStr">
        <is>
          <t>1992-12-31</t>
        </is>
      </c>
      <c r="D43" s="6" t="inlineStr">
        <is>
          <t>year</t>
        </is>
      </c>
      <c r="E43" s="6" t="inlineStr">
        <is>
          <t>ANDE_TARIFF_GENERAL</t>
        </is>
      </c>
      <c r="F43" s="6" t="inlineStr">
        <is>
          <t>PY_SIN</t>
        </is>
      </c>
      <c r="G43" s="6" t="inlineStr">
        <is>
          <t>PY</t>
        </is>
      </c>
      <c r="H43" s="8" t="n">
        <v>57.3</v>
      </c>
      <c r="I43" s="6" t="inlineStr">
        <is>
          <t>Gs/kWh</t>
        </is>
      </c>
      <c r="J43" s="6" t="inlineStr">
        <is>
          <t>PYG</t>
        </is>
      </c>
      <c r="K43" s="6" t="inlineStr">
        <is>
          <t>ANDE</t>
        </is>
      </c>
      <c r="L43" s="6" t="inlineStr">
        <is>
          <t>OFFICIAL_PRIMARY</t>
        </is>
      </c>
      <c r="M43" s="9" t="inlineStr">
        <is>
          <t>OFFICIAL_AGGREGATE</t>
        </is>
      </c>
      <c r="N43" s="7" t="inlineStr">
        <is>
          <t>https://www.ande.gov.py/documentos_contables/157/compilacion_estadistica_1990-2010.pdf</t>
        </is>
      </c>
      <c r="O43" s="12" t="n">
        <v>75</v>
      </c>
      <c r="P43" s="4" t="inlineStr">
        <is>
          <t>Tarifa media anual sin impuestos segun compilacion.</t>
        </is>
      </c>
    </row>
    <row r="44">
      <c r="A44" s="6" t="inlineStr">
        <is>
          <t>P00043</t>
        </is>
      </c>
      <c r="B44" s="6" t="inlineStr">
        <is>
          <t>1993-01-01</t>
        </is>
      </c>
      <c r="C44" s="6" t="inlineStr">
        <is>
          <t>1993-12-31</t>
        </is>
      </c>
      <c r="D44" s="6" t="inlineStr">
        <is>
          <t>year</t>
        </is>
      </c>
      <c r="E44" s="6" t="inlineStr">
        <is>
          <t>ANDE_TARIFF_GENERAL</t>
        </is>
      </c>
      <c r="F44" s="6" t="inlineStr">
        <is>
          <t>PY_SIN</t>
        </is>
      </c>
      <c r="G44" s="6" t="inlineStr">
        <is>
          <t>PY</t>
        </is>
      </c>
      <c r="H44" s="8" t="n">
        <v>62.4</v>
      </c>
      <c r="I44" s="6" t="inlineStr">
        <is>
          <t>Gs/kWh</t>
        </is>
      </c>
      <c r="J44" s="6" t="inlineStr">
        <is>
          <t>PYG</t>
        </is>
      </c>
      <c r="K44" s="6" t="inlineStr">
        <is>
          <t>ANDE</t>
        </is>
      </c>
      <c r="L44" s="6" t="inlineStr">
        <is>
          <t>OFFICIAL_PRIMARY</t>
        </is>
      </c>
      <c r="M44" s="9" t="inlineStr">
        <is>
          <t>OFFICIAL_AGGREGATE</t>
        </is>
      </c>
      <c r="N44" s="7" t="inlineStr">
        <is>
          <t>https://www.ande.gov.py/documentos_contables/157/compilacion_estadistica_1990-2010.pdf</t>
        </is>
      </c>
      <c r="O44" s="12" t="n">
        <v>75</v>
      </c>
      <c r="P44" s="4" t="inlineStr">
        <is>
          <t>Tarifa media anual sin impuestos segun compilacion.</t>
        </is>
      </c>
    </row>
    <row r="45">
      <c r="A45" s="6" t="inlineStr">
        <is>
          <t>P00044</t>
        </is>
      </c>
      <c r="B45" s="6" t="inlineStr">
        <is>
          <t>1994-01-01</t>
        </is>
      </c>
      <c r="C45" s="6" t="inlineStr">
        <is>
          <t>1994-12-31</t>
        </is>
      </c>
      <c r="D45" s="6" t="inlineStr">
        <is>
          <t>year</t>
        </is>
      </c>
      <c r="E45" s="6" t="inlineStr">
        <is>
          <t>ANDE_TARIFF_GENERAL</t>
        </is>
      </c>
      <c r="F45" s="6" t="inlineStr">
        <is>
          <t>PY_SIN</t>
        </is>
      </c>
      <c r="G45" s="6" t="inlineStr">
        <is>
          <t>PY</t>
        </is>
      </c>
      <c r="H45" s="8" t="n">
        <v>75.40000000000001</v>
      </c>
      <c r="I45" s="6" t="inlineStr">
        <is>
          <t>Gs/kWh</t>
        </is>
      </c>
      <c r="J45" s="6" t="inlineStr">
        <is>
          <t>PYG</t>
        </is>
      </c>
      <c r="K45" s="6" t="inlineStr">
        <is>
          <t>ANDE</t>
        </is>
      </c>
      <c r="L45" s="6" t="inlineStr">
        <is>
          <t>OFFICIAL_PRIMARY</t>
        </is>
      </c>
      <c r="M45" s="9" t="inlineStr">
        <is>
          <t>OFFICIAL_AGGREGATE</t>
        </is>
      </c>
      <c r="N45" s="7" t="inlineStr">
        <is>
          <t>https://www.ande.gov.py/documentos_contables/157/compilacion_estadistica_1990-2010.pdf</t>
        </is>
      </c>
      <c r="O45" s="12" t="n">
        <v>75</v>
      </c>
      <c r="P45" s="4" t="inlineStr">
        <is>
          <t>Tarifa media anual sin impuestos segun compilacion.</t>
        </is>
      </c>
    </row>
    <row r="46">
      <c r="A46" s="6" t="inlineStr">
        <is>
          <t>P00045</t>
        </is>
      </c>
      <c r="B46" s="6" t="inlineStr">
        <is>
          <t>1995-01-01</t>
        </is>
      </c>
      <c r="C46" s="6" t="inlineStr">
        <is>
          <t>1995-12-31</t>
        </is>
      </c>
      <c r="D46" s="6" t="inlineStr">
        <is>
          <t>year</t>
        </is>
      </c>
      <c r="E46" s="6" t="inlineStr">
        <is>
          <t>ANDE_TARIFF_GENERAL</t>
        </is>
      </c>
      <c r="F46" s="6" t="inlineStr">
        <is>
          <t>PY_SIN</t>
        </is>
      </c>
      <c r="G46" s="6" t="inlineStr">
        <is>
          <t>PY</t>
        </is>
      </c>
      <c r="H46" s="8" t="n">
        <v>82.3</v>
      </c>
      <c r="I46" s="6" t="inlineStr">
        <is>
          <t>Gs/kWh</t>
        </is>
      </c>
      <c r="J46" s="6" t="inlineStr">
        <is>
          <t>PYG</t>
        </is>
      </c>
      <c r="K46" s="6" t="inlineStr">
        <is>
          <t>ANDE</t>
        </is>
      </c>
      <c r="L46" s="6" t="inlineStr">
        <is>
          <t>OFFICIAL_PRIMARY</t>
        </is>
      </c>
      <c r="M46" s="9" t="inlineStr">
        <is>
          <t>OFFICIAL_AGGREGATE</t>
        </is>
      </c>
      <c r="N46" s="7" t="inlineStr">
        <is>
          <t>https://www.ande.gov.py/documentos_contables/157/compilacion_estadistica_1990-2010.pdf</t>
        </is>
      </c>
      <c r="O46" s="12" t="n">
        <v>75</v>
      </c>
      <c r="P46" s="4" t="inlineStr">
        <is>
          <t>Tarifa media anual sin impuestos segun compilacion.</t>
        </is>
      </c>
    </row>
    <row r="47">
      <c r="A47" s="6" t="inlineStr">
        <is>
          <t>P00046</t>
        </is>
      </c>
      <c r="B47" s="6" t="inlineStr">
        <is>
          <t>1996-01-01</t>
        </is>
      </c>
      <c r="C47" s="6" t="inlineStr">
        <is>
          <t>1996-12-31</t>
        </is>
      </c>
      <c r="D47" s="6" t="inlineStr">
        <is>
          <t>year</t>
        </is>
      </c>
      <c r="E47" s="6" t="inlineStr">
        <is>
          <t>ANDE_TARIFF_GENERAL</t>
        </is>
      </c>
      <c r="F47" s="6" t="inlineStr">
        <is>
          <t>PY_SIN</t>
        </is>
      </c>
      <c r="G47" s="6" t="inlineStr">
        <is>
          <t>PY</t>
        </is>
      </c>
      <c r="H47" s="8" t="n">
        <v>90.09999999999999</v>
      </c>
      <c r="I47" s="6" t="inlineStr">
        <is>
          <t>Gs/kWh</t>
        </is>
      </c>
      <c r="J47" s="6" t="inlineStr">
        <is>
          <t>PYG</t>
        </is>
      </c>
      <c r="K47" s="6" t="inlineStr">
        <is>
          <t>ANDE</t>
        </is>
      </c>
      <c r="L47" s="6" t="inlineStr">
        <is>
          <t>OFFICIAL_PRIMARY</t>
        </is>
      </c>
      <c r="M47" s="9" t="inlineStr">
        <is>
          <t>OFFICIAL_AGGREGATE</t>
        </is>
      </c>
      <c r="N47" s="7" t="inlineStr">
        <is>
          <t>https://www.ande.gov.py/documentos_contables/157/compilacion_estadistica_1990-2010.pdf</t>
        </is>
      </c>
      <c r="O47" s="12" t="n">
        <v>75</v>
      </c>
      <c r="P47" s="4" t="inlineStr">
        <is>
          <t>Tarifa media anual sin impuestos segun compilacion.</t>
        </is>
      </c>
    </row>
    <row r="48">
      <c r="A48" s="6" t="inlineStr">
        <is>
          <t>P00047</t>
        </is>
      </c>
      <c r="B48" s="6" t="inlineStr">
        <is>
          <t>1997-01-01</t>
        </is>
      </c>
      <c r="C48" s="6" t="inlineStr">
        <is>
          <t>1997-12-31</t>
        </is>
      </c>
      <c r="D48" s="6" t="inlineStr">
        <is>
          <t>year</t>
        </is>
      </c>
      <c r="E48" s="6" t="inlineStr">
        <is>
          <t>ANDE_TARIFF_GENERAL</t>
        </is>
      </c>
      <c r="F48" s="6" t="inlineStr">
        <is>
          <t>PY_SIN</t>
        </is>
      </c>
      <c r="G48" s="6" t="inlineStr">
        <is>
          <t>PY</t>
        </is>
      </c>
      <c r="H48" s="8" t="n">
        <v>103.9</v>
      </c>
      <c r="I48" s="6" t="inlineStr">
        <is>
          <t>Gs/kWh</t>
        </is>
      </c>
      <c r="J48" s="6" t="inlineStr">
        <is>
          <t>PYG</t>
        </is>
      </c>
      <c r="K48" s="6" t="inlineStr">
        <is>
          <t>ANDE</t>
        </is>
      </c>
      <c r="L48" s="6" t="inlineStr">
        <is>
          <t>OFFICIAL_PRIMARY</t>
        </is>
      </c>
      <c r="M48" s="9" t="inlineStr">
        <is>
          <t>OFFICIAL_AGGREGATE</t>
        </is>
      </c>
      <c r="N48" s="7" t="inlineStr">
        <is>
          <t>https://www.ande.gov.py/documentos_contables/157/compilacion_estadistica_1990-2010.pdf</t>
        </is>
      </c>
      <c r="O48" s="12" t="n">
        <v>75</v>
      </c>
      <c r="P48" s="4" t="inlineStr">
        <is>
          <t>Tarifa media anual sin impuestos segun compilacion.</t>
        </is>
      </c>
    </row>
    <row r="49">
      <c r="A49" s="6" t="inlineStr">
        <is>
          <t>P00048</t>
        </is>
      </c>
      <c r="B49" s="6" t="inlineStr">
        <is>
          <t>1998-01-01</t>
        </is>
      </c>
      <c r="C49" s="6" t="inlineStr">
        <is>
          <t>1998-12-31</t>
        </is>
      </c>
      <c r="D49" s="6" t="inlineStr">
        <is>
          <t>year</t>
        </is>
      </c>
      <c r="E49" s="6" t="inlineStr">
        <is>
          <t>ANDE_TARIFF_GENERAL</t>
        </is>
      </c>
      <c r="F49" s="6" t="inlineStr">
        <is>
          <t>PY_SIN</t>
        </is>
      </c>
      <c r="G49" s="6" t="inlineStr">
        <is>
          <t>PY</t>
        </is>
      </c>
      <c r="H49" s="8" t="n">
        <v>149.1</v>
      </c>
      <c r="I49" s="6" t="inlineStr">
        <is>
          <t>Gs/kWh</t>
        </is>
      </c>
      <c r="J49" s="6" t="inlineStr">
        <is>
          <t>PYG</t>
        </is>
      </c>
      <c r="K49" s="6" t="inlineStr">
        <is>
          <t>ANDE</t>
        </is>
      </c>
      <c r="L49" s="6" t="inlineStr">
        <is>
          <t>OFFICIAL_PRIMARY</t>
        </is>
      </c>
      <c r="M49" s="9" t="inlineStr">
        <is>
          <t>OFFICIAL_AGGREGATE</t>
        </is>
      </c>
      <c r="N49" s="7" t="inlineStr">
        <is>
          <t>https://www.ande.gov.py/documentos_contables/157/compilacion_estadistica_1990-2010.pdf</t>
        </is>
      </c>
      <c r="O49" s="12" t="n">
        <v>75</v>
      </c>
      <c r="P49" s="4" t="inlineStr">
        <is>
          <t>Tarifa media anual sin impuestos segun compilacion.</t>
        </is>
      </c>
    </row>
    <row r="50">
      <c r="A50" s="6" t="inlineStr">
        <is>
          <t>P00049</t>
        </is>
      </c>
      <c r="B50" s="6" t="inlineStr">
        <is>
          <t>1999-01-01</t>
        </is>
      </c>
      <c r="C50" s="6" t="inlineStr">
        <is>
          <t>1999-12-31</t>
        </is>
      </c>
      <c r="D50" s="6" t="inlineStr">
        <is>
          <t>year</t>
        </is>
      </c>
      <c r="E50" s="6" t="inlineStr">
        <is>
          <t>ANDE_TARIFF_GENERAL</t>
        </is>
      </c>
      <c r="F50" s="6" t="inlineStr">
        <is>
          <t>PY_SIN</t>
        </is>
      </c>
      <c r="G50" s="6" t="inlineStr">
        <is>
          <t>PY</t>
        </is>
      </c>
      <c r="H50" s="8" t="n">
        <v>154.9</v>
      </c>
      <c r="I50" s="6" t="inlineStr">
        <is>
          <t>Gs/kWh</t>
        </is>
      </c>
      <c r="J50" s="6" t="inlineStr">
        <is>
          <t>PYG</t>
        </is>
      </c>
      <c r="K50" s="6" t="inlineStr">
        <is>
          <t>ANDE</t>
        </is>
      </c>
      <c r="L50" s="6" t="inlineStr">
        <is>
          <t>OFFICIAL_PRIMARY</t>
        </is>
      </c>
      <c r="M50" s="9" t="inlineStr">
        <is>
          <t>OFFICIAL_AGGREGATE</t>
        </is>
      </c>
      <c r="N50" s="7" t="inlineStr">
        <is>
          <t>https://www.ande.gov.py/documentos_contables/157/compilacion_estadistica_1990-2010.pdf</t>
        </is>
      </c>
      <c r="O50" s="12" t="n">
        <v>75</v>
      </c>
      <c r="P50" s="4" t="inlineStr">
        <is>
          <t>Tarifa media anual sin impuestos segun compilacion.</t>
        </is>
      </c>
    </row>
    <row r="51">
      <c r="A51" s="6" t="inlineStr">
        <is>
          <t>P00050</t>
        </is>
      </c>
      <c r="B51" s="6" t="inlineStr">
        <is>
          <t>2000-01-01</t>
        </is>
      </c>
      <c r="C51" s="6" t="inlineStr">
        <is>
          <t>2000-12-31</t>
        </is>
      </c>
      <c r="D51" s="6" t="inlineStr">
        <is>
          <t>year</t>
        </is>
      </c>
      <c r="E51" s="6" t="inlineStr">
        <is>
          <t>ANDE_TARIFF_GENERAL</t>
        </is>
      </c>
      <c r="F51" s="6" t="inlineStr">
        <is>
          <t>PY_SIN</t>
        </is>
      </c>
      <c r="G51" s="6" t="inlineStr">
        <is>
          <t>PY</t>
        </is>
      </c>
      <c r="H51" s="8" t="n">
        <v>155.1</v>
      </c>
      <c r="I51" s="6" t="inlineStr">
        <is>
          <t>Gs/kWh</t>
        </is>
      </c>
      <c r="J51" s="6" t="inlineStr">
        <is>
          <t>PYG</t>
        </is>
      </c>
      <c r="K51" s="6" t="inlineStr">
        <is>
          <t>ANDE</t>
        </is>
      </c>
      <c r="L51" s="6" t="inlineStr">
        <is>
          <t>OFFICIAL_PRIMARY</t>
        </is>
      </c>
      <c r="M51" s="9" t="inlineStr">
        <is>
          <t>OFFICIAL_AGGREGATE</t>
        </is>
      </c>
      <c r="N51" s="7" t="inlineStr">
        <is>
          <t>https://www.ande.gov.py/documentos_contables/157/compilacion_estadistica_1990-2010.pdf</t>
        </is>
      </c>
      <c r="O51" s="12" t="n">
        <v>75</v>
      </c>
      <c r="P51" s="4" t="inlineStr">
        <is>
          <t>Tarifa media anual sin impuestos segun compilacion.</t>
        </is>
      </c>
    </row>
    <row r="52">
      <c r="A52" s="6" t="inlineStr">
        <is>
          <t>P00051</t>
        </is>
      </c>
      <c r="B52" s="6" t="inlineStr">
        <is>
          <t>2001-01-01</t>
        </is>
      </c>
      <c r="C52" s="6" t="inlineStr">
        <is>
          <t>2001-12-31</t>
        </is>
      </c>
      <c r="D52" s="6" t="inlineStr">
        <is>
          <t>year</t>
        </is>
      </c>
      <c r="E52" s="6" t="inlineStr">
        <is>
          <t>ANDE_TARIFF_GENERAL</t>
        </is>
      </c>
      <c r="F52" s="6" t="inlineStr">
        <is>
          <t>PY_SIN</t>
        </is>
      </c>
      <c r="G52" s="6" t="inlineStr">
        <is>
          <t>PY</t>
        </is>
      </c>
      <c r="H52" s="8" t="n">
        <v>184</v>
      </c>
      <c r="I52" s="6" t="inlineStr">
        <is>
          <t>Gs/kWh</t>
        </is>
      </c>
      <c r="J52" s="6" t="inlineStr">
        <is>
          <t>PYG</t>
        </is>
      </c>
      <c r="K52" s="6" t="inlineStr">
        <is>
          <t>ANDE</t>
        </is>
      </c>
      <c r="L52" s="6" t="inlineStr">
        <is>
          <t>OFFICIAL_PRIMARY</t>
        </is>
      </c>
      <c r="M52" s="9" t="inlineStr">
        <is>
          <t>OFFICIAL_AGGREGATE</t>
        </is>
      </c>
      <c r="N52" s="7" t="inlineStr">
        <is>
          <t>https://www.ande.gov.py/documentos_contables/157/compilacion_estadistica_1990-2010.pdf</t>
        </is>
      </c>
      <c r="O52" s="12" t="n">
        <v>75</v>
      </c>
      <c r="P52" s="4" t="inlineStr">
        <is>
          <t>Tarifa media anual sin impuestos segun compilacion.</t>
        </is>
      </c>
    </row>
    <row r="53">
      <c r="A53" s="6" t="inlineStr">
        <is>
          <t>P00052</t>
        </is>
      </c>
      <c r="B53" s="6" t="inlineStr">
        <is>
          <t>2002-01-01</t>
        </is>
      </c>
      <c r="C53" s="6" t="inlineStr">
        <is>
          <t>2002-12-31</t>
        </is>
      </c>
      <c r="D53" s="6" t="inlineStr">
        <is>
          <t>year</t>
        </is>
      </c>
      <c r="E53" s="6" t="inlineStr">
        <is>
          <t>ANDE_TARIFF_GENERAL</t>
        </is>
      </c>
      <c r="F53" s="6" t="inlineStr">
        <is>
          <t>PY_SIN</t>
        </is>
      </c>
      <c r="G53" s="6" t="inlineStr">
        <is>
          <t>PY</t>
        </is>
      </c>
      <c r="H53" s="8" t="n">
        <v>234.4</v>
      </c>
      <c r="I53" s="6" t="inlineStr">
        <is>
          <t>Gs/kWh</t>
        </is>
      </c>
      <c r="J53" s="6" t="inlineStr">
        <is>
          <t>PYG</t>
        </is>
      </c>
      <c r="K53" s="6" t="inlineStr">
        <is>
          <t>ANDE</t>
        </is>
      </c>
      <c r="L53" s="6" t="inlineStr">
        <is>
          <t>OFFICIAL_PRIMARY</t>
        </is>
      </c>
      <c r="M53" s="9" t="inlineStr">
        <is>
          <t>OFFICIAL_AGGREGATE</t>
        </is>
      </c>
      <c r="N53" s="7" t="inlineStr">
        <is>
          <t>https://www.ande.gov.py/documentos_contables/157/compilacion_estadistica_1990-2010.pdf</t>
        </is>
      </c>
      <c r="O53" s="12" t="n">
        <v>75</v>
      </c>
      <c r="P53" s="4" t="inlineStr">
        <is>
          <t>Tarifa media anual sin impuestos segun compilacion.</t>
        </is>
      </c>
    </row>
    <row r="54">
      <c r="A54" s="6" t="inlineStr">
        <is>
          <t>P00053</t>
        </is>
      </c>
      <c r="B54" s="6" t="inlineStr">
        <is>
          <t>1990-01-01</t>
        </is>
      </c>
      <c r="C54" s="6" t="inlineStr">
        <is>
          <t>1990-12-31</t>
        </is>
      </c>
      <c r="D54" s="6" t="inlineStr">
        <is>
          <t>year</t>
        </is>
      </c>
      <c r="E54" s="6" t="inlineStr">
        <is>
          <t>ANDE_TARIFF_GOV</t>
        </is>
      </c>
      <c r="F54" s="6" t="inlineStr">
        <is>
          <t>PY_SIN</t>
        </is>
      </c>
      <c r="G54" s="6" t="inlineStr">
        <is>
          <t>PY</t>
        </is>
      </c>
      <c r="H54" s="8" t="n">
        <v>28.1</v>
      </c>
      <c r="I54" s="6" t="inlineStr">
        <is>
          <t>Gs/kWh</t>
        </is>
      </c>
      <c r="J54" s="6" t="inlineStr">
        <is>
          <t>PYG</t>
        </is>
      </c>
      <c r="K54" s="6" t="inlineStr">
        <is>
          <t>ANDE</t>
        </is>
      </c>
      <c r="L54" s="6" t="inlineStr">
        <is>
          <t>OFFICIAL_PRIMARY</t>
        </is>
      </c>
      <c r="M54" s="9" t="inlineStr">
        <is>
          <t>OFFICIAL_AGGREGATE</t>
        </is>
      </c>
      <c r="N54" s="7" t="inlineStr">
        <is>
          <t>https://www.ande.gov.py/documentos_contables/157/compilacion_estadistica_1990-2010.pdf</t>
        </is>
      </c>
      <c r="O54" s="12" t="n">
        <v>75</v>
      </c>
      <c r="P54" s="4" t="inlineStr">
        <is>
          <t>Tarifa media anual sin impuestos segun compilacion.</t>
        </is>
      </c>
    </row>
    <row r="55">
      <c r="A55" s="6" t="inlineStr">
        <is>
          <t>P00054</t>
        </is>
      </c>
      <c r="B55" s="6" t="inlineStr">
        <is>
          <t>1991-01-01</t>
        </is>
      </c>
      <c r="C55" s="6" t="inlineStr">
        <is>
          <t>1991-12-31</t>
        </is>
      </c>
      <c r="D55" s="6" t="inlineStr">
        <is>
          <t>year</t>
        </is>
      </c>
      <c r="E55" s="6" t="inlineStr">
        <is>
          <t>ANDE_TARIFF_GOV</t>
        </is>
      </c>
      <c r="F55" s="6" t="inlineStr">
        <is>
          <t>PY_SIN</t>
        </is>
      </c>
      <c r="G55" s="6" t="inlineStr">
        <is>
          <t>PY</t>
        </is>
      </c>
      <c r="H55" s="8" t="n">
        <v>28.9</v>
      </c>
      <c r="I55" s="6" t="inlineStr">
        <is>
          <t>Gs/kWh</t>
        </is>
      </c>
      <c r="J55" s="6" t="inlineStr">
        <is>
          <t>PYG</t>
        </is>
      </c>
      <c r="K55" s="6" t="inlineStr">
        <is>
          <t>ANDE</t>
        </is>
      </c>
      <c r="L55" s="6" t="inlineStr">
        <is>
          <t>OFFICIAL_PRIMARY</t>
        </is>
      </c>
      <c r="M55" s="9" t="inlineStr">
        <is>
          <t>OFFICIAL_AGGREGATE</t>
        </is>
      </c>
      <c r="N55" s="7" t="inlineStr">
        <is>
          <t>https://www.ande.gov.py/documentos_contables/157/compilacion_estadistica_1990-2010.pdf</t>
        </is>
      </c>
      <c r="O55" s="12" t="n">
        <v>75</v>
      </c>
      <c r="P55" s="4" t="inlineStr">
        <is>
          <t>Tarifa media anual sin impuestos segun compilacion.</t>
        </is>
      </c>
    </row>
    <row r="56">
      <c r="A56" s="6" t="inlineStr">
        <is>
          <t>P00055</t>
        </is>
      </c>
      <c r="B56" s="6" t="inlineStr">
        <is>
          <t>1992-01-01</t>
        </is>
      </c>
      <c r="C56" s="6" t="inlineStr">
        <is>
          <t>1992-12-31</t>
        </is>
      </c>
      <c r="D56" s="6" t="inlineStr">
        <is>
          <t>year</t>
        </is>
      </c>
      <c r="E56" s="6" t="inlineStr">
        <is>
          <t>ANDE_TARIFF_GOV</t>
        </is>
      </c>
      <c r="F56" s="6" t="inlineStr">
        <is>
          <t>PY_SIN</t>
        </is>
      </c>
      <c r="G56" s="6" t="inlineStr">
        <is>
          <t>PY</t>
        </is>
      </c>
      <c r="H56" s="8" t="n">
        <v>25.9</v>
      </c>
      <c r="I56" s="6" t="inlineStr">
        <is>
          <t>Gs/kWh</t>
        </is>
      </c>
      <c r="J56" s="6" t="inlineStr">
        <is>
          <t>PYG</t>
        </is>
      </c>
      <c r="K56" s="6" t="inlineStr">
        <is>
          <t>ANDE</t>
        </is>
      </c>
      <c r="L56" s="6" t="inlineStr">
        <is>
          <t>OFFICIAL_PRIMARY</t>
        </is>
      </c>
      <c r="M56" s="9" t="inlineStr">
        <is>
          <t>OFFICIAL_AGGREGATE</t>
        </is>
      </c>
      <c r="N56" s="7" t="inlineStr">
        <is>
          <t>https://www.ande.gov.py/documentos_contables/157/compilacion_estadistica_1990-2010.pdf</t>
        </is>
      </c>
      <c r="O56" s="12" t="n">
        <v>75</v>
      </c>
      <c r="P56" s="4" t="inlineStr">
        <is>
          <t>Tarifa media anual sin impuestos segun compilacion.</t>
        </is>
      </c>
    </row>
    <row r="57">
      <c r="A57" s="6" t="inlineStr">
        <is>
          <t>P00056</t>
        </is>
      </c>
      <c r="B57" s="6" t="inlineStr">
        <is>
          <t>1993-01-01</t>
        </is>
      </c>
      <c r="C57" s="6" t="inlineStr">
        <is>
          <t>1993-12-31</t>
        </is>
      </c>
      <c r="D57" s="6" t="inlineStr">
        <is>
          <t>year</t>
        </is>
      </c>
      <c r="E57" s="6" t="inlineStr">
        <is>
          <t>ANDE_TARIFF_GOV</t>
        </is>
      </c>
      <c r="F57" s="6" t="inlineStr">
        <is>
          <t>PY_SIN</t>
        </is>
      </c>
      <c r="G57" s="6" t="inlineStr">
        <is>
          <t>PY</t>
        </is>
      </c>
      <c r="H57" s="8" t="n">
        <v>32.1</v>
      </c>
      <c r="I57" s="6" t="inlineStr">
        <is>
          <t>Gs/kWh</t>
        </is>
      </c>
      <c r="J57" s="6" t="inlineStr">
        <is>
          <t>PYG</t>
        </is>
      </c>
      <c r="K57" s="6" t="inlineStr">
        <is>
          <t>ANDE</t>
        </is>
      </c>
      <c r="L57" s="6" t="inlineStr">
        <is>
          <t>OFFICIAL_PRIMARY</t>
        </is>
      </c>
      <c r="M57" s="9" t="inlineStr">
        <is>
          <t>OFFICIAL_AGGREGATE</t>
        </is>
      </c>
      <c r="N57" s="7" t="inlineStr">
        <is>
          <t>https://www.ande.gov.py/documentos_contables/157/compilacion_estadistica_1990-2010.pdf</t>
        </is>
      </c>
      <c r="O57" s="12" t="n">
        <v>75</v>
      </c>
      <c r="P57" s="4" t="inlineStr">
        <is>
          <t>Tarifa media anual sin impuestos segun compilacion.</t>
        </is>
      </c>
    </row>
    <row r="58">
      <c r="A58" s="6" t="inlineStr">
        <is>
          <t>P00057</t>
        </is>
      </c>
      <c r="B58" s="6" t="inlineStr">
        <is>
          <t>1994-01-01</t>
        </is>
      </c>
      <c r="C58" s="6" t="inlineStr">
        <is>
          <t>1994-12-31</t>
        </is>
      </c>
      <c r="D58" s="6" t="inlineStr">
        <is>
          <t>year</t>
        </is>
      </c>
      <c r="E58" s="6" t="inlineStr">
        <is>
          <t>ANDE_TARIFF_GOV</t>
        </is>
      </c>
      <c r="F58" s="6" t="inlineStr">
        <is>
          <t>PY_SIN</t>
        </is>
      </c>
      <c r="G58" s="6" t="inlineStr">
        <is>
          <t>PY</t>
        </is>
      </c>
      <c r="H58" s="8" t="n">
        <v>52</v>
      </c>
      <c r="I58" s="6" t="inlineStr">
        <is>
          <t>Gs/kWh</t>
        </is>
      </c>
      <c r="J58" s="6" t="inlineStr">
        <is>
          <t>PYG</t>
        </is>
      </c>
      <c r="K58" s="6" t="inlineStr">
        <is>
          <t>ANDE</t>
        </is>
      </c>
      <c r="L58" s="6" t="inlineStr">
        <is>
          <t>OFFICIAL_PRIMARY</t>
        </is>
      </c>
      <c r="M58" s="9" t="inlineStr">
        <is>
          <t>OFFICIAL_AGGREGATE</t>
        </is>
      </c>
      <c r="N58" s="7" t="inlineStr">
        <is>
          <t>https://www.ande.gov.py/documentos_contables/157/compilacion_estadistica_1990-2010.pdf</t>
        </is>
      </c>
      <c r="O58" s="12" t="n">
        <v>75</v>
      </c>
      <c r="P58" s="4" t="inlineStr">
        <is>
          <t>Tarifa media anual sin impuestos segun compilacion.</t>
        </is>
      </c>
    </row>
    <row r="59">
      <c r="A59" s="6" t="inlineStr">
        <is>
          <t>P00058</t>
        </is>
      </c>
      <c r="B59" s="6" t="inlineStr">
        <is>
          <t>1995-01-01</t>
        </is>
      </c>
      <c r="C59" s="6" t="inlineStr">
        <is>
          <t>1995-12-31</t>
        </is>
      </c>
      <c r="D59" s="6" t="inlineStr">
        <is>
          <t>year</t>
        </is>
      </c>
      <c r="E59" s="6" t="inlineStr">
        <is>
          <t>ANDE_TARIFF_GOV</t>
        </is>
      </c>
      <c r="F59" s="6" t="inlineStr">
        <is>
          <t>PY_SIN</t>
        </is>
      </c>
      <c r="G59" s="6" t="inlineStr">
        <is>
          <t>PY</t>
        </is>
      </c>
      <c r="H59" s="8" t="n">
        <v>62.6</v>
      </c>
      <c r="I59" s="6" t="inlineStr">
        <is>
          <t>Gs/kWh</t>
        </is>
      </c>
      <c r="J59" s="6" t="inlineStr">
        <is>
          <t>PYG</t>
        </is>
      </c>
      <c r="K59" s="6" t="inlineStr">
        <is>
          <t>ANDE</t>
        </is>
      </c>
      <c r="L59" s="6" t="inlineStr">
        <is>
          <t>OFFICIAL_PRIMARY</t>
        </is>
      </c>
      <c r="M59" s="9" t="inlineStr">
        <is>
          <t>OFFICIAL_AGGREGATE</t>
        </is>
      </c>
      <c r="N59" s="7" t="inlineStr">
        <is>
          <t>https://www.ande.gov.py/documentos_contables/157/compilacion_estadistica_1990-2010.pdf</t>
        </is>
      </c>
      <c r="O59" s="12" t="n">
        <v>75</v>
      </c>
      <c r="P59" s="4" t="inlineStr">
        <is>
          <t>Tarifa media anual sin impuestos segun compilacion.</t>
        </is>
      </c>
    </row>
    <row r="60">
      <c r="A60" s="6" t="inlineStr">
        <is>
          <t>P00059</t>
        </is>
      </c>
      <c r="B60" s="6" t="inlineStr">
        <is>
          <t>1996-01-01</t>
        </is>
      </c>
      <c r="C60" s="6" t="inlineStr">
        <is>
          <t>1996-12-31</t>
        </is>
      </c>
      <c r="D60" s="6" t="inlineStr">
        <is>
          <t>year</t>
        </is>
      </c>
      <c r="E60" s="6" t="inlineStr">
        <is>
          <t>ANDE_TARIFF_GOV</t>
        </is>
      </c>
      <c r="F60" s="6" t="inlineStr">
        <is>
          <t>PY_SIN</t>
        </is>
      </c>
      <c r="G60" s="6" t="inlineStr">
        <is>
          <t>PY</t>
        </is>
      </c>
      <c r="H60" s="8" t="n">
        <v>103.9</v>
      </c>
      <c r="I60" s="6" t="inlineStr">
        <is>
          <t>Gs/kWh</t>
        </is>
      </c>
      <c r="J60" s="6" t="inlineStr">
        <is>
          <t>PYG</t>
        </is>
      </c>
      <c r="K60" s="6" t="inlineStr">
        <is>
          <t>ANDE</t>
        </is>
      </c>
      <c r="L60" s="6" t="inlineStr">
        <is>
          <t>OFFICIAL_PRIMARY</t>
        </is>
      </c>
      <c r="M60" s="9" t="inlineStr">
        <is>
          <t>OFFICIAL_AGGREGATE</t>
        </is>
      </c>
      <c r="N60" s="7" t="inlineStr">
        <is>
          <t>https://www.ande.gov.py/documentos_contables/157/compilacion_estadistica_1990-2010.pdf</t>
        </is>
      </c>
      <c r="O60" s="12" t="n">
        <v>75</v>
      </c>
      <c r="P60" s="4" t="inlineStr">
        <is>
          <t>Tarifa media anual sin impuestos segun compilacion.</t>
        </is>
      </c>
    </row>
    <row r="61">
      <c r="A61" s="6" t="inlineStr">
        <is>
          <t>P00060</t>
        </is>
      </c>
      <c r="B61" s="6" t="inlineStr">
        <is>
          <t>1997-01-01</t>
        </is>
      </c>
      <c r="C61" s="6" t="inlineStr">
        <is>
          <t>1997-12-31</t>
        </is>
      </c>
      <c r="D61" s="6" t="inlineStr">
        <is>
          <t>year</t>
        </is>
      </c>
      <c r="E61" s="6" t="inlineStr">
        <is>
          <t>ANDE_TARIFF_GOV</t>
        </is>
      </c>
      <c r="F61" s="6" t="inlineStr">
        <is>
          <t>PY_SIN</t>
        </is>
      </c>
      <c r="G61" s="6" t="inlineStr">
        <is>
          <t>PY</t>
        </is>
      </c>
      <c r="H61" s="8" t="n">
        <v>95.40000000000001</v>
      </c>
      <c r="I61" s="6" t="inlineStr">
        <is>
          <t>Gs/kWh</t>
        </is>
      </c>
      <c r="J61" s="6" t="inlineStr">
        <is>
          <t>PYG</t>
        </is>
      </c>
      <c r="K61" s="6" t="inlineStr">
        <is>
          <t>ANDE</t>
        </is>
      </c>
      <c r="L61" s="6" t="inlineStr">
        <is>
          <t>OFFICIAL_PRIMARY</t>
        </is>
      </c>
      <c r="M61" s="9" t="inlineStr">
        <is>
          <t>OFFICIAL_AGGREGATE</t>
        </is>
      </c>
      <c r="N61" s="7" t="inlineStr">
        <is>
          <t>https://www.ande.gov.py/documentos_contables/157/compilacion_estadistica_1990-2010.pdf</t>
        </is>
      </c>
      <c r="O61" s="12" t="n">
        <v>75</v>
      </c>
      <c r="P61" s="4" t="inlineStr">
        <is>
          <t>Tarifa media anual sin impuestos segun compilacion.</t>
        </is>
      </c>
    </row>
    <row r="62">
      <c r="A62" s="6" t="inlineStr">
        <is>
          <t>P00061</t>
        </is>
      </c>
      <c r="B62" s="6" t="inlineStr">
        <is>
          <t>1998-01-01</t>
        </is>
      </c>
      <c r="C62" s="6" t="inlineStr">
        <is>
          <t>1998-12-31</t>
        </is>
      </c>
      <c r="D62" s="6" t="inlineStr">
        <is>
          <t>year</t>
        </is>
      </c>
      <c r="E62" s="6" t="inlineStr">
        <is>
          <t>ANDE_TARIFF_GOV</t>
        </is>
      </c>
      <c r="F62" s="6" t="inlineStr">
        <is>
          <t>PY_SIN</t>
        </is>
      </c>
      <c r="G62" s="6" t="inlineStr">
        <is>
          <t>PY</t>
        </is>
      </c>
      <c r="H62" s="8" t="n">
        <v>120.1</v>
      </c>
      <c r="I62" s="6" t="inlineStr">
        <is>
          <t>Gs/kWh</t>
        </is>
      </c>
      <c r="J62" s="6" t="inlineStr">
        <is>
          <t>PYG</t>
        </is>
      </c>
      <c r="K62" s="6" t="inlineStr">
        <is>
          <t>ANDE</t>
        </is>
      </c>
      <c r="L62" s="6" t="inlineStr">
        <is>
          <t>OFFICIAL_PRIMARY</t>
        </is>
      </c>
      <c r="M62" s="9" t="inlineStr">
        <is>
          <t>OFFICIAL_AGGREGATE</t>
        </is>
      </c>
      <c r="N62" s="7" t="inlineStr">
        <is>
          <t>https://www.ande.gov.py/documentos_contables/157/compilacion_estadistica_1990-2010.pdf</t>
        </is>
      </c>
      <c r="O62" s="12" t="n">
        <v>75</v>
      </c>
      <c r="P62" s="4" t="inlineStr">
        <is>
          <t>Tarifa media anual sin impuestos segun compilacion.</t>
        </is>
      </c>
    </row>
    <row r="63">
      <c r="A63" s="6" t="inlineStr">
        <is>
          <t>P00062</t>
        </is>
      </c>
      <c r="B63" s="6" t="inlineStr">
        <is>
          <t>1999-01-01</t>
        </is>
      </c>
      <c r="C63" s="6" t="inlineStr">
        <is>
          <t>1999-12-31</t>
        </is>
      </c>
      <c r="D63" s="6" t="inlineStr">
        <is>
          <t>year</t>
        </is>
      </c>
      <c r="E63" s="6" t="inlineStr">
        <is>
          <t>ANDE_TARIFF_GOV</t>
        </is>
      </c>
      <c r="F63" s="6" t="inlineStr">
        <is>
          <t>PY_SIN</t>
        </is>
      </c>
      <c r="G63" s="6" t="inlineStr">
        <is>
          <t>PY</t>
        </is>
      </c>
      <c r="H63" s="8" t="n">
        <v>129</v>
      </c>
      <c r="I63" s="6" t="inlineStr">
        <is>
          <t>Gs/kWh</t>
        </is>
      </c>
      <c r="J63" s="6" t="inlineStr">
        <is>
          <t>PYG</t>
        </is>
      </c>
      <c r="K63" s="6" t="inlineStr">
        <is>
          <t>ANDE</t>
        </is>
      </c>
      <c r="L63" s="6" t="inlineStr">
        <is>
          <t>OFFICIAL_PRIMARY</t>
        </is>
      </c>
      <c r="M63" s="9" t="inlineStr">
        <is>
          <t>OFFICIAL_AGGREGATE</t>
        </is>
      </c>
      <c r="N63" s="7" t="inlineStr">
        <is>
          <t>https://www.ande.gov.py/documentos_contables/157/compilacion_estadistica_1990-2010.pdf</t>
        </is>
      </c>
      <c r="O63" s="12" t="n">
        <v>75</v>
      </c>
      <c r="P63" s="4" t="inlineStr">
        <is>
          <t>Tarifa media anual sin impuestos segun compilacion.</t>
        </is>
      </c>
    </row>
    <row r="64">
      <c r="A64" s="6" t="inlineStr">
        <is>
          <t>P00063</t>
        </is>
      </c>
      <c r="B64" s="6" t="inlineStr">
        <is>
          <t>2000-01-01</t>
        </is>
      </c>
      <c r="C64" s="6" t="inlineStr">
        <is>
          <t>2000-12-31</t>
        </is>
      </c>
      <c r="D64" s="6" t="inlineStr">
        <is>
          <t>year</t>
        </is>
      </c>
      <c r="E64" s="6" t="inlineStr">
        <is>
          <t>ANDE_TARIFF_GOV</t>
        </is>
      </c>
      <c r="F64" s="6" t="inlineStr">
        <is>
          <t>PY_SIN</t>
        </is>
      </c>
      <c r="G64" s="6" t="inlineStr">
        <is>
          <t>PY</t>
        </is>
      </c>
      <c r="H64" s="8" t="n">
        <v>129.8</v>
      </c>
      <c r="I64" s="6" t="inlineStr">
        <is>
          <t>Gs/kWh</t>
        </is>
      </c>
      <c r="J64" s="6" t="inlineStr">
        <is>
          <t>PYG</t>
        </is>
      </c>
      <c r="K64" s="6" t="inlineStr">
        <is>
          <t>ANDE</t>
        </is>
      </c>
      <c r="L64" s="6" t="inlineStr">
        <is>
          <t>OFFICIAL_PRIMARY</t>
        </is>
      </c>
      <c r="M64" s="9" t="inlineStr">
        <is>
          <t>OFFICIAL_AGGREGATE</t>
        </is>
      </c>
      <c r="N64" s="7" t="inlineStr">
        <is>
          <t>https://www.ande.gov.py/documentos_contables/157/compilacion_estadistica_1990-2010.pdf</t>
        </is>
      </c>
      <c r="O64" s="12" t="n">
        <v>75</v>
      </c>
      <c r="P64" s="4" t="inlineStr">
        <is>
          <t>Tarifa media anual sin impuestos segun compilacion.</t>
        </is>
      </c>
    </row>
    <row r="65">
      <c r="A65" s="6" t="inlineStr">
        <is>
          <t>P00064</t>
        </is>
      </c>
      <c r="B65" s="6" t="inlineStr">
        <is>
          <t>2001-01-01</t>
        </is>
      </c>
      <c r="C65" s="6" t="inlineStr">
        <is>
          <t>2001-12-31</t>
        </is>
      </c>
      <c r="D65" s="6" t="inlineStr">
        <is>
          <t>year</t>
        </is>
      </c>
      <c r="E65" s="6" t="inlineStr">
        <is>
          <t>ANDE_TARIFF_GOV</t>
        </is>
      </c>
      <c r="F65" s="6" t="inlineStr">
        <is>
          <t>PY_SIN</t>
        </is>
      </c>
      <c r="G65" s="6" t="inlineStr">
        <is>
          <t>PY</t>
        </is>
      </c>
      <c r="H65" s="8" t="n">
        <v>185.1</v>
      </c>
      <c r="I65" s="6" t="inlineStr">
        <is>
          <t>Gs/kWh</t>
        </is>
      </c>
      <c r="J65" s="6" t="inlineStr">
        <is>
          <t>PYG</t>
        </is>
      </c>
      <c r="K65" s="6" t="inlineStr">
        <is>
          <t>ANDE</t>
        </is>
      </c>
      <c r="L65" s="6" t="inlineStr">
        <is>
          <t>OFFICIAL_PRIMARY</t>
        </is>
      </c>
      <c r="M65" s="9" t="inlineStr">
        <is>
          <t>OFFICIAL_AGGREGATE</t>
        </is>
      </c>
      <c r="N65" s="7" t="inlineStr">
        <is>
          <t>https://www.ande.gov.py/documentos_contables/157/compilacion_estadistica_1990-2010.pdf</t>
        </is>
      </c>
      <c r="O65" s="12" t="n">
        <v>75</v>
      </c>
      <c r="P65" s="4" t="inlineStr">
        <is>
          <t>Tarifa media anual sin impuestos segun compilacion.</t>
        </is>
      </c>
    </row>
    <row r="66">
      <c r="A66" s="6" t="inlineStr">
        <is>
          <t>P00065</t>
        </is>
      </c>
      <c r="B66" s="6" t="inlineStr">
        <is>
          <t>2002-01-01</t>
        </is>
      </c>
      <c r="C66" s="6" t="inlineStr">
        <is>
          <t>2002-12-31</t>
        </is>
      </c>
      <c r="D66" s="6" t="inlineStr">
        <is>
          <t>year</t>
        </is>
      </c>
      <c r="E66" s="6" t="inlineStr">
        <is>
          <t>ANDE_TARIFF_GOV</t>
        </is>
      </c>
      <c r="F66" s="6" t="inlineStr">
        <is>
          <t>PY_SIN</t>
        </is>
      </c>
      <c r="G66" s="6" t="inlineStr">
        <is>
          <t>PY</t>
        </is>
      </c>
      <c r="H66" s="8" t="n">
        <v>244.9</v>
      </c>
      <c r="I66" s="6" t="inlineStr">
        <is>
          <t>Gs/kWh</t>
        </is>
      </c>
      <c r="J66" s="6" t="inlineStr">
        <is>
          <t>PYG</t>
        </is>
      </c>
      <c r="K66" s="6" t="inlineStr">
        <is>
          <t>ANDE</t>
        </is>
      </c>
      <c r="L66" s="6" t="inlineStr">
        <is>
          <t>OFFICIAL_PRIMARY</t>
        </is>
      </c>
      <c r="M66" s="9" t="inlineStr">
        <is>
          <t>OFFICIAL_AGGREGATE</t>
        </is>
      </c>
      <c r="N66" s="7" t="inlineStr">
        <is>
          <t>https://www.ande.gov.py/documentos_contables/157/compilacion_estadistica_1990-2010.pdf</t>
        </is>
      </c>
      <c r="O66" s="12" t="n">
        <v>75</v>
      </c>
      <c r="P66" s="4" t="inlineStr">
        <is>
          <t>Tarifa media anual sin impuestos segun compilacion.</t>
        </is>
      </c>
    </row>
    <row r="67">
      <c r="A67" s="6" t="inlineStr">
        <is>
          <t>P00066</t>
        </is>
      </c>
      <c r="B67" s="6" t="inlineStr">
        <is>
          <t>1990-01-01</t>
        </is>
      </c>
      <c r="C67" s="6" t="inlineStr">
        <is>
          <t>1990-12-31</t>
        </is>
      </c>
      <c r="D67" s="6" t="inlineStr">
        <is>
          <t>year</t>
        </is>
      </c>
      <c r="E67" s="6" t="inlineStr">
        <is>
          <t>ANDE_TARIFF_PUBLIC_LIGHT</t>
        </is>
      </c>
      <c r="F67" s="6" t="inlineStr">
        <is>
          <t>PY_SIN</t>
        </is>
      </c>
      <c r="G67" s="6" t="inlineStr">
        <is>
          <t>PY</t>
        </is>
      </c>
      <c r="H67" s="8" t="n">
        <v>61.8</v>
      </c>
      <c r="I67" s="6" t="inlineStr">
        <is>
          <t>Gs/kWh</t>
        </is>
      </c>
      <c r="J67" s="6" t="inlineStr">
        <is>
          <t>PYG</t>
        </is>
      </c>
      <c r="K67" s="6" t="inlineStr">
        <is>
          <t>ANDE</t>
        </is>
      </c>
      <c r="L67" s="6" t="inlineStr">
        <is>
          <t>OFFICIAL_PRIMARY</t>
        </is>
      </c>
      <c r="M67" s="9" t="inlineStr">
        <is>
          <t>OFFICIAL_AGGREGATE</t>
        </is>
      </c>
      <c r="N67" s="7" t="inlineStr">
        <is>
          <t>https://www.ande.gov.py/documentos_contables/157/compilacion_estadistica_1990-2010.pdf</t>
        </is>
      </c>
      <c r="O67" s="12" t="n">
        <v>75</v>
      </c>
      <c r="P67" s="4" t="inlineStr">
        <is>
          <t>Tarifa media anual sin impuestos segun compilacion.</t>
        </is>
      </c>
    </row>
    <row r="68">
      <c r="A68" s="6" t="inlineStr">
        <is>
          <t>P00067</t>
        </is>
      </c>
      <c r="B68" s="6" t="inlineStr">
        <is>
          <t>1991-01-01</t>
        </is>
      </c>
      <c r="C68" s="6" t="inlineStr">
        <is>
          <t>1991-12-31</t>
        </is>
      </c>
      <c r="D68" s="6" t="inlineStr">
        <is>
          <t>year</t>
        </is>
      </c>
      <c r="E68" s="6" t="inlineStr">
        <is>
          <t>ANDE_TARIFF_PUBLIC_LIGHT</t>
        </is>
      </c>
      <c r="F68" s="6" t="inlineStr">
        <is>
          <t>PY_SIN</t>
        </is>
      </c>
      <c r="G68" s="6" t="inlineStr">
        <is>
          <t>PY</t>
        </is>
      </c>
      <c r="H68" s="8" t="n">
        <v>75.3</v>
      </c>
      <c r="I68" s="6" t="inlineStr">
        <is>
          <t>Gs/kWh</t>
        </is>
      </c>
      <c r="J68" s="6" t="inlineStr">
        <is>
          <t>PYG</t>
        </is>
      </c>
      <c r="K68" s="6" t="inlineStr">
        <is>
          <t>ANDE</t>
        </is>
      </c>
      <c r="L68" s="6" t="inlineStr">
        <is>
          <t>OFFICIAL_PRIMARY</t>
        </is>
      </c>
      <c r="M68" s="9" t="inlineStr">
        <is>
          <t>OFFICIAL_AGGREGATE</t>
        </is>
      </c>
      <c r="N68" s="7" t="inlineStr">
        <is>
          <t>https://www.ande.gov.py/documentos_contables/157/compilacion_estadistica_1990-2010.pdf</t>
        </is>
      </c>
      <c r="O68" s="12" t="n">
        <v>75</v>
      </c>
      <c r="P68" s="4" t="inlineStr">
        <is>
          <t>Tarifa media anual sin impuestos segun compilacion.</t>
        </is>
      </c>
    </row>
    <row r="69">
      <c r="A69" s="6" t="inlineStr">
        <is>
          <t>P00068</t>
        </is>
      </c>
      <c r="B69" s="6" t="inlineStr">
        <is>
          <t>1992-01-01</t>
        </is>
      </c>
      <c r="C69" s="6" t="inlineStr">
        <is>
          <t>1992-12-31</t>
        </is>
      </c>
      <c r="D69" s="6" t="inlineStr">
        <is>
          <t>year</t>
        </is>
      </c>
      <c r="E69" s="6" t="inlineStr">
        <is>
          <t>ANDE_TARIFF_PUBLIC_LIGHT</t>
        </is>
      </c>
      <c r="F69" s="6" t="inlineStr">
        <is>
          <t>PY_SIN</t>
        </is>
      </c>
      <c r="G69" s="6" t="inlineStr">
        <is>
          <t>PY</t>
        </is>
      </c>
      <c r="H69" s="8" t="n">
        <v>76.3</v>
      </c>
      <c r="I69" s="6" t="inlineStr">
        <is>
          <t>Gs/kWh</t>
        </is>
      </c>
      <c r="J69" s="6" t="inlineStr">
        <is>
          <t>PYG</t>
        </is>
      </c>
      <c r="K69" s="6" t="inlineStr">
        <is>
          <t>ANDE</t>
        </is>
      </c>
      <c r="L69" s="6" t="inlineStr">
        <is>
          <t>OFFICIAL_PRIMARY</t>
        </is>
      </c>
      <c r="M69" s="9" t="inlineStr">
        <is>
          <t>OFFICIAL_AGGREGATE</t>
        </is>
      </c>
      <c r="N69" s="7" t="inlineStr">
        <is>
          <t>https://www.ande.gov.py/documentos_contables/157/compilacion_estadistica_1990-2010.pdf</t>
        </is>
      </c>
      <c r="O69" s="12" t="n">
        <v>75</v>
      </c>
      <c r="P69" s="4" t="inlineStr">
        <is>
          <t>Tarifa media anual sin impuestos segun compilacion.</t>
        </is>
      </c>
    </row>
    <row r="70">
      <c r="A70" s="6" t="inlineStr">
        <is>
          <t>P00069</t>
        </is>
      </c>
      <c r="B70" s="6" t="inlineStr">
        <is>
          <t>1993-01-01</t>
        </is>
      </c>
      <c r="C70" s="6" t="inlineStr">
        <is>
          <t>1993-12-31</t>
        </is>
      </c>
      <c r="D70" s="6" t="inlineStr">
        <is>
          <t>year</t>
        </is>
      </c>
      <c r="E70" s="6" t="inlineStr">
        <is>
          <t>ANDE_TARIFF_PUBLIC_LIGHT</t>
        </is>
      </c>
      <c r="F70" s="6" t="inlineStr">
        <is>
          <t>PY_SIN</t>
        </is>
      </c>
      <c r="G70" s="6" t="inlineStr">
        <is>
          <t>PY</t>
        </is>
      </c>
      <c r="H70" s="8" t="n">
        <v>84.5</v>
      </c>
      <c r="I70" s="6" t="inlineStr">
        <is>
          <t>Gs/kWh</t>
        </is>
      </c>
      <c r="J70" s="6" t="inlineStr">
        <is>
          <t>PYG</t>
        </is>
      </c>
      <c r="K70" s="6" t="inlineStr">
        <is>
          <t>ANDE</t>
        </is>
      </c>
      <c r="L70" s="6" t="inlineStr">
        <is>
          <t>OFFICIAL_PRIMARY</t>
        </is>
      </c>
      <c r="M70" s="9" t="inlineStr">
        <is>
          <t>OFFICIAL_AGGREGATE</t>
        </is>
      </c>
      <c r="N70" s="7" t="inlineStr">
        <is>
          <t>https://www.ande.gov.py/documentos_contables/157/compilacion_estadistica_1990-2010.pdf</t>
        </is>
      </c>
      <c r="O70" s="12" t="n">
        <v>75</v>
      </c>
      <c r="P70" s="4" t="inlineStr">
        <is>
          <t>Tarifa media anual sin impuestos segun compilacion.</t>
        </is>
      </c>
    </row>
    <row r="71">
      <c r="A71" s="6" t="inlineStr">
        <is>
          <t>P00070</t>
        </is>
      </c>
      <c r="B71" s="6" t="inlineStr">
        <is>
          <t>1994-01-01</t>
        </is>
      </c>
      <c r="C71" s="6" t="inlineStr">
        <is>
          <t>1994-12-31</t>
        </is>
      </c>
      <c r="D71" s="6" t="inlineStr">
        <is>
          <t>year</t>
        </is>
      </c>
      <c r="E71" s="6" t="inlineStr">
        <is>
          <t>ANDE_TARIFF_PUBLIC_LIGHT</t>
        </is>
      </c>
      <c r="F71" s="6" t="inlineStr">
        <is>
          <t>PY_SIN</t>
        </is>
      </c>
      <c r="G71" s="6" t="inlineStr">
        <is>
          <t>PY</t>
        </is>
      </c>
      <c r="H71" s="8" t="n">
        <v>116.4</v>
      </c>
      <c r="I71" s="6" t="inlineStr">
        <is>
          <t>Gs/kWh</t>
        </is>
      </c>
      <c r="J71" s="6" t="inlineStr">
        <is>
          <t>PYG</t>
        </is>
      </c>
      <c r="K71" s="6" t="inlineStr">
        <is>
          <t>ANDE</t>
        </is>
      </c>
      <c r="L71" s="6" t="inlineStr">
        <is>
          <t>OFFICIAL_PRIMARY</t>
        </is>
      </c>
      <c r="M71" s="9" t="inlineStr">
        <is>
          <t>OFFICIAL_AGGREGATE</t>
        </is>
      </c>
      <c r="N71" s="7" t="inlineStr">
        <is>
          <t>https://www.ande.gov.py/documentos_contables/157/compilacion_estadistica_1990-2010.pdf</t>
        </is>
      </c>
      <c r="O71" s="12" t="n">
        <v>75</v>
      </c>
      <c r="P71" s="4" t="inlineStr">
        <is>
          <t>Tarifa media anual sin impuestos segun compilacion.</t>
        </is>
      </c>
    </row>
    <row r="72">
      <c r="A72" s="6" t="inlineStr">
        <is>
          <t>P00071</t>
        </is>
      </c>
      <c r="B72" s="6" t="inlineStr">
        <is>
          <t>1995-01-01</t>
        </is>
      </c>
      <c r="C72" s="6" t="inlineStr">
        <is>
          <t>1995-12-31</t>
        </is>
      </c>
      <c r="D72" s="6" t="inlineStr">
        <is>
          <t>year</t>
        </is>
      </c>
      <c r="E72" s="6" t="inlineStr">
        <is>
          <t>ANDE_TARIFF_PUBLIC_LIGHT</t>
        </is>
      </c>
      <c r="F72" s="6" t="inlineStr">
        <is>
          <t>PY_SIN</t>
        </is>
      </c>
      <c r="G72" s="6" t="inlineStr">
        <is>
          <t>PY</t>
        </is>
      </c>
      <c r="H72" s="8" t="n">
        <v>136.5</v>
      </c>
      <c r="I72" s="6" t="inlineStr">
        <is>
          <t>Gs/kWh</t>
        </is>
      </c>
      <c r="J72" s="6" t="inlineStr">
        <is>
          <t>PYG</t>
        </is>
      </c>
      <c r="K72" s="6" t="inlineStr">
        <is>
          <t>ANDE</t>
        </is>
      </c>
      <c r="L72" s="6" t="inlineStr">
        <is>
          <t>OFFICIAL_PRIMARY</t>
        </is>
      </c>
      <c r="M72" s="9" t="inlineStr">
        <is>
          <t>OFFICIAL_AGGREGATE</t>
        </is>
      </c>
      <c r="N72" s="7" t="inlineStr">
        <is>
          <t>https://www.ande.gov.py/documentos_contables/157/compilacion_estadistica_1990-2010.pdf</t>
        </is>
      </c>
      <c r="O72" s="12" t="n">
        <v>75</v>
      </c>
      <c r="P72" s="4" t="inlineStr">
        <is>
          <t>Tarifa media anual sin impuestos segun compilacion.</t>
        </is>
      </c>
    </row>
    <row r="73">
      <c r="A73" s="6" t="inlineStr">
        <is>
          <t>P00072</t>
        </is>
      </c>
      <c r="B73" s="6" t="inlineStr">
        <is>
          <t>1996-01-01</t>
        </is>
      </c>
      <c r="C73" s="6" t="inlineStr">
        <is>
          <t>1996-12-31</t>
        </is>
      </c>
      <c r="D73" s="6" t="inlineStr">
        <is>
          <t>year</t>
        </is>
      </c>
      <c r="E73" s="6" t="inlineStr">
        <is>
          <t>ANDE_TARIFF_PUBLIC_LIGHT</t>
        </is>
      </c>
      <c r="F73" s="6" t="inlineStr">
        <is>
          <t>PY_SIN</t>
        </is>
      </c>
      <c r="G73" s="6" t="inlineStr">
        <is>
          <t>PY</t>
        </is>
      </c>
      <c r="H73" s="8" t="n">
        <v>171.4</v>
      </c>
      <c r="I73" s="6" t="inlineStr">
        <is>
          <t>Gs/kWh</t>
        </is>
      </c>
      <c r="J73" s="6" t="inlineStr">
        <is>
          <t>PYG</t>
        </is>
      </c>
      <c r="K73" s="6" t="inlineStr">
        <is>
          <t>ANDE</t>
        </is>
      </c>
      <c r="L73" s="6" t="inlineStr">
        <is>
          <t>OFFICIAL_PRIMARY</t>
        </is>
      </c>
      <c r="M73" s="9" t="inlineStr">
        <is>
          <t>OFFICIAL_AGGREGATE</t>
        </is>
      </c>
      <c r="N73" s="7" t="inlineStr">
        <is>
          <t>https://www.ande.gov.py/documentos_contables/157/compilacion_estadistica_1990-2010.pdf</t>
        </is>
      </c>
      <c r="O73" s="12" t="n">
        <v>75</v>
      </c>
      <c r="P73" s="4" t="inlineStr">
        <is>
          <t>Tarifa media anual sin impuestos segun compilacion.</t>
        </is>
      </c>
    </row>
    <row r="74">
      <c r="A74" s="6" t="inlineStr">
        <is>
          <t>P00073</t>
        </is>
      </c>
      <c r="B74" s="6" t="inlineStr">
        <is>
          <t>1997-01-01</t>
        </is>
      </c>
      <c r="C74" s="6" t="inlineStr">
        <is>
          <t>1997-12-31</t>
        </is>
      </c>
      <c r="D74" s="6" t="inlineStr">
        <is>
          <t>year</t>
        </is>
      </c>
      <c r="E74" s="6" t="inlineStr">
        <is>
          <t>ANDE_TARIFF_PUBLIC_LIGHT</t>
        </is>
      </c>
      <c r="F74" s="6" t="inlineStr">
        <is>
          <t>PY_SIN</t>
        </is>
      </c>
      <c r="G74" s="6" t="inlineStr">
        <is>
          <t>PY</t>
        </is>
      </c>
      <c r="H74" s="8" t="n">
        <v>177.8</v>
      </c>
      <c r="I74" s="6" t="inlineStr">
        <is>
          <t>Gs/kWh</t>
        </is>
      </c>
      <c r="J74" s="6" t="inlineStr">
        <is>
          <t>PYG</t>
        </is>
      </c>
      <c r="K74" s="6" t="inlineStr">
        <is>
          <t>ANDE</t>
        </is>
      </c>
      <c r="L74" s="6" t="inlineStr">
        <is>
          <t>OFFICIAL_PRIMARY</t>
        </is>
      </c>
      <c r="M74" s="9" t="inlineStr">
        <is>
          <t>OFFICIAL_AGGREGATE</t>
        </is>
      </c>
      <c r="N74" s="7" t="inlineStr">
        <is>
          <t>https://www.ande.gov.py/documentos_contables/157/compilacion_estadistica_1990-2010.pdf</t>
        </is>
      </c>
      <c r="O74" s="12" t="n">
        <v>75</v>
      </c>
      <c r="P74" s="4" t="inlineStr">
        <is>
          <t>Tarifa media anual sin impuestos segun compilacion.</t>
        </is>
      </c>
    </row>
    <row r="75">
      <c r="A75" s="6" t="inlineStr">
        <is>
          <t>P00074</t>
        </is>
      </c>
      <c r="B75" s="6" t="inlineStr">
        <is>
          <t>1998-01-01</t>
        </is>
      </c>
      <c r="C75" s="6" t="inlineStr">
        <is>
          <t>1998-12-31</t>
        </is>
      </c>
      <c r="D75" s="6" t="inlineStr">
        <is>
          <t>year</t>
        </is>
      </c>
      <c r="E75" s="6" t="inlineStr">
        <is>
          <t>ANDE_TARIFF_PUBLIC_LIGHT</t>
        </is>
      </c>
      <c r="F75" s="6" t="inlineStr">
        <is>
          <t>PY_SIN</t>
        </is>
      </c>
      <c r="G75" s="6" t="inlineStr">
        <is>
          <t>PY</t>
        </is>
      </c>
      <c r="H75" s="8" t="n">
        <v>185.2</v>
      </c>
      <c r="I75" s="6" t="inlineStr">
        <is>
          <t>Gs/kWh</t>
        </is>
      </c>
      <c r="J75" s="6" t="inlineStr">
        <is>
          <t>PYG</t>
        </is>
      </c>
      <c r="K75" s="6" t="inlineStr">
        <is>
          <t>ANDE</t>
        </is>
      </c>
      <c r="L75" s="6" t="inlineStr">
        <is>
          <t>OFFICIAL_PRIMARY</t>
        </is>
      </c>
      <c r="M75" s="9" t="inlineStr">
        <is>
          <t>OFFICIAL_AGGREGATE</t>
        </is>
      </c>
      <c r="N75" s="7" t="inlineStr">
        <is>
          <t>https://www.ande.gov.py/documentos_contables/157/compilacion_estadistica_1990-2010.pdf</t>
        </is>
      </c>
      <c r="O75" s="12" t="n">
        <v>75</v>
      </c>
      <c r="P75" s="4" t="inlineStr">
        <is>
          <t>Tarifa media anual sin impuestos segun compilacion.</t>
        </is>
      </c>
    </row>
    <row r="76">
      <c r="A76" s="6" t="inlineStr">
        <is>
          <t>P00075</t>
        </is>
      </c>
      <c r="B76" s="6" t="inlineStr">
        <is>
          <t>1999-01-01</t>
        </is>
      </c>
      <c r="C76" s="6" t="inlineStr">
        <is>
          <t>1999-12-31</t>
        </is>
      </c>
      <c r="D76" s="6" t="inlineStr">
        <is>
          <t>year</t>
        </is>
      </c>
      <c r="E76" s="6" t="inlineStr">
        <is>
          <t>ANDE_TARIFF_PUBLIC_LIGHT</t>
        </is>
      </c>
      <c r="F76" s="6" t="inlineStr">
        <is>
          <t>PY_SIN</t>
        </is>
      </c>
      <c r="G76" s="6" t="inlineStr">
        <is>
          <t>PY</t>
        </is>
      </c>
      <c r="H76" s="8" t="n">
        <v>171.2</v>
      </c>
      <c r="I76" s="6" t="inlineStr">
        <is>
          <t>Gs/kWh</t>
        </is>
      </c>
      <c r="J76" s="6" t="inlineStr">
        <is>
          <t>PYG</t>
        </is>
      </c>
      <c r="K76" s="6" t="inlineStr">
        <is>
          <t>ANDE</t>
        </is>
      </c>
      <c r="L76" s="6" t="inlineStr">
        <is>
          <t>OFFICIAL_PRIMARY</t>
        </is>
      </c>
      <c r="M76" s="9" t="inlineStr">
        <is>
          <t>OFFICIAL_AGGREGATE</t>
        </is>
      </c>
      <c r="N76" s="7" t="inlineStr">
        <is>
          <t>https://www.ande.gov.py/documentos_contables/157/compilacion_estadistica_1990-2010.pdf</t>
        </is>
      </c>
      <c r="O76" s="12" t="n">
        <v>75</v>
      </c>
      <c r="P76" s="4" t="inlineStr">
        <is>
          <t>Tarifa media anual sin impuestos segun compilacion.</t>
        </is>
      </c>
    </row>
    <row r="77">
      <c r="A77" s="6" t="inlineStr">
        <is>
          <t>P00076</t>
        </is>
      </c>
      <c r="B77" s="6" t="inlineStr">
        <is>
          <t>2000-01-01</t>
        </is>
      </c>
      <c r="C77" s="6" t="inlineStr">
        <is>
          <t>2000-12-31</t>
        </is>
      </c>
      <c r="D77" s="6" t="inlineStr">
        <is>
          <t>year</t>
        </is>
      </c>
      <c r="E77" s="6" t="inlineStr">
        <is>
          <t>ANDE_TARIFF_PUBLIC_LIGHT</t>
        </is>
      </c>
      <c r="F77" s="6" t="inlineStr">
        <is>
          <t>PY_SIN</t>
        </is>
      </c>
      <c r="G77" s="6" t="inlineStr">
        <is>
          <t>PY</t>
        </is>
      </c>
      <c r="H77" s="8" t="n">
        <v>235.6</v>
      </c>
      <c r="I77" s="6" t="inlineStr">
        <is>
          <t>Gs/kWh</t>
        </is>
      </c>
      <c r="J77" s="6" t="inlineStr">
        <is>
          <t>PYG</t>
        </is>
      </c>
      <c r="K77" s="6" t="inlineStr">
        <is>
          <t>ANDE</t>
        </is>
      </c>
      <c r="L77" s="6" t="inlineStr">
        <is>
          <t>OFFICIAL_PRIMARY</t>
        </is>
      </c>
      <c r="M77" s="9" t="inlineStr">
        <is>
          <t>OFFICIAL_AGGREGATE</t>
        </is>
      </c>
      <c r="N77" s="7" t="inlineStr">
        <is>
          <t>https://www.ande.gov.py/documentos_contables/157/compilacion_estadistica_1990-2010.pdf</t>
        </is>
      </c>
      <c r="O77" s="12" t="n">
        <v>75</v>
      </c>
      <c r="P77" s="4" t="inlineStr">
        <is>
          <t>Tarifa media anual sin impuestos segun compilacion.</t>
        </is>
      </c>
    </row>
    <row r="78">
      <c r="A78" s="6" t="inlineStr">
        <is>
          <t>P00077</t>
        </is>
      </c>
      <c r="B78" s="6" t="inlineStr">
        <is>
          <t>2001-01-01</t>
        </is>
      </c>
      <c r="C78" s="6" t="inlineStr">
        <is>
          <t>2001-12-31</t>
        </is>
      </c>
      <c r="D78" s="6" t="inlineStr">
        <is>
          <t>year</t>
        </is>
      </c>
      <c r="E78" s="6" t="inlineStr">
        <is>
          <t>ANDE_TARIFF_PUBLIC_LIGHT</t>
        </is>
      </c>
      <c r="F78" s="6" t="inlineStr">
        <is>
          <t>PY_SIN</t>
        </is>
      </c>
      <c r="G78" s="6" t="inlineStr">
        <is>
          <t>PY</t>
        </is>
      </c>
      <c r="H78" s="8" t="n">
        <v>330.6</v>
      </c>
      <c r="I78" s="6" t="inlineStr">
        <is>
          <t>Gs/kWh</t>
        </is>
      </c>
      <c r="J78" s="6" t="inlineStr">
        <is>
          <t>PYG</t>
        </is>
      </c>
      <c r="K78" s="6" t="inlineStr">
        <is>
          <t>ANDE</t>
        </is>
      </c>
      <c r="L78" s="6" t="inlineStr">
        <is>
          <t>OFFICIAL_PRIMARY</t>
        </is>
      </c>
      <c r="M78" s="9" t="inlineStr">
        <is>
          <t>OFFICIAL_AGGREGATE</t>
        </is>
      </c>
      <c r="N78" s="7" t="inlineStr">
        <is>
          <t>https://www.ande.gov.py/documentos_contables/157/compilacion_estadistica_1990-2010.pdf</t>
        </is>
      </c>
      <c r="O78" s="12" t="n">
        <v>75</v>
      </c>
      <c r="P78" s="4" t="inlineStr">
        <is>
          <t>Tarifa media anual sin impuestos segun compilacion.</t>
        </is>
      </c>
    </row>
    <row r="79">
      <c r="A79" s="6" t="inlineStr">
        <is>
          <t>P00078</t>
        </is>
      </c>
      <c r="B79" s="6" t="inlineStr">
        <is>
          <t>2002-01-01</t>
        </is>
      </c>
      <c r="C79" s="6" t="inlineStr">
        <is>
          <t>2002-12-31</t>
        </is>
      </c>
      <c r="D79" s="6" t="inlineStr">
        <is>
          <t>year</t>
        </is>
      </c>
      <c r="E79" s="6" t="inlineStr">
        <is>
          <t>ANDE_TARIFF_PUBLIC_LIGHT</t>
        </is>
      </c>
      <c r="F79" s="6" t="inlineStr">
        <is>
          <t>PY_SIN</t>
        </is>
      </c>
      <c r="G79" s="6" t="inlineStr">
        <is>
          <t>PY</t>
        </is>
      </c>
      <c r="H79" s="8" t="n">
        <v>458.2</v>
      </c>
      <c r="I79" s="6" t="inlineStr">
        <is>
          <t>Gs/kWh</t>
        </is>
      </c>
      <c r="J79" s="6" t="inlineStr">
        <is>
          <t>PYG</t>
        </is>
      </c>
      <c r="K79" s="6" t="inlineStr">
        <is>
          <t>ANDE</t>
        </is>
      </c>
      <c r="L79" s="6" t="inlineStr">
        <is>
          <t>OFFICIAL_PRIMARY</t>
        </is>
      </c>
      <c r="M79" s="9" t="inlineStr">
        <is>
          <t>OFFICIAL_AGGREGATE</t>
        </is>
      </c>
      <c r="N79" s="7" t="inlineStr">
        <is>
          <t>https://www.ande.gov.py/documentos_contables/157/compilacion_estadistica_1990-2010.pdf</t>
        </is>
      </c>
      <c r="O79" s="12" t="n">
        <v>75</v>
      </c>
      <c r="P79" s="4" t="inlineStr">
        <is>
          <t>Tarifa media anual sin impuestos segun compilacion.</t>
        </is>
      </c>
    </row>
    <row r="80">
      <c r="A80" s="6" t="inlineStr">
        <is>
          <t>P00079</t>
        </is>
      </c>
      <c r="B80" s="6" t="inlineStr">
        <is>
          <t>1990-01-01</t>
        </is>
      </c>
      <c r="C80" s="6" t="inlineStr">
        <is>
          <t>1990-12-31</t>
        </is>
      </c>
      <c r="D80" s="6" t="inlineStr">
        <is>
          <t>year</t>
        </is>
      </c>
      <c r="E80" s="6" t="inlineStr">
        <is>
          <t>ANDE_TARIFF_NATIONAL_AVG</t>
        </is>
      </c>
      <c r="F80" s="6" t="inlineStr">
        <is>
          <t>PY_SIN</t>
        </is>
      </c>
      <c r="G80" s="6" t="inlineStr">
        <is>
          <t>PY</t>
        </is>
      </c>
      <c r="H80" s="8" t="n">
        <v>52.2</v>
      </c>
      <c r="I80" s="6" t="inlineStr">
        <is>
          <t>Gs/kWh</t>
        </is>
      </c>
      <c r="J80" s="6" t="inlineStr">
        <is>
          <t>PYG</t>
        </is>
      </c>
      <c r="K80" s="6" t="inlineStr">
        <is>
          <t>ANDE</t>
        </is>
      </c>
      <c r="L80" s="6" t="inlineStr">
        <is>
          <t>OFFICIAL_PRIMARY</t>
        </is>
      </c>
      <c r="M80" s="9" t="inlineStr">
        <is>
          <t>OFFICIAL_AGGREGATE</t>
        </is>
      </c>
      <c r="N80" s="7" t="inlineStr">
        <is>
          <t>https://www.ande.gov.py/documentos_contables/157/compilacion_estadistica_1990-2010.pdf</t>
        </is>
      </c>
      <c r="O80" s="12" t="n">
        <v>75</v>
      </c>
      <c r="P80" s="4" t="inlineStr">
        <is>
          <t>Tarifa media anual sin impuestos segun compilacion.</t>
        </is>
      </c>
    </row>
    <row r="81">
      <c r="A81" s="6" t="inlineStr">
        <is>
          <t>P00080</t>
        </is>
      </c>
      <c r="B81" s="6" t="inlineStr">
        <is>
          <t>1991-01-01</t>
        </is>
      </c>
      <c r="C81" s="6" t="inlineStr">
        <is>
          <t>1991-12-31</t>
        </is>
      </c>
      <c r="D81" s="6" t="inlineStr">
        <is>
          <t>year</t>
        </is>
      </c>
      <c r="E81" s="6" t="inlineStr">
        <is>
          <t>ANDE_TARIFF_NATIONAL_AVG</t>
        </is>
      </c>
      <c r="F81" s="6" t="inlineStr">
        <is>
          <t>PY_SIN</t>
        </is>
      </c>
      <c r="G81" s="6" t="inlineStr">
        <is>
          <t>PY</t>
        </is>
      </c>
      <c r="H81" s="8" t="n">
        <v>62.2</v>
      </c>
      <c r="I81" s="6" t="inlineStr">
        <is>
          <t>Gs/kWh</t>
        </is>
      </c>
      <c r="J81" s="6" t="inlineStr">
        <is>
          <t>PYG</t>
        </is>
      </c>
      <c r="K81" s="6" t="inlineStr">
        <is>
          <t>ANDE</t>
        </is>
      </c>
      <c r="L81" s="6" t="inlineStr">
        <is>
          <t>OFFICIAL_PRIMARY</t>
        </is>
      </c>
      <c r="M81" s="9" t="inlineStr">
        <is>
          <t>OFFICIAL_AGGREGATE</t>
        </is>
      </c>
      <c r="N81" s="7" t="inlineStr">
        <is>
          <t>https://www.ande.gov.py/documentos_contables/157/compilacion_estadistica_1990-2010.pdf</t>
        </is>
      </c>
      <c r="O81" s="12" t="n">
        <v>75</v>
      </c>
      <c r="P81" s="4" t="inlineStr">
        <is>
          <t>Tarifa media anual sin impuestos segun compilacion.</t>
        </is>
      </c>
    </row>
    <row r="82">
      <c r="A82" s="6" t="inlineStr">
        <is>
          <t>P00081</t>
        </is>
      </c>
      <c r="B82" s="6" t="inlineStr">
        <is>
          <t>1992-01-01</t>
        </is>
      </c>
      <c r="C82" s="6" t="inlineStr">
        <is>
          <t>1992-12-31</t>
        </is>
      </c>
      <c r="D82" s="6" t="inlineStr">
        <is>
          <t>year</t>
        </is>
      </c>
      <c r="E82" s="6" t="inlineStr">
        <is>
          <t>ANDE_TARIFF_NATIONAL_AVG</t>
        </is>
      </c>
      <c r="F82" s="6" t="inlineStr">
        <is>
          <t>PY_SIN</t>
        </is>
      </c>
      <c r="G82" s="6" t="inlineStr">
        <is>
          <t>PY</t>
        </is>
      </c>
      <c r="H82" s="8" t="n">
        <v>61.7</v>
      </c>
      <c r="I82" s="6" t="inlineStr">
        <is>
          <t>Gs/kWh</t>
        </is>
      </c>
      <c r="J82" s="6" t="inlineStr">
        <is>
          <t>PYG</t>
        </is>
      </c>
      <c r="K82" s="6" t="inlineStr">
        <is>
          <t>ANDE</t>
        </is>
      </c>
      <c r="L82" s="6" t="inlineStr">
        <is>
          <t>OFFICIAL_PRIMARY</t>
        </is>
      </c>
      <c r="M82" s="9" t="inlineStr">
        <is>
          <t>OFFICIAL_AGGREGATE</t>
        </is>
      </c>
      <c r="N82" s="7" t="inlineStr">
        <is>
          <t>https://www.ande.gov.py/documentos_contables/157/compilacion_estadistica_1990-2010.pdf</t>
        </is>
      </c>
      <c r="O82" s="12" t="n">
        <v>75</v>
      </c>
      <c r="P82" s="4" t="inlineStr">
        <is>
          <t>Tarifa media anual sin impuestos segun compilacion.</t>
        </is>
      </c>
    </row>
    <row r="83">
      <c r="A83" s="6" t="inlineStr">
        <is>
          <t>P00082</t>
        </is>
      </c>
      <c r="B83" s="6" t="inlineStr">
        <is>
          <t>1993-01-01</t>
        </is>
      </c>
      <c r="C83" s="6" t="inlineStr">
        <is>
          <t>1993-12-31</t>
        </is>
      </c>
      <c r="D83" s="6" t="inlineStr">
        <is>
          <t>year</t>
        </is>
      </c>
      <c r="E83" s="6" t="inlineStr">
        <is>
          <t>ANDE_TARIFF_NATIONAL_AVG</t>
        </is>
      </c>
      <c r="F83" s="6" t="inlineStr">
        <is>
          <t>PY_SIN</t>
        </is>
      </c>
      <c r="G83" s="6" t="inlineStr">
        <is>
          <t>PY</t>
        </is>
      </c>
      <c r="H83" s="8" t="n">
        <v>66.40000000000001</v>
      </c>
      <c r="I83" s="6" t="inlineStr">
        <is>
          <t>Gs/kWh</t>
        </is>
      </c>
      <c r="J83" s="6" t="inlineStr">
        <is>
          <t>PYG</t>
        </is>
      </c>
      <c r="K83" s="6" t="inlineStr">
        <is>
          <t>ANDE</t>
        </is>
      </c>
      <c r="L83" s="6" t="inlineStr">
        <is>
          <t>OFFICIAL_PRIMARY</t>
        </is>
      </c>
      <c r="M83" s="9" t="inlineStr">
        <is>
          <t>OFFICIAL_AGGREGATE</t>
        </is>
      </c>
      <c r="N83" s="7" t="inlineStr">
        <is>
          <t>https://www.ande.gov.py/documentos_contables/157/compilacion_estadistica_1990-2010.pdf</t>
        </is>
      </c>
      <c r="O83" s="12" t="n">
        <v>75</v>
      </c>
      <c r="P83" s="4" t="inlineStr">
        <is>
          <t>Tarifa media anual sin impuestos segun compilacion.</t>
        </is>
      </c>
    </row>
    <row r="84">
      <c r="A84" s="6" t="inlineStr">
        <is>
          <t>P00083</t>
        </is>
      </c>
      <c r="B84" s="6" t="inlineStr">
        <is>
          <t>1994-01-01</t>
        </is>
      </c>
      <c r="C84" s="6" t="inlineStr">
        <is>
          <t>1994-12-31</t>
        </is>
      </c>
      <c r="D84" s="6" t="inlineStr">
        <is>
          <t>year</t>
        </is>
      </c>
      <c r="E84" s="6" t="inlineStr">
        <is>
          <t>ANDE_TARIFF_NATIONAL_AVG</t>
        </is>
      </c>
      <c r="F84" s="6" t="inlineStr">
        <is>
          <t>PY_SIN</t>
        </is>
      </c>
      <c r="G84" s="6" t="inlineStr">
        <is>
          <t>PY</t>
        </is>
      </c>
      <c r="H84" s="8" t="n">
        <v>80.3</v>
      </c>
      <c r="I84" s="6" t="inlineStr">
        <is>
          <t>Gs/kWh</t>
        </is>
      </c>
      <c r="J84" s="6" t="inlineStr">
        <is>
          <t>PYG</t>
        </is>
      </c>
      <c r="K84" s="6" t="inlineStr">
        <is>
          <t>ANDE</t>
        </is>
      </c>
      <c r="L84" s="6" t="inlineStr">
        <is>
          <t>OFFICIAL_PRIMARY</t>
        </is>
      </c>
      <c r="M84" s="9" t="inlineStr">
        <is>
          <t>OFFICIAL_AGGREGATE</t>
        </is>
      </c>
      <c r="N84" s="7" t="inlineStr">
        <is>
          <t>https://www.ande.gov.py/documentos_contables/157/compilacion_estadistica_1990-2010.pdf</t>
        </is>
      </c>
      <c r="O84" s="12" t="n">
        <v>75</v>
      </c>
      <c r="P84" s="4" t="inlineStr">
        <is>
          <t>Tarifa media anual sin impuestos segun compilacion.</t>
        </is>
      </c>
    </row>
    <row r="85">
      <c r="A85" s="6" t="inlineStr">
        <is>
          <t>P00084</t>
        </is>
      </c>
      <c r="B85" s="6" t="inlineStr">
        <is>
          <t>1995-01-01</t>
        </is>
      </c>
      <c r="C85" s="6" t="inlineStr">
        <is>
          <t>1995-12-31</t>
        </is>
      </c>
      <c r="D85" s="6" t="inlineStr">
        <is>
          <t>year</t>
        </is>
      </c>
      <c r="E85" s="6" t="inlineStr">
        <is>
          <t>ANDE_TARIFF_NATIONAL_AVG</t>
        </is>
      </c>
      <c r="F85" s="6" t="inlineStr">
        <is>
          <t>PY_SIN</t>
        </is>
      </c>
      <c r="G85" s="6" t="inlineStr">
        <is>
          <t>PY</t>
        </is>
      </c>
      <c r="H85" s="8" t="n">
        <v>89.2</v>
      </c>
      <c r="I85" s="6" t="inlineStr">
        <is>
          <t>Gs/kWh</t>
        </is>
      </c>
      <c r="J85" s="6" t="inlineStr">
        <is>
          <t>PYG</t>
        </is>
      </c>
      <c r="K85" s="6" t="inlineStr">
        <is>
          <t>ANDE</t>
        </is>
      </c>
      <c r="L85" s="6" t="inlineStr">
        <is>
          <t>OFFICIAL_PRIMARY</t>
        </is>
      </c>
      <c r="M85" s="9" t="inlineStr">
        <is>
          <t>OFFICIAL_AGGREGATE</t>
        </is>
      </c>
      <c r="N85" s="7" t="inlineStr">
        <is>
          <t>https://www.ande.gov.py/documentos_contables/157/compilacion_estadistica_1990-2010.pdf</t>
        </is>
      </c>
      <c r="O85" s="12" t="n">
        <v>75</v>
      </c>
      <c r="P85" s="4" t="inlineStr">
        <is>
          <t>Tarifa media anual sin impuestos segun compilacion.</t>
        </is>
      </c>
    </row>
    <row r="86">
      <c r="A86" s="6" t="inlineStr">
        <is>
          <t>P00085</t>
        </is>
      </c>
      <c r="B86" s="6" t="inlineStr">
        <is>
          <t>1996-01-01</t>
        </is>
      </c>
      <c r="C86" s="6" t="inlineStr">
        <is>
          <t>1996-12-31</t>
        </is>
      </c>
      <c r="D86" s="6" t="inlineStr">
        <is>
          <t>year</t>
        </is>
      </c>
      <c r="E86" s="6" t="inlineStr">
        <is>
          <t>ANDE_TARIFF_NATIONAL_AVG</t>
        </is>
      </c>
      <c r="F86" s="6" t="inlineStr">
        <is>
          <t>PY_SIN</t>
        </is>
      </c>
      <c r="G86" s="6" t="inlineStr">
        <is>
          <t>PY</t>
        </is>
      </c>
      <c r="H86" s="8" t="n">
        <v>110</v>
      </c>
      <c r="I86" s="6" t="inlineStr">
        <is>
          <t>Gs/kWh</t>
        </is>
      </c>
      <c r="J86" s="6" t="inlineStr">
        <is>
          <t>PYG</t>
        </is>
      </c>
      <c r="K86" s="6" t="inlineStr">
        <is>
          <t>ANDE</t>
        </is>
      </c>
      <c r="L86" s="6" t="inlineStr">
        <is>
          <t>OFFICIAL_PRIMARY</t>
        </is>
      </c>
      <c r="M86" s="9" t="inlineStr">
        <is>
          <t>OFFICIAL_AGGREGATE</t>
        </is>
      </c>
      <c r="N86" s="7" t="inlineStr">
        <is>
          <t>https://www.ande.gov.py/documentos_contables/157/compilacion_estadistica_1990-2010.pdf</t>
        </is>
      </c>
      <c r="O86" s="12" t="n">
        <v>75</v>
      </c>
      <c r="P86" s="4" t="inlineStr">
        <is>
          <t>Tarifa media anual sin impuestos segun compilacion.</t>
        </is>
      </c>
    </row>
    <row r="87">
      <c r="A87" s="6" t="inlineStr">
        <is>
          <t>P00086</t>
        </is>
      </c>
      <c r="B87" s="6" t="inlineStr">
        <is>
          <t>1997-01-01</t>
        </is>
      </c>
      <c r="C87" s="6" t="inlineStr">
        <is>
          <t>1997-12-31</t>
        </is>
      </c>
      <c r="D87" s="6" t="inlineStr">
        <is>
          <t>year</t>
        </is>
      </c>
      <c r="E87" s="6" t="inlineStr">
        <is>
          <t>ANDE_TARIFF_NATIONAL_AVG</t>
        </is>
      </c>
      <c r="F87" s="6" t="inlineStr">
        <is>
          <t>PY_SIN</t>
        </is>
      </c>
      <c r="G87" s="6" t="inlineStr">
        <is>
          <t>PY</t>
        </is>
      </c>
      <c r="H87" s="8" t="n">
        <v>124.6</v>
      </c>
      <c r="I87" s="6" t="inlineStr">
        <is>
          <t>Gs/kWh</t>
        </is>
      </c>
      <c r="J87" s="6" t="inlineStr">
        <is>
          <t>PYG</t>
        </is>
      </c>
      <c r="K87" s="6" t="inlineStr">
        <is>
          <t>ANDE</t>
        </is>
      </c>
      <c r="L87" s="6" t="inlineStr">
        <is>
          <t>OFFICIAL_PRIMARY</t>
        </is>
      </c>
      <c r="M87" s="9" t="inlineStr">
        <is>
          <t>OFFICIAL_AGGREGATE</t>
        </is>
      </c>
      <c r="N87" s="7" t="inlineStr">
        <is>
          <t>https://www.ande.gov.py/documentos_contables/157/compilacion_estadistica_1990-2010.pdf</t>
        </is>
      </c>
      <c r="O87" s="12" t="n">
        <v>75</v>
      </c>
      <c r="P87" s="4" t="inlineStr">
        <is>
          <t>Tarifa media anual sin impuestos segun compilacion.</t>
        </is>
      </c>
    </row>
    <row r="88">
      <c r="A88" s="6" t="inlineStr">
        <is>
          <t>P00087</t>
        </is>
      </c>
      <c r="B88" s="6" t="inlineStr">
        <is>
          <t>1998-01-01</t>
        </is>
      </c>
      <c r="C88" s="6" t="inlineStr">
        <is>
          <t>1998-12-31</t>
        </is>
      </c>
      <c r="D88" s="6" t="inlineStr">
        <is>
          <t>year</t>
        </is>
      </c>
      <c r="E88" s="6" t="inlineStr">
        <is>
          <t>ANDE_TARIFF_NATIONAL_AVG</t>
        </is>
      </c>
      <c r="F88" s="6" t="inlineStr">
        <is>
          <t>PY_SIN</t>
        </is>
      </c>
      <c r="G88" s="6" t="inlineStr">
        <is>
          <t>PY</t>
        </is>
      </c>
      <c r="H88" s="8" t="n">
        <v>148.6</v>
      </c>
      <c r="I88" s="6" t="inlineStr">
        <is>
          <t>Gs/kWh</t>
        </is>
      </c>
      <c r="J88" s="6" t="inlineStr">
        <is>
          <t>PYG</t>
        </is>
      </c>
      <c r="K88" s="6" t="inlineStr">
        <is>
          <t>ANDE</t>
        </is>
      </c>
      <c r="L88" s="6" t="inlineStr">
        <is>
          <t>OFFICIAL_PRIMARY</t>
        </is>
      </c>
      <c r="M88" s="9" t="inlineStr">
        <is>
          <t>OFFICIAL_AGGREGATE</t>
        </is>
      </c>
      <c r="N88" s="7" t="inlineStr">
        <is>
          <t>https://www.ande.gov.py/documentos_contables/157/compilacion_estadistica_1990-2010.pdf</t>
        </is>
      </c>
      <c r="O88" s="12" t="n">
        <v>75</v>
      </c>
      <c r="P88" s="4" t="inlineStr">
        <is>
          <t>Tarifa media anual sin impuestos segun compilacion.</t>
        </is>
      </c>
    </row>
    <row r="89">
      <c r="A89" s="6" t="inlineStr">
        <is>
          <t>P00088</t>
        </is>
      </c>
      <c r="B89" s="6" t="inlineStr">
        <is>
          <t>1999-01-01</t>
        </is>
      </c>
      <c r="C89" s="6" t="inlineStr">
        <is>
          <t>1999-12-31</t>
        </is>
      </c>
      <c r="D89" s="6" t="inlineStr">
        <is>
          <t>year</t>
        </is>
      </c>
      <c r="E89" s="6" t="inlineStr">
        <is>
          <t>ANDE_TARIFF_NATIONAL_AVG</t>
        </is>
      </c>
      <c r="F89" s="6" t="inlineStr">
        <is>
          <t>PY_SIN</t>
        </is>
      </c>
      <c r="G89" s="6" t="inlineStr">
        <is>
          <t>PY</t>
        </is>
      </c>
      <c r="H89" s="8" t="n">
        <v>146.8</v>
      </c>
      <c r="I89" s="6" t="inlineStr">
        <is>
          <t>Gs/kWh</t>
        </is>
      </c>
      <c r="J89" s="6" t="inlineStr">
        <is>
          <t>PYG</t>
        </is>
      </c>
      <c r="K89" s="6" t="inlineStr">
        <is>
          <t>ANDE</t>
        </is>
      </c>
      <c r="L89" s="6" t="inlineStr">
        <is>
          <t>OFFICIAL_PRIMARY</t>
        </is>
      </c>
      <c r="M89" s="9" t="inlineStr">
        <is>
          <t>OFFICIAL_AGGREGATE</t>
        </is>
      </c>
      <c r="N89" s="7" t="inlineStr">
        <is>
          <t>https://www.ande.gov.py/documentos_contables/157/compilacion_estadistica_1990-2010.pdf</t>
        </is>
      </c>
      <c r="O89" s="12" t="n">
        <v>75</v>
      </c>
      <c r="P89" s="4" t="inlineStr">
        <is>
          <t>Tarifa media anual sin impuestos segun compilacion.</t>
        </is>
      </c>
    </row>
    <row r="90">
      <c r="A90" s="6" t="inlineStr">
        <is>
          <t>P00089</t>
        </is>
      </c>
      <c r="B90" s="6" t="inlineStr">
        <is>
          <t>2000-01-01</t>
        </is>
      </c>
      <c r="C90" s="6" t="inlineStr">
        <is>
          <t>2000-12-31</t>
        </is>
      </c>
      <c r="D90" s="6" t="inlineStr">
        <is>
          <t>year</t>
        </is>
      </c>
      <c r="E90" s="6" t="inlineStr">
        <is>
          <t>ANDE_TARIFF_NATIONAL_AVG</t>
        </is>
      </c>
      <c r="F90" s="6" t="inlineStr">
        <is>
          <t>PY_SIN</t>
        </is>
      </c>
      <c r="G90" s="6" t="inlineStr">
        <is>
          <t>PY</t>
        </is>
      </c>
      <c r="H90" s="8" t="n">
        <v>159.1</v>
      </c>
      <c r="I90" s="6" t="inlineStr">
        <is>
          <t>Gs/kWh</t>
        </is>
      </c>
      <c r="J90" s="6" t="inlineStr">
        <is>
          <t>PYG</t>
        </is>
      </c>
      <c r="K90" s="6" t="inlineStr">
        <is>
          <t>ANDE</t>
        </is>
      </c>
      <c r="L90" s="6" t="inlineStr">
        <is>
          <t>OFFICIAL_PRIMARY</t>
        </is>
      </c>
      <c r="M90" s="9" t="inlineStr">
        <is>
          <t>OFFICIAL_AGGREGATE</t>
        </is>
      </c>
      <c r="N90" s="7" t="inlineStr">
        <is>
          <t>https://www.ande.gov.py/documentos_contables/157/compilacion_estadistica_1990-2010.pdf</t>
        </is>
      </c>
      <c r="O90" s="12" t="n">
        <v>75</v>
      </c>
      <c r="P90" s="4" t="inlineStr">
        <is>
          <t>Tarifa media anual sin impuestos segun compilacion.</t>
        </is>
      </c>
    </row>
    <row r="91">
      <c r="A91" s="6" t="inlineStr">
        <is>
          <t>P00090</t>
        </is>
      </c>
      <c r="B91" s="6" t="inlineStr">
        <is>
          <t>2001-01-01</t>
        </is>
      </c>
      <c r="C91" s="6" t="inlineStr">
        <is>
          <t>2001-12-31</t>
        </is>
      </c>
      <c r="D91" s="6" t="inlineStr">
        <is>
          <t>year</t>
        </is>
      </c>
      <c r="E91" s="6" t="inlineStr">
        <is>
          <t>ANDE_TARIFF_NATIONAL_AVG</t>
        </is>
      </c>
      <c r="F91" s="6" t="inlineStr">
        <is>
          <t>PY_SIN</t>
        </is>
      </c>
      <c r="G91" s="6" t="inlineStr">
        <is>
          <t>PY</t>
        </is>
      </c>
      <c r="H91" s="8" t="n">
        <v>211.2</v>
      </c>
      <c r="I91" s="6" t="inlineStr">
        <is>
          <t>Gs/kWh</t>
        </is>
      </c>
      <c r="J91" s="6" t="inlineStr">
        <is>
          <t>PYG</t>
        </is>
      </c>
      <c r="K91" s="6" t="inlineStr">
        <is>
          <t>ANDE</t>
        </is>
      </c>
      <c r="L91" s="6" t="inlineStr">
        <is>
          <t>OFFICIAL_PRIMARY</t>
        </is>
      </c>
      <c r="M91" s="9" t="inlineStr">
        <is>
          <t>OFFICIAL_AGGREGATE</t>
        </is>
      </c>
      <c r="N91" s="7" t="inlineStr">
        <is>
          <t>https://www.ande.gov.py/documentos_contables/157/compilacion_estadistica_1990-2010.pdf</t>
        </is>
      </c>
      <c r="O91" s="12" t="n">
        <v>75</v>
      </c>
      <c r="P91" s="4" t="inlineStr">
        <is>
          <t>Tarifa media anual sin impuestos segun compilacion.</t>
        </is>
      </c>
    </row>
    <row r="92">
      <c r="A92" s="6" t="inlineStr">
        <is>
          <t>P00091</t>
        </is>
      </c>
      <c r="B92" s="6" t="inlineStr">
        <is>
          <t>2002-01-01</t>
        </is>
      </c>
      <c r="C92" s="6" t="inlineStr">
        <is>
          <t>2002-12-31</t>
        </is>
      </c>
      <c r="D92" s="6" t="inlineStr">
        <is>
          <t>year</t>
        </is>
      </c>
      <c r="E92" s="6" t="inlineStr">
        <is>
          <t>ANDE_TARIFF_NATIONAL_AVG</t>
        </is>
      </c>
      <c r="F92" s="6" t="inlineStr">
        <is>
          <t>PY_SIN</t>
        </is>
      </c>
      <c r="G92" s="6" t="inlineStr">
        <is>
          <t>PY</t>
        </is>
      </c>
      <c r="H92" s="8" t="n">
        <v>275.4</v>
      </c>
      <c r="I92" s="6" t="inlineStr">
        <is>
          <t>Gs/kWh</t>
        </is>
      </c>
      <c r="J92" s="6" t="inlineStr">
        <is>
          <t>PYG</t>
        </is>
      </c>
      <c r="K92" s="6" t="inlineStr">
        <is>
          <t>ANDE</t>
        </is>
      </c>
      <c r="L92" s="6" t="inlineStr">
        <is>
          <t>OFFICIAL_PRIMARY</t>
        </is>
      </c>
      <c r="M92" s="9" t="inlineStr">
        <is>
          <t>OFFICIAL_AGGREGATE</t>
        </is>
      </c>
      <c r="N92" s="7" t="inlineStr">
        <is>
          <t>https://www.ande.gov.py/documentos_contables/157/compilacion_estadistica_1990-2010.pdf</t>
        </is>
      </c>
      <c r="O92" s="12" t="n">
        <v>75</v>
      </c>
      <c r="P92" s="4" t="inlineStr">
        <is>
          <t>Tarifa media anual sin impuestos segun compilacion.</t>
        </is>
      </c>
    </row>
    <row r="93">
      <c r="A93" s="6" t="inlineStr">
        <is>
          <t>P00092</t>
        </is>
      </c>
      <c r="B93" s="6" t="inlineStr">
        <is>
          <t>1990-01-01</t>
        </is>
      </c>
      <c r="C93" s="6" t="inlineStr">
        <is>
          <t>1990-12-31</t>
        </is>
      </c>
      <c r="D93" s="6" t="inlineStr">
        <is>
          <t>year</t>
        </is>
      </c>
      <c r="E93" s="6" t="inlineStr">
        <is>
          <t>ANDE_TARIFF_EXPORT_AVG</t>
        </is>
      </c>
      <c r="F93" s="6" t="inlineStr">
        <is>
          <t>PY_SIN</t>
        </is>
      </c>
      <c r="G93" s="6" t="inlineStr">
        <is>
          <t>PY</t>
        </is>
      </c>
      <c r="H93" s="8" t="n">
        <v>44.5</v>
      </c>
      <c r="I93" s="6" t="inlineStr">
        <is>
          <t>Gs/kWh</t>
        </is>
      </c>
      <c r="J93" s="6" t="inlineStr">
        <is>
          <t>PYG</t>
        </is>
      </c>
      <c r="K93" s="6" t="inlineStr">
        <is>
          <t>ANDE</t>
        </is>
      </c>
      <c r="L93" s="6" t="inlineStr">
        <is>
          <t>OFFICIAL_PRIMARY</t>
        </is>
      </c>
      <c r="M93" s="9" t="inlineStr">
        <is>
          <t>OFFICIAL_AGGREGATE</t>
        </is>
      </c>
      <c r="N93" s="7" t="inlineStr">
        <is>
          <t>https://www.ande.gov.py/documentos_contables/157/compilacion_estadistica_1990-2010.pdf</t>
        </is>
      </c>
      <c r="O93" s="12" t="n">
        <v>75</v>
      </c>
      <c r="P93" s="4" t="inlineStr">
        <is>
          <t>Tarifa media anual sin impuestos segun compilacion.</t>
        </is>
      </c>
    </row>
    <row r="94">
      <c r="A94" s="6" t="inlineStr">
        <is>
          <t>P00093</t>
        </is>
      </c>
      <c r="B94" s="6" t="inlineStr">
        <is>
          <t>1991-01-01</t>
        </is>
      </c>
      <c r="C94" s="6" t="inlineStr">
        <is>
          <t>1991-12-31</t>
        </is>
      </c>
      <c r="D94" s="6" t="inlineStr">
        <is>
          <t>year</t>
        </is>
      </c>
      <c r="E94" s="6" t="inlineStr">
        <is>
          <t>ANDE_TARIFF_EXPORT_AVG</t>
        </is>
      </c>
      <c r="F94" s="6" t="inlineStr">
        <is>
          <t>PY_SIN</t>
        </is>
      </c>
      <c r="G94" s="6" t="inlineStr">
        <is>
          <t>PY</t>
        </is>
      </c>
      <c r="H94" s="8" t="n">
        <v>44.6</v>
      </c>
      <c r="I94" s="6" t="inlineStr">
        <is>
          <t>Gs/kWh</t>
        </is>
      </c>
      <c r="J94" s="6" t="inlineStr">
        <is>
          <t>PYG</t>
        </is>
      </c>
      <c r="K94" s="6" t="inlineStr">
        <is>
          <t>ANDE</t>
        </is>
      </c>
      <c r="L94" s="6" t="inlineStr">
        <is>
          <t>OFFICIAL_PRIMARY</t>
        </is>
      </c>
      <c r="M94" s="9" t="inlineStr">
        <is>
          <t>OFFICIAL_AGGREGATE</t>
        </is>
      </c>
      <c r="N94" s="7" t="inlineStr">
        <is>
          <t>https://www.ande.gov.py/documentos_contables/157/compilacion_estadistica_1990-2010.pdf</t>
        </is>
      </c>
      <c r="O94" s="12" t="n">
        <v>75</v>
      </c>
      <c r="P94" s="4" t="inlineStr">
        <is>
          <t>Tarifa media anual sin impuestos segun compilacion.</t>
        </is>
      </c>
    </row>
    <row r="95">
      <c r="A95" s="6" t="inlineStr">
        <is>
          <t>P00094</t>
        </is>
      </c>
      <c r="B95" s="6" t="inlineStr">
        <is>
          <t>1992-01-01</t>
        </is>
      </c>
      <c r="C95" s="6" t="inlineStr">
        <is>
          <t>1992-12-31</t>
        </is>
      </c>
      <c r="D95" s="6" t="inlineStr">
        <is>
          <t>year</t>
        </is>
      </c>
      <c r="E95" s="6" t="inlineStr">
        <is>
          <t>ANDE_TARIFF_EXPORT_AVG</t>
        </is>
      </c>
      <c r="F95" s="6" t="inlineStr">
        <is>
          <t>PY_SIN</t>
        </is>
      </c>
      <c r="G95" s="6" t="inlineStr">
        <is>
          <t>PY</t>
        </is>
      </c>
      <c r="H95" s="8" t="n">
        <v>50.2</v>
      </c>
      <c r="I95" s="6" t="inlineStr">
        <is>
          <t>Gs/kWh</t>
        </is>
      </c>
      <c r="J95" s="6" t="inlineStr">
        <is>
          <t>PYG</t>
        </is>
      </c>
      <c r="K95" s="6" t="inlineStr">
        <is>
          <t>ANDE</t>
        </is>
      </c>
      <c r="L95" s="6" t="inlineStr">
        <is>
          <t>OFFICIAL_PRIMARY</t>
        </is>
      </c>
      <c r="M95" s="9" t="inlineStr">
        <is>
          <t>OFFICIAL_AGGREGATE</t>
        </is>
      </c>
      <c r="N95" s="7" t="inlineStr">
        <is>
          <t>https://www.ande.gov.py/documentos_contables/157/compilacion_estadistica_1990-2010.pdf</t>
        </is>
      </c>
      <c r="O95" s="12" t="n">
        <v>75</v>
      </c>
      <c r="P95" s="4" t="inlineStr">
        <is>
          <t>Tarifa media anual sin impuestos segun compilacion.</t>
        </is>
      </c>
    </row>
    <row r="96">
      <c r="A96" s="6" t="inlineStr">
        <is>
          <t>P00095</t>
        </is>
      </c>
      <c r="B96" s="6" t="inlineStr">
        <is>
          <t>1993-01-01</t>
        </is>
      </c>
      <c r="C96" s="6" t="inlineStr">
        <is>
          <t>1993-12-31</t>
        </is>
      </c>
      <c r="D96" s="6" t="inlineStr">
        <is>
          <t>year</t>
        </is>
      </c>
      <c r="E96" s="6" t="inlineStr">
        <is>
          <t>ANDE_TARIFF_EXPORT_AVG</t>
        </is>
      </c>
      <c r="F96" s="6" t="inlineStr">
        <is>
          <t>PY_SIN</t>
        </is>
      </c>
      <c r="G96" s="6" t="inlineStr">
        <is>
          <t>PY</t>
        </is>
      </c>
      <c r="H96" s="8" t="n">
        <v>65.90000000000001</v>
      </c>
      <c r="I96" s="6" t="inlineStr">
        <is>
          <t>Gs/kWh</t>
        </is>
      </c>
      <c r="J96" s="6" t="inlineStr">
        <is>
          <t>PYG</t>
        </is>
      </c>
      <c r="K96" s="6" t="inlineStr">
        <is>
          <t>ANDE</t>
        </is>
      </c>
      <c r="L96" s="6" t="inlineStr">
        <is>
          <t>OFFICIAL_PRIMARY</t>
        </is>
      </c>
      <c r="M96" s="9" t="inlineStr">
        <is>
          <t>OFFICIAL_AGGREGATE</t>
        </is>
      </c>
      <c r="N96" s="7" t="inlineStr">
        <is>
          <t>https://www.ande.gov.py/documentos_contables/157/compilacion_estadistica_1990-2010.pdf</t>
        </is>
      </c>
      <c r="O96" s="12" t="n">
        <v>75</v>
      </c>
      <c r="P96" s="4" t="inlineStr">
        <is>
          <t>Tarifa media anual sin impuestos segun compilacion.</t>
        </is>
      </c>
    </row>
    <row r="97">
      <c r="A97" s="6" t="inlineStr">
        <is>
          <t>P00096</t>
        </is>
      </c>
      <c r="B97" s="6" t="inlineStr">
        <is>
          <t>1994-01-01</t>
        </is>
      </c>
      <c r="C97" s="6" t="inlineStr">
        <is>
          <t>1994-12-31</t>
        </is>
      </c>
      <c r="D97" s="6" t="inlineStr">
        <is>
          <t>year</t>
        </is>
      </c>
      <c r="E97" s="6" t="inlineStr">
        <is>
          <t>ANDE_TARIFF_EXPORT_AVG</t>
        </is>
      </c>
      <c r="F97" s="6" t="inlineStr">
        <is>
          <t>PY_SIN</t>
        </is>
      </c>
      <c r="G97" s="6" t="inlineStr">
        <is>
          <t>PY</t>
        </is>
      </c>
      <c r="H97" s="8" t="n">
        <v>66.2</v>
      </c>
      <c r="I97" s="6" t="inlineStr">
        <is>
          <t>Gs/kWh</t>
        </is>
      </c>
      <c r="J97" s="6" t="inlineStr">
        <is>
          <t>PYG</t>
        </is>
      </c>
      <c r="K97" s="6" t="inlineStr">
        <is>
          <t>ANDE</t>
        </is>
      </c>
      <c r="L97" s="6" t="inlineStr">
        <is>
          <t>OFFICIAL_PRIMARY</t>
        </is>
      </c>
      <c r="M97" s="9" t="inlineStr">
        <is>
          <t>OFFICIAL_AGGREGATE</t>
        </is>
      </c>
      <c r="N97" s="7" t="inlineStr">
        <is>
          <t>https://www.ande.gov.py/documentos_contables/157/compilacion_estadistica_1990-2010.pdf</t>
        </is>
      </c>
      <c r="O97" s="12" t="n">
        <v>75</v>
      </c>
      <c r="P97" s="4" t="inlineStr">
        <is>
          <t>Tarifa media anual sin impuestos segun compilacion.</t>
        </is>
      </c>
    </row>
    <row r="98">
      <c r="A98" s="6" t="inlineStr">
        <is>
          <t>P00097</t>
        </is>
      </c>
      <c r="B98" s="6" t="inlineStr">
        <is>
          <t>1995-01-01</t>
        </is>
      </c>
      <c r="C98" s="6" t="inlineStr">
        <is>
          <t>1995-12-31</t>
        </is>
      </c>
      <c r="D98" s="6" t="inlineStr">
        <is>
          <t>year</t>
        </is>
      </c>
      <c r="E98" s="6" t="inlineStr">
        <is>
          <t>ANDE_TARIFF_EXPORT_AVG</t>
        </is>
      </c>
      <c r="F98" s="6" t="inlineStr">
        <is>
          <t>PY_SIN</t>
        </is>
      </c>
      <c r="G98" s="6" t="inlineStr">
        <is>
          <t>PY</t>
        </is>
      </c>
      <c r="H98" s="8" t="n">
        <v>78.7</v>
      </c>
      <c r="I98" s="6" t="inlineStr">
        <is>
          <t>Gs/kWh</t>
        </is>
      </c>
      <c r="J98" s="6" t="inlineStr">
        <is>
          <t>PYG</t>
        </is>
      </c>
      <c r="K98" s="6" t="inlineStr">
        <is>
          <t>ANDE</t>
        </is>
      </c>
      <c r="L98" s="6" t="inlineStr">
        <is>
          <t>OFFICIAL_PRIMARY</t>
        </is>
      </c>
      <c r="M98" s="9" t="inlineStr">
        <is>
          <t>OFFICIAL_AGGREGATE</t>
        </is>
      </c>
      <c r="N98" s="7" t="inlineStr">
        <is>
          <t>https://www.ande.gov.py/documentos_contables/157/compilacion_estadistica_1990-2010.pdf</t>
        </is>
      </c>
      <c r="O98" s="12" t="n">
        <v>75</v>
      </c>
      <c r="P98" s="4" t="inlineStr">
        <is>
          <t>Tarifa media anual sin impuestos segun compilacion.</t>
        </is>
      </c>
    </row>
    <row r="99">
      <c r="A99" s="6" t="inlineStr">
        <is>
          <t>P00098</t>
        </is>
      </c>
      <c r="B99" s="6" t="inlineStr">
        <is>
          <t>1996-01-01</t>
        </is>
      </c>
      <c r="C99" s="6" t="inlineStr">
        <is>
          <t>1996-12-31</t>
        </is>
      </c>
      <c r="D99" s="6" t="inlineStr">
        <is>
          <t>year</t>
        </is>
      </c>
      <c r="E99" s="6" t="inlineStr">
        <is>
          <t>ANDE_TARIFF_EXPORT_AVG</t>
        </is>
      </c>
      <c r="F99" s="6" t="inlineStr">
        <is>
          <t>PY_SIN</t>
        </is>
      </c>
      <c r="G99" s="6" t="inlineStr">
        <is>
          <t>PY</t>
        </is>
      </c>
      <c r="H99" s="8" t="n">
        <v>75.40000000000001</v>
      </c>
      <c r="I99" s="6" t="inlineStr">
        <is>
          <t>Gs/kWh</t>
        </is>
      </c>
      <c r="J99" s="6" t="inlineStr">
        <is>
          <t>PYG</t>
        </is>
      </c>
      <c r="K99" s="6" t="inlineStr">
        <is>
          <t>ANDE</t>
        </is>
      </c>
      <c r="L99" s="6" t="inlineStr">
        <is>
          <t>OFFICIAL_PRIMARY</t>
        </is>
      </c>
      <c r="M99" s="9" t="inlineStr">
        <is>
          <t>OFFICIAL_AGGREGATE</t>
        </is>
      </c>
      <c r="N99" s="7" t="inlineStr">
        <is>
          <t>https://www.ande.gov.py/documentos_contables/157/compilacion_estadistica_1990-2010.pdf</t>
        </is>
      </c>
      <c r="O99" s="12" t="n">
        <v>75</v>
      </c>
      <c r="P99" s="4" t="inlineStr">
        <is>
          <t>Tarifa media anual sin impuestos segun compilacion.</t>
        </is>
      </c>
    </row>
    <row r="100">
      <c r="A100" s="6" t="inlineStr">
        <is>
          <t>P00099</t>
        </is>
      </c>
      <c r="B100" s="6" t="inlineStr">
        <is>
          <t>1997-01-01</t>
        </is>
      </c>
      <c r="C100" s="6" t="inlineStr">
        <is>
          <t>1997-12-31</t>
        </is>
      </c>
      <c r="D100" s="6" t="inlineStr">
        <is>
          <t>year</t>
        </is>
      </c>
      <c r="E100" s="6" t="inlineStr">
        <is>
          <t>ANDE_TARIFF_EXPORT_AVG</t>
        </is>
      </c>
      <c r="F100" s="6" t="inlineStr">
        <is>
          <t>PY_SIN</t>
        </is>
      </c>
      <c r="G100" s="6" t="inlineStr">
        <is>
          <t>PY</t>
        </is>
      </c>
      <c r="H100" s="8" t="n">
        <v>55</v>
      </c>
      <c r="I100" s="6" t="inlineStr">
        <is>
          <t>Gs/kWh</t>
        </is>
      </c>
      <c r="J100" s="6" t="inlineStr">
        <is>
          <t>PYG</t>
        </is>
      </c>
      <c r="K100" s="6" t="inlineStr">
        <is>
          <t>ANDE</t>
        </is>
      </c>
      <c r="L100" s="6" t="inlineStr">
        <is>
          <t>OFFICIAL_PRIMARY</t>
        </is>
      </c>
      <c r="M100" s="9" t="inlineStr">
        <is>
          <t>OFFICIAL_AGGREGATE</t>
        </is>
      </c>
      <c r="N100" s="7" t="inlineStr">
        <is>
          <t>https://www.ande.gov.py/documentos_contables/157/compilacion_estadistica_1990-2010.pdf</t>
        </is>
      </c>
      <c r="O100" s="12" t="n">
        <v>75</v>
      </c>
      <c r="P100" s="4" t="inlineStr">
        <is>
          <t>Tarifa media anual sin impuestos segun compilacion.</t>
        </is>
      </c>
    </row>
    <row r="101">
      <c r="A101" s="6" t="inlineStr">
        <is>
          <t>P00100</t>
        </is>
      </c>
      <c r="B101" s="6" t="inlineStr">
        <is>
          <t>1998-01-01</t>
        </is>
      </c>
      <c r="C101" s="6" t="inlineStr">
        <is>
          <t>1998-12-31</t>
        </is>
      </c>
      <c r="D101" s="6" t="inlineStr">
        <is>
          <t>year</t>
        </is>
      </c>
      <c r="E101" s="6" t="inlineStr">
        <is>
          <t>ANDE_TARIFF_EXPORT_AVG</t>
        </is>
      </c>
      <c r="F101" s="6" t="inlineStr">
        <is>
          <t>PY_SIN</t>
        </is>
      </c>
      <c r="G101" s="6" t="inlineStr">
        <is>
          <t>PY</t>
        </is>
      </c>
      <c r="H101" s="8" t="n">
        <v>48.7</v>
      </c>
      <c r="I101" s="6" t="inlineStr">
        <is>
          <t>Gs/kWh</t>
        </is>
      </c>
      <c r="J101" s="6" t="inlineStr">
        <is>
          <t>PYG</t>
        </is>
      </c>
      <c r="K101" s="6" t="inlineStr">
        <is>
          <t>ANDE</t>
        </is>
      </c>
      <c r="L101" s="6" t="inlineStr">
        <is>
          <t>OFFICIAL_PRIMARY</t>
        </is>
      </c>
      <c r="M101" s="9" t="inlineStr">
        <is>
          <t>OFFICIAL_AGGREGATE</t>
        </is>
      </c>
      <c r="N101" s="7" t="inlineStr">
        <is>
          <t>https://www.ande.gov.py/documentos_contables/157/compilacion_estadistica_1990-2010.pdf</t>
        </is>
      </c>
      <c r="O101" s="12" t="n">
        <v>75</v>
      </c>
      <c r="P101" s="4" t="inlineStr">
        <is>
          <t>Tarifa media anual sin impuestos segun compilacion.</t>
        </is>
      </c>
    </row>
    <row r="102">
      <c r="A102" s="6" t="inlineStr">
        <is>
          <t>P00101</t>
        </is>
      </c>
      <c r="B102" s="6" t="inlineStr">
        <is>
          <t>1999-01-01</t>
        </is>
      </c>
      <c r="C102" s="6" t="inlineStr">
        <is>
          <t>1999-12-31</t>
        </is>
      </c>
      <c r="D102" s="6" t="inlineStr">
        <is>
          <t>year</t>
        </is>
      </c>
      <c r="E102" s="6" t="inlineStr">
        <is>
          <t>ANDE_TARIFF_EXPORT_AVG</t>
        </is>
      </c>
      <c r="F102" s="6" t="inlineStr">
        <is>
          <t>PY_SIN</t>
        </is>
      </c>
      <c r="G102" s="6" t="inlineStr">
        <is>
          <t>PY</t>
        </is>
      </c>
      <c r="H102" s="8" t="n">
        <v>40.2</v>
      </c>
      <c r="I102" s="6" t="inlineStr">
        <is>
          <t>Gs/kWh</t>
        </is>
      </c>
      <c r="J102" s="6" t="inlineStr">
        <is>
          <t>PYG</t>
        </is>
      </c>
      <c r="K102" s="6" t="inlineStr">
        <is>
          <t>ANDE</t>
        </is>
      </c>
      <c r="L102" s="6" t="inlineStr">
        <is>
          <t>OFFICIAL_PRIMARY</t>
        </is>
      </c>
      <c r="M102" s="9" t="inlineStr">
        <is>
          <t>OFFICIAL_AGGREGATE</t>
        </is>
      </c>
      <c r="N102" s="7" t="inlineStr">
        <is>
          <t>https://www.ande.gov.py/documentos_contables/157/compilacion_estadistica_1990-2010.pdf</t>
        </is>
      </c>
      <c r="O102" s="12" t="n">
        <v>75</v>
      </c>
      <c r="P102" s="4" t="inlineStr">
        <is>
          <t>Tarifa media anual sin impuestos segun compilacion.</t>
        </is>
      </c>
    </row>
    <row r="103">
      <c r="A103" s="6" t="inlineStr">
        <is>
          <t>P00102</t>
        </is>
      </c>
      <c r="B103" s="6" t="inlineStr">
        <is>
          <t>2000-01-01</t>
        </is>
      </c>
      <c r="C103" s="6" t="inlineStr">
        <is>
          <t>2000-12-31</t>
        </is>
      </c>
      <c r="D103" s="6" t="inlineStr">
        <is>
          <t>year</t>
        </is>
      </c>
      <c r="E103" s="6" t="inlineStr">
        <is>
          <t>ANDE_TARIFF_EXPORT_AVG</t>
        </is>
      </c>
      <c r="F103" s="6" t="inlineStr">
        <is>
          <t>PY_SIN</t>
        </is>
      </c>
      <c r="G103" s="6" t="inlineStr">
        <is>
          <t>PY</t>
        </is>
      </c>
      <c r="H103" s="8" t="n">
        <v>53.7</v>
      </c>
      <c r="I103" s="6" t="inlineStr">
        <is>
          <t>Gs/kWh</t>
        </is>
      </c>
      <c r="J103" s="6" t="inlineStr">
        <is>
          <t>PYG</t>
        </is>
      </c>
      <c r="K103" s="6" t="inlineStr">
        <is>
          <t>ANDE</t>
        </is>
      </c>
      <c r="L103" s="6" t="inlineStr">
        <is>
          <t>OFFICIAL_PRIMARY</t>
        </is>
      </c>
      <c r="M103" s="9" t="inlineStr">
        <is>
          <t>OFFICIAL_AGGREGATE</t>
        </is>
      </c>
      <c r="N103" s="7" t="inlineStr">
        <is>
          <t>https://www.ande.gov.py/documentos_contables/157/compilacion_estadistica_1990-2010.pdf</t>
        </is>
      </c>
      <c r="O103" s="12" t="n">
        <v>75</v>
      </c>
      <c r="P103" s="4" t="inlineStr">
        <is>
          <t>Tarifa media anual sin impuestos segun compilacion.</t>
        </is>
      </c>
    </row>
    <row r="104">
      <c r="A104" s="6" t="inlineStr">
        <is>
          <t>P00103</t>
        </is>
      </c>
      <c r="B104" s="6" t="inlineStr">
        <is>
          <t>2001-01-01</t>
        </is>
      </c>
      <c r="C104" s="6" t="inlineStr">
        <is>
          <t>2001-12-31</t>
        </is>
      </c>
      <c r="D104" s="6" t="inlineStr">
        <is>
          <t>year</t>
        </is>
      </c>
      <c r="E104" s="6" t="inlineStr">
        <is>
          <t>ANDE_TARIFF_EXPORT_AVG</t>
        </is>
      </c>
      <c r="F104" s="6" t="inlineStr">
        <is>
          <t>PY_SIN</t>
        </is>
      </c>
      <c r="G104" s="6" t="inlineStr">
        <is>
          <t>PY</t>
        </is>
      </c>
      <c r="H104" s="8" t="n">
        <v>60.9</v>
      </c>
      <c r="I104" s="6" t="inlineStr">
        <is>
          <t>Gs/kWh</t>
        </is>
      </c>
      <c r="J104" s="6" t="inlineStr">
        <is>
          <t>PYG</t>
        </is>
      </c>
      <c r="K104" s="6" t="inlineStr">
        <is>
          <t>ANDE</t>
        </is>
      </c>
      <c r="L104" s="6" t="inlineStr">
        <is>
          <t>OFFICIAL_PRIMARY</t>
        </is>
      </c>
      <c r="M104" s="9" t="inlineStr">
        <is>
          <t>OFFICIAL_AGGREGATE</t>
        </is>
      </c>
      <c r="N104" s="7" t="inlineStr">
        <is>
          <t>https://www.ande.gov.py/documentos_contables/157/compilacion_estadistica_1990-2010.pdf</t>
        </is>
      </c>
      <c r="O104" s="12" t="n">
        <v>75</v>
      </c>
      <c r="P104" s="4" t="inlineStr">
        <is>
          <t>Tarifa media anual sin impuestos segun compilacion.</t>
        </is>
      </c>
    </row>
    <row r="105">
      <c r="A105" s="6" t="inlineStr">
        <is>
          <t>P00104</t>
        </is>
      </c>
      <c r="B105" s="6" t="inlineStr">
        <is>
          <t>2002-01-01</t>
        </is>
      </c>
      <c r="C105" s="6" t="inlineStr">
        <is>
          <t>2002-12-31</t>
        </is>
      </c>
      <c r="D105" s="6" t="inlineStr">
        <is>
          <t>year</t>
        </is>
      </c>
      <c r="E105" s="6" t="inlineStr">
        <is>
          <t>ANDE_TARIFF_EXPORT_AVG</t>
        </is>
      </c>
      <c r="F105" s="6" t="inlineStr">
        <is>
          <t>PY_SIN</t>
        </is>
      </c>
      <c r="G105" s="6" t="inlineStr">
        <is>
          <t>PY</t>
        </is>
      </c>
      <c r="H105" s="8" t="n">
        <v>51.3</v>
      </c>
      <c r="I105" s="6" t="inlineStr">
        <is>
          <t>Gs/kWh</t>
        </is>
      </c>
      <c r="J105" s="6" t="inlineStr">
        <is>
          <t>PYG</t>
        </is>
      </c>
      <c r="K105" s="6" t="inlineStr">
        <is>
          <t>ANDE</t>
        </is>
      </c>
      <c r="L105" s="6" t="inlineStr">
        <is>
          <t>OFFICIAL_PRIMARY</t>
        </is>
      </c>
      <c r="M105" s="9" t="inlineStr">
        <is>
          <t>OFFICIAL_AGGREGATE</t>
        </is>
      </c>
      <c r="N105" s="7" t="inlineStr">
        <is>
          <t>https://www.ande.gov.py/documentos_contables/157/compilacion_estadistica_1990-2010.pdf</t>
        </is>
      </c>
      <c r="O105" s="12" t="n">
        <v>75</v>
      </c>
      <c r="P105" s="4" t="inlineStr">
        <is>
          <t>Tarifa media anual sin impuestos segun compilacion.</t>
        </is>
      </c>
    </row>
    <row r="106">
      <c r="A106" s="6" t="inlineStr">
        <is>
          <t>P00105</t>
        </is>
      </c>
      <c r="B106" s="6" t="inlineStr">
        <is>
          <t>1990-01-01</t>
        </is>
      </c>
      <c r="C106" s="6" t="inlineStr">
        <is>
          <t>1990-12-31</t>
        </is>
      </c>
      <c r="D106" s="6" t="inlineStr">
        <is>
          <t>year</t>
        </is>
      </c>
      <c r="E106" s="6" t="inlineStr">
        <is>
          <t>ANDE_TARIFF_GENERAL_AVG</t>
        </is>
      </c>
      <c r="F106" s="6" t="inlineStr">
        <is>
          <t>PY_SIN</t>
        </is>
      </c>
      <c r="G106" s="6" t="inlineStr">
        <is>
          <t>PY</t>
        </is>
      </c>
      <c r="H106" s="8" t="n">
        <v>51.7</v>
      </c>
      <c r="I106" s="6" t="inlineStr">
        <is>
          <t>Gs/kWh</t>
        </is>
      </c>
      <c r="J106" s="6" t="inlineStr">
        <is>
          <t>PYG</t>
        </is>
      </c>
      <c r="K106" s="6" t="inlineStr">
        <is>
          <t>ANDE</t>
        </is>
      </c>
      <c r="L106" s="6" t="inlineStr">
        <is>
          <t>OFFICIAL_PRIMARY</t>
        </is>
      </c>
      <c r="M106" s="9" t="inlineStr">
        <is>
          <t>OFFICIAL_AGGREGATE</t>
        </is>
      </c>
      <c r="N106" s="7" t="inlineStr">
        <is>
          <t>https://www.ande.gov.py/documentos_contables/157/compilacion_estadistica_1990-2010.pdf</t>
        </is>
      </c>
      <c r="O106" s="12" t="n">
        <v>75</v>
      </c>
      <c r="P106" s="4" t="inlineStr">
        <is>
          <t>Tarifa media anual sin impuestos segun compilacion.</t>
        </is>
      </c>
    </row>
    <row r="107">
      <c r="A107" s="6" t="inlineStr">
        <is>
          <t>P00106</t>
        </is>
      </c>
      <c r="B107" s="6" t="inlineStr">
        <is>
          <t>1991-01-01</t>
        </is>
      </c>
      <c r="C107" s="6" t="inlineStr">
        <is>
          <t>1991-12-31</t>
        </is>
      </c>
      <c r="D107" s="6" t="inlineStr">
        <is>
          <t>year</t>
        </is>
      </c>
      <c r="E107" s="6" t="inlineStr">
        <is>
          <t>ANDE_TARIFF_GENERAL_AVG</t>
        </is>
      </c>
      <c r="F107" s="6" t="inlineStr">
        <is>
          <t>PY_SIN</t>
        </is>
      </c>
      <c r="G107" s="6" t="inlineStr">
        <is>
          <t>PY</t>
        </is>
      </c>
      <c r="H107" s="8" t="n">
        <v>61.5</v>
      </c>
      <c r="I107" s="6" t="inlineStr">
        <is>
          <t>Gs/kWh</t>
        </is>
      </c>
      <c r="J107" s="6" t="inlineStr">
        <is>
          <t>PYG</t>
        </is>
      </c>
      <c r="K107" s="6" t="inlineStr">
        <is>
          <t>ANDE</t>
        </is>
      </c>
      <c r="L107" s="6" t="inlineStr">
        <is>
          <t>OFFICIAL_PRIMARY</t>
        </is>
      </c>
      <c r="M107" s="9" t="inlineStr">
        <is>
          <t>OFFICIAL_AGGREGATE</t>
        </is>
      </c>
      <c r="N107" s="7" t="inlineStr">
        <is>
          <t>https://www.ande.gov.py/documentos_contables/157/compilacion_estadistica_1990-2010.pdf</t>
        </is>
      </c>
      <c r="O107" s="12" t="n">
        <v>75</v>
      </c>
      <c r="P107" s="4" t="inlineStr">
        <is>
          <t>Tarifa media anual sin impuestos segun compilacion.</t>
        </is>
      </c>
    </row>
    <row r="108">
      <c r="A108" s="6" t="inlineStr">
        <is>
          <t>P00107</t>
        </is>
      </c>
      <c r="B108" s="6" t="inlineStr">
        <is>
          <t>1992-01-01</t>
        </is>
      </c>
      <c r="C108" s="6" t="inlineStr">
        <is>
          <t>1992-12-31</t>
        </is>
      </c>
      <c r="D108" s="6" t="inlineStr">
        <is>
          <t>year</t>
        </is>
      </c>
      <c r="E108" s="6" t="inlineStr">
        <is>
          <t>ANDE_TARIFF_GENERAL_AVG</t>
        </is>
      </c>
      <c r="F108" s="6" t="inlineStr">
        <is>
          <t>PY_SIN</t>
        </is>
      </c>
      <c r="G108" s="6" t="inlineStr">
        <is>
          <t>PY</t>
        </is>
      </c>
      <c r="H108" s="8" t="n">
        <v>61.4</v>
      </c>
      <c r="I108" s="6" t="inlineStr">
        <is>
          <t>Gs/kWh</t>
        </is>
      </c>
      <c r="J108" s="6" t="inlineStr">
        <is>
          <t>PYG</t>
        </is>
      </c>
      <c r="K108" s="6" t="inlineStr">
        <is>
          <t>ANDE</t>
        </is>
      </c>
      <c r="L108" s="6" t="inlineStr">
        <is>
          <t>OFFICIAL_PRIMARY</t>
        </is>
      </c>
      <c r="M108" s="9" t="inlineStr">
        <is>
          <t>OFFICIAL_AGGREGATE</t>
        </is>
      </c>
      <c r="N108" s="7" t="inlineStr">
        <is>
          <t>https://www.ande.gov.py/documentos_contables/157/compilacion_estadistica_1990-2010.pdf</t>
        </is>
      </c>
      <c r="O108" s="12" t="n">
        <v>75</v>
      </c>
      <c r="P108" s="4" t="inlineStr">
        <is>
          <t>Tarifa media anual sin impuestos segun compilacion.</t>
        </is>
      </c>
    </row>
    <row r="109">
      <c r="A109" s="6" t="inlineStr">
        <is>
          <t>P00108</t>
        </is>
      </c>
      <c r="B109" s="6" t="inlineStr">
        <is>
          <t>1993-01-01</t>
        </is>
      </c>
      <c r="C109" s="6" t="inlineStr">
        <is>
          <t>1993-12-31</t>
        </is>
      </c>
      <c r="D109" s="6" t="inlineStr">
        <is>
          <t>year</t>
        </is>
      </c>
      <c r="E109" s="6" t="inlineStr">
        <is>
          <t>ANDE_TARIFF_GENERAL_AVG</t>
        </is>
      </c>
      <c r="F109" s="6" t="inlineStr">
        <is>
          <t>PY_SIN</t>
        </is>
      </c>
      <c r="G109" s="6" t="inlineStr">
        <is>
          <t>PY</t>
        </is>
      </c>
      <c r="H109" s="8" t="n">
        <v>66.40000000000001</v>
      </c>
      <c r="I109" s="6" t="inlineStr">
        <is>
          <t>Gs/kWh</t>
        </is>
      </c>
      <c r="J109" s="6" t="inlineStr">
        <is>
          <t>PYG</t>
        </is>
      </c>
      <c r="K109" s="6" t="inlineStr">
        <is>
          <t>ANDE</t>
        </is>
      </c>
      <c r="L109" s="6" t="inlineStr">
        <is>
          <t>OFFICIAL_PRIMARY</t>
        </is>
      </c>
      <c r="M109" s="9" t="inlineStr">
        <is>
          <t>OFFICIAL_AGGREGATE</t>
        </is>
      </c>
      <c r="N109" s="7" t="inlineStr">
        <is>
          <t>https://www.ande.gov.py/documentos_contables/157/compilacion_estadistica_1990-2010.pdf</t>
        </is>
      </c>
      <c r="O109" s="12" t="n">
        <v>75</v>
      </c>
      <c r="P109" s="4" t="inlineStr">
        <is>
          <t>Tarifa media anual sin impuestos segun compilacion.</t>
        </is>
      </c>
    </row>
    <row r="110">
      <c r="A110" s="6" t="inlineStr">
        <is>
          <t>P00109</t>
        </is>
      </c>
      <c r="B110" s="6" t="inlineStr">
        <is>
          <t>1994-01-01</t>
        </is>
      </c>
      <c r="C110" s="6" t="inlineStr">
        <is>
          <t>1994-12-31</t>
        </is>
      </c>
      <c r="D110" s="6" t="inlineStr">
        <is>
          <t>year</t>
        </is>
      </c>
      <c r="E110" s="6" t="inlineStr">
        <is>
          <t>ANDE_TARIFF_GENERAL_AVG</t>
        </is>
      </c>
      <c r="F110" s="6" t="inlineStr">
        <is>
          <t>PY_SIN</t>
        </is>
      </c>
      <c r="G110" s="6" t="inlineStr">
        <is>
          <t>PY</t>
        </is>
      </c>
      <c r="H110" s="8" t="n">
        <v>79.8</v>
      </c>
      <c r="I110" s="6" t="inlineStr">
        <is>
          <t>Gs/kWh</t>
        </is>
      </c>
      <c r="J110" s="6" t="inlineStr">
        <is>
          <t>PYG</t>
        </is>
      </c>
      <c r="K110" s="6" t="inlineStr">
        <is>
          <t>ANDE</t>
        </is>
      </c>
      <c r="L110" s="6" t="inlineStr">
        <is>
          <t>OFFICIAL_PRIMARY</t>
        </is>
      </c>
      <c r="M110" s="9" t="inlineStr">
        <is>
          <t>OFFICIAL_AGGREGATE</t>
        </is>
      </c>
      <c r="N110" s="7" t="inlineStr">
        <is>
          <t>https://www.ande.gov.py/documentos_contables/157/compilacion_estadistica_1990-2010.pdf</t>
        </is>
      </c>
      <c r="O110" s="12" t="n">
        <v>75</v>
      </c>
      <c r="P110" s="4" t="inlineStr">
        <is>
          <t>Tarifa media anual sin impuestos segun compilacion.</t>
        </is>
      </c>
    </row>
    <row r="111">
      <c r="A111" s="6" t="inlineStr">
        <is>
          <t>P00110</t>
        </is>
      </c>
      <c r="B111" s="6" t="inlineStr">
        <is>
          <t>1995-01-01</t>
        </is>
      </c>
      <c r="C111" s="6" t="inlineStr">
        <is>
          <t>1995-12-31</t>
        </is>
      </c>
      <c r="D111" s="6" t="inlineStr">
        <is>
          <t>year</t>
        </is>
      </c>
      <c r="E111" s="6" t="inlineStr">
        <is>
          <t>ANDE_TARIFF_GENERAL_AVG</t>
        </is>
      </c>
      <c r="F111" s="6" t="inlineStr">
        <is>
          <t>PY_SIN</t>
        </is>
      </c>
      <c r="G111" s="6" t="inlineStr">
        <is>
          <t>PY</t>
        </is>
      </c>
      <c r="H111" s="8" t="n">
        <v>88.7</v>
      </c>
      <c r="I111" s="6" t="inlineStr">
        <is>
          <t>Gs/kWh</t>
        </is>
      </c>
      <c r="J111" s="6" t="inlineStr">
        <is>
          <t>PYG</t>
        </is>
      </c>
      <c r="K111" s="6" t="inlineStr">
        <is>
          <t>ANDE</t>
        </is>
      </c>
      <c r="L111" s="6" t="inlineStr">
        <is>
          <t>OFFICIAL_PRIMARY</t>
        </is>
      </c>
      <c r="M111" s="9" t="inlineStr">
        <is>
          <t>OFFICIAL_AGGREGATE</t>
        </is>
      </c>
      <c r="N111" s="7" t="inlineStr">
        <is>
          <t>https://www.ande.gov.py/documentos_contables/157/compilacion_estadistica_1990-2010.pdf</t>
        </is>
      </c>
      <c r="O111" s="12" t="n">
        <v>75</v>
      </c>
      <c r="P111" s="4" t="inlineStr">
        <is>
          <t>Tarifa media anual sin impuestos segun compilacion.</t>
        </is>
      </c>
    </row>
    <row r="112">
      <c r="A112" s="6" t="inlineStr">
        <is>
          <t>P00111</t>
        </is>
      </c>
      <c r="B112" s="6" t="inlineStr">
        <is>
          <t>1996-01-01</t>
        </is>
      </c>
      <c r="C112" s="6" t="inlineStr">
        <is>
          <t>1996-12-31</t>
        </is>
      </c>
      <c r="D112" s="6" t="inlineStr">
        <is>
          <t>year</t>
        </is>
      </c>
      <c r="E112" s="6" t="inlineStr">
        <is>
          <t>ANDE_TARIFF_GENERAL_AVG</t>
        </is>
      </c>
      <c r="F112" s="6" t="inlineStr">
        <is>
          <t>PY_SIN</t>
        </is>
      </c>
      <c r="G112" s="6" t="inlineStr">
        <is>
          <t>PY</t>
        </is>
      </c>
      <c r="H112" s="8" t="n">
        <v>108.6</v>
      </c>
      <c r="I112" s="6" t="inlineStr">
        <is>
          <t>Gs/kWh</t>
        </is>
      </c>
      <c r="J112" s="6" t="inlineStr">
        <is>
          <t>PYG</t>
        </is>
      </c>
      <c r="K112" s="6" t="inlineStr">
        <is>
          <t>ANDE</t>
        </is>
      </c>
      <c r="L112" s="6" t="inlineStr">
        <is>
          <t>OFFICIAL_PRIMARY</t>
        </is>
      </c>
      <c r="M112" s="9" t="inlineStr">
        <is>
          <t>OFFICIAL_AGGREGATE</t>
        </is>
      </c>
      <c r="N112" s="7" t="inlineStr">
        <is>
          <t>https://www.ande.gov.py/documentos_contables/157/compilacion_estadistica_1990-2010.pdf</t>
        </is>
      </c>
      <c r="O112" s="12" t="n">
        <v>75</v>
      </c>
      <c r="P112" s="4" t="inlineStr">
        <is>
          <t>Tarifa media anual sin impuestos segun compilacion.</t>
        </is>
      </c>
    </row>
    <row r="113">
      <c r="A113" s="6" t="inlineStr">
        <is>
          <t>P00112</t>
        </is>
      </c>
      <c r="B113" s="6" t="inlineStr">
        <is>
          <t>1997-01-01</t>
        </is>
      </c>
      <c r="C113" s="6" t="inlineStr">
        <is>
          <t>1997-12-31</t>
        </is>
      </c>
      <c r="D113" s="6" t="inlineStr">
        <is>
          <t>year</t>
        </is>
      </c>
      <c r="E113" s="6" t="inlineStr">
        <is>
          <t>ANDE_TARIFF_GENERAL_AVG</t>
        </is>
      </c>
      <c r="F113" s="6" t="inlineStr">
        <is>
          <t>PY_SIN</t>
        </is>
      </c>
      <c r="G113" s="6" t="inlineStr">
        <is>
          <t>PY</t>
        </is>
      </c>
      <c r="H113" s="8" t="n">
        <v>122.7</v>
      </c>
      <c r="I113" s="6" t="inlineStr">
        <is>
          <t>Gs/kWh</t>
        </is>
      </c>
      <c r="J113" s="6" t="inlineStr">
        <is>
          <t>PYG</t>
        </is>
      </c>
      <c r="K113" s="6" t="inlineStr">
        <is>
          <t>ANDE</t>
        </is>
      </c>
      <c r="L113" s="6" t="inlineStr">
        <is>
          <t>OFFICIAL_PRIMARY</t>
        </is>
      </c>
      <c r="M113" s="9" t="inlineStr">
        <is>
          <t>OFFICIAL_AGGREGATE</t>
        </is>
      </c>
      <c r="N113" s="7" t="inlineStr">
        <is>
          <t>https://www.ande.gov.py/documentos_contables/157/compilacion_estadistica_1990-2010.pdf</t>
        </is>
      </c>
      <c r="O113" s="12" t="n">
        <v>75</v>
      </c>
      <c r="P113" s="4" t="inlineStr">
        <is>
          <t>Tarifa media anual sin impuestos segun compilacion.</t>
        </is>
      </c>
    </row>
    <row r="114">
      <c r="A114" s="6" t="inlineStr">
        <is>
          <t>P00113</t>
        </is>
      </c>
      <c r="B114" s="6" t="inlineStr">
        <is>
          <t>1998-01-01</t>
        </is>
      </c>
      <c r="C114" s="6" t="inlineStr">
        <is>
          <t>1998-12-31</t>
        </is>
      </c>
      <c r="D114" s="6" t="inlineStr">
        <is>
          <t>year</t>
        </is>
      </c>
      <c r="E114" s="6" t="inlineStr">
        <is>
          <t>ANDE_TARIFF_GENERAL_AVG</t>
        </is>
      </c>
      <c r="F114" s="6" t="inlineStr">
        <is>
          <t>PY_SIN</t>
        </is>
      </c>
      <c r="G114" s="6" t="inlineStr">
        <is>
          <t>PY</t>
        </is>
      </c>
      <c r="H114" s="8" t="n">
        <v>146.1</v>
      </c>
      <c r="I114" s="6" t="inlineStr">
        <is>
          <t>Gs/kWh</t>
        </is>
      </c>
      <c r="J114" s="6" t="inlineStr">
        <is>
          <t>PYG</t>
        </is>
      </c>
      <c r="K114" s="6" t="inlineStr">
        <is>
          <t>ANDE</t>
        </is>
      </c>
      <c r="L114" s="6" t="inlineStr">
        <is>
          <t>OFFICIAL_PRIMARY</t>
        </is>
      </c>
      <c r="M114" s="9" t="inlineStr">
        <is>
          <t>OFFICIAL_AGGREGATE</t>
        </is>
      </c>
      <c r="N114" s="7" t="inlineStr">
        <is>
          <t>https://www.ande.gov.py/documentos_contables/157/compilacion_estadistica_1990-2010.pdf</t>
        </is>
      </c>
      <c r="O114" s="12" t="n">
        <v>75</v>
      </c>
      <c r="P114" s="4" t="inlineStr">
        <is>
          <t>Tarifa media anual sin impuestos segun compilacion.</t>
        </is>
      </c>
    </row>
    <row r="115">
      <c r="A115" s="6" t="inlineStr">
        <is>
          <t>P00114</t>
        </is>
      </c>
      <c r="B115" s="6" t="inlineStr">
        <is>
          <t>1999-01-01</t>
        </is>
      </c>
      <c r="C115" s="6" t="inlineStr">
        <is>
          <t>1999-12-31</t>
        </is>
      </c>
      <c r="D115" s="6" t="inlineStr">
        <is>
          <t>year</t>
        </is>
      </c>
      <c r="E115" s="6" t="inlineStr">
        <is>
          <t>ANDE_TARIFF_GENERAL_AVG</t>
        </is>
      </c>
      <c r="F115" s="6" t="inlineStr">
        <is>
          <t>PY_SIN</t>
        </is>
      </c>
      <c r="G115" s="6" t="inlineStr">
        <is>
          <t>PY</t>
        </is>
      </c>
      <c r="H115" s="8" t="n">
        <v>136.1</v>
      </c>
      <c r="I115" s="6" t="inlineStr">
        <is>
          <t>Gs/kWh</t>
        </is>
      </c>
      <c r="J115" s="6" t="inlineStr">
        <is>
          <t>PYG</t>
        </is>
      </c>
      <c r="K115" s="6" t="inlineStr">
        <is>
          <t>ANDE</t>
        </is>
      </c>
      <c r="L115" s="6" t="inlineStr">
        <is>
          <t>OFFICIAL_PRIMARY</t>
        </is>
      </c>
      <c r="M115" s="9" t="inlineStr">
        <is>
          <t>OFFICIAL_AGGREGATE</t>
        </is>
      </c>
      <c r="N115" s="7" t="inlineStr">
        <is>
          <t>https://www.ande.gov.py/documentos_contables/157/compilacion_estadistica_1990-2010.pdf</t>
        </is>
      </c>
      <c r="O115" s="12" t="n">
        <v>75</v>
      </c>
      <c r="P115" s="4" t="inlineStr">
        <is>
          <t>Tarifa media anual sin impuestos segun compilacion.</t>
        </is>
      </c>
    </row>
    <row r="116">
      <c r="A116" s="6" t="inlineStr">
        <is>
          <t>P00115</t>
        </is>
      </c>
      <c r="B116" s="6" t="inlineStr">
        <is>
          <t>2000-01-01</t>
        </is>
      </c>
      <c r="C116" s="6" t="inlineStr">
        <is>
          <t>2000-12-31</t>
        </is>
      </c>
      <c r="D116" s="6" t="inlineStr">
        <is>
          <t>year</t>
        </is>
      </c>
      <c r="E116" s="6" t="inlineStr">
        <is>
          <t>ANDE_TARIFF_GENERAL_AVG</t>
        </is>
      </c>
      <c r="F116" s="6" t="inlineStr">
        <is>
          <t>PY_SIN</t>
        </is>
      </c>
      <c r="G116" s="6" t="inlineStr">
        <is>
          <t>PY</t>
        </is>
      </c>
      <c r="H116" s="8" t="n">
        <v>146.4</v>
      </c>
      <c r="I116" s="6" t="inlineStr">
        <is>
          <t>Gs/kWh</t>
        </is>
      </c>
      <c r="J116" s="6" t="inlineStr">
        <is>
          <t>PYG</t>
        </is>
      </c>
      <c r="K116" s="6" t="inlineStr">
        <is>
          <t>ANDE</t>
        </is>
      </c>
      <c r="L116" s="6" t="inlineStr">
        <is>
          <t>OFFICIAL_PRIMARY</t>
        </is>
      </c>
      <c r="M116" s="9" t="inlineStr">
        <is>
          <t>OFFICIAL_AGGREGATE</t>
        </is>
      </c>
      <c r="N116" s="7" t="inlineStr">
        <is>
          <t>https://www.ande.gov.py/documentos_contables/157/compilacion_estadistica_1990-2010.pdf</t>
        </is>
      </c>
      <c r="O116" s="12" t="n">
        <v>75</v>
      </c>
      <c r="P116" s="4" t="inlineStr">
        <is>
          <t>Tarifa media anual sin impuestos segun compilacion.</t>
        </is>
      </c>
    </row>
    <row r="117">
      <c r="A117" s="6" t="inlineStr">
        <is>
          <t>P00116</t>
        </is>
      </c>
      <c r="B117" s="6" t="inlineStr">
        <is>
          <t>2001-01-01</t>
        </is>
      </c>
      <c r="C117" s="6" t="inlineStr">
        <is>
          <t>2001-12-31</t>
        </is>
      </c>
      <c r="D117" s="6" t="inlineStr">
        <is>
          <t>year</t>
        </is>
      </c>
      <c r="E117" s="6" t="inlineStr">
        <is>
          <t>ANDE_TARIFF_GENERAL_AVG</t>
        </is>
      </c>
      <c r="F117" s="6" t="inlineStr">
        <is>
          <t>PY_SIN</t>
        </is>
      </c>
      <c r="G117" s="6" t="inlineStr">
        <is>
          <t>PY</t>
        </is>
      </c>
      <c r="H117" s="8" t="n">
        <v>192.5</v>
      </c>
      <c r="I117" s="6" t="inlineStr">
        <is>
          <t>Gs/kWh</t>
        </is>
      </c>
      <c r="J117" s="6" t="inlineStr">
        <is>
          <t>PYG</t>
        </is>
      </c>
      <c r="K117" s="6" t="inlineStr">
        <is>
          <t>ANDE</t>
        </is>
      </c>
      <c r="L117" s="6" t="inlineStr">
        <is>
          <t>OFFICIAL_PRIMARY</t>
        </is>
      </c>
      <c r="M117" s="9" t="inlineStr">
        <is>
          <t>OFFICIAL_AGGREGATE</t>
        </is>
      </c>
      <c r="N117" s="7" t="inlineStr">
        <is>
          <t>https://www.ande.gov.py/documentos_contables/157/compilacion_estadistica_1990-2010.pdf</t>
        </is>
      </c>
      <c r="O117" s="12" t="n">
        <v>75</v>
      </c>
      <c r="P117" s="4" t="inlineStr">
        <is>
          <t>Tarifa media anual sin impuestos segun compilacion.</t>
        </is>
      </c>
    </row>
    <row r="118">
      <c r="A118" s="6" t="inlineStr">
        <is>
          <t>P00117</t>
        </is>
      </c>
      <c r="B118" s="6" t="inlineStr">
        <is>
          <t>2002-01-01</t>
        </is>
      </c>
      <c r="C118" s="6" t="inlineStr">
        <is>
          <t>2002-12-31</t>
        </is>
      </c>
      <c r="D118" s="6" t="inlineStr">
        <is>
          <t>year</t>
        </is>
      </c>
      <c r="E118" s="6" t="inlineStr">
        <is>
          <t>ANDE_TARIFF_GENERAL_AVG</t>
        </is>
      </c>
      <c r="F118" s="6" t="inlineStr">
        <is>
          <t>PY_SIN</t>
        </is>
      </c>
      <c r="G118" s="6" t="inlineStr">
        <is>
          <t>PY</t>
        </is>
      </c>
      <c r="H118" s="8" t="n">
        <v>245.9</v>
      </c>
      <c r="I118" s="6" t="inlineStr">
        <is>
          <t>Gs/kWh</t>
        </is>
      </c>
      <c r="J118" s="6" t="inlineStr">
        <is>
          <t>PYG</t>
        </is>
      </c>
      <c r="K118" s="6" t="inlineStr">
        <is>
          <t>ANDE</t>
        </is>
      </c>
      <c r="L118" s="6" t="inlineStr">
        <is>
          <t>OFFICIAL_PRIMARY</t>
        </is>
      </c>
      <c r="M118" s="9" t="inlineStr">
        <is>
          <t>OFFICIAL_AGGREGATE</t>
        </is>
      </c>
      <c r="N118" s="7" t="inlineStr">
        <is>
          <t>https://www.ande.gov.py/documentos_contables/157/compilacion_estadistica_1990-2010.pdf</t>
        </is>
      </c>
      <c r="O118" s="12" t="n">
        <v>75</v>
      </c>
      <c r="P118" s="4" t="inlineStr">
        <is>
          <t>Tarifa media anual sin impuestos segun compilacion.</t>
        </is>
      </c>
    </row>
    <row r="119">
      <c r="A119" s="6" t="inlineStr">
        <is>
          <t>P00118</t>
        </is>
      </c>
      <c r="B119" s="6" t="inlineStr">
        <is>
          <t>2003-01-01</t>
        </is>
      </c>
      <c r="C119" s="6" t="inlineStr">
        <is>
          <t>2003-12-31</t>
        </is>
      </c>
      <c r="D119" s="6" t="inlineStr">
        <is>
          <t>year</t>
        </is>
      </c>
      <c r="E119" s="6" t="inlineStr">
        <is>
          <t>ANDE_TARIFF_RESIDENTIAL</t>
        </is>
      </c>
      <c r="F119" s="6" t="inlineStr">
        <is>
          <t>PY_SIN</t>
        </is>
      </c>
      <c r="G119" s="6" t="inlineStr">
        <is>
          <t>PY</t>
        </is>
      </c>
      <c r="H119" s="8" t="n">
        <v>348.4</v>
      </c>
      <c r="I119" s="6" t="inlineStr">
        <is>
          <t>Gs/kWh</t>
        </is>
      </c>
      <c r="J119" s="6" t="inlineStr">
        <is>
          <t>PYG</t>
        </is>
      </c>
      <c r="K119" s="6" t="inlineStr">
        <is>
          <t>ANDE</t>
        </is>
      </c>
      <c r="L119" s="6" t="inlineStr">
        <is>
          <t>OFFICIAL_PRIMARY</t>
        </is>
      </c>
      <c r="M119" s="9" t="inlineStr">
        <is>
          <t>OFFICIAL_AGGREGATE</t>
        </is>
      </c>
      <c r="N119" s="7" t="inlineStr">
        <is>
          <t>https://www.ande.gov.py/finanzas/2.%20COMPILACION%20ESTADISTICA%202003-2023/ANDE%20-%20Compilacion%20Estadistica%202003-2023.pdf</t>
        </is>
      </c>
      <c r="O119" s="12" t="n">
        <v>90</v>
      </c>
      <c r="P119" s="4" t="inlineStr">
        <is>
          <t>Serie de compilacion 2003-2023.</t>
        </is>
      </c>
    </row>
    <row r="120">
      <c r="A120" s="6" t="inlineStr">
        <is>
          <t>P00119</t>
        </is>
      </c>
      <c r="B120" s="6" t="inlineStr">
        <is>
          <t>2004-01-01</t>
        </is>
      </c>
      <c r="C120" s="6" t="inlineStr">
        <is>
          <t>2004-12-31</t>
        </is>
      </c>
      <c r="D120" s="6" t="inlineStr">
        <is>
          <t>year</t>
        </is>
      </c>
      <c r="E120" s="6" t="inlineStr">
        <is>
          <t>ANDE_TARIFF_RESIDENTIAL</t>
        </is>
      </c>
      <c r="F120" s="6" t="inlineStr">
        <is>
          <t>PY_SIN</t>
        </is>
      </c>
      <c r="G120" s="6" t="inlineStr">
        <is>
          <t>PY</t>
        </is>
      </c>
      <c r="H120" s="8" t="n">
        <v>349.6</v>
      </c>
      <c r="I120" s="6" t="inlineStr">
        <is>
          <t>Gs/kWh</t>
        </is>
      </c>
      <c r="J120" s="6" t="inlineStr">
        <is>
          <t>PYG</t>
        </is>
      </c>
      <c r="K120" s="6" t="inlineStr">
        <is>
          <t>ANDE</t>
        </is>
      </c>
      <c r="L120" s="6" t="inlineStr">
        <is>
          <t>OFFICIAL_PRIMARY</t>
        </is>
      </c>
      <c r="M120" s="9" t="inlineStr">
        <is>
          <t>OFFICIAL_AGGREGATE</t>
        </is>
      </c>
      <c r="N120" s="7" t="inlineStr">
        <is>
          <t>https://www.ande.gov.py/finanzas/2.%20COMPILACION%20ESTADISTICA%202003-2023/ANDE%20-%20Compilacion%20Estadistica%202003-2023.pdf</t>
        </is>
      </c>
      <c r="O120" s="12" t="n">
        <v>90</v>
      </c>
      <c r="P120" s="4" t="inlineStr">
        <is>
          <t>Serie de compilacion 2003-2023.</t>
        </is>
      </c>
    </row>
    <row r="121">
      <c r="A121" s="6" t="inlineStr">
        <is>
          <t>P00120</t>
        </is>
      </c>
      <c r="B121" s="6" t="inlineStr">
        <is>
          <t>2005-01-01</t>
        </is>
      </c>
      <c r="C121" s="6" t="inlineStr">
        <is>
          <t>2005-12-31</t>
        </is>
      </c>
      <c r="D121" s="6" t="inlineStr">
        <is>
          <t>year</t>
        </is>
      </c>
      <c r="E121" s="6" t="inlineStr">
        <is>
          <t>ANDE_TARIFF_RESIDENTIAL</t>
        </is>
      </c>
      <c r="F121" s="6" t="inlineStr">
        <is>
          <t>PY_SIN</t>
        </is>
      </c>
      <c r="G121" s="6" t="inlineStr">
        <is>
          <t>PY</t>
        </is>
      </c>
      <c r="H121" s="8" t="n">
        <v>352.3</v>
      </c>
      <c r="I121" s="6" t="inlineStr">
        <is>
          <t>Gs/kWh</t>
        </is>
      </c>
      <c r="J121" s="6" t="inlineStr">
        <is>
          <t>PYG</t>
        </is>
      </c>
      <c r="K121" s="6" t="inlineStr">
        <is>
          <t>ANDE</t>
        </is>
      </c>
      <c r="L121" s="6" t="inlineStr">
        <is>
          <t>OFFICIAL_PRIMARY</t>
        </is>
      </c>
      <c r="M121" s="9" t="inlineStr">
        <is>
          <t>OFFICIAL_AGGREGATE</t>
        </is>
      </c>
      <c r="N121" s="7" t="inlineStr">
        <is>
          <t>https://www.ande.gov.py/finanzas/2.%20COMPILACION%20ESTADISTICA%202003-2023/ANDE%20-%20Compilacion%20Estadistica%202003-2023.pdf</t>
        </is>
      </c>
      <c r="O121" s="12" t="n">
        <v>90</v>
      </c>
      <c r="P121" s="4" t="inlineStr">
        <is>
          <t>Serie de compilacion 2003-2023.</t>
        </is>
      </c>
    </row>
    <row r="122">
      <c r="A122" s="6" t="inlineStr">
        <is>
          <t>P00121</t>
        </is>
      </c>
      <c r="B122" s="6" t="inlineStr">
        <is>
          <t>2006-01-01</t>
        </is>
      </c>
      <c r="C122" s="6" t="inlineStr">
        <is>
          <t>2006-12-31</t>
        </is>
      </c>
      <c r="D122" s="6" t="inlineStr">
        <is>
          <t>year</t>
        </is>
      </c>
      <c r="E122" s="6" t="inlineStr">
        <is>
          <t>ANDE_TARIFF_RESIDENTIAL</t>
        </is>
      </c>
      <c r="F122" s="6" t="inlineStr">
        <is>
          <t>PY_SIN</t>
        </is>
      </c>
      <c r="G122" s="6" t="inlineStr">
        <is>
          <t>PY</t>
        </is>
      </c>
      <c r="H122" s="8" t="n">
        <v>351.9</v>
      </c>
      <c r="I122" s="6" t="inlineStr">
        <is>
          <t>Gs/kWh</t>
        </is>
      </c>
      <c r="J122" s="6" t="inlineStr">
        <is>
          <t>PYG</t>
        </is>
      </c>
      <c r="K122" s="6" t="inlineStr">
        <is>
          <t>ANDE</t>
        </is>
      </c>
      <c r="L122" s="6" t="inlineStr">
        <is>
          <t>OFFICIAL_PRIMARY</t>
        </is>
      </c>
      <c r="M122" s="9" t="inlineStr">
        <is>
          <t>OFFICIAL_AGGREGATE</t>
        </is>
      </c>
      <c r="N122" s="7" t="inlineStr">
        <is>
          <t>https://www.ande.gov.py/finanzas/2.%20COMPILACION%20ESTADISTICA%202003-2023/ANDE%20-%20Compilacion%20Estadistica%202003-2023.pdf</t>
        </is>
      </c>
      <c r="O122" s="12" t="n">
        <v>90</v>
      </c>
      <c r="P122" s="4" t="inlineStr">
        <is>
          <t>Serie de compilacion 2003-2023.</t>
        </is>
      </c>
    </row>
    <row r="123">
      <c r="A123" s="6" t="inlineStr">
        <is>
          <t>P00122</t>
        </is>
      </c>
      <c r="B123" s="6" t="inlineStr">
        <is>
          <t>2007-01-01</t>
        </is>
      </c>
      <c r="C123" s="6" t="inlineStr">
        <is>
          <t>2007-12-31</t>
        </is>
      </c>
      <c r="D123" s="6" t="inlineStr">
        <is>
          <t>year</t>
        </is>
      </c>
      <c r="E123" s="6" t="inlineStr">
        <is>
          <t>ANDE_TARIFF_RESIDENTIAL</t>
        </is>
      </c>
      <c r="F123" s="6" t="inlineStr">
        <is>
          <t>PY_SIN</t>
        </is>
      </c>
      <c r="G123" s="6" t="inlineStr">
        <is>
          <t>PY</t>
        </is>
      </c>
      <c r="H123" s="8" t="n">
        <v>355.8</v>
      </c>
      <c r="I123" s="6" t="inlineStr">
        <is>
          <t>Gs/kWh</t>
        </is>
      </c>
      <c r="J123" s="6" t="inlineStr">
        <is>
          <t>PYG</t>
        </is>
      </c>
      <c r="K123" s="6" t="inlineStr">
        <is>
          <t>ANDE</t>
        </is>
      </c>
      <c r="L123" s="6" t="inlineStr">
        <is>
          <t>OFFICIAL_PRIMARY</t>
        </is>
      </c>
      <c r="M123" s="9" t="inlineStr">
        <is>
          <t>OFFICIAL_AGGREGATE</t>
        </is>
      </c>
      <c r="N123" s="7" t="inlineStr">
        <is>
          <t>https://www.ande.gov.py/finanzas/2.%20COMPILACION%20ESTADISTICA%202003-2023/ANDE%20-%20Compilacion%20Estadistica%202003-2023.pdf</t>
        </is>
      </c>
      <c r="O123" s="12" t="n">
        <v>90</v>
      </c>
      <c r="P123" s="4" t="inlineStr">
        <is>
          <t>Serie de compilacion 2003-2023.</t>
        </is>
      </c>
    </row>
    <row r="124">
      <c r="A124" s="6" t="inlineStr">
        <is>
          <t>P00123</t>
        </is>
      </c>
      <c r="B124" s="6" t="inlineStr">
        <is>
          <t>2008-01-01</t>
        </is>
      </c>
      <c r="C124" s="6" t="inlineStr">
        <is>
          <t>2008-12-31</t>
        </is>
      </c>
      <c r="D124" s="6" t="inlineStr">
        <is>
          <t>year</t>
        </is>
      </c>
      <c r="E124" s="6" t="inlineStr">
        <is>
          <t>ANDE_TARIFF_RESIDENTIAL</t>
        </is>
      </c>
      <c r="F124" s="6" t="inlineStr">
        <is>
          <t>PY_SIN</t>
        </is>
      </c>
      <c r="G124" s="6" t="inlineStr">
        <is>
          <t>PY</t>
        </is>
      </c>
      <c r="H124" s="8" t="n">
        <v>353.4</v>
      </c>
      <c r="I124" s="6" t="inlineStr">
        <is>
          <t>Gs/kWh</t>
        </is>
      </c>
      <c r="J124" s="6" t="inlineStr">
        <is>
          <t>PYG</t>
        </is>
      </c>
      <c r="K124" s="6" t="inlineStr">
        <is>
          <t>ANDE</t>
        </is>
      </c>
      <c r="L124" s="6" t="inlineStr">
        <is>
          <t>OFFICIAL_PRIMARY</t>
        </is>
      </c>
      <c r="M124" s="9" t="inlineStr">
        <is>
          <t>OFFICIAL_AGGREGATE</t>
        </is>
      </c>
      <c r="N124" s="7" t="inlineStr">
        <is>
          <t>https://www.ande.gov.py/finanzas/2.%20COMPILACION%20ESTADISTICA%202003-2023/ANDE%20-%20Compilacion%20Estadistica%202003-2023.pdf</t>
        </is>
      </c>
      <c r="O124" s="12" t="n">
        <v>90</v>
      </c>
      <c r="P124" s="4" t="inlineStr">
        <is>
          <t>Serie de compilacion 2003-2023.</t>
        </is>
      </c>
    </row>
    <row r="125">
      <c r="A125" s="6" t="inlineStr">
        <is>
          <t>P00124</t>
        </is>
      </c>
      <c r="B125" s="6" t="inlineStr">
        <is>
          <t>2009-01-01</t>
        </is>
      </c>
      <c r="C125" s="6" t="inlineStr">
        <is>
          <t>2009-12-31</t>
        </is>
      </c>
      <c r="D125" s="6" t="inlineStr">
        <is>
          <t>year</t>
        </is>
      </c>
      <c r="E125" s="6" t="inlineStr">
        <is>
          <t>ANDE_TARIFF_RESIDENTIAL</t>
        </is>
      </c>
      <c r="F125" s="6" t="inlineStr">
        <is>
          <t>PY_SIN</t>
        </is>
      </c>
      <c r="G125" s="6" t="inlineStr">
        <is>
          <t>PY</t>
        </is>
      </c>
      <c r="H125" s="8" t="n">
        <v>354</v>
      </c>
      <c r="I125" s="6" t="inlineStr">
        <is>
          <t>Gs/kWh</t>
        </is>
      </c>
      <c r="J125" s="6" t="inlineStr">
        <is>
          <t>PYG</t>
        </is>
      </c>
      <c r="K125" s="6" t="inlineStr">
        <is>
          <t>ANDE</t>
        </is>
      </c>
      <c r="L125" s="6" t="inlineStr">
        <is>
          <t>OFFICIAL_PRIMARY</t>
        </is>
      </c>
      <c r="M125" s="9" t="inlineStr">
        <is>
          <t>OFFICIAL_AGGREGATE</t>
        </is>
      </c>
      <c r="N125" s="7" t="inlineStr">
        <is>
          <t>https://www.ande.gov.py/finanzas/2.%20COMPILACION%20ESTADISTICA%202003-2023/ANDE%20-%20Compilacion%20Estadistica%202003-2023.pdf</t>
        </is>
      </c>
      <c r="O125" s="12" t="n">
        <v>90</v>
      </c>
      <c r="P125" s="4" t="inlineStr">
        <is>
          <t>Serie de compilacion 2003-2023.</t>
        </is>
      </c>
    </row>
    <row r="126">
      <c r="A126" s="6" t="inlineStr">
        <is>
          <t>P00125</t>
        </is>
      </c>
      <c r="B126" s="6" t="inlineStr">
        <is>
          <t>2010-01-01</t>
        </is>
      </c>
      <c r="C126" s="6" t="inlineStr">
        <is>
          <t>2010-12-31</t>
        </is>
      </c>
      <c r="D126" s="6" t="inlineStr">
        <is>
          <t>year</t>
        </is>
      </c>
      <c r="E126" s="6" t="inlineStr">
        <is>
          <t>ANDE_TARIFF_RESIDENTIAL</t>
        </is>
      </c>
      <c r="F126" s="6" t="inlineStr">
        <is>
          <t>PY_SIN</t>
        </is>
      </c>
      <c r="G126" s="6" t="inlineStr">
        <is>
          <t>PY</t>
        </is>
      </c>
      <c r="H126" s="8" t="n">
        <v>352.9</v>
      </c>
      <c r="I126" s="6" t="inlineStr">
        <is>
          <t>Gs/kWh</t>
        </is>
      </c>
      <c r="J126" s="6" t="inlineStr">
        <is>
          <t>PYG</t>
        </is>
      </c>
      <c r="K126" s="6" t="inlineStr">
        <is>
          <t>ANDE</t>
        </is>
      </c>
      <c r="L126" s="6" t="inlineStr">
        <is>
          <t>OFFICIAL_PRIMARY</t>
        </is>
      </c>
      <c r="M126" s="9" t="inlineStr">
        <is>
          <t>OFFICIAL_AGGREGATE</t>
        </is>
      </c>
      <c r="N126" s="7" t="inlineStr">
        <is>
          <t>https://www.ande.gov.py/finanzas/2.%20COMPILACION%20ESTADISTICA%202003-2023/ANDE%20-%20Compilacion%20Estadistica%202003-2023.pdf</t>
        </is>
      </c>
      <c r="O126" s="12" t="n">
        <v>90</v>
      </c>
      <c r="P126" s="4" t="inlineStr">
        <is>
          <t>Serie de compilacion 2003-2023.</t>
        </is>
      </c>
    </row>
    <row r="127">
      <c r="A127" s="6" t="inlineStr">
        <is>
          <t>P00126</t>
        </is>
      </c>
      <c r="B127" s="6" t="inlineStr">
        <is>
          <t>2011-01-01</t>
        </is>
      </c>
      <c r="C127" s="6" t="inlineStr">
        <is>
          <t>2011-12-31</t>
        </is>
      </c>
      <c r="D127" s="6" t="inlineStr">
        <is>
          <t>year</t>
        </is>
      </c>
      <c r="E127" s="6" t="inlineStr">
        <is>
          <t>ANDE_TARIFF_RESIDENTIAL</t>
        </is>
      </c>
      <c r="F127" s="6" t="inlineStr">
        <is>
          <t>PY_SIN</t>
        </is>
      </c>
      <c r="G127" s="6" t="inlineStr">
        <is>
          <t>PY</t>
        </is>
      </c>
      <c r="H127" s="8" t="n">
        <v>362</v>
      </c>
      <c r="I127" s="6" t="inlineStr">
        <is>
          <t>Gs/kWh</t>
        </is>
      </c>
      <c r="J127" s="6" t="inlineStr">
        <is>
          <t>PYG</t>
        </is>
      </c>
      <c r="K127" s="6" t="inlineStr">
        <is>
          <t>ANDE</t>
        </is>
      </c>
      <c r="L127" s="6" t="inlineStr">
        <is>
          <t>OFFICIAL_PRIMARY</t>
        </is>
      </c>
      <c r="M127" s="9" t="inlineStr">
        <is>
          <t>OFFICIAL_AGGREGATE</t>
        </is>
      </c>
      <c r="N127" s="7" t="inlineStr">
        <is>
          <t>https://www.ande.gov.py/finanzas/2.%20COMPILACION%20ESTADISTICA%202003-2023/ANDE%20-%20Compilacion%20Estadistica%202003-2023.pdf</t>
        </is>
      </c>
      <c r="O127" s="12" t="n">
        <v>90</v>
      </c>
      <c r="P127" s="4" t="inlineStr">
        <is>
          <t>Serie de compilacion 2003-2023.</t>
        </is>
      </c>
    </row>
    <row r="128">
      <c r="A128" s="6" t="inlineStr">
        <is>
          <t>P00127</t>
        </is>
      </c>
      <c r="B128" s="6" t="inlineStr">
        <is>
          <t>2012-01-01</t>
        </is>
      </c>
      <c r="C128" s="6" t="inlineStr">
        <is>
          <t>2012-12-31</t>
        </is>
      </c>
      <c r="D128" s="6" t="inlineStr">
        <is>
          <t>year</t>
        </is>
      </c>
      <c r="E128" s="6" t="inlineStr">
        <is>
          <t>ANDE_TARIFF_RESIDENTIAL</t>
        </is>
      </c>
      <c r="F128" s="6" t="inlineStr">
        <is>
          <t>PY_SIN</t>
        </is>
      </c>
      <c r="G128" s="6" t="inlineStr">
        <is>
          <t>PY</t>
        </is>
      </c>
      <c r="H128" s="8" t="n">
        <v>365.4</v>
      </c>
      <c r="I128" s="6" t="inlineStr">
        <is>
          <t>Gs/kWh</t>
        </is>
      </c>
      <c r="J128" s="6" t="inlineStr">
        <is>
          <t>PYG</t>
        </is>
      </c>
      <c r="K128" s="6" t="inlineStr">
        <is>
          <t>ANDE</t>
        </is>
      </c>
      <c r="L128" s="6" t="inlineStr">
        <is>
          <t>OFFICIAL_PRIMARY</t>
        </is>
      </c>
      <c r="M128" s="9" t="inlineStr">
        <is>
          <t>OFFICIAL_AGGREGATE</t>
        </is>
      </c>
      <c r="N128" s="7" t="inlineStr">
        <is>
          <t>https://www.ande.gov.py/finanzas/2.%20COMPILACION%20ESTADISTICA%202003-2023/ANDE%20-%20Compilacion%20Estadistica%202003-2023.pdf</t>
        </is>
      </c>
      <c r="O128" s="12" t="n">
        <v>90</v>
      </c>
      <c r="P128" s="4" t="inlineStr">
        <is>
          <t>Serie de compilacion 2003-2023.</t>
        </is>
      </c>
    </row>
    <row r="129">
      <c r="A129" s="6" t="inlineStr">
        <is>
          <t>P00128</t>
        </is>
      </c>
      <c r="B129" s="6" t="inlineStr">
        <is>
          <t>2013-01-01</t>
        </is>
      </c>
      <c r="C129" s="6" t="inlineStr">
        <is>
          <t>2013-12-31</t>
        </is>
      </c>
      <c r="D129" s="6" t="inlineStr">
        <is>
          <t>year</t>
        </is>
      </c>
      <c r="E129" s="6" t="inlineStr">
        <is>
          <t>ANDE_TARIFF_RESIDENTIAL</t>
        </is>
      </c>
      <c r="F129" s="6" t="inlineStr">
        <is>
          <t>PY_SIN</t>
        </is>
      </c>
      <c r="G129" s="6" t="inlineStr">
        <is>
          <t>PY</t>
        </is>
      </c>
      <c r="H129" s="8" t="n">
        <v>359.5</v>
      </c>
      <c r="I129" s="6" t="inlineStr">
        <is>
          <t>Gs/kWh</t>
        </is>
      </c>
      <c r="J129" s="6" t="inlineStr">
        <is>
          <t>PYG</t>
        </is>
      </c>
      <c r="K129" s="6" t="inlineStr">
        <is>
          <t>ANDE</t>
        </is>
      </c>
      <c r="L129" s="6" t="inlineStr">
        <is>
          <t>OFFICIAL_PRIMARY</t>
        </is>
      </c>
      <c r="M129" s="9" t="inlineStr">
        <is>
          <t>OFFICIAL_AGGREGATE</t>
        </is>
      </c>
      <c r="N129" s="7" t="inlineStr">
        <is>
          <t>https://www.ande.gov.py/finanzas/2.%20COMPILACION%20ESTADISTICA%202003-2023/ANDE%20-%20Compilacion%20Estadistica%202003-2023.pdf</t>
        </is>
      </c>
      <c r="O129" s="12" t="n">
        <v>90</v>
      </c>
      <c r="P129" s="4" t="inlineStr">
        <is>
          <t>Serie de compilacion 2003-2023.</t>
        </is>
      </c>
    </row>
    <row r="130">
      <c r="A130" s="6" t="inlineStr">
        <is>
          <t>P00129</t>
        </is>
      </c>
      <c r="B130" s="6" t="inlineStr">
        <is>
          <t>2014-01-01</t>
        </is>
      </c>
      <c r="C130" s="6" t="inlineStr">
        <is>
          <t>2014-12-31</t>
        </is>
      </c>
      <c r="D130" s="6" t="inlineStr">
        <is>
          <t>year</t>
        </is>
      </c>
      <c r="E130" s="6" t="inlineStr">
        <is>
          <t>ANDE_TARIFF_RESIDENTIAL</t>
        </is>
      </c>
      <c r="F130" s="6" t="inlineStr">
        <is>
          <t>PY_SIN</t>
        </is>
      </c>
      <c r="G130" s="6" t="inlineStr">
        <is>
          <t>PY</t>
        </is>
      </c>
      <c r="H130" s="8" t="n">
        <v>362.2</v>
      </c>
      <c r="I130" s="6" t="inlineStr">
        <is>
          <t>Gs/kWh</t>
        </is>
      </c>
      <c r="J130" s="6" t="inlineStr">
        <is>
          <t>PYG</t>
        </is>
      </c>
      <c r="K130" s="6" t="inlineStr">
        <is>
          <t>ANDE</t>
        </is>
      </c>
      <c r="L130" s="6" t="inlineStr">
        <is>
          <t>OFFICIAL_PRIMARY</t>
        </is>
      </c>
      <c r="M130" s="9" t="inlineStr">
        <is>
          <t>OFFICIAL_AGGREGATE</t>
        </is>
      </c>
      <c r="N130" s="7" t="inlineStr">
        <is>
          <t>https://www.ande.gov.py/finanzas/2.%20COMPILACION%20ESTADISTICA%202003-2023/ANDE%20-%20Compilacion%20Estadistica%202003-2023.pdf</t>
        </is>
      </c>
      <c r="O130" s="12" t="n">
        <v>90</v>
      </c>
      <c r="P130" s="4" t="inlineStr">
        <is>
          <t>Serie de compilacion 2003-2023.</t>
        </is>
      </c>
    </row>
    <row r="131">
      <c r="A131" s="6" t="inlineStr">
        <is>
          <t>P00130</t>
        </is>
      </c>
      <c r="B131" s="6" t="inlineStr">
        <is>
          <t>2015-01-01</t>
        </is>
      </c>
      <c r="C131" s="6" t="inlineStr">
        <is>
          <t>2015-12-31</t>
        </is>
      </c>
      <c r="D131" s="6" t="inlineStr">
        <is>
          <t>year</t>
        </is>
      </c>
      <c r="E131" s="6" t="inlineStr">
        <is>
          <t>ANDE_TARIFF_RESIDENTIAL</t>
        </is>
      </c>
      <c r="F131" s="6" t="inlineStr">
        <is>
          <t>PY_SIN</t>
        </is>
      </c>
      <c r="G131" s="6" t="inlineStr">
        <is>
          <t>PY</t>
        </is>
      </c>
      <c r="H131" s="8" t="n">
        <v>362.4</v>
      </c>
      <c r="I131" s="6" t="inlineStr">
        <is>
          <t>Gs/kWh</t>
        </is>
      </c>
      <c r="J131" s="6" t="inlineStr">
        <is>
          <t>PYG</t>
        </is>
      </c>
      <c r="K131" s="6" t="inlineStr">
        <is>
          <t>ANDE</t>
        </is>
      </c>
      <c r="L131" s="6" t="inlineStr">
        <is>
          <t>OFFICIAL_PRIMARY</t>
        </is>
      </c>
      <c r="M131" s="9" t="inlineStr">
        <is>
          <t>OFFICIAL_AGGREGATE</t>
        </is>
      </c>
      <c r="N131" s="7" t="inlineStr">
        <is>
          <t>https://www.ande.gov.py/finanzas/2.%20COMPILACION%20ESTADISTICA%202003-2023/ANDE%20-%20Compilacion%20Estadistica%202003-2023.pdf</t>
        </is>
      </c>
      <c r="O131" s="12" t="n">
        <v>90</v>
      </c>
      <c r="P131" s="4" t="inlineStr">
        <is>
          <t>Serie de compilacion 2003-2023.</t>
        </is>
      </c>
    </row>
    <row r="132">
      <c r="A132" s="6" t="inlineStr">
        <is>
          <t>P00131</t>
        </is>
      </c>
      <c r="B132" s="6" t="inlineStr">
        <is>
          <t>2016-01-01</t>
        </is>
      </c>
      <c r="C132" s="6" t="inlineStr">
        <is>
          <t>2016-12-31</t>
        </is>
      </c>
      <c r="D132" s="6" t="inlineStr">
        <is>
          <t>year</t>
        </is>
      </c>
      <c r="E132" s="6" t="inlineStr">
        <is>
          <t>ANDE_TARIFF_RESIDENTIAL</t>
        </is>
      </c>
      <c r="F132" s="6" t="inlineStr">
        <is>
          <t>PY_SIN</t>
        </is>
      </c>
      <c r="G132" s="6" t="inlineStr">
        <is>
          <t>PY</t>
        </is>
      </c>
      <c r="H132" s="8" t="n">
        <v>365.3</v>
      </c>
      <c r="I132" s="6" t="inlineStr">
        <is>
          <t>Gs/kWh</t>
        </is>
      </c>
      <c r="J132" s="6" t="inlineStr">
        <is>
          <t>PYG</t>
        </is>
      </c>
      <c r="K132" s="6" t="inlineStr">
        <is>
          <t>ANDE</t>
        </is>
      </c>
      <c r="L132" s="6" t="inlineStr">
        <is>
          <t>OFFICIAL_PRIMARY</t>
        </is>
      </c>
      <c r="M132" s="9" t="inlineStr">
        <is>
          <t>OFFICIAL_AGGREGATE</t>
        </is>
      </c>
      <c r="N132" s="7" t="inlineStr">
        <is>
          <t>https://www.ande.gov.py/finanzas/2.%20COMPILACION%20ESTADISTICA%202003-2023/ANDE%20-%20Compilacion%20Estadistica%202003-2023.pdf</t>
        </is>
      </c>
      <c r="O132" s="12" t="n">
        <v>90</v>
      </c>
      <c r="P132" s="4" t="inlineStr">
        <is>
          <t>Serie de compilacion 2003-2023.</t>
        </is>
      </c>
    </row>
    <row r="133">
      <c r="A133" s="6" t="inlineStr">
        <is>
          <t>P00132</t>
        </is>
      </c>
      <c r="B133" s="6" t="inlineStr">
        <is>
          <t>2017-01-01</t>
        </is>
      </c>
      <c r="C133" s="6" t="inlineStr">
        <is>
          <t>2017-12-31</t>
        </is>
      </c>
      <c r="D133" s="6" t="inlineStr">
        <is>
          <t>year</t>
        </is>
      </c>
      <c r="E133" s="6" t="inlineStr">
        <is>
          <t>ANDE_TARIFF_RESIDENTIAL</t>
        </is>
      </c>
      <c r="F133" s="6" t="inlineStr">
        <is>
          <t>PY_SIN</t>
        </is>
      </c>
      <c r="G133" s="6" t="inlineStr">
        <is>
          <t>PY</t>
        </is>
      </c>
      <c r="H133" s="8" t="n">
        <v>392.5</v>
      </c>
      <c r="I133" s="6" t="inlineStr">
        <is>
          <t>Gs/kWh</t>
        </is>
      </c>
      <c r="J133" s="6" t="inlineStr">
        <is>
          <t>PYG</t>
        </is>
      </c>
      <c r="K133" s="6" t="inlineStr">
        <is>
          <t>ANDE</t>
        </is>
      </c>
      <c r="L133" s="6" t="inlineStr">
        <is>
          <t>OFFICIAL_PRIMARY</t>
        </is>
      </c>
      <c r="M133" s="9" t="inlineStr">
        <is>
          <t>OFFICIAL_AGGREGATE</t>
        </is>
      </c>
      <c r="N133" s="7" t="inlineStr">
        <is>
          <t>https://www.ande.gov.py/finanzas/2.%20COMPILACION%20ESTADISTICA%202003-2023/ANDE%20-%20Compilacion%20Estadistica%202003-2023.pdf</t>
        </is>
      </c>
      <c r="O133" s="12" t="n">
        <v>90</v>
      </c>
      <c r="P133" s="4" t="inlineStr">
        <is>
          <t>Serie de compilacion 2003-2023.</t>
        </is>
      </c>
    </row>
    <row r="134">
      <c r="A134" s="6" t="inlineStr">
        <is>
          <t>P00133</t>
        </is>
      </c>
      <c r="B134" s="6" t="inlineStr">
        <is>
          <t>2018-01-01</t>
        </is>
      </c>
      <c r="C134" s="6" t="inlineStr">
        <is>
          <t>2018-12-31</t>
        </is>
      </c>
      <c r="D134" s="6" t="inlineStr">
        <is>
          <t>year</t>
        </is>
      </c>
      <c r="E134" s="6" t="inlineStr">
        <is>
          <t>ANDE_TARIFF_RESIDENTIAL</t>
        </is>
      </c>
      <c r="F134" s="6" t="inlineStr">
        <is>
          <t>PY_SIN</t>
        </is>
      </c>
      <c r="G134" s="6" t="inlineStr">
        <is>
          <t>PY</t>
        </is>
      </c>
      <c r="H134" s="8" t="n">
        <v>407.2</v>
      </c>
      <c r="I134" s="6" t="inlineStr">
        <is>
          <t>Gs/kWh</t>
        </is>
      </c>
      <c r="J134" s="6" t="inlineStr">
        <is>
          <t>PYG</t>
        </is>
      </c>
      <c r="K134" s="6" t="inlineStr">
        <is>
          <t>ANDE</t>
        </is>
      </c>
      <c r="L134" s="6" t="inlineStr">
        <is>
          <t>OFFICIAL_PRIMARY</t>
        </is>
      </c>
      <c r="M134" s="9" t="inlineStr">
        <is>
          <t>OFFICIAL_AGGREGATE</t>
        </is>
      </c>
      <c r="N134" s="7" t="inlineStr">
        <is>
          <t>https://www.ande.gov.py/finanzas/2.%20COMPILACION%20ESTADISTICA%202003-2023/ANDE%20-%20Compilacion%20Estadistica%202003-2023.pdf</t>
        </is>
      </c>
      <c r="O134" s="12" t="n">
        <v>90</v>
      </c>
      <c r="P134" s="4" t="inlineStr">
        <is>
          <t>Serie de compilacion 2003-2023.</t>
        </is>
      </c>
    </row>
    <row r="135">
      <c r="A135" s="6" t="inlineStr">
        <is>
          <t>P00134</t>
        </is>
      </c>
      <c r="B135" s="6" t="inlineStr">
        <is>
          <t>2019-01-01</t>
        </is>
      </c>
      <c r="C135" s="6" t="inlineStr">
        <is>
          <t>2019-12-31</t>
        </is>
      </c>
      <c r="D135" s="6" t="inlineStr">
        <is>
          <t>year</t>
        </is>
      </c>
      <c r="E135" s="6" t="inlineStr">
        <is>
          <t>ANDE_TARIFF_RESIDENTIAL</t>
        </is>
      </c>
      <c r="F135" s="6" t="inlineStr">
        <is>
          <t>PY_SIN</t>
        </is>
      </c>
      <c r="G135" s="6" t="inlineStr">
        <is>
          <t>PY</t>
        </is>
      </c>
      <c r="H135" s="8" t="n">
        <v>425.7</v>
      </c>
      <c r="I135" s="6" t="inlineStr">
        <is>
          <t>Gs/kWh</t>
        </is>
      </c>
      <c r="J135" s="6" t="inlineStr">
        <is>
          <t>PYG</t>
        </is>
      </c>
      <c r="K135" s="6" t="inlineStr">
        <is>
          <t>ANDE</t>
        </is>
      </c>
      <c r="L135" s="6" t="inlineStr">
        <is>
          <t>OFFICIAL_PRIMARY</t>
        </is>
      </c>
      <c r="M135" s="9" t="inlineStr">
        <is>
          <t>OFFICIAL_AGGREGATE</t>
        </is>
      </c>
      <c r="N135" s="7" t="inlineStr">
        <is>
          <t>https://www.ande.gov.py/finanzas/2.%20COMPILACION%20ESTADISTICA%202003-2023/ANDE%20-%20Compilacion%20Estadistica%202003-2023.pdf</t>
        </is>
      </c>
      <c r="O135" s="12" t="n">
        <v>90</v>
      </c>
      <c r="P135" s="4" t="inlineStr">
        <is>
          <t>Serie de compilacion 2003-2023.</t>
        </is>
      </c>
    </row>
    <row r="136">
      <c r="A136" s="6" t="inlineStr">
        <is>
          <t>P00135</t>
        </is>
      </c>
      <c r="B136" s="6" t="inlineStr">
        <is>
          <t>2020-01-01</t>
        </is>
      </c>
      <c r="C136" s="6" t="inlineStr">
        <is>
          <t>2020-12-31</t>
        </is>
      </c>
      <c r="D136" s="6" t="inlineStr">
        <is>
          <t>year</t>
        </is>
      </c>
      <c r="E136" s="6" t="inlineStr">
        <is>
          <t>ANDE_TARIFF_RESIDENTIAL</t>
        </is>
      </c>
      <c r="F136" s="6" t="inlineStr">
        <is>
          <t>PY_SIN</t>
        </is>
      </c>
      <c r="G136" s="6" t="inlineStr">
        <is>
          <t>PY</t>
        </is>
      </c>
      <c r="H136" s="8" t="n">
        <v>411.3</v>
      </c>
      <c r="I136" s="6" t="inlineStr">
        <is>
          <t>Gs/kWh</t>
        </is>
      </c>
      <c r="J136" s="6" t="inlineStr">
        <is>
          <t>PYG</t>
        </is>
      </c>
      <c r="K136" s="6" t="inlineStr">
        <is>
          <t>ANDE</t>
        </is>
      </c>
      <c r="L136" s="6" t="inlineStr">
        <is>
          <t>OFFICIAL_PRIMARY</t>
        </is>
      </c>
      <c r="M136" s="9" t="inlineStr">
        <is>
          <t>OFFICIAL_AGGREGATE</t>
        </is>
      </c>
      <c r="N136" s="7" t="inlineStr">
        <is>
          <t>https://www.ande.gov.py/finanzas/2.%20COMPILACION%20ESTADISTICA%202003-2023/ANDE%20-%20Compilacion%20Estadistica%202003-2023.pdf</t>
        </is>
      </c>
      <c r="O136" s="12" t="n">
        <v>90</v>
      </c>
      <c r="P136" s="4" t="inlineStr">
        <is>
          <t>Serie de compilacion 2003-2023.</t>
        </is>
      </c>
    </row>
    <row r="137">
      <c r="A137" s="6" t="inlineStr">
        <is>
          <t>P00136</t>
        </is>
      </c>
      <c r="B137" s="6" t="inlineStr">
        <is>
          <t>2021-01-01</t>
        </is>
      </c>
      <c r="C137" s="6" t="inlineStr">
        <is>
          <t>2021-12-31</t>
        </is>
      </c>
      <c r="D137" s="6" t="inlineStr">
        <is>
          <t>year</t>
        </is>
      </c>
      <c r="E137" s="6" t="inlineStr">
        <is>
          <t>ANDE_TARIFF_RESIDENTIAL</t>
        </is>
      </c>
      <c r="F137" s="6" t="inlineStr">
        <is>
          <t>PY_SIN</t>
        </is>
      </c>
      <c r="G137" s="6" t="inlineStr">
        <is>
          <t>PY</t>
        </is>
      </c>
      <c r="H137" s="8" t="n">
        <v>411.5</v>
      </c>
      <c r="I137" s="6" t="inlineStr">
        <is>
          <t>Gs/kWh</t>
        </is>
      </c>
      <c r="J137" s="6" t="inlineStr">
        <is>
          <t>PYG</t>
        </is>
      </c>
      <c r="K137" s="6" t="inlineStr">
        <is>
          <t>ANDE</t>
        </is>
      </c>
      <c r="L137" s="6" t="inlineStr">
        <is>
          <t>OFFICIAL_PRIMARY</t>
        </is>
      </c>
      <c r="M137" s="9" t="inlineStr">
        <is>
          <t>OFFICIAL_AGGREGATE</t>
        </is>
      </c>
      <c r="N137" s="7" t="inlineStr">
        <is>
          <t>https://www.ande.gov.py/finanzas/2.%20COMPILACION%20ESTADISTICA%202003-2023/ANDE%20-%20Compilacion%20Estadistica%202003-2023.pdf</t>
        </is>
      </c>
      <c r="O137" s="12" t="n">
        <v>90</v>
      </c>
      <c r="P137" s="4" t="inlineStr">
        <is>
          <t>Serie de compilacion 2003-2023.</t>
        </is>
      </c>
    </row>
    <row r="138">
      <c r="A138" s="6" t="inlineStr">
        <is>
          <t>P00137</t>
        </is>
      </c>
      <c r="B138" s="6" t="inlineStr">
        <is>
          <t>2022-01-01</t>
        </is>
      </c>
      <c r="C138" s="6" t="inlineStr">
        <is>
          <t>2022-12-31</t>
        </is>
      </c>
      <c r="D138" s="6" t="inlineStr">
        <is>
          <t>year</t>
        </is>
      </c>
      <c r="E138" s="6" t="inlineStr">
        <is>
          <t>ANDE_TARIFF_RESIDENTIAL</t>
        </is>
      </c>
      <c r="F138" s="6" t="inlineStr">
        <is>
          <t>PY_SIN</t>
        </is>
      </c>
      <c r="G138" s="6" t="inlineStr">
        <is>
          <t>PY</t>
        </is>
      </c>
      <c r="H138" s="8" t="n">
        <v>411.4</v>
      </c>
      <c r="I138" s="6" t="inlineStr">
        <is>
          <t>Gs/kWh</t>
        </is>
      </c>
      <c r="J138" s="6" t="inlineStr">
        <is>
          <t>PYG</t>
        </is>
      </c>
      <c r="K138" s="6" t="inlineStr">
        <is>
          <t>ANDE</t>
        </is>
      </c>
      <c r="L138" s="6" t="inlineStr">
        <is>
          <t>OFFICIAL_PRIMARY</t>
        </is>
      </c>
      <c r="M138" s="9" t="inlineStr">
        <is>
          <t>OFFICIAL_AGGREGATE</t>
        </is>
      </c>
      <c r="N138" s="7" t="inlineStr">
        <is>
          <t>https://www.ande.gov.py/finanzas/2.%20COMPILACION%20ESTADISTICA%202003-2023/ANDE%20-%20Compilacion%20Estadistica%202003-2023.pdf</t>
        </is>
      </c>
      <c r="O138" s="12" t="n">
        <v>90</v>
      </c>
      <c r="P138" s="4" t="inlineStr">
        <is>
          <t>Serie de compilacion 2003-2023.</t>
        </is>
      </c>
    </row>
    <row r="139">
      <c r="A139" s="6" t="inlineStr">
        <is>
          <t>P00138</t>
        </is>
      </c>
      <c r="B139" s="6" t="inlineStr">
        <is>
          <t>2023-01-01</t>
        </is>
      </c>
      <c r="C139" s="6" t="inlineStr">
        <is>
          <t>2023-12-31</t>
        </is>
      </c>
      <c r="D139" s="6" t="inlineStr">
        <is>
          <t>year</t>
        </is>
      </c>
      <c r="E139" s="6" t="inlineStr">
        <is>
          <t>ANDE_TARIFF_RESIDENTIAL</t>
        </is>
      </c>
      <c r="F139" s="6" t="inlineStr">
        <is>
          <t>PY_SIN</t>
        </is>
      </c>
      <c r="G139" s="6" t="inlineStr">
        <is>
          <t>PY</t>
        </is>
      </c>
      <c r="H139" s="8" t="n">
        <v>412.6</v>
      </c>
      <c r="I139" s="6" t="inlineStr">
        <is>
          <t>Gs/kWh</t>
        </is>
      </c>
      <c r="J139" s="6" t="inlineStr">
        <is>
          <t>PYG</t>
        </is>
      </c>
      <c r="K139" s="6" t="inlineStr">
        <is>
          <t>ANDE</t>
        </is>
      </c>
      <c r="L139" s="6" t="inlineStr">
        <is>
          <t>OFFICIAL_PRIMARY</t>
        </is>
      </c>
      <c r="M139" s="9" t="inlineStr">
        <is>
          <t>OFFICIAL_AGGREGATE</t>
        </is>
      </c>
      <c r="N139" s="7" t="inlineStr">
        <is>
          <t>https://www.ande.gov.py/finanzas/2.%20COMPILACION%20ESTADISTICA%202003-2023/ANDE%20-%20Compilacion%20Estadistica%202003-2023.pdf</t>
        </is>
      </c>
      <c r="O139" s="12" t="n">
        <v>90</v>
      </c>
      <c r="P139" s="4" t="inlineStr">
        <is>
          <t>Serie de compilacion 2003-2023.</t>
        </is>
      </c>
    </row>
    <row r="140">
      <c r="A140" s="6" t="inlineStr">
        <is>
          <t>P00139</t>
        </is>
      </c>
      <c r="B140" s="6" t="inlineStr">
        <is>
          <t>2003-01-01</t>
        </is>
      </c>
      <c r="C140" s="6" t="inlineStr">
        <is>
          <t>2003-12-31</t>
        </is>
      </c>
      <c r="D140" s="6" t="inlineStr">
        <is>
          <t>year</t>
        </is>
      </c>
      <c r="E140" s="6" t="inlineStr">
        <is>
          <t>ANDE_TARIFF_INDUSTRIAL</t>
        </is>
      </c>
      <c r="F140" s="6" t="inlineStr">
        <is>
          <t>PY_SIN</t>
        </is>
      </c>
      <c r="G140" s="6" t="inlineStr">
        <is>
          <t>PY</t>
        </is>
      </c>
      <c r="H140" s="8" t="n">
        <v>220</v>
      </c>
      <c r="I140" s="6" t="inlineStr">
        <is>
          <t>Gs/kWh</t>
        </is>
      </c>
      <c r="J140" s="6" t="inlineStr">
        <is>
          <t>PYG</t>
        </is>
      </c>
      <c r="K140" s="6" t="inlineStr">
        <is>
          <t>ANDE</t>
        </is>
      </c>
      <c r="L140" s="6" t="inlineStr">
        <is>
          <t>OFFICIAL_PRIMARY</t>
        </is>
      </c>
      <c r="M140" s="9" t="inlineStr">
        <is>
          <t>OFFICIAL_AGGREGATE</t>
        </is>
      </c>
      <c r="N140" s="7" t="inlineStr">
        <is>
          <t>https://www.ande.gov.py/finanzas/2.%20COMPILACION%20ESTADISTICA%202003-2023/ANDE%20-%20Compilacion%20Estadistica%202003-2023.pdf</t>
        </is>
      </c>
      <c r="O140" s="12" t="n">
        <v>90</v>
      </c>
      <c r="P140" s="4" t="inlineStr">
        <is>
          <t>Serie de compilacion 2003-2023.</t>
        </is>
      </c>
    </row>
    <row r="141">
      <c r="A141" s="6" t="inlineStr">
        <is>
          <t>P00140</t>
        </is>
      </c>
      <c r="B141" s="6" t="inlineStr">
        <is>
          <t>2004-01-01</t>
        </is>
      </c>
      <c r="C141" s="6" t="inlineStr">
        <is>
          <t>2004-12-31</t>
        </is>
      </c>
      <c r="D141" s="6" t="inlineStr">
        <is>
          <t>year</t>
        </is>
      </c>
      <c r="E141" s="6" t="inlineStr">
        <is>
          <t>ANDE_TARIFF_INDUSTRIAL</t>
        </is>
      </c>
      <c r="F141" s="6" t="inlineStr">
        <is>
          <t>PY_SIN</t>
        </is>
      </c>
      <c r="G141" s="6" t="inlineStr">
        <is>
          <t>PY</t>
        </is>
      </c>
      <c r="H141" s="8" t="n">
        <v>215.1</v>
      </c>
      <c r="I141" s="6" t="inlineStr">
        <is>
          <t>Gs/kWh</t>
        </is>
      </c>
      <c r="J141" s="6" t="inlineStr">
        <is>
          <t>PYG</t>
        </is>
      </c>
      <c r="K141" s="6" t="inlineStr">
        <is>
          <t>ANDE</t>
        </is>
      </c>
      <c r="L141" s="6" t="inlineStr">
        <is>
          <t>OFFICIAL_PRIMARY</t>
        </is>
      </c>
      <c r="M141" s="9" t="inlineStr">
        <is>
          <t>OFFICIAL_AGGREGATE</t>
        </is>
      </c>
      <c r="N141" s="7" t="inlineStr">
        <is>
          <t>https://www.ande.gov.py/finanzas/2.%20COMPILACION%20ESTADISTICA%202003-2023/ANDE%20-%20Compilacion%20Estadistica%202003-2023.pdf</t>
        </is>
      </c>
      <c r="O141" s="12" t="n">
        <v>90</v>
      </c>
      <c r="P141" s="4" t="inlineStr">
        <is>
          <t>Serie de compilacion 2003-2023.</t>
        </is>
      </c>
    </row>
    <row r="142">
      <c r="A142" s="6" t="inlineStr">
        <is>
          <t>P00141</t>
        </is>
      </c>
      <c r="B142" s="6" t="inlineStr">
        <is>
          <t>2005-01-01</t>
        </is>
      </c>
      <c r="C142" s="6" t="inlineStr">
        <is>
          <t>2005-12-31</t>
        </is>
      </c>
      <c r="D142" s="6" t="inlineStr">
        <is>
          <t>year</t>
        </is>
      </c>
      <c r="E142" s="6" t="inlineStr">
        <is>
          <t>ANDE_TARIFF_INDUSTRIAL</t>
        </is>
      </c>
      <c r="F142" s="6" t="inlineStr">
        <is>
          <t>PY_SIN</t>
        </is>
      </c>
      <c r="G142" s="6" t="inlineStr">
        <is>
          <t>PY</t>
        </is>
      </c>
      <c r="H142" s="8" t="n">
        <v>213.6</v>
      </c>
      <c r="I142" s="6" t="inlineStr">
        <is>
          <t>Gs/kWh</t>
        </is>
      </c>
      <c r="J142" s="6" t="inlineStr">
        <is>
          <t>PYG</t>
        </is>
      </c>
      <c r="K142" s="6" t="inlineStr">
        <is>
          <t>ANDE</t>
        </is>
      </c>
      <c r="L142" s="6" t="inlineStr">
        <is>
          <t>OFFICIAL_PRIMARY</t>
        </is>
      </c>
      <c r="M142" s="9" t="inlineStr">
        <is>
          <t>OFFICIAL_AGGREGATE</t>
        </is>
      </c>
      <c r="N142" s="7" t="inlineStr">
        <is>
          <t>https://www.ande.gov.py/finanzas/2.%20COMPILACION%20ESTADISTICA%202003-2023/ANDE%20-%20Compilacion%20Estadistica%202003-2023.pdf</t>
        </is>
      </c>
      <c r="O142" s="12" t="n">
        <v>90</v>
      </c>
      <c r="P142" s="4" t="inlineStr">
        <is>
          <t>Serie de compilacion 2003-2023.</t>
        </is>
      </c>
    </row>
    <row r="143">
      <c r="A143" s="6" t="inlineStr">
        <is>
          <t>P00142</t>
        </is>
      </c>
      <c r="B143" s="6" t="inlineStr">
        <is>
          <t>2006-01-01</t>
        </is>
      </c>
      <c r="C143" s="6" t="inlineStr">
        <is>
          <t>2006-12-31</t>
        </is>
      </c>
      <c r="D143" s="6" t="inlineStr">
        <is>
          <t>year</t>
        </is>
      </c>
      <c r="E143" s="6" t="inlineStr">
        <is>
          <t>ANDE_TARIFF_INDUSTRIAL</t>
        </is>
      </c>
      <c r="F143" s="6" t="inlineStr">
        <is>
          <t>PY_SIN</t>
        </is>
      </c>
      <c r="G143" s="6" t="inlineStr">
        <is>
          <t>PY</t>
        </is>
      </c>
      <c r="H143" s="8" t="n">
        <v>216.6</v>
      </c>
      <c r="I143" s="6" t="inlineStr">
        <is>
          <t>Gs/kWh</t>
        </is>
      </c>
      <c r="J143" s="6" t="inlineStr">
        <is>
          <t>PYG</t>
        </is>
      </c>
      <c r="K143" s="6" t="inlineStr">
        <is>
          <t>ANDE</t>
        </is>
      </c>
      <c r="L143" s="6" t="inlineStr">
        <is>
          <t>OFFICIAL_PRIMARY</t>
        </is>
      </c>
      <c r="M143" s="9" t="inlineStr">
        <is>
          <t>OFFICIAL_AGGREGATE</t>
        </is>
      </c>
      <c r="N143" s="7" t="inlineStr">
        <is>
          <t>https://www.ande.gov.py/finanzas/2.%20COMPILACION%20ESTADISTICA%202003-2023/ANDE%20-%20Compilacion%20Estadistica%202003-2023.pdf</t>
        </is>
      </c>
      <c r="O143" s="12" t="n">
        <v>90</v>
      </c>
      <c r="P143" s="4" t="inlineStr">
        <is>
          <t>Serie de compilacion 2003-2023.</t>
        </is>
      </c>
    </row>
    <row r="144">
      <c r="A144" s="6" t="inlineStr">
        <is>
          <t>P00143</t>
        </is>
      </c>
      <c r="B144" s="6" t="inlineStr">
        <is>
          <t>2007-01-01</t>
        </is>
      </c>
      <c r="C144" s="6" t="inlineStr">
        <is>
          <t>2007-12-31</t>
        </is>
      </c>
      <c r="D144" s="6" t="inlineStr">
        <is>
          <t>year</t>
        </is>
      </c>
      <c r="E144" s="6" t="inlineStr">
        <is>
          <t>ANDE_TARIFF_INDUSTRIAL</t>
        </is>
      </c>
      <c r="F144" s="6" t="inlineStr">
        <is>
          <t>PY_SIN</t>
        </is>
      </c>
      <c r="G144" s="6" t="inlineStr">
        <is>
          <t>PY</t>
        </is>
      </c>
      <c r="H144" s="8" t="n">
        <v>216.4</v>
      </c>
      <c r="I144" s="6" t="inlineStr">
        <is>
          <t>Gs/kWh</t>
        </is>
      </c>
      <c r="J144" s="6" t="inlineStr">
        <is>
          <t>PYG</t>
        </is>
      </c>
      <c r="K144" s="6" t="inlineStr">
        <is>
          <t>ANDE</t>
        </is>
      </c>
      <c r="L144" s="6" t="inlineStr">
        <is>
          <t>OFFICIAL_PRIMARY</t>
        </is>
      </c>
      <c r="M144" s="9" t="inlineStr">
        <is>
          <t>OFFICIAL_AGGREGATE</t>
        </is>
      </c>
      <c r="N144" s="7" t="inlineStr">
        <is>
          <t>https://www.ande.gov.py/finanzas/2.%20COMPILACION%20ESTADISTICA%202003-2023/ANDE%20-%20Compilacion%20Estadistica%202003-2023.pdf</t>
        </is>
      </c>
      <c r="O144" s="12" t="n">
        <v>90</v>
      </c>
      <c r="P144" s="4" t="inlineStr">
        <is>
          <t>Serie de compilacion 2003-2023.</t>
        </is>
      </c>
    </row>
    <row r="145">
      <c r="A145" s="6" t="inlineStr">
        <is>
          <t>P00144</t>
        </is>
      </c>
      <c r="B145" s="6" t="inlineStr">
        <is>
          <t>2008-01-01</t>
        </is>
      </c>
      <c r="C145" s="6" t="inlineStr">
        <is>
          <t>2008-12-31</t>
        </is>
      </c>
      <c r="D145" s="6" t="inlineStr">
        <is>
          <t>year</t>
        </is>
      </c>
      <c r="E145" s="6" t="inlineStr">
        <is>
          <t>ANDE_TARIFF_INDUSTRIAL</t>
        </is>
      </c>
      <c r="F145" s="6" t="inlineStr">
        <is>
          <t>PY_SIN</t>
        </is>
      </c>
      <c r="G145" s="6" t="inlineStr">
        <is>
          <t>PY</t>
        </is>
      </c>
      <c r="H145" s="8" t="n">
        <v>223.9</v>
      </c>
      <c r="I145" s="6" t="inlineStr">
        <is>
          <t>Gs/kWh</t>
        </is>
      </c>
      <c r="J145" s="6" t="inlineStr">
        <is>
          <t>PYG</t>
        </is>
      </c>
      <c r="K145" s="6" t="inlineStr">
        <is>
          <t>ANDE</t>
        </is>
      </c>
      <c r="L145" s="6" t="inlineStr">
        <is>
          <t>OFFICIAL_PRIMARY</t>
        </is>
      </c>
      <c r="M145" s="9" t="inlineStr">
        <is>
          <t>OFFICIAL_AGGREGATE</t>
        </is>
      </c>
      <c r="N145" s="7" t="inlineStr">
        <is>
          <t>https://www.ande.gov.py/finanzas/2.%20COMPILACION%20ESTADISTICA%202003-2023/ANDE%20-%20Compilacion%20Estadistica%202003-2023.pdf</t>
        </is>
      </c>
      <c r="O145" s="12" t="n">
        <v>90</v>
      </c>
      <c r="P145" s="4" t="inlineStr">
        <is>
          <t>Serie de compilacion 2003-2023.</t>
        </is>
      </c>
    </row>
    <row r="146">
      <c r="A146" s="6" t="inlineStr">
        <is>
          <t>P00145</t>
        </is>
      </c>
      <c r="B146" s="6" t="inlineStr">
        <is>
          <t>2009-01-01</t>
        </is>
      </c>
      <c r="C146" s="6" t="inlineStr">
        <is>
          <t>2009-12-31</t>
        </is>
      </c>
      <c r="D146" s="6" t="inlineStr">
        <is>
          <t>year</t>
        </is>
      </c>
      <c r="E146" s="6" t="inlineStr">
        <is>
          <t>ANDE_TARIFF_INDUSTRIAL</t>
        </is>
      </c>
      <c r="F146" s="6" t="inlineStr">
        <is>
          <t>PY_SIN</t>
        </is>
      </c>
      <c r="G146" s="6" t="inlineStr">
        <is>
          <t>PY</t>
        </is>
      </c>
      <c r="H146" s="8" t="n">
        <v>232.1</v>
      </c>
      <c r="I146" s="6" t="inlineStr">
        <is>
          <t>Gs/kWh</t>
        </is>
      </c>
      <c r="J146" s="6" t="inlineStr">
        <is>
          <t>PYG</t>
        </is>
      </c>
      <c r="K146" s="6" t="inlineStr">
        <is>
          <t>ANDE</t>
        </is>
      </c>
      <c r="L146" s="6" t="inlineStr">
        <is>
          <t>OFFICIAL_PRIMARY</t>
        </is>
      </c>
      <c r="M146" s="9" t="inlineStr">
        <is>
          <t>OFFICIAL_AGGREGATE</t>
        </is>
      </c>
      <c r="N146" s="7" t="inlineStr">
        <is>
          <t>https://www.ande.gov.py/finanzas/2.%20COMPILACION%20ESTADISTICA%202003-2023/ANDE%20-%20Compilacion%20Estadistica%202003-2023.pdf</t>
        </is>
      </c>
      <c r="O146" s="12" t="n">
        <v>90</v>
      </c>
      <c r="P146" s="4" t="inlineStr">
        <is>
          <t>Serie de compilacion 2003-2023.</t>
        </is>
      </c>
    </row>
    <row r="147">
      <c r="A147" s="6" t="inlineStr">
        <is>
          <t>P00146</t>
        </is>
      </c>
      <c r="B147" s="6" t="inlineStr">
        <is>
          <t>2010-01-01</t>
        </is>
      </c>
      <c r="C147" s="6" t="inlineStr">
        <is>
          <t>2010-12-31</t>
        </is>
      </c>
      <c r="D147" s="6" t="inlineStr">
        <is>
          <t>year</t>
        </is>
      </c>
      <c r="E147" s="6" t="inlineStr">
        <is>
          <t>ANDE_TARIFF_INDUSTRIAL</t>
        </is>
      </c>
      <c r="F147" s="6" t="inlineStr">
        <is>
          <t>PY_SIN</t>
        </is>
      </c>
      <c r="G147" s="6" t="inlineStr">
        <is>
          <t>PY</t>
        </is>
      </c>
      <c r="H147" s="8" t="n">
        <v>229.9</v>
      </c>
      <c r="I147" s="6" t="inlineStr">
        <is>
          <t>Gs/kWh</t>
        </is>
      </c>
      <c r="J147" s="6" t="inlineStr">
        <is>
          <t>PYG</t>
        </is>
      </c>
      <c r="K147" s="6" t="inlineStr">
        <is>
          <t>ANDE</t>
        </is>
      </c>
      <c r="L147" s="6" t="inlineStr">
        <is>
          <t>OFFICIAL_PRIMARY</t>
        </is>
      </c>
      <c r="M147" s="9" t="inlineStr">
        <is>
          <t>OFFICIAL_AGGREGATE</t>
        </is>
      </c>
      <c r="N147" s="7" t="inlineStr">
        <is>
          <t>https://www.ande.gov.py/finanzas/2.%20COMPILACION%20ESTADISTICA%202003-2023/ANDE%20-%20Compilacion%20Estadistica%202003-2023.pdf</t>
        </is>
      </c>
      <c r="O147" s="12" t="n">
        <v>90</v>
      </c>
      <c r="P147" s="4" t="inlineStr">
        <is>
          <t>Serie de compilacion 2003-2023.</t>
        </is>
      </c>
    </row>
    <row r="148">
      <c r="A148" s="6" t="inlineStr">
        <is>
          <t>P00147</t>
        </is>
      </c>
      <c r="B148" s="6" t="inlineStr">
        <is>
          <t>2011-01-01</t>
        </is>
      </c>
      <c r="C148" s="6" t="inlineStr">
        <is>
          <t>2011-12-31</t>
        </is>
      </c>
      <c r="D148" s="6" t="inlineStr">
        <is>
          <t>year</t>
        </is>
      </c>
      <c r="E148" s="6" t="inlineStr">
        <is>
          <t>ANDE_TARIFF_INDUSTRIAL</t>
        </is>
      </c>
      <c r="F148" s="6" t="inlineStr">
        <is>
          <t>PY_SIN</t>
        </is>
      </c>
      <c r="G148" s="6" t="inlineStr">
        <is>
          <t>PY</t>
        </is>
      </c>
      <c r="H148" s="8" t="n">
        <v>241.1</v>
      </c>
      <c r="I148" s="6" t="inlineStr">
        <is>
          <t>Gs/kWh</t>
        </is>
      </c>
      <c r="J148" s="6" t="inlineStr">
        <is>
          <t>PYG</t>
        </is>
      </c>
      <c r="K148" s="6" t="inlineStr">
        <is>
          <t>ANDE</t>
        </is>
      </c>
      <c r="L148" s="6" t="inlineStr">
        <is>
          <t>OFFICIAL_PRIMARY</t>
        </is>
      </c>
      <c r="M148" s="9" t="inlineStr">
        <is>
          <t>OFFICIAL_AGGREGATE</t>
        </is>
      </c>
      <c r="N148" s="7" t="inlineStr">
        <is>
          <t>https://www.ande.gov.py/finanzas/2.%20COMPILACION%20ESTADISTICA%202003-2023/ANDE%20-%20Compilacion%20Estadistica%202003-2023.pdf</t>
        </is>
      </c>
      <c r="O148" s="12" t="n">
        <v>90</v>
      </c>
      <c r="P148" s="4" t="inlineStr">
        <is>
          <t>Serie de compilacion 2003-2023.</t>
        </is>
      </c>
    </row>
    <row r="149">
      <c r="A149" s="6" t="inlineStr">
        <is>
          <t>P00148</t>
        </is>
      </c>
      <c r="B149" s="6" t="inlineStr">
        <is>
          <t>2012-01-01</t>
        </is>
      </c>
      <c r="C149" s="6" t="inlineStr">
        <is>
          <t>2012-12-31</t>
        </is>
      </c>
      <c r="D149" s="6" t="inlineStr">
        <is>
          <t>year</t>
        </is>
      </c>
      <c r="E149" s="6" t="inlineStr">
        <is>
          <t>ANDE_TARIFF_INDUSTRIAL</t>
        </is>
      </c>
      <c r="F149" s="6" t="inlineStr">
        <is>
          <t>PY_SIN</t>
        </is>
      </c>
      <c r="G149" s="6" t="inlineStr">
        <is>
          <t>PY</t>
        </is>
      </c>
      <c r="H149" s="8" t="n">
        <v>254.5</v>
      </c>
      <c r="I149" s="6" t="inlineStr">
        <is>
          <t>Gs/kWh</t>
        </is>
      </c>
      <c r="J149" s="6" t="inlineStr">
        <is>
          <t>PYG</t>
        </is>
      </c>
      <c r="K149" s="6" t="inlineStr">
        <is>
          <t>ANDE</t>
        </is>
      </c>
      <c r="L149" s="6" t="inlineStr">
        <is>
          <t>OFFICIAL_PRIMARY</t>
        </is>
      </c>
      <c r="M149" s="9" t="inlineStr">
        <is>
          <t>OFFICIAL_AGGREGATE</t>
        </is>
      </c>
      <c r="N149" s="7" t="inlineStr">
        <is>
          <t>https://www.ande.gov.py/finanzas/2.%20COMPILACION%20ESTADISTICA%202003-2023/ANDE%20-%20Compilacion%20Estadistica%202003-2023.pdf</t>
        </is>
      </c>
      <c r="O149" s="12" t="n">
        <v>90</v>
      </c>
      <c r="P149" s="4" t="inlineStr">
        <is>
          <t>Serie de compilacion 2003-2023.</t>
        </is>
      </c>
    </row>
    <row r="150">
      <c r="A150" s="6" t="inlineStr">
        <is>
          <t>P00149</t>
        </is>
      </c>
      <c r="B150" s="6" t="inlineStr">
        <is>
          <t>2013-01-01</t>
        </is>
      </c>
      <c r="C150" s="6" t="inlineStr">
        <is>
          <t>2013-12-31</t>
        </is>
      </c>
      <c r="D150" s="6" t="inlineStr">
        <is>
          <t>year</t>
        </is>
      </c>
      <c r="E150" s="6" t="inlineStr">
        <is>
          <t>ANDE_TARIFF_INDUSTRIAL</t>
        </is>
      </c>
      <c r="F150" s="6" t="inlineStr">
        <is>
          <t>PY_SIN</t>
        </is>
      </c>
      <c r="G150" s="6" t="inlineStr">
        <is>
          <t>PY</t>
        </is>
      </c>
      <c r="H150" s="8" t="n">
        <v>247.8</v>
      </c>
      <c r="I150" s="6" t="inlineStr">
        <is>
          <t>Gs/kWh</t>
        </is>
      </c>
      <c r="J150" s="6" t="inlineStr">
        <is>
          <t>PYG</t>
        </is>
      </c>
      <c r="K150" s="6" t="inlineStr">
        <is>
          <t>ANDE</t>
        </is>
      </c>
      <c r="L150" s="6" t="inlineStr">
        <is>
          <t>OFFICIAL_PRIMARY</t>
        </is>
      </c>
      <c r="M150" s="9" t="inlineStr">
        <is>
          <t>OFFICIAL_AGGREGATE</t>
        </is>
      </c>
      <c r="N150" s="7" t="inlineStr">
        <is>
          <t>https://www.ande.gov.py/finanzas/2.%20COMPILACION%20ESTADISTICA%202003-2023/ANDE%20-%20Compilacion%20Estadistica%202003-2023.pdf</t>
        </is>
      </c>
      <c r="O150" s="12" t="n">
        <v>90</v>
      </c>
      <c r="P150" s="4" t="inlineStr">
        <is>
          <t>Serie de compilacion 2003-2023.</t>
        </is>
      </c>
    </row>
    <row r="151">
      <c r="A151" s="6" t="inlineStr">
        <is>
          <t>P00150</t>
        </is>
      </c>
      <c r="B151" s="6" t="inlineStr">
        <is>
          <t>2014-01-01</t>
        </is>
      </c>
      <c r="C151" s="6" t="inlineStr">
        <is>
          <t>2014-12-31</t>
        </is>
      </c>
      <c r="D151" s="6" t="inlineStr">
        <is>
          <t>year</t>
        </is>
      </c>
      <c r="E151" s="6" t="inlineStr">
        <is>
          <t>ANDE_TARIFF_INDUSTRIAL</t>
        </is>
      </c>
      <c r="F151" s="6" t="inlineStr">
        <is>
          <t>PY_SIN</t>
        </is>
      </c>
      <c r="G151" s="6" t="inlineStr">
        <is>
          <t>PY</t>
        </is>
      </c>
      <c r="H151" s="8" t="n">
        <v>251.6</v>
      </c>
      <c r="I151" s="6" t="inlineStr">
        <is>
          <t>Gs/kWh</t>
        </is>
      </c>
      <c r="J151" s="6" t="inlineStr">
        <is>
          <t>PYG</t>
        </is>
      </c>
      <c r="K151" s="6" t="inlineStr">
        <is>
          <t>ANDE</t>
        </is>
      </c>
      <c r="L151" s="6" t="inlineStr">
        <is>
          <t>OFFICIAL_PRIMARY</t>
        </is>
      </c>
      <c r="M151" s="9" t="inlineStr">
        <is>
          <t>OFFICIAL_AGGREGATE</t>
        </is>
      </c>
      <c r="N151" s="7" t="inlineStr">
        <is>
          <t>https://www.ande.gov.py/finanzas/2.%20COMPILACION%20ESTADISTICA%202003-2023/ANDE%20-%20Compilacion%20Estadistica%202003-2023.pdf</t>
        </is>
      </c>
      <c r="O151" s="12" t="n">
        <v>90</v>
      </c>
      <c r="P151" s="4" t="inlineStr">
        <is>
          <t>Serie de compilacion 2003-2023.</t>
        </is>
      </c>
    </row>
    <row r="152">
      <c r="A152" s="6" t="inlineStr">
        <is>
          <t>P00151</t>
        </is>
      </c>
      <c r="B152" s="6" t="inlineStr">
        <is>
          <t>2015-01-01</t>
        </is>
      </c>
      <c r="C152" s="6" t="inlineStr">
        <is>
          <t>2015-12-31</t>
        </is>
      </c>
      <c r="D152" s="6" t="inlineStr">
        <is>
          <t>year</t>
        </is>
      </c>
      <c r="E152" s="6" t="inlineStr">
        <is>
          <t>ANDE_TARIFF_INDUSTRIAL</t>
        </is>
      </c>
      <c r="F152" s="6" t="inlineStr">
        <is>
          <t>PY_SIN</t>
        </is>
      </c>
      <c r="G152" s="6" t="inlineStr">
        <is>
          <t>PY</t>
        </is>
      </c>
      <c r="H152" s="8" t="n">
        <v>252.1</v>
      </c>
      <c r="I152" s="6" t="inlineStr">
        <is>
          <t>Gs/kWh</t>
        </is>
      </c>
      <c r="J152" s="6" t="inlineStr">
        <is>
          <t>PYG</t>
        </is>
      </c>
      <c r="K152" s="6" t="inlineStr">
        <is>
          <t>ANDE</t>
        </is>
      </c>
      <c r="L152" s="6" t="inlineStr">
        <is>
          <t>OFFICIAL_PRIMARY</t>
        </is>
      </c>
      <c r="M152" s="9" t="inlineStr">
        <is>
          <t>OFFICIAL_AGGREGATE</t>
        </is>
      </c>
      <c r="N152" s="7" t="inlineStr">
        <is>
          <t>https://www.ande.gov.py/finanzas/2.%20COMPILACION%20ESTADISTICA%202003-2023/ANDE%20-%20Compilacion%20Estadistica%202003-2023.pdf</t>
        </is>
      </c>
      <c r="O152" s="12" t="n">
        <v>90</v>
      </c>
      <c r="P152" s="4" t="inlineStr">
        <is>
          <t>Serie de compilacion 2003-2023.</t>
        </is>
      </c>
    </row>
    <row r="153">
      <c r="A153" s="6" t="inlineStr">
        <is>
          <t>P00152</t>
        </is>
      </c>
      <c r="B153" s="6" t="inlineStr">
        <is>
          <t>2016-01-01</t>
        </is>
      </c>
      <c r="C153" s="6" t="inlineStr">
        <is>
          <t>2016-12-31</t>
        </is>
      </c>
      <c r="D153" s="6" t="inlineStr">
        <is>
          <t>year</t>
        </is>
      </c>
      <c r="E153" s="6" t="inlineStr">
        <is>
          <t>ANDE_TARIFF_INDUSTRIAL</t>
        </is>
      </c>
      <c r="F153" s="6" t="inlineStr">
        <is>
          <t>PY_SIN</t>
        </is>
      </c>
      <c r="G153" s="6" t="inlineStr">
        <is>
          <t>PY</t>
        </is>
      </c>
      <c r="H153" s="8" t="n">
        <v>245.6</v>
      </c>
      <c r="I153" s="6" t="inlineStr">
        <is>
          <t>Gs/kWh</t>
        </is>
      </c>
      <c r="J153" s="6" t="inlineStr">
        <is>
          <t>PYG</t>
        </is>
      </c>
      <c r="K153" s="6" t="inlineStr">
        <is>
          <t>ANDE</t>
        </is>
      </c>
      <c r="L153" s="6" t="inlineStr">
        <is>
          <t>OFFICIAL_PRIMARY</t>
        </is>
      </c>
      <c r="M153" s="9" t="inlineStr">
        <is>
          <t>OFFICIAL_AGGREGATE</t>
        </is>
      </c>
      <c r="N153" s="7" t="inlineStr">
        <is>
          <t>https://www.ande.gov.py/finanzas/2.%20COMPILACION%20ESTADISTICA%202003-2023/ANDE%20-%20Compilacion%20Estadistica%202003-2023.pdf</t>
        </is>
      </c>
      <c r="O153" s="12" t="n">
        <v>90</v>
      </c>
      <c r="P153" s="4" t="inlineStr">
        <is>
          <t>Serie de compilacion 2003-2023.</t>
        </is>
      </c>
    </row>
    <row r="154">
      <c r="A154" s="6" t="inlineStr">
        <is>
          <t>P00153</t>
        </is>
      </c>
      <c r="B154" s="6" t="inlineStr">
        <is>
          <t>2017-01-01</t>
        </is>
      </c>
      <c r="C154" s="6" t="inlineStr">
        <is>
          <t>2017-12-31</t>
        </is>
      </c>
      <c r="D154" s="6" t="inlineStr">
        <is>
          <t>year</t>
        </is>
      </c>
      <c r="E154" s="6" t="inlineStr">
        <is>
          <t>ANDE_TARIFF_INDUSTRIAL</t>
        </is>
      </c>
      <c r="F154" s="6" t="inlineStr">
        <is>
          <t>PY_SIN</t>
        </is>
      </c>
      <c r="G154" s="6" t="inlineStr">
        <is>
          <t>PY</t>
        </is>
      </c>
      <c r="H154" s="8" t="n">
        <v>283</v>
      </c>
      <c r="I154" s="6" t="inlineStr">
        <is>
          <t>Gs/kWh</t>
        </is>
      </c>
      <c r="J154" s="6" t="inlineStr">
        <is>
          <t>PYG</t>
        </is>
      </c>
      <c r="K154" s="6" t="inlineStr">
        <is>
          <t>ANDE</t>
        </is>
      </c>
      <c r="L154" s="6" t="inlineStr">
        <is>
          <t>OFFICIAL_PRIMARY</t>
        </is>
      </c>
      <c r="M154" s="9" t="inlineStr">
        <is>
          <t>OFFICIAL_AGGREGATE</t>
        </is>
      </c>
      <c r="N154" s="7" t="inlineStr">
        <is>
          <t>https://www.ande.gov.py/finanzas/2.%20COMPILACION%20ESTADISTICA%202003-2023/ANDE%20-%20Compilacion%20Estadistica%202003-2023.pdf</t>
        </is>
      </c>
      <c r="O154" s="12" t="n">
        <v>90</v>
      </c>
      <c r="P154" s="4" t="inlineStr">
        <is>
          <t>Serie de compilacion 2003-2023.</t>
        </is>
      </c>
    </row>
    <row r="155">
      <c r="A155" s="6" t="inlineStr">
        <is>
          <t>P00154</t>
        </is>
      </c>
      <c r="B155" s="6" t="inlineStr">
        <is>
          <t>2018-01-01</t>
        </is>
      </c>
      <c r="C155" s="6" t="inlineStr">
        <is>
          <t>2018-12-31</t>
        </is>
      </c>
      <c r="D155" s="6" t="inlineStr">
        <is>
          <t>year</t>
        </is>
      </c>
      <c r="E155" s="6" t="inlineStr">
        <is>
          <t>ANDE_TARIFF_INDUSTRIAL</t>
        </is>
      </c>
      <c r="F155" s="6" t="inlineStr">
        <is>
          <t>PY_SIN</t>
        </is>
      </c>
      <c r="G155" s="6" t="inlineStr">
        <is>
          <t>PY</t>
        </is>
      </c>
      <c r="H155" s="8" t="n">
        <v>288.7</v>
      </c>
      <c r="I155" s="6" t="inlineStr">
        <is>
          <t>Gs/kWh</t>
        </is>
      </c>
      <c r="J155" s="6" t="inlineStr">
        <is>
          <t>PYG</t>
        </is>
      </c>
      <c r="K155" s="6" t="inlineStr">
        <is>
          <t>ANDE</t>
        </is>
      </c>
      <c r="L155" s="6" t="inlineStr">
        <is>
          <t>OFFICIAL_PRIMARY</t>
        </is>
      </c>
      <c r="M155" s="9" t="inlineStr">
        <is>
          <t>OFFICIAL_AGGREGATE</t>
        </is>
      </c>
      <c r="N155" s="7" t="inlineStr">
        <is>
          <t>https://www.ande.gov.py/finanzas/2.%20COMPILACION%20ESTADISTICA%202003-2023/ANDE%20-%20Compilacion%20Estadistica%202003-2023.pdf</t>
        </is>
      </c>
      <c r="O155" s="12" t="n">
        <v>90</v>
      </c>
      <c r="P155" s="4" t="inlineStr">
        <is>
          <t>Serie de compilacion 2003-2023.</t>
        </is>
      </c>
    </row>
    <row r="156">
      <c r="A156" s="6" t="inlineStr">
        <is>
          <t>P00155</t>
        </is>
      </c>
      <c r="B156" s="6" t="inlineStr">
        <is>
          <t>2019-01-01</t>
        </is>
      </c>
      <c r="C156" s="6" t="inlineStr">
        <is>
          <t>2019-12-31</t>
        </is>
      </c>
      <c r="D156" s="6" t="inlineStr">
        <is>
          <t>year</t>
        </is>
      </c>
      <c r="E156" s="6" t="inlineStr">
        <is>
          <t>ANDE_TARIFF_INDUSTRIAL</t>
        </is>
      </c>
      <c r="F156" s="6" t="inlineStr">
        <is>
          <t>PY_SIN</t>
        </is>
      </c>
      <c r="G156" s="6" t="inlineStr">
        <is>
          <t>PY</t>
        </is>
      </c>
      <c r="H156" s="8" t="n">
        <v>278.4</v>
      </c>
      <c r="I156" s="6" t="inlineStr">
        <is>
          <t>Gs/kWh</t>
        </is>
      </c>
      <c r="J156" s="6" t="inlineStr">
        <is>
          <t>PYG</t>
        </is>
      </c>
      <c r="K156" s="6" t="inlineStr">
        <is>
          <t>ANDE</t>
        </is>
      </c>
      <c r="L156" s="6" t="inlineStr">
        <is>
          <t>OFFICIAL_PRIMARY</t>
        </is>
      </c>
      <c r="M156" s="9" t="inlineStr">
        <is>
          <t>OFFICIAL_AGGREGATE</t>
        </is>
      </c>
      <c r="N156" s="7" t="inlineStr">
        <is>
          <t>https://www.ande.gov.py/finanzas/2.%20COMPILACION%20ESTADISTICA%202003-2023/ANDE%20-%20Compilacion%20Estadistica%202003-2023.pdf</t>
        </is>
      </c>
      <c r="O156" s="12" t="n">
        <v>90</v>
      </c>
      <c r="P156" s="4" t="inlineStr">
        <is>
          <t>Serie de compilacion 2003-2023.</t>
        </is>
      </c>
    </row>
    <row r="157">
      <c r="A157" s="6" t="inlineStr">
        <is>
          <t>P00156</t>
        </is>
      </c>
      <c r="B157" s="6" t="inlineStr">
        <is>
          <t>2020-01-01</t>
        </is>
      </c>
      <c r="C157" s="6" t="inlineStr">
        <is>
          <t>2020-12-31</t>
        </is>
      </c>
      <c r="D157" s="6" t="inlineStr">
        <is>
          <t>year</t>
        </is>
      </c>
      <c r="E157" s="6" t="inlineStr">
        <is>
          <t>ANDE_TARIFF_INDUSTRIAL</t>
        </is>
      </c>
      <c r="F157" s="6" t="inlineStr">
        <is>
          <t>PY_SIN</t>
        </is>
      </c>
      <c r="G157" s="6" t="inlineStr">
        <is>
          <t>PY</t>
        </is>
      </c>
      <c r="H157" s="8" t="n">
        <v>275.3</v>
      </c>
      <c r="I157" s="6" t="inlineStr">
        <is>
          <t>Gs/kWh</t>
        </is>
      </c>
      <c r="J157" s="6" t="inlineStr">
        <is>
          <t>PYG</t>
        </is>
      </c>
      <c r="K157" s="6" t="inlineStr">
        <is>
          <t>ANDE</t>
        </is>
      </c>
      <c r="L157" s="6" t="inlineStr">
        <is>
          <t>OFFICIAL_PRIMARY</t>
        </is>
      </c>
      <c r="M157" s="9" t="inlineStr">
        <is>
          <t>OFFICIAL_AGGREGATE</t>
        </is>
      </c>
      <c r="N157" s="7" t="inlineStr">
        <is>
          <t>https://www.ande.gov.py/finanzas/2.%20COMPILACION%20ESTADISTICA%202003-2023/ANDE%20-%20Compilacion%20Estadistica%202003-2023.pdf</t>
        </is>
      </c>
      <c r="O157" s="12" t="n">
        <v>90</v>
      </c>
      <c r="P157" s="4" t="inlineStr">
        <is>
          <t>Serie de compilacion 2003-2023.</t>
        </is>
      </c>
    </row>
    <row r="158">
      <c r="A158" s="6" t="inlineStr">
        <is>
          <t>P00157</t>
        </is>
      </c>
      <c r="B158" s="6" t="inlineStr">
        <is>
          <t>2021-01-01</t>
        </is>
      </c>
      <c r="C158" s="6" t="inlineStr">
        <is>
          <t>2021-12-31</t>
        </is>
      </c>
      <c r="D158" s="6" t="inlineStr">
        <is>
          <t>year</t>
        </is>
      </c>
      <c r="E158" s="6" t="inlineStr">
        <is>
          <t>ANDE_TARIFF_INDUSTRIAL</t>
        </is>
      </c>
      <c r="F158" s="6" t="inlineStr">
        <is>
          <t>PY_SIN</t>
        </is>
      </c>
      <c r="G158" s="6" t="inlineStr">
        <is>
          <t>PY</t>
        </is>
      </c>
      <c r="H158" s="8" t="n">
        <v>265.7</v>
      </c>
      <c r="I158" s="6" t="inlineStr">
        <is>
          <t>Gs/kWh</t>
        </is>
      </c>
      <c r="J158" s="6" t="inlineStr">
        <is>
          <t>PYG</t>
        </is>
      </c>
      <c r="K158" s="6" t="inlineStr">
        <is>
          <t>ANDE</t>
        </is>
      </c>
      <c r="L158" s="6" t="inlineStr">
        <is>
          <t>OFFICIAL_PRIMARY</t>
        </is>
      </c>
      <c r="M158" s="9" t="inlineStr">
        <is>
          <t>OFFICIAL_AGGREGATE</t>
        </is>
      </c>
      <c r="N158" s="7" t="inlineStr">
        <is>
          <t>https://www.ande.gov.py/finanzas/2.%20COMPILACION%20ESTADISTICA%202003-2023/ANDE%20-%20Compilacion%20Estadistica%202003-2023.pdf</t>
        </is>
      </c>
      <c r="O158" s="12" t="n">
        <v>90</v>
      </c>
      <c r="P158" s="4" t="inlineStr">
        <is>
          <t>Serie de compilacion 2003-2023.</t>
        </is>
      </c>
    </row>
    <row r="159">
      <c r="A159" s="6" t="inlineStr">
        <is>
          <t>P00158</t>
        </is>
      </c>
      <c r="B159" s="6" t="inlineStr">
        <is>
          <t>2022-01-01</t>
        </is>
      </c>
      <c r="C159" s="6" t="inlineStr">
        <is>
          <t>2022-12-31</t>
        </is>
      </c>
      <c r="D159" s="6" t="inlineStr">
        <is>
          <t>year</t>
        </is>
      </c>
      <c r="E159" s="6" t="inlineStr">
        <is>
          <t>ANDE_TARIFF_INDUSTRIAL</t>
        </is>
      </c>
      <c r="F159" s="6" t="inlineStr">
        <is>
          <t>PY_SIN</t>
        </is>
      </c>
      <c r="G159" s="6" t="inlineStr">
        <is>
          <t>PY</t>
        </is>
      </c>
      <c r="H159" s="8" t="n">
        <v>255.3</v>
      </c>
      <c r="I159" s="6" t="inlineStr">
        <is>
          <t>Gs/kWh</t>
        </is>
      </c>
      <c r="J159" s="6" t="inlineStr">
        <is>
          <t>PYG</t>
        </is>
      </c>
      <c r="K159" s="6" t="inlineStr">
        <is>
          <t>ANDE</t>
        </is>
      </c>
      <c r="L159" s="6" t="inlineStr">
        <is>
          <t>OFFICIAL_PRIMARY</t>
        </is>
      </c>
      <c r="M159" s="9" t="inlineStr">
        <is>
          <t>OFFICIAL_AGGREGATE</t>
        </is>
      </c>
      <c r="N159" s="7" t="inlineStr">
        <is>
          <t>https://www.ande.gov.py/finanzas/2.%20COMPILACION%20ESTADISTICA%202003-2023/ANDE%20-%20Compilacion%20Estadistica%202003-2023.pdf</t>
        </is>
      </c>
      <c r="O159" s="12" t="n">
        <v>90</v>
      </c>
      <c r="P159" s="4" t="inlineStr">
        <is>
          <t>Serie de compilacion 2003-2023.</t>
        </is>
      </c>
    </row>
    <row r="160">
      <c r="A160" s="6" t="inlineStr">
        <is>
          <t>P00159</t>
        </is>
      </c>
      <c r="B160" s="6" t="inlineStr">
        <is>
          <t>2023-01-01</t>
        </is>
      </c>
      <c r="C160" s="6" t="inlineStr">
        <is>
          <t>2023-12-31</t>
        </is>
      </c>
      <c r="D160" s="6" t="inlineStr">
        <is>
          <t>year</t>
        </is>
      </c>
      <c r="E160" s="6" t="inlineStr">
        <is>
          <t>ANDE_TARIFF_INDUSTRIAL</t>
        </is>
      </c>
      <c r="F160" s="6" t="inlineStr">
        <is>
          <t>PY_SIN</t>
        </is>
      </c>
      <c r="G160" s="6" t="inlineStr">
        <is>
          <t>PY</t>
        </is>
      </c>
      <c r="H160" s="8" t="n">
        <v>281.5</v>
      </c>
      <c r="I160" s="6" t="inlineStr">
        <is>
          <t>Gs/kWh</t>
        </is>
      </c>
      <c r="J160" s="6" t="inlineStr">
        <is>
          <t>PYG</t>
        </is>
      </c>
      <c r="K160" s="6" t="inlineStr">
        <is>
          <t>ANDE</t>
        </is>
      </c>
      <c r="L160" s="6" t="inlineStr">
        <is>
          <t>OFFICIAL_PRIMARY</t>
        </is>
      </c>
      <c r="M160" s="9" t="inlineStr">
        <is>
          <t>OFFICIAL_AGGREGATE</t>
        </is>
      </c>
      <c r="N160" s="7" t="inlineStr">
        <is>
          <t>https://www.ande.gov.py/finanzas/2.%20COMPILACION%20ESTADISTICA%202003-2023/ANDE%20-%20Compilacion%20Estadistica%202003-2023.pdf</t>
        </is>
      </c>
      <c r="O160" s="12" t="n">
        <v>90</v>
      </c>
      <c r="P160" s="4" t="inlineStr">
        <is>
          <t>Serie de compilacion 2003-2023.</t>
        </is>
      </c>
    </row>
    <row r="161">
      <c r="A161" s="6" t="inlineStr">
        <is>
          <t>P00160</t>
        </is>
      </c>
      <c r="B161" s="6" t="inlineStr">
        <is>
          <t>2003-01-01</t>
        </is>
      </c>
      <c r="C161" s="6" t="inlineStr">
        <is>
          <t>2003-12-31</t>
        </is>
      </c>
      <c r="D161" s="6" t="inlineStr">
        <is>
          <t>year</t>
        </is>
      </c>
      <c r="E161" s="6" t="inlineStr">
        <is>
          <t>ANDE_TARIFF_OTHER</t>
        </is>
      </c>
      <c r="F161" s="6" t="inlineStr">
        <is>
          <t>PY_SIN</t>
        </is>
      </c>
      <c r="G161" s="6" t="inlineStr">
        <is>
          <t>PY</t>
        </is>
      </c>
      <c r="H161" s="8" t="n">
        <v>336.1</v>
      </c>
      <c r="I161" s="6" t="inlineStr">
        <is>
          <t>Gs/kWh</t>
        </is>
      </c>
      <c r="J161" s="6" t="inlineStr">
        <is>
          <t>PYG</t>
        </is>
      </c>
      <c r="K161" s="6" t="inlineStr">
        <is>
          <t>ANDE</t>
        </is>
      </c>
      <c r="L161" s="6" t="inlineStr">
        <is>
          <t>OFFICIAL_PRIMARY</t>
        </is>
      </c>
      <c r="M161" s="9" t="inlineStr">
        <is>
          <t>OFFICIAL_AGGREGATE</t>
        </is>
      </c>
      <c r="N161" s="7" t="inlineStr">
        <is>
          <t>https://www.ande.gov.py/finanzas/2.%20COMPILACION%20ESTADISTICA%202003-2023/ANDE%20-%20Compilacion%20Estadistica%202003-2023.pdf</t>
        </is>
      </c>
      <c r="O161" s="12" t="n">
        <v>90</v>
      </c>
      <c r="P161" s="4" t="inlineStr">
        <is>
          <t>Serie de compilacion 2003-2023.</t>
        </is>
      </c>
    </row>
    <row r="162">
      <c r="A162" s="6" t="inlineStr">
        <is>
          <t>P00161</t>
        </is>
      </c>
      <c r="B162" s="6" t="inlineStr">
        <is>
          <t>2004-01-01</t>
        </is>
      </c>
      <c r="C162" s="6" t="inlineStr">
        <is>
          <t>2004-12-31</t>
        </is>
      </c>
      <c r="D162" s="6" t="inlineStr">
        <is>
          <t>year</t>
        </is>
      </c>
      <c r="E162" s="6" t="inlineStr">
        <is>
          <t>ANDE_TARIFF_OTHER</t>
        </is>
      </c>
      <c r="F162" s="6" t="inlineStr">
        <is>
          <t>PY_SIN</t>
        </is>
      </c>
      <c r="G162" s="6" t="inlineStr">
        <is>
          <t>PY</t>
        </is>
      </c>
      <c r="H162" s="8" t="n">
        <v>336.1</v>
      </c>
      <c r="I162" s="6" t="inlineStr">
        <is>
          <t>Gs/kWh</t>
        </is>
      </c>
      <c r="J162" s="6" t="inlineStr">
        <is>
          <t>PYG</t>
        </is>
      </c>
      <c r="K162" s="6" t="inlineStr">
        <is>
          <t>ANDE</t>
        </is>
      </c>
      <c r="L162" s="6" t="inlineStr">
        <is>
          <t>OFFICIAL_PRIMARY</t>
        </is>
      </c>
      <c r="M162" s="9" t="inlineStr">
        <is>
          <t>OFFICIAL_AGGREGATE</t>
        </is>
      </c>
      <c r="N162" s="7" t="inlineStr">
        <is>
          <t>https://www.ande.gov.py/finanzas/2.%20COMPILACION%20ESTADISTICA%202003-2023/ANDE%20-%20Compilacion%20Estadistica%202003-2023.pdf</t>
        </is>
      </c>
      <c r="O162" s="12" t="n">
        <v>90</v>
      </c>
      <c r="P162" s="4" t="inlineStr">
        <is>
          <t>Serie de compilacion 2003-2023.</t>
        </is>
      </c>
    </row>
    <row r="163">
      <c r="A163" s="6" t="inlineStr">
        <is>
          <t>P00162</t>
        </is>
      </c>
      <c r="B163" s="6" t="inlineStr">
        <is>
          <t>2005-01-01</t>
        </is>
      </c>
      <c r="C163" s="6" t="inlineStr">
        <is>
          <t>2005-12-31</t>
        </is>
      </c>
      <c r="D163" s="6" t="inlineStr">
        <is>
          <t>year</t>
        </is>
      </c>
      <c r="E163" s="6" t="inlineStr">
        <is>
          <t>ANDE_TARIFF_OTHER</t>
        </is>
      </c>
      <c r="F163" s="6" t="inlineStr">
        <is>
          <t>PY_SIN</t>
        </is>
      </c>
      <c r="G163" s="6" t="inlineStr">
        <is>
          <t>PY</t>
        </is>
      </c>
      <c r="H163" s="8" t="n">
        <v>334.4</v>
      </c>
      <c r="I163" s="6" t="inlineStr">
        <is>
          <t>Gs/kWh</t>
        </is>
      </c>
      <c r="J163" s="6" t="inlineStr">
        <is>
          <t>PYG</t>
        </is>
      </c>
      <c r="K163" s="6" t="inlineStr">
        <is>
          <t>ANDE</t>
        </is>
      </c>
      <c r="L163" s="6" t="inlineStr">
        <is>
          <t>OFFICIAL_PRIMARY</t>
        </is>
      </c>
      <c r="M163" s="9" t="inlineStr">
        <is>
          <t>OFFICIAL_AGGREGATE</t>
        </is>
      </c>
      <c r="N163" s="7" t="inlineStr">
        <is>
          <t>https://www.ande.gov.py/finanzas/2.%20COMPILACION%20ESTADISTICA%202003-2023/ANDE%20-%20Compilacion%20Estadistica%202003-2023.pdf</t>
        </is>
      </c>
      <c r="O163" s="12" t="n">
        <v>90</v>
      </c>
      <c r="P163" s="4" t="inlineStr">
        <is>
          <t>Serie de compilacion 2003-2023.</t>
        </is>
      </c>
    </row>
    <row r="164">
      <c r="A164" s="6" t="inlineStr">
        <is>
          <t>P00163</t>
        </is>
      </c>
      <c r="B164" s="6" t="inlineStr">
        <is>
          <t>2006-01-01</t>
        </is>
      </c>
      <c r="C164" s="6" t="inlineStr">
        <is>
          <t>2006-12-31</t>
        </is>
      </c>
      <c r="D164" s="6" t="inlineStr">
        <is>
          <t>year</t>
        </is>
      </c>
      <c r="E164" s="6" t="inlineStr">
        <is>
          <t>ANDE_TARIFF_OTHER</t>
        </is>
      </c>
      <c r="F164" s="6" t="inlineStr">
        <is>
          <t>PY_SIN</t>
        </is>
      </c>
      <c r="G164" s="6" t="inlineStr">
        <is>
          <t>PY</t>
        </is>
      </c>
      <c r="H164" s="8" t="n">
        <v>332</v>
      </c>
      <c r="I164" s="6" t="inlineStr">
        <is>
          <t>Gs/kWh</t>
        </is>
      </c>
      <c r="J164" s="6" t="inlineStr">
        <is>
          <t>PYG</t>
        </is>
      </c>
      <c r="K164" s="6" t="inlineStr">
        <is>
          <t>ANDE</t>
        </is>
      </c>
      <c r="L164" s="6" t="inlineStr">
        <is>
          <t>OFFICIAL_PRIMARY</t>
        </is>
      </c>
      <c r="M164" s="9" t="inlineStr">
        <is>
          <t>OFFICIAL_AGGREGATE</t>
        </is>
      </c>
      <c r="N164" s="7" t="inlineStr">
        <is>
          <t>https://www.ande.gov.py/finanzas/2.%20COMPILACION%20ESTADISTICA%202003-2023/ANDE%20-%20Compilacion%20Estadistica%202003-2023.pdf</t>
        </is>
      </c>
      <c r="O164" s="12" t="n">
        <v>90</v>
      </c>
      <c r="P164" s="4" t="inlineStr">
        <is>
          <t>Serie de compilacion 2003-2023.</t>
        </is>
      </c>
    </row>
    <row r="165">
      <c r="A165" s="6" t="inlineStr">
        <is>
          <t>P00164</t>
        </is>
      </c>
      <c r="B165" s="6" t="inlineStr">
        <is>
          <t>2007-01-01</t>
        </is>
      </c>
      <c r="C165" s="6" t="inlineStr">
        <is>
          <t>2007-12-31</t>
        </is>
      </c>
      <c r="D165" s="6" t="inlineStr">
        <is>
          <t>year</t>
        </is>
      </c>
      <c r="E165" s="6" t="inlineStr">
        <is>
          <t>ANDE_TARIFF_OTHER</t>
        </is>
      </c>
      <c r="F165" s="6" t="inlineStr">
        <is>
          <t>PY_SIN</t>
        </is>
      </c>
      <c r="G165" s="6" t="inlineStr">
        <is>
          <t>PY</t>
        </is>
      </c>
      <c r="H165" s="8" t="n">
        <v>323.6</v>
      </c>
      <c r="I165" s="6" t="inlineStr">
        <is>
          <t>Gs/kWh</t>
        </is>
      </c>
      <c r="J165" s="6" t="inlineStr">
        <is>
          <t>PYG</t>
        </is>
      </c>
      <c r="K165" s="6" t="inlineStr">
        <is>
          <t>ANDE</t>
        </is>
      </c>
      <c r="L165" s="6" t="inlineStr">
        <is>
          <t>OFFICIAL_PRIMARY</t>
        </is>
      </c>
      <c r="M165" s="9" t="inlineStr">
        <is>
          <t>OFFICIAL_AGGREGATE</t>
        </is>
      </c>
      <c r="N165" s="7" t="inlineStr">
        <is>
          <t>https://www.ande.gov.py/finanzas/2.%20COMPILACION%20ESTADISTICA%202003-2023/ANDE%20-%20Compilacion%20Estadistica%202003-2023.pdf</t>
        </is>
      </c>
      <c r="O165" s="12" t="n">
        <v>90</v>
      </c>
      <c r="P165" s="4" t="inlineStr">
        <is>
          <t>Serie de compilacion 2003-2023.</t>
        </is>
      </c>
    </row>
    <row r="166">
      <c r="A166" s="6" t="inlineStr">
        <is>
          <t>P00165</t>
        </is>
      </c>
      <c r="B166" s="6" t="inlineStr">
        <is>
          <t>2008-01-01</t>
        </is>
      </c>
      <c r="C166" s="6" t="inlineStr">
        <is>
          <t>2008-12-31</t>
        </is>
      </c>
      <c r="D166" s="6" t="inlineStr">
        <is>
          <t>year</t>
        </is>
      </c>
      <c r="E166" s="6" t="inlineStr">
        <is>
          <t>ANDE_TARIFF_OTHER</t>
        </is>
      </c>
      <c r="F166" s="6" t="inlineStr">
        <is>
          <t>PY_SIN</t>
        </is>
      </c>
      <c r="G166" s="6" t="inlineStr">
        <is>
          <t>PY</t>
        </is>
      </c>
      <c r="H166" s="8" t="n">
        <v>320.4</v>
      </c>
      <c r="I166" s="6" t="inlineStr">
        <is>
          <t>Gs/kWh</t>
        </is>
      </c>
      <c r="J166" s="6" t="inlineStr">
        <is>
          <t>PYG</t>
        </is>
      </c>
      <c r="K166" s="6" t="inlineStr">
        <is>
          <t>ANDE</t>
        </is>
      </c>
      <c r="L166" s="6" t="inlineStr">
        <is>
          <t>OFFICIAL_PRIMARY</t>
        </is>
      </c>
      <c r="M166" s="9" t="inlineStr">
        <is>
          <t>OFFICIAL_AGGREGATE</t>
        </is>
      </c>
      <c r="N166" s="7" t="inlineStr">
        <is>
          <t>https://www.ande.gov.py/finanzas/2.%20COMPILACION%20ESTADISTICA%202003-2023/ANDE%20-%20Compilacion%20Estadistica%202003-2023.pdf</t>
        </is>
      </c>
      <c r="O166" s="12" t="n">
        <v>90</v>
      </c>
      <c r="P166" s="4" t="inlineStr">
        <is>
          <t>Serie de compilacion 2003-2023.</t>
        </is>
      </c>
    </row>
    <row r="167">
      <c r="A167" s="6" t="inlineStr">
        <is>
          <t>P00166</t>
        </is>
      </c>
      <c r="B167" s="6" t="inlineStr">
        <is>
          <t>2009-01-01</t>
        </is>
      </c>
      <c r="C167" s="6" t="inlineStr">
        <is>
          <t>2009-12-31</t>
        </is>
      </c>
      <c r="D167" s="6" t="inlineStr">
        <is>
          <t>year</t>
        </is>
      </c>
      <c r="E167" s="6" t="inlineStr">
        <is>
          <t>ANDE_TARIFF_OTHER</t>
        </is>
      </c>
      <c r="F167" s="6" t="inlineStr">
        <is>
          <t>PY_SIN</t>
        </is>
      </c>
      <c r="G167" s="6" t="inlineStr">
        <is>
          <t>PY</t>
        </is>
      </c>
      <c r="H167" s="8" t="n">
        <v>321.8</v>
      </c>
      <c r="I167" s="6" t="inlineStr">
        <is>
          <t>Gs/kWh</t>
        </is>
      </c>
      <c r="J167" s="6" t="inlineStr">
        <is>
          <t>PYG</t>
        </is>
      </c>
      <c r="K167" s="6" t="inlineStr">
        <is>
          <t>ANDE</t>
        </is>
      </c>
      <c r="L167" s="6" t="inlineStr">
        <is>
          <t>OFFICIAL_PRIMARY</t>
        </is>
      </c>
      <c r="M167" s="9" t="inlineStr">
        <is>
          <t>OFFICIAL_AGGREGATE</t>
        </is>
      </c>
      <c r="N167" s="7" t="inlineStr">
        <is>
          <t>https://www.ande.gov.py/finanzas/2.%20COMPILACION%20ESTADISTICA%202003-2023/ANDE%20-%20Compilacion%20Estadistica%202003-2023.pdf</t>
        </is>
      </c>
      <c r="O167" s="12" t="n">
        <v>90</v>
      </c>
      <c r="P167" s="4" t="inlineStr">
        <is>
          <t>Serie de compilacion 2003-2023.</t>
        </is>
      </c>
    </row>
    <row r="168">
      <c r="A168" s="6" t="inlineStr">
        <is>
          <t>P00167</t>
        </is>
      </c>
      <c r="B168" s="6" t="inlineStr">
        <is>
          <t>2010-01-01</t>
        </is>
      </c>
      <c r="C168" s="6" t="inlineStr">
        <is>
          <t>2010-12-31</t>
        </is>
      </c>
      <c r="D168" s="6" t="inlineStr">
        <is>
          <t>year</t>
        </is>
      </c>
      <c r="E168" s="6" t="inlineStr">
        <is>
          <t>ANDE_TARIFF_OTHER</t>
        </is>
      </c>
      <c r="F168" s="6" t="inlineStr">
        <is>
          <t>PY_SIN</t>
        </is>
      </c>
      <c r="G168" s="6" t="inlineStr">
        <is>
          <t>PY</t>
        </is>
      </c>
      <c r="H168" s="8" t="n">
        <v>325.3</v>
      </c>
      <c r="I168" s="6" t="inlineStr">
        <is>
          <t>Gs/kWh</t>
        </is>
      </c>
      <c r="J168" s="6" t="inlineStr">
        <is>
          <t>PYG</t>
        </is>
      </c>
      <c r="K168" s="6" t="inlineStr">
        <is>
          <t>ANDE</t>
        </is>
      </c>
      <c r="L168" s="6" t="inlineStr">
        <is>
          <t>OFFICIAL_PRIMARY</t>
        </is>
      </c>
      <c r="M168" s="9" t="inlineStr">
        <is>
          <t>OFFICIAL_AGGREGATE</t>
        </is>
      </c>
      <c r="N168" s="7" t="inlineStr">
        <is>
          <t>https://www.ande.gov.py/finanzas/2.%20COMPILACION%20ESTADISTICA%202003-2023/ANDE%20-%20Compilacion%20Estadistica%202003-2023.pdf</t>
        </is>
      </c>
      <c r="O168" s="12" t="n">
        <v>90</v>
      </c>
      <c r="P168" s="4" t="inlineStr">
        <is>
          <t>Serie de compilacion 2003-2023.</t>
        </is>
      </c>
    </row>
    <row r="169">
      <c r="A169" s="6" t="inlineStr">
        <is>
          <t>P00168</t>
        </is>
      </c>
      <c r="B169" s="6" t="inlineStr">
        <is>
          <t>2011-01-01</t>
        </is>
      </c>
      <c r="C169" s="6" t="inlineStr">
        <is>
          <t>2011-12-31</t>
        </is>
      </c>
      <c r="D169" s="6" t="inlineStr">
        <is>
          <t>year</t>
        </is>
      </c>
      <c r="E169" s="6" t="inlineStr">
        <is>
          <t>ANDE_TARIFF_OTHER</t>
        </is>
      </c>
      <c r="F169" s="6" t="inlineStr">
        <is>
          <t>PY_SIN</t>
        </is>
      </c>
      <c r="G169" s="6" t="inlineStr">
        <is>
          <t>PY</t>
        </is>
      </c>
      <c r="H169" s="8" t="n">
        <v>322.6</v>
      </c>
      <c r="I169" s="6" t="inlineStr">
        <is>
          <t>Gs/kWh</t>
        </is>
      </c>
      <c r="J169" s="6" t="inlineStr">
        <is>
          <t>PYG</t>
        </is>
      </c>
      <c r="K169" s="6" t="inlineStr">
        <is>
          <t>ANDE</t>
        </is>
      </c>
      <c r="L169" s="6" t="inlineStr">
        <is>
          <t>OFFICIAL_PRIMARY</t>
        </is>
      </c>
      <c r="M169" s="9" t="inlineStr">
        <is>
          <t>OFFICIAL_AGGREGATE</t>
        </is>
      </c>
      <c r="N169" s="7" t="inlineStr">
        <is>
          <t>https://www.ande.gov.py/finanzas/2.%20COMPILACION%20ESTADISTICA%202003-2023/ANDE%20-%20Compilacion%20Estadistica%202003-2023.pdf</t>
        </is>
      </c>
      <c r="O169" s="12" t="n">
        <v>90</v>
      </c>
      <c r="P169" s="4" t="inlineStr">
        <is>
          <t>Serie de compilacion 2003-2023.</t>
        </is>
      </c>
    </row>
    <row r="170">
      <c r="A170" s="6" t="inlineStr">
        <is>
          <t>P00169</t>
        </is>
      </c>
      <c r="B170" s="6" t="inlineStr">
        <is>
          <t>2012-01-01</t>
        </is>
      </c>
      <c r="C170" s="6" t="inlineStr">
        <is>
          <t>2012-12-31</t>
        </is>
      </c>
      <c r="D170" s="6" t="inlineStr">
        <is>
          <t>year</t>
        </is>
      </c>
      <c r="E170" s="6" t="inlineStr">
        <is>
          <t>ANDE_TARIFF_OTHER</t>
        </is>
      </c>
      <c r="F170" s="6" t="inlineStr">
        <is>
          <t>PY_SIN</t>
        </is>
      </c>
      <c r="G170" s="6" t="inlineStr">
        <is>
          <t>PY</t>
        </is>
      </c>
      <c r="H170" s="8" t="n">
        <v>323.7</v>
      </c>
      <c r="I170" s="6" t="inlineStr">
        <is>
          <t>Gs/kWh</t>
        </is>
      </c>
      <c r="J170" s="6" t="inlineStr">
        <is>
          <t>PYG</t>
        </is>
      </c>
      <c r="K170" s="6" t="inlineStr">
        <is>
          <t>ANDE</t>
        </is>
      </c>
      <c r="L170" s="6" t="inlineStr">
        <is>
          <t>OFFICIAL_PRIMARY</t>
        </is>
      </c>
      <c r="M170" s="9" t="inlineStr">
        <is>
          <t>OFFICIAL_AGGREGATE</t>
        </is>
      </c>
      <c r="N170" s="7" t="inlineStr">
        <is>
          <t>https://www.ande.gov.py/finanzas/2.%20COMPILACION%20ESTADISTICA%202003-2023/ANDE%20-%20Compilacion%20Estadistica%202003-2023.pdf</t>
        </is>
      </c>
      <c r="O170" s="12" t="n">
        <v>90</v>
      </c>
      <c r="P170" s="4" t="inlineStr">
        <is>
          <t>Serie de compilacion 2003-2023.</t>
        </is>
      </c>
    </row>
    <row r="171">
      <c r="A171" s="6" t="inlineStr">
        <is>
          <t>P00170</t>
        </is>
      </c>
      <c r="B171" s="6" t="inlineStr">
        <is>
          <t>2013-01-01</t>
        </is>
      </c>
      <c r="C171" s="6" t="inlineStr">
        <is>
          <t>2013-12-31</t>
        </is>
      </c>
      <c r="D171" s="6" t="inlineStr">
        <is>
          <t>year</t>
        </is>
      </c>
      <c r="E171" s="6" t="inlineStr">
        <is>
          <t>ANDE_TARIFF_OTHER</t>
        </is>
      </c>
      <c r="F171" s="6" t="inlineStr">
        <is>
          <t>PY_SIN</t>
        </is>
      </c>
      <c r="G171" s="6" t="inlineStr">
        <is>
          <t>PY</t>
        </is>
      </c>
      <c r="H171" s="8" t="n">
        <v>314.6</v>
      </c>
      <c r="I171" s="6" t="inlineStr">
        <is>
          <t>Gs/kWh</t>
        </is>
      </c>
      <c r="J171" s="6" t="inlineStr">
        <is>
          <t>PYG</t>
        </is>
      </c>
      <c r="K171" s="6" t="inlineStr">
        <is>
          <t>ANDE</t>
        </is>
      </c>
      <c r="L171" s="6" t="inlineStr">
        <is>
          <t>OFFICIAL_PRIMARY</t>
        </is>
      </c>
      <c r="M171" s="9" t="inlineStr">
        <is>
          <t>OFFICIAL_AGGREGATE</t>
        </is>
      </c>
      <c r="N171" s="7" t="inlineStr">
        <is>
          <t>https://www.ande.gov.py/finanzas/2.%20COMPILACION%20ESTADISTICA%202003-2023/ANDE%20-%20Compilacion%20Estadistica%202003-2023.pdf</t>
        </is>
      </c>
      <c r="O171" s="12" t="n">
        <v>90</v>
      </c>
      <c r="P171" s="4" t="inlineStr">
        <is>
          <t>Serie de compilacion 2003-2023.</t>
        </is>
      </c>
    </row>
    <row r="172">
      <c r="A172" s="6" t="inlineStr">
        <is>
          <t>P00171</t>
        </is>
      </c>
      <c r="B172" s="6" t="inlineStr">
        <is>
          <t>2014-01-01</t>
        </is>
      </c>
      <c r="C172" s="6" t="inlineStr">
        <is>
          <t>2014-12-31</t>
        </is>
      </c>
      <c r="D172" s="6" t="inlineStr">
        <is>
          <t>year</t>
        </is>
      </c>
      <c r="E172" s="6" t="inlineStr">
        <is>
          <t>ANDE_TARIFF_OTHER</t>
        </is>
      </c>
      <c r="F172" s="6" t="inlineStr">
        <is>
          <t>PY_SIN</t>
        </is>
      </c>
      <c r="G172" s="6" t="inlineStr">
        <is>
          <t>PY</t>
        </is>
      </c>
      <c r="H172" s="8" t="n">
        <v>307</v>
      </c>
      <c r="I172" s="6" t="inlineStr">
        <is>
          <t>Gs/kWh</t>
        </is>
      </c>
      <c r="J172" s="6" t="inlineStr">
        <is>
          <t>PYG</t>
        </is>
      </c>
      <c r="K172" s="6" t="inlineStr">
        <is>
          <t>ANDE</t>
        </is>
      </c>
      <c r="L172" s="6" t="inlineStr">
        <is>
          <t>OFFICIAL_PRIMARY</t>
        </is>
      </c>
      <c r="M172" s="9" t="inlineStr">
        <is>
          <t>OFFICIAL_AGGREGATE</t>
        </is>
      </c>
      <c r="N172" s="7" t="inlineStr">
        <is>
          <t>https://www.ande.gov.py/finanzas/2.%20COMPILACION%20ESTADISTICA%202003-2023/ANDE%20-%20Compilacion%20Estadistica%202003-2023.pdf</t>
        </is>
      </c>
      <c r="O172" s="12" t="n">
        <v>90</v>
      </c>
      <c r="P172" s="4" t="inlineStr">
        <is>
          <t>Serie de compilacion 2003-2023.</t>
        </is>
      </c>
    </row>
    <row r="173">
      <c r="A173" s="6" t="inlineStr">
        <is>
          <t>P00172</t>
        </is>
      </c>
      <c r="B173" s="6" t="inlineStr">
        <is>
          <t>2015-01-01</t>
        </is>
      </c>
      <c r="C173" s="6" t="inlineStr">
        <is>
          <t>2015-12-31</t>
        </is>
      </c>
      <c r="D173" s="6" t="inlineStr">
        <is>
          <t>year</t>
        </is>
      </c>
      <c r="E173" s="6" t="inlineStr">
        <is>
          <t>ANDE_TARIFF_OTHER</t>
        </is>
      </c>
      <c r="F173" s="6" t="inlineStr">
        <is>
          <t>PY_SIN</t>
        </is>
      </c>
      <c r="G173" s="6" t="inlineStr">
        <is>
          <t>PY</t>
        </is>
      </c>
      <c r="H173" s="8" t="n">
        <v>300.2</v>
      </c>
      <c r="I173" s="6" t="inlineStr">
        <is>
          <t>Gs/kWh</t>
        </is>
      </c>
      <c r="J173" s="6" t="inlineStr">
        <is>
          <t>PYG</t>
        </is>
      </c>
      <c r="K173" s="6" t="inlineStr">
        <is>
          <t>ANDE</t>
        </is>
      </c>
      <c r="L173" s="6" t="inlineStr">
        <is>
          <t>OFFICIAL_PRIMARY</t>
        </is>
      </c>
      <c r="M173" s="9" t="inlineStr">
        <is>
          <t>OFFICIAL_AGGREGATE</t>
        </is>
      </c>
      <c r="N173" s="7" t="inlineStr">
        <is>
          <t>https://www.ande.gov.py/finanzas/2.%20COMPILACION%20ESTADISTICA%202003-2023/ANDE%20-%20Compilacion%20Estadistica%202003-2023.pdf</t>
        </is>
      </c>
      <c r="O173" s="12" t="n">
        <v>90</v>
      </c>
      <c r="P173" s="4" t="inlineStr">
        <is>
          <t>Serie de compilacion 2003-2023.</t>
        </is>
      </c>
    </row>
    <row r="174">
      <c r="A174" s="6" t="inlineStr">
        <is>
          <t>P00173</t>
        </is>
      </c>
      <c r="B174" s="6" t="inlineStr">
        <is>
          <t>2016-01-01</t>
        </is>
      </c>
      <c r="C174" s="6" t="inlineStr">
        <is>
          <t>2016-12-31</t>
        </is>
      </c>
      <c r="D174" s="6" t="inlineStr">
        <is>
          <t>year</t>
        </is>
      </c>
      <c r="E174" s="6" t="inlineStr">
        <is>
          <t>ANDE_TARIFF_OTHER</t>
        </is>
      </c>
      <c r="F174" s="6" t="inlineStr">
        <is>
          <t>PY_SIN</t>
        </is>
      </c>
      <c r="G174" s="6" t="inlineStr">
        <is>
          <t>PY</t>
        </is>
      </c>
      <c r="H174" s="8" t="n">
        <v>303.7</v>
      </c>
      <c r="I174" s="6" t="inlineStr">
        <is>
          <t>Gs/kWh</t>
        </is>
      </c>
      <c r="J174" s="6" t="inlineStr">
        <is>
          <t>PYG</t>
        </is>
      </c>
      <c r="K174" s="6" t="inlineStr">
        <is>
          <t>ANDE</t>
        </is>
      </c>
      <c r="L174" s="6" t="inlineStr">
        <is>
          <t>OFFICIAL_PRIMARY</t>
        </is>
      </c>
      <c r="M174" s="9" t="inlineStr">
        <is>
          <t>OFFICIAL_AGGREGATE</t>
        </is>
      </c>
      <c r="N174" s="7" t="inlineStr">
        <is>
          <t>https://www.ande.gov.py/finanzas/2.%20COMPILACION%20ESTADISTICA%202003-2023/ANDE%20-%20Compilacion%20Estadistica%202003-2023.pdf</t>
        </is>
      </c>
      <c r="O174" s="12" t="n">
        <v>90</v>
      </c>
      <c r="P174" s="4" t="inlineStr">
        <is>
          <t>Serie de compilacion 2003-2023.</t>
        </is>
      </c>
    </row>
    <row r="175">
      <c r="A175" s="6" t="inlineStr">
        <is>
          <t>P00174</t>
        </is>
      </c>
      <c r="B175" s="6" t="inlineStr">
        <is>
          <t>2017-01-01</t>
        </is>
      </c>
      <c r="C175" s="6" t="inlineStr">
        <is>
          <t>2017-12-31</t>
        </is>
      </c>
      <c r="D175" s="6" t="inlineStr">
        <is>
          <t>year</t>
        </is>
      </c>
      <c r="E175" s="6" t="inlineStr">
        <is>
          <t>ANDE_TARIFF_OTHER</t>
        </is>
      </c>
      <c r="F175" s="6" t="inlineStr">
        <is>
          <t>PY_SIN</t>
        </is>
      </c>
      <c r="G175" s="6" t="inlineStr">
        <is>
          <t>PY</t>
        </is>
      </c>
      <c r="H175" s="8" t="n">
        <v>357.1</v>
      </c>
      <c r="I175" s="6" t="inlineStr">
        <is>
          <t>Gs/kWh</t>
        </is>
      </c>
      <c r="J175" s="6" t="inlineStr">
        <is>
          <t>PYG</t>
        </is>
      </c>
      <c r="K175" s="6" t="inlineStr">
        <is>
          <t>ANDE</t>
        </is>
      </c>
      <c r="L175" s="6" t="inlineStr">
        <is>
          <t>OFFICIAL_PRIMARY</t>
        </is>
      </c>
      <c r="M175" s="9" t="inlineStr">
        <is>
          <t>OFFICIAL_AGGREGATE</t>
        </is>
      </c>
      <c r="N175" s="7" t="inlineStr">
        <is>
          <t>https://www.ande.gov.py/finanzas/2.%20COMPILACION%20ESTADISTICA%202003-2023/ANDE%20-%20Compilacion%20Estadistica%202003-2023.pdf</t>
        </is>
      </c>
      <c r="O175" s="12" t="n">
        <v>90</v>
      </c>
      <c r="P175" s="4" t="inlineStr">
        <is>
          <t>Serie de compilacion 2003-2023.</t>
        </is>
      </c>
    </row>
    <row r="176">
      <c r="A176" s="6" t="inlineStr">
        <is>
          <t>P00175</t>
        </is>
      </c>
      <c r="B176" s="6" t="inlineStr">
        <is>
          <t>2018-01-01</t>
        </is>
      </c>
      <c r="C176" s="6" t="inlineStr">
        <is>
          <t>2018-12-31</t>
        </is>
      </c>
      <c r="D176" s="6" t="inlineStr">
        <is>
          <t>year</t>
        </is>
      </c>
      <c r="E176" s="6" t="inlineStr">
        <is>
          <t>ANDE_TARIFF_OTHER</t>
        </is>
      </c>
      <c r="F176" s="6" t="inlineStr">
        <is>
          <t>PY_SIN</t>
        </is>
      </c>
      <c r="G176" s="6" t="inlineStr">
        <is>
          <t>PY</t>
        </is>
      </c>
      <c r="H176" s="8" t="n">
        <v>363.7</v>
      </c>
      <c r="I176" s="6" t="inlineStr">
        <is>
          <t>Gs/kWh</t>
        </is>
      </c>
      <c r="J176" s="6" t="inlineStr">
        <is>
          <t>PYG</t>
        </is>
      </c>
      <c r="K176" s="6" t="inlineStr">
        <is>
          <t>ANDE</t>
        </is>
      </c>
      <c r="L176" s="6" t="inlineStr">
        <is>
          <t>OFFICIAL_PRIMARY</t>
        </is>
      </c>
      <c r="M176" s="9" t="inlineStr">
        <is>
          <t>OFFICIAL_AGGREGATE</t>
        </is>
      </c>
      <c r="N176" s="7" t="inlineStr">
        <is>
          <t>https://www.ande.gov.py/finanzas/2.%20COMPILACION%20ESTADISTICA%202003-2023/ANDE%20-%20Compilacion%20Estadistica%202003-2023.pdf</t>
        </is>
      </c>
      <c r="O176" s="12" t="n">
        <v>90</v>
      </c>
      <c r="P176" s="4" t="inlineStr">
        <is>
          <t>Serie de compilacion 2003-2023.</t>
        </is>
      </c>
    </row>
    <row r="177">
      <c r="A177" s="6" t="inlineStr">
        <is>
          <t>P00176</t>
        </is>
      </c>
      <c r="B177" s="6" t="inlineStr">
        <is>
          <t>2019-01-01</t>
        </is>
      </c>
      <c r="C177" s="6" t="inlineStr">
        <is>
          <t>2019-12-31</t>
        </is>
      </c>
      <c r="D177" s="6" t="inlineStr">
        <is>
          <t>year</t>
        </is>
      </c>
      <c r="E177" s="6" t="inlineStr">
        <is>
          <t>ANDE_TARIFF_OTHER</t>
        </is>
      </c>
      <c r="F177" s="6" t="inlineStr">
        <is>
          <t>PY_SIN</t>
        </is>
      </c>
      <c r="G177" s="6" t="inlineStr">
        <is>
          <t>PY</t>
        </is>
      </c>
      <c r="H177" s="8" t="n">
        <v>365.7</v>
      </c>
      <c r="I177" s="6" t="inlineStr">
        <is>
          <t>Gs/kWh</t>
        </is>
      </c>
      <c r="J177" s="6" t="inlineStr">
        <is>
          <t>PYG</t>
        </is>
      </c>
      <c r="K177" s="6" t="inlineStr">
        <is>
          <t>ANDE</t>
        </is>
      </c>
      <c r="L177" s="6" t="inlineStr">
        <is>
          <t>OFFICIAL_PRIMARY</t>
        </is>
      </c>
      <c r="M177" s="9" t="inlineStr">
        <is>
          <t>OFFICIAL_AGGREGATE</t>
        </is>
      </c>
      <c r="N177" s="7" t="inlineStr">
        <is>
          <t>https://www.ande.gov.py/finanzas/2.%20COMPILACION%20ESTADISTICA%202003-2023/ANDE%20-%20Compilacion%20Estadistica%202003-2023.pdf</t>
        </is>
      </c>
      <c r="O177" s="12" t="n">
        <v>90</v>
      </c>
      <c r="P177" s="4" t="inlineStr">
        <is>
          <t>Serie de compilacion 2003-2023.</t>
        </is>
      </c>
    </row>
    <row r="178">
      <c r="A178" s="6" t="inlineStr">
        <is>
          <t>P00177</t>
        </is>
      </c>
      <c r="B178" s="6" t="inlineStr">
        <is>
          <t>2020-01-01</t>
        </is>
      </c>
      <c r="C178" s="6" t="inlineStr">
        <is>
          <t>2020-12-31</t>
        </is>
      </c>
      <c r="D178" s="6" t="inlineStr">
        <is>
          <t>year</t>
        </is>
      </c>
      <c r="E178" s="6" t="inlineStr">
        <is>
          <t>ANDE_TARIFF_OTHER</t>
        </is>
      </c>
      <c r="F178" s="6" t="inlineStr">
        <is>
          <t>PY_SIN</t>
        </is>
      </c>
      <c r="G178" s="6" t="inlineStr">
        <is>
          <t>PY</t>
        </is>
      </c>
      <c r="H178" s="8" t="n">
        <v>366</v>
      </c>
      <c r="I178" s="6" t="inlineStr">
        <is>
          <t>Gs/kWh</t>
        </is>
      </c>
      <c r="J178" s="6" t="inlineStr">
        <is>
          <t>PYG</t>
        </is>
      </c>
      <c r="K178" s="6" t="inlineStr">
        <is>
          <t>ANDE</t>
        </is>
      </c>
      <c r="L178" s="6" t="inlineStr">
        <is>
          <t>OFFICIAL_PRIMARY</t>
        </is>
      </c>
      <c r="M178" s="9" t="inlineStr">
        <is>
          <t>OFFICIAL_AGGREGATE</t>
        </is>
      </c>
      <c r="N178" s="7" t="inlineStr">
        <is>
          <t>https://www.ande.gov.py/finanzas/2.%20COMPILACION%20ESTADISTICA%202003-2023/ANDE%20-%20Compilacion%20Estadistica%202003-2023.pdf</t>
        </is>
      </c>
      <c r="O178" s="12" t="n">
        <v>90</v>
      </c>
      <c r="P178" s="4" t="inlineStr">
        <is>
          <t>Serie de compilacion 2003-2023.</t>
        </is>
      </c>
    </row>
    <row r="179">
      <c r="A179" s="6" t="inlineStr">
        <is>
          <t>P00178</t>
        </is>
      </c>
      <c r="B179" s="6" t="inlineStr">
        <is>
          <t>2021-01-01</t>
        </is>
      </c>
      <c r="C179" s="6" t="inlineStr">
        <is>
          <t>2021-12-31</t>
        </is>
      </c>
      <c r="D179" s="6" t="inlineStr">
        <is>
          <t>year</t>
        </is>
      </c>
      <c r="E179" s="6" t="inlineStr">
        <is>
          <t>ANDE_TARIFF_OTHER</t>
        </is>
      </c>
      <c r="F179" s="6" t="inlineStr">
        <is>
          <t>PY_SIN</t>
        </is>
      </c>
      <c r="G179" s="6" t="inlineStr">
        <is>
          <t>PY</t>
        </is>
      </c>
      <c r="H179" s="8" t="n">
        <v>356.7</v>
      </c>
      <c r="I179" s="6" t="inlineStr">
        <is>
          <t>Gs/kWh</t>
        </is>
      </c>
      <c r="J179" s="6" t="inlineStr">
        <is>
          <t>PYG</t>
        </is>
      </c>
      <c r="K179" s="6" t="inlineStr">
        <is>
          <t>ANDE</t>
        </is>
      </c>
      <c r="L179" s="6" t="inlineStr">
        <is>
          <t>OFFICIAL_PRIMARY</t>
        </is>
      </c>
      <c r="M179" s="9" t="inlineStr">
        <is>
          <t>OFFICIAL_AGGREGATE</t>
        </is>
      </c>
      <c r="N179" s="7" t="inlineStr">
        <is>
          <t>https://www.ande.gov.py/finanzas/2.%20COMPILACION%20ESTADISTICA%202003-2023/ANDE%20-%20Compilacion%20Estadistica%202003-2023.pdf</t>
        </is>
      </c>
      <c r="O179" s="12" t="n">
        <v>90</v>
      </c>
      <c r="P179" s="4" t="inlineStr">
        <is>
          <t>Serie de compilacion 2003-2023.</t>
        </is>
      </c>
    </row>
    <row r="180">
      <c r="A180" s="6" t="inlineStr">
        <is>
          <t>P00179</t>
        </is>
      </c>
      <c r="B180" s="6" t="inlineStr">
        <is>
          <t>2022-01-01</t>
        </is>
      </c>
      <c r="C180" s="6" t="inlineStr">
        <is>
          <t>2022-12-31</t>
        </is>
      </c>
      <c r="D180" s="6" t="inlineStr">
        <is>
          <t>year</t>
        </is>
      </c>
      <c r="E180" s="6" t="inlineStr">
        <is>
          <t>ANDE_TARIFF_OTHER</t>
        </is>
      </c>
      <c r="F180" s="6" t="inlineStr">
        <is>
          <t>PY_SIN</t>
        </is>
      </c>
      <c r="G180" s="6" t="inlineStr">
        <is>
          <t>PY</t>
        </is>
      </c>
      <c r="H180" s="8" t="n">
        <v>361</v>
      </c>
      <c r="I180" s="6" t="inlineStr">
        <is>
          <t>Gs/kWh</t>
        </is>
      </c>
      <c r="J180" s="6" t="inlineStr">
        <is>
          <t>PYG</t>
        </is>
      </c>
      <c r="K180" s="6" t="inlineStr">
        <is>
          <t>ANDE</t>
        </is>
      </c>
      <c r="L180" s="6" t="inlineStr">
        <is>
          <t>OFFICIAL_PRIMARY</t>
        </is>
      </c>
      <c r="M180" s="9" t="inlineStr">
        <is>
          <t>OFFICIAL_AGGREGATE</t>
        </is>
      </c>
      <c r="N180" s="7" t="inlineStr">
        <is>
          <t>https://www.ande.gov.py/finanzas/2.%20COMPILACION%20ESTADISTICA%202003-2023/ANDE%20-%20Compilacion%20Estadistica%202003-2023.pdf</t>
        </is>
      </c>
      <c r="O180" s="12" t="n">
        <v>90</v>
      </c>
      <c r="P180" s="4" t="inlineStr">
        <is>
          <t>Serie de compilacion 2003-2023.</t>
        </is>
      </c>
    </row>
    <row r="181">
      <c r="A181" s="6" t="inlineStr">
        <is>
          <t>P00180</t>
        </is>
      </c>
      <c r="B181" s="6" t="inlineStr">
        <is>
          <t>2023-01-01</t>
        </is>
      </c>
      <c r="C181" s="6" t="inlineStr">
        <is>
          <t>2023-12-31</t>
        </is>
      </c>
      <c r="D181" s="6" t="inlineStr">
        <is>
          <t>year</t>
        </is>
      </c>
      <c r="E181" s="6" t="inlineStr">
        <is>
          <t>ANDE_TARIFF_OTHER</t>
        </is>
      </c>
      <c r="F181" s="6" t="inlineStr">
        <is>
          <t>PY_SIN</t>
        </is>
      </c>
      <c r="G181" s="6" t="inlineStr">
        <is>
          <t>PY</t>
        </is>
      </c>
      <c r="H181" s="8" t="n">
        <v>349.5</v>
      </c>
      <c r="I181" s="6" t="inlineStr">
        <is>
          <t>Gs/kWh</t>
        </is>
      </c>
      <c r="J181" s="6" t="inlineStr">
        <is>
          <t>PYG</t>
        </is>
      </c>
      <c r="K181" s="6" t="inlineStr">
        <is>
          <t>ANDE</t>
        </is>
      </c>
      <c r="L181" s="6" t="inlineStr">
        <is>
          <t>OFFICIAL_PRIMARY</t>
        </is>
      </c>
      <c r="M181" s="9" t="inlineStr">
        <is>
          <t>OFFICIAL_AGGREGATE</t>
        </is>
      </c>
      <c r="N181" s="7" t="inlineStr">
        <is>
          <t>https://www.ande.gov.py/finanzas/2.%20COMPILACION%20ESTADISTICA%202003-2023/ANDE%20-%20Compilacion%20Estadistica%202003-2023.pdf</t>
        </is>
      </c>
      <c r="O181" s="12" t="n">
        <v>90</v>
      </c>
      <c r="P181" s="4" t="inlineStr">
        <is>
          <t>Serie de compilacion 2003-2023.</t>
        </is>
      </c>
    </row>
    <row r="182">
      <c r="A182" s="6" t="inlineStr">
        <is>
          <t>P00181</t>
        </is>
      </c>
      <c r="B182" s="6" t="inlineStr">
        <is>
          <t>2003-01-01</t>
        </is>
      </c>
      <c r="C182" s="6" t="inlineStr">
        <is>
          <t>2003-12-31</t>
        </is>
      </c>
      <c r="D182" s="6" t="inlineStr">
        <is>
          <t>year</t>
        </is>
      </c>
      <c r="E182" s="6" t="inlineStr">
        <is>
          <t>ANDE_TARIFF_GOV</t>
        </is>
      </c>
      <c r="F182" s="6" t="inlineStr">
        <is>
          <t>PY_SIN</t>
        </is>
      </c>
      <c r="G182" s="6" t="inlineStr">
        <is>
          <t>PY</t>
        </is>
      </c>
      <c r="H182" s="8" t="n">
        <v>301.5</v>
      </c>
      <c r="I182" s="6" t="inlineStr">
        <is>
          <t>Gs/kWh</t>
        </is>
      </c>
      <c r="J182" s="6" t="inlineStr">
        <is>
          <t>PYG</t>
        </is>
      </c>
      <c r="K182" s="6" t="inlineStr">
        <is>
          <t>ANDE</t>
        </is>
      </c>
      <c r="L182" s="6" t="inlineStr">
        <is>
          <t>OFFICIAL_PRIMARY</t>
        </is>
      </c>
      <c r="M182" s="9" t="inlineStr">
        <is>
          <t>OFFICIAL_AGGREGATE</t>
        </is>
      </c>
      <c r="N182" s="7" t="inlineStr">
        <is>
          <t>https://www.ande.gov.py/finanzas/2.%20COMPILACION%20ESTADISTICA%202003-2023/ANDE%20-%20Compilacion%20Estadistica%202003-2023.pdf</t>
        </is>
      </c>
      <c r="O182" s="12" t="n">
        <v>90</v>
      </c>
      <c r="P182" s="4" t="inlineStr">
        <is>
          <t>Serie de compilacion 2003-2023.</t>
        </is>
      </c>
    </row>
    <row r="183">
      <c r="A183" s="6" t="inlineStr">
        <is>
          <t>P00182</t>
        </is>
      </c>
      <c r="B183" s="6" t="inlineStr">
        <is>
          <t>2004-01-01</t>
        </is>
      </c>
      <c r="C183" s="6" t="inlineStr">
        <is>
          <t>2004-12-31</t>
        </is>
      </c>
      <c r="D183" s="6" t="inlineStr">
        <is>
          <t>year</t>
        </is>
      </c>
      <c r="E183" s="6" t="inlineStr">
        <is>
          <t>ANDE_TARIFF_GOV</t>
        </is>
      </c>
      <c r="F183" s="6" t="inlineStr">
        <is>
          <t>PY_SIN</t>
        </is>
      </c>
      <c r="G183" s="6" t="inlineStr">
        <is>
          <t>PY</t>
        </is>
      </c>
      <c r="H183" s="8" t="n">
        <v>314.2</v>
      </c>
      <c r="I183" s="6" t="inlineStr">
        <is>
          <t>Gs/kWh</t>
        </is>
      </c>
      <c r="J183" s="6" t="inlineStr">
        <is>
          <t>PYG</t>
        </is>
      </c>
      <c r="K183" s="6" t="inlineStr">
        <is>
          <t>ANDE</t>
        </is>
      </c>
      <c r="L183" s="6" t="inlineStr">
        <is>
          <t>OFFICIAL_PRIMARY</t>
        </is>
      </c>
      <c r="M183" s="9" t="inlineStr">
        <is>
          <t>OFFICIAL_AGGREGATE</t>
        </is>
      </c>
      <c r="N183" s="7" t="inlineStr">
        <is>
          <t>https://www.ande.gov.py/finanzas/2.%20COMPILACION%20ESTADISTICA%202003-2023/ANDE%20-%20Compilacion%20Estadistica%202003-2023.pdf</t>
        </is>
      </c>
      <c r="O183" s="12" t="n">
        <v>90</v>
      </c>
      <c r="P183" s="4" t="inlineStr">
        <is>
          <t>Serie de compilacion 2003-2023.</t>
        </is>
      </c>
    </row>
    <row r="184">
      <c r="A184" s="6" t="inlineStr">
        <is>
          <t>P00183</t>
        </is>
      </c>
      <c r="B184" s="6" t="inlineStr">
        <is>
          <t>2005-01-01</t>
        </is>
      </c>
      <c r="C184" s="6" t="inlineStr">
        <is>
          <t>2005-12-31</t>
        </is>
      </c>
      <c r="D184" s="6" t="inlineStr">
        <is>
          <t>year</t>
        </is>
      </c>
      <c r="E184" s="6" t="inlineStr">
        <is>
          <t>ANDE_TARIFF_GOV</t>
        </is>
      </c>
      <c r="F184" s="6" t="inlineStr">
        <is>
          <t>PY_SIN</t>
        </is>
      </c>
      <c r="G184" s="6" t="inlineStr">
        <is>
          <t>PY</t>
        </is>
      </c>
      <c r="H184" s="8" t="n">
        <v>288</v>
      </c>
      <c r="I184" s="6" t="inlineStr">
        <is>
          <t>Gs/kWh</t>
        </is>
      </c>
      <c r="J184" s="6" t="inlineStr">
        <is>
          <t>PYG</t>
        </is>
      </c>
      <c r="K184" s="6" t="inlineStr">
        <is>
          <t>ANDE</t>
        </is>
      </c>
      <c r="L184" s="6" t="inlineStr">
        <is>
          <t>OFFICIAL_PRIMARY</t>
        </is>
      </c>
      <c r="M184" s="9" t="inlineStr">
        <is>
          <t>OFFICIAL_AGGREGATE</t>
        </is>
      </c>
      <c r="N184" s="7" t="inlineStr">
        <is>
          <t>https://www.ande.gov.py/finanzas/2.%20COMPILACION%20ESTADISTICA%202003-2023/ANDE%20-%20Compilacion%20Estadistica%202003-2023.pdf</t>
        </is>
      </c>
      <c r="O184" s="12" t="n">
        <v>90</v>
      </c>
      <c r="P184" s="4" t="inlineStr">
        <is>
          <t>Serie de compilacion 2003-2023.</t>
        </is>
      </c>
    </row>
    <row r="185">
      <c r="A185" s="6" t="inlineStr">
        <is>
          <t>P00184</t>
        </is>
      </c>
      <c r="B185" s="6" t="inlineStr">
        <is>
          <t>2006-01-01</t>
        </is>
      </c>
      <c r="C185" s="6" t="inlineStr">
        <is>
          <t>2006-12-31</t>
        </is>
      </c>
      <c r="D185" s="6" t="inlineStr">
        <is>
          <t>year</t>
        </is>
      </c>
      <c r="E185" s="6" t="inlineStr">
        <is>
          <t>ANDE_TARIFF_GOV</t>
        </is>
      </c>
      <c r="F185" s="6" t="inlineStr">
        <is>
          <t>PY_SIN</t>
        </is>
      </c>
      <c r="G185" s="6" t="inlineStr">
        <is>
          <t>PY</t>
        </is>
      </c>
      <c r="H185" s="8" t="n">
        <v>275.2</v>
      </c>
      <c r="I185" s="6" t="inlineStr">
        <is>
          <t>Gs/kWh</t>
        </is>
      </c>
      <c r="J185" s="6" t="inlineStr">
        <is>
          <t>PYG</t>
        </is>
      </c>
      <c r="K185" s="6" t="inlineStr">
        <is>
          <t>ANDE</t>
        </is>
      </c>
      <c r="L185" s="6" t="inlineStr">
        <is>
          <t>OFFICIAL_PRIMARY</t>
        </is>
      </c>
      <c r="M185" s="9" t="inlineStr">
        <is>
          <t>OFFICIAL_AGGREGATE</t>
        </is>
      </c>
      <c r="N185" s="7" t="inlineStr">
        <is>
          <t>https://www.ande.gov.py/finanzas/2.%20COMPILACION%20ESTADISTICA%202003-2023/ANDE%20-%20Compilacion%20Estadistica%202003-2023.pdf</t>
        </is>
      </c>
      <c r="O185" s="12" t="n">
        <v>90</v>
      </c>
      <c r="P185" s="4" t="inlineStr">
        <is>
          <t>Serie de compilacion 2003-2023.</t>
        </is>
      </c>
    </row>
    <row r="186">
      <c r="A186" s="6" t="inlineStr">
        <is>
          <t>P00185</t>
        </is>
      </c>
      <c r="B186" s="6" t="inlineStr">
        <is>
          <t>2007-01-01</t>
        </is>
      </c>
      <c r="C186" s="6" t="inlineStr">
        <is>
          <t>2007-12-31</t>
        </is>
      </c>
      <c r="D186" s="6" t="inlineStr">
        <is>
          <t>year</t>
        </is>
      </c>
      <c r="E186" s="6" t="inlineStr">
        <is>
          <t>ANDE_TARIFF_GOV</t>
        </is>
      </c>
      <c r="F186" s="6" t="inlineStr">
        <is>
          <t>PY_SIN</t>
        </is>
      </c>
      <c r="G186" s="6" t="inlineStr">
        <is>
          <t>PY</t>
        </is>
      </c>
      <c r="H186" s="8" t="n">
        <v>279.5</v>
      </c>
      <c r="I186" s="6" t="inlineStr">
        <is>
          <t>Gs/kWh</t>
        </is>
      </c>
      <c r="J186" s="6" t="inlineStr">
        <is>
          <t>PYG</t>
        </is>
      </c>
      <c r="K186" s="6" t="inlineStr">
        <is>
          <t>ANDE</t>
        </is>
      </c>
      <c r="L186" s="6" t="inlineStr">
        <is>
          <t>OFFICIAL_PRIMARY</t>
        </is>
      </c>
      <c r="M186" s="9" t="inlineStr">
        <is>
          <t>OFFICIAL_AGGREGATE</t>
        </is>
      </c>
      <c r="N186" s="7" t="inlineStr">
        <is>
          <t>https://www.ande.gov.py/finanzas/2.%20COMPILACION%20ESTADISTICA%202003-2023/ANDE%20-%20Compilacion%20Estadistica%202003-2023.pdf</t>
        </is>
      </c>
      <c r="O186" s="12" t="n">
        <v>90</v>
      </c>
      <c r="P186" s="4" t="inlineStr">
        <is>
          <t>Serie de compilacion 2003-2023.</t>
        </is>
      </c>
    </row>
    <row r="187">
      <c r="A187" s="6" t="inlineStr">
        <is>
          <t>P00186</t>
        </is>
      </c>
      <c r="B187" s="6" t="inlineStr">
        <is>
          <t>2008-01-01</t>
        </is>
      </c>
      <c r="C187" s="6" t="inlineStr">
        <is>
          <t>2008-12-31</t>
        </is>
      </c>
      <c r="D187" s="6" t="inlineStr">
        <is>
          <t>year</t>
        </is>
      </c>
      <c r="E187" s="6" t="inlineStr">
        <is>
          <t>ANDE_TARIFF_GOV</t>
        </is>
      </c>
      <c r="F187" s="6" t="inlineStr">
        <is>
          <t>PY_SIN</t>
        </is>
      </c>
      <c r="G187" s="6" t="inlineStr">
        <is>
          <t>PY</t>
        </is>
      </c>
      <c r="H187" s="8" t="n">
        <v>274.1</v>
      </c>
      <c r="I187" s="6" t="inlineStr">
        <is>
          <t>Gs/kWh</t>
        </is>
      </c>
      <c r="J187" s="6" t="inlineStr">
        <is>
          <t>PYG</t>
        </is>
      </c>
      <c r="K187" s="6" t="inlineStr">
        <is>
          <t>ANDE</t>
        </is>
      </c>
      <c r="L187" s="6" t="inlineStr">
        <is>
          <t>OFFICIAL_PRIMARY</t>
        </is>
      </c>
      <c r="M187" s="9" t="inlineStr">
        <is>
          <t>OFFICIAL_AGGREGATE</t>
        </is>
      </c>
      <c r="N187" s="7" t="inlineStr">
        <is>
          <t>https://www.ande.gov.py/finanzas/2.%20COMPILACION%20ESTADISTICA%202003-2023/ANDE%20-%20Compilacion%20Estadistica%202003-2023.pdf</t>
        </is>
      </c>
      <c r="O187" s="12" t="n">
        <v>90</v>
      </c>
      <c r="P187" s="4" t="inlineStr">
        <is>
          <t>Serie de compilacion 2003-2023.</t>
        </is>
      </c>
    </row>
    <row r="188">
      <c r="A188" s="6" t="inlineStr">
        <is>
          <t>P00187</t>
        </is>
      </c>
      <c r="B188" s="6" t="inlineStr">
        <is>
          <t>2009-01-01</t>
        </is>
      </c>
      <c r="C188" s="6" t="inlineStr">
        <is>
          <t>2009-12-31</t>
        </is>
      </c>
      <c r="D188" s="6" t="inlineStr">
        <is>
          <t>year</t>
        </is>
      </c>
      <c r="E188" s="6" t="inlineStr">
        <is>
          <t>ANDE_TARIFF_GOV</t>
        </is>
      </c>
      <c r="F188" s="6" t="inlineStr">
        <is>
          <t>PY_SIN</t>
        </is>
      </c>
      <c r="G188" s="6" t="inlineStr">
        <is>
          <t>PY</t>
        </is>
      </c>
      <c r="H188" s="8" t="n">
        <v>215.7</v>
      </c>
      <c r="I188" s="6" t="inlineStr">
        <is>
          <t>Gs/kWh</t>
        </is>
      </c>
      <c r="J188" s="6" t="inlineStr">
        <is>
          <t>PYG</t>
        </is>
      </c>
      <c r="K188" s="6" t="inlineStr">
        <is>
          <t>ANDE</t>
        </is>
      </c>
      <c r="L188" s="6" t="inlineStr">
        <is>
          <t>OFFICIAL_PRIMARY</t>
        </is>
      </c>
      <c r="M188" s="9" t="inlineStr">
        <is>
          <t>OFFICIAL_AGGREGATE</t>
        </is>
      </c>
      <c r="N188" s="7" t="inlineStr">
        <is>
          <t>https://www.ande.gov.py/finanzas/2.%20COMPILACION%20ESTADISTICA%202003-2023/ANDE%20-%20Compilacion%20Estadistica%202003-2023.pdf</t>
        </is>
      </c>
      <c r="O188" s="12" t="n">
        <v>90</v>
      </c>
      <c r="P188" s="4" t="inlineStr">
        <is>
          <t>Serie de compilacion 2003-2023.</t>
        </is>
      </c>
    </row>
    <row r="189">
      <c r="A189" s="6" t="inlineStr">
        <is>
          <t>P00188</t>
        </is>
      </c>
      <c r="B189" s="6" t="inlineStr">
        <is>
          <t>2010-01-01</t>
        </is>
      </c>
      <c r="C189" s="6" t="inlineStr">
        <is>
          <t>2010-12-31</t>
        </is>
      </c>
      <c r="D189" s="6" t="inlineStr">
        <is>
          <t>year</t>
        </is>
      </c>
      <c r="E189" s="6" t="inlineStr">
        <is>
          <t>ANDE_TARIFF_GOV</t>
        </is>
      </c>
      <c r="F189" s="6" t="inlineStr">
        <is>
          <t>PY_SIN</t>
        </is>
      </c>
      <c r="G189" s="6" t="inlineStr">
        <is>
          <t>PY</t>
        </is>
      </c>
      <c r="H189" s="8" t="n">
        <v>202.6</v>
      </c>
      <c r="I189" s="6" t="inlineStr">
        <is>
          <t>Gs/kWh</t>
        </is>
      </c>
      <c r="J189" s="6" t="inlineStr">
        <is>
          <t>PYG</t>
        </is>
      </c>
      <c r="K189" s="6" t="inlineStr">
        <is>
          <t>ANDE</t>
        </is>
      </c>
      <c r="L189" s="6" t="inlineStr">
        <is>
          <t>OFFICIAL_PRIMARY</t>
        </is>
      </c>
      <c r="M189" s="9" t="inlineStr">
        <is>
          <t>OFFICIAL_AGGREGATE</t>
        </is>
      </c>
      <c r="N189" s="7" t="inlineStr">
        <is>
          <t>https://www.ande.gov.py/finanzas/2.%20COMPILACION%20ESTADISTICA%202003-2023/ANDE%20-%20Compilacion%20Estadistica%202003-2023.pdf</t>
        </is>
      </c>
      <c r="O189" s="12" t="n">
        <v>90</v>
      </c>
      <c r="P189" s="4" t="inlineStr">
        <is>
          <t>Serie de compilacion 2003-2023.</t>
        </is>
      </c>
    </row>
    <row r="190">
      <c r="A190" s="6" t="inlineStr">
        <is>
          <t>P00189</t>
        </is>
      </c>
      <c r="B190" s="6" t="inlineStr">
        <is>
          <t>2011-01-01</t>
        </is>
      </c>
      <c r="C190" s="6" t="inlineStr">
        <is>
          <t>2011-12-31</t>
        </is>
      </c>
      <c r="D190" s="6" t="inlineStr">
        <is>
          <t>year</t>
        </is>
      </c>
      <c r="E190" s="6" t="inlineStr">
        <is>
          <t>ANDE_TARIFF_GOV</t>
        </is>
      </c>
      <c r="F190" s="6" t="inlineStr">
        <is>
          <t>PY_SIN</t>
        </is>
      </c>
      <c r="G190" s="6" t="inlineStr">
        <is>
          <t>PY</t>
        </is>
      </c>
      <c r="H190" s="8" t="n">
        <v>262.2</v>
      </c>
      <c r="I190" s="6" t="inlineStr">
        <is>
          <t>Gs/kWh</t>
        </is>
      </c>
      <c r="J190" s="6" t="inlineStr">
        <is>
          <t>PYG</t>
        </is>
      </c>
      <c r="K190" s="6" t="inlineStr">
        <is>
          <t>ANDE</t>
        </is>
      </c>
      <c r="L190" s="6" t="inlineStr">
        <is>
          <t>OFFICIAL_PRIMARY</t>
        </is>
      </c>
      <c r="M190" s="9" t="inlineStr">
        <is>
          <t>OFFICIAL_AGGREGATE</t>
        </is>
      </c>
      <c r="N190" s="7" t="inlineStr">
        <is>
          <t>https://www.ande.gov.py/finanzas/2.%20COMPILACION%20ESTADISTICA%202003-2023/ANDE%20-%20Compilacion%20Estadistica%202003-2023.pdf</t>
        </is>
      </c>
      <c r="O190" s="12" t="n">
        <v>90</v>
      </c>
      <c r="P190" s="4" t="inlineStr">
        <is>
          <t>Serie de compilacion 2003-2023.</t>
        </is>
      </c>
    </row>
    <row r="191">
      <c r="A191" s="6" t="inlineStr">
        <is>
          <t>P00190</t>
        </is>
      </c>
      <c r="B191" s="6" t="inlineStr">
        <is>
          <t>2012-01-01</t>
        </is>
      </c>
      <c r="C191" s="6" t="inlineStr">
        <is>
          <t>2012-12-31</t>
        </is>
      </c>
      <c r="D191" s="6" t="inlineStr">
        <is>
          <t>year</t>
        </is>
      </c>
      <c r="E191" s="6" t="inlineStr">
        <is>
          <t>ANDE_TARIFF_GOV</t>
        </is>
      </c>
      <c r="F191" s="6" t="inlineStr">
        <is>
          <t>PY_SIN</t>
        </is>
      </c>
      <c r="G191" s="6" t="inlineStr">
        <is>
          <t>PY</t>
        </is>
      </c>
      <c r="H191" s="8" t="n">
        <v>215.1</v>
      </c>
      <c r="I191" s="6" t="inlineStr">
        <is>
          <t>Gs/kWh</t>
        </is>
      </c>
      <c r="J191" s="6" t="inlineStr">
        <is>
          <t>PYG</t>
        </is>
      </c>
      <c r="K191" s="6" t="inlineStr">
        <is>
          <t>ANDE</t>
        </is>
      </c>
      <c r="L191" s="6" t="inlineStr">
        <is>
          <t>OFFICIAL_PRIMARY</t>
        </is>
      </c>
      <c r="M191" s="9" t="inlineStr">
        <is>
          <t>OFFICIAL_AGGREGATE</t>
        </is>
      </c>
      <c r="N191" s="7" t="inlineStr">
        <is>
          <t>https://www.ande.gov.py/finanzas/2.%20COMPILACION%20ESTADISTICA%202003-2023/ANDE%20-%20Compilacion%20Estadistica%202003-2023.pdf</t>
        </is>
      </c>
      <c r="O191" s="12" t="n">
        <v>90</v>
      </c>
      <c r="P191" s="4" t="inlineStr">
        <is>
          <t>Serie de compilacion 2003-2023.</t>
        </is>
      </c>
    </row>
    <row r="192">
      <c r="A192" s="6" t="inlineStr">
        <is>
          <t>P00191</t>
        </is>
      </c>
      <c r="B192" s="6" t="inlineStr">
        <is>
          <t>2013-01-01</t>
        </is>
      </c>
      <c r="C192" s="6" t="inlineStr">
        <is>
          <t>2013-12-31</t>
        </is>
      </c>
      <c r="D192" s="6" t="inlineStr">
        <is>
          <t>year</t>
        </is>
      </c>
      <c r="E192" s="6" t="inlineStr">
        <is>
          <t>ANDE_TARIFF_GOV</t>
        </is>
      </c>
      <c r="F192" s="6" t="inlineStr">
        <is>
          <t>PY_SIN</t>
        </is>
      </c>
      <c r="G192" s="6" t="inlineStr">
        <is>
          <t>PY</t>
        </is>
      </c>
      <c r="H192" s="8" t="n">
        <v>205.2</v>
      </c>
      <c r="I192" s="6" t="inlineStr">
        <is>
          <t>Gs/kWh</t>
        </is>
      </c>
      <c r="J192" s="6" t="inlineStr">
        <is>
          <t>PYG</t>
        </is>
      </c>
      <c r="K192" s="6" t="inlineStr">
        <is>
          <t>ANDE</t>
        </is>
      </c>
      <c r="L192" s="6" t="inlineStr">
        <is>
          <t>OFFICIAL_PRIMARY</t>
        </is>
      </c>
      <c r="M192" s="9" t="inlineStr">
        <is>
          <t>OFFICIAL_AGGREGATE</t>
        </is>
      </c>
      <c r="N192" s="7" t="inlineStr">
        <is>
          <t>https://www.ande.gov.py/finanzas/2.%20COMPILACION%20ESTADISTICA%202003-2023/ANDE%20-%20Compilacion%20Estadistica%202003-2023.pdf</t>
        </is>
      </c>
      <c r="O192" s="12" t="n">
        <v>90</v>
      </c>
      <c r="P192" s="4" t="inlineStr">
        <is>
          <t>Serie de compilacion 2003-2023.</t>
        </is>
      </c>
    </row>
    <row r="193">
      <c r="A193" s="6" t="inlineStr">
        <is>
          <t>P00192</t>
        </is>
      </c>
      <c r="B193" s="6" t="inlineStr">
        <is>
          <t>2014-01-01</t>
        </is>
      </c>
      <c r="C193" s="6" t="inlineStr">
        <is>
          <t>2014-12-31</t>
        </is>
      </c>
      <c r="D193" s="6" t="inlineStr">
        <is>
          <t>year</t>
        </is>
      </c>
      <c r="E193" s="6" t="inlineStr">
        <is>
          <t>ANDE_TARIFF_GOV</t>
        </is>
      </c>
      <c r="F193" s="6" t="inlineStr">
        <is>
          <t>PY_SIN</t>
        </is>
      </c>
      <c r="G193" s="6" t="inlineStr">
        <is>
          <t>PY</t>
        </is>
      </c>
      <c r="H193" s="8" t="n">
        <v>209.3</v>
      </c>
      <c r="I193" s="6" t="inlineStr">
        <is>
          <t>Gs/kWh</t>
        </is>
      </c>
      <c r="J193" s="6" t="inlineStr">
        <is>
          <t>PYG</t>
        </is>
      </c>
      <c r="K193" s="6" t="inlineStr">
        <is>
          <t>ANDE</t>
        </is>
      </c>
      <c r="L193" s="6" t="inlineStr">
        <is>
          <t>OFFICIAL_PRIMARY</t>
        </is>
      </c>
      <c r="M193" s="9" t="inlineStr">
        <is>
          <t>OFFICIAL_AGGREGATE</t>
        </is>
      </c>
      <c r="N193" s="7" t="inlineStr">
        <is>
          <t>https://www.ande.gov.py/finanzas/2.%20COMPILACION%20ESTADISTICA%202003-2023/ANDE%20-%20Compilacion%20Estadistica%202003-2023.pdf</t>
        </is>
      </c>
      <c r="O193" s="12" t="n">
        <v>90</v>
      </c>
      <c r="P193" s="4" t="inlineStr">
        <is>
          <t>Serie de compilacion 2003-2023.</t>
        </is>
      </c>
    </row>
    <row r="194">
      <c r="A194" s="6" t="inlineStr">
        <is>
          <t>P00193</t>
        </is>
      </c>
      <c r="B194" s="6" t="inlineStr">
        <is>
          <t>2015-01-01</t>
        </is>
      </c>
      <c r="C194" s="6" t="inlineStr">
        <is>
          <t>2015-12-31</t>
        </is>
      </c>
      <c r="D194" s="6" t="inlineStr">
        <is>
          <t>year</t>
        </is>
      </c>
      <c r="E194" s="6" t="inlineStr">
        <is>
          <t>ANDE_TARIFF_GOV</t>
        </is>
      </c>
      <c r="F194" s="6" t="inlineStr">
        <is>
          <t>PY_SIN</t>
        </is>
      </c>
      <c r="G194" s="6" t="inlineStr">
        <is>
          <t>PY</t>
        </is>
      </c>
      <c r="H194" s="8" t="n">
        <v>206.6</v>
      </c>
      <c r="I194" s="6" t="inlineStr">
        <is>
          <t>Gs/kWh</t>
        </is>
      </c>
      <c r="J194" s="6" t="inlineStr">
        <is>
          <t>PYG</t>
        </is>
      </c>
      <c r="K194" s="6" t="inlineStr">
        <is>
          <t>ANDE</t>
        </is>
      </c>
      <c r="L194" s="6" t="inlineStr">
        <is>
          <t>OFFICIAL_PRIMARY</t>
        </is>
      </c>
      <c r="M194" s="9" t="inlineStr">
        <is>
          <t>OFFICIAL_AGGREGATE</t>
        </is>
      </c>
      <c r="N194" s="7" t="inlineStr">
        <is>
          <t>https://www.ande.gov.py/finanzas/2.%20COMPILACION%20ESTADISTICA%202003-2023/ANDE%20-%20Compilacion%20Estadistica%202003-2023.pdf</t>
        </is>
      </c>
      <c r="O194" s="12" t="n">
        <v>90</v>
      </c>
      <c r="P194" s="4" t="inlineStr">
        <is>
          <t>Serie de compilacion 2003-2023.</t>
        </is>
      </c>
    </row>
    <row r="195">
      <c r="A195" s="6" t="inlineStr">
        <is>
          <t>P00194</t>
        </is>
      </c>
      <c r="B195" s="6" t="inlineStr">
        <is>
          <t>2016-01-01</t>
        </is>
      </c>
      <c r="C195" s="6" t="inlineStr">
        <is>
          <t>2016-12-31</t>
        </is>
      </c>
      <c r="D195" s="6" t="inlineStr">
        <is>
          <t>year</t>
        </is>
      </c>
      <c r="E195" s="6" t="inlineStr">
        <is>
          <t>ANDE_TARIFF_GOV</t>
        </is>
      </c>
      <c r="F195" s="6" t="inlineStr">
        <is>
          <t>PY_SIN</t>
        </is>
      </c>
      <c r="G195" s="6" t="inlineStr">
        <is>
          <t>PY</t>
        </is>
      </c>
      <c r="H195" s="8" t="n">
        <v>211.3</v>
      </c>
      <c r="I195" s="6" t="inlineStr">
        <is>
          <t>Gs/kWh</t>
        </is>
      </c>
      <c r="J195" s="6" t="inlineStr">
        <is>
          <t>PYG</t>
        </is>
      </c>
      <c r="K195" s="6" t="inlineStr">
        <is>
          <t>ANDE</t>
        </is>
      </c>
      <c r="L195" s="6" t="inlineStr">
        <is>
          <t>OFFICIAL_PRIMARY</t>
        </is>
      </c>
      <c r="M195" s="9" t="inlineStr">
        <is>
          <t>OFFICIAL_AGGREGATE</t>
        </is>
      </c>
      <c r="N195" s="7" t="inlineStr">
        <is>
          <t>https://www.ande.gov.py/finanzas/2.%20COMPILACION%20ESTADISTICA%202003-2023/ANDE%20-%20Compilacion%20Estadistica%202003-2023.pdf</t>
        </is>
      </c>
      <c r="O195" s="12" t="n">
        <v>90</v>
      </c>
      <c r="P195" s="4" t="inlineStr">
        <is>
          <t>Serie de compilacion 2003-2023.</t>
        </is>
      </c>
    </row>
    <row r="196">
      <c r="A196" s="6" t="inlineStr">
        <is>
          <t>P00195</t>
        </is>
      </c>
      <c r="B196" s="6" t="inlineStr">
        <is>
          <t>2017-01-01</t>
        </is>
      </c>
      <c r="C196" s="6" t="inlineStr">
        <is>
          <t>2017-12-31</t>
        </is>
      </c>
      <c r="D196" s="6" t="inlineStr">
        <is>
          <t>year</t>
        </is>
      </c>
      <c r="E196" s="6" t="inlineStr">
        <is>
          <t>ANDE_TARIFF_GOV</t>
        </is>
      </c>
      <c r="F196" s="6" t="inlineStr">
        <is>
          <t>PY_SIN</t>
        </is>
      </c>
      <c r="G196" s="6" t="inlineStr">
        <is>
          <t>PY</t>
        </is>
      </c>
      <c r="H196" s="8" t="n">
        <v>267</v>
      </c>
      <c r="I196" s="6" t="inlineStr">
        <is>
          <t>Gs/kWh</t>
        </is>
      </c>
      <c r="J196" s="6" t="inlineStr">
        <is>
          <t>PYG</t>
        </is>
      </c>
      <c r="K196" s="6" t="inlineStr">
        <is>
          <t>ANDE</t>
        </is>
      </c>
      <c r="L196" s="6" t="inlineStr">
        <is>
          <t>OFFICIAL_PRIMARY</t>
        </is>
      </c>
      <c r="M196" s="9" t="inlineStr">
        <is>
          <t>OFFICIAL_AGGREGATE</t>
        </is>
      </c>
      <c r="N196" s="7" t="inlineStr">
        <is>
          <t>https://www.ande.gov.py/finanzas/2.%20COMPILACION%20ESTADISTICA%202003-2023/ANDE%20-%20Compilacion%20Estadistica%202003-2023.pdf</t>
        </is>
      </c>
      <c r="O196" s="12" t="n">
        <v>90</v>
      </c>
      <c r="P196" s="4" t="inlineStr">
        <is>
          <t>Serie de compilacion 2003-2023.</t>
        </is>
      </c>
    </row>
    <row r="197">
      <c r="A197" s="6" t="inlineStr">
        <is>
          <t>P00196</t>
        </is>
      </c>
      <c r="B197" s="6" t="inlineStr">
        <is>
          <t>2018-01-01</t>
        </is>
      </c>
      <c r="C197" s="6" t="inlineStr">
        <is>
          <t>2018-12-31</t>
        </is>
      </c>
      <c r="D197" s="6" t="inlineStr">
        <is>
          <t>year</t>
        </is>
      </c>
      <c r="E197" s="6" t="inlineStr">
        <is>
          <t>ANDE_TARIFF_GOV</t>
        </is>
      </c>
      <c r="F197" s="6" t="inlineStr">
        <is>
          <t>PY_SIN</t>
        </is>
      </c>
      <c r="G197" s="6" t="inlineStr">
        <is>
          <t>PY</t>
        </is>
      </c>
      <c r="H197" s="8" t="n">
        <v>358.8</v>
      </c>
      <c r="I197" s="6" t="inlineStr">
        <is>
          <t>Gs/kWh</t>
        </is>
      </c>
      <c r="J197" s="6" t="inlineStr">
        <is>
          <t>PYG</t>
        </is>
      </c>
      <c r="K197" s="6" t="inlineStr">
        <is>
          <t>ANDE</t>
        </is>
      </c>
      <c r="L197" s="6" t="inlineStr">
        <is>
          <t>OFFICIAL_PRIMARY</t>
        </is>
      </c>
      <c r="M197" s="9" t="inlineStr">
        <is>
          <t>OFFICIAL_AGGREGATE</t>
        </is>
      </c>
      <c r="N197" s="7" t="inlineStr">
        <is>
          <t>https://www.ande.gov.py/finanzas/2.%20COMPILACION%20ESTADISTICA%202003-2023/ANDE%20-%20Compilacion%20Estadistica%202003-2023.pdf</t>
        </is>
      </c>
      <c r="O197" s="12" t="n">
        <v>90</v>
      </c>
      <c r="P197" s="4" t="inlineStr">
        <is>
          <t>Serie de compilacion 2003-2023.</t>
        </is>
      </c>
    </row>
    <row r="198">
      <c r="A198" s="6" t="inlineStr">
        <is>
          <t>P00197</t>
        </is>
      </c>
      <c r="B198" s="6" t="inlineStr">
        <is>
          <t>2019-01-01</t>
        </is>
      </c>
      <c r="C198" s="6" t="inlineStr">
        <is>
          <t>2019-12-31</t>
        </is>
      </c>
      <c r="D198" s="6" t="inlineStr">
        <is>
          <t>year</t>
        </is>
      </c>
      <c r="E198" s="6" t="inlineStr">
        <is>
          <t>ANDE_TARIFF_GOV</t>
        </is>
      </c>
      <c r="F198" s="6" t="inlineStr">
        <is>
          <t>PY_SIN</t>
        </is>
      </c>
      <c r="G198" s="6" t="inlineStr">
        <is>
          <t>PY</t>
        </is>
      </c>
      <c r="H198" s="8" t="n">
        <v>384.8</v>
      </c>
      <c r="I198" s="6" t="inlineStr">
        <is>
          <t>Gs/kWh</t>
        </is>
      </c>
      <c r="J198" s="6" t="inlineStr">
        <is>
          <t>PYG</t>
        </is>
      </c>
      <c r="K198" s="6" t="inlineStr">
        <is>
          <t>ANDE</t>
        </is>
      </c>
      <c r="L198" s="6" t="inlineStr">
        <is>
          <t>OFFICIAL_PRIMARY</t>
        </is>
      </c>
      <c r="M198" s="9" t="inlineStr">
        <is>
          <t>OFFICIAL_AGGREGATE</t>
        </is>
      </c>
      <c r="N198" s="7" t="inlineStr">
        <is>
          <t>https://www.ande.gov.py/finanzas/2.%20COMPILACION%20ESTADISTICA%202003-2023/ANDE%20-%20Compilacion%20Estadistica%202003-2023.pdf</t>
        </is>
      </c>
      <c r="O198" s="12" t="n">
        <v>90</v>
      </c>
      <c r="P198" s="4" t="inlineStr">
        <is>
          <t>Serie de compilacion 2003-2023.</t>
        </is>
      </c>
    </row>
    <row r="199">
      <c r="A199" s="6" t="inlineStr">
        <is>
          <t>P00198</t>
        </is>
      </c>
      <c r="B199" s="6" t="inlineStr">
        <is>
          <t>2020-01-01</t>
        </is>
      </c>
      <c r="C199" s="6" t="inlineStr">
        <is>
          <t>2020-12-31</t>
        </is>
      </c>
      <c r="D199" s="6" t="inlineStr">
        <is>
          <t>year</t>
        </is>
      </c>
      <c r="E199" s="6" t="inlineStr">
        <is>
          <t>ANDE_TARIFF_GOV</t>
        </is>
      </c>
      <c r="F199" s="6" t="inlineStr">
        <is>
          <t>PY_SIN</t>
        </is>
      </c>
      <c r="G199" s="6" t="inlineStr">
        <is>
          <t>PY</t>
        </is>
      </c>
      <c r="H199" s="8" t="n">
        <v>366.8</v>
      </c>
      <c r="I199" s="6" t="inlineStr">
        <is>
          <t>Gs/kWh</t>
        </is>
      </c>
      <c r="J199" s="6" t="inlineStr">
        <is>
          <t>PYG</t>
        </is>
      </c>
      <c r="K199" s="6" t="inlineStr">
        <is>
          <t>ANDE</t>
        </is>
      </c>
      <c r="L199" s="6" t="inlineStr">
        <is>
          <t>OFFICIAL_PRIMARY</t>
        </is>
      </c>
      <c r="M199" s="9" t="inlineStr">
        <is>
          <t>OFFICIAL_AGGREGATE</t>
        </is>
      </c>
      <c r="N199" s="7" t="inlineStr">
        <is>
          <t>https://www.ande.gov.py/finanzas/2.%20COMPILACION%20ESTADISTICA%202003-2023/ANDE%20-%20Compilacion%20Estadistica%202003-2023.pdf</t>
        </is>
      </c>
      <c r="O199" s="12" t="n">
        <v>90</v>
      </c>
      <c r="P199" s="4" t="inlineStr">
        <is>
          <t>Serie de compilacion 2003-2023.</t>
        </is>
      </c>
    </row>
    <row r="200">
      <c r="A200" s="6" t="inlineStr">
        <is>
          <t>P00199</t>
        </is>
      </c>
      <c r="B200" s="6" t="inlineStr">
        <is>
          <t>2021-01-01</t>
        </is>
      </c>
      <c r="C200" s="6" t="inlineStr">
        <is>
          <t>2021-12-31</t>
        </is>
      </c>
      <c r="D200" s="6" t="inlineStr">
        <is>
          <t>year</t>
        </is>
      </c>
      <c r="E200" s="6" t="inlineStr">
        <is>
          <t>ANDE_TARIFF_GOV</t>
        </is>
      </c>
      <c r="F200" s="6" t="inlineStr">
        <is>
          <t>PY_SIN</t>
        </is>
      </c>
      <c r="G200" s="6" t="inlineStr">
        <is>
          <t>PY</t>
        </is>
      </c>
      <c r="H200" s="8" t="n">
        <v>359</v>
      </c>
      <c r="I200" s="6" t="inlineStr">
        <is>
          <t>Gs/kWh</t>
        </is>
      </c>
      <c r="J200" s="6" t="inlineStr">
        <is>
          <t>PYG</t>
        </is>
      </c>
      <c r="K200" s="6" t="inlineStr">
        <is>
          <t>ANDE</t>
        </is>
      </c>
      <c r="L200" s="6" t="inlineStr">
        <is>
          <t>OFFICIAL_PRIMARY</t>
        </is>
      </c>
      <c r="M200" s="9" t="inlineStr">
        <is>
          <t>OFFICIAL_AGGREGATE</t>
        </is>
      </c>
      <c r="N200" s="7" t="inlineStr">
        <is>
          <t>https://www.ande.gov.py/finanzas/2.%20COMPILACION%20ESTADISTICA%202003-2023/ANDE%20-%20Compilacion%20Estadistica%202003-2023.pdf</t>
        </is>
      </c>
      <c r="O200" s="12" t="n">
        <v>90</v>
      </c>
      <c r="P200" s="4" t="inlineStr">
        <is>
          <t>Serie de compilacion 2003-2023.</t>
        </is>
      </c>
    </row>
    <row r="201">
      <c r="A201" s="6" t="inlineStr">
        <is>
          <t>P00200</t>
        </is>
      </c>
      <c r="B201" s="6" t="inlineStr">
        <is>
          <t>2022-01-01</t>
        </is>
      </c>
      <c r="C201" s="6" t="inlineStr">
        <is>
          <t>2022-12-31</t>
        </is>
      </c>
      <c r="D201" s="6" t="inlineStr">
        <is>
          <t>year</t>
        </is>
      </c>
      <c r="E201" s="6" t="inlineStr">
        <is>
          <t>ANDE_TARIFF_GOV</t>
        </is>
      </c>
      <c r="F201" s="6" t="inlineStr">
        <is>
          <t>PY_SIN</t>
        </is>
      </c>
      <c r="G201" s="6" t="inlineStr">
        <is>
          <t>PY</t>
        </is>
      </c>
      <c r="H201" s="8" t="n">
        <v>374.6</v>
      </c>
      <c r="I201" s="6" t="inlineStr">
        <is>
          <t>Gs/kWh</t>
        </is>
      </c>
      <c r="J201" s="6" t="inlineStr">
        <is>
          <t>PYG</t>
        </is>
      </c>
      <c r="K201" s="6" t="inlineStr">
        <is>
          <t>ANDE</t>
        </is>
      </c>
      <c r="L201" s="6" t="inlineStr">
        <is>
          <t>OFFICIAL_PRIMARY</t>
        </is>
      </c>
      <c r="M201" s="9" t="inlineStr">
        <is>
          <t>OFFICIAL_AGGREGATE</t>
        </is>
      </c>
      <c r="N201" s="7" t="inlineStr">
        <is>
          <t>https://www.ande.gov.py/finanzas/2.%20COMPILACION%20ESTADISTICA%202003-2023/ANDE%20-%20Compilacion%20Estadistica%202003-2023.pdf</t>
        </is>
      </c>
      <c r="O201" s="12" t="n">
        <v>90</v>
      </c>
      <c r="P201" s="4" t="inlineStr">
        <is>
          <t>Serie de compilacion 2003-2023.</t>
        </is>
      </c>
    </row>
    <row r="202">
      <c r="A202" s="6" t="inlineStr">
        <is>
          <t>P00201</t>
        </is>
      </c>
      <c r="B202" s="6" t="inlineStr">
        <is>
          <t>2023-01-01</t>
        </is>
      </c>
      <c r="C202" s="6" t="inlineStr">
        <is>
          <t>2023-12-31</t>
        </is>
      </c>
      <c r="D202" s="6" t="inlineStr">
        <is>
          <t>year</t>
        </is>
      </c>
      <c r="E202" s="6" t="inlineStr">
        <is>
          <t>ANDE_TARIFF_GOV</t>
        </is>
      </c>
      <c r="F202" s="6" t="inlineStr">
        <is>
          <t>PY_SIN</t>
        </is>
      </c>
      <c r="G202" s="6" t="inlineStr">
        <is>
          <t>PY</t>
        </is>
      </c>
      <c r="H202" s="8" t="n">
        <v>368.3</v>
      </c>
      <c r="I202" s="6" t="inlineStr">
        <is>
          <t>Gs/kWh</t>
        </is>
      </c>
      <c r="J202" s="6" t="inlineStr">
        <is>
          <t>PYG</t>
        </is>
      </c>
      <c r="K202" s="6" t="inlineStr">
        <is>
          <t>ANDE</t>
        </is>
      </c>
      <c r="L202" s="6" t="inlineStr">
        <is>
          <t>OFFICIAL_PRIMARY</t>
        </is>
      </c>
      <c r="M202" s="9" t="inlineStr">
        <is>
          <t>OFFICIAL_AGGREGATE</t>
        </is>
      </c>
      <c r="N202" s="7" t="inlineStr">
        <is>
          <t>https://www.ande.gov.py/finanzas/2.%20COMPILACION%20ESTADISTICA%202003-2023/ANDE%20-%20Compilacion%20Estadistica%202003-2023.pdf</t>
        </is>
      </c>
      <c r="O202" s="12" t="n">
        <v>90</v>
      </c>
      <c r="P202" s="4" t="inlineStr">
        <is>
          <t>Serie de compilacion 2003-2023.</t>
        </is>
      </c>
    </row>
    <row r="203">
      <c r="A203" s="6" t="inlineStr">
        <is>
          <t>P00202</t>
        </is>
      </c>
      <c r="B203" s="6" t="inlineStr">
        <is>
          <t>2003-01-01</t>
        </is>
      </c>
      <c r="C203" s="6" t="inlineStr">
        <is>
          <t>2003-12-31</t>
        </is>
      </c>
      <c r="D203" s="6" t="inlineStr">
        <is>
          <t>year</t>
        </is>
      </c>
      <c r="E203" s="6" t="inlineStr">
        <is>
          <t>ANDE_TARIFF_PUBLIC_LIGHT</t>
        </is>
      </c>
      <c r="F203" s="6" t="inlineStr">
        <is>
          <t>PY_SIN</t>
        </is>
      </c>
      <c r="G203" s="6" t="inlineStr">
        <is>
          <t>PY</t>
        </is>
      </c>
      <c r="H203" s="8" t="n">
        <v>523.6</v>
      </c>
      <c r="I203" s="6" t="inlineStr">
        <is>
          <t>Gs/kWh</t>
        </is>
      </c>
      <c r="J203" s="6" t="inlineStr">
        <is>
          <t>PYG</t>
        </is>
      </c>
      <c r="K203" s="6" t="inlineStr">
        <is>
          <t>ANDE</t>
        </is>
      </c>
      <c r="L203" s="6" t="inlineStr">
        <is>
          <t>OFFICIAL_PRIMARY</t>
        </is>
      </c>
      <c r="M203" s="9" t="inlineStr">
        <is>
          <t>OFFICIAL_AGGREGATE</t>
        </is>
      </c>
      <c r="N203" s="7" t="inlineStr">
        <is>
          <t>https://www.ande.gov.py/finanzas/2.%20COMPILACION%20ESTADISTICA%202003-2023/ANDE%20-%20Compilacion%20Estadistica%202003-2023.pdf</t>
        </is>
      </c>
      <c r="O203" s="12" t="n">
        <v>90</v>
      </c>
      <c r="P203" s="4" t="inlineStr">
        <is>
          <t>Serie de compilacion 2003-2023.</t>
        </is>
      </c>
    </row>
    <row r="204">
      <c r="A204" s="6" t="inlineStr">
        <is>
          <t>P00203</t>
        </is>
      </c>
      <c r="B204" s="6" t="inlineStr">
        <is>
          <t>2004-01-01</t>
        </is>
      </c>
      <c r="C204" s="6" t="inlineStr">
        <is>
          <t>2004-12-31</t>
        </is>
      </c>
      <c r="D204" s="6" t="inlineStr">
        <is>
          <t>year</t>
        </is>
      </c>
      <c r="E204" s="6" t="inlineStr">
        <is>
          <t>ANDE_TARIFF_PUBLIC_LIGHT</t>
        </is>
      </c>
      <c r="F204" s="6" t="inlineStr">
        <is>
          <t>PY_SIN</t>
        </is>
      </c>
      <c r="G204" s="6" t="inlineStr">
        <is>
          <t>PY</t>
        </is>
      </c>
      <c r="H204" s="8" t="n">
        <v>508</v>
      </c>
      <c r="I204" s="6" t="inlineStr">
        <is>
          <t>Gs/kWh</t>
        </is>
      </c>
      <c r="J204" s="6" t="inlineStr">
        <is>
          <t>PYG</t>
        </is>
      </c>
      <c r="K204" s="6" t="inlineStr">
        <is>
          <t>ANDE</t>
        </is>
      </c>
      <c r="L204" s="6" t="inlineStr">
        <is>
          <t>OFFICIAL_PRIMARY</t>
        </is>
      </c>
      <c r="M204" s="9" t="inlineStr">
        <is>
          <t>OFFICIAL_AGGREGATE</t>
        </is>
      </c>
      <c r="N204" s="7" t="inlineStr">
        <is>
          <t>https://www.ande.gov.py/finanzas/2.%20COMPILACION%20ESTADISTICA%202003-2023/ANDE%20-%20Compilacion%20Estadistica%202003-2023.pdf</t>
        </is>
      </c>
      <c r="O204" s="12" t="n">
        <v>90</v>
      </c>
      <c r="P204" s="4" t="inlineStr">
        <is>
          <t>Serie de compilacion 2003-2023.</t>
        </is>
      </c>
    </row>
    <row r="205">
      <c r="A205" s="6" t="inlineStr">
        <is>
          <t>P00204</t>
        </is>
      </c>
      <c r="B205" s="6" t="inlineStr">
        <is>
          <t>2005-01-01</t>
        </is>
      </c>
      <c r="C205" s="6" t="inlineStr">
        <is>
          <t>2005-12-31</t>
        </is>
      </c>
      <c r="D205" s="6" t="inlineStr">
        <is>
          <t>year</t>
        </is>
      </c>
      <c r="E205" s="6" t="inlineStr">
        <is>
          <t>ANDE_TARIFF_PUBLIC_LIGHT</t>
        </is>
      </c>
      <c r="F205" s="6" t="inlineStr">
        <is>
          <t>PY_SIN</t>
        </is>
      </c>
      <c r="G205" s="6" t="inlineStr">
        <is>
          <t>PY</t>
        </is>
      </c>
      <c r="H205" s="8" t="n">
        <v>487.7</v>
      </c>
      <c r="I205" s="6" t="inlineStr">
        <is>
          <t>Gs/kWh</t>
        </is>
      </c>
      <c r="J205" s="6" t="inlineStr">
        <is>
          <t>PYG</t>
        </is>
      </c>
      <c r="K205" s="6" t="inlineStr">
        <is>
          <t>ANDE</t>
        </is>
      </c>
      <c r="L205" s="6" t="inlineStr">
        <is>
          <t>OFFICIAL_PRIMARY</t>
        </is>
      </c>
      <c r="M205" s="9" t="inlineStr">
        <is>
          <t>OFFICIAL_AGGREGATE</t>
        </is>
      </c>
      <c r="N205" s="7" t="inlineStr">
        <is>
          <t>https://www.ande.gov.py/finanzas/2.%20COMPILACION%20ESTADISTICA%202003-2023/ANDE%20-%20Compilacion%20Estadistica%202003-2023.pdf</t>
        </is>
      </c>
      <c r="O205" s="12" t="n">
        <v>90</v>
      </c>
      <c r="P205" s="4" t="inlineStr">
        <is>
          <t>Serie de compilacion 2003-2023.</t>
        </is>
      </c>
    </row>
    <row r="206">
      <c r="A206" s="6" t="inlineStr">
        <is>
          <t>P00205</t>
        </is>
      </c>
      <c r="B206" s="6" t="inlineStr">
        <is>
          <t>2006-01-01</t>
        </is>
      </c>
      <c r="C206" s="6" t="inlineStr">
        <is>
          <t>2006-12-31</t>
        </is>
      </c>
      <c r="D206" s="6" t="inlineStr">
        <is>
          <t>year</t>
        </is>
      </c>
      <c r="E206" s="6" t="inlineStr">
        <is>
          <t>ANDE_TARIFF_PUBLIC_LIGHT</t>
        </is>
      </c>
      <c r="F206" s="6" t="inlineStr">
        <is>
          <t>PY_SIN</t>
        </is>
      </c>
      <c r="G206" s="6" t="inlineStr">
        <is>
          <t>PY</t>
        </is>
      </c>
      <c r="H206" s="8" t="n">
        <v>484</v>
      </c>
      <c r="I206" s="6" t="inlineStr">
        <is>
          <t>Gs/kWh</t>
        </is>
      </c>
      <c r="J206" s="6" t="inlineStr">
        <is>
          <t>PYG</t>
        </is>
      </c>
      <c r="K206" s="6" t="inlineStr">
        <is>
          <t>ANDE</t>
        </is>
      </c>
      <c r="L206" s="6" t="inlineStr">
        <is>
          <t>OFFICIAL_PRIMARY</t>
        </is>
      </c>
      <c r="M206" s="9" t="inlineStr">
        <is>
          <t>OFFICIAL_AGGREGATE</t>
        </is>
      </c>
      <c r="N206" s="7" t="inlineStr">
        <is>
          <t>https://www.ande.gov.py/finanzas/2.%20COMPILACION%20ESTADISTICA%202003-2023/ANDE%20-%20Compilacion%20Estadistica%202003-2023.pdf</t>
        </is>
      </c>
      <c r="O206" s="12" t="n">
        <v>90</v>
      </c>
      <c r="P206" s="4" t="inlineStr">
        <is>
          <t>Serie de compilacion 2003-2023.</t>
        </is>
      </c>
    </row>
    <row r="207">
      <c r="A207" s="6" t="inlineStr">
        <is>
          <t>P00206</t>
        </is>
      </c>
      <c r="B207" s="6" t="inlineStr">
        <is>
          <t>2007-01-01</t>
        </is>
      </c>
      <c r="C207" s="6" t="inlineStr">
        <is>
          <t>2007-12-31</t>
        </is>
      </c>
      <c r="D207" s="6" t="inlineStr">
        <is>
          <t>year</t>
        </is>
      </c>
      <c r="E207" s="6" t="inlineStr">
        <is>
          <t>ANDE_TARIFF_PUBLIC_LIGHT</t>
        </is>
      </c>
      <c r="F207" s="6" t="inlineStr">
        <is>
          <t>PY_SIN</t>
        </is>
      </c>
      <c r="G207" s="6" t="inlineStr">
        <is>
          <t>PY</t>
        </is>
      </c>
      <c r="H207" s="8" t="n">
        <v>476.8</v>
      </c>
      <c r="I207" s="6" t="inlineStr">
        <is>
          <t>Gs/kWh</t>
        </is>
      </c>
      <c r="J207" s="6" t="inlineStr">
        <is>
          <t>PYG</t>
        </is>
      </c>
      <c r="K207" s="6" t="inlineStr">
        <is>
          <t>ANDE</t>
        </is>
      </c>
      <c r="L207" s="6" t="inlineStr">
        <is>
          <t>OFFICIAL_PRIMARY</t>
        </is>
      </c>
      <c r="M207" s="9" t="inlineStr">
        <is>
          <t>OFFICIAL_AGGREGATE</t>
        </is>
      </c>
      <c r="N207" s="7" t="inlineStr">
        <is>
          <t>https://www.ande.gov.py/finanzas/2.%20COMPILACION%20ESTADISTICA%202003-2023/ANDE%20-%20Compilacion%20Estadistica%202003-2023.pdf</t>
        </is>
      </c>
      <c r="O207" s="12" t="n">
        <v>90</v>
      </c>
      <c r="P207" s="4" t="inlineStr">
        <is>
          <t>Serie de compilacion 2003-2023.</t>
        </is>
      </c>
    </row>
    <row r="208">
      <c r="A208" s="6" t="inlineStr">
        <is>
          <t>P00207</t>
        </is>
      </c>
      <c r="B208" s="6" t="inlineStr">
        <is>
          <t>2008-01-01</t>
        </is>
      </c>
      <c r="C208" s="6" t="inlineStr">
        <is>
          <t>2008-12-31</t>
        </is>
      </c>
      <c r="D208" s="6" t="inlineStr">
        <is>
          <t>year</t>
        </is>
      </c>
      <c r="E208" s="6" t="inlineStr">
        <is>
          <t>ANDE_TARIFF_PUBLIC_LIGHT</t>
        </is>
      </c>
      <c r="F208" s="6" t="inlineStr">
        <is>
          <t>PY_SIN</t>
        </is>
      </c>
      <c r="G208" s="6" t="inlineStr">
        <is>
          <t>PY</t>
        </is>
      </c>
      <c r="H208" s="8" t="n">
        <v>453.3</v>
      </c>
      <c r="I208" s="6" t="inlineStr">
        <is>
          <t>Gs/kWh</t>
        </is>
      </c>
      <c r="J208" s="6" t="inlineStr">
        <is>
          <t>PYG</t>
        </is>
      </c>
      <c r="K208" s="6" t="inlineStr">
        <is>
          <t>ANDE</t>
        </is>
      </c>
      <c r="L208" s="6" t="inlineStr">
        <is>
          <t>OFFICIAL_PRIMARY</t>
        </is>
      </c>
      <c r="M208" s="9" t="inlineStr">
        <is>
          <t>OFFICIAL_AGGREGATE</t>
        </is>
      </c>
      <c r="N208" s="7" t="inlineStr">
        <is>
          <t>https://www.ande.gov.py/finanzas/2.%20COMPILACION%20ESTADISTICA%202003-2023/ANDE%20-%20Compilacion%20Estadistica%202003-2023.pdf</t>
        </is>
      </c>
      <c r="O208" s="12" t="n">
        <v>90</v>
      </c>
      <c r="P208" s="4" t="inlineStr">
        <is>
          <t>Serie de compilacion 2003-2023.</t>
        </is>
      </c>
    </row>
    <row r="209">
      <c r="A209" s="6" t="inlineStr">
        <is>
          <t>P00208</t>
        </is>
      </c>
      <c r="B209" s="6" t="inlineStr">
        <is>
          <t>2009-01-01</t>
        </is>
      </c>
      <c r="C209" s="6" t="inlineStr">
        <is>
          <t>2009-12-31</t>
        </is>
      </c>
      <c r="D209" s="6" t="inlineStr">
        <is>
          <t>year</t>
        </is>
      </c>
      <c r="E209" s="6" t="inlineStr">
        <is>
          <t>ANDE_TARIFF_PUBLIC_LIGHT</t>
        </is>
      </c>
      <c r="F209" s="6" t="inlineStr">
        <is>
          <t>PY_SIN</t>
        </is>
      </c>
      <c r="G209" s="6" t="inlineStr">
        <is>
          <t>PY</t>
        </is>
      </c>
      <c r="H209" s="8" t="n">
        <v>398.4</v>
      </c>
      <c r="I209" s="6" t="inlineStr">
        <is>
          <t>Gs/kWh</t>
        </is>
      </c>
      <c r="J209" s="6" t="inlineStr">
        <is>
          <t>PYG</t>
        </is>
      </c>
      <c r="K209" s="6" t="inlineStr">
        <is>
          <t>ANDE</t>
        </is>
      </c>
      <c r="L209" s="6" t="inlineStr">
        <is>
          <t>OFFICIAL_PRIMARY</t>
        </is>
      </c>
      <c r="M209" s="9" t="inlineStr">
        <is>
          <t>OFFICIAL_AGGREGATE</t>
        </is>
      </c>
      <c r="N209" s="7" t="inlineStr">
        <is>
          <t>https://www.ande.gov.py/finanzas/2.%20COMPILACION%20ESTADISTICA%202003-2023/ANDE%20-%20Compilacion%20Estadistica%202003-2023.pdf</t>
        </is>
      </c>
      <c r="O209" s="12" t="n">
        <v>90</v>
      </c>
      <c r="P209" s="4" t="inlineStr">
        <is>
          <t>Serie de compilacion 2003-2023.</t>
        </is>
      </c>
    </row>
    <row r="210">
      <c r="A210" s="6" t="inlineStr">
        <is>
          <t>P00209</t>
        </is>
      </c>
      <c r="B210" s="6" t="inlineStr">
        <is>
          <t>2010-01-01</t>
        </is>
      </c>
      <c r="C210" s="6" t="inlineStr">
        <is>
          <t>2010-12-31</t>
        </is>
      </c>
      <c r="D210" s="6" t="inlineStr">
        <is>
          <t>year</t>
        </is>
      </c>
      <c r="E210" s="6" t="inlineStr">
        <is>
          <t>ANDE_TARIFF_PUBLIC_LIGHT</t>
        </is>
      </c>
      <c r="F210" s="6" t="inlineStr">
        <is>
          <t>PY_SIN</t>
        </is>
      </c>
      <c r="G210" s="6" t="inlineStr">
        <is>
          <t>PY</t>
        </is>
      </c>
      <c r="H210" s="8" t="n">
        <v>401</v>
      </c>
      <c r="I210" s="6" t="inlineStr">
        <is>
          <t>Gs/kWh</t>
        </is>
      </c>
      <c r="J210" s="6" t="inlineStr">
        <is>
          <t>PYG</t>
        </is>
      </c>
      <c r="K210" s="6" t="inlineStr">
        <is>
          <t>ANDE</t>
        </is>
      </c>
      <c r="L210" s="6" t="inlineStr">
        <is>
          <t>OFFICIAL_PRIMARY</t>
        </is>
      </c>
      <c r="M210" s="9" t="inlineStr">
        <is>
          <t>OFFICIAL_AGGREGATE</t>
        </is>
      </c>
      <c r="N210" s="7" t="inlineStr">
        <is>
          <t>https://www.ande.gov.py/finanzas/2.%20COMPILACION%20ESTADISTICA%202003-2023/ANDE%20-%20Compilacion%20Estadistica%202003-2023.pdf</t>
        </is>
      </c>
      <c r="O210" s="12" t="n">
        <v>90</v>
      </c>
      <c r="P210" s="4" t="inlineStr">
        <is>
          <t>Serie de compilacion 2003-2023.</t>
        </is>
      </c>
    </row>
    <row r="211">
      <c r="A211" s="6" t="inlineStr">
        <is>
          <t>P00210</t>
        </is>
      </c>
      <c r="B211" s="6" t="inlineStr">
        <is>
          <t>2011-01-01</t>
        </is>
      </c>
      <c r="C211" s="6" t="inlineStr">
        <is>
          <t>2011-12-31</t>
        </is>
      </c>
      <c r="D211" s="6" t="inlineStr">
        <is>
          <t>year</t>
        </is>
      </c>
      <c r="E211" s="6" t="inlineStr">
        <is>
          <t>ANDE_TARIFF_PUBLIC_LIGHT</t>
        </is>
      </c>
      <c r="F211" s="6" t="inlineStr">
        <is>
          <t>PY_SIN</t>
        </is>
      </c>
      <c r="G211" s="6" t="inlineStr">
        <is>
          <t>PY</t>
        </is>
      </c>
      <c r="H211" s="8" t="n">
        <v>376.9</v>
      </c>
      <c r="I211" s="6" t="inlineStr">
        <is>
          <t>Gs/kWh</t>
        </is>
      </c>
      <c r="J211" s="6" t="inlineStr">
        <is>
          <t>PYG</t>
        </is>
      </c>
      <c r="K211" s="6" t="inlineStr">
        <is>
          <t>ANDE</t>
        </is>
      </c>
      <c r="L211" s="6" t="inlineStr">
        <is>
          <t>OFFICIAL_PRIMARY</t>
        </is>
      </c>
      <c r="M211" s="9" t="inlineStr">
        <is>
          <t>OFFICIAL_AGGREGATE</t>
        </is>
      </c>
      <c r="N211" s="7" t="inlineStr">
        <is>
          <t>https://www.ande.gov.py/finanzas/2.%20COMPILACION%20ESTADISTICA%202003-2023/ANDE%20-%20Compilacion%20Estadistica%202003-2023.pdf</t>
        </is>
      </c>
      <c r="O211" s="12" t="n">
        <v>90</v>
      </c>
      <c r="P211" s="4" t="inlineStr">
        <is>
          <t>Serie de compilacion 2003-2023.</t>
        </is>
      </c>
    </row>
    <row r="212">
      <c r="A212" s="6" t="inlineStr">
        <is>
          <t>P00211</t>
        </is>
      </c>
      <c r="B212" s="6" t="inlineStr">
        <is>
          <t>2012-01-01</t>
        </is>
      </c>
      <c r="C212" s="6" t="inlineStr">
        <is>
          <t>2012-12-31</t>
        </is>
      </c>
      <c r="D212" s="6" t="inlineStr">
        <is>
          <t>year</t>
        </is>
      </c>
      <c r="E212" s="6" t="inlineStr">
        <is>
          <t>ANDE_TARIFF_PUBLIC_LIGHT</t>
        </is>
      </c>
      <c r="F212" s="6" t="inlineStr">
        <is>
          <t>PY_SIN</t>
        </is>
      </c>
      <c r="G212" s="6" t="inlineStr">
        <is>
          <t>PY</t>
        </is>
      </c>
      <c r="H212" s="8" t="n">
        <v>364.8</v>
      </c>
      <c r="I212" s="6" t="inlineStr">
        <is>
          <t>Gs/kWh</t>
        </is>
      </c>
      <c r="J212" s="6" t="inlineStr">
        <is>
          <t>PYG</t>
        </is>
      </c>
      <c r="K212" s="6" t="inlineStr">
        <is>
          <t>ANDE</t>
        </is>
      </c>
      <c r="L212" s="6" t="inlineStr">
        <is>
          <t>OFFICIAL_PRIMARY</t>
        </is>
      </c>
      <c r="M212" s="9" t="inlineStr">
        <is>
          <t>OFFICIAL_AGGREGATE</t>
        </is>
      </c>
      <c r="N212" s="7" t="inlineStr">
        <is>
          <t>https://www.ande.gov.py/finanzas/2.%20COMPILACION%20ESTADISTICA%202003-2023/ANDE%20-%20Compilacion%20Estadistica%202003-2023.pdf</t>
        </is>
      </c>
      <c r="O212" s="12" t="n">
        <v>90</v>
      </c>
      <c r="P212" s="4" t="inlineStr">
        <is>
          <t>Serie de compilacion 2003-2023.</t>
        </is>
      </c>
    </row>
    <row r="213">
      <c r="A213" s="6" t="inlineStr">
        <is>
          <t>P00212</t>
        </is>
      </c>
      <c r="B213" s="6" t="inlineStr">
        <is>
          <t>2013-01-01</t>
        </is>
      </c>
      <c r="C213" s="6" t="inlineStr">
        <is>
          <t>2013-12-31</t>
        </is>
      </c>
      <c r="D213" s="6" t="inlineStr">
        <is>
          <t>year</t>
        </is>
      </c>
      <c r="E213" s="6" t="inlineStr">
        <is>
          <t>ANDE_TARIFF_PUBLIC_LIGHT</t>
        </is>
      </c>
      <c r="F213" s="6" t="inlineStr">
        <is>
          <t>PY_SIN</t>
        </is>
      </c>
      <c r="G213" s="6" t="inlineStr">
        <is>
          <t>PY</t>
        </is>
      </c>
      <c r="H213" s="8" t="n">
        <v>340.5</v>
      </c>
      <c r="I213" s="6" t="inlineStr">
        <is>
          <t>Gs/kWh</t>
        </is>
      </c>
      <c r="J213" s="6" t="inlineStr">
        <is>
          <t>PYG</t>
        </is>
      </c>
      <c r="K213" s="6" t="inlineStr">
        <is>
          <t>ANDE</t>
        </is>
      </c>
      <c r="L213" s="6" t="inlineStr">
        <is>
          <t>OFFICIAL_PRIMARY</t>
        </is>
      </c>
      <c r="M213" s="9" t="inlineStr">
        <is>
          <t>OFFICIAL_AGGREGATE</t>
        </is>
      </c>
      <c r="N213" s="7" t="inlineStr">
        <is>
          <t>https://www.ande.gov.py/finanzas/2.%20COMPILACION%20ESTADISTICA%202003-2023/ANDE%20-%20Compilacion%20Estadistica%202003-2023.pdf</t>
        </is>
      </c>
      <c r="O213" s="12" t="n">
        <v>90</v>
      </c>
      <c r="P213" s="4" t="inlineStr">
        <is>
          <t>Serie de compilacion 2003-2023.</t>
        </is>
      </c>
    </row>
    <row r="214">
      <c r="A214" s="6" t="inlineStr">
        <is>
          <t>P00213</t>
        </is>
      </c>
      <c r="B214" s="6" t="inlineStr">
        <is>
          <t>2014-01-01</t>
        </is>
      </c>
      <c r="C214" s="6" t="inlineStr">
        <is>
          <t>2014-12-31</t>
        </is>
      </c>
      <c r="D214" s="6" t="inlineStr">
        <is>
          <t>year</t>
        </is>
      </c>
      <c r="E214" s="6" t="inlineStr">
        <is>
          <t>ANDE_TARIFF_PUBLIC_LIGHT</t>
        </is>
      </c>
      <c r="F214" s="6" t="inlineStr">
        <is>
          <t>PY_SIN</t>
        </is>
      </c>
      <c r="G214" s="6" t="inlineStr">
        <is>
          <t>PY</t>
        </is>
      </c>
      <c r="H214" s="8" t="n">
        <v>317.5</v>
      </c>
      <c r="I214" s="6" t="inlineStr">
        <is>
          <t>Gs/kWh</t>
        </is>
      </c>
      <c r="J214" s="6" t="inlineStr">
        <is>
          <t>PYG</t>
        </is>
      </c>
      <c r="K214" s="6" t="inlineStr">
        <is>
          <t>ANDE</t>
        </is>
      </c>
      <c r="L214" s="6" t="inlineStr">
        <is>
          <t>OFFICIAL_PRIMARY</t>
        </is>
      </c>
      <c r="M214" s="9" t="inlineStr">
        <is>
          <t>OFFICIAL_AGGREGATE</t>
        </is>
      </c>
      <c r="N214" s="7" t="inlineStr">
        <is>
          <t>https://www.ande.gov.py/finanzas/2.%20COMPILACION%20ESTADISTICA%202003-2023/ANDE%20-%20Compilacion%20Estadistica%202003-2023.pdf</t>
        </is>
      </c>
      <c r="O214" s="12" t="n">
        <v>90</v>
      </c>
      <c r="P214" s="4" t="inlineStr">
        <is>
          <t>Serie de compilacion 2003-2023.</t>
        </is>
      </c>
    </row>
    <row r="215">
      <c r="A215" s="6" t="inlineStr">
        <is>
          <t>P00214</t>
        </is>
      </c>
      <c r="B215" s="6" t="inlineStr">
        <is>
          <t>2015-01-01</t>
        </is>
      </c>
      <c r="C215" s="6" t="inlineStr">
        <is>
          <t>2015-12-31</t>
        </is>
      </c>
      <c r="D215" s="6" t="inlineStr">
        <is>
          <t>year</t>
        </is>
      </c>
      <c r="E215" s="6" t="inlineStr">
        <is>
          <t>ANDE_TARIFF_PUBLIC_LIGHT</t>
        </is>
      </c>
      <c r="F215" s="6" t="inlineStr">
        <is>
          <t>PY_SIN</t>
        </is>
      </c>
      <c r="G215" s="6" t="inlineStr">
        <is>
          <t>PY</t>
        </is>
      </c>
      <c r="H215" s="8" t="n">
        <v>317.5</v>
      </c>
      <c r="I215" s="6" t="inlineStr">
        <is>
          <t>Gs/kWh</t>
        </is>
      </c>
      <c r="J215" s="6" t="inlineStr">
        <is>
          <t>PYG</t>
        </is>
      </c>
      <c r="K215" s="6" t="inlineStr">
        <is>
          <t>ANDE</t>
        </is>
      </c>
      <c r="L215" s="6" t="inlineStr">
        <is>
          <t>OFFICIAL_PRIMARY</t>
        </is>
      </c>
      <c r="M215" s="9" t="inlineStr">
        <is>
          <t>OFFICIAL_AGGREGATE</t>
        </is>
      </c>
      <c r="N215" s="7" t="inlineStr">
        <is>
          <t>https://www.ande.gov.py/finanzas/2.%20COMPILACION%20ESTADISTICA%202003-2023/ANDE%20-%20Compilacion%20Estadistica%202003-2023.pdf</t>
        </is>
      </c>
      <c r="O215" s="12" t="n">
        <v>90</v>
      </c>
      <c r="P215" s="4" t="inlineStr">
        <is>
          <t>Serie de compilacion 2003-2023.</t>
        </is>
      </c>
    </row>
    <row r="216">
      <c r="A216" s="6" t="inlineStr">
        <is>
          <t>P00215</t>
        </is>
      </c>
      <c r="B216" s="6" t="inlineStr">
        <is>
          <t>2016-01-01</t>
        </is>
      </c>
      <c r="C216" s="6" t="inlineStr">
        <is>
          <t>2016-12-31</t>
        </is>
      </c>
      <c r="D216" s="6" t="inlineStr">
        <is>
          <t>year</t>
        </is>
      </c>
      <c r="E216" s="6" t="inlineStr">
        <is>
          <t>ANDE_TARIFF_PUBLIC_LIGHT</t>
        </is>
      </c>
      <c r="F216" s="6" t="inlineStr">
        <is>
          <t>PY_SIN</t>
        </is>
      </c>
      <c r="G216" s="6" t="inlineStr">
        <is>
          <t>PY</t>
        </is>
      </c>
      <c r="H216" s="8" t="n">
        <v>317.5</v>
      </c>
      <c r="I216" s="6" t="inlineStr">
        <is>
          <t>Gs/kWh</t>
        </is>
      </c>
      <c r="J216" s="6" t="inlineStr">
        <is>
          <t>PYG</t>
        </is>
      </c>
      <c r="K216" s="6" t="inlineStr">
        <is>
          <t>ANDE</t>
        </is>
      </c>
      <c r="L216" s="6" t="inlineStr">
        <is>
          <t>OFFICIAL_PRIMARY</t>
        </is>
      </c>
      <c r="M216" s="9" t="inlineStr">
        <is>
          <t>OFFICIAL_AGGREGATE</t>
        </is>
      </c>
      <c r="N216" s="7" t="inlineStr">
        <is>
          <t>https://www.ande.gov.py/finanzas/2.%20COMPILACION%20ESTADISTICA%202003-2023/ANDE%20-%20Compilacion%20Estadistica%202003-2023.pdf</t>
        </is>
      </c>
      <c r="O216" s="12" t="n">
        <v>90</v>
      </c>
      <c r="P216" s="4" t="inlineStr">
        <is>
          <t>Serie de compilacion 2003-2023.</t>
        </is>
      </c>
    </row>
    <row r="217">
      <c r="A217" s="6" t="inlineStr">
        <is>
          <t>P00216</t>
        </is>
      </c>
      <c r="B217" s="6" t="inlineStr">
        <is>
          <t>2017-01-01</t>
        </is>
      </c>
      <c r="C217" s="6" t="inlineStr">
        <is>
          <t>2017-12-31</t>
        </is>
      </c>
      <c r="D217" s="6" t="inlineStr">
        <is>
          <t>year</t>
        </is>
      </c>
      <c r="E217" s="6" t="inlineStr">
        <is>
          <t>ANDE_TARIFF_PUBLIC_LIGHT</t>
        </is>
      </c>
      <c r="F217" s="6" t="inlineStr">
        <is>
          <t>PY_SIN</t>
        </is>
      </c>
      <c r="G217" s="6" t="inlineStr">
        <is>
          <t>PY</t>
        </is>
      </c>
      <c r="H217" s="8" t="n">
        <v>375.2</v>
      </c>
      <c r="I217" s="6" t="inlineStr">
        <is>
          <t>Gs/kWh</t>
        </is>
      </c>
      <c r="J217" s="6" t="inlineStr">
        <is>
          <t>PYG</t>
        </is>
      </c>
      <c r="K217" s="6" t="inlineStr">
        <is>
          <t>ANDE</t>
        </is>
      </c>
      <c r="L217" s="6" t="inlineStr">
        <is>
          <t>OFFICIAL_PRIMARY</t>
        </is>
      </c>
      <c r="M217" s="9" t="inlineStr">
        <is>
          <t>OFFICIAL_AGGREGATE</t>
        </is>
      </c>
      <c r="N217" s="7" t="inlineStr">
        <is>
          <t>https://www.ande.gov.py/finanzas/2.%20COMPILACION%20ESTADISTICA%202003-2023/ANDE%20-%20Compilacion%20Estadistica%202003-2023.pdf</t>
        </is>
      </c>
      <c r="O217" s="12" t="n">
        <v>90</v>
      </c>
      <c r="P217" s="4" t="inlineStr">
        <is>
          <t>Serie de compilacion 2003-2023.</t>
        </is>
      </c>
    </row>
    <row r="218">
      <c r="A218" s="6" t="inlineStr">
        <is>
          <t>P00217</t>
        </is>
      </c>
      <c r="B218" s="6" t="inlineStr">
        <is>
          <t>2018-01-01</t>
        </is>
      </c>
      <c r="C218" s="6" t="inlineStr">
        <is>
          <t>2018-12-31</t>
        </is>
      </c>
      <c r="D218" s="6" t="inlineStr">
        <is>
          <t>year</t>
        </is>
      </c>
      <c r="E218" s="6" t="inlineStr">
        <is>
          <t>ANDE_TARIFF_PUBLIC_LIGHT</t>
        </is>
      </c>
      <c r="F218" s="6" t="inlineStr">
        <is>
          <t>PY_SIN</t>
        </is>
      </c>
      <c r="G218" s="6" t="inlineStr">
        <is>
          <t>PY</t>
        </is>
      </c>
      <c r="H218" s="8" t="n">
        <v>387.3</v>
      </c>
      <c r="I218" s="6" t="inlineStr">
        <is>
          <t>Gs/kWh</t>
        </is>
      </c>
      <c r="J218" s="6" t="inlineStr">
        <is>
          <t>PYG</t>
        </is>
      </c>
      <c r="K218" s="6" t="inlineStr">
        <is>
          <t>ANDE</t>
        </is>
      </c>
      <c r="L218" s="6" t="inlineStr">
        <is>
          <t>OFFICIAL_PRIMARY</t>
        </is>
      </c>
      <c r="M218" s="9" t="inlineStr">
        <is>
          <t>OFFICIAL_AGGREGATE</t>
        </is>
      </c>
      <c r="N218" s="7" t="inlineStr">
        <is>
          <t>https://www.ande.gov.py/finanzas/2.%20COMPILACION%20ESTADISTICA%202003-2023/ANDE%20-%20Compilacion%20Estadistica%202003-2023.pdf</t>
        </is>
      </c>
      <c r="O218" s="12" t="n">
        <v>90</v>
      </c>
      <c r="P218" s="4" t="inlineStr">
        <is>
          <t>Serie de compilacion 2003-2023.</t>
        </is>
      </c>
    </row>
    <row r="219">
      <c r="A219" s="6" t="inlineStr">
        <is>
          <t>P00218</t>
        </is>
      </c>
      <c r="B219" s="6" t="inlineStr">
        <is>
          <t>2019-01-01</t>
        </is>
      </c>
      <c r="C219" s="6" t="inlineStr">
        <is>
          <t>2019-12-31</t>
        </is>
      </c>
      <c r="D219" s="6" t="inlineStr">
        <is>
          <t>year</t>
        </is>
      </c>
      <c r="E219" s="6" t="inlineStr">
        <is>
          <t>ANDE_TARIFF_PUBLIC_LIGHT</t>
        </is>
      </c>
      <c r="F219" s="6" t="inlineStr">
        <is>
          <t>PY_SIN</t>
        </is>
      </c>
      <c r="G219" s="6" t="inlineStr">
        <is>
          <t>PY</t>
        </is>
      </c>
      <c r="H219" s="8" t="n">
        <v>387.3</v>
      </c>
      <c r="I219" s="6" t="inlineStr">
        <is>
          <t>Gs/kWh</t>
        </is>
      </c>
      <c r="J219" s="6" t="inlineStr">
        <is>
          <t>PYG</t>
        </is>
      </c>
      <c r="K219" s="6" t="inlineStr">
        <is>
          <t>ANDE</t>
        </is>
      </c>
      <c r="L219" s="6" t="inlineStr">
        <is>
          <t>OFFICIAL_PRIMARY</t>
        </is>
      </c>
      <c r="M219" s="9" t="inlineStr">
        <is>
          <t>OFFICIAL_AGGREGATE</t>
        </is>
      </c>
      <c r="N219" s="7" t="inlineStr">
        <is>
          <t>https://www.ande.gov.py/finanzas/2.%20COMPILACION%20ESTADISTICA%202003-2023/ANDE%20-%20Compilacion%20Estadistica%202003-2023.pdf</t>
        </is>
      </c>
      <c r="O219" s="12" t="n">
        <v>90</v>
      </c>
      <c r="P219" s="4" t="inlineStr">
        <is>
          <t>Serie de compilacion 2003-2023.</t>
        </is>
      </c>
    </row>
    <row r="220">
      <c r="A220" s="6" t="inlineStr">
        <is>
          <t>P00219</t>
        </is>
      </c>
      <c r="B220" s="6" t="inlineStr">
        <is>
          <t>2020-01-01</t>
        </is>
      </c>
      <c r="C220" s="6" t="inlineStr">
        <is>
          <t>2020-12-31</t>
        </is>
      </c>
      <c r="D220" s="6" t="inlineStr">
        <is>
          <t>year</t>
        </is>
      </c>
      <c r="E220" s="6" t="inlineStr">
        <is>
          <t>ANDE_TARIFF_PUBLIC_LIGHT</t>
        </is>
      </c>
      <c r="F220" s="6" t="inlineStr">
        <is>
          <t>PY_SIN</t>
        </is>
      </c>
      <c r="G220" s="6" t="inlineStr">
        <is>
          <t>PY</t>
        </is>
      </c>
      <c r="H220" s="8" t="n">
        <v>387.3</v>
      </c>
      <c r="I220" s="6" t="inlineStr">
        <is>
          <t>Gs/kWh</t>
        </is>
      </c>
      <c r="J220" s="6" t="inlineStr">
        <is>
          <t>PYG</t>
        </is>
      </c>
      <c r="K220" s="6" t="inlineStr">
        <is>
          <t>ANDE</t>
        </is>
      </c>
      <c r="L220" s="6" t="inlineStr">
        <is>
          <t>OFFICIAL_PRIMARY</t>
        </is>
      </c>
      <c r="M220" s="9" t="inlineStr">
        <is>
          <t>OFFICIAL_AGGREGATE</t>
        </is>
      </c>
      <c r="N220" s="7" t="inlineStr">
        <is>
          <t>https://www.ande.gov.py/finanzas/2.%20COMPILACION%20ESTADISTICA%202003-2023/ANDE%20-%20Compilacion%20Estadistica%202003-2023.pdf</t>
        </is>
      </c>
      <c r="O220" s="12" t="n">
        <v>90</v>
      </c>
      <c r="P220" s="4" t="inlineStr">
        <is>
          <t>Serie de compilacion 2003-2023.</t>
        </is>
      </c>
    </row>
    <row r="221">
      <c r="A221" s="6" t="inlineStr">
        <is>
          <t>P00220</t>
        </is>
      </c>
      <c r="B221" s="6" t="inlineStr">
        <is>
          <t>2021-01-01</t>
        </is>
      </c>
      <c r="C221" s="6" t="inlineStr">
        <is>
          <t>2021-12-31</t>
        </is>
      </c>
      <c r="D221" s="6" t="inlineStr">
        <is>
          <t>year</t>
        </is>
      </c>
      <c r="E221" s="6" t="inlineStr">
        <is>
          <t>ANDE_TARIFF_PUBLIC_LIGHT</t>
        </is>
      </c>
      <c r="F221" s="6" t="inlineStr">
        <is>
          <t>PY_SIN</t>
        </is>
      </c>
      <c r="G221" s="6" t="inlineStr">
        <is>
          <t>PY</t>
        </is>
      </c>
      <c r="H221" s="8" t="n">
        <v>387.3</v>
      </c>
      <c r="I221" s="6" t="inlineStr">
        <is>
          <t>Gs/kWh</t>
        </is>
      </c>
      <c r="J221" s="6" t="inlineStr">
        <is>
          <t>PYG</t>
        </is>
      </c>
      <c r="K221" s="6" t="inlineStr">
        <is>
          <t>ANDE</t>
        </is>
      </c>
      <c r="L221" s="6" t="inlineStr">
        <is>
          <t>OFFICIAL_PRIMARY</t>
        </is>
      </c>
      <c r="M221" s="9" t="inlineStr">
        <is>
          <t>OFFICIAL_AGGREGATE</t>
        </is>
      </c>
      <c r="N221" s="7" t="inlineStr">
        <is>
          <t>https://www.ande.gov.py/finanzas/2.%20COMPILACION%20ESTADISTICA%202003-2023/ANDE%20-%20Compilacion%20Estadistica%202003-2023.pdf</t>
        </is>
      </c>
      <c r="O221" s="12" t="n">
        <v>90</v>
      </c>
      <c r="P221" s="4" t="inlineStr">
        <is>
          <t>Serie de compilacion 2003-2023.</t>
        </is>
      </c>
    </row>
    <row r="222">
      <c r="A222" s="6" t="inlineStr">
        <is>
          <t>P00221</t>
        </is>
      </c>
      <c r="B222" s="6" t="inlineStr">
        <is>
          <t>2022-01-01</t>
        </is>
      </c>
      <c r="C222" s="6" t="inlineStr">
        <is>
          <t>2022-12-31</t>
        </is>
      </c>
      <c r="D222" s="6" t="inlineStr">
        <is>
          <t>year</t>
        </is>
      </c>
      <c r="E222" s="6" t="inlineStr">
        <is>
          <t>ANDE_TARIFF_PUBLIC_LIGHT</t>
        </is>
      </c>
      <c r="F222" s="6" t="inlineStr">
        <is>
          <t>PY_SIN</t>
        </is>
      </c>
      <c r="G222" s="6" t="inlineStr">
        <is>
          <t>PY</t>
        </is>
      </c>
      <c r="H222" s="8" t="n">
        <v>387.3</v>
      </c>
      <c r="I222" s="6" t="inlineStr">
        <is>
          <t>Gs/kWh</t>
        </is>
      </c>
      <c r="J222" s="6" t="inlineStr">
        <is>
          <t>PYG</t>
        </is>
      </c>
      <c r="K222" s="6" t="inlineStr">
        <is>
          <t>ANDE</t>
        </is>
      </c>
      <c r="L222" s="6" t="inlineStr">
        <is>
          <t>OFFICIAL_PRIMARY</t>
        </is>
      </c>
      <c r="M222" s="9" t="inlineStr">
        <is>
          <t>OFFICIAL_AGGREGATE</t>
        </is>
      </c>
      <c r="N222" s="7" t="inlineStr">
        <is>
          <t>https://www.ande.gov.py/finanzas/2.%20COMPILACION%20ESTADISTICA%202003-2023/ANDE%20-%20Compilacion%20Estadistica%202003-2023.pdf</t>
        </is>
      </c>
      <c r="O222" s="12" t="n">
        <v>90</v>
      </c>
      <c r="P222" s="4" t="inlineStr">
        <is>
          <t>Serie de compilacion 2003-2023.</t>
        </is>
      </c>
    </row>
    <row r="223">
      <c r="A223" s="6" t="inlineStr">
        <is>
          <t>P00222</t>
        </is>
      </c>
      <c r="B223" s="6" t="inlineStr">
        <is>
          <t>2023-01-01</t>
        </is>
      </c>
      <c r="C223" s="6" t="inlineStr">
        <is>
          <t>2023-12-31</t>
        </is>
      </c>
      <c r="D223" s="6" t="inlineStr">
        <is>
          <t>year</t>
        </is>
      </c>
      <c r="E223" s="6" t="inlineStr">
        <is>
          <t>ANDE_TARIFF_PUBLIC_LIGHT</t>
        </is>
      </c>
      <c r="F223" s="6" t="inlineStr">
        <is>
          <t>PY_SIN</t>
        </is>
      </c>
      <c r="G223" s="6" t="inlineStr">
        <is>
          <t>PY</t>
        </is>
      </c>
      <c r="H223" s="8" t="n">
        <v>387.3</v>
      </c>
      <c r="I223" s="6" t="inlineStr">
        <is>
          <t>Gs/kWh</t>
        </is>
      </c>
      <c r="J223" s="6" t="inlineStr">
        <is>
          <t>PYG</t>
        </is>
      </c>
      <c r="K223" s="6" t="inlineStr">
        <is>
          <t>ANDE</t>
        </is>
      </c>
      <c r="L223" s="6" t="inlineStr">
        <is>
          <t>OFFICIAL_PRIMARY</t>
        </is>
      </c>
      <c r="M223" s="9" t="inlineStr">
        <is>
          <t>OFFICIAL_AGGREGATE</t>
        </is>
      </c>
      <c r="N223" s="7" t="inlineStr">
        <is>
          <t>https://www.ande.gov.py/finanzas/2.%20COMPILACION%20ESTADISTICA%202003-2023/ANDE%20-%20Compilacion%20Estadistica%202003-2023.pdf</t>
        </is>
      </c>
      <c r="O223" s="12" t="n">
        <v>90</v>
      </c>
      <c r="P223" s="4" t="inlineStr">
        <is>
          <t>Serie de compilacion 2003-2023.</t>
        </is>
      </c>
    </row>
    <row r="224">
      <c r="A224" s="6" t="inlineStr">
        <is>
          <t>P00223</t>
        </is>
      </c>
      <c r="B224" s="6" t="inlineStr">
        <is>
          <t>2003-01-01</t>
        </is>
      </c>
      <c r="C224" s="6" t="inlineStr">
        <is>
          <t>2003-12-31</t>
        </is>
      </c>
      <c r="D224" s="6" t="inlineStr">
        <is>
          <t>year</t>
        </is>
      </c>
      <c r="E224" s="6" t="inlineStr">
        <is>
          <t>ANDE_TARIFF_NATIONAL_AVG</t>
        </is>
      </c>
      <c r="F224" s="6" t="inlineStr">
        <is>
          <t>PY_SIN</t>
        </is>
      </c>
      <c r="G224" s="6" t="inlineStr">
        <is>
          <t>PY</t>
        </is>
      </c>
      <c r="H224" s="8" t="n">
        <v>317.3</v>
      </c>
      <c r="I224" s="6" t="inlineStr">
        <is>
          <t>Gs/kWh</t>
        </is>
      </c>
      <c r="J224" s="6" t="inlineStr">
        <is>
          <t>PYG</t>
        </is>
      </c>
      <c r="K224" s="6" t="inlineStr">
        <is>
          <t>ANDE</t>
        </is>
      </c>
      <c r="L224" s="6" t="inlineStr">
        <is>
          <t>OFFICIAL_PRIMARY</t>
        </is>
      </c>
      <c r="M224" s="9" t="inlineStr">
        <is>
          <t>OFFICIAL_AGGREGATE</t>
        </is>
      </c>
      <c r="N224" s="7" t="inlineStr">
        <is>
          <t>https://www.ande.gov.py/finanzas/2.%20COMPILACION%20ESTADISTICA%202003-2023/ANDE%20-%20Compilacion%20Estadistica%202003-2023.pdf</t>
        </is>
      </c>
      <c r="O224" s="12" t="n">
        <v>90</v>
      </c>
      <c r="P224" s="4" t="inlineStr">
        <is>
          <t>Serie de compilacion 2003-2023.</t>
        </is>
      </c>
    </row>
    <row r="225">
      <c r="A225" s="6" t="inlineStr">
        <is>
          <t>P00224</t>
        </is>
      </c>
      <c r="B225" s="6" t="inlineStr">
        <is>
          <t>2004-01-01</t>
        </is>
      </c>
      <c r="C225" s="6" t="inlineStr">
        <is>
          <t>2004-12-31</t>
        </is>
      </c>
      <c r="D225" s="6" t="inlineStr">
        <is>
          <t>year</t>
        </is>
      </c>
      <c r="E225" s="6" t="inlineStr">
        <is>
          <t>ANDE_TARIFF_NATIONAL_AVG</t>
        </is>
      </c>
      <c r="F225" s="6" t="inlineStr">
        <is>
          <t>PY_SIN</t>
        </is>
      </c>
      <c r="G225" s="6" t="inlineStr">
        <is>
          <t>PY</t>
        </is>
      </c>
      <c r="H225" s="8" t="n">
        <v>314.5</v>
      </c>
      <c r="I225" s="6" t="inlineStr">
        <is>
          <t>Gs/kWh</t>
        </is>
      </c>
      <c r="J225" s="6" t="inlineStr">
        <is>
          <t>PYG</t>
        </is>
      </c>
      <c r="K225" s="6" t="inlineStr">
        <is>
          <t>ANDE</t>
        </is>
      </c>
      <c r="L225" s="6" t="inlineStr">
        <is>
          <t>OFFICIAL_PRIMARY</t>
        </is>
      </c>
      <c r="M225" s="9" t="inlineStr">
        <is>
          <t>OFFICIAL_AGGREGATE</t>
        </is>
      </c>
      <c r="N225" s="7" t="inlineStr">
        <is>
          <t>https://www.ande.gov.py/finanzas/2.%20COMPILACION%20ESTADISTICA%202003-2023/ANDE%20-%20Compilacion%20Estadistica%202003-2023.pdf</t>
        </is>
      </c>
      <c r="O225" s="12" t="n">
        <v>90</v>
      </c>
      <c r="P225" s="4" t="inlineStr">
        <is>
          <t>Serie de compilacion 2003-2023.</t>
        </is>
      </c>
    </row>
    <row r="226">
      <c r="A226" s="6" t="inlineStr">
        <is>
          <t>P00225</t>
        </is>
      </c>
      <c r="B226" s="6" t="inlineStr">
        <is>
          <t>2005-01-01</t>
        </is>
      </c>
      <c r="C226" s="6" t="inlineStr">
        <is>
          <t>2005-12-31</t>
        </is>
      </c>
      <c r="D226" s="6" t="inlineStr">
        <is>
          <t>year</t>
        </is>
      </c>
      <c r="E226" s="6" t="inlineStr">
        <is>
          <t>ANDE_TARIFF_NATIONAL_AVG</t>
        </is>
      </c>
      <c r="F226" s="6" t="inlineStr">
        <is>
          <t>PY_SIN</t>
        </is>
      </c>
      <c r="G226" s="6" t="inlineStr">
        <is>
          <t>PY</t>
        </is>
      </c>
      <c r="H226" s="8" t="n">
        <v>312.6</v>
      </c>
      <c r="I226" s="6" t="inlineStr">
        <is>
          <t>Gs/kWh</t>
        </is>
      </c>
      <c r="J226" s="6" t="inlineStr">
        <is>
          <t>PYG</t>
        </is>
      </c>
      <c r="K226" s="6" t="inlineStr">
        <is>
          <t>ANDE</t>
        </is>
      </c>
      <c r="L226" s="6" t="inlineStr">
        <is>
          <t>OFFICIAL_PRIMARY</t>
        </is>
      </c>
      <c r="M226" s="9" t="inlineStr">
        <is>
          <t>OFFICIAL_AGGREGATE</t>
        </is>
      </c>
      <c r="N226" s="7" t="inlineStr">
        <is>
          <t>https://www.ande.gov.py/finanzas/2.%20COMPILACION%20ESTADISTICA%202003-2023/ANDE%20-%20Compilacion%20Estadistica%202003-2023.pdf</t>
        </is>
      </c>
      <c r="O226" s="12" t="n">
        <v>90</v>
      </c>
      <c r="P226" s="4" t="inlineStr">
        <is>
          <t>Serie de compilacion 2003-2023.</t>
        </is>
      </c>
    </row>
    <row r="227">
      <c r="A227" s="6" t="inlineStr">
        <is>
          <t>P00226</t>
        </is>
      </c>
      <c r="B227" s="6" t="inlineStr">
        <is>
          <t>2006-01-01</t>
        </is>
      </c>
      <c r="C227" s="6" t="inlineStr">
        <is>
          <t>2006-12-31</t>
        </is>
      </c>
      <c r="D227" s="6" t="inlineStr">
        <is>
          <t>year</t>
        </is>
      </c>
      <c r="E227" s="6" t="inlineStr">
        <is>
          <t>ANDE_TARIFF_NATIONAL_AVG</t>
        </is>
      </c>
      <c r="F227" s="6" t="inlineStr">
        <is>
          <t>PY_SIN</t>
        </is>
      </c>
      <c r="G227" s="6" t="inlineStr">
        <is>
          <t>PY</t>
        </is>
      </c>
      <c r="H227" s="8" t="n">
        <v>311.3</v>
      </c>
      <c r="I227" s="6" t="inlineStr">
        <is>
          <t>Gs/kWh</t>
        </is>
      </c>
      <c r="J227" s="6" t="inlineStr">
        <is>
          <t>PYG</t>
        </is>
      </c>
      <c r="K227" s="6" t="inlineStr">
        <is>
          <t>ANDE</t>
        </is>
      </c>
      <c r="L227" s="6" t="inlineStr">
        <is>
          <t>OFFICIAL_PRIMARY</t>
        </is>
      </c>
      <c r="M227" s="9" t="inlineStr">
        <is>
          <t>OFFICIAL_AGGREGATE</t>
        </is>
      </c>
      <c r="N227" s="7" t="inlineStr">
        <is>
          <t>https://www.ande.gov.py/finanzas/2.%20COMPILACION%20ESTADISTICA%202003-2023/ANDE%20-%20Compilacion%20Estadistica%202003-2023.pdf</t>
        </is>
      </c>
      <c r="O227" s="12" t="n">
        <v>90</v>
      </c>
      <c r="P227" s="4" t="inlineStr">
        <is>
          <t>Serie de compilacion 2003-2023.</t>
        </is>
      </c>
    </row>
    <row r="228">
      <c r="A228" s="6" t="inlineStr">
        <is>
          <t>P00227</t>
        </is>
      </c>
      <c r="B228" s="6" t="inlineStr">
        <is>
          <t>2007-01-01</t>
        </is>
      </c>
      <c r="C228" s="6" t="inlineStr">
        <is>
          <t>2007-12-31</t>
        </is>
      </c>
      <c r="D228" s="6" t="inlineStr">
        <is>
          <t>year</t>
        </is>
      </c>
      <c r="E228" s="6" t="inlineStr">
        <is>
          <t>ANDE_TARIFF_NATIONAL_AVG</t>
        </is>
      </c>
      <c r="F228" s="6" t="inlineStr">
        <is>
          <t>PY_SIN</t>
        </is>
      </c>
      <c r="G228" s="6" t="inlineStr">
        <is>
          <t>PY</t>
        </is>
      </c>
      <c r="H228" s="8" t="n">
        <v>311.1</v>
      </c>
      <c r="I228" s="6" t="inlineStr">
        <is>
          <t>Gs/kWh</t>
        </is>
      </c>
      <c r="J228" s="6" t="inlineStr">
        <is>
          <t>PYG</t>
        </is>
      </c>
      <c r="K228" s="6" t="inlineStr">
        <is>
          <t>ANDE</t>
        </is>
      </c>
      <c r="L228" s="6" t="inlineStr">
        <is>
          <t>OFFICIAL_PRIMARY</t>
        </is>
      </c>
      <c r="M228" s="9" t="inlineStr">
        <is>
          <t>OFFICIAL_AGGREGATE</t>
        </is>
      </c>
      <c r="N228" s="7" t="inlineStr">
        <is>
          <t>https://www.ande.gov.py/finanzas/2.%20COMPILACION%20ESTADISTICA%202003-2023/ANDE%20-%20Compilacion%20Estadistica%202003-2023.pdf</t>
        </is>
      </c>
      <c r="O228" s="12" t="n">
        <v>90</v>
      </c>
      <c r="P228" s="4" t="inlineStr">
        <is>
          <t>Serie de compilacion 2003-2023.</t>
        </is>
      </c>
    </row>
    <row r="229">
      <c r="A229" s="6" t="inlineStr">
        <is>
          <t>P00228</t>
        </is>
      </c>
      <c r="B229" s="6" t="inlineStr">
        <is>
          <t>2008-01-01</t>
        </is>
      </c>
      <c r="C229" s="6" t="inlineStr">
        <is>
          <t>2008-12-31</t>
        </is>
      </c>
      <c r="D229" s="6" t="inlineStr">
        <is>
          <t>year</t>
        </is>
      </c>
      <c r="E229" s="6" t="inlineStr">
        <is>
          <t>ANDE_TARIFF_NATIONAL_AVG</t>
        </is>
      </c>
      <c r="F229" s="6" t="inlineStr">
        <is>
          <t>PY_SIN</t>
        </is>
      </c>
      <c r="G229" s="6" t="inlineStr">
        <is>
          <t>PY</t>
        </is>
      </c>
      <c r="H229" s="8" t="n">
        <v>311</v>
      </c>
      <c r="I229" s="6" t="inlineStr">
        <is>
          <t>Gs/kWh</t>
        </is>
      </c>
      <c r="J229" s="6" t="inlineStr">
        <is>
          <t>PYG</t>
        </is>
      </c>
      <c r="K229" s="6" t="inlineStr">
        <is>
          <t>ANDE</t>
        </is>
      </c>
      <c r="L229" s="6" t="inlineStr">
        <is>
          <t>OFFICIAL_PRIMARY</t>
        </is>
      </c>
      <c r="M229" s="9" t="inlineStr">
        <is>
          <t>OFFICIAL_AGGREGATE</t>
        </is>
      </c>
      <c r="N229" s="7" t="inlineStr">
        <is>
          <t>https://www.ande.gov.py/finanzas/2.%20COMPILACION%20ESTADISTICA%202003-2023/ANDE%20-%20Compilacion%20Estadistica%202003-2023.pdf</t>
        </is>
      </c>
      <c r="O229" s="12" t="n">
        <v>90</v>
      </c>
      <c r="P229" s="4" t="inlineStr">
        <is>
          <t>Serie de compilacion 2003-2023.</t>
        </is>
      </c>
    </row>
    <row r="230">
      <c r="A230" s="6" t="inlineStr">
        <is>
          <t>P00229</t>
        </is>
      </c>
      <c r="B230" s="6" t="inlineStr">
        <is>
          <t>2009-01-01</t>
        </is>
      </c>
      <c r="C230" s="6" t="inlineStr">
        <is>
          <t>2009-12-31</t>
        </is>
      </c>
      <c r="D230" s="6" t="inlineStr">
        <is>
          <t>year</t>
        </is>
      </c>
      <c r="E230" s="6" t="inlineStr">
        <is>
          <t>ANDE_TARIFF_NATIONAL_AVG</t>
        </is>
      </c>
      <c r="F230" s="6" t="inlineStr">
        <is>
          <t>PY_SIN</t>
        </is>
      </c>
      <c r="G230" s="6" t="inlineStr">
        <is>
          <t>PY</t>
        </is>
      </c>
      <c r="H230" s="8" t="n">
        <v>310</v>
      </c>
      <c r="I230" s="6" t="inlineStr">
        <is>
          <t>Gs/kWh</t>
        </is>
      </c>
      <c r="J230" s="6" t="inlineStr">
        <is>
          <t>PYG</t>
        </is>
      </c>
      <c r="K230" s="6" t="inlineStr">
        <is>
          <t>ANDE</t>
        </is>
      </c>
      <c r="L230" s="6" t="inlineStr">
        <is>
          <t>OFFICIAL_PRIMARY</t>
        </is>
      </c>
      <c r="M230" s="9" t="inlineStr">
        <is>
          <t>OFFICIAL_AGGREGATE</t>
        </is>
      </c>
      <c r="N230" s="7" t="inlineStr">
        <is>
          <t>https://www.ande.gov.py/finanzas/2.%20COMPILACION%20ESTADISTICA%202003-2023/ANDE%20-%20Compilacion%20Estadistica%202003-2023.pdf</t>
        </is>
      </c>
      <c r="O230" s="12" t="n">
        <v>90</v>
      </c>
      <c r="P230" s="4" t="inlineStr">
        <is>
          <t>Serie de compilacion 2003-2023.</t>
        </is>
      </c>
    </row>
    <row r="231">
      <c r="A231" s="6" t="inlineStr">
        <is>
          <t>P00230</t>
        </is>
      </c>
      <c r="B231" s="6" t="inlineStr">
        <is>
          <t>2010-01-01</t>
        </is>
      </c>
      <c r="C231" s="6" t="inlineStr">
        <is>
          <t>2010-12-31</t>
        </is>
      </c>
      <c r="D231" s="6" t="inlineStr">
        <is>
          <t>year</t>
        </is>
      </c>
      <c r="E231" s="6" t="inlineStr">
        <is>
          <t>ANDE_TARIFF_NATIONAL_AVG</t>
        </is>
      </c>
      <c r="F231" s="6" t="inlineStr">
        <is>
          <t>PY_SIN</t>
        </is>
      </c>
      <c r="G231" s="6" t="inlineStr">
        <is>
          <t>PY</t>
        </is>
      </c>
      <c r="H231" s="8" t="n">
        <v>307.5</v>
      </c>
      <c r="I231" s="6" t="inlineStr">
        <is>
          <t>Gs/kWh</t>
        </is>
      </c>
      <c r="J231" s="6" t="inlineStr">
        <is>
          <t>PYG</t>
        </is>
      </c>
      <c r="K231" s="6" t="inlineStr">
        <is>
          <t>ANDE</t>
        </is>
      </c>
      <c r="L231" s="6" t="inlineStr">
        <is>
          <t>OFFICIAL_PRIMARY</t>
        </is>
      </c>
      <c r="M231" s="9" t="inlineStr">
        <is>
          <t>OFFICIAL_AGGREGATE</t>
        </is>
      </c>
      <c r="N231" s="7" t="inlineStr">
        <is>
          <t>https://www.ande.gov.py/finanzas/2.%20COMPILACION%20ESTADISTICA%202003-2023/ANDE%20-%20Compilacion%20Estadistica%202003-2023.pdf</t>
        </is>
      </c>
      <c r="O231" s="12" t="n">
        <v>90</v>
      </c>
      <c r="P231" s="4" t="inlineStr">
        <is>
          <t>Serie de compilacion 2003-2023.</t>
        </is>
      </c>
    </row>
    <row r="232">
      <c r="A232" s="6" t="inlineStr">
        <is>
          <t>P00231</t>
        </is>
      </c>
      <c r="B232" s="6" t="inlineStr">
        <is>
          <t>2011-01-01</t>
        </is>
      </c>
      <c r="C232" s="6" t="inlineStr">
        <is>
          <t>2011-12-31</t>
        </is>
      </c>
      <c r="D232" s="6" t="inlineStr">
        <is>
          <t>year</t>
        </is>
      </c>
      <c r="E232" s="6" t="inlineStr">
        <is>
          <t>ANDE_TARIFF_NATIONAL_AVG</t>
        </is>
      </c>
      <c r="F232" s="6" t="inlineStr">
        <is>
          <t>PY_SIN</t>
        </is>
      </c>
      <c r="G232" s="6" t="inlineStr">
        <is>
          <t>PY</t>
        </is>
      </c>
      <c r="H232" s="8" t="n">
        <v>318.2</v>
      </c>
      <c r="I232" s="6" t="inlineStr">
        <is>
          <t>Gs/kWh</t>
        </is>
      </c>
      <c r="J232" s="6" t="inlineStr">
        <is>
          <t>PYG</t>
        </is>
      </c>
      <c r="K232" s="6" t="inlineStr">
        <is>
          <t>ANDE</t>
        </is>
      </c>
      <c r="L232" s="6" t="inlineStr">
        <is>
          <t>OFFICIAL_PRIMARY</t>
        </is>
      </c>
      <c r="M232" s="9" t="inlineStr">
        <is>
          <t>OFFICIAL_AGGREGATE</t>
        </is>
      </c>
      <c r="N232" s="7" t="inlineStr">
        <is>
          <t>https://www.ande.gov.py/finanzas/2.%20COMPILACION%20ESTADISTICA%202003-2023/ANDE%20-%20Compilacion%20Estadistica%202003-2023.pdf</t>
        </is>
      </c>
      <c r="O232" s="12" t="n">
        <v>90</v>
      </c>
      <c r="P232" s="4" t="inlineStr">
        <is>
          <t>Serie de compilacion 2003-2023.</t>
        </is>
      </c>
    </row>
    <row r="233">
      <c r="A233" s="6" t="inlineStr">
        <is>
          <t>P00232</t>
        </is>
      </c>
      <c r="B233" s="6" t="inlineStr">
        <is>
          <t>2012-01-01</t>
        </is>
      </c>
      <c r="C233" s="6" t="inlineStr">
        <is>
          <t>2012-12-31</t>
        </is>
      </c>
      <c r="D233" s="6" t="inlineStr">
        <is>
          <t>year</t>
        </is>
      </c>
      <c r="E233" s="6" t="inlineStr">
        <is>
          <t>ANDE_TARIFF_NATIONAL_AVG</t>
        </is>
      </c>
      <c r="F233" s="6" t="inlineStr">
        <is>
          <t>PY_SIN</t>
        </is>
      </c>
      <c r="G233" s="6" t="inlineStr">
        <is>
          <t>PY</t>
        </is>
      </c>
      <c r="H233" s="8" t="n">
        <v>320.4</v>
      </c>
      <c r="I233" s="6" t="inlineStr">
        <is>
          <t>Gs/kWh</t>
        </is>
      </c>
      <c r="J233" s="6" t="inlineStr">
        <is>
          <t>PYG</t>
        </is>
      </c>
      <c r="K233" s="6" t="inlineStr">
        <is>
          <t>ANDE</t>
        </is>
      </c>
      <c r="L233" s="6" t="inlineStr">
        <is>
          <t>OFFICIAL_PRIMARY</t>
        </is>
      </c>
      <c r="M233" s="9" t="inlineStr">
        <is>
          <t>OFFICIAL_AGGREGATE</t>
        </is>
      </c>
      <c r="N233" s="7" t="inlineStr">
        <is>
          <t>https://www.ande.gov.py/finanzas/2.%20COMPILACION%20ESTADISTICA%202003-2023/ANDE%20-%20Compilacion%20Estadistica%202003-2023.pdf</t>
        </is>
      </c>
      <c r="O233" s="12" t="n">
        <v>90</v>
      </c>
      <c r="P233" s="4" t="inlineStr">
        <is>
          <t>Serie de compilacion 2003-2023.</t>
        </is>
      </c>
    </row>
    <row r="234">
      <c r="A234" s="6" t="inlineStr">
        <is>
          <t>P00233</t>
        </is>
      </c>
      <c r="B234" s="6" t="inlineStr">
        <is>
          <t>2013-01-01</t>
        </is>
      </c>
      <c r="C234" s="6" t="inlineStr">
        <is>
          <t>2013-12-31</t>
        </is>
      </c>
      <c r="D234" s="6" t="inlineStr">
        <is>
          <t>year</t>
        </is>
      </c>
      <c r="E234" s="6" t="inlineStr">
        <is>
          <t>ANDE_TARIFF_NATIONAL_AVG</t>
        </is>
      </c>
      <c r="F234" s="6" t="inlineStr">
        <is>
          <t>PY_SIN</t>
        </is>
      </c>
      <c r="G234" s="6" t="inlineStr">
        <is>
          <t>PY</t>
        </is>
      </c>
      <c r="H234" s="8" t="n">
        <v>313.2</v>
      </c>
      <c r="I234" s="6" t="inlineStr">
        <is>
          <t>Gs/kWh</t>
        </is>
      </c>
      <c r="J234" s="6" t="inlineStr">
        <is>
          <t>PYG</t>
        </is>
      </c>
      <c r="K234" s="6" t="inlineStr">
        <is>
          <t>ANDE</t>
        </is>
      </c>
      <c r="L234" s="6" t="inlineStr">
        <is>
          <t>OFFICIAL_PRIMARY</t>
        </is>
      </c>
      <c r="M234" s="9" t="inlineStr">
        <is>
          <t>OFFICIAL_AGGREGATE</t>
        </is>
      </c>
      <c r="N234" s="7" t="inlineStr">
        <is>
          <t>https://www.ande.gov.py/finanzas/2.%20COMPILACION%20ESTADISTICA%202003-2023/ANDE%20-%20Compilacion%20Estadistica%202003-2023.pdf</t>
        </is>
      </c>
      <c r="O234" s="12" t="n">
        <v>90</v>
      </c>
      <c r="P234" s="4" t="inlineStr">
        <is>
          <t>Serie de compilacion 2003-2023.</t>
        </is>
      </c>
    </row>
    <row r="235">
      <c r="A235" s="6" t="inlineStr">
        <is>
          <t>P00234</t>
        </is>
      </c>
      <c r="B235" s="6" t="inlineStr">
        <is>
          <t>2014-01-01</t>
        </is>
      </c>
      <c r="C235" s="6" t="inlineStr">
        <is>
          <t>2014-12-31</t>
        </is>
      </c>
      <c r="D235" s="6" t="inlineStr">
        <is>
          <t>year</t>
        </is>
      </c>
      <c r="E235" s="6" t="inlineStr">
        <is>
          <t>ANDE_TARIFF_NATIONAL_AVG</t>
        </is>
      </c>
      <c r="F235" s="6" t="inlineStr">
        <is>
          <t>PY_SIN</t>
        </is>
      </c>
      <c r="G235" s="6" t="inlineStr">
        <is>
          <t>PY</t>
        </is>
      </c>
      <c r="H235" s="8" t="n">
        <v>314.2</v>
      </c>
      <c r="I235" s="6" t="inlineStr">
        <is>
          <t>Gs/kWh</t>
        </is>
      </c>
      <c r="J235" s="6" t="inlineStr">
        <is>
          <t>PYG</t>
        </is>
      </c>
      <c r="K235" s="6" t="inlineStr">
        <is>
          <t>ANDE</t>
        </is>
      </c>
      <c r="L235" s="6" t="inlineStr">
        <is>
          <t>OFFICIAL_PRIMARY</t>
        </is>
      </c>
      <c r="M235" s="9" t="inlineStr">
        <is>
          <t>OFFICIAL_AGGREGATE</t>
        </is>
      </c>
      <c r="N235" s="7" t="inlineStr">
        <is>
          <t>https://www.ande.gov.py/finanzas/2.%20COMPILACION%20ESTADISTICA%202003-2023/ANDE%20-%20Compilacion%20Estadistica%202003-2023.pdf</t>
        </is>
      </c>
      <c r="O235" s="12" t="n">
        <v>90</v>
      </c>
      <c r="P235" s="4" t="inlineStr">
        <is>
          <t>Serie de compilacion 2003-2023.</t>
        </is>
      </c>
    </row>
    <row r="236">
      <c r="A236" s="6" t="inlineStr">
        <is>
          <t>P00235</t>
        </is>
      </c>
      <c r="B236" s="6" t="inlineStr">
        <is>
          <t>2015-01-01</t>
        </is>
      </c>
      <c r="C236" s="6" t="inlineStr">
        <is>
          <t>2015-12-31</t>
        </is>
      </c>
      <c r="D236" s="6" t="inlineStr">
        <is>
          <t>year</t>
        </is>
      </c>
      <c r="E236" s="6" t="inlineStr">
        <is>
          <t>ANDE_TARIFF_NATIONAL_AVG</t>
        </is>
      </c>
      <c r="F236" s="6" t="inlineStr">
        <is>
          <t>PY_SIN</t>
        </is>
      </c>
      <c r="G236" s="6" t="inlineStr">
        <is>
          <t>PY</t>
        </is>
      </c>
      <c r="H236" s="8" t="n">
        <v>312.4</v>
      </c>
      <c r="I236" s="6" t="inlineStr">
        <is>
          <t>Gs/kWh</t>
        </is>
      </c>
      <c r="J236" s="6" t="inlineStr">
        <is>
          <t>PYG</t>
        </is>
      </c>
      <c r="K236" s="6" t="inlineStr">
        <is>
          <t>ANDE</t>
        </is>
      </c>
      <c r="L236" s="6" t="inlineStr">
        <is>
          <t>OFFICIAL_PRIMARY</t>
        </is>
      </c>
      <c r="M236" s="9" t="inlineStr">
        <is>
          <t>OFFICIAL_AGGREGATE</t>
        </is>
      </c>
      <c r="N236" s="7" t="inlineStr">
        <is>
          <t>https://www.ande.gov.py/finanzas/2.%20COMPILACION%20ESTADISTICA%202003-2023/ANDE%20-%20Compilacion%20Estadistica%202003-2023.pdf</t>
        </is>
      </c>
      <c r="O236" s="12" t="n">
        <v>90</v>
      </c>
      <c r="P236" s="4" t="inlineStr">
        <is>
          <t>Serie de compilacion 2003-2023.</t>
        </is>
      </c>
    </row>
    <row r="237">
      <c r="A237" s="6" t="inlineStr">
        <is>
          <t>P00236</t>
        </is>
      </c>
      <c r="B237" s="6" t="inlineStr">
        <is>
          <t>2016-01-01</t>
        </is>
      </c>
      <c r="C237" s="6" t="inlineStr">
        <is>
          <t>2016-12-31</t>
        </is>
      </c>
      <c r="D237" s="6" t="inlineStr">
        <is>
          <t>year</t>
        </is>
      </c>
      <c r="E237" s="6" t="inlineStr">
        <is>
          <t>ANDE_TARIFF_NATIONAL_AVG</t>
        </is>
      </c>
      <c r="F237" s="6" t="inlineStr">
        <is>
          <t>PY_SIN</t>
        </is>
      </c>
      <c r="G237" s="6" t="inlineStr">
        <is>
          <t>PY</t>
        </is>
      </c>
      <c r="H237" s="8" t="n">
        <v>316.1</v>
      </c>
      <c r="I237" s="6" t="inlineStr">
        <is>
          <t>Gs/kWh</t>
        </is>
      </c>
      <c r="J237" s="6" t="inlineStr">
        <is>
          <t>PYG</t>
        </is>
      </c>
      <c r="K237" s="6" t="inlineStr">
        <is>
          <t>ANDE</t>
        </is>
      </c>
      <c r="L237" s="6" t="inlineStr">
        <is>
          <t>OFFICIAL_PRIMARY</t>
        </is>
      </c>
      <c r="M237" s="9" t="inlineStr">
        <is>
          <t>OFFICIAL_AGGREGATE</t>
        </is>
      </c>
      <c r="N237" s="7" t="inlineStr">
        <is>
          <t>https://www.ande.gov.py/finanzas/2.%20COMPILACION%20ESTADISTICA%202003-2023/ANDE%20-%20Compilacion%20Estadistica%202003-2023.pdf</t>
        </is>
      </c>
      <c r="O237" s="12" t="n">
        <v>90</v>
      </c>
      <c r="P237" s="4" t="inlineStr">
        <is>
          <t>Serie de compilacion 2003-2023.</t>
        </is>
      </c>
    </row>
    <row r="238">
      <c r="A238" s="6" t="inlineStr">
        <is>
          <t>P00237</t>
        </is>
      </c>
      <c r="B238" s="6" t="inlineStr">
        <is>
          <t>2017-01-01</t>
        </is>
      </c>
      <c r="C238" s="6" t="inlineStr">
        <is>
          <t>2017-12-31</t>
        </is>
      </c>
      <c r="D238" s="6" t="inlineStr">
        <is>
          <t>year</t>
        </is>
      </c>
      <c r="E238" s="6" t="inlineStr">
        <is>
          <t>ANDE_TARIFF_NATIONAL_AVG</t>
        </is>
      </c>
      <c r="F238" s="6" t="inlineStr">
        <is>
          <t>PY_SIN</t>
        </is>
      </c>
      <c r="G238" s="6" t="inlineStr">
        <is>
          <t>PY</t>
        </is>
      </c>
      <c r="H238" s="8" t="n">
        <v>357.6</v>
      </c>
      <c r="I238" s="6" t="inlineStr">
        <is>
          <t>Gs/kWh</t>
        </is>
      </c>
      <c r="J238" s="6" t="inlineStr">
        <is>
          <t>PYG</t>
        </is>
      </c>
      <c r="K238" s="6" t="inlineStr">
        <is>
          <t>ANDE</t>
        </is>
      </c>
      <c r="L238" s="6" t="inlineStr">
        <is>
          <t>OFFICIAL_PRIMARY</t>
        </is>
      </c>
      <c r="M238" s="9" t="inlineStr">
        <is>
          <t>OFFICIAL_AGGREGATE</t>
        </is>
      </c>
      <c r="N238" s="7" t="inlineStr">
        <is>
          <t>https://www.ande.gov.py/finanzas/2.%20COMPILACION%20ESTADISTICA%202003-2023/ANDE%20-%20Compilacion%20Estadistica%202003-2023.pdf</t>
        </is>
      </c>
      <c r="O238" s="12" t="n">
        <v>90</v>
      </c>
      <c r="P238" s="4" t="inlineStr">
        <is>
          <t>Serie de compilacion 2003-2023.</t>
        </is>
      </c>
    </row>
    <row r="239">
      <c r="A239" s="6" t="inlineStr">
        <is>
          <t>P00238</t>
        </is>
      </c>
      <c r="B239" s="6" t="inlineStr">
        <is>
          <t>2018-01-01</t>
        </is>
      </c>
      <c r="C239" s="6" t="inlineStr">
        <is>
          <t>2018-12-31</t>
        </is>
      </c>
      <c r="D239" s="6" t="inlineStr">
        <is>
          <t>year</t>
        </is>
      </c>
      <c r="E239" s="6" t="inlineStr">
        <is>
          <t>ANDE_TARIFF_NATIONAL_AVG</t>
        </is>
      </c>
      <c r="F239" s="6" t="inlineStr">
        <is>
          <t>PY_SIN</t>
        </is>
      </c>
      <c r="G239" s="6" t="inlineStr">
        <is>
          <t>PY</t>
        </is>
      </c>
      <c r="H239" s="8" t="n">
        <v>372.6</v>
      </c>
      <c r="I239" s="6" t="inlineStr">
        <is>
          <t>Gs/kWh</t>
        </is>
      </c>
      <c r="J239" s="6" t="inlineStr">
        <is>
          <t>PYG</t>
        </is>
      </c>
      <c r="K239" s="6" t="inlineStr">
        <is>
          <t>ANDE</t>
        </is>
      </c>
      <c r="L239" s="6" t="inlineStr">
        <is>
          <t>OFFICIAL_PRIMARY</t>
        </is>
      </c>
      <c r="M239" s="9" t="inlineStr">
        <is>
          <t>OFFICIAL_AGGREGATE</t>
        </is>
      </c>
      <c r="N239" s="7" t="inlineStr">
        <is>
          <t>https://www.ande.gov.py/finanzas/2.%20COMPILACION%20ESTADISTICA%202003-2023/ANDE%20-%20Compilacion%20Estadistica%202003-2023.pdf</t>
        </is>
      </c>
      <c r="O239" s="12" t="n">
        <v>90</v>
      </c>
      <c r="P239" s="4" t="inlineStr">
        <is>
          <t>Serie de compilacion 2003-2023.</t>
        </is>
      </c>
    </row>
    <row r="240">
      <c r="A240" s="6" t="inlineStr">
        <is>
          <t>P00239</t>
        </is>
      </c>
      <c r="B240" s="6" t="inlineStr">
        <is>
          <t>2019-01-01</t>
        </is>
      </c>
      <c r="C240" s="6" t="inlineStr">
        <is>
          <t>2019-12-31</t>
        </is>
      </c>
      <c r="D240" s="6" t="inlineStr">
        <is>
          <t>year</t>
        </is>
      </c>
      <c r="E240" s="6" t="inlineStr">
        <is>
          <t>ANDE_TARIFF_NATIONAL_AVG</t>
        </is>
      </c>
      <c r="F240" s="6" t="inlineStr">
        <is>
          <t>PY_SIN</t>
        </is>
      </c>
      <c r="G240" s="6" t="inlineStr">
        <is>
          <t>PY</t>
        </is>
      </c>
      <c r="H240" s="8" t="n">
        <v>383</v>
      </c>
      <c r="I240" s="6" t="inlineStr">
        <is>
          <t>Gs/kWh</t>
        </is>
      </c>
      <c r="J240" s="6" t="inlineStr">
        <is>
          <t>PYG</t>
        </is>
      </c>
      <c r="K240" s="6" t="inlineStr">
        <is>
          <t>ANDE</t>
        </is>
      </c>
      <c r="L240" s="6" t="inlineStr">
        <is>
          <t>OFFICIAL_PRIMARY</t>
        </is>
      </c>
      <c r="M240" s="9" t="inlineStr">
        <is>
          <t>OFFICIAL_AGGREGATE</t>
        </is>
      </c>
      <c r="N240" s="7" t="inlineStr">
        <is>
          <t>https://www.ande.gov.py/finanzas/2.%20COMPILACION%20ESTADISTICA%202003-2023/ANDE%20-%20Compilacion%20Estadistica%202003-2023.pdf</t>
        </is>
      </c>
      <c r="O240" s="12" t="n">
        <v>90</v>
      </c>
      <c r="P240" s="4" t="inlineStr">
        <is>
          <t>Serie de compilacion 2003-2023.</t>
        </is>
      </c>
    </row>
    <row r="241">
      <c r="A241" s="6" t="inlineStr">
        <is>
          <t>P00240</t>
        </is>
      </c>
      <c r="B241" s="6" t="inlineStr">
        <is>
          <t>2020-01-01</t>
        </is>
      </c>
      <c r="C241" s="6" t="inlineStr">
        <is>
          <t>2020-12-31</t>
        </is>
      </c>
      <c r="D241" s="6" t="inlineStr">
        <is>
          <t>year</t>
        </is>
      </c>
      <c r="E241" s="6" t="inlineStr">
        <is>
          <t>ANDE_TARIFF_NATIONAL_AVG</t>
        </is>
      </c>
      <c r="F241" s="6" t="inlineStr">
        <is>
          <t>PY_SIN</t>
        </is>
      </c>
      <c r="G241" s="6" t="inlineStr">
        <is>
          <t>PY</t>
        </is>
      </c>
      <c r="H241" s="8" t="n">
        <v>378.4</v>
      </c>
      <c r="I241" s="6" t="inlineStr">
        <is>
          <t>Gs/kWh</t>
        </is>
      </c>
      <c r="J241" s="6" t="inlineStr">
        <is>
          <t>PYG</t>
        </is>
      </c>
      <c r="K241" s="6" t="inlineStr">
        <is>
          <t>ANDE</t>
        </is>
      </c>
      <c r="L241" s="6" t="inlineStr">
        <is>
          <t>OFFICIAL_PRIMARY</t>
        </is>
      </c>
      <c r="M241" s="9" t="inlineStr">
        <is>
          <t>OFFICIAL_AGGREGATE</t>
        </is>
      </c>
      <c r="N241" s="7" t="inlineStr">
        <is>
          <t>https://www.ande.gov.py/finanzas/2.%20COMPILACION%20ESTADISTICA%202003-2023/ANDE%20-%20Compilacion%20Estadistica%202003-2023.pdf</t>
        </is>
      </c>
      <c r="O241" s="12" t="n">
        <v>90</v>
      </c>
      <c r="P241" s="4" t="inlineStr">
        <is>
          <t>Serie de compilacion 2003-2023.</t>
        </is>
      </c>
    </row>
    <row r="242">
      <c r="A242" s="6" t="inlineStr">
        <is>
          <t>P00241</t>
        </is>
      </c>
      <c r="B242" s="6" t="inlineStr">
        <is>
          <t>2021-01-01</t>
        </is>
      </c>
      <c r="C242" s="6" t="inlineStr">
        <is>
          <t>2021-12-31</t>
        </is>
      </c>
      <c r="D242" s="6" t="inlineStr">
        <is>
          <t>year</t>
        </is>
      </c>
      <c r="E242" s="6" t="inlineStr">
        <is>
          <t>ANDE_TARIFF_NATIONAL_AVG</t>
        </is>
      </c>
      <c r="F242" s="6" t="inlineStr">
        <is>
          <t>PY_SIN</t>
        </is>
      </c>
      <c r="G242" s="6" t="inlineStr">
        <is>
          <t>PY</t>
        </is>
      </c>
      <c r="H242" s="8" t="n">
        <v>373.2</v>
      </c>
      <c r="I242" s="6" t="inlineStr">
        <is>
          <t>Gs/kWh</t>
        </is>
      </c>
      <c r="J242" s="6" t="inlineStr">
        <is>
          <t>PYG</t>
        </is>
      </c>
      <c r="K242" s="6" t="inlineStr">
        <is>
          <t>ANDE</t>
        </is>
      </c>
      <c r="L242" s="6" t="inlineStr">
        <is>
          <t>OFFICIAL_PRIMARY</t>
        </is>
      </c>
      <c r="M242" s="9" t="inlineStr">
        <is>
          <t>OFFICIAL_AGGREGATE</t>
        </is>
      </c>
      <c r="N242" s="7" t="inlineStr">
        <is>
          <t>https://www.ande.gov.py/finanzas/2.%20COMPILACION%20ESTADISTICA%202003-2023/ANDE%20-%20Compilacion%20Estadistica%202003-2023.pdf</t>
        </is>
      </c>
      <c r="O242" s="12" t="n">
        <v>90</v>
      </c>
      <c r="P242" s="4" t="inlineStr">
        <is>
          <t>Serie de compilacion 2003-2023.</t>
        </is>
      </c>
    </row>
    <row r="243">
      <c r="A243" s="6" t="inlineStr">
        <is>
          <t>P00242</t>
        </is>
      </c>
      <c r="B243" s="6" t="inlineStr">
        <is>
          <t>2022-01-01</t>
        </is>
      </c>
      <c r="C243" s="6" t="inlineStr">
        <is>
          <t>2022-12-31</t>
        </is>
      </c>
      <c r="D243" s="6" t="inlineStr">
        <is>
          <t>year</t>
        </is>
      </c>
      <c r="E243" s="6" t="inlineStr">
        <is>
          <t>ANDE_TARIFF_NATIONAL_AVG</t>
        </is>
      </c>
      <c r="F243" s="6" t="inlineStr">
        <is>
          <t>PY_SIN</t>
        </is>
      </c>
      <c r="G243" s="6" t="inlineStr">
        <is>
          <t>PY</t>
        </is>
      </c>
      <c r="H243" s="8" t="n">
        <v>373.2</v>
      </c>
      <c r="I243" s="6" t="inlineStr">
        <is>
          <t>Gs/kWh</t>
        </is>
      </c>
      <c r="J243" s="6" t="inlineStr">
        <is>
          <t>PYG</t>
        </is>
      </c>
      <c r="K243" s="6" t="inlineStr">
        <is>
          <t>ANDE</t>
        </is>
      </c>
      <c r="L243" s="6" t="inlineStr">
        <is>
          <t>OFFICIAL_PRIMARY</t>
        </is>
      </c>
      <c r="M243" s="9" t="inlineStr">
        <is>
          <t>OFFICIAL_AGGREGATE</t>
        </is>
      </c>
      <c r="N243" s="7" t="inlineStr">
        <is>
          <t>https://www.ande.gov.py/finanzas/2.%20COMPILACION%20ESTADISTICA%202003-2023/ANDE%20-%20Compilacion%20Estadistica%202003-2023.pdf</t>
        </is>
      </c>
      <c r="O243" s="12" t="n">
        <v>90</v>
      </c>
      <c r="P243" s="4" t="inlineStr">
        <is>
          <t>Serie de compilacion 2003-2023.</t>
        </is>
      </c>
    </row>
    <row r="244">
      <c r="A244" s="6" t="inlineStr">
        <is>
          <t>P00243</t>
        </is>
      </c>
      <c r="B244" s="6" t="inlineStr">
        <is>
          <t>2023-01-01</t>
        </is>
      </c>
      <c r="C244" s="6" t="inlineStr">
        <is>
          <t>2023-12-31</t>
        </is>
      </c>
      <c r="D244" s="6" t="inlineStr">
        <is>
          <t>year</t>
        </is>
      </c>
      <c r="E244" s="6" t="inlineStr">
        <is>
          <t>ANDE_TARIFF_NATIONAL_AVG</t>
        </is>
      </c>
      <c r="F244" s="6" t="inlineStr">
        <is>
          <t>PY_SIN</t>
        </is>
      </c>
      <c r="G244" s="6" t="inlineStr">
        <is>
          <t>PY</t>
        </is>
      </c>
      <c r="H244" s="8" t="n">
        <v>369.2</v>
      </c>
      <c r="I244" s="6" t="inlineStr">
        <is>
          <t>Gs/kWh</t>
        </is>
      </c>
      <c r="J244" s="6" t="inlineStr">
        <is>
          <t>PYG</t>
        </is>
      </c>
      <c r="K244" s="6" t="inlineStr">
        <is>
          <t>ANDE</t>
        </is>
      </c>
      <c r="L244" s="6" t="inlineStr">
        <is>
          <t>OFFICIAL_PRIMARY</t>
        </is>
      </c>
      <c r="M244" s="9" t="inlineStr">
        <is>
          <t>OFFICIAL_AGGREGATE</t>
        </is>
      </c>
      <c r="N244" s="7" t="inlineStr">
        <is>
          <t>https://www.ande.gov.py/finanzas/2.%20COMPILACION%20ESTADISTICA%202003-2023/ANDE%20-%20Compilacion%20Estadistica%202003-2023.pdf</t>
        </is>
      </c>
      <c r="O244" s="12" t="n">
        <v>90</v>
      </c>
      <c r="P244" s="4" t="inlineStr">
        <is>
          <t>Serie de compilacion 2003-2023.</t>
        </is>
      </c>
    </row>
    <row r="245">
      <c r="A245" s="6" t="inlineStr">
        <is>
          <t>P00244</t>
        </is>
      </c>
      <c r="B245" s="6" t="inlineStr">
        <is>
          <t>2003-01-01</t>
        </is>
      </c>
      <c r="C245" s="6" t="inlineStr">
        <is>
          <t>2003-12-31</t>
        </is>
      </c>
      <c r="D245" s="6" t="inlineStr">
        <is>
          <t>year</t>
        </is>
      </c>
      <c r="E245" s="6" t="inlineStr">
        <is>
          <t>ANDE_TARIFF_EXPORT_AVG</t>
        </is>
      </c>
      <c r="F245" s="6" t="inlineStr">
        <is>
          <t>PY_SIN</t>
        </is>
      </c>
      <c r="G245" s="6" t="inlineStr">
        <is>
          <t>PY</t>
        </is>
      </c>
      <c r="H245" s="8" t="n">
        <v>57.8</v>
      </c>
      <c r="I245" s="6" t="inlineStr">
        <is>
          <t>Gs/kWh</t>
        </is>
      </c>
      <c r="J245" s="6" t="inlineStr">
        <is>
          <t>PYG</t>
        </is>
      </c>
      <c r="K245" s="6" t="inlineStr">
        <is>
          <t>ANDE</t>
        </is>
      </c>
      <c r="L245" s="6" t="inlineStr">
        <is>
          <t>OFFICIAL_PRIMARY</t>
        </is>
      </c>
      <c r="M245" s="9" t="inlineStr">
        <is>
          <t>OFFICIAL_AGGREGATE</t>
        </is>
      </c>
      <c r="N245" s="7" t="inlineStr">
        <is>
          <t>https://www.ande.gov.py/finanzas/2.%20COMPILACION%20ESTADISTICA%202003-2023/ANDE%20-%20Compilacion%20Estadistica%202003-2023.pdf</t>
        </is>
      </c>
      <c r="O245" s="12" t="n">
        <v>90</v>
      </c>
      <c r="P245" s="4" t="inlineStr">
        <is>
          <t>Serie de compilacion 2003-2023.</t>
        </is>
      </c>
    </row>
    <row r="246">
      <c r="A246" s="6" t="inlineStr">
        <is>
          <t>P00245</t>
        </is>
      </c>
      <c r="B246" s="6" t="inlineStr">
        <is>
          <t>2004-01-01</t>
        </is>
      </c>
      <c r="C246" s="6" t="inlineStr">
        <is>
          <t>2004-12-31</t>
        </is>
      </c>
      <c r="D246" s="6" t="inlineStr">
        <is>
          <t>year</t>
        </is>
      </c>
      <c r="E246" s="6" t="inlineStr">
        <is>
          <t>ANDE_TARIFF_EXPORT_AVG</t>
        </is>
      </c>
      <c r="F246" s="6" t="inlineStr">
        <is>
          <t>PY_SIN</t>
        </is>
      </c>
      <c r="G246" s="6" t="inlineStr">
        <is>
          <t>PY</t>
        </is>
      </c>
      <c r="H246" s="8" t="n">
        <v>67.90000000000001</v>
      </c>
      <c r="I246" s="6" t="inlineStr">
        <is>
          <t>Gs/kWh</t>
        </is>
      </c>
      <c r="J246" s="6" t="inlineStr">
        <is>
          <t>PYG</t>
        </is>
      </c>
      <c r="K246" s="6" t="inlineStr">
        <is>
          <t>ANDE</t>
        </is>
      </c>
      <c r="L246" s="6" t="inlineStr">
        <is>
          <t>OFFICIAL_PRIMARY</t>
        </is>
      </c>
      <c r="M246" s="9" t="inlineStr">
        <is>
          <t>OFFICIAL_AGGREGATE</t>
        </is>
      </c>
      <c r="N246" s="7" t="inlineStr">
        <is>
          <t>https://www.ande.gov.py/finanzas/2.%20COMPILACION%20ESTADISTICA%202003-2023/ANDE%20-%20Compilacion%20Estadistica%202003-2023.pdf</t>
        </is>
      </c>
      <c r="O246" s="12" t="n">
        <v>90</v>
      </c>
      <c r="P246" s="4" t="inlineStr">
        <is>
          <t>Serie de compilacion 2003-2023.</t>
        </is>
      </c>
    </row>
    <row r="247">
      <c r="A247" s="6" t="inlineStr">
        <is>
          <t>P00246</t>
        </is>
      </c>
      <c r="B247" s="6" t="inlineStr">
        <is>
          <t>2005-01-01</t>
        </is>
      </c>
      <c r="C247" s="6" t="inlineStr">
        <is>
          <t>2005-12-31</t>
        </is>
      </c>
      <c r="D247" s="6" t="inlineStr">
        <is>
          <t>year</t>
        </is>
      </c>
      <c r="E247" s="6" t="inlineStr">
        <is>
          <t>ANDE_TARIFF_EXPORT_AVG</t>
        </is>
      </c>
      <c r="F247" s="6" t="inlineStr">
        <is>
          <t>PY_SIN</t>
        </is>
      </c>
      <c r="G247" s="6" t="inlineStr">
        <is>
          <t>PY</t>
        </is>
      </c>
      <c r="H247" s="8" t="n">
        <v>83.90000000000001</v>
      </c>
      <c r="I247" s="6" t="inlineStr">
        <is>
          <t>Gs/kWh</t>
        </is>
      </c>
      <c r="J247" s="6" t="inlineStr">
        <is>
          <t>PYG</t>
        </is>
      </c>
      <c r="K247" s="6" t="inlineStr">
        <is>
          <t>ANDE</t>
        </is>
      </c>
      <c r="L247" s="6" t="inlineStr">
        <is>
          <t>OFFICIAL_PRIMARY</t>
        </is>
      </c>
      <c r="M247" s="9" t="inlineStr">
        <is>
          <t>OFFICIAL_AGGREGATE</t>
        </is>
      </c>
      <c r="N247" s="7" t="inlineStr">
        <is>
          <t>https://www.ande.gov.py/finanzas/2.%20COMPILACION%20ESTADISTICA%202003-2023/ANDE%20-%20Compilacion%20Estadistica%202003-2023.pdf</t>
        </is>
      </c>
      <c r="O247" s="12" t="n">
        <v>90</v>
      </c>
      <c r="P247" s="4" t="inlineStr">
        <is>
          <t>Serie de compilacion 2003-2023.</t>
        </is>
      </c>
    </row>
    <row r="248">
      <c r="A248" s="6" t="inlineStr">
        <is>
          <t>P00247</t>
        </is>
      </c>
      <c r="B248" s="6" t="inlineStr">
        <is>
          <t>2006-01-01</t>
        </is>
      </c>
      <c r="C248" s="6" t="inlineStr">
        <is>
          <t>2006-12-31</t>
        </is>
      </c>
      <c r="D248" s="6" t="inlineStr">
        <is>
          <t>year</t>
        </is>
      </c>
      <c r="E248" s="6" t="inlineStr">
        <is>
          <t>ANDE_TARIFF_EXPORT_AVG</t>
        </is>
      </c>
      <c r="F248" s="6" t="inlineStr">
        <is>
          <t>PY_SIN</t>
        </is>
      </c>
      <c r="G248" s="6" t="inlineStr">
        <is>
          <t>PY</t>
        </is>
      </c>
      <c r="H248" s="8" t="n">
        <v>87</v>
      </c>
      <c r="I248" s="6" t="inlineStr">
        <is>
          <t>Gs/kWh</t>
        </is>
      </c>
      <c r="J248" s="6" t="inlineStr">
        <is>
          <t>PYG</t>
        </is>
      </c>
      <c r="K248" s="6" t="inlineStr">
        <is>
          <t>ANDE</t>
        </is>
      </c>
      <c r="L248" s="6" t="inlineStr">
        <is>
          <t>OFFICIAL_PRIMARY</t>
        </is>
      </c>
      <c r="M248" s="9" t="inlineStr">
        <is>
          <t>OFFICIAL_AGGREGATE</t>
        </is>
      </c>
      <c r="N248" s="7" t="inlineStr">
        <is>
          <t>https://www.ande.gov.py/finanzas/2.%20COMPILACION%20ESTADISTICA%202003-2023/ANDE%20-%20Compilacion%20Estadistica%202003-2023.pdf</t>
        </is>
      </c>
      <c r="O248" s="12" t="n">
        <v>90</v>
      </c>
      <c r="P248" s="4" t="inlineStr">
        <is>
          <t>Serie de compilacion 2003-2023.</t>
        </is>
      </c>
    </row>
    <row r="249">
      <c r="A249" s="6" t="inlineStr">
        <is>
          <t>P00248</t>
        </is>
      </c>
      <c r="B249" s="6" t="inlineStr">
        <is>
          <t>2007-01-01</t>
        </is>
      </c>
      <c r="C249" s="6" t="inlineStr">
        <is>
          <t>2007-12-31</t>
        </is>
      </c>
      <c r="D249" s="6" t="inlineStr">
        <is>
          <t>year</t>
        </is>
      </c>
      <c r="E249" s="6" t="inlineStr">
        <is>
          <t>ANDE_TARIFF_EXPORT_AVG</t>
        </is>
      </c>
      <c r="F249" s="6" t="inlineStr">
        <is>
          <t>PY_SIN</t>
        </is>
      </c>
      <c r="G249" s="6" t="inlineStr">
        <is>
          <t>PY</t>
        </is>
      </c>
      <c r="H249" s="8" t="n">
        <v>94.2</v>
      </c>
      <c r="I249" s="6" t="inlineStr">
        <is>
          <t>Gs/kWh</t>
        </is>
      </c>
      <c r="J249" s="6" t="inlineStr">
        <is>
          <t>PYG</t>
        </is>
      </c>
      <c r="K249" s="6" t="inlineStr">
        <is>
          <t>ANDE</t>
        </is>
      </c>
      <c r="L249" s="6" t="inlineStr">
        <is>
          <t>OFFICIAL_PRIMARY</t>
        </is>
      </c>
      <c r="M249" s="9" t="inlineStr">
        <is>
          <t>OFFICIAL_AGGREGATE</t>
        </is>
      </c>
      <c r="N249" s="7" t="inlineStr">
        <is>
          <t>https://www.ande.gov.py/finanzas/2.%20COMPILACION%20ESTADISTICA%202003-2023/ANDE%20-%20Compilacion%20Estadistica%202003-2023.pdf</t>
        </is>
      </c>
      <c r="O249" s="12" t="n">
        <v>90</v>
      </c>
      <c r="P249" s="4" t="inlineStr">
        <is>
          <t>Serie de compilacion 2003-2023.</t>
        </is>
      </c>
    </row>
    <row r="250">
      <c r="A250" s="6" t="inlineStr">
        <is>
          <t>P00249</t>
        </is>
      </c>
      <c r="B250" s="6" t="inlineStr">
        <is>
          <t>2008-01-01</t>
        </is>
      </c>
      <c r="C250" s="6" t="inlineStr">
        <is>
          <t>2008-12-31</t>
        </is>
      </c>
      <c r="D250" s="6" t="inlineStr">
        <is>
          <t>year</t>
        </is>
      </c>
      <c r="E250" s="6" t="inlineStr">
        <is>
          <t>ANDE_TARIFF_EXPORT_AVG</t>
        </is>
      </c>
      <c r="F250" s="6" t="inlineStr">
        <is>
          <t>PY_SIN</t>
        </is>
      </c>
      <c r="G250" s="6" t="inlineStr">
        <is>
          <t>PY</t>
        </is>
      </c>
      <c r="H250" s="8" t="n">
        <v>111</v>
      </c>
      <c r="I250" s="6" t="inlineStr">
        <is>
          <t>Gs/kWh</t>
        </is>
      </c>
      <c r="J250" s="6" t="inlineStr">
        <is>
          <t>PYG</t>
        </is>
      </c>
      <c r="K250" s="6" t="inlineStr">
        <is>
          <t>ANDE</t>
        </is>
      </c>
      <c r="L250" s="6" t="inlineStr">
        <is>
          <t>OFFICIAL_PRIMARY</t>
        </is>
      </c>
      <c r="M250" s="9" t="inlineStr">
        <is>
          <t>OFFICIAL_AGGREGATE</t>
        </is>
      </c>
      <c r="N250" s="7" t="inlineStr">
        <is>
          <t>https://www.ande.gov.py/finanzas/2.%20COMPILACION%20ESTADISTICA%202003-2023/ANDE%20-%20Compilacion%20Estadistica%202003-2023.pdf</t>
        </is>
      </c>
      <c r="O250" s="12" t="n">
        <v>90</v>
      </c>
      <c r="P250" s="4" t="inlineStr">
        <is>
          <t>Serie de compilacion 2003-2023.</t>
        </is>
      </c>
    </row>
    <row r="251">
      <c r="A251" s="6" t="inlineStr">
        <is>
          <t>P00250</t>
        </is>
      </c>
      <c r="B251" s="6" t="inlineStr">
        <is>
          <t>2009-01-01</t>
        </is>
      </c>
      <c r="C251" s="6" t="inlineStr">
        <is>
          <t>2009-12-31</t>
        </is>
      </c>
      <c r="D251" s="6" t="inlineStr">
        <is>
          <t>year</t>
        </is>
      </c>
      <c r="E251" s="6" t="inlineStr">
        <is>
          <t>ANDE_TARIFF_EXPORT_AVG</t>
        </is>
      </c>
      <c r="F251" s="6" t="inlineStr">
        <is>
          <t>PY_SIN</t>
        </is>
      </c>
      <c r="G251" s="6" t="inlineStr">
        <is>
          <t>PY</t>
        </is>
      </c>
      <c r="H251" s="8" t="n">
        <v>267.5</v>
      </c>
      <c r="I251" s="6" t="inlineStr">
        <is>
          <t>Gs/kWh</t>
        </is>
      </c>
      <c r="J251" s="6" t="inlineStr">
        <is>
          <t>PYG</t>
        </is>
      </c>
      <c r="K251" s="6" t="inlineStr">
        <is>
          <t>ANDE</t>
        </is>
      </c>
      <c r="L251" s="6" t="inlineStr">
        <is>
          <t>OFFICIAL_PRIMARY</t>
        </is>
      </c>
      <c r="M251" s="9" t="inlineStr">
        <is>
          <t>OFFICIAL_AGGREGATE</t>
        </is>
      </c>
      <c r="N251" s="7" t="inlineStr">
        <is>
          <t>https://www.ande.gov.py/finanzas/2.%20COMPILACION%20ESTADISTICA%202003-2023/ANDE%20-%20Compilacion%20Estadistica%202003-2023.pdf</t>
        </is>
      </c>
      <c r="O251" s="12" t="n">
        <v>90</v>
      </c>
      <c r="P251" s="4" t="inlineStr">
        <is>
          <t>Serie de compilacion 2003-2023.</t>
        </is>
      </c>
    </row>
    <row r="252">
      <c r="A252" s="6" t="inlineStr">
        <is>
          <t>P00251</t>
        </is>
      </c>
      <c r="B252" s="6" t="inlineStr">
        <is>
          <t>2010-01-01</t>
        </is>
      </c>
      <c r="C252" s="6" t="inlineStr">
        <is>
          <t>2010-12-31</t>
        </is>
      </c>
      <c r="D252" s="6" t="inlineStr">
        <is>
          <t>year</t>
        </is>
      </c>
      <c r="E252" s="6" t="inlineStr">
        <is>
          <t>ANDE_TARIFF_EXPORT_AVG</t>
        </is>
      </c>
      <c r="F252" s="6" t="inlineStr">
        <is>
          <t>PY_SIN</t>
        </is>
      </c>
      <c r="G252" s="6" t="inlineStr">
        <is>
          <t>PY</t>
        </is>
      </c>
      <c r="H252" s="8" t="n">
        <v>255.6</v>
      </c>
      <c r="I252" s="6" t="inlineStr">
        <is>
          <t>Gs/kWh</t>
        </is>
      </c>
      <c r="J252" s="6" t="inlineStr">
        <is>
          <t>PYG</t>
        </is>
      </c>
      <c r="K252" s="6" t="inlineStr">
        <is>
          <t>ANDE</t>
        </is>
      </c>
      <c r="L252" s="6" t="inlineStr">
        <is>
          <t>OFFICIAL_PRIMARY</t>
        </is>
      </c>
      <c r="M252" s="9" t="inlineStr">
        <is>
          <t>OFFICIAL_AGGREGATE</t>
        </is>
      </c>
      <c r="N252" s="7" t="inlineStr">
        <is>
          <t>https://www.ande.gov.py/finanzas/2.%20COMPILACION%20ESTADISTICA%202003-2023/ANDE%20-%20Compilacion%20Estadistica%202003-2023.pdf</t>
        </is>
      </c>
      <c r="O252" s="12" t="n">
        <v>90</v>
      </c>
      <c r="P252" s="4" t="inlineStr">
        <is>
          <t>Serie de compilacion 2003-2023.</t>
        </is>
      </c>
    </row>
    <row r="253">
      <c r="A253" s="6" t="inlineStr">
        <is>
          <t>P00252</t>
        </is>
      </c>
      <c r="B253" s="6" t="inlineStr">
        <is>
          <t>2011-01-01</t>
        </is>
      </c>
      <c r="C253" s="6" t="inlineStr">
        <is>
          <t>2011-12-31</t>
        </is>
      </c>
      <c r="D253" s="6" t="inlineStr">
        <is>
          <t>year</t>
        </is>
      </c>
      <c r="E253" s="6" t="inlineStr">
        <is>
          <t>ANDE_TARIFF_EXPORT_AVG</t>
        </is>
      </c>
      <c r="F253" s="6" t="inlineStr">
        <is>
          <t>PY_SIN</t>
        </is>
      </c>
      <c r="G253" s="6" t="inlineStr">
        <is>
          <t>PY</t>
        </is>
      </c>
      <c r="H253" s="8" t="n">
        <v>311.1</v>
      </c>
      <c r="I253" s="6" t="inlineStr">
        <is>
          <t>Gs/kWh</t>
        </is>
      </c>
      <c r="J253" s="6" t="inlineStr">
        <is>
          <t>PYG</t>
        </is>
      </c>
      <c r="K253" s="6" t="inlineStr">
        <is>
          <t>ANDE</t>
        </is>
      </c>
      <c r="L253" s="6" t="inlineStr">
        <is>
          <t>OFFICIAL_PRIMARY</t>
        </is>
      </c>
      <c r="M253" s="9" t="inlineStr">
        <is>
          <t>OFFICIAL_AGGREGATE</t>
        </is>
      </c>
      <c r="N253" s="7" t="inlineStr">
        <is>
          <t>https://www.ande.gov.py/finanzas/2.%20COMPILACION%20ESTADISTICA%202003-2023/ANDE%20-%20Compilacion%20Estadistica%202003-2023.pdf</t>
        </is>
      </c>
      <c r="O253" s="12" t="n">
        <v>90</v>
      </c>
      <c r="P253" s="4" t="inlineStr">
        <is>
          <t>Serie de compilacion 2003-2023.</t>
        </is>
      </c>
    </row>
    <row r="254">
      <c r="A254" s="6" t="inlineStr">
        <is>
          <t>P00253</t>
        </is>
      </c>
      <c r="B254" s="6" t="inlineStr">
        <is>
          <t>2012-01-01</t>
        </is>
      </c>
      <c r="C254" s="6" t="inlineStr">
        <is>
          <t>2012-12-31</t>
        </is>
      </c>
      <c r="D254" s="6" t="inlineStr">
        <is>
          <t>year</t>
        </is>
      </c>
      <c r="E254" s="6" t="inlineStr">
        <is>
          <t>ANDE_TARIFF_EXPORT_AVG</t>
        </is>
      </c>
      <c r="F254" s="6" t="inlineStr">
        <is>
          <t>PY_SIN</t>
        </is>
      </c>
      <c r="G254" s="6" t="inlineStr">
        <is>
          <t>PY</t>
        </is>
      </c>
      <c r="H254" s="8" t="n">
        <v>615.1</v>
      </c>
      <c r="I254" s="6" t="inlineStr">
        <is>
          <t>Gs/kWh</t>
        </is>
      </c>
      <c r="J254" s="6" t="inlineStr">
        <is>
          <t>PYG</t>
        </is>
      </c>
      <c r="K254" s="6" t="inlineStr">
        <is>
          <t>ANDE</t>
        </is>
      </c>
      <c r="L254" s="6" t="inlineStr">
        <is>
          <t>OFFICIAL_PRIMARY</t>
        </is>
      </c>
      <c r="M254" s="9" t="inlineStr">
        <is>
          <t>OFFICIAL_AGGREGATE</t>
        </is>
      </c>
      <c r="N254" s="7" t="inlineStr">
        <is>
          <t>https://www.ande.gov.py/finanzas/2.%20COMPILACION%20ESTADISTICA%202003-2023/ANDE%20-%20Compilacion%20Estadistica%202003-2023.pdf</t>
        </is>
      </c>
      <c r="O254" s="12" t="n">
        <v>90</v>
      </c>
      <c r="P254" s="4" t="inlineStr">
        <is>
          <t>Serie de compilacion 2003-2023.</t>
        </is>
      </c>
    </row>
    <row r="255">
      <c r="A255" s="6" t="inlineStr">
        <is>
          <t>P00254</t>
        </is>
      </c>
      <c r="B255" s="6" t="inlineStr">
        <is>
          <t>2013-01-01</t>
        </is>
      </c>
      <c r="C255" s="6" t="inlineStr">
        <is>
          <t>2013-12-31</t>
        </is>
      </c>
      <c r="D255" s="6" t="inlineStr">
        <is>
          <t>year</t>
        </is>
      </c>
      <c r="E255" s="6" t="inlineStr">
        <is>
          <t>ANDE_TARIFF_EXPORT_AVG</t>
        </is>
      </c>
      <c r="F255" s="6" t="inlineStr">
        <is>
          <t>PY_SIN</t>
        </is>
      </c>
      <c r="G255" s="6" t="inlineStr">
        <is>
          <t>PY</t>
        </is>
      </c>
      <c r="H255" s="8" t="n">
        <v>608.2</v>
      </c>
      <c r="I255" s="6" t="inlineStr">
        <is>
          <t>Gs/kWh</t>
        </is>
      </c>
      <c r="J255" s="6" t="inlineStr">
        <is>
          <t>PYG</t>
        </is>
      </c>
      <c r="K255" s="6" t="inlineStr">
        <is>
          <t>ANDE</t>
        </is>
      </c>
      <c r="L255" s="6" t="inlineStr">
        <is>
          <t>OFFICIAL_PRIMARY</t>
        </is>
      </c>
      <c r="M255" s="9" t="inlineStr">
        <is>
          <t>OFFICIAL_AGGREGATE</t>
        </is>
      </c>
      <c r="N255" s="7" t="inlineStr">
        <is>
          <t>https://www.ande.gov.py/finanzas/2.%20COMPILACION%20ESTADISTICA%202003-2023/ANDE%20-%20Compilacion%20Estadistica%202003-2023.pdf</t>
        </is>
      </c>
      <c r="O255" s="12" t="n">
        <v>90</v>
      </c>
      <c r="P255" s="4" t="inlineStr">
        <is>
          <t>Serie de compilacion 2003-2023.</t>
        </is>
      </c>
    </row>
    <row r="256">
      <c r="A256" s="6" t="inlineStr">
        <is>
          <t>P00255</t>
        </is>
      </c>
      <c r="B256" s="6" t="inlineStr">
        <is>
          <t>2014-01-01</t>
        </is>
      </c>
      <c r="C256" s="6" t="inlineStr">
        <is>
          <t>2014-12-31</t>
        </is>
      </c>
      <c r="D256" s="6" t="inlineStr">
        <is>
          <t>year</t>
        </is>
      </c>
      <c r="E256" s="6" t="inlineStr">
        <is>
          <t>ANDE_TARIFF_EXPORT_AVG</t>
        </is>
      </c>
      <c r="F256" s="6" t="inlineStr">
        <is>
          <t>PY_SIN</t>
        </is>
      </c>
      <c r="G256" s="6" t="inlineStr">
        <is>
          <t>PY</t>
        </is>
      </c>
      <c r="H256" s="8" t="n">
        <v>637.2</v>
      </c>
      <c r="I256" s="6" t="inlineStr">
        <is>
          <t>Gs/kWh</t>
        </is>
      </c>
      <c r="J256" s="6" t="inlineStr">
        <is>
          <t>PYG</t>
        </is>
      </c>
      <c r="K256" s="6" t="inlineStr">
        <is>
          <t>ANDE</t>
        </is>
      </c>
      <c r="L256" s="6" t="inlineStr">
        <is>
          <t>OFFICIAL_PRIMARY</t>
        </is>
      </c>
      <c r="M256" s="9" t="inlineStr">
        <is>
          <t>OFFICIAL_AGGREGATE</t>
        </is>
      </c>
      <c r="N256" s="7" t="inlineStr">
        <is>
          <t>https://www.ande.gov.py/finanzas/2.%20COMPILACION%20ESTADISTICA%202003-2023/ANDE%20-%20Compilacion%20Estadistica%202003-2023.pdf</t>
        </is>
      </c>
      <c r="O256" s="12" t="n">
        <v>90</v>
      </c>
      <c r="P256" s="4" t="inlineStr">
        <is>
          <t>Serie de compilacion 2003-2023.</t>
        </is>
      </c>
    </row>
    <row r="257">
      <c r="A257" s="6" t="inlineStr">
        <is>
          <t>P00256</t>
        </is>
      </c>
      <c r="B257" s="6" t="inlineStr">
        <is>
          <t>2015-01-01</t>
        </is>
      </c>
      <c r="C257" s="6" t="inlineStr">
        <is>
          <t>2015-12-31</t>
        </is>
      </c>
      <c r="D257" s="6" t="inlineStr">
        <is>
          <t>year</t>
        </is>
      </c>
      <c r="E257" s="6" t="inlineStr">
        <is>
          <t>ANDE_TARIFF_EXPORT_AVG</t>
        </is>
      </c>
      <c r="F257" s="6" t="inlineStr">
        <is>
          <t>PY_SIN</t>
        </is>
      </c>
      <c r="G257" s="6" t="inlineStr">
        <is>
          <t>PY</t>
        </is>
      </c>
      <c r="H257" s="8" t="n">
        <v>728.2</v>
      </c>
      <c r="I257" s="6" t="inlineStr">
        <is>
          <t>Gs/kWh</t>
        </is>
      </c>
      <c r="J257" s="6" t="inlineStr">
        <is>
          <t>PYG</t>
        </is>
      </c>
      <c r="K257" s="6" t="inlineStr">
        <is>
          <t>ANDE</t>
        </is>
      </c>
      <c r="L257" s="6" t="inlineStr">
        <is>
          <t>OFFICIAL_PRIMARY</t>
        </is>
      </c>
      <c r="M257" s="9" t="inlineStr">
        <is>
          <t>OFFICIAL_AGGREGATE</t>
        </is>
      </c>
      <c r="N257" s="7" t="inlineStr">
        <is>
          <t>https://www.ande.gov.py/finanzas/2.%20COMPILACION%20ESTADISTICA%202003-2023/ANDE%20-%20Compilacion%20Estadistica%202003-2023.pdf</t>
        </is>
      </c>
      <c r="O257" s="12" t="n">
        <v>90</v>
      </c>
      <c r="P257" s="4" t="inlineStr">
        <is>
          <t>Serie de compilacion 2003-2023.</t>
        </is>
      </c>
    </row>
    <row r="258">
      <c r="A258" s="6" t="inlineStr">
        <is>
          <t>P00257</t>
        </is>
      </c>
      <c r="B258" s="6" t="inlineStr">
        <is>
          <t>2016-01-01</t>
        </is>
      </c>
      <c r="C258" s="6" t="inlineStr">
        <is>
          <t>2016-12-31</t>
        </is>
      </c>
      <c r="D258" s="6" t="inlineStr">
        <is>
          <t>year</t>
        </is>
      </c>
      <c r="E258" s="6" t="inlineStr">
        <is>
          <t>ANDE_TARIFF_EXPORT_AVG</t>
        </is>
      </c>
      <c r="F258" s="6" t="inlineStr">
        <is>
          <t>PY_SIN</t>
        </is>
      </c>
      <c r="G258" s="6" t="inlineStr">
        <is>
          <t>PY</t>
        </is>
      </c>
      <c r="H258" s="8" t="n">
        <v>796.4</v>
      </c>
      <c r="I258" s="6" t="inlineStr">
        <is>
          <t>Gs/kWh</t>
        </is>
      </c>
      <c r="J258" s="6" t="inlineStr">
        <is>
          <t>PYG</t>
        </is>
      </c>
      <c r="K258" s="6" t="inlineStr">
        <is>
          <t>ANDE</t>
        </is>
      </c>
      <c r="L258" s="6" t="inlineStr">
        <is>
          <t>OFFICIAL_PRIMARY</t>
        </is>
      </c>
      <c r="M258" s="9" t="inlineStr">
        <is>
          <t>OFFICIAL_AGGREGATE</t>
        </is>
      </c>
      <c r="N258" s="7" t="inlineStr">
        <is>
          <t>https://www.ande.gov.py/finanzas/2.%20COMPILACION%20ESTADISTICA%202003-2023/ANDE%20-%20Compilacion%20Estadistica%202003-2023.pdf</t>
        </is>
      </c>
      <c r="O258" s="12" t="n">
        <v>90</v>
      </c>
      <c r="P258" s="4" t="inlineStr">
        <is>
          <t>Serie de compilacion 2003-2023.</t>
        </is>
      </c>
    </row>
    <row r="259">
      <c r="A259" s="6" t="inlineStr">
        <is>
          <t>P00258</t>
        </is>
      </c>
      <c r="B259" s="6" t="inlineStr">
        <is>
          <t>2017-01-01</t>
        </is>
      </c>
      <c r="C259" s="6" t="inlineStr">
        <is>
          <t>2017-12-31</t>
        </is>
      </c>
      <c r="D259" s="6" t="inlineStr">
        <is>
          <t>year</t>
        </is>
      </c>
      <c r="E259" s="6" t="inlineStr">
        <is>
          <t>ANDE_TARIFF_EXPORT_AVG</t>
        </is>
      </c>
      <c r="F259" s="6" t="inlineStr">
        <is>
          <t>PY_SIN</t>
        </is>
      </c>
      <c r="G259" s="6" t="inlineStr">
        <is>
          <t>PY</t>
        </is>
      </c>
      <c r="H259" s="8" t="n">
        <v>789.4</v>
      </c>
      <c r="I259" s="6" t="inlineStr">
        <is>
          <t>Gs/kWh</t>
        </is>
      </c>
      <c r="J259" s="6" t="inlineStr">
        <is>
          <t>PYG</t>
        </is>
      </c>
      <c r="K259" s="6" t="inlineStr">
        <is>
          <t>ANDE</t>
        </is>
      </c>
      <c r="L259" s="6" t="inlineStr">
        <is>
          <t>OFFICIAL_PRIMARY</t>
        </is>
      </c>
      <c r="M259" s="9" t="inlineStr">
        <is>
          <t>OFFICIAL_AGGREGATE</t>
        </is>
      </c>
      <c r="N259" s="7" t="inlineStr">
        <is>
          <t>https://www.ande.gov.py/finanzas/2.%20COMPILACION%20ESTADISTICA%202003-2023/ANDE%20-%20Compilacion%20Estadistica%202003-2023.pdf</t>
        </is>
      </c>
      <c r="O259" s="12" t="n">
        <v>90</v>
      </c>
      <c r="P259" s="4" t="inlineStr">
        <is>
          <t>Serie de compilacion 2003-2023.</t>
        </is>
      </c>
    </row>
    <row r="260">
      <c r="A260" s="6" t="inlineStr">
        <is>
          <t>P00259</t>
        </is>
      </c>
      <c r="B260" s="6" t="inlineStr">
        <is>
          <t>2018-01-01</t>
        </is>
      </c>
      <c r="C260" s="6" t="inlineStr">
        <is>
          <t>2018-12-31</t>
        </is>
      </c>
      <c r="D260" s="6" t="inlineStr">
        <is>
          <t>year</t>
        </is>
      </c>
      <c r="E260" s="6" t="inlineStr">
        <is>
          <t>ANDE_TARIFF_EXPORT_AVG</t>
        </is>
      </c>
      <c r="F260" s="6" t="inlineStr">
        <is>
          <t>PY_SIN</t>
        </is>
      </c>
      <c r="G260" s="6" t="inlineStr">
        <is>
          <t>PY</t>
        </is>
      </c>
      <c r="H260" s="8" t="n">
        <v>714.6</v>
      </c>
      <c r="I260" s="6" t="inlineStr">
        <is>
          <t>Gs/kWh</t>
        </is>
      </c>
      <c r="J260" s="6" t="inlineStr">
        <is>
          <t>PYG</t>
        </is>
      </c>
      <c r="K260" s="6" t="inlineStr">
        <is>
          <t>ANDE</t>
        </is>
      </c>
      <c r="L260" s="6" t="inlineStr">
        <is>
          <t>OFFICIAL_PRIMARY</t>
        </is>
      </c>
      <c r="M260" s="9" t="inlineStr">
        <is>
          <t>OFFICIAL_AGGREGATE</t>
        </is>
      </c>
      <c r="N260" s="7" t="inlineStr">
        <is>
          <t>https://www.ande.gov.py/finanzas/2.%20COMPILACION%20ESTADISTICA%202003-2023/ANDE%20-%20Compilacion%20Estadistica%202003-2023.pdf</t>
        </is>
      </c>
      <c r="O260" s="12" t="n">
        <v>90</v>
      </c>
      <c r="P260" s="4" t="inlineStr">
        <is>
          <t>Serie de compilacion 2003-2023.</t>
        </is>
      </c>
    </row>
    <row r="261">
      <c r="A261" s="6" t="inlineStr">
        <is>
          <t>P00260</t>
        </is>
      </c>
      <c r="B261" s="6" t="inlineStr">
        <is>
          <t>2019-01-01</t>
        </is>
      </c>
      <c r="C261" s="6" t="inlineStr">
        <is>
          <t>2019-12-31</t>
        </is>
      </c>
      <c r="D261" s="6" t="inlineStr">
        <is>
          <t>year</t>
        </is>
      </c>
      <c r="E261" s="6" t="inlineStr">
        <is>
          <t>ANDE_TARIFF_EXPORT_AVG</t>
        </is>
      </c>
      <c r="F261" s="6" t="inlineStr">
        <is>
          <t>PY_SIN</t>
        </is>
      </c>
      <c r="G261" s="6" t="inlineStr">
        <is>
          <t>PY</t>
        </is>
      </c>
      <c r="H261" s="8" t="n">
        <v>743.4</v>
      </c>
      <c r="I261" s="6" t="inlineStr">
        <is>
          <t>Gs/kWh</t>
        </is>
      </c>
      <c r="J261" s="6" t="inlineStr">
        <is>
          <t>PYG</t>
        </is>
      </c>
      <c r="K261" s="6" t="inlineStr">
        <is>
          <t>ANDE</t>
        </is>
      </c>
      <c r="L261" s="6" t="inlineStr">
        <is>
          <t>OFFICIAL_PRIMARY</t>
        </is>
      </c>
      <c r="M261" s="9" t="inlineStr">
        <is>
          <t>OFFICIAL_AGGREGATE</t>
        </is>
      </c>
      <c r="N261" s="7" t="inlineStr">
        <is>
          <t>https://www.ande.gov.py/finanzas/2.%20COMPILACION%20ESTADISTICA%202003-2023/ANDE%20-%20Compilacion%20Estadistica%202003-2023.pdf</t>
        </is>
      </c>
      <c r="O261" s="12" t="n">
        <v>90</v>
      </c>
      <c r="P261" s="4" t="inlineStr">
        <is>
          <t>Serie de compilacion 2003-2023.</t>
        </is>
      </c>
    </row>
    <row r="262">
      <c r="A262" s="6" t="inlineStr">
        <is>
          <t>P00261</t>
        </is>
      </c>
      <c r="B262" s="6" t="inlineStr">
        <is>
          <t>2020-01-01</t>
        </is>
      </c>
      <c r="C262" s="6" t="inlineStr">
        <is>
          <t>2020-12-31</t>
        </is>
      </c>
      <c r="D262" s="6" t="inlineStr">
        <is>
          <t>year</t>
        </is>
      </c>
      <c r="E262" s="6" t="inlineStr">
        <is>
          <t>ANDE_TARIFF_EXPORT_AVG</t>
        </is>
      </c>
      <c r="F262" s="6" t="inlineStr">
        <is>
          <t>PY_SIN</t>
        </is>
      </c>
      <c r="G262" s="6" t="inlineStr">
        <is>
          <t>PY</t>
        </is>
      </c>
      <c r="H262" s="8" t="n">
        <v>805.3</v>
      </c>
      <c r="I262" s="6" t="inlineStr">
        <is>
          <t>Gs/kWh</t>
        </is>
      </c>
      <c r="J262" s="6" t="inlineStr">
        <is>
          <t>PYG</t>
        </is>
      </c>
      <c r="K262" s="6" t="inlineStr">
        <is>
          <t>ANDE</t>
        </is>
      </c>
      <c r="L262" s="6" t="inlineStr">
        <is>
          <t>OFFICIAL_PRIMARY</t>
        </is>
      </c>
      <c r="M262" s="9" t="inlineStr">
        <is>
          <t>OFFICIAL_AGGREGATE</t>
        </is>
      </c>
      <c r="N262" s="7" t="inlineStr">
        <is>
          <t>https://www.ande.gov.py/finanzas/2.%20COMPILACION%20ESTADISTICA%202003-2023/ANDE%20-%20Compilacion%20Estadistica%202003-2023.pdf</t>
        </is>
      </c>
      <c r="O262" s="12" t="n">
        <v>90</v>
      </c>
      <c r="P262" s="4" t="inlineStr">
        <is>
          <t>Serie de compilacion 2003-2023.</t>
        </is>
      </c>
    </row>
    <row r="263">
      <c r="A263" s="6" t="inlineStr">
        <is>
          <t>P00262</t>
        </is>
      </c>
      <c r="B263" s="6" t="inlineStr">
        <is>
          <t>2021-01-01</t>
        </is>
      </c>
      <c r="C263" s="6" t="inlineStr">
        <is>
          <t>2021-12-31</t>
        </is>
      </c>
      <c r="D263" s="6" t="inlineStr">
        <is>
          <t>year</t>
        </is>
      </c>
      <c r="E263" s="6" t="inlineStr">
        <is>
          <t>ANDE_TARIFF_EXPORT_AVG</t>
        </is>
      </c>
      <c r="F263" s="6" t="inlineStr">
        <is>
          <t>PY_SIN</t>
        </is>
      </c>
      <c r="G263" s="6" t="inlineStr">
        <is>
          <t>PY</t>
        </is>
      </c>
      <c r="H263" s="8" t="n">
        <v>804.4</v>
      </c>
      <c r="I263" s="6" t="inlineStr">
        <is>
          <t>Gs/kWh</t>
        </is>
      </c>
      <c r="J263" s="6" t="inlineStr">
        <is>
          <t>PYG</t>
        </is>
      </c>
      <c r="K263" s="6" t="inlineStr">
        <is>
          <t>ANDE</t>
        </is>
      </c>
      <c r="L263" s="6" t="inlineStr">
        <is>
          <t>OFFICIAL_PRIMARY</t>
        </is>
      </c>
      <c r="M263" s="9" t="inlineStr">
        <is>
          <t>OFFICIAL_AGGREGATE</t>
        </is>
      </c>
      <c r="N263" s="7" t="inlineStr">
        <is>
          <t>https://www.ande.gov.py/finanzas/2.%20COMPILACION%20ESTADISTICA%202003-2023/ANDE%20-%20Compilacion%20Estadistica%202003-2023.pdf</t>
        </is>
      </c>
      <c r="O263" s="12" t="n">
        <v>90</v>
      </c>
      <c r="P263" s="4" t="inlineStr">
        <is>
          <t>Serie de compilacion 2003-2023.</t>
        </is>
      </c>
    </row>
    <row r="264">
      <c r="A264" s="6" t="inlineStr">
        <is>
          <t>P00263</t>
        </is>
      </c>
      <c r="B264" s="6" t="inlineStr">
        <is>
          <t>2022-01-01</t>
        </is>
      </c>
      <c r="C264" s="6" t="inlineStr">
        <is>
          <t>2022-12-31</t>
        </is>
      </c>
      <c r="D264" s="6" t="inlineStr">
        <is>
          <t>year</t>
        </is>
      </c>
      <c r="E264" s="6" t="inlineStr">
        <is>
          <t>ANDE_TARIFF_EXPORT_AVG</t>
        </is>
      </c>
      <c r="F264" s="6" t="inlineStr">
        <is>
          <t>PY_SIN</t>
        </is>
      </c>
      <c r="G264" s="6" t="inlineStr">
        <is>
          <t>PY</t>
        </is>
      </c>
      <c r="H264" s="8" t="n">
        <v>831.1</v>
      </c>
      <c r="I264" s="6" t="inlineStr">
        <is>
          <t>Gs/kWh</t>
        </is>
      </c>
      <c r="J264" s="6" t="inlineStr">
        <is>
          <t>PYG</t>
        </is>
      </c>
      <c r="K264" s="6" t="inlineStr">
        <is>
          <t>ANDE</t>
        </is>
      </c>
      <c r="L264" s="6" t="inlineStr">
        <is>
          <t>OFFICIAL_PRIMARY</t>
        </is>
      </c>
      <c r="M264" s="9" t="inlineStr">
        <is>
          <t>OFFICIAL_AGGREGATE</t>
        </is>
      </c>
      <c r="N264" s="7" t="inlineStr">
        <is>
          <t>https://www.ande.gov.py/finanzas/2.%20COMPILACION%20ESTADISTICA%202003-2023/ANDE%20-%20Compilacion%20Estadistica%202003-2023.pdf</t>
        </is>
      </c>
      <c r="O264" s="12" t="n">
        <v>90</v>
      </c>
      <c r="P264" s="4" t="inlineStr">
        <is>
          <t>Serie de compilacion 2003-2023.</t>
        </is>
      </c>
    </row>
    <row r="265">
      <c r="A265" s="6" t="inlineStr">
        <is>
          <t>P00264</t>
        </is>
      </c>
      <c r="B265" s="6" t="inlineStr">
        <is>
          <t>2023-01-01</t>
        </is>
      </c>
      <c r="C265" s="6" t="inlineStr">
        <is>
          <t>2023-12-31</t>
        </is>
      </c>
      <c r="D265" s="6" t="inlineStr">
        <is>
          <t>year</t>
        </is>
      </c>
      <c r="E265" s="6" t="inlineStr">
        <is>
          <t>ANDE_TARIFF_EXPORT_AVG</t>
        </is>
      </c>
      <c r="F265" s="6" t="inlineStr">
        <is>
          <t>PY_SIN</t>
        </is>
      </c>
      <c r="G265" s="6" t="inlineStr">
        <is>
          <t>PY</t>
        </is>
      </c>
      <c r="H265" s="8" t="n">
        <v>866.3</v>
      </c>
      <c r="I265" s="6" t="inlineStr">
        <is>
          <t>Gs/kWh</t>
        </is>
      </c>
      <c r="J265" s="6" t="inlineStr">
        <is>
          <t>PYG</t>
        </is>
      </c>
      <c r="K265" s="6" t="inlineStr">
        <is>
          <t>ANDE</t>
        </is>
      </c>
      <c r="L265" s="6" t="inlineStr">
        <is>
          <t>OFFICIAL_PRIMARY</t>
        </is>
      </c>
      <c r="M265" s="9" t="inlineStr">
        <is>
          <t>OFFICIAL_AGGREGATE</t>
        </is>
      </c>
      <c r="N265" s="7" t="inlineStr">
        <is>
          <t>https://www.ande.gov.py/finanzas/2.%20COMPILACION%20ESTADISTICA%202003-2023/ANDE%20-%20Compilacion%20Estadistica%202003-2023.pdf</t>
        </is>
      </c>
      <c r="O265" s="12" t="n">
        <v>90</v>
      </c>
      <c r="P265" s="4" t="inlineStr">
        <is>
          <t>Serie de compilacion 2003-2023.</t>
        </is>
      </c>
    </row>
    <row r="266">
      <c r="A266" s="6" t="inlineStr">
        <is>
          <t>P00265</t>
        </is>
      </c>
      <c r="B266" s="6" t="inlineStr">
        <is>
          <t>2003-01-01</t>
        </is>
      </c>
      <c r="C266" s="6" t="inlineStr">
        <is>
          <t>2003-12-31</t>
        </is>
      </c>
      <c r="D266" s="6" t="inlineStr">
        <is>
          <t>year</t>
        </is>
      </c>
      <c r="E266" s="6" t="inlineStr">
        <is>
          <t>ANDE_TARIFF_GENERAL_AVG</t>
        </is>
      </c>
      <c r="F266" s="6" t="inlineStr">
        <is>
          <t>PY_SIN</t>
        </is>
      </c>
      <c r="G266" s="6" t="inlineStr">
        <is>
          <t>PY</t>
        </is>
      </c>
      <c r="H266" s="8" t="n">
        <v>284.8</v>
      </c>
      <c r="I266" s="6" t="inlineStr">
        <is>
          <t>Gs/kWh</t>
        </is>
      </c>
      <c r="J266" s="6" t="inlineStr">
        <is>
          <t>PYG</t>
        </is>
      </c>
      <c r="K266" s="6" t="inlineStr">
        <is>
          <t>ANDE</t>
        </is>
      </c>
      <c r="L266" s="6" t="inlineStr">
        <is>
          <t>OFFICIAL_PRIMARY</t>
        </is>
      </c>
      <c r="M266" s="9" t="inlineStr">
        <is>
          <t>OFFICIAL_AGGREGATE</t>
        </is>
      </c>
      <c r="N266" s="7" t="inlineStr">
        <is>
          <t>https://www.ande.gov.py/finanzas/2.%20COMPILACION%20ESTADISTICA%202003-2023/ANDE%20-%20Compilacion%20Estadistica%202003-2023.pdf</t>
        </is>
      </c>
      <c r="O266" s="12" t="n">
        <v>90</v>
      </c>
      <c r="P266" s="4" t="inlineStr">
        <is>
          <t>Serie de compilacion 2003-2023.</t>
        </is>
      </c>
    </row>
    <row r="267">
      <c r="A267" s="6" t="inlineStr">
        <is>
          <t>P00266</t>
        </is>
      </c>
      <c r="B267" s="6" t="inlineStr">
        <is>
          <t>2004-01-01</t>
        </is>
      </c>
      <c r="C267" s="6" t="inlineStr">
        <is>
          <t>2004-12-31</t>
        </is>
      </c>
      <c r="D267" s="6" t="inlineStr">
        <is>
          <t>year</t>
        </is>
      </c>
      <c r="E267" s="6" t="inlineStr">
        <is>
          <t>ANDE_TARIFF_GENERAL_AVG</t>
        </is>
      </c>
      <c r="F267" s="6" t="inlineStr">
        <is>
          <t>PY_SIN</t>
        </is>
      </c>
      <c r="G267" s="6" t="inlineStr">
        <is>
          <t>PY</t>
        </is>
      </c>
      <c r="H267" s="8" t="n">
        <v>279.6</v>
      </c>
      <c r="I267" s="6" t="inlineStr">
        <is>
          <t>Gs/kWh</t>
        </is>
      </c>
      <c r="J267" s="6" t="inlineStr">
        <is>
          <t>PYG</t>
        </is>
      </c>
      <c r="K267" s="6" t="inlineStr">
        <is>
          <t>ANDE</t>
        </is>
      </c>
      <c r="L267" s="6" t="inlineStr">
        <is>
          <t>OFFICIAL_PRIMARY</t>
        </is>
      </c>
      <c r="M267" s="9" t="inlineStr">
        <is>
          <t>OFFICIAL_AGGREGATE</t>
        </is>
      </c>
      <c r="N267" s="7" t="inlineStr">
        <is>
          <t>https://www.ande.gov.py/finanzas/2.%20COMPILACION%20ESTADISTICA%202003-2023/ANDE%20-%20Compilacion%20Estadistica%202003-2023.pdf</t>
        </is>
      </c>
      <c r="O267" s="12" t="n">
        <v>90</v>
      </c>
      <c r="P267" s="4" t="inlineStr">
        <is>
          <t>Serie de compilacion 2003-2023.</t>
        </is>
      </c>
    </row>
    <row r="268">
      <c r="A268" s="6" t="inlineStr">
        <is>
          <t>P00267</t>
        </is>
      </c>
      <c r="B268" s="6" t="inlineStr">
        <is>
          <t>2005-01-01</t>
        </is>
      </c>
      <c r="C268" s="6" t="inlineStr">
        <is>
          <t>2005-12-31</t>
        </is>
      </c>
      <c r="D268" s="6" t="inlineStr">
        <is>
          <t>year</t>
        </is>
      </c>
      <c r="E268" s="6" t="inlineStr">
        <is>
          <t>ANDE_TARIFF_GENERAL_AVG</t>
        </is>
      </c>
      <c r="F268" s="6" t="inlineStr">
        <is>
          <t>PY_SIN</t>
        </is>
      </c>
      <c r="G268" s="6" t="inlineStr">
        <is>
          <t>PY</t>
        </is>
      </c>
      <c r="H268" s="8" t="n">
        <v>294.1</v>
      </c>
      <c r="I268" s="6" t="inlineStr">
        <is>
          <t>Gs/kWh</t>
        </is>
      </c>
      <c r="J268" s="6" t="inlineStr">
        <is>
          <t>PYG</t>
        </is>
      </c>
      <c r="K268" s="6" t="inlineStr">
        <is>
          <t>ANDE</t>
        </is>
      </c>
      <c r="L268" s="6" t="inlineStr">
        <is>
          <t>OFFICIAL_PRIMARY</t>
        </is>
      </c>
      <c r="M268" s="9" t="inlineStr">
        <is>
          <t>OFFICIAL_AGGREGATE</t>
        </is>
      </c>
      <c r="N268" s="7" t="inlineStr">
        <is>
          <t>https://www.ande.gov.py/finanzas/2.%20COMPILACION%20ESTADISTICA%202003-2023/ANDE%20-%20Compilacion%20Estadistica%202003-2023.pdf</t>
        </is>
      </c>
      <c r="O268" s="12" t="n">
        <v>90</v>
      </c>
      <c r="P268" s="4" t="inlineStr">
        <is>
          <t>Serie de compilacion 2003-2023.</t>
        </is>
      </c>
    </row>
    <row r="269">
      <c r="A269" s="6" t="inlineStr">
        <is>
          <t>P00268</t>
        </is>
      </c>
      <c r="B269" s="6" t="inlineStr">
        <is>
          <t>2006-01-01</t>
        </is>
      </c>
      <c r="C269" s="6" t="inlineStr">
        <is>
          <t>2006-12-31</t>
        </is>
      </c>
      <c r="D269" s="6" t="inlineStr">
        <is>
          <t>year</t>
        </is>
      </c>
      <c r="E269" s="6" t="inlineStr">
        <is>
          <t>ANDE_TARIFF_GENERAL_AVG</t>
        </is>
      </c>
      <c r="F269" s="6" t="inlineStr">
        <is>
          <t>PY_SIN</t>
        </is>
      </c>
      <c r="G269" s="6" t="inlineStr">
        <is>
          <t>PY</t>
        </is>
      </c>
      <c r="H269" s="8" t="n">
        <v>283.5</v>
      </c>
      <c r="I269" s="6" t="inlineStr">
        <is>
          <t>Gs/kWh</t>
        </is>
      </c>
      <c r="J269" s="6" t="inlineStr">
        <is>
          <t>PYG</t>
        </is>
      </c>
      <c r="K269" s="6" t="inlineStr">
        <is>
          <t>ANDE</t>
        </is>
      </c>
      <c r="L269" s="6" t="inlineStr">
        <is>
          <t>OFFICIAL_PRIMARY</t>
        </is>
      </c>
      <c r="M269" s="9" t="inlineStr">
        <is>
          <t>OFFICIAL_AGGREGATE</t>
        </is>
      </c>
      <c r="N269" s="7" t="inlineStr">
        <is>
          <t>https://www.ande.gov.py/finanzas/2.%20COMPILACION%20ESTADISTICA%202003-2023/ANDE%20-%20Compilacion%20Estadistica%202003-2023.pdf</t>
        </is>
      </c>
      <c r="O269" s="12" t="n">
        <v>90</v>
      </c>
      <c r="P269" s="4" t="inlineStr">
        <is>
          <t>Serie de compilacion 2003-2023.</t>
        </is>
      </c>
    </row>
    <row r="270">
      <c r="A270" s="6" t="inlineStr">
        <is>
          <t>P00269</t>
        </is>
      </c>
      <c r="B270" s="6" t="inlineStr">
        <is>
          <t>2007-01-01</t>
        </is>
      </c>
      <c r="C270" s="6" t="inlineStr">
        <is>
          <t>2007-12-31</t>
        </is>
      </c>
      <c r="D270" s="6" t="inlineStr">
        <is>
          <t>year</t>
        </is>
      </c>
      <c r="E270" s="6" t="inlineStr">
        <is>
          <t>ANDE_TARIFF_GENERAL_AVG</t>
        </is>
      </c>
      <c r="F270" s="6" t="inlineStr">
        <is>
          <t>PY_SIN</t>
        </is>
      </c>
      <c r="G270" s="6" t="inlineStr">
        <is>
          <t>PY</t>
        </is>
      </c>
      <c r="H270" s="8" t="n">
        <v>292.8</v>
      </c>
      <c r="I270" s="6" t="inlineStr">
        <is>
          <t>Gs/kWh</t>
        </is>
      </c>
      <c r="J270" s="6" t="inlineStr">
        <is>
          <t>PYG</t>
        </is>
      </c>
      <c r="K270" s="6" t="inlineStr">
        <is>
          <t>ANDE</t>
        </is>
      </c>
      <c r="L270" s="6" t="inlineStr">
        <is>
          <t>OFFICIAL_PRIMARY</t>
        </is>
      </c>
      <c r="M270" s="9" t="inlineStr">
        <is>
          <t>OFFICIAL_AGGREGATE</t>
        </is>
      </c>
      <c r="N270" s="7" t="inlineStr">
        <is>
          <t>https://www.ande.gov.py/finanzas/2.%20COMPILACION%20ESTADISTICA%202003-2023/ANDE%20-%20Compilacion%20Estadistica%202003-2023.pdf</t>
        </is>
      </c>
      <c r="O270" s="12" t="n">
        <v>90</v>
      </c>
      <c r="P270" s="4" t="inlineStr">
        <is>
          <t>Serie de compilacion 2003-2023.</t>
        </is>
      </c>
    </row>
    <row r="271">
      <c r="A271" s="6" t="inlineStr">
        <is>
          <t>P00270</t>
        </is>
      </c>
      <c r="B271" s="6" t="inlineStr">
        <is>
          <t>2008-01-01</t>
        </is>
      </c>
      <c r="C271" s="6" t="inlineStr">
        <is>
          <t>2008-12-31</t>
        </is>
      </c>
      <c r="D271" s="6" t="inlineStr">
        <is>
          <t>year</t>
        </is>
      </c>
      <c r="E271" s="6" t="inlineStr">
        <is>
          <t>ANDE_TARIFF_GENERAL_AVG</t>
        </is>
      </c>
      <c r="F271" s="6" t="inlineStr">
        <is>
          <t>PY_SIN</t>
        </is>
      </c>
      <c r="G271" s="6" t="inlineStr">
        <is>
          <t>PY</t>
        </is>
      </c>
      <c r="H271" s="8" t="n">
        <v>304.9</v>
      </c>
      <c r="I271" s="6" t="inlineStr">
        <is>
          <t>Gs/kWh</t>
        </is>
      </c>
      <c r="J271" s="6" t="inlineStr">
        <is>
          <t>PYG</t>
        </is>
      </c>
      <c r="K271" s="6" t="inlineStr">
        <is>
          <t>ANDE</t>
        </is>
      </c>
      <c r="L271" s="6" t="inlineStr">
        <is>
          <t>OFFICIAL_PRIMARY</t>
        </is>
      </c>
      <c r="M271" s="9" t="inlineStr">
        <is>
          <t>OFFICIAL_AGGREGATE</t>
        </is>
      </c>
      <c r="N271" s="7" t="inlineStr">
        <is>
          <t>https://www.ande.gov.py/finanzas/2.%20COMPILACION%20ESTADISTICA%202003-2023/ANDE%20-%20Compilacion%20Estadistica%202003-2023.pdf</t>
        </is>
      </c>
      <c r="O271" s="12" t="n">
        <v>90</v>
      </c>
      <c r="P271" s="4" t="inlineStr">
        <is>
          <t>Serie de compilacion 2003-2023.</t>
        </is>
      </c>
    </row>
    <row r="272">
      <c r="A272" s="6" t="inlineStr">
        <is>
          <t>P00271</t>
        </is>
      </c>
      <c r="B272" s="6" t="inlineStr">
        <is>
          <t>2009-01-01</t>
        </is>
      </c>
      <c r="C272" s="6" t="inlineStr">
        <is>
          <t>2009-12-31</t>
        </is>
      </c>
      <c r="D272" s="6" t="inlineStr">
        <is>
          <t>year</t>
        </is>
      </c>
      <c r="E272" s="6" t="inlineStr">
        <is>
          <t>ANDE_TARIFF_GENERAL_AVG</t>
        </is>
      </c>
      <c r="F272" s="6" t="inlineStr">
        <is>
          <t>PY_SIN</t>
        </is>
      </c>
      <c r="G272" s="6" t="inlineStr">
        <is>
          <t>PY</t>
        </is>
      </c>
      <c r="H272" s="8" t="n">
        <v>307.3</v>
      </c>
      <c r="I272" s="6" t="inlineStr">
        <is>
          <t>Gs/kWh</t>
        </is>
      </c>
      <c r="J272" s="6" t="inlineStr">
        <is>
          <t>PYG</t>
        </is>
      </c>
      <c r="K272" s="6" t="inlineStr">
        <is>
          <t>ANDE</t>
        </is>
      </c>
      <c r="L272" s="6" t="inlineStr">
        <is>
          <t>OFFICIAL_PRIMARY</t>
        </is>
      </c>
      <c r="M272" s="9" t="inlineStr">
        <is>
          <t>OFFICIAL_AGGREGATE</t>
        </is>
      </c>
      <c r="N272" s="7" t="inlineStr">
        <is>
          <t>https://www.ande.gov.py/finanzas/2.%20COMPILACION%20ESTADISTICA%202003-2023/ANDE%20-%20Compilacion%20Estadistica%202003-2023.pdf</t>
        </is>
      </c>
      <c r="O272" s="12" t="n">
        <v>90</v>
      </c>
      <c r="P272" s="4" t="inlineStr">
        <is>
          <t>Serie de compilacion 2003-2023.</t>
        </is>
      </c>
    </row>
    <row r="273">
      <c r="A273" s="6" t="inlineStr">
        <is>
          <t>P00272</t>
        </is>
      </c>
      <c r="B273" s="6" t="inlineStr">
        <is>
          <t>2010-01-01</t>
        </is>
      </c>
      <c r="C273" s="6" t="inlineStr">
        <is>
          <t>2010-12-31</t>
        </is>
      </c>
      <c r="D273" s="6" t="inlineStr">
        <is>
          <t>year</t>
        </is>
      </c>
      <c r="E273" s="6" t="inlineStr">
        <is>
          <t>ANDE_TARIFF_GENERAL_AVG</t>
        </is>
      </c>
      <c r="F273" s="6" t="inlineStr">
        <is>
          <t>PY_SIN</t>
        </is>
      </c>
      <c r="G273" s="6" t="inlineStr">
        <is>
          <t>PY</t>
        </is>
      </c>
      <c r="H273" s="8" t="n">
        <v>305</v>
      </c>
      <c r="I273" s="6" t="inlineStr">
        <is>
          <t>Gs/kWh</t>
        </is>
      </c>
      <c r="J273" s="6" t="inlineStr">
        <is>
          <t>PYG</t>
        </is>
      </c>
      <c r="K273" s="6" t="inlineStr">
        <is>
          <t>ANDE</t>
        </is>
      </c>
      <c r="L273" s="6" t="inlineStr">
        <is>
          <t>OFFICIAL_PRIMARY</t>
        </is>
      </c>
      <c r="M273" s="9" t="inlineStr">
        <is>
          <t>OFFICIAL_AGGREGATE</t>
        </is>
      </c>
      <c r="N273" s="7" t="inlineStr">
        <is>
          <t>https://www.ande.gov.py/finanzas/2.%20COMPILACION%20ESTADISTICA%202003-2023/ANDE%20-%20Compilacion%20Estadistica%202003-2023.pdf</t>
        </is>
      </c>
      <c r="O273" s="12" t="n">
        <v>90</v>
      </c>
      <c r="P273" s="4" t="inlineStr">
        <is>
          <t>Serie de compilacion 2003-2023.</t>
        </is>
      </c>
    </row>
    <row r="274">
      <c r="A274" s="6" t="inlineStr">
        <is>
          <t>P00273</t>
        </is>
      </c>
      <c r="B274" s="6" t="inlineStr">
        <is>
          <t>2011-01-01</t>
        </is>
      </c>
      <c r="C274" s="6" t="inlineStr">
        <is>
          <t>2011-12-31</t>
        </is>
      </c>
      <c r="D274" s="6" t="inlineStr">
        <is>
          <t>year</t>
        </is>
      </c>
      <c r="E274" s="6" t="inlineStr">
        <is>
          <t>ANDE_TARIFF_GENERAL_AVG</t>
        </is>
      </c>
      <c r="F274" s="6" t="inlineStr">
        <is>
          <t>PY_SIN</t>
        </is>
      </c>
      <c r="G274" s="6" t="inlineStr">
        <is>
          <t>PY</t>
        </is>
      </c>
      <c r="H274" s="8" t="n">
        <v>318.1</v>
      </c>
      <c r="I274" s="6" t="inlineStr">
        <is>
          <t>Gs/kWh</t>
        </is>
      </c>
      <c r="J274" s="6" t="inlineStr">
        <is>
          <t>PYG</t>
        </is>
      </c>
      <c r="K274" s="6" t="inlineStr">
        <is>
          <t>ANDE</t>
        </is>
      </c>
      <c r="L274" s="6" t="inlineStr">
        <is>
          <t>OFFICIAL_PRIMARY</t>
        </is>
      </c>
      <c r="M274" s="9" t="inlineStr">
        <is>
          <t>OFFICIAL_AGGREGATE</t>
        </is>
      </c>
      <c r="N274" s="7" t="inlineStr">
        <is>
          <t>https://www.ande.gov.py/finanzas/2.%20COMPILACION%20ESTADISTICA%202003-2023/ANDE%20-%20Compilacion%20Estadistica%202003-2023.pdf</t>
        </is>
      </c>
      <c r="O274" s="12" t="n">
        <v>90</v>
      </c>
      <c r="P274" s="4" t="inlineStr">
        <is>
          <t>Serie de compilacion 2003-2023.</t>
        </is>
      </c>
    </row>
    <row r="275">
      <c r="A275" s="6" t="inlineStr">
        <is>
          <t>P00274</t>
        </is>
      </c>
      <c r="B275" s="6" t="inlineStr">
        <is>
          <t>2012-01-01</t>
        </is>
      </c>
      <c r="C275" s="6" t="inlineStr">
        <is>
          <t>2012-12-31</t>
        </is>
      </c>
      <c r="D275" s="6" t="inlineStr">
        <is>
          <t>year</t>
        </is>
      </c>
      <c r="E275" s="6" t="inlineStr">
        <is>
          <t>ANDE_TARIFF_GENERAL_AVG</t>
        </is>
      </c>
      <c r="F275" s="6" t="inlineStr">
        <is>
          <t>PY_SIN</t>
        </is>
      </c>
      <c r="G275" s="6" t="inlineStr">
        <is>
          <t>PY</t>
        </is>
      </c>
      <c r="H275" s="8" t="n">
        <v>325.7</v>
      </c>
      <c r="I275" s="6" t="inlineStr">
        <is>
          <t>Gs/kWh</t>
        </is>
      </c>
      <c r="J275" s="6" t="inlineStr">
        <is>
          <t>PYG</t>
        </is>
      </c>
      <c r="K275" s="6" t="inlineStr">
        <is>
          <t>ANDE</t>
        </is>
      </c>
      <c r="L275" s="6" t="inlineStr">
        <is>
          <t>OFFICIAL_PRIMARY</t>
        </is>
      </c>
      <c r="M275" s="9" t="inlineStr">
        <is>
          <t>OFFICIAL_AGGREGATE</t>
        </is>
      </c>
      <c r="N275" s="7" t="inlineStr">
        <is>
          <t>https://www.ande.gov.py/finanzas/2.%20COMPILACION%20ESTADISTICA%202003-2023/ANDE%20-%20Compilacion%20Estadistica%202003-2023.pdf</t>
        </is>
      </c>
      <c r="O275" s="12" t="n">
        <v>90</v>
      </c>
      <c r="P275" s="4" t="inlineStr">
        <is>
          <t>Serie de compilacion 2003-2023.</t>
        </is>
      </c>
    </row>
    <row r="276">
      <c r="A276" s="6" t="inlineStr">
        <is>
          <t>P00275</t>
        </is>
      </c>
      <c r="B276" s="6" t="inlineStr">
        <is>
          <t>2013-01-01</t>
        </is>
      </c>
      <c r="C276" s="6" t="inlineStr">
        <is>
          <t>2013-12-31</t>
        </is>
      </c>
      <c r="D276" s="6" t="inlineStr">
        <is>
          <t>year</t>
        </is>
      </c>
      <c r="E276" s="6" t="inlineStr">
        <is>
          <t>ANDE_TARIFF_GENERAL_AVG</t>
        </is>
      </c>
      <c r="F276" s="6" t="inlineStr">
        <is>
          <t>PY_SIN</t>
        </is>
      </c>
      <c r="G276" s="6" t="inlineStr">
        <is>
          <t>PY</t>
        </is>
      </c>
      <c r="H276" s="8" t="n">
        <v>317.6</v>
      </c>
      <c r="I276" s="6" t="inlineStr">
        <is>
          <t>Gs/kWh</t>
        </is>
      </c>
      <c r="J276" s="6" t="inlineStr">
        <is>
          <t>PYG</t>
        </is>
      </c>
      <c r="K276" s="6" t="inlineStr">
        <is>
          <t>ANDE</t>
        </is>
      </c>
      <c r="L276" s="6" t="inlineStr">
        <is>
          <t>OFFICIAL_PRIMARY</t>
        </is>
      </c>
      <c r="M276" s="9" t="inlineStr">
        <is>
          <t>OFFICIAL_AGGREGATE</t>
        </is>
      </c>
      <c r="N276" s="7" t="inlineStr">
        <is>
          <t>https://www.ande.gov.py/finanzas/2.%20COMPILACION%20ESTADISTICA%202003-2023/ANDE%20-%20Compilacion%20Estadistica%202003-2023.pdf</t>
        </is>
      </c>
      <c r="O276" s="12" t="n">
        <v>90</v>
      </c>
      <c r="P276" s="4" t="inlineStr">
        <is>
          <t>Serie de compilacion 2003-2023.</t>
        </is>
      </c>
    </row>
    <row r="277">
      <c r="A277" s="6" t="inlineStr">
        <is>
          <t>P00276</t>
        </is>
      </c>
      <c r="B277" s="6" t="inlineStr">
        <is>
          <t>2014-01-01</t>
        </is>
      </c>
      <c r="C277" s="6" t="inlineStr">
        <is>
          <t>2014-12-31</t>
        </is>
      </c>
      <c r="D277" s="6" t="inlineStr">
        <is>
          <t>year</t>
        </is>
      </c>
      <c r="E277" s="6" t="inlineStr">
        <is>
          <t>ANDE_TARIFF_GENERAL_AVG</t>
        </is>
      </c>
      <c r="F277" s="6" t="inlineStr">
        <is>
          <t>PY_SIN</t>
        </is>
      </c>
      <c r="G277" s="6" t="inlineStr">
        <is>
          <t>PY</t>
        </is>
      </c>
      <c r="H277" s="8" t="n">
        <v>318</v>
      </c>
      <c r="I277" s="6" t="inlineStr">
        <is>
          <t>Gs/kWh</t>
        </is>
      </c>
      <c r="J277" s="6" t="inlineStr">
        <is>
          <t>PYG</t>
        </is>
      </c>
      <c r="K277" s="6" t="inlineStr">
        <is>
          <t>ANDE</t>
        </is>
      </c>
      <c r="L277" s="6" t="inlineStr">
        <is>
          <t>OFFICIAL_PRIMARY</t>
        </is>
      </c>
      <c r="M277" s="9" t="inlineStr">
        <is>
          <t>OFFICIAL_AGGREGATE</t>
        </is>
      </c>
      <c r="N277" s="7" t="inlineStr">
        <is>
          <t>https://www.ande.gov.py/finanzas/2.%20COMPILACION%20ESTADISTICA%202003-2023/ANDE%20-%20Compilacion%20Estadistica%202003-2023.pdf</t>
        </is>
      </c>
      <c r="O277" s="12" t="n">
        <v>90</v>
      </c>
      <c r="P277" s="4" t="inlineStr">
        <is>
          <t>Serie de compilacion 2003-2023.</t>
        </is>
      </c>
    </row>
    <row r="278">
      <c r="A278" s="6" t="inlineStr">
        <is>
          <t>P00277</t>
        </is>
      </c>
      <c r="B278" s="6" t="inlineStr">
        <is>
          <t>2015-01-01</t>
        </is>
      </c>
      <c r="C278" s="6" t="inlineStr">
        <is>
          <t>2015-12-31</t>
        </is>
      </c>
      <c r="D278" s="6" t="inlineStr">
        <is>
          <t>year</t>
        </is>
      </c>
      <c r="E278" s="6" t="inlineStr">
        <is>
          <t>ANDE_TARIFF_GENERAL_AVG</t>
        </is>
      </c>
      <c r="F278" s="6" t="inlineStr">
        <is>
          <t>PY_SIN</t>
        </is>
      </c>
      <c r="G278" s="6" t="inlineStr">
        <is>
          <t>PY</t>
        </is>
      </c>
      <c r="H278" s="8" t="n">
        <v>316.9</v>
      </c>
      <c r="I278" s="6" t="inlineStr">
        <is>
          <t>Gs/kWh</t>
        </is>
      </c>
      <c r="J278" s="6" t="inlineStr">
        <is>
          <t>PYG</t>
        </is>
      </c>
      <c r="K278" s="6" t="inlineStr">
        <is>
          <t>ANDE</t>
        </is>
      </c>
      <c r="L278" s="6" t="inlineStr">
        <is>
          <t>OFFICIAL_PRIMARY</t>
        </is>
      </c>
      <c r="M278" s="9" t="inlineStr">
        <is>
          <t>OFFICIAL_AGGREGATE</t>
        </is>
      </c>
      <c r="N278" s="7" t="inlineStr">
        <is>
          <t>https://www.ande.gov.py/finanzas/2.%20COMPILACION%20ESTADISTICA%202003-2023/ANDE%20-%20Compilacion%20Estadistica%202003-2023.pdf</t>
        </is>
      </c>
      <c r="O278" s="12" t="n">
        <v>90</v>
      </c>
      <c r="P278" s="4" t="inlineStr">
        <is>
          <t>Serie de compilacion 2003-2023.</t>
        </is>
      </c>
    </row>
    <row r="279">
      <c r="A279" s="6" t="inlineStr">
        <is>
          <t>P00278</t>
        </is>
      </c>
      <c r="B279" s="6" t="inlineStr">
        <is>
          <t>2016-01-01</t>
        </is>
      </c>
      <c r="C279" s="6" t="inlineStr">
        <is>
          <t>2016-12-31</t>
        </is>
      </c>
      <c r="D279" s="6" t="inlineStr">
        <is>
          <t>year</t>
        </is>
      </c>
      <c r="E279" s="6" t="inlineStr">
        <is>
          <t>ANDE_TARIFF_GENERAL_AVG</t>
        </is>
      </c>
      <c r="F279" s="6" t="inlineStr">
        <is>
          <t>PY_SIN</t>
        </is>
      </c>
      <c r="G279" s="6" t="inlineStr">
        <is>
          <t>PY</t>
        </is>
      </c>
      <c r="H279" s="8" t="n">
        <v>321.4</v>
      </c>
      <c r="I279" s="6" t="inlineStr">
        <is>
          <t>Gs/kWh</t>
        </is>
      </c>
      <c r="J279" s="6" t="inlineStr">
        <is>
          <t>PYG</t>
        </is>
      </c>
      <c r="K279" s="6" t="inlineStr">
        <is>
          <t>ANDE</t>
        </is>
      </c>
      <c r="L279" s="6" t="inlineStr">
        <is>
          <t>OFFICIAL_PRIMARY</t>
        </is>
      </c>
      <c r="M279" s="9" t="inlineStr">
        <is>
          <t>OFFICIAL_AGGREGATE</t>
        </is>
      </c>
      <c r="N279" s="7" t="inlineStr">
        <is>
          <t>https://www.ande.gov.py/finanzas/2.%20COMPILACION%20ESTADISTICA%202003-2023/ANDE%20-%20Compilacion%20Estadistica%202003-2023.pdf</t>
        </is>
      </c>
      <c r="O279" s="12" t="n">
        <v>90</v>
      </c>
      <c r="P279" s="4" t="inlineStr">
        <is>
          <t>Serie de compilacion 2003-2023.</t>
        </is>
      </c>
    </row>
    <row r="280">
      <c r="A280" s="6" t="inlineStr">
        <is>
          <t>P00279</t>
        </is>
      </c>
      <c r="B280" s="6" t="inlineStr">
        <is>
          <t>2017-01-01</t>
        </is>
      </c>
      <c r="C280" s="6" t="inlineStr">
        <is>
          <t>2017-12-31</t>
        </is>
      </c>
      <c r="D280" s="6" t="inlineStr">
        <is>
          <t>year</t>
        </is>
      </c>
      <c r="E280" s="6" t="inlineStr">
        <is>
          <t>ANDE_TARIFF_GENERAL_AVG</t>
        </is>
      </c>
      <c r="F280" s="6" t="inlineStr">
        <is>
          <t>PY_SIN</t>
        </is>
      </c>
      <c r="G280" s="6" t="inlineStr">
        <is>
          <t>PY</t>
        </is>
      </c>
      <c r="H280" s="8" t="n">
        <v>360.3</v>
      </c>
      <c r="I280" s="6" t="inlineStr">
        <is>
          <t>Gs/kWh</t>
        </is>
      </c>
      <c r="J280" s="6" t="inlineStr">
        <is>
          <t>PYG</t>
        </is>
      </c>
      <c r="K280" s="6" t="inlineStr">
        <is>
          <t>ANDE</t>
        </is>
      </c>
      <c r="L280" s="6" t="inlineStr">
        <is>
          <t>OFFICIAL_PRIMARY</t>
        </is>
      </c>
      <c r="M280" s="9" t="inlineStr">
        <is>
          <t>OFFICIAL_AGGREGATE</t>
        </is>
      </c>
      <c r="N280" s="7" t="inlineStr">
        <is>
          <t>https://www.ande.gov.py/finanzas/2.%20COMPILACION%20ESTADISTICA%202003-2023/ANDE%20-%20Compilacion%20Estadistica%202003-2023.pdf</t>
        </is>
      </c>
      <c r="O280" s="12" t="n">
        <v>90</v>
      </c>
      <c r="P280" s="4" t="inlineStr">
        <is>
          <t>Serie de compilacion 2003-2023.</t>
        </is>
      </c>
    </row>
    <row r="281">
      <c r="A281" s="6" t="inlineStr">
        <is>
          <t>P00280</t>
        </is>
      </c>
      <c r="B281" s="6" t="inlineStr">
        <is>
          <t>2018-01-01</t>
        </is>
      </c>
      <c r="C281" s="6" t="inlineStr">
        <is>
          <t>2018-12-31</t>
        </is>
      </c>
      <c r="D281" s="6" t="inlineStr">
        <is>
          <t>year</t>
        </is>
      </c>
      <c r="E281" s="6" t="inlineStr">
        <is>
          <t>ANDE_TARIFF_GENERAL_AVG</t>
        </is>
      </c>
      <c r="F281" s="6" t="inlineStr">
        <is>
          <t>PY_SIN</t>
        </is>
      </c>
      <c r="G281" s="6" t="inlineStr">
        <is>
          <t>PY</t>
        </is>
      </c>
      <c r="H281" s="8" t="n">
        <v>373.3</v>
      </c>
      <c r="I281" s="6" t="inlineStr">
        <is>
          <t>Gs/kWh</t>
        </is>
      </c>
      <c r="J281" s="6" t="inlineStr">
        <is>
          <t>PYG</t>
        </is>
      </c>
      <c r="K281" s="6" t="inlineStr">
        <is>
          <t>ANDE</t>
        </is>
      </c>
      <c r="L281" s="6" t="inlineStr">
        <is>
          <t>OFFICIAL_PRIMARY</t>
        </is>
      </c>
      <c r="M281" s="9" t="inlineStr">
        <is>
          <t>OFFICIAL_AGGREGATE</t>
        </is>
      </c>
      <c r="N281" s="7" t="inlineStr">
        <is>
          <t>https://www.ande.gov.py/finanzas/2.%20COMPILACION%20ESTADISTICA%202003-2023/ANDE%20-%20Compilacion%20Estadistica%202003-2023.pdf</t>
        </is>
      </c>
      <c r="O281" s="12" t="n">
        <v>90</v>
      </c>
      <c r="P281" s="4" t="inlineStr">
        <is>
          <t>Serie de compilacion 2003-2023.</t>
        </is>
      </c>
    </row>
    <row r="282">
      <c r="A282" s="6" t="inlineStr">
        <is>
          <t>P00281</t>
        </is>
      </c>
      <c r="B282" s="6" t="inlineStr">
        <is>
          <t>2019-01-01</t>
        </is>
      </c>
      <c r="C282" s="6" t="inlineStr">
        <is>
          <t>2019-12-31</t>
        </is>
      </c>
      <c r="D282" s="6" t="inlineStr">
        <is>
          <t>year</t>
        </is>
      </c>
      <c r="E282" s="6" t="inlineStr">
        <is>
          <t>ANDE_TARIFF_GENERAL_AVG</t>
        </is>
      </c>
      <c r="F282" s="6" t="inlineStr">
        <is>
          <t>PY_SIN</t>
        </is>
      </c>
      <c r="G282" s="6" t="inlineStr">
        <is>
          <t>PY</t>
        </is>
      </c>
      <c r="H282" s="8" t="n">
        <v>386.6</v>
      </c>
      <c r="I282" s="6" t="inlineStr">
        <is>
          <t>Gs/kWh</t>
        </is>
      </c>
      <c r="J282" s="6" t="inlineStr">
        <is>
          <t>PYG</t>
        </is>
      </c>
      <c r="K282" s="6" t="inlineStr">
        <is>
          <t>ANDE</t>
        </is>
      </c>
      <c r="L282" s="6" t="inlineStr">
        <is>
          <t>OFFICIAL_PRIMARY</t>
        </is>
      </c>
      <c r="M282" s="9" t="inlineStr">
        <is>
          <t>OFFICIAL_AGGREGATE</t>
        </is>
      </c>
      <c r="N282" s="7" t="inlineStr">
        <is>
          <t>https://www.ande.gov.py/finanzas/2.%20COMPILACION%20ESTADISTICA%202003-2023/ANDE%20-%20Compilacion%20Estadistica%202003-2023.pdf</t>
        </is>
      </c>
      <c r="O282" s="12" t="n">
        <v>90</v>
      </c>
      <c r="P282" s="4" t="inlineStr">
        <is>
          <t>Serie de compilacion 2003-2023.</t>
        </is>
      </c>
    </row>
    <row r="283">
      <c r="A283" s="6" t="inlineStr">
        <is>
          <t>P00282</t>
        </is>
      </c>
      <c r="B283" s="6" t="inlineStr">
        <is>
          <t>2020-01-01</t>
        </is>
      </c>
      <c r="C283" s="6" t="inlineStr">
        <is>
          <t>2020-12-31</t>
        </is>
      </c>
      <c r="D283" s="6" t="inlineStr">
        <is>
          <t>year</t>
        </is>
      </c>
      <c r="E283" s="6" t="inlineStr">
        <is>
          <t>ANDE_TARIFF_GENERAL_AVG</t>
        </is>
      </c>
      <c r="F283" s="6" t="inlineStr">
        <is>
          <t>PY_SIN</t>
        </is>
      </c>
      <c r="G283" s="6" t="inlineStr">
        <is>
          <t>PY</t>
        </is>
      </c>
      <c r="H283" s="8" t="n">
        <v>383</v>
      </c>
      <c r="I283" s="6" t="inlineStr">
        <is>
          <t>Gs/kWh</t>
        </is>
      </c>
      <c r="J283" s="6" t="inlineStr">
        <is>
          <t>PYG</t>
        </is>
      </c>
      <c r="K283" s="6" t="inlineStr">
        <is>
          <t>ANDE</t>
        </is>
      </c>
      <c r="L283" s="6" t="inlineStr">
        <is>
          <t>OFFICIAL_PRIMARY</t>
        </is>
      </c>
      <c r="M283" s="9" t="inlineStr">
        <is>
          <t>OFFICIAL_AGGREGATE</t>
        </is>
      </c>
      <c r="N283" s="7" t="inlineStr">
        <is>
          <t>https://www.ande.gov.py/finanzas/2.%20COMPILACION%20ESTADISTICA%202003-2023/ANDE%20-%20Compilacion%20Estadistica%202003-2023.pdf</t>
        </is>
      </c>
      <c r="O283" s="12" t="n">
        <v>90</v>
      </c>
      <c r="P283" s="4" t="inlineStr">
        <is>
          <t>Serie de compilacion 2003-2023.</t>
        </is>
      </c>
    </row>
    <row r="284">
      <c r="A284" s="6" t="inlineStr">
        <is>
          <t>P00283</t>
        </is>
      </c>
      <c r="B284" s="6" t="inlineStr">
        <is>
          <t>2021-01-01</t>
        </is>
      </c>
      <c r="C284" s="6" t="inlineStr">
        <is>
          <t>2021-12-31</t>
        </is>
      </c>
      <c r="D284" s="6" t="inlineStr">
        <is>
          <t>year</t>
        </is>
      </c>
      <c r="E284" s="6" t="inlineStr">
        <is>
          <t>ANDE_TARIFF_GENERAL_AVG</t>
        </is>
      </c>
      <c r="F284" s="6" t="inlineStr">
        <is>
          <t>PY_SIN</t>
        </is>
      </c>
      <c r="G284" s="6" t="inlineStr">
        <is>
          <t>PY</t>
        </is>
      </c>
      <c r="H284" s="8" t="n">
        <v>377.9</v>
      </c>
      <c r="I284" s="6" t="inlineStr">
        <is>
          <t>Gs/kWh</t>
        </is>
      </c>
      <c r="J284" s="6" t="inlineStr">
        <is>
          <t>PYG</t>
        </is>
      </c>
      <c r="K284" s="6" t="inlineStr">
        <is>
          <t>ANDE</t>
        </is>
      </c>
      <c r="L284" s="6" t="inlineStr">
        <is>
          <t>OFFICIAL_PRIMARY</t>
        </is>
      </c>
      <c r="M284" s="9" t="inlineStr">
        <is>
          <t>OFFICIAL_AGGREGATE</t>
        </is>
      </c>
      <c r="N284" s="7" t="inlineStr">
        <is>
          <t>https://www.ande.gov.py/finanzas/2.%20COMPILACION%20ESTADISTICA%202003-2023/ANDE%20-%20Compilacion%20Estadistica%202003-2023.pdf</t>
        </is>
      </c>
      <c r="O284" s="12" t="n">
        <v>90</v>
      </c>
      <c r="P284" s="4" t="inlineStr">
        <is>
          <t>Serie de compilacion 2003-2023.</t>
        </is>
      </c>
    </row>
    <row r="285">
      <c r="A285" s="6" t="inlineStr">
        <is>
          <t>P00284</t>
        </is>
      </c>
      <c r="B285" s="6" t="inlineStr">
        <is>
          <t>2022-01-01</t>
        </is>
      </c>
      <c r="C285" s="6" t="inlineStr">
        <is>
          <t>2022-12-31</t>
        </is>
      </c>
      <c r="D285" s="6" t="inlineStr">
        <is>
          <t>year</t>
        </is>
      </c>
      <c r="E285" s="6" t="inlineStr">
        <is>
          <t>ANDE_TARIFF_GENERAL_AVG</t>
        </is>
      </c>
      <c r="F285" s="6" t="inlineStr">
        <is>
          <t>PY_SIN</t>
        </is>
      </c>
      <c r="G285" s="6" t="inlineStr">
        <is>
          <t>PY</t>
        </is>
      </c>
      <c r="H285" s="8" t="n">
        <v>376.6</v>
      </c>
      <c r="I285" s="6" t="inlineStr">
        <is>
          <t>Gs/kWh</t>
        </is>
      </c>
      <c r="J285" s="6" t="inlineStr">
        <is>
          <t>PYG</t>
        </is>
      </c>
      <c r="K285" s="6" t="inlineStr">
        <is>
          <t>ANDE</t>
        </is>
      </c>
      <c r="L285" s="6" t="inlineStr">
        <is>
          <t>OFFICIAL_PRIMARY</t>
        </is>
      </c>
      <c r="M285" s="9" t="inlineStr">
        <is>
          <t>OFFICIAL_AGGREGATE</t>
        </is>
      </c>
      <c r="N285" s="7" t="inlineStr">
        <is>
          <t>https://www.ande.gov.py/finanzas/2.%20COMPILACION%20ESTADISTICA%202003-2023/ANDE%20-%20Compilacion%20Estadistica%202003-2023.pdf</t>
        </is>
      </c>
      <c r="O285" s="12" t="n">
        <v>90</v>
      </c>
      <c r="P285" s="4" t="inlineStr">
        <is>
          <t>Serie de compilacion 2003-2023.</t>
        </is>
      </c>
    </row>
    <row r="286">
      <c r="A286" s="6" t="inlineStr">
        <is>
          <t>P00285</t>
        </is>
      </c>
      <c r="B286" s="6" t="inlineStr">
        <is>
          <t>2023-01-01</t>
        </is>
      </c>
      <c r="C286" s="6" t="inlineStr">
        <is>
          <t>2023-12-31</t>
        </is>
      </c>
      <c r="D286" s="6" t="inlineStr">
        <is>
          <t>year</t>
        </is>
      </c>
      <c r="E286" s="6" t="inlineStr">
        <is>
          <t>ANDE_TARIFF_GENERAL_AVG</t>
        </is>
      </c>
      <c r="F286" s="6" t="inlineStr">
        <is>
          <t>PY_SIN</t>
        </is>
      </c>
      <c r="G286" s="6" t="inlineStr">
        <is>
          <t>PY</t>
        </is>
      </c>
      <c r="H286" s="8" t="n">
        <v>372.8</v>
      </c>
      <c r="I286" s="6" t="inlineStr">
        <is>
          <t>Gs/kWh</t>
        </is>
      </c>
      <c r="J286" s="6" t="inlineStr">
        <is>
          <t>PYG</t>
        </is>
      </c>
      <c r="K286" s="6" t="inlineStr">
        <is>
          <t>ANDE</t>
        </is>
      </c>
      <c r="L286" s="6" t="inlineStr">
        <is>
          <t>OFFICIAL_PRIMARY</t>
        </is>
      </c>
      <c r="M286" s="9" t="inlineStr">
        <is>
          <t>OFFICIAL_AGGREGATE</t>
        </is>
      </c>
      <c r="N286" s="7" t="inlineStr">
        <is>
          <t>https://www.ande.gov.py/finanzas/2.%20COMPILACION%20ESTADISTICA%202003-2023/ANDE%20-%20Compilacion%20Estadistica%202003-2023.pdf</t>
        </is>
      </c>
      <c r="O286" s="12" t="n">
        <v>90</v>
      </c>
      <c r="P286" s="4" t="inlineStr">
        <is>
          <t>Serie de compilacion 2003-2023.</t>
        </is>
      </c>
    </row>
    <row r="287">
      <c r="A287" s="6" t="inlineStr">
        <is>
          <t>P00286</t>
        </is>
      </c>
      <c r="B287" s="6" t="inlineStr">
        <is>
          <t>2019-01-01</t>
        </is>
      </c>
      <c r="C287" s="6" t="inlineStr">
        <is>
          <t>2020-12-31</t>
        </is>
      </c>
      <c r="D287" s="6" t="inlineStr">
        <is>
          <t>period</t>
        </is>
      </c>
      <c r="E287" s="6" t="inlineStr">
        <is>
          <t>ITAIPU_CUSE</t>
        </is>
      </c>
      <c r="F287" s="6" t="inlineStr">
        <is>
          <t>ITAIPU</t>
        </is>
      </c>
      <c r="G287" s="6" t="inlineStr">
        <is>
          <t>ANDE_ENBPAR</t>
        </is>
      </c>
      <c r="H287" s="8" t="n">
        <v>22.6</v>
      </c>
      <c r="I287" s="6" t="inlineStr">
        <is>
          <t>USD/kW-month</t>
        </is>
      </c>
      <c r="J287" s="6" t="inlineStr">
        <is>
          <t>USD</t>
        </is>
      </c>
      <c r="K287" s="6" t="inlineStr">
        <is>
          <t>ITAIPU</t>
        </is>
      </c>
      <c r="L287" s="6" t="inlineStr">
        <is>
          <t>OFFICIAL_PRIMARY</t>
        </is>
      </c>
      <c r="M287" s="9" t="inlineStr">
        <is>
          <t>OFFICIAL_ACCOUNTING</t>
        </is>
      </c>
      <c r="N287" s="7" t="inlineStr">
        <is>
          <t>https://www.itaipu.gov.py/</t>
        </is>
      </c>
      <c r="O287" s="12" t="n">
        <v>85</v>
      </c>
      <c r="P287" s="4" t="inlineStr">
        <is>
          <t>Costo unitario del servicio de electricidad indicado en estados financieros 2019/2020.</t>
        </is>
      </c>
    </row>
    <row r="288">
      <c r="A288" s="6" t="inlineStr">
        <is>
          <t>P00287</t>
        </is>
      </c>
      <c r="B288" s="6" t="inlineStr">
        <is>
          <t>2023-01-01</t>
        </is>
      </c>
      <c r="C288" s="6" t="inlineStr">
        <is>
          <t>2023-12-31</t>
        </is>
      </c>
      <c r="D288" s="6" t="inlineStr">
        <is>
          <t>year</t>
        </is>
      </c>
      <c r="E288" s="6" t="inlineStr">
        <is>
          <t>ITAIPU_CUSE</t>
        </is>
      </c>
      <c r="F288" s="6" t="inlineStr">
        <is>
          <t>ITAIPU</t>
        </is>
      </c>
      <c r="G288" s="6" t="inlineStr">
        <is>
          <t>ANDE_ENBPAR</t>
        </is>
      </c>
      <c r="H288" s="8" t="n">
        <v>16.71</v>
      </c>
      <c r="I288" s="6" t="inlineStr">
        <is>
          <t>USD/kW-month</t>
        </is>
      </c>
      <c r="J288" s="6" t="inlineStr">
        <is>
          <t>USD</t>
        </is>
      </c>
      <c r="K288" s="6" t="inlineStr">
        <is>
          <t>ITAIPU</t>
        </is>
      </c>
      <c r="L288" s="6" t="inlineStr">
        <is>
          <t>OFFICIAL_PRIMARY</t>
        </is>
      </c>
      <c r="M288" s="9" t="inlineStr">
        <is>
          <t>OFFICIAL_ACCOUNTING</t>
        </is>
      </c>
      <c r="N288" s="7" t="inlineStr">
        <is>
          <t>https://www.itaipu.gov.py/noticias/publicacoes/2023-2</t>
        </is>
      </c>
      <c r="O288" s="12" t="n">
        <v>95</v>
      </c>
      <c r="P288" s="4" t="inlineStr">
        <is>
          <t>CUSE 2023.</t>
        </is>
      </c>
    </row>
    <row r="289">
      <c r="A289" s="6" t="inlineStr">
        <is>
          <t>P00288</t>
        </is>
      </c>
      <c r="B289" s="6" t="inlineStr">
        <is>
          <t>2023-01-01</t>
        </is>
      </c>
      <c r="C289" s="6" t="inlineStr">
        <is>
          <t>2023-12-31</t>
        </is>
      </c>
      <c r="D289" s="6" t="inlineStr">
        <is>
          <t>year</t>
        </is>
      </c>
      <c r="E289" s="6" t="inlineStr">
        <is>
          <t>ITAIPU_EQUIV_ENERGY_COST</t>
        </is>
      </c>
      <c r="F289" s="6" t="inlineStr">
        <is>
          <t>ITAIPU</t>
        </is>
      </c>
      <c r="G289" s="6" t="inlineStr">
        <is>
          <t>ANDE_ENBPAR</t>
        </is>
      </c>
      <c r="H289" s="8" t="n">
        <v>32.39</v>
      </c>
      <c r="I289" s="6" t="inlineStr">
        <is>
          <t>USD/MWh</t>
        </is>
      </c>
      <c r="J289" s="6" t="inlineStr">
        <is>
          <t>USD</t>
        </is>
      </c>
      <c r="K289" s="6" t="inlineStr">
        <is>
          <t>ITAIPU</t>
        </is>
      </c>
      <c r="L289" s="6" t="inlineStr">
        <is>
          <t>OFFICIAL_PRIMARY</t>
        </is>
      </c>
      <c r="M289" s="9" t="inlineStr">
        <is>
          <t>OFFICIAL_ACCOUNTING</t>
        </is>
      </c>
      <c r="N289" s="7" t="inlineStr">
        <is>
          <t>https://www.itaipu.gov.py/noticias/publicacoes/2023-2</t>
        </is>
      </c>
      <c r="O289" s="12" t="n">
        <v>95</v>
      </c>
      <c r="P289" s="4" t="inlineStr">
        <is>
          <t>Equivalente energetico 2023.</t>
        </is>
      </c>
    </row>
    <row r="290">
      <c r="A290" s="6" t="inlineStr">
        <is>
          <t>P00289</t>
        </is>
      </c>
      <c r="B290" s="6" t="inlineStr">
        <is>
          <t>2023-01-01</t>
        </is>
      </c>
      <c r="C290" s="6" t="inlineStr">
        <is>
          <t>2023-12-31</t>
        </is>
      </c>
      <c r="D290" s="6" t="inlineStr">
        <is>
          <t>year</t>
        </is>
      </c>
      <c r="E290" s="6" t="inlineStr">
        <is>
          <t>ITAIPU_AVG_COST</t>
        </is>
      </c>
      <c r="F290" s="6" t="inlineStr">
        <is>
          <t>ITAIPU</t>
        </is>
      </c>
      <c r="G290" s="6" t="inlineStr">
        <is>
          <t>ANDE_ENBPAR</t>
        </is>
      </c>
      <c r="H290" s="8" t="n">
        <v>29.91</v>
      </c>
      <c r="I290" s="6" t="inlineStr">
        <is>
          <t>USD/MWh</t>
        </is>
      </c>
      <c r="J290" s="6" t="inlineStr">
        <is>
          <t>USD</t>
        </is>
      </c>
      <c r="K290" s="6" t="inlineStr">
        <is>
          <t>ITAIPU</t>
        </is>
      </c>
      <c r="L290" s="6" t="inlineStr">
        <is>
          <t>OFFICIAL_PRIMARY</t>
        </is>
      </c>
      <c r="M290" s="9" t="inlineStr">
        <is>
          <t>OFFICIAL_ACCOUNTING</t>
        </is>
      </c>
      <c r="N290" s="7" t="inlineStr">
        <is>
          <t>https://www.itaipu.gov.py/noticias/publicacoes/2023-2</t>
        </is>
      </c>
      <c r="O290" s="12" t="n">
        <v>95</v>
      </c>
      <c r="P290" s="4" t="inlineStr">
        <is>
          <t>Costo promedio 2023.</t>
        </is>
      </c>
    </row>
    <row r="291">
      <c r="A291" s="6" t="inlineStr">
        <is>
          <t>P00290</t>
        </is>
      </c>
      <c r="B291" s="6" t="inlineStr">
        <is>
          <t>2024-01-01</t>
        </is>
      </c>
      <c r="C291" s="6" t="inlineStr">
        <is>
          <t>2026-12-31</t>
        </is>
      </c>
      <c r="D291" s="6" t="inlineStr">
        <is>
          <t>period</t>
        </is>
      </c>
      <c r="E291" s="6" t="inlineStr">
        <is>
          <t>ITAIPU_CUSE</t>
        </is>
      </c>
      <c r="F291" s="6" t="inlineStr">
        <is>
          <t>ITAIPU</t>
        </is>
      </c>
      <c r="G291" s="6" t="inlineStr">
        <is>
          <t>ANDE_ENBPAR</t>
        </is>
      </c>
      <c r="H291" s="8" t="n">
        <v>19.28</v>
      </c>
      <c r="I291" s="6" t="inlineStr">
        <is>
          <t>USD/kW-month</t>
        </is>
      </c>
      <c r="J291" s="6" t="inlineStr">
        <is>
          <t>USD</t>
        </is>
      </c>
      <c r="K291" s="6" t="inlineStr">
        <is>
          <t>ITAIPU</t>
        </is>
      </c>
      <c r="L291" s="6" t="inlineStr">
        <is>
          <t>OFFICIAL_CONTRACTUAL</t>
        </is>
      </c>
      <c r="M291" s="9" t="inlineStr">
        <is>
          <t>OFFICIAL_CONTRACTUAL</t>
        </is>
      </c>
      <c r="N291" s="7" t="inlineStr">
        <is>
          <t>https://www.itaipu.gov.py/</t>
        </is>
      </c>
      <c r="O291" s="12" t="n">
        <v>90</v>
      </c>
      <c r="P291" s="4" t="inlineStr">
        <is>
          <t>CUSE acordado para 2024-2026.</t>
        </is>
      </c>
    </row>
    <row r="292">
      <c r="A292" s="6" t="inlineStr">
        <is>
          <t>P00291</t>
        </is>
      </c>
      <c r="B292" s="6" t="inlineStr">
        <is>
          <t>2015-12-31</t>
        </is>
      </c>
      <c r="C292" s="6" t="inlineStr">
        <is>
          <t>2015-12-31</t>
        </is>
      </c>
      <c r="D292" s="6" t="inlineStr">
        <is>
          <t>event</t>
        </is>
      </c>
      <c r="E292" s="6" t="inlineStr">
        <is>
          <t>YACYRETA_THEORETICAL_ECONOMIC_COST</t>
        </is>
      </c>
      <c r="F292" s="6" t="inlineStr">
        <is>
          <t>YACYRETA</t>
        </is>
      </c>
      <c r="G292" s="6" t="inlineStr">
        <is>
          <t>BINATIONAL</t>
        </is>
      </c>
      <c r="H292" s="8" t="n">
        <v>44.5</v>
      </c>
      <c r="I292" s="6" t="inlineStr">
        <is>
          <t>USD/MWh</t>
        </is>
      </c>
      <c r="J292" s="6" t="inlineStr">
        <is>
          <t>USD</t>
        </is>
      </c>
      <c r="K292" s="6" t="inlineStr">
        <is>
          <t>BACN</t>
        </is>
      </c>
      <c r="L292" s="6" t="inlineStr">
        <is>
          <t>OFFICIAL_LEGAL</t>
        </is>
      </c>
      <c r="M292" s="9" t="inlineStr">
        <is>
          <t>OFFICIAL_CONTRACTUAL</t>
        </is>
      </c>
      <c r="N292" s="7" t="inlineStr">
        <is>
          <t>https://www.bacn.gov.py/leyes-paraguayas/8397/ley-n-6135-aprueba-el-acuerdo-por-notas-reversales-n-r-n-2-17-para-el-ordenamiento-econ-mico-y-financiero-de-la-entidad-binacional-yacyret-entre-la-rep-blica-del-paraguay-y-la-rep-blica-argentina</t>
        </is>
      </c>
      <c r="O292" s="12" t="n">
        <v>95</v>
      </c>
      <c r="P292" s="4" t="inlineStr">
        <is>
          <t>Costo unitario economico teorico al 31/12/2015; indexado posteriormente.</t>
        </is>
      </c>
    </row>
    <row r="293">
      <c r="A293" s="6" t="inlineStr">
        <is>
          <t>P00292</t>
        </is>
      </c>
      <c r="B293" s="6" t="inlineStr">
        <is>
          <t>2025-05-19</t>
        </is>
      </c>
      <c r="C293" s="6" t="inlineStr">
        <is>
          <t>2025-12-31</t>
        </is>
      </c>
      <c r="D293" s="6" t="inlineStr">
        <is>
          <t>contract</t>
        </is>
      </c>
      <c r="E293" s="6" t="inlineStr">
        <is>
          <t>YACYRETA_EFFECTIVE_CHARGE</t>
        </is>
      </c>
      <c r="F293" s="6" t="inlineStr">
        <is>
          <t>YACYRETA</t>
        </is>
      </c>
      <c r="G293" s="6" t="inlineStr">
        <is>
          <t>ANDE_CAMMESA</t>
        </is>
      </c>
      <c r="H293" s="8" t="n">
        <v>28</v>
      </c>
      <c r="I293" s="6" t="inlineStr">
        <is>
          <t>USD/MWh</t>
        </is>
      </c>
      <c r="J293" s="6" t="inlineStr">
        <is>
          <t>USD</t>
        </is>
      </c>
      <c r="K293" s="6" t="inlineStr">
        <is>
          <t>EBY</t>
        </is>
      </c>
      <c r="L293" s="6" t="inlineStr">
        <is>
          <t>OFFICIAL_CONTRACTUAL</t>
        </is>
      </c>
      <c r="M293" s="9" t="inlineStr">
        <is>
          <t>OFFICIAL_CONTRACTUAL</t>
        </is>
      </c>
      <c r="N293" s="7" t="inlineStr">
        <is>
          <t>https://www.eby.gov.py/wp-content/uploads/2025/05/Acuerdo-19-05-2025.pdf</t>
        </is>
      </c>
      <c r="O293" s="12" t="n">
        <v>100</v>
      </c>
      <c r="P293" s="4" t="inlineStr">
        <is>
          <t>Valor efectivo por energia generada y entregada a ANDE y CAMMESA hasta 31/12/2025.</t>
        </is>
      </c>
    </row>
    <row r="294">
      <c r="A294" s="6" t="inlineStr">
        <is>
          <t>P00293</t>
        </is>
      </c>
      <c r="B294" s="6" t="inlineStr">
        <is>
          <t>2024-01-01</t>
        </is>
      </c>
      <c r="C294" s="6" t="inlineStr">
        <is>
          <t>2024-12-31</t>
        </is>
      </c>
      <c r="D294" s="6" t="inlineStr">
        <is>
          <t>year</t>
        </is>
      </c>
      <c r="E294" s="6" t="inlineStr">
        <is>
          <t>ITAIPU_CESSION_AVG_DERIVED</t>
        </is>
      </c>
      <c r="F294" s="6" t="inlineStr">
        <is>
          <t>ITAIPU</t>
        </is>
      </c>
      <c r="G294" s="6" t="inlineStr">
        <is>
          <t>BR</t>
        </is>
      </c>
      <c r="H294" s="8" t="n">
        <v>17.5</v>
      </c>
      <c r="I294" s="6" t="inlineStr">
        <is>
          <t>USD/MWh</t>
        </is>
      </c>
      <c r="J294" s="6" t="inlineStr">
        <is>
          <t>USD</t>
        </is>
      </c>
      <c r="K294" s="6" t="inlineStr">
        <is>
          <t>ABC</t>
        </is>
      </c>
      <c r="L294" s="6" t="inlineStr">
        <is>
          <t>PRESS_SECONDARY</t>
        </is>
      </c>
      <c r="M294" s="11" t="inlineStr">
        <is>
          <t>PRESS_DERIVED</t>
        </is>
      </c>
      <c r="N294" s="7" t="inlineStr">
        <is>
          <t>https://www.abc.com.py/economia/2026/01/20/en-2025-pagaron-al-paraguay-us-15-por-cada-1000-kwh-que-cedio-al-brasil/</t>
        </is>
      </c>
      <c r="O294" s="12" t="n">
        <v>30</v>
      </c>
      <c r="P294" s="4" t="inlineStr">
        <is>
          <t>Derivado periodistico de compensacion / energia cedida; no es venta spot.</t>
        </is>
      </c>
    </row>
    <row r="295">
      <c r="A295" s="6" t="inlineStr">
        <is>
          <t>P00294</t>
        </is>
      </c>
      <c r="B295" s="6" t="inlineStr">
        <is>
          <t>2025-01-01</t>
        </is>
      </c>
      <c r="C295" s="6" t="inlineStr">
        <is>
          <t>2025-12-31</t>
        </is>
      </c>
      <c r="D295" s="6" t="inlineStr">
        <is>
          <t>year</t>
        </is>
      </c>
      <c r="E295" s="6" t="inlineStr">
        <is>
          <t>ITAIPU_CESSION_AVG_DERIVED</t>
        </is>
      </c>
      <c r="F295" s="6" t="inlineStr">
        <is>
          <t>ITAIPU</t>
        </is>
      </c>
      <c r="G295" s="6" t="inlineStr">
        <is>
          <t>BR</t>
        </is>
      </c>
      <c r="H295" s="8" t="n">
        <v>15.5</v>
      </c>
      <c r="I295" s="6" t="inlineStr">
        <is>
          <t>USD/MWh</t>
        </is>
      </c>
      <c r="J295" s="6" t="inlineStr">
        <is>
          <t>USD</t>
        </is>
      </c>
      <c r="K295" s="6" t="inlineStr">
        <is>
          <t>ABC</t>
        </is>
      </c>
      <c r="L295" s="6" t="inlineStr">
        <is>
          <t>PRESS_SECONDARY</t>
        </is>
      </c>
      <c r="M295" s="11" t="inlineStr">
        <is>
          <t>PRESS_DERIVED</t>
        </is>
      </c>
      <c r="N295" s="7" t="inlineStr">
        <is>
          <t>https://www.abc.com.py/economia/2026/01/20/en-2025-pagaron-al-paraguay-us-15-por-cada-1000-kwh-que-cedio-al-brasil/</t>
        </is>
      </c>
      <c r="O295" s="12" t="n">
        <v>35</v>
      </c>
      <c r="P295" s="4" t="inlineStr">
        <is>
          <t>Derivado: USD 165.1328m / 10,671.5 GWh cedidos.</t>
        </is>
      </c>
    </row>
    <row r="296">
      <c r="A296" s="6" t="inlineStr">
        <is>
          <t>P00295</t>
        </is>
      </c>
      <c r="B296" s="6" t="inlineStr">
        <is>
          <t>2024-09-01</t>
        </is>
      </c>
      <c r="C296" s="6" t="inlineStr">
        <is>
          <t>2024-09-30</t>
        </is>
      </c>
      <c r="D296" s="6" t="inlineStr">
        <is>
          <t>month</t>
        </is>
      </c>
      <c r="E296" s="6" t="inlineStr">
        <is>
          <t>ACARAY_ARGENTINA_MARKET_SALE_REF</t>
        </is>
      </c>
      <c r="F296" s="6" t="inlineStr">
        <is>
          <t>ACARAY</t>
        </is>
      </c>
      <c r="G296" s="6" t="inlineStr">
        <is>
          <t>AR</t>
        </is>
      </c>
      <c r="H296" s="8" t="n">
        <v>100</v>
      </c>
      <c r="I296" s="6" t="inlineStr">
        <is>
          <t>USD/MWh</t>
        </is>
      </c>
      <c r="J296" s="6" t="inlineStr">
        <is>
          <t>USD</t>
        </is>
      </c>
      <c r="K296" s="6" t="inlineStr">
        <is>
          <t>ABC</t>
        </is>
      </c>
      <c r="L296" s="6" t="inlineStr">
        <is>
          <t>PRESS_SECONDARY</t>
        </is>
      </c>
      <c r="M296" s="11" t="inlineStr">
        <is>
          <t>PRESS_SECONDARY</t>
        </is>
      </c>
      <c r="N296" s="7" t="inlineStr">
        <is>
          <t>https://www.abc.com.py/economia/2024/09/07/ande-exporta-energia-a-la-argentina-a-us-100-mwh-pero-brasil-ofrece-maximo-us-2103mwh/</t>
        </is>
      </c>
      <c r="O296" s="12" t="n">
        <v>40</v>
      </c>
      <c r="P296" s="4" t="inlineStr">
        <is>
          <t>Referencia declarada por presidente ANDE; potencia promedio limitada ~20 MW en punta.</t>
        </is>
      </c>
    </row>
    <row r="297">
      <c r="A297" s="6" t="inlineStr">
        <is>
          <t>P00296</t>
        </is>
      </c>
      <c r="B297" s="6" t="inlineStr">
        <is>
          <t>2024-09-01</t>
        </is>
      </c>
      <c r="C297" s="6" t="inlineStr">
        <is>
          <t>2024-09-30</t>
        </is>
      </c>
      <c r="D297" s="6" t="inlineStr">
        <is>
          <t>month</t>
        </is>
      </c>
      <c r="E297" s="6" t="inlineStr">
        <is>
          <t>ACARAY_PRODUCTION_COST_REF</t>
        </is>
      </c>
      <c r="F297" s="6" t="inlineStr">
        <is>
          <t>ACARAY</t>
        </is>
      </c>
      <c r="G297" s="6" t="inlineStr">
        <is>
          <t>PY</t>
        </is>
      </c>
      <c r="H297" s="8" t="n">
        <v>9.02</v>
      </c>
      <c r="I297" s="6" t="inlineStr">
        <is>
          <t>USD/MWh</t>
        </is>
      </c>
      <c r="J297" s="6" t="inlineStr">
        <is>
          <t>USD</t>
        </is>
      </c>
      <c r="K297" s="6" t="inlineStr">
        <is>
          <t>ABC</t>
        </is>
      </c>
      <c r="L297" s="6" t="inlineStr">
        <is>
          <t>PRESS_SECONDARY</t>
        </is>
      </c>
      <c r="M297" s="11" t="inlineStr">
        <is>
          <t>PRESS_SECONDARY</t>
        </is>
      </c>
      <c r="N297" s="7" t="inlineStr">
        <is>
          <t>https://www.abc.com.py/economia/2024/09/07/ande-exporta-energia-a-la-argentina-a-us-100-mwh-pero-brasil-ofrece-maximo-us-2103mwh/</t>
        </is>
      </c>
      <c r="O297" s="12" t="n">
        <v>40</v>
      </c>
      <c r="P297" s="4" t="inlineStr">
        <is>
          <t>Costo de produccion citado por presidente ANDE.</t>
        </is>
      </c>
    </row>
    <row r="298">
      <c r="A298" s="6" t="inlineStr">
        <is>
          <t>P00297</t>
        </is>
      </c>
      <c r="B298" s="6" t="inlineStr">
        <is>
          <t>2024-09-06</t>
        </is>
      </c>
      <c r="C298" s="6" t="inlineStr">
        <is>
          <t>2024-09-06</t>
        </is>
      </c>
      <c r="D298" s="6" t="inlineStr">
        <is>
          <t>offer</t>
        </is>
      </c>
      <c r="E298" s="6" t="inlineStr">
        <is>
          <t>ACARAY_BRAZIL_TENDER_OFFER</t>
        </is>
      </c>
      <c r="F298" s="6" t="inlineStr">
        <is>
          <t>ACARAY</t>
        </is>
      </c>
      <c r="G298" s="6" t="inlineStr">
        <is>
          <t>Infinity</t>
        </is>
      </c>
      <c r="H298" s="8" t="n">
        <v>21.03</v>
      </c>
      <c r="I298" s="6" t="inlineStr">
        <is>
          <t>USD/MWh</t>
        </is>
      </c>
      <c r="J298" s="6" t="inlineStr">
        <is>
          <t>USD</t>
        </is>
      </c>
      <c r="K298" s="6" t="inlineStr">
        <is>
          <t>ABC</t>
        </is>
      </c>
      <c r="L298" s="6" t="inlineStr">
        <is>
          <t>PRESS_SECONDARY</t>
        </is>
      </c>
      <c r="M298" s="11" t="inlineStr">
        <is>
          <t>PRESS_SECONDARY</t>
        </is>
      </c>
      <c r="N298" s="7" t="inlineStr">
        <is>
          <t>https://www.abc.com.py/economia/2024/09/06/ande-abrio-sobres-sepa-cuanto-ofertaron-los-brasilenos-por-nuestra-energia/</t>
        </is>
      </c>
      <c r="O298" s="12" t="n">
        <v>25</v>
      </c>
      <c r="P298" s="4" t="inlineStr">
        <is>
          <t>Oferta de concurso ACL Brasil; plazo ofertado 6 años. No equivale a contrato ejecutado.</t>
        </is>
      </c>
    </row>
    <row r="299">
      <c r="A299" s="6" t="inlineStr">
        <is>
          <t>P00298</t>
        </is>
      </c>
      <c r="B299" s="6" t="inlineStr">
        <is>
          <t>2024-09-06</t>
        </is>
      </c>
      <c r="C299" s="6" t="inlineStr">
        <is>
          <t>2024-09-06</t>
        </is>
      </c>
      <c r="D299" s="6" t="inlineStr">
        <is>
          <t>offer</t>
        </is>
      </c>
      <c r="E299" s="6" t="inlineStr">
        <is>
          <t>ACARAY_BRAZIL_TENDER_OFFER</t>
        </is>
      </c>
      <c r="F299" s="6" t="inlineStr">
        <is>
          <t>ACARAY</t>
        </is>
      </c>
      <c r="G299" s="6" t="inlineStr">
        <is>
          <t>Matrix</t>
        </is>
      </c>
      <c r="H299" s="8" t="n">
        <v>12</v>
      </c>
      <c r="I299" s="6" t="inlineStr">
        <is>
          <t>USD/MWh</t>
        </is>
      </c>
      <c r="J299" s="6" t="inlineStr">
        <is>
          <t>USD</t>
        </is>
      </c>
      <c r="K299" s="6" t="inlineStr">
        <is>
          <t>ABC</t>
        </is>
      </c>
      <c r="L299" s="6" t="inlineStr">
        <is>
          <t>PRESS_SECONDARY</t>
        </is>
      </c>
      <c r="M299" s="11" t="inlineStr">
        <is>
          <t>PRESS_SECONDARY</t>
        </is>
      </c>
      <c r="N299" s="7" t="inlineStr">
        <is>
          <t>https://www.abc.com.py/economia/2024/09/06/ande-abrio-sobres-sepa-cuanto-ofertaron-los-brasilenos-por-nuestra-energia/</t>
        </is>
      </c>
      <c r="O299" s="12" t="n">
        <v>25</v>
      </c>
      <c r="P299" s="4" t="inlineStr">
        <is>
          <t>Oferta de concurso ACL Brasil; plazo ofertado 3 años. No equivale a contrato ejecutado.</t>
        </is>
      </c>
    </row>
    <row r="300">
      <c r="A300" s="6" t="inlineStr">
        <is>
          <t>P00299</t>
        </is>
      </c>
      <c r="B300" s="6" t="inlineStr">
        <is>
          <t>2024-09-06</t>
        </is>
      </c>
      <c r="C300" s="6" t="inlineStr">
        <is>
          <t>2024-09-06</t>
        </is>
      </c>
      <c r="D300" s="6" t="inlineStr">
        <is>
          <t>offer</t>
        </is>
      </c>
      <c r="E300" s="6" t="inlineStr">
        <is>
          <t>ACARAY_BRAZIL_TENDER_OFFER</t>
        </is>
      </c>
      <c r="F300" s="6" t="inlineStr">
        <is>
          <t>ACARAY</t>
        </is>
      </c>
      <c r="G300" s="6" t="inlineStr">
        <is>
          <t>Ambar</t>
        </is>
      </c>
      <c r="H300" s="8" t="n">
        <v>10.33</v>
      </c>
      <c r="I300" s="6" t="inlineStr">
        <is>
          <t>USD/MWh</t>
        </is>
      </c>
      <c r="J300" s="6" t="inlineStr">
        <is>
          <t>USD</t>
        </is>
      </c>
      <c r="K300" s="6" t="inlineStr">
        <is>
          <t>ABC</t>
        </is>
      </c>
      <c r="L300" s="6" t="inlineStr">
        <is>
          <t>PRESS_SECONDARY</t>
        </is>
      </c>
      <c r="M300" s="11" t="inlineStr">
        <is>
          <t>PRESS_SECONDARY</t>
        </is>
      </c>
      <c r="N300" s="7" t="inlineStr">
        <is>
          <t>https://www.abc.com.py/economia/2024/09/06/ande-abrio-sobres-sepa-cuanto-ofertaron-los-brasilenos-por-nuestra-energia/</t>
        </is>
      </c>
      <c r="O300" s="12" t="n">
        <v>25</v>
      </c>
      <c r="P300" s="4" t="inlineStr">
        <is>
          <t>Oferta de concurso ACL Brasil; plazo ofertado 6 años. No equivale a contrato ejecutado.</t>
        </is>
      </c>
    </row>
    <row r="301">
      <c r="A301" s="6" t="inlineStr">
        <is>
          <t>P00300</t>
        </is>
      </c>
      <c r="B301" s="6" t="inlineStr">
        <is>
          <t>2024-09-06</t>
        </is>
      </c>
      <c r="C301" s="6" t="inlineStr">
        <is>
          <t>2024-09-06</t>
        </is>
      </c>
      <c r="D301" s="6" t="inlineStr">
        <is>
          <t>offer</t>
        </is>
      </c>
      <c r="E301" s="6" t="inlineStr">
        <is>
          <t>ACARAY_BRAZIL_TENDER_OFFER</t>
        </is>
      </c>
      <c r="F301" s="6" t="inlineStr">
        <is>
          <t>ACARAY</t>
        </is>
      </c>
      <c r="G301" s="6" t="inlineStr">
        <is>
          <t>Enel</t>
        </is>
      </c>
      <c r="H301" s="8" t="n">
        <v>10.11</v>
      </c>
      <c r="I301" s="6" t="inlineStr">
        <is>
          <t>USD/MWh</t>
        </is>
      </c>
      <c r="J301" s="6" t="inlineStr">
        <is>
          <t>USD</t>
        </is>
      </c>
      <c r="K301" s="6" t="inlineStr">
        <is>
          <t>ABC</t>
        </is>
      </c>
      <c r="L301" s="6" t="inlineStr">
        <is>
          <t>PRESS_SECONDARY</t>
        </is>
      </c>
      <c r="M301" s="11" t="inlineStr">
        <is>
          <t>PRESS_SECONDARY</t>
        </is>
      </c>
      <c r="N301" s="7" t="inlineStr">
        <is>
          <t>https://www.abc.com.py/economia/2024/09/06/ande-abrio-sobres-sepa-cuanto-ofertaron-los-brasilenos-por-nuestra-energia/</t>
        </is>
      </c>
      <c r="O301" s="12" t="n">
        <v>25</v>
      </c>
      <c r="P301" s="4" t="inlineStr">
        <is>
          <t>Oferta de concurso ACL Brasil; plazo ofertado 2 años. No equivale a contrato ejecutado.</t>
        </is>
      </c>
    </row>
    <row r="302">
      <c r="A302" s="6" t="inlineStr">
        <is>
          <t>P00301</t>
        </is>
      </c>
      <c r="B302" s="6" t="inlineStr">
        <is>
          <t>2024-09-06</t>
        </is>
      </c>
      <c r="C302" s="6" t="inlineStr">
        <is>
          <t>2024-09-06</t>
        </is>
      </c>
      <c r="D302" s="6" t="inlineStr">
        <is>
          <t>offer</t>
        </is>
      </c>
      <c r="E302" s="6" t="inlineStr">
        <is>
          <t>ACARAY_BRAZIL_TENDER_OFFER</t>
        </is>
      </c>
      <c r="F302" s="6" t="inlineStr">
        <is>
          <t>ACARAY</t>
        </is>
      </c>
      <c r="G302" s="6" t="inlineStr">
        <is>
          <t>Kroma</t>
        </is>
      </c>
      <c r="H302" s="8" t="n">
        <v>8.68</v>
      </c>
      <c r="I302" s="6" t="inlineStr">
        <is>
          <t>USD/MWh</t>
        </is>
      </c>
      <c r="J302" s="6" t="inlineStr">
        <is>
          <t>USD</t>
        </is>
      </c>
      <c r="K302" s="6" t="inlineStr">
        <is>
          <t>ABC</t>
        </is>
      </c>
      <c r="L302" s="6" t="inlineStr">
        <is>
          <t>PRESS_SECONDARY</t>
        </is>
      </c>
      <c r="M302" s="11" t="inlineStr">
        <is>
          <t>PRESS_SECONDARY</t>
        </is>
      </c>
      <c r="N302" s="7" t="inlineStr">
        <is>
          <t>https://www.abc.com.py/economia/2024/09/06/ande-abrio-sobres-sepa-cuanto-ofertaron-los-brasilenos-por-nuestra-energia/</t>
        </is>
      </c>
      <c r="O302" s="12" t="n">
        <v>25</v>
      </c>
      <c r="P302" s="4" t="inlineStr">
        <is>
          <t>Oferta de concurso ACL Brasil; plazo ofertado 6 años. No equivale a contrato ejecutado.</t>
        </is>
      </c>
    </row>
    <row r="303">
      <c r="A303" s="6" t="inlineStr">
        <is>
          <t>P00302</t>
        </is>
      </c>
      <c r="B303" s="6" t="inlineStr">
        <is>
          <t>2024-09-06</t>
        </is>
      </c>
      <c r="C303" s="6" t="inlineStr">
        <is>
          <t>2024-09-06</t>
        </is>
      </c>
      <c r="D303" s="6" t="inlineStr">
        <is>
          <t>offer</t>
        </is>
      </c>
      <c r="E303" s="6" t="inlineStr">
        <is>
          <t>ACARAY_BRAZIL_TENDER_OFFER</t>
        </is>
      </c>
      <c r="F303" s="6" t="inlineStr">
        <is>
          <t>ACARAY</t>
        </is>
      </c>
      <c r="G303" s="6" t="inlineStr">
        <is>
          <t>Vitol</t>
        </is>
      </c>
      <c r="H303" s="8" t="n">
        <v>8.66</v>
      </c>
      <c r="I303" s="6" t="inlineStr">
        <is>
          <t>USD/MWh</t>
        </is>
      </c>
      <c r="J303" s="6" t="inlineStr">
        <is>
          <t>USD</t>
        </is>
      </c>
      <c r="K303" s="6" t="inlineStr">
        <is>
          <t>ABC</t>
        </is>
      </c>
      <c r="L303" s="6" t="inlineStr">
        <is>
          <t>PRESS_SECONDARY</t>
        </is>
      </c>
      <c r="M303" s="11" t="inlineStr">
        <is>
          <t>PRESS_SECONDARY</t>
        </is>
      </c>
      <c r="N303" s="7" t="inlineStr">
        <is>
          <t>https://www.abc.com.py/economia/2024/09/06/ande-abrio-sobres-sepa-cuanto-ofertaron-los-brasilenos-por-nuestra-energia/</t>
        </is>
      </c>
      <c r="O303" s="12" t="n">
        <v>25</v>
      </c>
      <c r="P303" s="4" t="inlineStr">
        <is>
          <t>Oferta de concurso ACL Brasil; plazo ofertado 6 años. No equivale a contrato ejecutado.</t>
        </is>
      </c>
    </row>
    <row r="304">
      <c r="A304" s="6" t="inlineStr">
        <is>
          <t>P00303</t>
        </is>
      </c>
      <c r="B304" s="6" t="inlineStr">
        <is>
          <t>2024-09-06</t>
        </is>
      </c>
      <c r="C304" s="6" t="inlineStr">
        <is>
          <t>2024-09-06</t>
        </is>
      </c>
      <c r="D304" s="6" t="inlineStr">
        <is>
          <t>offer</t>
        </is>
      </c>
      <c r="E304" s="6" t="inlineStr">
        <is>
          <t>ACARAY_BRAZIL_TENDER_OFFER</t>
        </is>
      </c>
      <c r="F304" s="6" t="inlineStr">
        <is>
          <t>ACARAY</t>
        </is>
      </c>
      <c r="G304" s="6" t="inlineStr">
        <is>
          <t>Engelhart/BTG</t>
        </is>
      </c>
      <c r="H304" s="8" t="n">
        <v>7.73</v>
      </c>
      <c r="I304" s="6" t="inlineStr">
        <is>
          <t>USD/MWh</t>
        </is>
      </c>
      <c r="J304" s="6" t="inlineStr">
        <is>
          <t>USD</t>
        </is>
      </c>
      <c r="K304" s="6" t="inlineStr">
        <is>
          <t>ABC</t>
        </is>
      </c>
      <c r="L304" s="6" t="inlineStr">
        <is>
          <t>PRESS_SECONDARY</t>
        </is>
      </c>
      <c r="M304" s="11" t="inlineStr">
        <is>
          <t>PRESS_SECONDARY</t>
        </is>
      </c>
      <c r="N304" s="7" t="inlineStr">
        <is>
          <t>https://www.abc.com.py/economia/2024/09/06/ande-abrio-sobres-sepa-cuanto-ofertaron-los-brasilenos-por-nuestra-energia/</t>
        </is>
      </c>
      <c r="O304" s="12" t="n">
        <v>25</v>
      </c>
      <c r="P304" s="4" t="inlineStr">
        <is>
          <t>Oferta de concurso ACL Brasil; plazo ofertado 3 años. No equivale a contrato ejecutado.</t>
        </is>
      </c>
    </row>
    <row r="305">
      <c r="A305" t="inlineStr">
        <is>
          <t>P00304</t>
        </is>
      </c>
      <c r="B305" t="inlineStr">
        <is>
          <t>2020-01-01</t>
        </is>
      </c>
      <c r="C305" t="inlineStr">
        <is>
          <t>2020-12-31</t>
        </is>
      </c>
      <c r="D305" t="inlineStr">
        <is>
          <t>year</t>
        </is>
      </c>
      <c r="E305" t="inlineStr">
        <is>
          <t>ANDE_TARIFF_RESIDENTIAL</t>
        </is>
      </c>
      <c r="F305" t="inlineStr">
        <is>
          <t>PY_SIN</t>
        </is>
      </c>
      <c r="G305" t="inlineStr">
        <is>
          <t>PY</t>
        </is>
      </c>
      <c r="H305" t="n">
        <v>411.3</v>
      </c>
      <c r="I305" t="inlineStr">
        <is>
          <t>Gs/kWh</t>
        </is>
      </c>
      <c r="J305" t="inlineStr">
        <is>
          <t>PYG</t>
        </is>
      </c>
      <c r="K305" t="inlineStr">
        <is>
          <t>ANDE</t>
        </is>
      </c>
      <c r="L305" t="inlineStr">
        <is>
          <t>OFFICIAL_PRIMARY</t>
        </is>
      </c>
      <c r="M305" t="inlineStr">
        <is>
          <t>OFFICIAL_AGGREGATE</t>
        </is>
      </c>
      <c r="N305" t="inlineStr">
        <is>
          <t>https://www.ande.gov.py/finanzas/ANDE%20-%20Resumen%20Estad%C3%ADstico%202020%20-%202024.pdf</t>
        </is>
      </c>
      <c r="O305" t="n">
        <v>95</v>
      </c>
      <c r="P305" t="inlineStr">
        <is>
          <t>Tarifa media anual segun Resumen Estadistico 2020-2024. Fuente mas reciente para este periodo; preservar revisiones previas para auditoria.</t>
        </is>
      </c>
    </row>
    <row r="306">
      <c r="A306" t="inlineStr">
        <is>
          <t>P00305</t>
        </is>
      </c>
      <c r="B306" t="inlineStr">
        <is>
          <t>2021-01-01</t>
        </is>
      </c>
      <c r="C306" t="inlineStr">
        <is>
          <t>2021-12-31</t>
        </is>
      </c>
      <c r="D306" t="inlineStr">
        <is>
          <t>year</t>
        </is>
      </c>
      <c r="E306" t="inlineStr">
        <is>
          <t>ANDE_TARIFF_RESIDENTIAL</t>
        </is>
      </c>
      <c r="F306" t="inlineStr">
        <is>
          <t>PY_SIN</t>
        </is>
      </c>
      <c r="G306" t="inlineStr">
        <is>
          <t>PY</t>
        </is>
      </c>
      <c r="H306" t="n">
        <v>411.5</v>
      </c>
      <c r="I306" t="inlineStr">
        <is>
          <t>Gs/kWh</t>
        </is>
      </c>
      <c r="J306" t="inlineStr">
        <is>
          <t>PYG</t>
        </is>
      </c>
      <c r="K306" t="inlineStr">
        <is>
          <t>ANDE</t>
        </is>
      </c>
      <c r="L306" t="inlineStr">
        <is>
          <t>OFFICIAL_PRIMARY</t>
        </is>
      </c>
      <c r="M306" t="inlineStr">
        <is>
          <t>OFFICIAL_AGGREGATE</t>
        </is>
      </c>
      <c r="N306" t="inlineStr">
        <is>
          <t>https://www.ande.gov.py/finanzas/ANDE%20-%20Resumen%20Estad%C3%ADstico%202020%20-%202024.pdf</t>
        </is>
      </c>
      <c r="O306" t="n">
        <v>95</v>
      </c>
      <c r="P306" t="inlineStr">
        <is>
          <t>Tarifa media anual segun Resumen Estadistico 2020-2024. Fuente mas reciente para este periodo; preservar revisiones previas para auditoria.</t>
        </is>
      </c>
    </row>
    <row r="307">
      <c r="A307" t="inlineStr">
        <is>
          <t>P00306</t>
        </is>
      </c>
      <c r="B307" t="inlineStr">
        <is>
          <t>2022-01-01</t>
        </is>
      </c>
      <c r="C307" t="inlineStr">
        <is>
          <t>2022-12-31</t>
        </is>
      </c>
      <c r="D307" t="inlineStr">
        <is>
          <t>year</t>
        </is>
      </c>
      <c r="E307" t="inlineStr">
        <is>
          <t>ANDE_TARIFF_RESIDENTIAL</t>
        </is>
      </c>
      <c r="F307" t="inlineStr">
        <is>
          <t>PY_SIN</t>
        </is>
      </c>
      <c r="G307" t="inlineStr">
        <is>
          <t>PY</t>
        </is>
      </c>
      <c r="H307" t="n">
        <v>411.4</v>
      </c>
      <c r="I307" t="inlineStr">
        <is>
          <t>Gs/kWh</t>
        </is>
      </c>
      <c r="J307" t="inlineStr">
        <is>
          <t>PYG</t>
        </is>
      </c>
      <c r="K307" t="inlineStr">
        <is>
          <t>ANDE</t>
        </is>
      </c>
      <c r="L307" t="inlineStr">
        <is>
          <t>OFFICIAL_PRIMARY</t>
        </is>
      </c>
      <c r="M307" t="inlineStr">
        <is>
          <t>OFFICIAL_AGGREGATE</t>
        </is>
      </c>
      <c r="N307" t="inlineStr">
        <is>
          <t>https://www.ande.gov.py/finanzas/ANDE%20-%20Resumen%20Estad%C3%ADstico%202020%20-%202024.pdf</t>
        </is>
      </c>
      <c r="O307" t="n">
        <v>95</v>
      </c>
      <c r="P307" t="inlineStr">
        <is>
          <t>Tarifa media anual segun Resumen Estadistico 2020-2024. Fuente mas reciente para este periodo; preservar revisiones previas para auditoria.</t>
        </is>
      </c>
    </row>
    <row r="308">
      <c r="A308" t="inlineStr">
        <is>
          <t>P00307</t>
        </is>
      </c>
      <c r="B308" t="inlineStr">
        <is>
          <t>2023-01-01</t>
        </is>
      </c>
      <c r="C308" t="inlineStr">
        <is>
          <t>2023-12-31</t>
        </is>
      </c>
      <c r="D308" t="inlineStr">
        <is>
          <t>year</t>
        </is>
      </c>
      <c r="E308" t="inlineStr">
        <is>
          <t>ANDE_TARIFF_RESIDENTIAL</t>
        </is>
      </c>
      <c r="F308" t="inlineStr">
        <is>
          <t>PY_SIN</t>
        </is>
      </c>
      <c r="G308" t="inlineStr">
        <is>
          <t>PY</t>
        </is>
      </c>
      <c r="H308" t="n">
        <v>412.6</v>
      </c>
      <c r="I308" t="inlineStr">
        <is>
          <t>Gs/kWh</t>
        </is>
      </c>
      <c r="J308" t="inlineStr">
        <is>
          <t>PYG</t>
        </is>
      </c>
      <c r="K308" t="inlineStr">
        <is>
          <t>ANDE</t>
        </is>
      </c>
      <c r="L308" t="inlineStr">
        <is>
          <t>OFFICIAL_PRIMARY</t>
        </is>
      </c>
      <c r="M308" t="inlineStr">
        <is>
          <t>OFFICIAL_AGGREGATE</t>
        </is>
      </c>
      <c r="N308" t="inlineStr">
        <is>
          <t>https://www.ande.gov.py/finanzas/ANDE%20-%20Resumen%20Estad%C3%ADstico%202020%20-%202024.pdf</t>
        </is>
      </c>
      <c r="O308" t="n">
        <v>95</v>
      </c>
      <c r="P308" t="inlineStr">
        <is>
          <t>Tarifa media anual segun Resumen Estadistico 2020-2024. Fuente mas reciente para este periodo; preservar revisiones previas para auditoria.</t>
        </is>
      </c>
    </row>
    <row r="309">
      <c r="A309" t="inlineStr">
        <is>
          <t>P00308</t>
        </is>
      </c>
      <c r="B309" t="inlineStr">
        <is>
          <t>2024-01-01</t>
        </is>
      </c>
      <c r="C309" t="inlineStr">
        <is>
          <t>2024-12-31</t>
        </is>
      </c>
      <c r="D309" t="inlineStr">
        <is>
          <t>year</t>
        </is>
      </c>
      <c r="E309" t="inlineStr">
        <is>
          <t>ANDE_TARIFF_RESIDENTIAL</t>
        </is>
      </c>
      <c r="F309" t="inlineStr">
        <is>
          <t>PY_SIN</t>
        </is>
      </c>
      <c r="G309" t="inlineStr">
        <is>
          <t>PY</t>
        </is>
      </c>
      <c r="H309" t="n">
        <v>415.5</v>
      </c>
      <c r="I309" t="inlineStr">
        <is>
          <t>Gs/kWh</t>
        </is>
      </c>
      <c r="J309" t="inlineStr">
        <is>
          <t>PYG</t>
        </is>
      </c>
      <c r="K309" t="inlineStr">
        <is>
          <t>ANDE</t>
        </is>
      </c>
      <c r="L309" t="inlineStr">
        <is>
          <t>OFFICIAL_PRIMARY</t>
        </is>
      </c>
      <c r="M309" t="inlineStr">
        <is>
          <t>OFFICIAL_AGGREGATE</t>
        </is>
      </c>
      <c r="N309" t="inlineStr">
        <is>
          <t>https://www.ande.gov.py/finanzas/ANDE%20-%20Resumen%20Estad%C3%ADstico%202020%20-%202024.pdf</t>
        </is>
      </c>
      <c r="O309" t="n">
        <v>95</v>
      </c>
      <c r="P309" t="inlineStr">
        <is>
          <t>Tarifa media anual segun Resumen Estadistico 2020-2024. Fuente mas reciente para este periodo; preservar revisiones previas para auditoria.</t>
        </is>
      </c>
    </row>
    <row r="310">
      <c r="A310" t="inlineStr">
        <is>
          <t>P00309</t>
        </is>
      </c>
      <c r="B310" t="inlineStr">
        <is>
          <t>2020-01-01</t>
        </is>
      </c>
      <c r="C310" t="inlineStr">
        <is>
          <t>2020-12-31</t>
        </is>
      </c>
      <c r="D310" t="inlineStr">
        <is>
          <t>year</t>
        </is>
      </c>
      <c r="E310" t="inlineStr">
        <is>
          <t>ANDE_TARIFF_INDUSTRIAL</t>
        </is>
      </c>
      <c r="F310" t="inlineStr">
        <is>
          <t>PY_SIN</t>
        </is>
      </c>
      <c r="G310" t="inlineStr">
        <is>
          <t>PY</t>
        </is>
      </c>
      <c r="H310" t="n">
        <v>299.8</v>
      </c>
      <c r="I310" t="inlineStr">
        <is>
          <t>Gs/kWh</t>
        </is>
      </c>
      <c r="J310" t="inlineStr">
        <is>
          <t>PYG</t>
        </is>
      </c>
      <c r="K310" t="inlineStr">
        <is>
          <t>ANDE</t>
        </is>
      </c>
      <c r="L310" t="inlineStr">
        <is>
          <t>OFFICIAL_PRIMARY</t>
        </is>
      </c>
      <c r="M310" t="inlineStr">
        <is>
          <t>OFFICIAL_AGGREGATE</t>
        </is>
      </c>
      <c r="N310" t="inlineStr">
        <is>
          <t>https://www.ande.gov.py/finanzas/ANDE%20-%20Resumen%20Estad%C3%ADstico%202020%20-%202024.pdf</t>
        </is>
      </c>
      <c r="O310" t="n">
        <v>95</v>
      </c>
      <c r="P310" t="inlineStr">
        <is>
          <t>Tarifa media anual segun Resumen Estadistico 2020-2024. Fuente mas reciente para este periodo; preservar revisiones previas para auditoria.</t>
        </is>
      </c>
    </row>
    <row r="311">
      <c r="A311" t="inlineStr">
        <is>
          <t>P00310</t>
        </is>
      </c>
      <c r="B311" t="inlineStr">
        <is>
          <t>2021-01-01</t>
        </is>
      </c>
      <c r="C311" t="inlineStr">
        <is>
          <t>2021-12-31</t>
        </is>
      </c>
      <c r="D311" t="inlineStr">
        <is>
          <t>year</t>
        </is>
      </c>
      <c r="E311" t="inlineStr">
        <is>
          <t>ANDE_TARIFF_INDUSTRIAL</t>
        </is>
      </c>
      <c r="F311" t="inlineStr">
        <is>
          <t>PY_SIN</t>
        </is>
      </c>
      <c r="G311" t="inlineStr">
        <is>
          <t>PY</t>
        </is>
      </c>
      <c r="H311" t="n">
        <v>281.3</v>
      </c>
      <c r="I311" t="inlineStr">
        <is>
          <t>Gs/kWh</t>
        </is>
      </c>
      <c r="J311" t="inlineStr">
        <is>
          <t>PYG</t>
        </is>
      </c>
      <c r="K311" t="inlineStr">
        <is>
          <t>ANDE</t>
        </is>
      </c>
      <c r="L311" t="inlineStr">
        <is>
          <t>OFFICIAL_PRIMARY</t>
        </is>
      </c>
      <c r="M311" t="inlineStr">
        <is>
          <t>OFFICIAL_AGGREGATE</t>
        </is>
      </c>
      <c r="N311" t="inlineStr">
        <is>
          <t>https://www.ande.gov.py/finanzas/ANDE%20-%20Resumen%20Estad%C3%ADstico%202020%20-%202024.pdf</t>
        </is>
      </c>
      <c r="O311" t="n">
        <v>95</v>
      </c>
      <c r="P311" t="inlineStr">
        <is>
          <t>Tarifa media anual segun Resumen Estadistico 2020-2024. Fuente mas reciente para este periodo; preservar revisiones previas para auditoria.</t>
        </is>
      </c>
    </row>
    <row r="312">
      <c r="A312" t="inlineStr">
        <is>
          <t>P00311</t>
        </is>
      </c>
      <c r="B312" t="inlineStr">
        <is>
          <t>2022-01-01</t>
        </is>
      </c>
      <c r="C312" t="inlineStr">
        <is>
          <t>2022-12-31</t>
        </is>
      </c>
      <c r="D312" t="inlineStr">
        <is>
          <t>year</t>
        </is>
      </c>
      <c r="E312" t="inlineStr">
        <is>
          <t>ANDE_TARIFF_INDUSTRIAL</t>
        </is>
      </c>
      <c r="F312" t="inlineStr">
        <is>
          <t>PY_SIN</t>
        </is>
      </c>
      <c r="G312" t="inlineStr">
        <is>
          <t>PY</t>
        </is>
      </c>
      <c r="H312" t="n">
        <v>287.7</v>
      </c>
      <c r="I312" t="inlineStr">
        <is>
          <t>Gs/kWh</t>
        </is>
      </c>
      <c r="J312" t="inlineStr">
        <is>
          <t>PYG</t>
        </is>
      </c>
      <c r="K312" t="inlineStr">
        <is>
          <t>ANDE</t>
        </is>
      </c>
      <c r="L312" t="inlineStr">
        <is>
          <t>OFFICIAL_PRIMARY</t>
        </is>
      </c>
      <c r="M312" t="inlineStr">
        <is>
          <t>OFFICIAL_AGGREGATE</t>
        </is>
      </c>
      <c r="N312" t="inlineStr">
        <is>
          <t>https://www.ande.gov.py/finanzas/ANDE%20-%20Resumen%20Estad%C3%ADstico%202020%20-%202024.pdf</t>
        </is>
      </c>
      <c r="O312" t="n">
        <v>95</v>
      </c>
      <c r="P312" t="inlineStr">
        <is>
          <t>Tarifa media anual segun Resumen Estadistico 2020-2024. Fuente mas reciente para este periodo; preservar revisiones previas para auditoria.</t>
        </is>
      </c>
    </row>
    <row r="313">
      <c r="A313" t="inlineStr">
        <is>
          <t>P00312</t>
        </is>
      </c>
      <c r="B313" t="inlineStr">
        <is>
          <t>2023-01-01</t>
        </is>
      </c>
      <c r="C313" t="inlineStr">
        <is>
          <t>2023-12-31</t>
        </is>
      </c>
      <c r="D313" t="inlineStr">
        <is>
          <t>year</t>
        </is>
      </c>
      <c r="E313" t="inlineStr">
        <is>
          <t>ANDE_TARIFF_INDUSTRIAL</t>
        </is>
      </c>
      <c r="F313" t="inlineStr">
        <is>
          <t>PY_SIN</t>
        </is>
      </c>
      <c r="G313" t="inlineStr">
        <is>
          <t>PY</t>
        </is>
      </c>
      <c r="H313" t="n">
        <v>278.2</v>
      </c>
      <c r="I313" t="inlineStr">
        <is>
          <t>Gs/kWh</t>
        </is>
      </c>
      <c r="J313" t="inlineStr">
        <is>
          <t>PYG</t>
        </is>
      </c>
      <c r="K313" t="inlineStr">
        <is>
          <t>ANDE</t>
        </is>
      </c>
      <c r="L313" t="inlineStr">
        <is>
          <t>OFFICIAL_PRIMARY</t>
        </is>
      </c>
      <c r="M313" t="inlineStr">
        <is>
          <t>OFFICIAL_AGGREGATE</t>
        </is>
      </c>
      <c r="N313" t="inlineStr">
        <is>
          <t>https://www.ande.gov.py/finanzas/ANDE%20-%20Resumen%20Estad%C3%ADstico%202020%20-%202024.pdf</t>
        </is>
      </c>
      <c r="O313" t="n">
        <v>95</v>
      </c>
      <c r="P313" t="inlineStr">
        <is>
          <t>Tarifa media anual segun Resumen Estadistico 2020-2024. Fuente mas reciente para este periodo; preservar revisiones previas para auditoria.</t>
        </is>
      </c>
    </row>
    <row r="314">
      <c r="A314" t="inlineStr">
        <is>
          <t>P00313</t>
        </is>
      </c>
      <c r="B314" t="inlineStr">
        <is>
          <t>2024-01-01</t>
        </is>
      </c>
      <c r="C314" t="inlineStr">
        <is>
          <t>2024-12-31</t>
        </is>
      </c>
      <c r="D314" t="inlineStr">
        <is>
          <t>year</t>
        </is>
      </c>
      <c r="E314" t="inlineStr">
        <is>
          <t>ANDE_TARIFF_INDUSTRIAL</t>
        </is>
      </c>
      <c r="F314" t="inlineStr">
        <is>
          <t>PY_SIN</t>
        </is>
      </c>
      <c r="G314" t="inlineStr">
        <is>
          <t>PY</t>
        </is>
      </c>
      <c r="H314" t="n">
        <v>272.4</v>
      </c>
      <c r="I314" t="inlineStr">
        <is>
          <t>Gs/kWh</t>
        </is>
      </c>
      <c r="J314" t="inlineStr">
        <is>
          <t>PYG</t>
        </is>
      </c>
      <c r="K314" t="inlineStr">
        <is>
          <t>ANDE</t>
        </is>
      </c>
      <c r="L314" t="inlineStr">
        <is>
          <t>OFFICIAL_PRIMARY</t>
        </is>
      </c>
      <c r="M314" t="inlineStr">
        <is>
          <t>OFFICIAL_AGGREGATE</t>
        </is>
      </c>
      <c r="N314" t="inlineStr">
        <is>
          <t>https://www.ande.gov.py/finanzas/ANDE%20-%20Resumen%20Estad%C3%ADstico%202020%20-%202024.pdf</t>
        </is>
      </c>
      <c r="O314" t="n">
        <v>95</v>
      </c>
      <c r="P314" t="inlineStr">
        <is>
          <t>Tarifa media anual segun Resumen Estadistico 2020-2024. Fuente mas reciente para este periodo; preservar revisiones previas para auditoria.</t>
        </is>
      </c>
    </row>
    <row r="315">
      <c r="A315" t="inlineStr">
        <is>
          <t>P00314</t>
        </is>
      </c>
      <c r="B315" t="inlineStr">
        <is>
          <t>2020-01-01</t>
        </is>
      </c>
      <c r="C315" t="inlineStr">
        <is>
          <t>2020-12-31</t>
        </is>
      </c>
      <c r="D315" t="inlineStr">
        <is>
          <t>year</t>
        </is>
      </c>
      <c r="E315" t="inlineStr">
        <is>
          <t>ANDE_TARIFF_GOV</t>
        </is>
      </c>
      <c r="F315" t="inlineStr">
        <is>
          <t>PY_SIN</t>
        </is>
      </c>
      <c r="G315" t="inlineStr">
        <is>
          <t>PY</t>
        </is>
      </c>
      <c r="H315" t="n">
        <v>366.8</v>
      </c>
      <c r="I315" t="inlineStr">
        <is>
          <t>Gs/kWh</t>
        </is>
      </c>
      <c r="J315" t="inlineStr">
        <is>
          <t>PYG</t>
        </is>
      </c>
      <c r="K315" t="inlineStr">
        <is>
          <t>ANDE</t>
        </is>
      </c>
      <c r="L315" t="inlineStr">
        <is>
          <t>OFFICIAL_PRIMARY</t>
        </is>
      </c>
      <c r="M315" t="inlineStr">
        <is>
          <t>OFFICIAL_AGGREGATE</t>
        </is>
      </c>
      <c r="N315" t="inlineStr">
        <is>
          <t>https://www.ande.gov.py/finanzas/ANDE%20-%20Resumen%20Estad%C3%ADstico%202020%20-%202024.pdf</t>
        </is>
      </c>
      <c r="O315" t="n">
        <v>95</v>
      </c>
      <c r="P315" t="inlineStr">
        <is>
          <t>Tarifa media anual segun Resumen Estadistico 2020-2024. Fuente mas reciente para este periodo; preservar revisiones previas para auditoria.</t>
        </is>
      </c>
    </row>
    <row r="316">
      <c r="A316" t="inlineStr">
        <is>
          <t>P00315</t>
        </is>
      </c>
      <c r="B316" t="inlineStr">
        <is>
          <t>2021-01-01</t>
        </is>
      </c>
      <c r="C316" t="inlineStr">
        <is>
          <t>2021-12-31</t>
        </is>
      </c>
      <c r="D316" t="inlineStr">
        <is>
          <t>year</t>
        </is>
      </c>
      <c r="E316" t="inlineStr">
        <is>
          <t>ANDE_TARIFF_GOV</t>
        </is>
      </c>
      <c r="F316" t="inlineStr">
        <is>
          <t>PY_SIN</t>
        </is>
      </c>
      <c r="G316" t="inlineStr">
        <is>
          <t>PY</t>
        </is>
      </c>
      <c r="H316" t="n">
        <v>359</v>
      </c>
      <c r="I316" t="inlineStr">
        <is>
          <t>Gs/kWh</t>
        </is>
      </c>
      <c r="J316" t="inlineStr">
        <is>
          <t>PYG</t>
        </is>
      </c>
      <c r="K316" t="inlineStr">
        <is>
          <t>ANDE</t>
        </is>
      </c>
      <c r="L316" t="inlineStr">
        <is>
          <t>OFFICIAL_PRIMARY</t>
        </is>
      </c>
      <c r="M316" t="inlineStr">
        <is>
          <t>OFFICIAL_AGGREGATE</t>
        </is>
      </c>
      <c r="N316" t="inlineStr">
        <is>
          <t>https://www.ande.gov.py/finanzas/ANDE%20-%20Resumen%20Estad%C3%ADstico%202020%20-%202024.pdf</t>
        </is>
      </c>
      <c r="O316" t="n">
        <v>95</v>
      </c>
      <c r="P316" t="inlineStr">
        <is>
          <t>Tarifa media anual segun Resumen Estadistico 2020-2024. Fuente mas reciente para este periodo; preservar revisiones previas para auditoria.</t>
        </is>
      </c>
    </row>
    <row r="317">
      <c r="A317" t="inlineStr">
        <is>
          <t>P00316</t>
        </is>
      </c>
      <c r="B317" t="inlineStr">
        <is>
          <t>2022-01-01</t>
        </is>
      </c>
      <c r="C317" t="inlineStr">
        <is>
          <t>2022-12-31</t>
        </is>
      </c>
      <c r="D317" t="inlineStr">
        <is>
          <t>year</t>
        </is>
      </c>
      <c r="E317" t="inlineStr">
        <is>
          <t>ANDE_TARIFF_GOV</t>
        </is>
      </c>
      <c r="F317" t="inlineStr">
        <is>
          <t>PY_SIN</t>
        </is>
      </c>
      <c r="G317" t="inlineStr">
        <is>
          <t>PY</t>
        </is>
      </c>
      <c r="H317" t="n">
        <v>374.6</v>
      </c>
      <c r="I317" t="inlineStr">
        <is>
          <t>Gs/kWh</t>
        </is>
      </c>
      <c r="J317" t="inlineStr">
        <is>
          <t>PYG</t>
        </is>
      </c>
      <c r="K317" t="inlineStr">
        <is>
          <t>ANDE</t>
        </is>
      </c>
      <c r="L317" t="inlineStr">
        <is>
          <t>OFFICIAL_PRIMARY</t>
        </is>
      </c>
      <c r="M317" t="inlineStr">
        <is>
          <t>OFFICIAL_AGGREGATE</t>
        </is>
      </c>
      <c r="N317" t="inlineStr">
        <is>
          <t>https://www.ande.gov.py/finanzas/ANDE%20-%20Resumen%20Estad%C3%ADstico%202020%20-%202024.pdf</t>
        </is>
      </c>
      <c r="O317" t="n">
        <v>95</v>
      </c>
      <c r="P317" t="inlineStr">
        <is>
          <t>Tarifa media anual segun Resumen Estadistico 2020-2024. Fuente mas reciente para este periodo; preservar revisiones previas para auditoria.</t>
        </is>
      </c>
    </row>
    <row r="318">
      <c r="A318" t="inlineStr">
        <is>
          <t>P00317</t>
        </is>
      </c>
      <c r="B318" t="inlineStr">
        <is>
          <t>2023-01-01</t>
        </is>
      </c>
      <c r="C318" t="inlineStr">
        <is>
          <t>2023-12-31</t>
        </is>
      </c>
      <c r="D318" t="inlineStr">
        <is>
          <t>year</t>
        </is>
      </c>
      <c r="E318" t="inlineStr">
        <is>
          <t>ANDE_TARIFF_GOV</t>
        </is>
      </c>
      <c r="F318" t="inlineStr">
        <is>
          <t>PY_SIN</t>
        </is>
      </c>
      <c r="G318" t="inlineStr">
        <is>
          <t>PY</t>
        </is>
      </c>
      <c r="H318" t="n">
        <v>368.3</v>
      </c>
      <c r="I318" t="inlineStr">
        <is>
          <t>Gs/kWh</t>
        </is>
      </c>
      <c r="J318" t="inlineStr">
        <is>
          <t>PYG</t>
        </is>
      </c>
      <c r="K318" t="inlineStr">
        <is>
          <t>ANDE</t>
        </is>
      </c>
      <c r="L318" t="inlineStr">
        <is>
          <t>OFFICIAL_PRIMARY</t>
        </is>
      </c>
      <c r="M318" t="inlineStr">
        <is>
          <t>OFFICIAL_AGGREGATE</t>
        </is>
      </c>
      <c r="N318" t="inlineStr">
        <is>
          <t>https://www.ande.gov.py/finanzas/ANDE%20-%20Resumen%20Estad%C3%ADstico%202020%20-%202024.pdf</t>
        </is>
      </c>
      <c r="O318" t="n">
        <v>95</v>
      </c>
      <c r="P318" t="inlineStr">
        <is>
          <t>Tarifa media anual segun Resumen Estadistico 2020-2024. Fuente mas reciente para este periodo; preservar revisiones previas para auditoria.</t>
        </is>
      </c>
    </row>
    <row r="319">
      <c r="A319" t="inlineStr">
        <is>
          <t>P00318</t>
        </is>
      </c>
      <c r="B319" t="inlineStr">
        <is>
          <t>2024-01-01</t>
        </is>
      </c>
      <c r="C319" t="inlineStr">
        <is>
          <t>2024-12-31</t>
        </is>
      </c>
      <c r="D319" t="inlineStr">
        <is>
          <t>year</t>
        </is>
      </c>
      <c r="E319" t="inlineStr">
        <is>
          <t>ANDE_TARIFF_GOV</t>
        </is>
      </c>
      <c r="F319" t="inlineStr">
        <is>
          <t>PY_SIN</t>
        </is>
      </c>
      <c r="G319" t="inlineStr">
        <is>
          <t>PY</t>
        </is>
      </c>
      <c r="H319" t="n">
        <v>383.7</v>
      </c>
      <c r="I319" t="inlineStr">
        <is>
          <t>Gs/kWh</t>
        </is>
      </c>
      <c r="J319" t="inlineStr">
        <is>
          <t>PYG</t>
        </is>
      </c>
      <c r="K319" t="inlineStr">
        <is>
          <t>ANDE</t>
        </is>
      </c>
      <c r="L319" t="inlineStr">
        <is>
          <t>OFFICIAL_PRIMARY</t>
        </is>
      </c>
      <c r="M319" t="inlineStr">
        <is>
          <t>OFFICIAL_AGGREGATE</t>
        </is>
      </c>
      <c r="N319" t="inlineStr">
        <is>
          <t>https://www.ande.gov.py/finanzas/ANDE%20-%20Resumen%20Estad%C3%ADstico%202020%20-%202024.pdf</t>
        </is>
      </c>
      <c r="O319" t="n">
        <v>95</v>
      </c>
      <c r="P319" t="inlineStr">
        <is>
          <t>Tarifa media anual segun Resumen Estadistico 2020-2024. Fuente mas reciente para este periodo; preservar revisiones previas para auditoria.</t>
        </is>
      </c>
    </row>
    <row r="320">
      <c r="A320" t="inlineStr">
        <is>
          <t>P00319</t>
        </is>
      </c>
      <c r="B320" t="inlineStr">
        <is>
          <t>2020-01-01</t>
        </is>
      </c>
      <c r="C320" t="inlineStr">
        <is>
          <t>2020-12-31</t>
        </is>
      </c>
      <c r="D320" t="inlineStr">
        <is>
          <t>year</t>
        </is>
      </c>
      <c r="E320" t="inlineStr">
        <is>
          <t>ANDE_TARIFF_PUBLIC_LIGHT</t>
        </is>
      </c>
      <c r="F320" t="inlineStr">
        <is>
          <t>PY_SIN</t>
        </is>
      </c>
      <c r="G320" t="inlineStr">
        <is>
          <t>PY</t>
        </is>
      </c>
      <c r="H320" t="n">
        <v>387.3</v>
      </c>
      <c r="I320" t="inlineStr">
        <is>
          <t>Gs/kWh</t>
        </is>
      </c>
      <c r="J320" t="inlineStr">
        <is>
          <t>PYG</t>
        </is>
      </c>
      <c r="K320" t="inlineStr">
        <is>
          <t>ANDE</t>
        </is>
      </c>
      <c r="L320" t="inlineStr">
        <is>
          <t>OFFICIAL_PRIMARY</t>
        </is>
      </c>
      <c r="M320" t="inlineStr">
        <is>
          <t>OFFICIAL_AGGREGATE</t>
        </is>
      </c>
      <c r="N320" t="inlineStr">
        <is>
          <t>https://www.ande.gov.py/finanzas/ANDE%20-%20Resumen%20Estad%C3%ADstico%202020%20-%202024.pdf</t>
        </is>
      </c>
      <c r="O320" t="n">
        <v>95</v>
      </c>
      <c r="P320" t="inlineStr">
        <is>
          <t>Tarifa media anual segun Resumen Estadistico 2020-2024. Fuente mas reciente para este periodo; preservar revisiones previas para auditoria.</t>
        </is>
      </c>
    </row>
    <row r="321">
      <c r="A321" t="inlineStr">
        <is>
          <t>P00320</t>
        </is>
      </c>
      <c r="B321" t="inlineStr">
        <is>
          <t>2021-01-01</t>
        </is>
      </c>
      <c r="C321" t="inlineStr">
        <is>
          <t>2021-12-31</t>
        </is>
      </c>
      <c r="D321" t="inlineStr">
        <is>
          <t>year</t>
        </is>
      </c>
      <c r="E321" t="inlineStr">
        <is>
          <t>ANDE_TARIFF_PUBLIC_LIGHT</t>
        </is>
      </c>
      <c r="F321" t="inlineStr">
        <is>
          <t>PY_SIN</t>
        </is>
      </c>
      <c r="G321" t="inlineStr">
        <is>
          <t>PY</t>
        </is>
      </c>
      <c r="H321" t="n">
        <v>387.3</v>
      </c>
      <c r="I321" t="inlineStr">
        <is>
          <t>Gs/kWh</t>
        </is>
      </c>
      <c r="J321" t="inlineStr">
        <is>
          <t>PYG</t>
        </is>
      </c>
      <c r="K321" t="inlineStr">
        <is>
          <t>ANDE</t>
        </is>
      </c>
      <c r="L321" t="inlineStr">
        <is>
          <t>OFFICIAL_PRIMARY</t>
        </is>
      </c>
      <c r="M321" t="inlineStr">
        <is>
          <t>OFFICIAL_AGGREGATE</t>
        </is>
      </c>
      <c r="N321" t="inlineStr">
        <is>
          <t>https://www.ande.gov.py/finanzas/ANDE%20-%20Resumen%20Estad%C3%ADstico%202020%20-%202024.pdf</t>
        </is>
      </c>
      <c r="O321" t="n">
        <v>95</v>
      </c>
      <c r="P321" t="inlineStr">
        <is>
          <t>Tarifa media anual segun Resumen Estadistico 2020-2024. Fuente mas reciente para este periodo; preservar revisiones previas para auditoria.</t>
        </is>
      </c>
    </row>
    <row r="322">
      <c r="A322" t="inlineStr">
        <is>
          <t>P00321</t>
        </is>
      </c>
      <c r="B322" t="inlineStr">
        <is>
          <t>2022-01-01</t>
        </is>
      </c>
      <c r="C322" t="inlineStr">
        <is>
          <t>2022-12-31</t>
        </is>
      </c>
      <c r="D322" t="inlineStr">
        <is>
          <t>year</t>
        </is>
      </c>
      <c r="E322" t="inlineStr">
        <is>
          <t>ANDE_TARIFF_PUBLIC_LIGHT</t>
        </is>
      </c>
      <c r="F322" t="inlineStr">
        <is>
          <t>PY_SIN</t>
        </is>
      </c>
      <c r="G322" t="inlineStr">
        <is>
          <t>PY</t>
        </is>
      </c>
      <c r="H322" t="n">
        <v>387.3</v>
      </c>
      <c r="I322" t="inlineStr">
        <is>
          <t>Gs/kWh</t>
        </is>
      </c>
      <c r="J322" t="inlineStr">
        <is>
          <t>PYG</t>
        </is>
      </c>
      <c r="K322" t="inlineStr">
        <is>
          <t>ANDE</t>
        </is>
      </c>
      <c r="L322" t="inlineStr">
        <is>
          <t>OFFICIAL_PRIMARY</t>
        </is>
      </c>
      <c r="M322" t="inlineStr">
        <is>
          <t>OFFICIAL_AGGREGATE</t>
        </is>
      </c>
      <c r="N322" t="inlineStr">
        <is>
          <t>https://www.ande.gov.py/finanzas/ANDE%20-%20Resumen%20Estad%C3%ADstico%202020%20-%202024.pdf</t>
        </is>
      </c>
      <c r="O322" t="n">
        <v>95</v>
      </c>
      <c r="P322" t="inlineStr">
        <is>
          <t>Tarifa media anual segun Resumen Estadistico 2020-2024. Fuente mas reciente para este periodo; preservar revisiones previas para auditoria.</t>
        </is>
      </c>
    </row>
    <row r="323">
      <c r="A323" t="inlineStr">
        <is>
          <t>P00322</t>
        </is>
      </c>
      <c r="B323" t="inlineStr">
        <is>
          <t>2023-01-01</t>
        </is>
      </c>
      <c r="C323" t="inlineStr">
        <is>
          <t>2023-12-31</t>
        </is>
      </c>
      <c r="D323" t="inlineStr">
        <is>
          <t>year</t>
        </is>
      </c>
      <c r="E323" t="inlineStr">
        <is>
          <t>ANDE_TARIFF_PUBLIC_LIGHT</t>
        </is>
      </c>
      <c r="F323" t="inlineStr">
        <is>
          <t>PY_SIN</t>
        </is>
      </c>
      <c r="G323" t="inlineStr">
        <is>
          <t>PY</t>
        </is>
      </c>
      <c r="H323" t="n">
        <v>387.3</v>
      </c>
      <c r="I323" t="inlineStr">
        <is>
          <t>Gs/kWh</t>
        </is>
      </c>
      <c r="J323" t="inlineStr">
        <is>
          <t>PYG</t>
        </is>
      </c>
      <c r="K323" t="inlineStr">
        <is>
          <t>ANDE</t>
        </is>
      </c>
      <c r="L323" t="inlineStr">
        <is>
          <t>OFFICIAL_PRIMARY</t>
        </is>
      </c>
      <c r="M323" t="inlineStr">
        <is>
          <t>OFFICIAL_AGGREGATE</t>
        </is>
      </c>
      <c r="N323" t="inlineStr">
        <is>
          <t>https://www.ande.gov.py/finanzas/ANDE%20-%20Resumen%20Estad%C3%ADstico%202020%20-%202024.pdf</t>
        </is>
      </c>
      <c r="O323" t="n">
        <v>95</v>
      </c>
      <c r="P323" t="inlineStr">
        <is>
          <t>Tarifa media anual segun Resumen Estadistico 2020-2024. Fuente mas reciente para este periodo; preservar revisiones previas para auditoria.</t>
        </is>
      </c>
    </row>
    <row r="324">
      <c r="A324" t="inlineStr">
        <is>
          <t>P00323</t>
        </is>
      </c>
      <c r="B324" t="inlineStr">
        <is>
          <t>2024-01-01</t>
        </is>
      </c>
      <c r="C324" t="inlineStr">
        <is>
          <t>2024-12-31</t>
        </is>
      </c>
      <c r="D324" t="inlineStr">
        <is>
          <t>year</t>
        </is>
      </c>
      <c r="E324" t="inlineStr">
        <is>
          <t>ANDE_TARIFF_PUBLIC_LIGHT</t>
        </is>
      </c>
      <c r="F324" t="inlineStr">
        <is>
          <t>PY_SIN</t>
        </is>
      </c>
      <c r="G324" t="inlineStr">
        <is>
          <t>PY</t>
        </is>
      </c>
      <c r="H324" t="n">
        <v>387.3</v>
      </c>
      <c r="I324" t="inlineStr">
        <is>
          <t>Gs/kWh</t>
        </is>
      </c>
      <c r="J324" t="inlineStr">
        <is>
          <t>PYG</t>
        </is>
      </c>
      <c r="K324" t="inlineStr">
        <is>
          <t>ANDE</t>
        </is>
      </c>
      <c r="L324" t="inlineStr">
        <is>
          <t>OFFICIAL_PRIMARY</t>
        </is>
      </c>
      <c r="M324" t="inlineStr">
        <is>
          <t>OFFICIAL_AGGREGATE</t>
        </is>
      </c>
      <c r="N324" t="inlineStr">
        <is>
          <t>https://www.ande.gov.py/finanzas/ANDE%20-%20Resumen%20Estad%C3%ADstico%202020%20-%202024.pdf</t>
        </is>
      </c>
      <c r="O324" t="n">
        <v>95</v>
      </c>
      <c r="P324" t="inlineStr">
        <is>
          <t>Tarifa media anual segun Resumen Estadistico 2020-2024. Fuente mas reciente para este periodo; preservar revisiones previas para auditoria.</t>
        </is>
      </c>
    </row>
    <row r="325">
      <c r="A325" t="inlineStr">
        <is>
          <t>P00324</t>
        </is>
      </c>
      <c r="B325" t="inlineStr">
        <is>
          <t>2020-01-01</t>
        </is>
      </c>
      <c r="C325" t="inlineStr">
        <is>
          <t>2020-12-31</t>
        </is>
      </c>
      <c r="D325" t="inlineStr">
        <is>
          <t>year</t>
        </is>
      </c>
      <c r="E325" t="inlineStr">
        <is>
          <t>ANDE_TARIFF_OTHER</t>
        </is>
      </c>
      <c r="F325" t="inlineStr">
        <is>
          <t>PY_SIN</t>
        </is>
      </c>
      <c r="G325" t="inlineStr">
        <is>
          <t>PY</t>
        </is>
      </c>
      <c r="H325" t="n">
        <v>366</v>
      </c>
      <c r="I325" t="inlineStr">
        <is>
          <t>Gs/kWh</t>
        </is>
      </c>
      <c r="J325" t="inlineStr">
        <is>
          <t>PYG</t>
        </is>
      </c>
      <c r="K325" t="inlineStr">
        <is>
          <t>ANDE</t>
        </is>
      </c>
      <c r="L325" t="inlineStr">
        <is>
          <t>OFFICIAL_PRIMARY</t>
        </is>
      </c>
      <c r="M325" t="inlineStr">
        <is>
          <t>OFFICIAL_AGGREGATE</t>
        </is>
      </c>
      <c r="N325" t="inlineStr">
        <is>
          <t>https://www.ande.gov.py/finanzas/ANDE%20-%20Resumen%20Estad%C3%ADstico%202020%20-%202024.pdf</t>
        </is>
      </c>
      <c r="O325" t="n">
        <v>95</v>
      </c>
      <c r="P325" t="inlineStr">
        <is>
          <t>Tarifa media anual segun Resumen Estadistico 2020-2024. Fuente mas reciente para este periodo; preservar revisiones previas para auditoria.</t>
        </is>
      </c>
    </row>
    <row r="326">
      <c r="A326" t="inlineStr">
        <is>
          <t>P00325</t>
        </is>
      </c>
      <c r="B326" t="inlineStr">
        <is>
          <t>2021-01-01</t>
        </is>
      </c>
      <c r="C326" t="inlineStr">
        <is>
          <t>2021-12-31</t>
        </is>
      </c>
      <c r="D326" t="inlineStr">
        <is>
          <t>year</t>
        </is>
      </c>
      <c r="E326" t="inlineStr">
        <is>
          <t>ANDE_TARIFF_OTHER</t>
        </is>
      </c>
      <c r="F326" t="inlineStr">
        <is>
          <t>PY_SIN</t>
        </is>
      </c>
      <c r="G326" t="inlineStr">
        <is>
          <t>PY</t>
        </is>
      </c>
      <c r="H326" t="n">
        <v>356.7</v>
      </c>
      <c r="I326" t="inlineStr">
        <is>
          <t>Gs/kWh</t>
        </is>
      </c>
      <c r="J326" t="inlineStr">
        <is>
          <t>PYG</t>
        </is>
      </c>
      <c r="K326" t="inlineStr">
        <is>
          <t>ANDE</t>
        </is>
      </c>
      <c r="L326" t="inlineStr">
        <is>
          <t>OFFICIAL_PRIMARY</t>
        </is>
      </c>
      <c r="M326" t="inlineStr">
        <is>
          <t>OFFICIAL_AGGREGATE</t>
        </is>
      </c>
      <c r="N326" t="inlineStr">
        <is>
          <t>https://www.ande.gov.py/finanzas/ANDE%20-%20Resumen%20Estad%C3%ADstico%202020%20-%202024.pdf</t>
        </is>
      </c>
      <c r="O326" t="n">
        <v>95</v>
      </c>
      <c r="P326" t="inlineStr">
        <is>
          <t>Tarifa media anual segun Resumen Estadistico 2020-2024. Fuente mas reciente para este periodo; preservar revisiones previas para auditoria.</t>
        </is>
      </c>
    </row>
    <row r="327">
      <c r="A327" t="inlineStr">
        <is>
          <t>P00326</t>
        </is>
      </c>
      <c r="B327" t="inlineStr">
        <is>
          <t>2022-01-01</t>
        </is>
      </c>
      <c r="C327" t="inlineStr">
        <is>
          <t>2022-12-31</t>
        </is>
      </c>
      <c r="D327" t="inlineStr">
        <is>
          <t>year</t>
        </is>
      </c>
      <c r="E327" t="inlineStr">
        <is>
          <t>ANDE_TARIFF_OTHER</t>
        </is>
      </c>
      <c r="F327" t="inlineStr">
        <is>
          <t>PY_SIN</t>
        </is>
      </c>
      <c r="G327" t="inlineStr">
        <is>
          <t>PY</t>
        </is>
      </c>
      <c r="H327" t="n">
        <v>361</v>
      </c>
      <c r="I327" t="inlineStr">
        <is>
          <t>Gs/kWh</t>
        </is>
      </c>
      <c r="J327" t="inlineStr">
        <is>
          <t>PYG</t>
        </is>
      </c>
      <c r="K327" t="inlineStr">
        <is>
          <t>ANDE</t>
        </is>
      </c>
      <c r="L327" t="inlineStr">
        <is>
          <t>OFFICIAL_PRIMARY</t>
        </is>
      </c>
      <c r="M327" t="inlineStr">
        <is>
          <t>OFFICIAL_AGGREGATE</t>
        </is>
      </c>
      <c r="N327" t="inlineStr">
        <is>
          <t>https://www.ande.gov.py/finanzas/ANDE%20-%20Resumen%20Estad%C3%ADstico%202020%20-%202024.pdf</t>
        </is>
      </c>
      <c r="O327" t="n">
        <v>95</v>
      </c>
      <c r="P327" t="inlineStr">
        <is>
          <t>Tarifa media anual segun Resumen Estadistico 2020-2024. Fuente mas reciente para este periodo; preservar revisiones previas para auditoria.</t>
        </is>
      </c>
    </row>
    <row r="328">
      <c r="A328" t="inlineStr">
        <is>
          <t>P00327</t>
        </is>
      </c>
      <c r="B328" t="inlineStr">
        <is>
          <t>2023-01-01</t>
        </is>
      </c>
      <c r="C328" t="inlineStr">
        <is>
          <t>2023-12-31</t>
        </is>
      </c>
      <c r="D328" t="inlineStr">
        <is>
          <t>year</t>
        </is>
      </c>
      <c r="E328" t="inlineStr">
        <is>
          <t>ANDE_TARIFF_OTHER</t>
        </is>
      </c>
      <c r="F328" t="inlineStr">
        <is>
          <t>PY_SIN</t>
        </is>
      </c>
      <c r="G328" t="inlineStr">
        <is>
          <t>PY</t>
        </is>
      </c>
      <c r="H328" t="n">
        <v>349.5</v>
      </c>
      <c r="I328" t="inlineStr">
        <is>
          <t>Gs/kWh</t>
        </is>
      </c>
      <c r="J328" t="inlineStr">
        <is>
          <t>PYG</t>
        </is>
      </c>
      <c r="K328" t="inlineStr">
        <is>
          <t>ANDE</t>
        </is>
      </c>
      <c r="L328" t="inlineStr">
        <is>
          <t>OFFICIAL_PRIMARY</t>
        </is>
      </c>
      <c r="M328" t="inlineStr">
        <is>
          <t>OFFICIAL_AGGREGATE</t>
        </is>
      </c>
      <c r="N328" t="inlineStr">
        <is>
          <t>https://www.ande.gov.py/finanzas/ANDE%20-%20Resumen%20Estad%C3%ADstico%202020%20-%202024.pdf</t>
        </is>
      </c>
      <c r="O328" t="n">
        <v>95</v>
      </c>
      <c r="P328" t="inlineStr">
        <is>
          <t>Tarifa media anual segun Resumen Estadistico 2020-2024. Fuente mas reciente para este periodo; preservar revisiones previas para auditoria.</t>
        </is>
      </c>
    </row>
    <row r="329">
      <c r="A329" t="inlineStr">
        <is>
          <t>P00328</t>
        </is>
      </c>
      <c r="B329" t="inlineStr">
        <is>
          <t>2024-01-01</t>
        </is>
      </c>
      <c r="C329" t="inlineStr">
        <is>
          <t>2024-12-31</t>
        </is>
      </c>
      <c r="D329" t="inlineStr">
        <is>
          <t>year</t>
        </is>
      </c>
      <c r="E329" t="inlineStr">
        <is>
          <t>ANDE_TARIFF_OTHER</t>
        </is>
      </c>
      <c r="F329" t="inlineStr">
        <is>
          <t>PY_SIN</t>
        </is>
      </c>
      <c r="G329" t="inlineStr">
        <is>
          <t>PY</t>
        </is>
      </c>
      <c r="H329" t="n">
        <v>354.9</v>
      </c>
      <c r="I329" t="inlineStr">
        <is>
          <t>Gs/kWh</t>
        </is>
      </c>
      <c r="J329" t="inlineStr">
        <is>
          <t>PYG</t>
        </is>
      </c>
      <c r="K329" t="inlineStr">
        <is>
          <t>ANDE</t>
        </is>
      </c>
      <c r="L329" t="inlineStr">
        <is>
          <t>OFFICIAL_PRIMARY</t>
        </is>
      </c>
      <c r="M329" t="inlineStr">
        <is>
          <t>OFFICIAL_AGGREGATE</t>
        </is>
      </c>
      <c r="N329" t="inlineStr">
        <is>
          <t>https://www.ande.gov.py/finanzas/ANDE%20-%20Resumen%20Estad%C3%ADstico%202020%20-%202024.pdf</t>
        </is>
      </c>
      <c r="O329" t="n">
        <v>95</v>
      </c>
      <c r="P329" t="inlineStr">
        <is>
          <t>Tarifa media anual segun Resumen Estadistico 2020-2024. Fuente mas reciente para este periodo; preservar revisiones previas para auditoria.</t>
        </is>
      </c>
    </row>
    <row r="330">
      <c r="A330" t="inlineStr">
        <is>
          <t>P00329</t>
        </is>
      </c>
      <c r="B330" t="inlineStr">
        <is>
          <t>2020-01-01</t>
        </is>
      </c>
      <c r="C330" t="inlineStr">
        <is>
          <t>2020-12-31</t>
        </is>
      </c>
      <c r="D330" t="inlineStr">
        <is>
          <t>year</t>
        </is>
      </c>
      <c r="E330" t="inlineStr">
        <is>
          <t>ANDE_TARIFF_DIFFERENTIAL</t>
        </is>
      </c>
      <c r="F330" t="inlineStr">
        <is>
          <t>PY_SIN</t>
        </is>
      </c>
      <c r="G330" t="inlineStr">
        <is>
          <t>PY</t>
        </is>
      </c>
      <c r="H330" t="n">
        <v>410.1</v>
      </c>
      <c r="I330" t="inlineStr">
        <is>
          <t>Gs/kWh</t>
        </is>
      </c>
      <c r="J330" t="inlineStr">
        <is>
          <t>PYG</t>
        </is>
      </c>
      <c r="K330" t="inlineStr">
        <is>
          <t>ANDE</t>
        </is>
      </c>
      <c r="L330" t="inlineStr">
        <is>
          <t>OFFICIAL_PRIMARY</t>
        </is>
      </c>
      <c r="M330" t="inlineStr">
        <is>
          <t>OFFICIAL_AGGREGATE</t>
        </is>
      </c>
      <c r="N330" t="inlineStr">
        <is>
          <t>https://www.ande.gov.py/finanzas/ANDE%20-%20Resumen%20Estad%C3%ADstico%202020%20-%202024.pdf</t>
        </is>
      </c>
      <c r="O330" t="n">
        <v>95</v>
      </c>
      <c r="P330" t="inlineStr">
        <is>
          <t>Tarifa media anual segun Resumen Estadistico 2020-2024. Fuente mas reciente para este periodo; preservar revisiones previas para auditoria.</t>
        </is>
      </c>
    </row>
    <row r="331">
      <c r="A331" t="inlineStr">
        <is>
          <t>P00330</t>
        </is>
      </c>
      <c r="B331" t="inlineStr">
        <is>
          <t>2021-01-01</t>
        </is>
      </c>
      <c r="C331" t="inlineStr">
        <is>
          <t>2021-12-31</t>
        </is>
      </c>
      <c r="D331" t="inlineStr">
        <is>
          <t>year</t>
        </is>
      </c>
      <c r="E331" t="inlineStr">
        <is>
          <t>ANDE_TARIFF_DIFFERENTIAL</t>
        </is>
      </c>
      <c r="F331" t="inlineStr">
        <is>
          <t>PY_SIN</t>
        </is>
      </c>
      <c r="G331" t="inlineStr">
        <is>
          <t>PY</t>
        </is>
      </c>
      <c r="H331" t="n">
        <v>393.1</v>
      </c>
      <c r="I331" t="inlineStr">
        <is>
          <t>Gs/kWh</t>
        </is>
      </c>
      <c r="J331" t="inlineStr">
        <is>
          <t>PYG</t>
        </is>
      </c>
      <c r="K331" t="inlineStr">
        <is>
          <t>ANDE</t>
        </is>
      </c>
      <c r="L331" t="inlineStr">
        <is>
          <t>OFFICIAL_PRIMARY</t>
        </is>
      </c>
      <c r="M331" t="inlineStr">
        <is>
          <t>OFFICIAL_AGGREGATE</t>
        </is>
      </c>
      <c r="N331" t="inlineStr">
        <is>
          <t>https://www.ande.gov.py/finanzas/ANDE%20-%20Resumen%20Estad%C3%ADstico%202020%20-%202024.pdf</t>
        </is>
      </c>
      <c r="O331" t="n">
        <v>95</v>
      </c>
      <c r="P331" t="inlineStr">
        <is>
          <t>Tarifa media anual segun Resumen Estadistico 2020-2024. Fuente mas reciente para este periodo; preservar revisiones previas para auditoria.</t>
        </is>
      </c>
    </row>
    <row r="332">
      <c r="A332" t="inlineStr">
        <is>
          <t>P00331</t>
        </is>
      </c>
      <c r="B332" t="inlineStr">
        <is>
          <t>2022-01-01</t>
        </is>
      </c>
      <c r="C332" t="inlineStr">
        <is>
          <t>2022-12-31</t>
        </is>
      </c>
      <c r="D332" t="inlineStr">
        <is>
          <t>year</t>
        </is>
      </c>
      <c r="E332" t="inlineStr">
        <is>
          <t>ANDE_TARIFF_DIFFERENTIAL</t>
        </is>
      </c>
      <c r="F332" t="inlineStr">
        <is>
          <t>PY_SIN</t>
        </is>
      </c>
      <c r="G332" t="inlineStr">
        <is>
          <t>PY</t>
        </is>
      </c>
      <c r="H332" t="n">
        <v>435.7</v>
      </c>
      <c r="I332" t="inlineStr">
        <is>
          <t>Gs/kWh</t>
        </is>
      </c>
      <c r="J332" t="inlineStr">
        <is>
          <t>PYG</t>
        </is>
      </c>
      <c r="K332" t="inlineStr">
        <is>
          <t>ANDE</t>
        </is>
      </c>
      <c r="L332" t="inlineStr">
        <is>
          <t>OFFICIAL_PRIMARY</t>
        </is>
      </c>
      <c r="M332" t="inlineStr">
        <is>
          <t>OFFICIAL_AGGREGATE</t>
        </is>
      </c>
      <c r="N332" t="inlineStr">
        <is>
          <t>https://www.ande.gov.py/finanzas/ANDE%20-%20Resumen%20Estad%C3%ADstico%202020%20-%202024.pdf</t>
        </is>
      </c>
      <c r="O332" t="n">
        <v>95</v>
      </c>
      <c r="P332" t="inlineStr">
        <is>
          <t>Tarifa media anual segun Resumen Estadistico 2020-2024. Fuente mas reciente para este periodo; preservar revisiones previas para auditoria.</t>
        </is>
      </c>
    </row>
    <row r="333">
      <c r="A333" t="inlineStr">
        <is>
          <t>P00332</t>
        </is>
      </c>
      <c r="B333" t="inlineStr">
        <is>
          <t>2023-01-01</t>
        </is>
      </c>
      <c r="C333" t="inlineStr">
        <is>
          <t>2023-12-31</t>
        </is>
      </c>
      <c r="D333" t="inlineStr">
        <is>
          <t>year</t>
        </is>
      </c>
      <c r="E333" t="inlineStr">
        <is>
          <t>ANDE_TARIFF_DIFFERENTIAL</t>
        </is>
      </c>
      <c r="F333" t="inlineStr">
        <is>
          <t>PY_SIN</t>
        </is>
      </c>
      <c r="G333" t="inlineStr">
        <is>
          <t>PY</t>
        </is>
      </c>
      <c r="H333" t="n">
        <v>425.8</v>
      </c>
      <c r="I333" t="inlineStr">
        <is>
          <t>Gs/kWh</t>
        </is>
      </c>
      <c r="J333" t="inlineStr">
        <is>
          <t>PYG</t>
        </is>
      </c>
      <c r="K333" t="inlineStr">
        <is>
          <t>ANDE</t>
        </is>
      </c>
      <c r="L333" t="inlineStr">
        <is>
          <t>OFFICIAL_PRIMARY</t>
        </is>
      </c>
      <c r="M333" t="inlineStr">
        <is>
          <t>OFFICIAL_AGGREGATE</t>
        </is>
      </c>
      <c r="N333" t="inlineStr">
        <is>
          <t>https://www.ande.gov.py/finanzas/ANDE%20-%20Resumen%20Estad%C3%ADstico%202020%20-%202024.pdf</t>
        </is>
      </c>
      <c r="O333" t="n">
        <v>95</v>
      </c>
      <c r="P333" t="inlineStr">
        <is>
          <t>Tarifa media anual segun Resumen Estadistico 2020-2024. Fuente mas reciente para este periodo; preservar revisiones previas para auditoria.</t>
        </is>
      </c>
    </row>
    <row r="334">
      <c r="A334" t="inlineStr">
        <is>
          <t>P00333</t>
        </is>
      </c>
      <c r="B334" t="inlineStr">
        <is>
          <t>2024-01-01</t>
        </is>
      </c>
      <c r="C334" t="inlineStr">
        <is>
          <t>2024-12-31</t>
        </is>
      </c>
      <c r="D334" t="inlineStr">
        <is>
          <t>year</t>
        </is>
      </c>
      <c r="E334" t="inlineStr">
        <is>
          <t>ANDE_TARIFF_DIFFERENTIAL</t>
        </is>
      </c>
      <c r="F334" t="inlineStr">
        <is>
          <t>PY_SIN</t>
        </is>
      </c>
      <c r="G334" t="inlineStr">
        <is>
          <t>PY</t>
        </is>
      </c>
      <c r="H334" t="n">
        <v>405.3</v>
      </c>
      <c r="I334" t="inlineStr">
        <is>
          <t>Gs/kWh</t>
        </is>
      </c>
      <c r="J334" t="inlineStr">
        <is>
          <t>PYG</t>
        </is>
      </c>
      <c r="K334" t="inlineStr">
        <is>
          <t>ANDE</t>
        </is>
      </c>
      <c r="L334" t="inlineStr">
        <is>
          <t>OFFICIAL_PRIMARY</t>
        </is>
      </c>
      <c r="M334" t="inlineStr">
        <is>
          <t>OFFICIAL_AGGREGATE</t>
        </is>
      </c>
      <c r="N334" t="inlineStr">
        <is>
          <t>https://www.ande.gov.py/finanzas/ANDE%20-%20Resumen%20Estad%C3%ADstico%202020%20-%202024.pdf</t>
        </is>
      </c>
      <c r="O334" t="n">
        <v>95</v>
      </c>
      <c r="P334" t="inlineStr">
        <is>
          <t>Tarifa media anual segun Resumen Estadistico 2020-2024. Fuente mas reciente para este periodo; preservar revisiones previas para auditoria.</t>
        </is>
      </c>
    </row>
    <row r="335">
      <c r="A335" t="inlineStr">
        <is>
          <t>P00334</t>
        </is>
      </c>
      <c r="B335" t="inlineStr">
        <is>
          <t>2020-01-01</t>
        </is>
      </c>
      <c r="C335" t="inlineStr">
        <is>
          <t>2020-12-31</t>
        </is>
      </c>
      <c r="D335" t="inlineStr">
        <is>
          <t>year</t>
        </is>
      </c>
      <c r="E335" t="inlineStr">
        <is>
          <t>ANDE_TARIFF_HIGH_VOLTAGE</t>
        </is>
      </c>
      <c r="F335" t="inlineStr">
        <is>
          <t>PY_SIN</t>
        </is>
      </c>
      <c r="G335" t="inlineStr">
        <is>
          <t>PY</t>
        </is>
      </c>
      <c r="H335" t="n">
        <v>247</v>
      </c>
      <c r="I335" t="inlineStr">
        <is>
          <t>Gs/kWh</t>
        </is>
      </c>
      <c r="J335" t="inlineStr">
        <is>
          <t>PYG</t>
        </is>
      </c>
      <c r="K335" t="inlineStr">
        <is>
          <t>ANDE</t>
        </is>
      </c>
      <c r="L335" t="inlineStr">
        <is>
          <t>OFFICIAL_PRIMARY</t>
        </is>
      </c>
      <c r="M335" t="inlineStr">
        <is>
          <t>OFFICIAL_AGGREGATE</t>
        </is>
      </c>
      <c r="N335" t="inlineStr">
        <is>
          <t>https://www.ande.gov.py/finanzas/ANDE%20-%20Resumen%20Estad%C3%ADstico%202020%20-%202024.pdf</t>
        </is>
      </c>
      <c r="O335" t="n">
        <v>95</v>
      </c>
      <c r="P335" t="inlineStr">
        <is>
          <t>Tarifa media anual segun Resumen Estadistico 2020-2024. Fuente mas reciente para este periodo; preservar revisiones previas para auditoria.</t>
        </is>
      </c>
    </row>
    <row r="336">
      <c r="A336" t="inlineStr">
        <is>
          <t>P00335</t>
        </is>
      </c>
      <c r="B336" t="inlineStr">
        <is>
          <t>2021-01-01</t>
        </is>
      </c>
      <c r="C336" t="inlineStr">
        <is>
          <t>2021-12-31</t>
        </is>
      </c>
      <c r="D336" t="inlineStr">
        <is>
          <t>year</t>
        </is>
      </c>
      <c r="E336" t="inlineStr">
        <is>
          <t>ANDE_TARIFF_HIGH_VOLTAGE</t>
        </is>
      </c>
      <c r="F336" t="inlineStr">
        <is>
          <t>PY_SIN</t>
        </is>
      </c>
      <c r="G336" t="inlineStr">
        <is>
          <t>PY</t>
        </is>
      </c>
      <c r="H336" t="n">
        <v>235</v>
      </c>
      <c r="I336" t="inlineStr">
        <is>
          <t>Gs/kWh</t>
        </is>
      </c>
      <c r="J336" t="inlineStr">
        <is>
          <t>PYG</t>
        </is>
      </c>
      <c r="K336" t="inlineStr">
        <is>
          <t>ANDE</t>
        </is>
      </c>
      <c r="L336" t="inlineStr">
        <is>
          <t>OFFICIAL_PRIMARY</t>
        </is>
      </c>
      <c r="M336" t="inlineStr">
        <is>
          <t>OFFICIAL_AGGREGATE</t>
        </is>
      </c>
      <c r="N336" t="inlineStr">
        <is>
          <t>https://www.ande.gov.py/finanzas/ANDE%20-%20Resumen%20Estad%C3%ADstico%202020%20-%202024.pdf</t>
        </is>
      </c>
      <c r="O336" t="n">
        <v>95</v>
      </c>
      <c r="P336" t="inlineStr">
        <is>
          <t>Tarifa media anual segun Resumen Estadistico 2020-2024. Fuente mas reciente para este periodo; preservar revisiones previas para auditoria.</t>
        </is>
      </c>
    </row>
    <row r="337">
      <c r="A337" t="inlineStr">
        <is>
          <t>P00336</t>
        </is>
      </c>
      <c r="B337" t="inlineStr">
        <is>
          <t>2022-01-01</t>
        </is>
      </c>
      <c r="C337" t="inlineStr">
        <is>
          <t>2022-12-31</t>
        </is>
      </c>
      <c r="D337" t="inlineStr">
        <is>
          <t>year</t>
        </is>
      </c>
      <c r="E337" t="inlineStr">
        <is>
          <t>ANDE_TARIFF_HIGH_VOLTAGE</t>
        </is>
      </c>
      <c r="F337" t="inlineStr">
        <is>
          <t>PY_SIN</t>
        </is>
      </c>
      <c r="G337" t="inlineStr">
        <is>
          <t>PY</t>
        </is>
      </c>
      <c r="H337" t="n">
        <v>221.3</v>
      </c>
      <c r="I337" t="inlineStr">
        <is>
          <t>Gs/kWh</t>
        </is>
      </c>
      <c r="J337" t="inlineStr">
        <is>
          <t>PYG</t>
        </is>
      </c>
      <c r="K337" t="inlineStr">
        <is>
          <t>ANDE</t>
        </is>
      </c>
      <c r="L337" t="inlineStr">
        <is>
          <t>OFFICIAL_PRIMARY</t>
        </is>
      </c>
      <c r="M337" t="inlineStr">
        <is>
          <t>OFFICIAL_AGGREGATE</t>
        </is>
      </c>
      <c r="N337" t="inlineStr">
        <is>
          <t>https://www.ande.gov.py/finanzas/ANDE%20-%20Resumen%20Estad%C3%ADstico%202020%20-%202024.pdf</t>
        </is>
      </c>
      <c r="O337" t="n">
        <v>95</v>
      </c>
      <c r="P337" t="inlineStr">
        <is>
          <t>Tarifa media anual segun Resumen Estadistico 2020-2024. Fuente mas reciente para este periodo; preservar revisiones previas para auditoria.</t>
        </is>
      </c>
    </row>
    <row r="338">
      <c r="A338" t="inlineStr">
        <is>
          <t>P00337</t>
        </is>
      </c>
      <c r="B338" t="inlineStr">
        <is>
          <t>2023-01-01</t>
        </is>
      </c>
      <c r="C338" t="inlineStr">
        <is>
          <t>2023-12-31</t>
        </is>
      </c>
      <c r="D338" t="inlineStr">
        <is>
          <t>year</t>
        </is>
      </c>
      <c r="E338" t="inlineStr">
        <is>
          <t>ANDE_TARIFF_HIGH_VOLTAGE</t>
        </is>
      </c>
      <c r="F338" t="inlineStr">
        <is>
          <t>PY_SIN</t>
        </is>
      </c>
      <c r="G338" t="inlineStr">
        <is>
          <t>PY</t>
        </is>
      </c>
      <c r="H338" t="n">
        <v>222.4</v>
      </c>
      <c r="I338" t="inlineStr">
        <is>
          <t>Gs/kWh</t>
        </is>
      </c>
      <c r="J338" t="inlineStr">
        <is>
          <t>PYG</t>
        </is>
      </c>
      <c r="K338" t="inlineStr">
        <is>
          <t>ANDE</t>
        </is>
      </c>
      <c r="L338" t="inlineStr">
        <is>
          <t>OFFICIAL_PRIMARY</t>
        </is>
      </c>
      <c r="M338" t="inlineStr">
        <is>
          <t>OFFICIAL_AGGREGATE</t>
        </is>
      </c>
      <c r="N338" t="inlineStr">
        <is>
          <t>https://www.ande.gov.py/finanzas/ANDE%20-%20Resumen%20Estad%C3%ADstico%202020%20-%202024.pdf</t>
        </is>
      </c>
      <c r="O338" t="n">
        <v>95</v>
      </c>
      <c r="P338" t="inlineStr">
        <is>
          <t>Tarifa media anual segun Resumen Estadistico 2020-2024. Fuente mas reciente para este periodo; preservar revisiones previas para auditoria.</t>
        </is>
      </c>
    </row>
    <row r="339">
      <c r="A339" t="inlineStr">
        <is>
          <t>P00338</t>
        </is>
      </c>
      <c r="B339" t="inlineStr">
        <is>
          <t>2024-01-01</t>
        </is>
      </c>
      <c r="C339" t="inlineStr">
        <is>
          <t>2024-12-31</t>
        </is>
      </c>
      <c r="D339" t="inlineStr">
        <is>
          <t>year</t>
        </is>
      </c>
      <c r="E339" t="inlineStr">
        <is>
          <t>ANDE_TARIFF_HIGH_VOLTAGE</t>
        </is>
      </c>
      <c r="F339" t="inlineStr">
        <is>
          <t>PY_SIN</t>
        </is>
      </c>
      <c r="G339" t="inlineStr">
        <is>
          <t>PY</t>
        </is>
      </c>
      <c r="H339" t="n">
        <v>220.8</v>
      </c>
      <c r="I339" t="inlineStr">
        <is>
          <t>Gs/kWh</t>
        </is>
      </c>
      <c r="J339" t="inlineStr">
        <is>
          <t>PYG</t>
        </is>
      </c>
      <c r="K339" t="inlineStr">
        <is>
          <t>ANDE</t>
        </is>
      </c>
      <c r="L339" t="inlineStr">
        <is>
          <t>OFFICIAL_PRIMARY</t>
        </is>
      </c>
      <c r="M339" t="inlineStr">
        <is>
          <t>OFFICIAL_AGGREGATE</t>
        </is>
      </c>
      <c r="N339" t="inlineStr">
        <is>
          <t>https://www.ande.gov.py/finanzas/ANDE%20-%20Resumen%20Estad%C3%ADstico%202020%20-%202024.pdf</t>
        </is>
      </c>
      <c r="O339" t="n">
        <v>95</v>
      </c>
      <c r="P339" t="inlineStr">
        <is>
          <t>Tarifa media anual segun Resumen Estadistico 2020-2024. Fuente mas reciente para este periodo; preservar revisiones previas para auditoria.</t>
        </is>
      </c>
    </row>
    <row r="340">
      <c r="A340" t="inlineStr">
        <is>
          <t>P00339</t>
        </is>
      </c>
      <c r="B340" t="inlineStr">
        <is>
          <t>2020-01-01</t>
        </is>
      </c>
      <c r="C340" t="inlineStr">
        <is>
          <t>2020-12-31</t>
        </is>
      </c>
      <c r="D340" t="inlineStr">
        <is>
          <t>year</t>
        </is>
      </c>
      <c r="E340" t="inlineStr">
        <is>
          <t>ANDE_TARIFF_VERY_HIGH_VOLTAGE</t>
        </is>
      </c>
      <c r="F340" t="inlineStr">
        <is>
          <t>PY_SIN</t>
        </is>
      </c>
      <c r="G340" t="inlineStr">
        <is>
          <t>PY</t>
        </is>
      </c>
      <c r="H340" t="n">
        <v>249.8</v>
      </c>
      <c r="I340" t="inlineStr">
        <is>
          <t>Gs/kWh</t>
        </is>
      </c>
      <c r="J340" t="inlineStr">
        <is>
          <t>PYG</t>
        </is>
      </c>
      <c r="K340" t="inlineStr">
        <is>
          <t>ANDE</t>
        </is>
      </c>
      <c r="L340" t="inlineStr">
        <is>
          <t>OFFICIAL_PRIMARY</t>
        </is>
      </c>
      <c r="M340" t="inlineStr">
        <is>
          <t>OFFICIAL_AGGREGATE</t>
        </is>
      </c>
      <c r="N340" t="inlineStr">
        <is>
          <t>https://www.ande.gov.py/finanzas/ANDE%20-%20Resumen%20Estad%C3%ADstico%202020%20-%202024.pdf</t>
        </is>
      </c>
      <c r="O340" t="n">
        <v>95</v>
      </c>
      <c r="P340" t="inlineStr">
        <is>
          <t>Tarifa media anual segun Resumen Estadistico 2020-2024. Fuente mas reciente para este periodo; preservar revisiones previas para auditoria.</t>
        </is>
      </c>
    </row>
    <row r="341">
      <c r="A341" t="inlineStr">
        <is>
          <t>P00340</t>
        </is>
      </c>
      <c r="B341" t="inlineStr">
        <is>
          <t>2021-01-01</t>
        </is>
      </c>
      <c r="C341" t="inlineStr">
        <is>
          <t>2021-12-31</t>
        </is>
      </c>
      <c r="D341" t="inlineStr">
        <is>
          <t>year</t>
        </is>
      </c>
      <c r="E341" t="inlineStr">
        <is>
          <t>ANDE_TARIFF_VERY_HIGH_VOLTAGE</t>
        </is>
      </c>
      <c r="F341" t="inlineStr">
        <is>
          <t>PY_SIN</t>
        </is>
      </c>
      <c r="G341" t="inlineStr">
        <is>
          <t>PY</t>
        </is>
      </c>
      <c r="H341" t="n">
        <v>280.1</v>
      </c>
      <c r="I341" t="inlineStr">
        <is>
          <t>Gs/kWh</t>
        </is>
      </c>
      <c r="J341" t="inlineStr">
        <is>
          <t>PYG</t>
        </is>
      </c>
      <c r="K341" t="inlineStr">
        <is>
          <t>ANDE</t>
        </is>
      </c>
      <c r="L341" t="inlineStr">
        <is>
          <t>OFFICIAL_PRIMARY</t>
        </is>
      </c>
      <c r="M341" t="inlineStr">
        <is>
          <t>OFFICIAL_AGGREGATE</t>
        </is>
      </c>
      <c r="N341" t="inlineStr">
        <is>
          <t>https://www.ande.gov.py/finanzas/ANDE%20-%20Resumen%20Estad%C3%ADstico%202020%20-%202024.pdf</t>
        </is>
      </c>
      <c r="O341" t="n">
        <v>95</v>
      </c>
      <c r="P341" t="inlineStr">
        <is>
          <t>Tarifa media anual segun Resumen Estadistico 2020-2024. Fuente mas reciente para este periodo; preservar revisiones previas para auditoria.</t>
        </is>
      </c>
    </row>
    <row r="342">
      <c r="A342" t="inlineStr">
        <is>
          <t>P00341</t>
        </is>
      </c>
      <c r="B342" t="inlineStr">
        <is>
          <t>2022-01-01</t>
        </is>
      </c>
      <c r="C342" t="inlineStr">
        <is>
          <t>2022-12-31</t>
        </is>
      </c>
      <c r="D342" t="inlineStr">
        <is>
          <t>year</t>
        </is>
      </c>
      <c r="E342" t="inlineStr">
        <is>
          <t>ANDE_TARIFF_VERY_HIGH_VOLTAGE</t>
        </is>
      </c>
      <c r="F342" t="inlineStr">
        <is>
          <t>PY_SIN</t>
        </is>
      </c>
      <c r="G342" t="inlineStr">
        <is>
          <t>PY</t>
        </is>
      </c>
      <c r="H342" t="n">
        <v>251.3</v>
      </c>
      <c r="I342" t="inlineStr">
        <is>
          <t>Gs/kWh</t>
        </is>
      </c>
      <c r="J342" t="inlineStr">
        <is>
          <t>PYG</t>
        </is>
      </c>
      <c r="K342" t="inlineStr">
        <is>
          <t>ANDE</t>
        </is>
      </c>
      <c r="L342" t="inlineStr">
        <is>
          <t>OFFICIAL_PRIMARY</t>
        </is>
      </c>
      <c r="M342" t="inlineStr">
        <is>
          <t>OFFICIAL_AGGREGATE</t>
        </is>
      </c>
      <c r="N342" t="inlineStr">
        <is>
          <t>https://www.ande.gov.py/finanzas/ANDE%20-%20Resumen%20Estad%C3%ADstico%202020%20-%202024.pdf</t>
        </is>
      </c>
      <c r="O342" t="n">
        <v>95</v>
      </c>
      <c r="P342" t="inlineStr">
        <is>
          <t>Tarifa media anual segun Resumen Estadistico 2020-2024. Fuente mas reciente para este periodo; preservar revisiones previas para auditoria.</t>
        </is>
      </c>
    </row>
    <row r="343">
      <c r="A343" t="inlineStr">
        <is>
          <t>P00342</t>
        </is>
      </c>
      <c r="B343" t="inlineStr">
        <is>
          <t>2023-01-01</t>
        </is>
      </c>
      <c r="C343" t="inlineStr">
        <is>
          <t>2023-12-31</t>
        </is>
      </c>
      <c r="D343" t="inlineStr">
        <is>
          <t>year</t>
        </is>
      </c>
      <c r="E343" t="inlineStr">
        <is>
          <t>ANDE_TARIFF_VERY_HIGH_VOLTAGE</t>
        </is>
      </c>
      <c r="F343" t="inlineStr">
        <is>
          <t>PY_SIN</t>
        </is>
      </c>
      <c r="G343" t="inlineStr">
        <is>
          <t>PY</t>
        </is>
      </c>
      <c r="H343" t="n">
        <v>252.3</v>
      </c>
      <c r="I343" t="inlineStr">
        <is>
          <t>Gs/kWh</t>
        </is>
      </c>
      <c r="J343" t="inlineStr">
        <is>
          <t>PYG</t>
        </is>
      </c>
      <c r="K343" t="inlineStr">
        <is>
          <t>ANDE</t>
        </is>
      </c>
      <c r="L343" t="inlineStr">
        <is>
          <t>OFFICIAL_PRIMARY</t>
        </is>
      </c>
      <c r="M343" t="inlineStr">
        <is>
          <t>OFFICIAL_AGGREGATE</t>
        </is>
      </c>
      <c r="N343" t="inlineStr">
        <is>
          <t>https://www.ande.gov.py/finanzas/ANDE%20-%20Resumen%20Estad%C3%ADstico%202020%20-%202024.pdf</t>
        </is>
      </c>
      <c r="O343" t="n">
        <v>95</v>
      </c>
      <c r="P343" t="inlineStr">
        <is>
          <t>Tarifa media anual segun Resumen Estadistico 2020-2024. Fuente mas reciente para este periodo; preservar revisiones previas para auditoria.</t>
        </is>
      </c>
    </row>
    <row r="344">
      <c r="A344" t="inlineStr">
        <is>
          <t>P00343</t>
        </is>
      </c>
      <c r="B344" t="inlineStr">
        <is>
          <t>2024-01-01</t>
        </is>
      </c>
      <c r="C344" t="inlineStr">
        <is>
          <t>2024-12-31</t>
        </is>
      </c>
      <c r="D344" t="inlineStr">
        <is>
          <t>year</t>
        </is>
      </c>
      <c r="E344" t="inlineStr">
        <is>
          <t>ANDE_TARIFF_VERY_HIGH_VOLTAGE</t>
        </is>
      </c>
      <c r="F344" t="inlineStr">
        <is>
          <t>PY_SIN</t>
        </is>
      </c>
      <c r="G344" t="inlineStr">
        <is>
          <t>PY</t>
        </is>
      </c>
      <c r="H344" t="n">
        <v>244.5</v>
      </c>
      <c r="I344" t="inlineStr">
        <is>
          <t>Gs/kWh</t>
        </is>
      </c>
      <c r="J344" t="inlineStr">
        <is>
          <t>PYG</t>
        </is>
      </c>
      <c r="K344" t="inlineStr">
        <is>
          <t>ANDE</t>
        </is>
      </c>
      <c r="L344" t="inlineStr">
        <is>
          <t>OFFICIAL_PRIMARY</t>
        </is>
      </c>
      <c r="M344" t="inlineStr">
        <is>
          <t>OFFICIAL_AGGREGATE</t>
        </is>
      </c>
      <c r="N344" t="inlineStr">
        <is>
          <t>https://www.ande.gov.py/finanzas/ANDE%20-%20Resumen%20Estad%C3%ADstico%202020%20-%202024.pdf</t>
        </is>
      </c>
      <c r="O344" t="n">
        <v>95</v>
      </c>
      <c r="P344" t="inlineStr">
        <is>
          <t>Tarifa media anual segun Resumen Estadistico 2020-2024. Fuente mas reciente para este periodo; preservar revisiones previas para auditoria.</t>
        </is>
      </c>
    </row>
    <row r="345">
      <c r="A345" t="inlineStr">
        <is>
          <t>P00344</t>
        </is>
      </c>
      <c r="B345" t="inlineStr">
        <is>
          <t>2020-01-01</t>
        </is>
      </c>
      <c r="C345" t="inlineStr">
        <is>
          <t>2020-12-31</t>
        </is>
      </c>
      <c r="D345" t="inlineStr">
        <is>
          <t>year</t>
        </is>
      </c>
      <c r="E345" t="inlineStr">
        <is>
          <t>ANDE_TARIFF_ELECTROINTENSIVE</t>
        </is>
      </c>
      <c r="F345" t="inlineStr">
        <is>
          <t>PY_SIN</t>
        </is>
      </c>
      <c r="G345" t="inlineStr">
        <is>
          <t>PY</t>
        </is>
      </c>
      <c r="H345" t="n">
        <v>216.2</v>
      </c>
      <c r="I345" t="inlineStr">
        <is>
          <t>Gs/kWh</t>
        </is>
      </c>
      <c r="J345" t="inlineStr">
        <is>
          <t>PYG</t>
        </is>
      </c>
      <c r="K345" t="inlineStr">
        <is>
          <t>ANDE</t>
        </is>
      </c>
      <c r="L345" t="inlineStr">
        <is>
          <t>OFFICIAL_PRIMARY</t>
        </is>
      </c>
      <c r="M345" t="inlineStr">
        <is>
          <t>OFFICIAL_AGGREGATE</t>
        </is>
      </c>
      <c r="N345" t="inlineStr">
        <is>
          <t>https://www.ande.gov.py/finanzas/ANDE%20-%20Resumen%20Estad%C3%ADstico%202020%20-%202024.pdf</t>
        </is>
      </c>
      <c r="O345" t="n">
        <v>95</v>
      </c>
      <c r="P345" t="inlineStr">
        <is>
          <t>Tarifa media anual segun Resumen Estadistico 2020-2024. Fuente mas reciente para este periodo; preservar revisiones previas para auditoria.</t>
        </is>
      </c>
    </row>
    <row r="346">
      <c r="A346" t="inlineStr">
        <is>
          <t>P00345</t>
        </is>
      </c>
      <c r="B346" t="inlineStr">
        <is>
          <t>2021-01-01</t>
        </is>
      </c>
      <c r="C346" t="inlineStr">
        <is>
          <t>2021-12-31</t>
        </is>
      </c>
      <c r="D346" t="inlineStr">
        <is>
          <t>year</t>
        </is>
      </c>
      <c r="E346" t="inlineStr">
        <is>
          <t>ANDE_TARIFF_ELECTROINTENSIVE</t>
        </is>
      </c>
      <c r="F346" t="inlineStr">
        <is>
          <t>PY_SIN</t>
        </is>
      </c>
      <c r="G346" t="inlineStr">
        <is>
          <t>PY</t>
        </is>
      </c>
      <c r="H346" t="n">
        <v>248.4</v>
      </c>
      <c r="I346" t="inlineStr">
        <is>
          <t>Gs/kWh</t>
        </is>
      </c>
      <c r="J346" t="inlineStr">
        <is>
          <t>PYG</t>
        </is>
      </c>
      <c r="K346" t="inlineStr">
        <is>
          <t>ANDE</t>
        </is>
      </c>
      <c r="L346" t="inlineStr">
        <is>
          <t>OFFICIAL_PRIMARY</t>
        </is>
      </c>
      <c r="M346" t="inlineStr">
        <is>
          <t>OFFICIAL_AGGREGATE</t>
        </is>
      </c>
      <c r="N346" t="inlineStr">
        <is>
          <t>https://www.ande.gov.py/finanzas/ANDE%20-%20Resumen%20Estad%C3%ADstico%202020%20-%202024.pdf</t>
        </is>
      </c>
      <c r="O346" t="n">
        <v>95</v>
      </c>
      <c r="P346" t="inlineStr">
        <is>
          <t>Tarifa media anual segun Resumen Estadistico 2020-2024. Fuente mas reciente para este periodo; preservar revisiones previas para auditoria.</t>
        </is>
      </c>
    </row>
    <row r="347">
      <c r="A347" t="inlineStr">
        <is>
          <t>P00346</t>
        </is>
      </c>
      <c r="B347" t="inlineStr">
        <is>
          <t>2022-01-01</t>
        </is>
      </c>
      <c r="C347" t="inlineStr">
        <is>
          <t>2022-12-31</t>
        </is>
      </c>
      <c r="D347" t="inlineStr">
        <is>
          <t>year</t>
        </is>
      </c>
      <c r="E347" t="inlineStr">
        <is>
          <t>ANDE_TARIFF_ELECTROINTENSIVE</t>
        </is>
      </c>
      <c r="F347" t="inlineStr">
        <is>
          <t>PY_SIN</t>
        </is>
      </c>
      <c r="G347" t="inlineStr">
        <is>
          <t>PY</t>
        </is>
      </c>
      <c r="H347" t="n">
        <v>219.1</v>
      </c>
      <c r="I347" t="inlineStr">
        <is>
          <t>Gs/kWh</t>
        </is>
      </c>
      <c r="J347" t="inlineStr">
        <is>
          <t>PYG</t>
        </is>
      </c>
      <c r="K347" t="inlineStr">
        <is>
          <t>ANDE</t>
        </is>
      </c>
      <c r="L347" t="inlineStr">
        <is>
          <t>OFFICIAL_PRIMARY</t>
        </is>
      </c>
      <c r="M347" t="inlineStr">
        <is>
          <t>OFFICIAL_AGGREGATE</t>
        </is>
      </c>
      <c r="N347" t="inlineStr">
        <is>
          <t>https://www.ande.gov.py/finanzas/ANDE%20-%20Resumen%20Estad%C3%ADstico%202020%20-%202024.pdf</t>
        </is>
      </c>
      <c r="O347" t="n">
        <v>95</v>
      </c>
      <c r="P347" t="inlineStr">
        <is>
          <t>Tarifa media anual segun Resumen Estadistico 2020-2024. Fuente mas reciente para este periodo; preservar revisiones previas para auditoria.</t>
        </is>
      </c>
    </row>
    <row r="348">
      <c r="A348" t="inlineStr">
        <is>
          <t>P00347</t>
        </is>
      </c>
      <c r="B348" t="inlineStr">
        <is>
          <t>2023-01-01</t>
        </is>
      </c>
      <c r="C348" t="inlineStr">
        <is>
          <t>2023-12-31</t>
        </is>
      </c>
      <c r="D348" t="inlineStr">
        <is>
          <t>year</t>
        </is>
      </c>
      <c r="E348" t="inlineStr">
        <is>
          <t>ANDE_TARIFF_ELECTROINTENSIVE</t>
        </is>
      </c>
      <c r="F348" t="inlineStr">
        <is>
          <t>PY_SIN</t>
        </is>
      </c>
      <c r="G348" t="inlineStr">
        <is>
          <t>PY</t>
        </is>
      </c>
      <c r="H348" t="n">
        <v>0</v>
      </c>
      <c r="I348" t="inlineStr">
        <is>
          <t>Gs/kWh</t>
        </is>
      </c>
      <c r="J348" t="inlineStr">
        <is>
          <t>PYG</t>
        </is>
      </c>
      <c r="K348" t="inlineStr">
        <is>
          <t>ANDE</t>
        </is>
      </c>
      <c r="L348" t="inlineStr">
        <is>
          <t>OFFICIAL_PRIMARY</t>
        </is>
      </c>
      <c r="M348" t="inlineStr">
        <is>
          <t>OFFICIAL_AGGREGATE</t>
        </is>
      </c>
      <c r="N348" t="inlineStr">
        <is>
          <t>https://www.ande.gov.py/finanzas/ANDE%20-%20Resumen%20Estad%C3%ADstico%202020%20-%202024.pdf</t>
        </is>
      </c>
      <c r="O348" t="n">
        <v>95</v>
      </c>
      <c r="P348" t="inlineStr">
        <is>
          <t>Tarifa media anual segun Resumen Estadistico 2020-2024. Fuente mas reciente para este periodo; preservar revisiones previas para auditoria.</t>
        </is>
      </c>
    </row>
    <row r="349">
      <c r="A349" t="inlineStr">
        <is>
          <t>P00348</t>
        </is>
      </c>
      <c r="B349" t="inlineStr">
        <is>
          <t>2024-01-01</t>
        </is>
      </c>
      <c r="C349" t="inlineStr">
        <is>
          <t>2024-12-31</t>
        </is>
      </c>
      <c r="D349" t="inlineStr">
        <is>
          <t>year</t>
        </is>
      </c>
      <c r="E349" t="inlineStr">
        <is>
          <t>ANDE_TARIFF_ELECTROINTENSIVE</t>
        </is>
      </c>
      <c r="F349" t="inlineStr">
        <is>
          <t>PY_SIN</t>
        </is>
      </c>
      <c r="G349" t="inlineStr">
        <is>
          <t>PY</t>
        </is>
      </c>
      <c r="H349" t="n">
        <v>0</v>
      </c>
      <c r="I349" t="inlineStr">
        <is>
          <t>Gs/kWh</t>
        </is>
      </c>
      <c r="J349" t="inlineStr">
        <is>
          <t>PYG</t>
        </is>
      </c>
      <c r="K349" t="inlineStr">
        <is>
          <t>ANDE</t>
        </is>
      </c>
      <c r="L349" t="inlineStr">
        <is>
          <t>OFFICIAL_PRIMARY</t>
        </is>
      </c>
      <c r="M349" t="inlineStr">
        <is>
          <t>OFFICIAL_AGGREGATE</t>
        </is>
      </c>
      <c r="N349" t="inlineStr">
        <is>
          <t>https://www.ande.gov.py/finanzas/ANDE%20-%20Resumen%20Estad%C3%ADstico%202020%20-%202024.pdf</t>
        </is>
      </c>
      <c r="O349" t="n">
        <v>95</v>
      </c>
      <c r="P349" t="inlineStr">
        <is>
          <t>Tarifa media anual segun Resumen Estadistico 2020-2024. Fuente mas reciente para este periodo; preservar revisiones previas para auditoria.</t>
        </is>
      </c>
    </row>
    <row r="350">
      <c r="A350" t="inlineStr">
        <is>
          <t>P00349</t>
        </is>
      </c>
      <c r="B350" t="inlineStr">
        <is>
          <t>2020-01-01</t>
        </is>
      </c>
      <c r="C350" t="inlineStr">
        <is>
          <t>2020-12-31</t>
        </is>
      </c>
      <c r="D350" t="inlineStr">
        <is>
          <t>year</t>
        </is>
      </c>
      <c r="E350" t="inlineStr">
        <is>
          <t>ANDE_TARIFF_SPECIAL_INTENSIVE</t>
        </is>
      </c>
      <c r="F350" t="inlineStr">
        <is>
          <t>PY_SIN</t>
        </is>
      </c>
      <c r="G350" t="inlineStr">
        <is>
          <t>PY</t>
        </is>
      </c>
      <c r="H350" t="n">
        <v>0</v>
      </c>
      <c r="I350" t="inlineStr">
        <is>
          <t>Gs/kWh</t>
        </is>
      </c>
      <c r="J350" t="inlineStr">
        <is>
          <t>PYG</t>
        </is>
      </c>
      <c r="K350" t="inlineStr">
        <is>
          <t>ANDE</t>
        </is>
      </c>
      <c r="L350" t="inlineStr">
        <is>
          <t>OFFICIAL_PRIMARY</t>
        </is>
      </c>
      <c r="M350" t="inlineStr">
        <is>
          <t>OFFICIAL_AGGREGATE</t>
        </is>
      </c>
      <c r="N350" t="inlineStr">
        <is>
          <t>https://www.ande.gov.py/finanzas/ANDE%20-%20Resumen%20Estad%C3%ADstico%202020%20-%202024.pdf</t>
        </is>
      </c>
      <c r="O350" t="n">
        <v>95</v>
      </c>
      <c r="P350" t="inlineStr">
        <is>
          <t>Tarifa media anual segun Resumen Estadistico 2020-2024. Fuente mas reciente para este periodo; preservar revisiones previas para auditoria.</t>
        </is>
      </c>
    </row>
    <row r="351">
      <c r="A351" t="inlineStr">
        <is>
          <t>P00350</t>
        </is>
      </c>
      <c r="B351" t="inlineStr">
        <is>
          <t>2021-01-01</t>
        </is>
      </c>
      <c r="C351" t="inlineStr">
        <is>
          <t>2021-12-31</t>
        </is>
      </c>
      <c r="D351" t="inlineStr">
        <is>
          <t>year</t>
        </is>
      </c>
      <c r="E351" t="inlineStr">
        <is>
          <t>ANDE_TARIFF_SPECIAL_INTENSIVE</t>
        </is>
      </c>
      <c r="F351" t="inlineStr">
        <is>
          <t>PY_SIN</t>
        </is>
      </c>
      <c r="G351" t="inlineStr">
        <is>
          <t>PY</t>
        </is>
      </c>
      <c r="H351" t="n">
        <v>0</v>
      </c>
      <c r="I351" t="inlineStr">
        <is>
          <t>Gs/kWh</t>
        </is>
      </c>
      <c r="J351" t="inlineStr">
        <is>
          <t>PYG</t>
        </is>
      </c>
      <c r="K351" t="inlineStr">
        <is>
          <t>ANDE</t>
        </is>
      </c>
      <c r="L351" t="inlineStr">
        <is>
          <t>OFFICIAL_PRIMARY</t>
        </is>
      </c>
      <c r="M351" t="inlineStr">
        <is>
          <t>OFFICIAL_AGGREGATE</t>
        </is>
      </c>
      <c r="N351" t="inlineStr">
        <is>
          <t>https://www.ande.gov.py/finanzas/ANDE%20-%20Resumen%20Estad%C3%ADstico%202020%20-%202024.pdf</t>
        </is>
      </c>
      <c r="O351" t="n">
        <v>95</v>
      </c>
      <c r="P351" t="inlineStr">
        <is>
          <t>Tarifa media anual segun Resumen Estadistico 2020-2024. Fuente mas reciente para este periodo; preservar revisiones previas para auditoria.</t>
        </is>
      </c>
    </row>
    <row r="352">
      <c r="A352" t="inlineStr">
        <is>
          <t>P00351</t>
        </is>
      </c>
      <c r="B352" t="inlineStr">
        <is>
          <t>2022-01-01</t>
        </is>
      </c>
      <c r="C352" t="inlineStr">
        <is>
          <t>2022-12-31</t>
        </is>
      </c>
      <c r="D352" t="inlineStr">
        <is>
          <t>year</t>
        </is>
      </c>
      <c r="E352" t="inlineStr">
        <is>
          <t>ANDE_TARIFF_SPECIAL_INTENSIVE</t>
        </is>
      </c>
      <c r="F352" t="inlineStr">
        <is>
          <t>PY_SIN</t>
        </is>
      </c>
      <c r="G352" t="inlineStr">
        <is>
          <t>PY</t>
        </is>
      </c>
      <c r="H352" t="n">
        <v>0</v>
      </c>
      <c r="I352" t="inlineStr">
        <is>
          <t>Gs/kWh</t>
        </is>
      </c>
      <c r="J352" t="inlineStr">
        <is>
          <t>PYG</t>
        </is>
      </c>
      <c r="K352" t="inlineStr">
        <is>
          <t>ANDE</t>
        </is>
      </c>
      <c r="L352" t="inlineStr">
        <is>
          <t>OFFICIAL_PRIMARY</t>
        </is>
      </c>
      <c r="M352" t="inlineStr">
        <is>
          <t>OFFICIAL_AGGREGATE</t>
        </is>
      </c>
      <c r="N352" t="inlineStr">
        <is>
          <t>https://www.ande.gov.py/finanzas/ANDE%20-%20Resumen%20Estad%C3%ADstico%202020%20-%202024.pdf</t>
        </is>
      </c>
      <c r="O352" t="n">
        <v>95</v>
      </c>
      <c r="P352" t="inlineStr">
        <is>
          <t>Tarifa media anual segun Resumen Estadistico 2020-2024. Fuente mas reciente para este periodo; preservar revisiones previas para auditoria.</t>
        </is>
      </c>
    </row>
    <row r="353">
      <c r="A353" t="inlineStr">
        <is>
          <t>P00352</t>
        </is>
      </c>
      <c r="B353" t="inlineStr">
        <is>
          <t>2023-01-01</t>
        </is>
      </c>
      <c r="C353" t="inlineStr">
        <is>
          <t>2023-12-31</t>
        </is>
      </c>
      <c r="D353" t="inlineStr">
        <is>
          <t>year</t>
        </is>
      </c>
      <c r="E353" t="inlineStr">
        <is>
          <t>ANDE_TARIFF_SPECIAL_INTENSIVE</t>
        </is>
      </c>
      <c r="F353" t="inlineStr">
        <is>
          <t>PY_SIN</t>
        </is>
      </c>
      <c r="G353" t="inlineStr">
        <is>
          <t>PY</t>
        </is>
      </c>
      <c r="H353" t="n">
        <v>376.7</v>
      </c>
      <c r="I353" t="inlineStr">
        <is>
          <t>Gs/kWh</t>
        </is>
      </c>
      <c r="J353" t="inlineStr">
        <is>
          <t>PYG</t>
        </is>
      </c>
      <c r="K353" t="inlineStr">
        <is>
          <t>ANDE</t>
        </is>
      </c>
      <c r="L353" t="inlineStr">
        <is>
          <t>OFFICIAL_PRIMARY</t>
        </is>
      </c>
      <c r="M353" t="inlineStr">
        <is>
          <t>OFFICIAL_AGGREGATE</t>
        </is>
      </c>
      <c r="N353" t="inlineStr">
        <is>
          <t>https://www.ande.gov.py/finanzas/ANDE%20-%20Resumen%20Estad%C3%ADstico%202020%20-%202024.pdf</t>
        </is>
      </c>
      <c r="O353" t="n">
        <v>95</v>
      </c>
      <c r="P353" t="inlineStr">
        <is>
          <t>Tarifa media anual segun Resumen Estadistico 2020-2024. Fuente mas reciente para este periodo; preservar revisiones previas para auditoria.</t>
        </is>
      </c>
    </row>
    <row r="354">
      <c r="A354" t="inlineStr">
        <is>
          <t>P00353</t>
        </is>
      </c>
      <c r="B354" t="inlineStr">
        <is>
          <t>2024-01-01</t>
        </is>
      </c>
      <c r="C354" t="inlineStr">
        <is>
          <t>2024-12-31</t>
        </is>
      </c>
      <c r="D354" t="inlineStr">
        <is>
          <t>year</t>
        </is>
      </c>
      <c r="E354" t="inlineStr">
        <is>
          <t>ANDE_TARIFF_SPECIAL_INTENSIVE</t>
        </is>
      </c>
      <c r="F354" t="inlineStr">
        <is>
          <t>PY_SIN</t>
        </is>
      </c>
      <c r="G354" t="inlineStr">
        <is>
          <t>PY</t>
        </is>
      </c>
      <c r="H354" t="n">
        <v>356.1</v>
      </c>
      <c r="I354" t="inlineStr">
        <is>
          <t>Gs/kWh</t>
        </is>
      </c>
      <c r="J354" t="inlineStr">
        <is>
          <t>PYG</t>
        </is>
      </c>
      <c r="K354" t="inlineStr">
        <is>
          <t>ANDE</t>
        </is>
      </c>
      <c r="L354" t="inlineStr">
        <is>
          <t>OFFICIAL_PRIMARY</t>
        </is>
      </c>
      <c r="M354" t="inlineStr">
        <is>
          <t>OFFICIAL_AGGREGATE</t>
        </is>
      </c>
      <c r="N354" t="inlineStr">
        <is>
          <t>https://www.ande.gov.py/finanzas/ANDE%20-%20Resumen%20Estad%C3%ADstico%202020%20-%202024.pdf</t>
        </is>
      </c>
      <c r="O354" t="n">
        <v>95</v>
      </c>
      <c r="P354" t="inlineStr">
        <is>
          <t>Tarifa media anual segun Resumen Estadistico 2020-2024. Fuente mas reciente para este periodo; preservar revisiones previas para auditoria.</t>
        </is>
      </c>
    </row>
    <row r="355">
      <c r="A355" t="inlineStr">
        <is>
          <t>P00354</t>
        </is>
      </c>
      <c r="B355" t="inlineStr">
        <is>
          <t>2020-01-01</t>
        </is>
      </c>
      <c r="C355" t="inlineStr">
        <is>
          <t>2020-12-31</t>
        </is>
      </c>
      <c r="D355" t="inlineStr">
        <is>
          <t>year</t>
        </is>
      </c>
      <c r="E355" t="inlineStr">
        <is>
          <t>ANDE_TARIFF_NATIONAL_AVG</t>
        </is>
      </c>
      <c r="F355" t="inlineStr">
        <is>
          <t>PY_SIN</t>
        </is>
      </c>
      <c r="G355" t="inlineStr">
        <is>
          <t>PY</t>
        </is>
      </c>
      <c r="H355" t="n">
        <v>378.4</v>
      </c>
      <c r="I355" t="inlineStr">
        <is>
          <t>Gs/kWh</t>
        </is>
      </c>
      <c r="J355" t="inlineStr">
        <is>
          <t>PYG</t>
        </is>
      </c>
      <c r="K355" t="inlineStr">
        <is>
          <t>ANDE</t>
        </is>
      </c>
      <c r="L355" t="inlineStr">
        <is>
          <t>OFFICIAL_PRIMARY</t>
        </is>
      </c>
      <c r="M355" t="inlineStr">
        <is>
          <t>OFFICIAL_AGGREGATE</t>
        </is>
      </c>
      <c r="N355" t="inlineStr">
        <is>
          <t>https://www.ande.gov.py/finanzas/ANDE%20-%20Resumen%20Estad%C3%ADstico%202020%20-%202024.pdf</t>
        </is>
      </c>
      <c r="O355" t="n">
        <v>95</v>
      </c>
      <c r="P355" t="inlineStr">
        <is>
          <t>Tarifa media anual segun Resumen Estadistico 2020-2024. Fuente mas reciente para este periodo; preservar revisiones previas para auditoria.</t>
        </is>
      </c>
    </row>
    <row r="356">
      <c r="A356" t="inlineStr">
        <is>
          <t>P00355</t>
        </is>
      </c>
      <c r="B356" t="inlineStr">
        <is>
          <t>2021-01-01</t>
        </is>
      </c>
      <c r="C356" t="inlineStr">
        <is>
          <t>2021-12-31</t>
        </is>
      </c>
      <c r="D356" t="inlineStr">
        <is>
          <t>year</t>
        </is>
      </c>
      <c r="E356" t="inlineStr">
        <is>
          <t>ANDE_TARIFF_NATIONAL_AVG</t>
        </is>
      </c>
      <c r="F356" t="inlineStr">
        <is>
          <t>PY_SIN</t>
        </is>
      </c>
      <c r="G356" t="inlineStr">
        <is>
          <t>PY</t>
        </is>
      </c>
      <c r="H356" t="n">
        <v>373.2</v>
      </c>
      <c r="I356" t="inlineStr">
        <is>
          <t>Gs/kWh</t>
        </is>
      </c>
      <c r="J356" t="inlineStr">
        <is>
          <t>PYG</t>
        </is>
      </c>
      <c r="K356" t="inlineStr">
        <is>
          <t>ANDE</t>
        </is>
      </c>
      <c r="L356" t="inlineStr">
        <is>
          <t>OFFICIAL_PRIMARY</t>
        </is>
      </c>
      <c r="M356" t="inlineStr">
        <is>
          <t>OFFICIAL_AGGREGATE</t>
        </is>
      </c>
      <c r="N356" t="inlineStr">
        <is>
          <t>https://www.ande.gov.py/finanzas/ANDE%20-%20Resumen%20Estad%C3%ADstico%202020%20-%202024.pdf</t>
        </is>
      </c>
      <c r="O356" t="n">
        <v>95</v>
      </c>
      <c r="P356" t="inlineStr">
        <is>
          <t>Tarifa media anual segun Resumen Estadistico 2020-2024. Fuente mas reciente para este periodo; preservar revisiones previas para auditoria.</t>
        </is>
      </c>
    </row>
    <row r="357">
      <c r="A357" t="inlineStr">
        <is>
          <t>P00356</t>
        </is>
      </c>
      <c r="B357" t="inlineStr">
        <is>
          <t>2022-01-01</t>
        </is>
      </c>
      <c r="C357" t="inlineStr">
        <is>
          <t>2022-12-31</t>
        </is>
      </c>
      <c r="D357" t="inlineStr">
        <is>
          <t>year</t>
        </is>
      </c>
      <c r="E357" t="inlineStr">
        <is>
          <t>ANDE_TARIFF_NATIONAL_AVG</t>
        </is>
      </c>
      <c r="F357" t="inlineStr">
        <is>
          <t>PY_SIN</t>
        </is>
      </c>
      <c r="G357" t="inlineStr">
        <is>
          <t>PY</t>
        </is>
      </c>
      <c r="H357" t="n">
        <v>373.2</v>
      </c>
      <c r="I357" t="inlineStr">
        <is>
          <t>Gs/kWh</t>
        </is>
      </c>
      <c r="J357" t="inlineStr">
        <is>
          <t>PYG</t>
        </is>
      </c>
      <c r="K357" t="inlineStr">
        <is>
          <t>ANDE</t>
        </is>
      </c>
      <c r="L357" t="inlineStr">
        <is>
          <t>OFFICIAL_PRIMARY</t>
        </is>
      </c>
      <c r="M357" t="inlineStr">
        <is>
          <t>OFFICIAL_AGGREGATE</t>
        </is>
      </c>
      <c r="N357" t="inlineStr">
        <is>
          <t>https://www.ande.gov.py/finanzas/ANDE%20-%20Resumen%20Estad%C3%ADstico%202020%20-%202024.pdf</t>
        </is>
      </c>
      <c r="O357" t="n">
        <v>95</v>
      </c>
      <c r="P357" t="inlineStr">
        <is>
          <t>Tarifa media anual segun Resumen Estadistico 2020-2024. Fuente mas reciente para este periodo; preservar revisiones previas para auditoria.</t>
        </is>
      </c>
    </row>
    <row r="358">
      <c r="A358" t="inlineStr">
        <is>
          <t>P00357</t>
        </is>
      </c>
      <c r="B358" t="inlineStr">
        <is>
          <t>2023-01-01</t>
        </is>
      </c>
      <c r="C358" t="inlineStr">
        <is>
          <t>2023-12-31</t>
        </is>
      </c>
      <c r="D358" t="inlineStr">
        <is>
          <t>year</t>
        </is>
      </c>
      <c r="E358" t="inlineStr">
        <is>
          <t>ANDE_TARIFF_NATIONAL_AVG</t>
        </is>
      </c>
      <c r="F358" t="inlineStr">
        <is>
          <t>PY_SIN</t>
        </is>
      </c>
      <c r="G358" t="inlineStr">
        <is>
          <t>PY</t>
        </is>
      </c>
      <c r="H358" t="n">
        <v>369.2</v>
      </c>
      <c r="I358" t="inlineStr">
        <is>
          <t>Gs/kWh</t>
        </is>
      </c>
      <c r="J358" t="inlineStr">
        <is>
          <t>PYG</t>
        </is>
      </c>
      <c r="K358" t="inlineStr">
        <is>
          <t>ANDE</t>
        </is>
      </c>
      <c r="L358" t="inlineStr">
        <is>
          <t>OFFICIAL_PRIMARY</t>
        </is>
      </c>
      <c r="M358" t="inlineStr">
        <is>
          <t>OFFICIAL_AGGREGATE</t>
        </is>
      </c>
      <c r="N358" t="inlineStr">
        <is>
          <t>https://www.ande.gov.py/finanzas/ANDE%20-%20Resumen%20Estad%C3%ADstico%202020%20-%202024.pdf</t>
        </is>
      </c>
      <c r="O358" t="n">
        <v>95</v>
      </c>
      <c r="P358" t="inlineStr">
        <is>
          <t>Tarifa media anual segun Resumen Estadistico 2020-2024. Fuente mas reciente para este periodo; preservar revisiones previas para auditoria.</t>
        </is>
      </c>
    </row>
    <row r="359">
      <c r="A359" t="inlineStr">
        <is>
          <t>P00358</t>
        </is>
      </c>
      <c r="B359" t="inlineStr">
        <is>
          <t>2024-01-01</t>
        </is>
      </c>
      <c r="C359" t="inlineStr">
        <is>
          <t>2024-12-31</t>
        </is>
      </c>
      <c r="D359" t="inlineStr">
        <is>
          <t>year</t>
        </is>
      </c>
      <c r="E359" t="inlineStr">
        <is>
          <t>ANDE_TARIFF_NATIONAL_AVG</t>
        </is>
      </c>
      <c r="F359" t="inlineStr">
        <is>
          <t>PY_SIN</t>
        </is>
      </c>
      <c r="G359" t="inlineStr">
        <is>
          <t>PY</t>
        </is>
      </c>
      <c r="H359" t="n">
        <v>371.9</v>
      </c>
      <c r="I359" t="inlineStr">
        <is>
          <t>Gs/kWh</t>
        </is>
      </c>
      <c r="J359" t="inlineStr">
        <is>
          <t>PYG</t>
        </is>
      </c>
      <c r="K359" t="inlineStr">
        <is>
          <t>ANDE</t>
        </is>
      </c>
      <c r="L359" t="inlineStr">
        <is>
          <t>OFFICIAL_PRIMARY</t>
        </is>
      </c>
      <c r="M359" t="inlineStr">
        <is>
          <t>OFFICIAL_AGGREGATE</t>
        </is>
      </c>
      <c r="N359" t="inlineStr">
        <is>
          <t>https://www.ande.gov.py/finanzas/ANDE%20-%20Resumen%20Estad%C3%ADstico%202020%20-%202024.pdf</t>
        </is>
      </c>
      <c r="O359" t="n">
        <v>95</v>
      </c>
      <c r="P359" t="inlineStr">
        <is>
          <t>Tarifa media anual segun Resumen Estadistico 2020-2024. Fuente mas reciente para este periodo; preservar revisiones previas para auditoria.</t>
        </is>
      </c>
    </row>
    <row r="360">
      <c r="A360" t="inlineStr">
        <is>
          <t>P00359</t>
        </is>
      </c>
      <c r="B360" t="inlineStr">
        <is>
          <t>2020-01-01</t>
        </is>
      </c>
      <c r="C360" t="inlineStr">
        <is>
          <t>2020-12-31</t>
        </is>
      </c>
      <c r="D360" t="inlineStr">
        <is>
          <t>year</t>
        </is>
      </c>
      <c r="E360" t="inlineStr">
        <is>
          <t>ANDE_TARIFF_EXPORT_AVG</t>
        </is>
      </c>
      <c r="F360" t="inlineStr">
        <is>
          <t>PY_SIN</t>
        </is>
      </c>
      <c r="G360" t="inlineStr">
        <is>
          <t>PY</t>
        </is>
      </c>
      <c r="H360" t="n">
        <v>805.3</v>
      </c>
      <c r="I360" t="inlineStr">
        <is>
          <t>Gs/kWh</t>
        </is>
      </c>
      <c r="J360" t="inlineStr">
        <is>
          <t>PYG</t>
        </is>
      </c>
      <c r="K360" t="inlineStr">
        <is>
          <t>ANDE</t>
        </is>
      </c>
      <c r="L360" t="inlineStr">
        <is>
          <t>OFFICIAL_PRIMARY</t>
        </is>
      </c>
      <c r="M360" t="inlineStr">
        <is>
          <t>OFFICIAL_AGGREGATE</t>
        </is>
      </c>
      <c r="N360" t="inlineStr">
        <is>
          <t>https://www.ande.gov.py/finanzas/ANDE%20-%20Resumen%20Estad%C3%ADstico%202020%20-%202024.pdf</t>
        </is>
      </c>
      <c r="O360" t="n">
        <v>95</v>
      </c>
      <c r="P360" t="inlineStr">
        <is>
          <t>Tarifa media anual segun Resumen Estadistico 2020-2024. Fuente mas reciente para este periodo; preservar revisiones previas para auditoria.</t>
        </is>
      </c>
    </row>
    <row r="361">
      <c r="A361" t="inlineStr">
        <is>
          <t>P00360</t>
        </is>
      </c>
      <c r="B361" t="inlineStr">
        <is>
          <t>2021-01-01</t>
        </is>
      </c>
      <c r="C361" t="inlineStr">
        <is>
          <t>2021-12-31</t>
        </is>
      </c>
      <c r="D361" t="inlineStr">
        <is>
          <t>year</t>
        </is>
      </c>
      <c r="E361" t="inlineStr">
        <is>
          <t>ANDE_TARIFF_EXPORT_AVG</t>
        </is>
      </c>
      <c r="F361" t="inlineStr">
        <is>
          <t>PY_SIN</t>
        </is>
      </c>
      <c r="G361" t="inlineStr">
        <is>
          <t>PY</t>
        </is>
      </c>
      <c r="H361" t="n">
        <v>804.4</v>
      </c>
      <c r="I361" t="inlineStr">
        <is>
          <t>Gs/kWh</t>
        </is>
      </c>
      <c r="J361" t="inlineStr">
        <is>
          <t>PYG</t>
        </is>
      </c>
      <c r="K361" t="inlineStr">
        <is>
          <t>ANDE</t>
        </is>
      </c>
      <c r="L361" t="inlineStr">
        <is>
          <t>OFFICIAL_PRIMARY</t>
        </is>
      </c>
      <c r="M361" t="inlineStr">
        <is>
          <t>OFFICIAL_AGGREGATE</t>
        </is>
      </c>
      <c r="N361" t="inlineStr">
        <is>
          <t>https://www.ande.gov.py/finanzas/ANDE%20-%20Resumen%20Estad%C3%ADstico%202020%20-%202024.pdf</t>
        </is>
      </c>
      <c r="O361" t="n">
        <v>95</v>
      </c>
      <c r="P361" t="inlineStr">
        <is>
          <t>Tarifa media anual segun Resumen Estadistico 2020-2024. Fuente mas reciente para este periodo; preservar revisiones previas para auditoria.</t>
        </is>
      </c>
    </row>
    <row r="362">
      <c r="A362" t="inlineStr">
        <is>
          <t>P00361</t>
        </is>
      </c>
      <c r="B362" t="inlineStr">
        <is>
          <t>2022-01-01</t>
        </is>
      </c>
      <c r="C362" t="inlineStr">
        <is>
          <t>2022-12-31</t>
        </is>
      </c>
      <c r="D362" t="inlineStr">
        <is>
          <t>year</t>
        </is>
      </c>
      <c r="E362" t="inlineStr">
        <is>
          <t>ANDE_TARIFF_EXPORT_AVG</t>
        </is>
      </c>
      <c r="F362" t="inlineStr">
        <is>
          <t>PY_SIN</t>
        </is>
      </c>
      <c r="G362" t="inlineStr">
        <is>
          <t>PY</t>
        </is>
      </c>
      <c r="H362" t="n">
        <v>831.1</v>
      </c>
      <c r="I362" t="inlineStr">
        <is>
          <t>Gs/kWh</t>
        </is>
      </c>
      <c r="J362" t="inlineStr">
        <is>
          <t>PYG</t>
        </is>
      </c>
      <c r="K362" t="inlineStr">
        <is>
          <t>ANDE</t>
        </is>
      </c>
      <c r="L362" t="inlineStr">
        <is>
          <t>OFFICIAL_PRIMARY</t>
        </is>
      </c>
      <c r="M362" t="inlineStr">
        <is>
          <t>OFFICIAL_AGGREGATE</t>
        </is>
      </c>
      <c r="N362" t="inlineStr">
        <is>
          <t>https://www.ande.gov.py/finanzas/ANDE%20-%20Resumen%20Estad%C3%ADstico%202020%20-%202024.pdf</t>
        </is>
      </c>
      <c r="O362" t="n">
        <v>95</v>
      </c>
      <c r="P362" t="inlineStr">
        <is>
          <t>Tarifa media anual segun Resumen Estadistico 2020-2024. Fuente mas reciente para este periodo; preservar revisiones previas para auditoria.</t>
        </is>
      </c>
    </row>
    <row r="363">
      <c r="A363" t="inlineStr">
        <is>
          <t>P00362</t>
        </is>
      </c>
      <c r="B363" t="inlineStr">
        <is>
          <t>2023-01-01</t>
        </is>
      </c>
      <c r="C363" t="inlineStr">
        <is>
          <t>2023-12-31</t>
        </is>
      </c>
      <c r="D363" t="inlineStr">
        <is>
          <t>year</t>
        </is>
      </c>
      <c r="E363" t="inlineStr">
        <is>
          <t>ANDE_TARIFF_EXPORT_AVG</t>
        </is>
      </c>
      <c r="F363" t="inlineStr">
        <is>
          <t>PY_SIN</t>
        </is>
      </c>
      <c r="G363" t="inlineStr">
        <is>
          <t>PY</t>
        </is>
      </c>
      <c r="H363" t="n">
        <v>866.3</v>
      </c>
      <c r="I363" t="inlineStr">
        <is>
          <t>Gs/kWh</t>
        </is>
      </c>
      <c r="J363" t="inlineStr">
        <is>
          <t>PYG</t>
        </is>
      </c>
      <c r="K363" t="inlineStr">
        <is>
          <t>ANDE</t>
        </is>
      </c>
      <c r="L363" t="inlineStr">
        <is>
          <t>OFFICIAL_PRIMARY</t>
        </is>
      </c>
      <c r="M363" t="inlineStr">
        <is>
          <t>OFFICIAL_AGGREGATE</t>
        </is>
      </c>
      <c r="N363" t="inlineStr">
        <is>
          <t>https://www.ande.gov.py/finanzas/ANDE%20-%20Resumen%20Estad%C3%ADstico%202020%20-%202024.pdf</t>
        </is>
      </c>
      <c r="O363" t="n">
        <v>95</v>
      </c>
      <c r="P363" t="inlineStr">
        <is>
          <t>Tarifa media anual segun Resumen Estadistico 2020-2024. Fuente mas reciente para este periodo; preservar revisiones previas para auditoria.</t>
        </is>
      </c>
    </row>
    <row r="364">
      <c r="A364" t="inlineStr">
        <is>
          <t>P00363</t>
        </is>
      </c>
      <c r="B364" t="inlineStr">
        <is>
          <t>2024-01-01</t>
        </is>
      </c>
      <c r="C364" t="inlineStr">
        <is>
          <t>2024-12-31</t>
        </is>
      </c>
      <c r="D364" t="inlineStr">
        <is>
          <t>year</t>
        </is>
      </c>
      <c r="E364" t="inlineStr">
        <is>
          <t>ANDE_TARIFF_EXPORT_AVG</t>
        </is>
      </c>
      <c r="F364" t="inlineStr">
        <is>
          <t>PY_SIN</t>
        </is>
      </c>
      <c r="G364" t="inlineStr">
        <is>
          <t>PY</t>
        </is>
      </c>
      <c r="H364" t="n">
        <v>899.3</v>
      </c>
      <c r="I364" t="inlineStr">
        <is>
          <t>Gs/kWh</t>
        </is>
      </c>
      <c r="J364" t="inlineStr">
        <is>
          <t>PYG</t>
        </is>
      </c>
      <c r="K364" t="inlineStr">
        <is>
          <t>ANDE</t>
        </is>
      </c>
      <c r="L364" t="inlineStr">
        <is>
          <t>OFFICIAL_PRIMARY</t>
        </is>
      </c>
      <c r="M364" t="inlineStr">
        <is>
          <t>OFFICIAL_AGGREGATE</t>
        </is>
      </c>
      <c r="N364" t="inlineStr">
        <is>
          <t>https://www.ande.gov.py/finanzas/ANDE%20-%20Resumen%20Estad%C3%ADstico%202020%20-%202024.pdf</t>
        </is>
      </c>
      <c r="O364" t="n">
        <v>95</v>
      </c>
      <c r="P364" t="inlineStr">
        <is>
          <t>Tarifa media anual segun Resumen Estadistico 2020-2024. Fuente mas reciente para este periodo; preservar revisiones previas para auditoria.</t>
        </is>
      </c>
    </row>
    <row r="365">
      <c r="A365" t="inlineStr">
        <is>
          <t>P00364</t>
        </is>
      </c>
      <c r="B365" t="inlineStr">
        <is>
          <t>2020-01-01</t>
        </is>
      </c>
      <c r="C365" t="inlineStr">
        <is>
          <t>2020-12-31</t>
        </is>
      </c>
      <c r="D365" t="inlineStr">
        <is>
          <t>year</t>
        </is>
      </c>
      <c r="E365" t="inlineStr">
        <is>
          <t>ANDE_TARIFF_GENERAL_AVG</t>
        </is>
      </c>
      <c r="F365" t="inlineStr">
        <is>
          <t>PY_SIN</t>
        </is>
      </c>
      <c r="G365" t="inlineStr">
        <is>
          <t>PY</t>
        </is>
      </c>
      <c r="H365" t="n">
        <v>383</v>
      </c>
      <c r="I365" t="inlineStr">
        <is>
          <t>Gs/kWh</t>
        </is>
      </c>
      <c r="J365" t="inlineStr">
        <is>
          <t>PYG</t>
        </is>
      </c>
      <c r="K365" t="inlineStr">
        <is>
          <t>ANDE</t>
        </is>
      </c>
      <c r="L365" t="inlineStr">
        <is>
          <t>OFFICIAL_PRIMARY</t>
        </is>
      </c>
      <c r="M365" t="inlineStr">
        <is>
          <t>OFFICIAL_AGGREGATE</t>
        </is>
      </c>
      <c r="N365" t="inlineStr">
        <is>
          <t>https://www.ande.gov.py/finanzas/ANDE%20-%20Resumen%20Estad%C3%ADstico%202020%20-%202024.pdf</t>
        </is>
      </c>
      <c r="O365" t="n">
        <v>95</v>
      </c>
      <c r="P365" t="inlineStr">
        <is>
          <t>Tarifa media anual segun Resumen Estadistico 2020-2024. Fuente mas reciente para este periodo; preservar revisiones previas para auditoria.</t>
        </is>
      </c>
    </row>
    <row r="366">
      <c r="A366" t="inlineStr">
        <is>
          <t>P00365</t>
        </is>
      </c>
      <c r="B366" t="inlineStr">
        <is>
          <t>2021-01-01</t>
        </is>
      </c>
      <c r="C366" t="inlineStr">
        <is>
          <t>2021-12-31</t>
        </is>
      </c>
      <c r="D366" t="inlineStr">
        <is>
          <t>year</t>
        </is>
      </c>
      <c r="E366" t="inlineStr">
        <is>
          <t>ANDE_TARIFF_GENERAL_AVG</t>
        </is>
      </c>
      <c r="F366" t="inlineStr">
        <is>
          <t>PY_SIN</t>
        </is>
      </c>
      <c r="G366" t="inlineStr">
        <is>
          <t>PY</t>
        </is>
      </c>
      <c r="H366" t="n">
        <v>377.9</v>
      </c>
      <c r="I366" t="inlineStr">
        <is>
          <t>Gs/kWh</t>
        </is>
      </c>
      <c r="J366" t="inlineStr">
        <is>
          <t>PYG</t>
        </is>
      </c>
      <c r="K366" t="inlineStr">
        <is>
          <t>ANDE</t>
        </is>
      </c>
      <c r="L366" t="inlineStr">
        <is>
          <t>OFFICIAL_PRIMARY</t>
        </is>
      </c>
      <c r="M366" t="inlineStr">
        <is>
          <t>OFFICIAL_AGGREGATE</t>
        </is>
      </c>
      <c r="N366" t="inlineStr">
        <is>
          <t>https://www.ande.gov.py/finanzas/ANDE%20-%20Resumen%20Estad%C3%ADstico%202020%20-%202024.pdf</t>
        </is>
      </c>
      <c r="O366" t="n">
        <v>95</v>
      </c>
      <c r="P366" t="inlineStr">
        <is>
          <t>Tarifa media anual segun Resumen Estadistico 2020-2024. Fuente mas reciente para este periodo; preservar revisiones previas para auditoria.</t>
        </is>
      </c>
    </row>
    <row r="367">
      <c r="A367" t="inlineStr">
        <is>
          <t>P00366</t>
        </is>
      </c>
      <c r="B367" t="inlineStr">
        <is>
          <t>2022-01-01</t>
        </is>
      </c>
      <c r="C367" t="inlineStr">
        <is>
          <t>2022-12-31</t>
        </is>
      </c>
      <c r="D367" t="inlineStr">
        <is>
          <t>year</t>
        </is>
      </c>
      <c r="E367" t="inlineStr">
        <is>
          <t>ANDE_TARIFF_GENERAL_AVG</t>
        </is>
      </c>
      <c r="F367" t="inlineStr">
        <is>
          <t>PY_SIN</t>
        </is>
      </c>
      <c r="G367" t="inlineStr">
        <is>
          <t>PY</t>
        </is>
      </c>
      <c r="H367" t="n">
        <v>376.6</v>
      </c>
      <c r="I367" t="inlineStr">
        <is>
          <t>Gs/kWh</t>
        </is>
      </c>
      <c r="J367" t="inlineStr">
        <is>
          <t>PYG</t>
        </is>
      </c>
      <c r="K367" t="inlineStr">
        <is>
          <t>ANDE</t>
        </is>
      </c>
      <c r="L367" t="inlineStr">
        <is>
          <t>OFFICIAL_PRIMARY</t>
        </is>
      </c>
      <c r="M367" t="inlineStr">
        <is>
          <t>OFFICIAL_AGGREGATE</t>
        </is>
      </c>
      <c r="N367" t="inlineStr">
        <is>
          <t>https://www.ande.gov.py/finanzas/ANDE%20-%20Resumen%20Estad%C3%ADstico%202020%20-%202024.pdf</t>
        </is>
      </c>
      <c r="O367" t="n">
        <v>95</v>
      </c>
      <c r="P367" t="inlineStr">
        <is>
          <t>Tarifa media anual segun Resumen Estadistico 2020-2024. Fuente mas reciente para este periodo; preservar revisiones previas para auditoria.</t>
        </is>
      </c>
    </row>
    <row r="368">
      <c r="A368" t="inlineStr">
        <is>
          <t>P00367</t>
        </is>
      </c>
      <c r="B368" t="inlineStr">
        <is>
          <t>2023-01-01</t>
        </is>
      </c>
      <c r="C368" t="inlineStr">
        <is>
          <t>2023-12-31</t>
        </is>
      </c>
      <c r="D368" t="inlineStr">
        <is>
          <t>year</t>
        </is>
      </c>
      <c r="E368" t="inlineStr">
        <is>
          <t>ANDE_TARIFF_GENERAL_AVG</t>
        </is>
      </c>
      <c r="F368" t="inlineStr">
        <is>
          <t>PY_SIN</t>
        </is>
      </c>
      <c r="G368" t="inlineStr">
        <is>
          <t>PY</t>
        </is>
      </c>
      <c r="H368" t="n">
        <v>372.8</v>
      </c>
      <c r="I368" t="inlineStr">
        <is>
          <t>Gs/kWh</t>
        </is>
      </c>
      <c r="J368" t="inlineStr">
        <is>
          <t>PYG</t>
        </is>
      </c>
      <c r="K368" t="inlineStr">
        <is>
          <t>ANDE</t>
        </is>
      </c>
      <c r="L368" t="inlineStr">
        <is>
          <t>OFFICIAL_PRIMARY</t>
        </is>
      </c>
      <c r="M368" t="inlineStr">
        <is>
          <t>OFFICIAL_AGGREGATE</t>
        </is>
      </c>
      <c r="N368" t="inlineStr">
        <is>
          <t>https://www.ande.gov.py/finanzas/ANDE%20-%20Resumen%20Estad%C3%ADstico%202020%20-%202024.pdf</t>
        </is>
      </c>
      <c r="O368" t="n">
        <v>95</v>
      </c>
      <c r="P368" t="inlineStr">
        <is>
          <t>Tarifa media anual segun Resumen Estadistico 2020-2024. Fuente mas reciente para este periodo; preservar revisiones previas para auditoria.</t>
        </is>
      </c>
    </row>
    <row r="369">
      <c r="A369" t="inlineStr">
        <is>
          <t>P00368</t>
        </is>
      </c>
      <c r="B369" t="inlineStr">
        <is>
          <t>2024-01-01</t>
        </is>
      </c>
      <c r="C369" t="inlineStr">
        <is>
          <t>2024-12-31</t>
        </is>
      </c>
      <c r="D369" t="inlineStr">
        <is>
          <t>year</t>
        </is>
      </c>
      <c r="E369" t="inlineStr">
        <is>
          <t>ANDE_TARIFF_GENERAL_AVG</t>
        </is>
      </c>
      <c r="F369" t="inlineStr">
        <is>
          <t>PY_SIN</t>
        </is>
      </c>
      <c r="G369" t="inlineStr">
        <is>
          <t>PY</t>
        </is>
      </c>
      <c r="H369" t="n">
        <v>374.6</v>
      </c>
      <c r="I369" t="inlineStr">
        <is>
          <t>Gs/kWh</t>
        </is>
      </c>
      <c r="J369" t="inlineStr">
        <is>
          <t>PYG</t>
        </is>
      </c>
      <c r="K369" t="inlineStr">
        <is>
          <t>ANDE</t>
        </is>
      </c>
      <c r="L369" t="inlineStr">
        <is>
          <t>OFFICIAL_PRIMARY</t>
        </is>
      </c>
      <c r="M369" t="inlineStr">
        <is>
          <t>OFFICIAL_AGGREGATE</t>
        </is>
      </c>
      <c r="N369" t="inlineStr">
        <is>
          <t>https://www.ande.gov.py/finanzas/ANDE%20-%20Resumen%20Estad%C3%ADstico%202020%20-%202024.pdf</t>
        </is>
      </c>
      <c r="O369" t="n">
        <v>95</v>
      </c>
      <c r="P369" t="inlineStr">
        <is>
          <t>Tarifa media anual segun Resumen Estadistico 2020-2024. Fuente mas reciente para este periodo; preservar revisiones previas para auditoria.</t>
        </is>
      </c>
    </row>
  </sheetData>
  <autoFilter ref="A1:P369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28" customWidth="1" min="4" max="4"/>
    <col width="20" customWidth="1" min="5" max="5"/>
    <col width="24" customWidth="1" min="6" max="6"/>
    <col width="14" customWidth="1" min="7" max="7"/>
    <col width="65" customWidth="1" min="8" max="8"/>
  </cols>
  <sheetData>
    <row r="1">
      <c r="A1" s="16" t="inlineStr">
        <is>
          <t>Año</t>
        </is>
      </c>
      <c r="B1" s="16" t="inlineStr">
        <is>
          <t>Residencial media (Gs/kWh)</t>
        </is>
      </c>
      <c r="C1" s="16" t="inlineStr">
        <is>
          <t>Nacional media (Gs/kWh)</t>
        </is>
      </c>
      <c r="D1" s="16" t="inlineStr">
        <is>
          <t>Exportación ANDE media (Gs/kWh)</t>
        </is>
      </c>
      <c r="E1" s="16" t="inlineStr">
        <is>
          <t>Var. residencial YoY</t>
        </is>
      </c>
      <c r="F1" s="16" t="inlineStr">
        <is>
          <t>Residencial / Exportación</t>
        </is>
      </c>
      <c r="G1" s="16" t="inlineStr">
        <is>
          <t>Calidad</t>
        </is>
      </c>
      <c r="H1" s="16" t="inlineStr">
        <is>
          <t>Fuente principal</t>
        </is>
      </c>
    </row>
    <row r="2">
      <c r="A2" s="6" t="n">
        <v>1990</v>
      </c>
      <c r="B2" s="17" t="n">
        <v>56.1</v>
      </c>
      <c r="C2" s="17" t="n">
        <v>52.2</v>
      </c>
      <c r="D2" s="17" t="n">
        <v>44.5</v>
      </c>
      <c r="E2" s="18" t="n"/>
      <c r="F2" s="18">
        <f>IFERROR(B2/D2,"")</f>
        <v/>
      </c>
      <c r="G2" s="19" t="inlineStr">
        <is>
          <t>OFICIAL</t>
        </is>
      </c>
      <c r="H2" s="6" t="inlineStr">
        <is>
          <t>https://www.ande.gov.py/documentos_contables/157/compilacion_estadistica_1990-2010.pdf</t>
        </is>
      </c>
    </row>
    <row r="3">
      <c r="A3" s="6" t="n">
        <v>1991</v>
      </c>
      <c r="B3" s="17" t="n">
        <v>66.2</v>
      </c>
      <c r="C3" s="17" t="n">
        <v>62.2</v>
      </c>
      <c r="D3" s="17" t="n">
        <v>44.6</v>
      </c>
      <c r="E3" s="18">
        <f>IFERROR(B3/B2-1,"")</f>
        <v/>
      </c>
      <c r="F3" s="18">
        <f>IFERROR(B3/D3,"")</f>
        <v/>
      </c>
      <c r="G3" s="19" t="inlineStr">
        <is>
          <t>OFICIAL</t>
        </is>
      </c>
      <c r="H3" s="6" t="inlineStr">
        <is>
          <t>https://www.ande.gov.py/documentos_contables/157/compilacion_estadistica_1990-2010.pdf</t>
        </is>
      </c>
    </row>
    <row r="4">
      <c r="A4" s="6" t="n">
        <v>1992</v>
      </c>
      <c r="B4" s="17" t="n">
        <v>66.3</v>
      </c>
      <c r="C4" s="17" t="n">
        <v>61.7</v>
      </c>
      <c r="D4" s="17" t="n">
        <v>50.2</v>
      </c>
      <c r="E4" s="18">
        <f>IFERROR(B4/B3-1,"")</f>
        <v/>
      </c>
      <c r="F4" s="18">
        <f>IFERROR(B4/D4,"")</f>
        <v/>
      </c>
      <c r="G4" s="19" t="inlineStr">
        <is>
          <t>OFICIAL</t>
        </is>
      </c>
      <c r="H4" s="6" t="inlineStr">
        <is>
          <t>https://www.ande.gov.py/documentos_contables/157/compilacion_estadistica_1990-2010.pdf</t>
        </is>
      </c>
    </row>
    <row r="5">
      <c r="A5" s="6" t="n">
        <v>1993</v>
      </c>
      <c r="B5" s="17" t="n">
        <v>70.59999999999999</v>
      </c>
      <c r="C5" s="17" t="n">
        <v>66.40000000000001</v>
      </c>
      <c r="D5" s="17" t="n">
        <v>65.90000000000001</v>
      </c>
      <c r="E5" s="18">
        <f>IFERROR(B5/B4-1,"")</f>
        <v/>
      </c>
      <c r="F5" s="18">
        <f>IFERROR(B5/D5,"")</f>
        <v/>
      </c>
      <c r="G5" s="19" t="inlineStr">
        <is>
          <t>OFICIAL</t>
        </is>
      </c>
      <c r="H5" s="6" t="inlineStr">
        <is>
          <t>https://www.ande.gov.py/documentos_contables/157/compilacion_estadistica_1990-2010.pdf</t>
        </is>
      </c>
    </row>
    <row r="6">
      <c r="A6" s="6" t="n">
        <v>1994</v>
      </c>
      <c r="B6" s="17" t="n">
        <v>85.5</v>
      </c>
      <c r="C6" s="17" t="n">
        <v>80.3</v>
      </c>
      <c r="D6" s="17" t="n">
        <v>66.2</v>
      </c>
      <c r="E6" s="18">
        <f>IFERROR(B6/B5-1,"")</f>
        <v/>
      </c>
      <c r="F6" s="18">
        <f>IFERROR(B6/D6,"")</f>
        <v/>
      </c>
      <c r="G6" s="19" t="inlineStr">
        <is>
          <t>OFICIAL</t>
        </is>
      </c>
      <c r="H6" s="6" t="inlineStr">
        <is>
          <t>https://www.ande.gov.py/documentos_contables/157/compilacion_estadistica_1990-2010.pdf</t>
        </is>
      </c>
    </row>
    <row r="7">
      <c r="A7" s="6" t="n">
        <v>1995</v>
      </c>
      <c r="B7" s="17" t="n">
        <v>95.5</v>
      </c>
      <c r="C7" s="17" t="n">
        <v>89.2</v>
      </c>
      <c r="D7" s="17" t="n">
        <v>78.7</v>
      </c>
      <c r="E7" s="18">
        <f>IFERROR(B7/B6-1,"")</f>
        <v/>
      </c>
      <c r="F7" s="18">
        <f>IFERROR(B7/D7,"")</f>
        <v/>
      </c>
      <c r="G7" s="19" t="inlineStr">
        <is>
          <t>OFICIAL</t>
        </is>
      </c>
      <c r="H7" s="6" t="inlineStr">
        <is>
          <t>https://www.ande.gov.py/documentos_contables/157/compilacion_estadistica_1990-2010.pdf</t>
        </is>
      </c>
    </row>
    <row r="8">
      <c r="A8" s="6" t="n">
        <v>1996</v>
      </c>
      <c r="B8" s="17" t="n">
        <v>118</v>
      </c>
      <c r="C8" s="17" t="n">
        <v>110</v>
      </c>
      <c r="D8" s="17" t="n">
        <v>75.40000000000001</v>
      </c>
      <c r="E8" s="18">
        <f>IFERROR(B8/B7-1,"")</f>
        <v/>
      </c>
      <c r="F8" s="18">
        <f>IFERROR(B8/D8,"")</f>
        <v/>
      </c>
      <c r="G8" s="19" t="inlineStr">
        <is>
          <t>OFICIAL</t>
        </is>
      </c>
      <c r="H8" s="6" t="inlineStr">
        <is>
          <t>https://www.ande.gov.py/documentos_contables/157/compilacion_estadistica_1990-2010.pdf</t>
        </is>
      </c>
    </row>
    <row r="9">
      <c r="A9" s="6" t="n">
        <v>1997</v>
      </c>
      <c r="B9" s="17" t="n">
        <v>135.1</v>
      </c>
      <c r="C9" s="17" t="n">
        <v>124.6</v>
      </c>
      <c r="D9" s="17" t="n">
        <v>55</v>
      </c>
      <c r="E9" s="18">
        <f>IFERROR(B9/B8-1,"")</f>
        <v/>
      </c>
      <c r="F9" s="18">
        <f>IFERROR(B9/D9,"")</f>
        <v/>
      </c>
      <c r="G9" s="19" t="inlineStr">
        <is>
          <t>OFICIAL</t>
        </is>
      </c>
      <c r="H9" s="6" t="inlineStr">
        <is>
          <t>https://www.ande.gov.py/documentos_contables/157/compilacion_estadistica_1990-2010.pdf</t>
        </is>
      </c>
    </row>
    <row r="10">
      <c r="A10" s="6" t="n">
        <v>1998</v>
      </c>
      <c r="B10" s="17" t="n">
        <v>159.9</v>
      </c>
      <c r="C10" s="17" t="n">
        <v>148.6</v>
      </c>
      <c r="D10" s="17" t="n">
        <v>48.7</v>
      </c>
      <c r="E10" s="18">
        <f>IFERROR(B10/B9-1,"")</f>
        <v/>
      </c>
      <c r="F10" s="18">
        <f>IFERROR(B10/D10,"")</f>
        <v/>
      </c>
      <c r="G10" s="19" t="inlineStr">
        <is>
          <t>OFICIAL</t>
        </is>
      </c>
      <c r="H10" s="6" t="inlineStr">
        <is>
          <t>https://www.ande.gov.py/documentos_contables/157/compilacion_estadistica_1990-2010.pdf</t>
        </is>
      </c>
    </row>
    <row r="11">
      <c r="A11" s="6" t="n">
        <v>1999</v>
      </c>
      <c r="B11" s="17" t="n">
        <v>161.7</v>
      </c>
      <c r="C11" s="17" t="n">
        <v>146.8</v>
      </c>
      <c r="D11" s="17" t="n">
        <v>40.2</v>
      </c>
      <c r="E11" s="18">
        <f>IFERROR(B11/B10-1,"")</f>
        <v/>
      </c>
      <c r="F11" s="18">
        <f>IFERROR(B11/D11,"")</f>
        <v/>
      </c>
      <c r="G11" s="19" t="inlineStr">
        <is>
          <t>OFICIAL</t>
        </is>
      </c>
      <c r="H11" s="6" t="inlineStr">
        <is>
          <t>https://www.ande.gov.py/documentos_contables/157/compilacion_estadistica_1990-2010.pdf</t>
        </is>
      </c>
    </row>
    <row r="12">
      <c r="A12" s="6" t="n">
        <v>2000</v>
      </c>
      <c r="B12" s="17" t="n">
        <v>171.4</v>
      </c>
      <c r="C12" s="17" t="n">
        <v>159.1</v>
      </c>
      <c r="D12" s="17" t="n">
        <v>53.7</v>
      </c>
      <c r="E12" s="18">
        <f>IFERROR(B12/B11-1,"")</f>
        <v/>
      </c>
      <c r="F12" s="18">
        <f>IFERROR(B12/D12,"")</f>
        <v/>
      </c>
      <c r="G12" s="19" t="inlineStr">
        <is>
          <t>OFICIAL</t>
        </is>
      </c>
      <c r="H12" s="6" t="inlineStr">
        <is>
          <t>https://www.ande.gov.py/documentos_contables/157/compilacion_estadistica_1990-2010.pdf</t>
        </is>
      </c>
    </row>
    <row r="13">
      <c r="A13" s="6" t="n">
        <v>2001</v>
      </c>
      <c r="B13" s="17" t="n">
        <v>232</v>
      </c>
      <c r="C13" s="17" t="n">
        <v>211.2</v>
      </c>
      <c r="D13" s="17" t="n">
        <v>60.9</v>
      </c>
      <c r="E13" s="18">
        <f>IFERROR(B13/B12-1,"")</f>
        <v/>
      </c>
      <c r="F13" s="18">
        <f>IFERROR(B13/D13,"")</f>
        <v/>
      </c>
      <c r="G13" s="19" t="inlineStr">
        <is>
          <t>OFICIAL</t>
        </is>
      </c>
      <c r="H13" s="6" t="inlineStr">
        <is>
          <t>https://www.ande.gov.py/documentos_contables/157/compilacion_estadistica_1990-2010.pdf</t>
        </is>
      </c>
    </row>
    <row r="14">
      <c r="A14" s="6" t="n">
        <v>2002</v>
      </c>
      <c r="B14" s="17" t="n">
        <v>299.7</v>
      </c>
      <c r="C14" s="17" t="n">
        <v>275.4</v>
      </c>
      <c r="D14" s="17" t="n">
        <v>51.3</v>
      </c>
      <c r="E14" s="18">
        <f>IFERROR(B14/B13-1,"")</f>
        <v/>
      </c>
      <c r="F14" s="18">
        <f>IFERROR(B14/D14,"")</f>
        <v/>
      </c>
      <c r="G14" s="19" t="inlineStr">
        <is>
          <t>OFICIAL</t>
        </is>
      </c>
      <c r="H14" s="6" t="inlineStr">
        <is>
          <t>https://www.ande.gov.py/documentos_contables/157/compilacion_estadistica_1990-2010.pdf</t>
        </is>
      </c>
    </row>
    <row r="15">
      <c r="A15" s="6" t="n">
        <v>2003</v>
      </c>
      <c r="B15" s="17" t="n">
        <v>348.4</v>
      </c>
      <c r="C15" s="17" t="n">
        <v>317.3</v>
      </c>
      <c r="D15" s="17" t="n">
        <v>57.8</v>
      </c>
      <c r="E15" s="18">
        <f>IFERROR(B15/B14-1,"")</f>
        <v/>
      </c>
      <c r="F15" s="18">
        <f>IFERROR(B15/D15,"")</f>
        <v/>
      </c>
      <c r="G15" s="19" t="inlineStr">
        <is>
          <t>OFICIAL</t>
        </is>
      </c>
      <c r="H15" s="6" t="inlineStr">
        <is>
          <t>https://www.ande.gov.py/finanzas/2.%20COMPILACION%20ESTADISTICA%202003-2023/ANDE%20-%20Compilacion%20Estadistica%202003-2023.pdf</t>
        </is>
      </c>
    </row>
    <row r="16">
      <c r="A16" s="6" t="n">
        <v>2004</v>
      </c>
      <c r="B16" s="17" t="n">
        <v>349.6</v>
      </c>
      <c r="C16" s="17" t="n">
        <v>314.5</v>
      </c>
      <c r="D16" s="17" t="n">
        <v>67.90000000000001</v>
      </c>
      <c r="E16" s="18">
        <f>IFERROR(B16/B15-1,"")</f>
        <v/>
      </c>
      <c r="F16" s="18">
        <f>IFERROR(B16/D16,"")</f>
        <v/>
      </c>
      <c r="G16" s="19" t="inlineStr">
        <is>
          <t>OFICIAL</t>
        </is>
      </c>
      <c r="H16" s="6" t="inlineStr">
        <is>
          <t>https://www.ande.gov.py/finanzas/2.%20COMPILACION%20ESTADISTICA%202003-2023/ANDE%20-%20Compilacion%20Estadistica%202003-2023.pdf</t>
        </is>
      </c>
    </row>
    <row r="17">
      <c r="A17" s="6" t="n">
        <v>2005</v>
      </c>
      <c r="B17" s="17" t="n">
        <v>352.3</v>
      </c>
      <c r="C17" s="17" t="n">
        <v>312.6</v>
      </c>
      <c r="D17" s="17" t="n">
        <v>83.90000000000001</v>
      </c>
      <c r="E17" s="18">
        <f>IFERROR(B17/B16-1,"")</f>
        <v/>
      </c>
      <c r="F17" s="18">
        <f>IFERROR(B17/D17,"")</f>
        <v/>
      </c>
      <c r="G17" s="19" t="inlineStr">
        <is>
          <t>OFICIAL</t>
        </is>
      </c>
      <c r="H17" s="6" t="inlineStr">
        <is>
          <t>https://www.ande.gov.py/finanzas/2.%20COMPILACION%20ESTADISTICA%202003-2023/ANDE%20-%20Compilacion%20Estadistica%202003-2023.pdf</t>
        </is>
      </c>
    </row>
    <row r="18">
      <c r="A18" s="6" t="n">
        <v>2006</v>
      </c>
      <c r="B18" s="17" t="n">
        <v>351.9</v>
      </c>
      <c r="C18" s="17" t="n">
        <v>311.3</v>
      </c>
      <c r="D18" s="17" t="n">
        <v>87</v>
      </c>
      <c r="E18" s="18">
        <f>IFERROR(B18/B17-1,"")</f>
        <v/>
      </c>
      <c r="F18" s="18">
        <f>IFERROR(B18/D18,"")</f>
        <v/>
      </c>
      <c r="G18" s="19" t="inlineStr">
        <is>
          <t>OFICIAL</t>
        </is>
      </c>
      <c r="H18" s="6" t="inlineStr">
        <is>
          <t>https://www.ande.gov.py/finanzas/2.%20COMPILACION%20ESTADISTICA%202003-2023/ANDE%20-%20Compilacion%20Estadistica%202003-2023.pdf</t>
        </is>
      </c>
    </row>
    <row r="19">
      <c r="A19" s="6" t="n">
        <v>2007</v>
      </c>
      <c r="B19" s="17" t="n">
        <v>355.8</v>
      </c>
      <c r="C19" s="17" t="n">
        <v>311.1</v>
      </c>
      <c r="D19" s="17" t="n">
        <v>94.2</v>
      </c>
      <c r="E19" s="18">
        <f>IFERROR(B19/B18-1,"")</f>
        <v/>
      </c>
      <c r="F19" s="18">
        <f>IFERROR(B19/D19,"")</f>
        <v/>
      </c>
      <c r="G19" s="19" t="inlineStr">
        <is>
          <t>OFICIAL</t>
        </is>
      </c>
      <c r="H19" s="6" t="inlineStr">
        <is>
          <t>https://www.ande.gov.py/finanzas/2.%20COMPILACION%20ESTADISTICA%202003-2023/ANDE%20-%20Compilacion%20Estadistica%202003-2023.pdf</t>
        </is>
      </c>
    </row>
    <row r="20">
      <c r="A20" s="6" t="n">
        <v>2008</v>
      </c>
      <c r="B20" s="17" t="n">
        <v>353.4</v>
      </c>
      <c r="C20" s="17" t="n">
        <v>311</v>
      </c>
      <c r="D20" s="17" t="n">
        <v>111</v>
      </c>
      <c r="E20" s="18">
        <f>IFERROR(B20/B19-1,"")</f>
        <v/>
      </c>
      <c r="F20" s="18">
        <f>IFERROR(B20/D20,"")</f>
        <v/>
      </c>
      <c r="G20" s="19" t="inlineStr">
        <is>
          <t>OFICIAL</t>
        </is>
      </c>
      <c r="H20" s="6" t="inlineStr">
        <is>
          <t>https://www.ande.gov.py/finanzas/2.%20COMPILACION%20ESTADISTICA%202003-2023/ANDE%20-%20Compilacion%20Estadistica%202003-2023.pdf</t>
        </is>
      </c>
    </row>
    <row r="21">
      <c r="A21" s="6" t="n">
        <v>2009</v>
      </c>
      <c r="B21" s="17" t="n">
        <v>354</v>
      </c>
      <c r="C21" s="17" t="n">
        <v>310</v>
      </c>
      <c r="D21" s="17" t="n">
        <v>267.5</v>
      </c>
      <c r="E21" s="18">
        <f>IFERROR(B21/B20-1,"")</f>
        <v/>
      </c>
      <c r="F21" s="18">
        <f>IFERROR(B21/D21,"")</f>
        <v/>
      </c>
      <c r="G21" s="19" t="inlineStr">
        <is>
          <t>OFICIAL</t>
        </is>
      </c>
      <c r="H21" s="6" t="inlineStr">
        <is>
          <t>https://www.ande.gov.py/finanzas/2.%20COMPILACION%20ESTADISTICA%202003-2023/ANDE%20-%20Compilacion%20Estadistica%202003-2023.pdf</t>
        </is>
      </c>
    </row>
    <row r="22">
      <c r="A22" s="6" t="n">
        <v>2010</v>
      </c>
      <c r="B22" s="17" t="n">
        <v>352.9</v>
      </c>
      <c r="C22" s="17" t="n">
        <v>307.5</v>
      </c>
      <c r="D22" s="17" t="n">
        <v>255.6</v>
      </c>
      <c r="E22" s="18">
        <f>IFERROR(B22/B21-1,"")</f>
        <v/>
      </c>
      <c r="F22" s="18">
        <f>IFERROR(B22/D22,"")</f>
        <v/>
      </c>
      <c r="G22" s="19" t="inlineStr">
        <is>
          <t>OFICIAL</t>
        </is>
      </c>
      <c r="H22" s="6" t="inlineStr">
        <is>
          <t>https://www.ande.gov.py/finanzas/2.%20COMPILACION%20ESTADISTICA%202003-2023/ANDE%20-%20Compilacion%20Estadistica%202003-2023.pdf</t>
        </is>
      </c>
    </row>
    <row r="23">
      <c r="A23" s="6" t="n">
        <v>2011</v>
      </c>
      <c r="B23" s="17" t="n">
        <v>362</v>
      </c>
      <c r="C23" s="17" t="n">
        <v>318.2</v>
      </c>
      <c r="D23" s="17" t="n">
        <v>311.1</v>
      </c>
      <c r="E23" s="18">
        <f>IFERROR(B23/B22-1,"")</f>
        <v/>
      </c>
      <c r="F23" s="18">
        <f>IFERROR(B23/D23,"")</f>
        <v/>
      </c>
      <c r="G23" s="19" t="inlineStr">
        <is>
          <t>OFICIAL</t>
        </is>
      </c>
      <c r="H23" s="6" t="inlineStr">
        <is>
          <t>https://www.ande.gov.py/finanzas/2.%20COMPILACION%20ESTADISTICA%202003-2023/ANDE%20-%20Compilacion%20Estadistica%202003-2023.pdf</t>
        </is>
      </c>
    </row>
    <row r="24">
      <c r="A24" s="6" t="n">
        <v>2012</v>
      </c>
      <c r="B24" s="17" t="n">
        <v>365.4</v>
      </c>
      <c r="C24" s="17" t="n">
        <v>320.4</v>
      </c>
      <c r="D24" s="17" t="n">
        <v>615.1</v>
      </c>
      <c r="E24" s="18">
        <f>IFERROR(B24/B23-1,"")</f>
        <v/>
      </c>
      <c r="F24" s="18">
        <f>IFERROR(B24/D24,"")</f>
        <v/>
      </c>
      <c r="G24" s="19" t="inlineStr">
        <is>
          <t>OFICIAL</t>
        </is>
      </c>
      <c r="H24" s="6" t="inlineStr">
        <is>
          <t>https://www.ande.gov.py/finanzas/2.%20COMPILACION%20ESTADISTICA%202003-2023/ANDE%20-%20Compilacion%20Estadistica%202003-2023.pdf</t>
        </is>
      </c>
    </row>
    <row r="25">
      <c r="A25" s="6" t="n">
        <v>2013</v>
      </c>
      <c r="B25" s="17" t="n">
        <v>359.5</v>
      </c>
      <c r="C25" s="17" t="n">
        <v>313.2</v>
      </c>
      <c r="D25" s="17" t="n">
        <v>608.2</v>
      </c>
      <c r="E25" s="18">
        <f>IFERROR(B25/B24-1,"")</f>
        <v/>
      </c>
      <c r="F25" s="18">
        <f>IFERROR(B25/D25,"")</f>
        <v/>
      </c>
      <c r="G25" s="19" t="inlineStr">
        <is>
          <t>OFICIAL</t>
        </is>
      </c>
      <c r="H25" s="6" t="inlineStr">
        <is>
          <t>https://www.ande.gov.py/finanzas/2.%20COMPILACION%20ESTADISTICA%202003-2023/ANDE%20-%20Compilacion%20Estadistica%202003-2023.pdf</t>
        </is>
      </c>
    </row>
    <row r="26">
      <c r="A26" s="6" t="n">
        <v>2014</v>
      </c>
      <c r="B26" s="17" t="n">
        <v>362.2</v>
      </c>
      <c r="C26" s="17" t="n">
        <v>314.2</v>
      </c>
      <c r="D26" s="17" t="n">
        <v>637.2</v>
      </c>
      <c r="E26" s="18">
        <f>IFERROR(B26/B25-1,"")</f>
        <v/>
      </c>
      <c r="F26" s="18">
        <f>IFERROR(B26/D26,"")</f>
        <v/>
      </c>
      <c r="G26" s="19" t="inlineStr">
        <is>
          <t>OFICIAL</t>
        </is>
      </c>
      <c r="H26" s="6" t="inlineStr">
        <is>
          <t>https://www.ande.gov.py/finanzas/2.%20COMPILACION%20ESTADISTICA%202003-2023/ANDE%20-%20Compilacion%20Estadistica%202003-2023.pdf</t>
        </is>
      </c>
    </row>
    <row r="27">
      <c r="A27" s="6" t="n">
        <v>2015</v>
      </c>
      <c r="B27" s="17" t="n">
        <v>362.4</v>
      </c>
      <c r="C27" s="17" t="n">
        <v>312.4</v>
      </c>
      <c r="D27" s="17" t="n">
        <v>728.2</v>
      </c>
      <c r="E27" s="18">
        <f>IFERROR(B27/B26-1,"")</f>
        <v/>
      </c>
      <c r="F27" s="18">
        <f>IFERROR(B27/D27,"")</f>
        <v/>
      </c>
      <c r="G27" s="19" t="inlineStr">
        <is>
          <t>OFICIAL</t>
        </is>
      </c>
      <c r="H27" s="6" t="inlineStr">
        <is>
          <t>https://www.ande.gov.py/finanzas/2.%20COMPILACION%20ESTADISTICA%202003-2023/ANDE%20-%20Compilacion%20Estadistica%202003-2023.pdf</t>
        </is>
      </c>
    </row>
    <row r="28">
      <c r="A28" s="6" t="n">
        <v>2016</v>
      </c>
      <c r="B28" s="17" t="n">
        <v>365.3</v>
      </c>
      <c r="C28" s="17" t="n">
        <v>316.1</v>
      </c>
      <c r="D28" s="17" t="n">
        <v>796.4</v>
      </c>
      <c r="E28" s="18">
        <f>IFERROR(B28/B27-1,"")</f>
        <v/>
      </c>
      <c r="F28" s="18">
        <f>IFERROR(B28/D28,"")</f>
        <v/>
      </c>
      <c r="G28" s="19" t="inlineStr">
        <is>
          <t>OFICIAL</t>
        </is>
      </c>
      <c r="H28" s="6" t="inlineStr">
        <is>
          <t>https://www.ande.gov.py/finanzas/2.%20COMPILACION%20ESTADISTICA%202003-2023/ANDE%20-%20Compilacion%20Estadistica%202003-2023.pdf</t>
        </is>
      </c>
    </row>
    <row r="29">
      <c r="A29" s="6" t="n">
        <v>2017</v>
      </c>
      <c r="B29" s="17" t="n">
        <v>392.5</v>
      </c>
      <c r="C29" s="17" t="n">
        <v>357.6</v>
      </c>
      <c r="D29" s="17" t="n">
        <v>789.4</v>
      </c>
      <c r="E29" s="18">
        <f>IFERROR(B29/B28-1,"")</f>
        <v/>
      </c>
      <c r="F29" s="18">
        <f>IFERROR(B29/D29,"")</f>
        <v/>
      </c>
      <c r="G29" s="19" t="inlineStr">
        <is>
          <t>OFICIAL</t>
        </is>
      </c>
      <c r="H29" s="6" t="inlineStr">
        <is>
          <t>https://www.ande.gov.py/finanzas/2.%20COMPILACION%20ESTADISTICA%202003-2023/ANDE%20-%20Compilacion%20Estadistica%202003-2023.pdf</t>
        </is>
      </c>
    </row>
    <row r="30">
      <c r="A30" s="6" t="n">
        <v>2018</v>
      </c>
      <c r="B30" s="17" t="n">
        <v>407.2</v>
      </c>
      <c r="C30" s="17" t="n">
        <v>372.6</v>
      </c>
      <c r="D30" s="17" t="n">
        <v>714.6</v>
      </c>
      <c r="E30" s="18">
        <f>IFERROR(B30/B29-1,"")</f>
        <v/>
      </c>
      <c r="F30" s="18">
        <f>IFERROR(B30/D30,"")</f>
        <v/>
      </c>
      <c r="G30" s="19" t="inlineStr">
        <is>
          <t>OFICIAL</t>
        </is>
      </c>
      <c r="H30" s="6" t="inlineStr">
        <is>
          <t>https://www.ande.gov.py/finanzas/2.%20COMPILACION%20ESTADISTICA%202003-2023/ANDE%20-%20Compilacion%20Estadistica%202003-2023.pdf</t>
        </is>
      </c>
    </row>
    <row r="31">
      <c r="A31" s="6" t="n">
        <v>2019</v>
      </c>
      <c r="B31" s="17" t="n">
        <v>425.7</v>
      </c>
      <c r="C31" s="17" t="n">
        <v>383</v>
      </c>
      <c r="D31" s="17" t="n">
        <v>743.4</v>
      </c>
      <c r="E31" s="18">
        <f>IFERROR(B31/B30-1,"")</f>
        <v/>
      </c>
      <c r="F31" s="18">
        <f>IFERROR(B31/D31,"")</f>
        <v/>
      </c>
      <c r="G31" s="19" t="inlineStr">
        <is>
          <t>OFICIAL</t>
        </is>
      </c>
      <c r="H31" s="6" t="inlineStr">
        <is>
          <t>https://www.ande.gov.py/finanzas/2.%20COMPILACION%20ESTADISTICA%202003-2023/ANDE%20-%20Compilacion%20Estadistica%202003-2023.pdf</t>
        </is>
      </c>
    </row>
    <row r="32">
      <c r="A32" s="6" t="n">
        <v>2020</v>
      </c>
      <c r="B32" s="17" t="n">
        <v>411.3</v>
      </c>
      <c r="C32" s="17" t="n">
        <v>378.4</v>
      </c>
      <c r="D32" s="17" t="n">
        <v>805.3</v>
      </c>
      <c r="E32" s="18">
        <f>IFERROR(B32/B31-1,"")</f>
        <v/>
      </c>
      <c r="F32" s="18">
        <f>IFERROR(B32/D32,"")</f>
        <v/>
      </c>
      <c r="G32" s="19" t="inlineStr">
        <is>
          <t>OFICIAL</t>
        </is>
      </c>
      <c r="H32" s="6" t="inlineStr">
        <is>
          <t>https://www.ande.gov.py/finanzas/ANDE%20-%20Resumen%20Estad%C3%ADstico%202020%20-%202024.pdf</t>
        </is>
      </c>
    </row>
    <row r="33">
      <c r="A33" s="6" t="n">
        <v>2021</v>
      </c>
      <c r="B33" s="17" t="n">
        <v>411.5</v>
      </c>
      <c r="C33" s="17" t="n">
        <v>373.2</v>
      </c>
      <c r="D33" s="17" t="n">
        <v>804.4</v>
      </c>
      <c r="E33" s="18">
        <f>IFERROR(B33/B32-1,"")</f>
        <v/>
      </c>
      <c r="F33" s="18">
        <f>IFERROR(B33/D33,"")</f>
        <v/>
      </c>
      <c r="G33" s="19" t="inlineStr">
        <is>
          <t>OFICIAL</t>
        </is>
      </c>
      <c r="H33" s="6" t="inlineStr">
        <is>
          <t>https://www.ande.gov.py/finanzas/ANDE%20-%20Resumen%20Estad%C3%ADstico%202020%20-%202024.pdf</t>
        </is>
      </c>
    </row>
    <row r="34">
      <c r="A34" s="6" t="n">
        <v>2022</v>
      </c>
      <c r="B34" s="17" t="n">
        <v>411.4</v>
      </c>
      <c r="C34" s="17" t="n">
        <v>373.2</v>
      </c>
      <c r="D34" s="17" t="n">
        <v>831.1</v>
      </c>
      <c r="E34" s="18">
        <f>IFERROR(B34/B33-1,"")</f>
        <v/>
      </c>
      <c r="F34" s="18">
        <f>IFERROR(B34/D34,"")</f>
        <v/>
      </c>
      <c r="G34" s="19" t="inlineStr">
        <is>
          <t>OFICIAL</t>
        </is>
      </c>
      <c r="H34" s="6" t="inlineStr">
        <is>
          <t>https://www.ande.gov.py/finanzas/ANDE%20-%20Resumen%20Estad%C3%ADstico%202020%20-%202024.pdf</t>
        </is>
      </c>
    </row>
    <row r="35">
      <c r="A35" s="6" t="n">
        <v>2023</v>
      </c>
      <c r="B35" s="17" t="n">
        <v>412.6</v>
      </c>
      <c r="C35" s="17" t="n">
        <v>369.2</v>
      </c>
      <c r="D35" s="17" t="n">
        <v>866.3</v>
      </c>
      <c r="E35" s="18">
        <f>IFERROR(B35/B34-1,"")</f>
        <v/>
      </c>
      <c r="F35" s="18">
        <f>IFERROR(B35/D35,"")</f>
        <v/>
      </c>
      <c r="G35" s="19" t="inlineStr">
        <is>
          <t>OFICIAL</t>
        </is>
      </c>
      <c r="H35" s="6" t="inlineStr">
        <is>
          <t>https://www.ande.gov.py/finanzas/ANDE%20-%20Resumen%20Estad%C3%ADstico%202020%20-%202024.pdf</t>
        </is>
      </c>
    </row>
    <row r="36">
      <c r="A36" s="6" t="n">
        <v>2024</v>
      </c>
      <c r="B36" s="17" t="n">
        <v>415.5</v>
      </c>
      <c r="C36" s="17" t="n">
        <v>371.9</v>
      </c>
      <c r="D36" s="17" t="n">
        <v>899.3</v>
      </c>
      <c r="E36" s="18">
        <f>IFERROR(B36/B35-1,"")</f>
        <v/>
      </c>
      <c r="F36" s="18">
        <f>IFERROR(B36/D36,"")</f>
        <v/>
      </c>
      <c r="G36" s="19" t="inlineStr">
        <is>
          <t>OFICIAL</t>
        </is>
      </c>
      <c r="H36" s="6" t="inlineStr">
        <is>
          <t>https://www.ande.gov.py/finanzas/ANDE%20-%20Resumen%20Estad%C3%ADstico%202020%20-%202024.pdf</t>
        </is>
      </c>
    </row>
  </sheetData>
  <autoFilter ref="A1:H36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60" customWidth="1" min="7" max="7"/>
    <col width="65" customWidth="1" min="8" max="8"/>
  </cols>
  <sheetData>
    <row r="1">
      <c r="A1" s="20" t="inlineStr">
        <is>
          <t>ANDE — Tarifas residenciales vigentes de referencia</t>
        </is>
      </c>
    </row>
    <row r="2">
      <c r="A2" s="21" t="inlineStr">
        <is>
          <t>Vigencia de referencia</t>
        </is>
      </c>
      <c r="B2" s="22" t="inlineStr">
        <is>
          <t>27-11-2024 → vigente en portal ANDE consultado 2026</t>
        </is>
      </c>
    </row>
    <row r="4">
      <c r="A4" s="23" t="inlineStr">
        <is>
          <t>Categoría</t>
        </is>
      </c>
      <c r="B4" s="23" t="inlineStr">
        <is>
          <t>Nombre</t>
        </is>
      </c>
      <c r="C4" s="23" t="inlineStr">
        <is>
          <t>Desde kWh/mes</t>
        </is>
      </c>
      <c r="D4" s="23" t="inlineStr">
        <is>
          <t>Hasta kWh/mes</t>
        </is>
      </c>
      <c r="E4" s="23" t="inlineStr">
        <is>
          <t>Precio nominal</t>
        </is>
      </c>
      <c r="F4" s="23" t="inlineStr">
        <is>
          <t>Unidad</t>
        </is>
      </c>
      <c r="G4" s="23" t="inlineStr">
        <is>
          <t>Tipo</t>
        </is>
      </c>
      <c r="H4" s="23" t="inlineStr">
        <is>
          <t>Fuente</t>
        </is>
      </c>
    </row>
    <row r="5">
      <c r="A5" t="inlineStr">
        <is>
          <t>142</t>
        </is>
      </c>
      <c r="B5" t="inlineStr">
        <is>
          <t>Residencial normal BT</t>
        </is>
      </c>
      <c r="C5" t="n">
        <v>0</v>
      </c>
      <c r="D5" t="n">
        <v>50</v>
      </c>
      <c r="E5" s="24" t="n">
        <v>311.55</v>
      </c>
      <c r="F5" t="inlineStr">
        <is>
          <t>Gs/kWh</t>
        </is>
      </c>
      <c r="G5" t="inlineStr">
        <is>
          <t>Tarifa residencial normal</t>
        </is>
      </c>
      <c r="H5" t="inlineStr">
        <is>
          <t>https://www.ande.gov.py/docs/tarifas/Pliego%20de%20Tarifas%20NRO%2021%20Version%20Actualizada%2027-11-2024.pdf</t>
        </is>
      </c>
    </row>
    <row r="6">
      <c r="A6" t="inlineStr">
        <is>
          <t>142</t>
        </is>
      </c>
      <c r="B6" t="inlineStr">
        <is>
          <t>Residencial normal BT</t>
        </is>
      </c>
      <c r="C6" t="n">
        <v>51</v>
      </c>
      <c r="D6" t="n">
        <v>150</v>
      </c>
      <c r="E6" s="24" t="n">
        <v>349.89</v>
      </c>
      <c r="F6" t="inlineStr">
        <is>
          <t>Gs/kWh</t>
        </is>
      </c>
      <c r="G6" t="inlineStr">
        <is>
          <t>Tarifa residencial normal</t>
        </is>
      </c>
      <c r="H6" t="inlineStr">
        <is>
          <t>https://www.ande.gov.py/docs/tarifas/Pliego%20de%20Tarifas%20NRO%2021%20Version%20Actualizada%2027-11-2024.pdf</t>
        </is>
      </c>
    </row>
    <row r="7">
      <c r="A7" t="inlineStr">
        <is>
          <t>142</t>
        </is>
      </c>
      <c r="B7" t="inlineStr">
        <is>
          <t>Residencial normal BT</t>
        </is>
      </c>
      <c r="C7" t="n">
        <v>151</v>
      </c>
      <c r="D7" t="n">
        <v>300</v>
      </c>
      <c r="E7" s="24" t="n">
        <v>365.45</v>
      </c>
      <c r="F7" t="inlineStr">
        <is>
          <t>Gs/kWh</t>
        </is>
      </c>
      <c r="G7" t="inlineStr">
        <is>
          <t>Tarifa residencial normal</t>
        </is>
      </c>
      <c r="H7" t="inlineStr">
        <is>
          <t>https://www.ande.gov.py/docs/tarifas/Pliego%20de%20Tarifas%20NRO%2021%20Version%20Actualizada%2027-11-2024.pdf</t>
        </is>
      </c>
    </row>
    <row r="8">
      <c r="A8" t="inlineStr">
        <is>
          <t>142</t>
        </is>
      </c>
      <c r="B8" t="inlineStr">
        <is>
          <t>Residencial normal BT</t>
        </is>
      </c>
      <c r="C8" t="n">
        <v>301</v>
      </c>
      <c r="D8" t="n">
        <v>500</v>
      </c>
      <c r="E8" s="24" t="n">
        <v>403.82</v>
      </c>
      <c r="F8" t="inlineStr">
        <is>
          <t>Gs/kWh</t>
        </is>
      </c>
      <c r="G8" t="inlineStr">
        <is>
          <t>Tarifa residencial normal</t>
        </is>
      </c>
      <c r="H8" t="inlineStr">
        <is>
          <t>https://www.ande.gov.py/docs/tarifas/Pliego%20de%20Tarifas%20NRO%2021%20Version%20Actualizada%2027-11-2024.pdf</t>
        </is>
      </c>
    </row>
    <row r="9">
      <c r="A9" t="inlineStr">
        <is>
          <t>142</t>
        </is>
      </c>
      <c r="B9" t="inlineStr">
        <is>
          <t>Residencial normal BT</t>
        </is>
      </c>
      <c r="C9" t="n">
        <v>501</v>
      </c>
      <c r="D9" t="n">
        <v>1000</v>
      </c>
      <c r="E9" s="24" t="n">
        <v>420.27</v>
      </c>
      <c r="F9" t="inlineStr">
        <is>
          <t>Gs/kWh</t>
        </is>
      </c>
      <c r="G9" t="inlineStr">
        <is>
          <t>Tarifa residencial normal</t>
        </is>
      </c>
      <c r="H9" t="inlineStr">
        <is>
          <t>https://www.ande.gov.py/docs/tarifas/Pliego%20de%20Tarifas%20NRO%2021%20Version%20Actualizada%2027-11-2024.pdf</t>
        </is>
      </c>
    </row>
    <row r="10">
      <c r="A10" t="inlineStr">
        <is>
          <t>142</t>
        </is>
      </c>
      <c r="B10" t="inlineStr">
        <is>
          <t>Residencial normal BT</t>
        </is>
      </c>
      <c r="C10" t="n">
        <v>1001</v>
      </c>
      <c r="E10" s="24" t="n">
        <v>435.51</v>
      </c>
      <c r="F10" t="inlineStr">
        <is>
          <t>Gs/kWh</t>
        </is>
      </c>
      <c r="G10" t="inlineStr">
        <is>
          <t>Tarifa residencial normal</t>
        </is>
      </c>
      <c r="H10" t="inlineStr">
        <is>
          <t>https://www.ande.gov.py/docs/tarifas/Pliego%20de%20Tarifas%20NRO%2021%20Version%20Actualizada%2027-11-2024.pdf</t>
        </is>
      </c>
    </row>
    <row r="12">
      <c r="A12" s="25" t="inlineStr">
        <is>
          <t>Tarifa social — descuentos sobre tarifa residencial normal</t>
        </is>
      </c>
    </row>
    <row r="13">
      <c r="A13" s="23" t="inlineStr">
        <is>
          <t>Categoría</t>
        </is>
      </c>
      <c r="B13" s="23" t="inlineStr">
        <is>
          <t>Nombre</t>
        </is>
      </c>
      <c r="C13" s="23" t="inlineStr">
        <is>
          <t>Desde kWh/mes</t>
        </is>
      </c>
      <c r="D13" s="23" t="inlineStr">
        <is>
          <t>Hasta kWh/mes</t>
        </is>
      </c>
      <c r="E13" s="23" t="inlineStr">
        <is>
          <t>Descuento</t>
        </is>
      </c>
      <c r="F13" s="23" t="inlineStr">
        <is>
          <t>Fracción pagada</t>
        </is>
      </c>
      <c r="G13" s="23" t="inlineStr">
        <is>
          <t>Nota</t>
        </is>
      </c>
      <c r="H13" s="23" t="inlineStr">
        <is>
          <t>Fuente</t>
        </is>
      </c>
    </row>
    <row r="14">
      <c r="A14" t="inlineStr">
        <is>
          <t>141</t>
        </is>
      </c>
      <c r="B14" t="inlineStr">
        <is>
          <t>Tarifa social BT</t>
        </is>
      </c>
      <c r="C14" t="n">
        <v>0</v>
      </c>
      <c r="D14" t="n">
        <v>100</v>
      </c>
      <c r="E14" s="26" t="n">
        <v>0.75</v>
      </c>
      <c r="F14" s="26">
        <f>1-E14</f>
        <v/>
      </c>
      <c r="G14" t="inlineStr">
        <is>
          <t>La tarifa social aplica el descuento legal sobre la tarifa residencial normal correspondiente.</t>
        </is>
      </c>
      <c r="H14" t="inlineStr">
        <is>
          <t>Ley 3480/2008 / Pliego 21</t>
        </is>
      </c>
    </row>
    <row r="15">
      <c r="A15" t="inlineStr">
        <is>
          <t>141</t>
        </is>
      </c>
      <c r="B15" t="inlineStr">
        <is>
          <t>Tarifa social BT</t>
        </is>
      </c>
      <c r="C15" t="n">
        <v>101</v>
      </c>
      <c r="D15" t="n">
        <v>200</v>
      </c>
      <c r="E15" s="26" t="n">
        <v>0.5</v>
      </c>
      <c r="F15" s="26">
        <f>1-E15</f>
        <v/>
      </c>
      <c r="G15" t="inlineStr">
        <is>
          <t>La tarifa social aplica el descuento legal sobre la tarifa residencial normal correspondiente.</t>
        </is>
      </c>
      <c r="H15" t="inlineStr">
        <is>
          <t>Ley 3480/2008 / Pliego 21</t>
        </is>
      </c>
    </row>
    <row r="16">
      <c r="A16" t="inlineStr">
        <is>
          <t>141</t>
        </is>
      </c>
      <c r="B16" t="inlineStr">
        <is>
          <t>Tarifa social BT</t>
        </is>
      </c>
      <c r="C16" t="n">
        <v>201</v>
      </c>
      <c r="D16" t="n">
        <v>300</v>
      </c>
      <c r="E16" s="26" t="n">
        <v>0.25</v>
      </c>
      <c r="F16" s="26">
        <f>1-E16</f>
        <v/>
      </c>
      <c r="G16" t="inlineStr">
        <is>
          <t>La tarifa social aplica el descuento legal sobre la tarifa residencial normal correspondiente.</t>
        </is>
      </c>
      <c r="H16" t="inlineStr">
        <is>
          <t>Ley 3480/2008 / Pliego 21</t>
        </is>
      </c>
    </row>
  </sheetData>
  <mergeCells count="3">
    <mergeCell ref="A12:H12"/>
    <mergeCell ref="B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24" customWidth="1" min="4" max="4"/>
    <col width="68" customWidth="1" min="5" max="5"/>
    <col width="55" customWidth="1" min="6" max="6"/>
  </cols>
  <sheetData>
    <row r="1">
      <c r="A1" s="20" t="inlineStr">
        <is>
          <t>EnergiaPY.live — Precio de la electricidad al usuario paraguayo</t>
        </is>
      </c>
    </row>
    <row r="2">
      <c r="A2" s="23" t="inlineStr">
        <is>
          <t>Indicador</t>
        </is>
      </c>
      <c r="B2" s="23" t="inlineStr">
        <is>
          <t>Valor</t>
        </is>
      </c>
      <c r="C2" s="23" t="inlineStr">
        <is>
          <t>Unidad</t>
        </is>
      </c>
      <c r="D2" s="23" t="inlineStr">
        <is>
          <t>Tipo</t>
        </is>
      </c>
      <c r="E2" s="23" t="inlineStr">
        <is>
          <t>Interpretación</t>
        </is>
      </c>
      <c r="F2" s="23" t="inlineStr">
        <is>
          <t>Fuente / supuesto</t>
        </is>
      </c>
    </row>
    <row r="3">
      <c r="A3" t="inlineStr">
        <is>
          <t>Tarifa media residencial 2024</t>
        </is>
      </c>
      <c r="B3" s="27">
        <f>'Retail_Tariff_History'!B36</f>
        <v/>
      </c>
      <c r="C3" t="inlineStr">
        <is>
          <t>Gs/kWh</t>
        </is>
      </c>
      <c r="D3" s="28" t="inlineStr">
        <is>
          <t>OFICIAL</t>
        </is>
      </c>
      <c r="E3" t="inlineStr">
        <is>
          <t>Precio medio efectivo anual del segmento residencial.</t>
        </is>
      </c>
      <c r="F3" t="inlineStr">
        <is>
          <t>ANDE Resumen Estadístico 2020-2024</t>
        </is>
      </c>
    </row>
    <row r="4">
      <c r="A4" t="inlineStr">
        <is>
          <t>Promedio residencial 1990-2024</t>
        </is>
      </c>
      <c r="B4" s="27">
        <f>AVERAGE('Retail_Tariff_History'!B2:B36)</f>
        <v/>
      </c>
      <c r="C4" t="inlineStr">
        <is>
          <t>Gs/kWh</t>
        </is>
      </c>
      <c r="D4" s="29" t="inlineStr">
        <is>
          <t>DERIVADO</t>
        </is>
      </c>
      <c r="E4" t="inlineStr">
        <is>
          <t>Promedio aritmético nominal; no ajustado por inflación.</t>
        </is>
      </c>
      <c r="F4" t="inlineStr">
        <is>
          <t>Serie oficial ANDE</t>
        </is>
      </c>
    </row>
    <row r="5">
      <c r="A5" t="inlineStr">
        <is>
          <t>Promedio residencial 2003-2024</t>
        </is>
      </c>
      <c r="B5" s="27">
        <f>AVERAGE('Retail_Tariff_History'!B15:B36)</f>
        <v/>
      </c>
      <c r="C5" t="inlineStr">
        <is>
          <t>Gs/kWh</t>
        </is>
      </c>
      <c r="D5" s="29" t="inlineStr">
        <is>
          <t>DERIVADO</t>
        </is>
      </c>
      <c r="E5" t="inlineStr">
        <is>
          <t>Promedio nominal del periodo moderno.</t>
        </is>
      </c>
      <c r="F5" t="inlineStr">
        <is>
          <t>Serie oficial ANDE</t>
        </is>
      </c>
    </row>
    <row r="6">
      <c r="A6" t="inlineStr">
        <is>
          <t>Promedio residencial 2020-2024</t>
        </is>
      </c>
      <c r="B6" s="27">
        <f>AVERAGE('Retail_Tariff_History'!B32:B36)</f>
        <v/>
      </c>
      <c r="C6" t="inlineStr">
        <is>
          <t>Gs/kWh</t>
        </is>
      </c>
      <c r="D6" s="29" t="inlineStr">
        <is>
          <t>DERIVADO</t>
        </is>
      </c>
      <c r="E6" t="inlineStr">
        <is>
          <t>Referencia reciente de 5 años.</t>
        </is>
      </c>
      <c r="F6" t="inlineStr">
        <is>
          <t>Serie oficial ANDE</t>
        </is>
      </c>
    </row>
    <row r="7">
      <c r="A7" t="inlineStr">
        <is>
          <t>Tarifa residencial vigente mínima</t>
        </is>
      </c>
      <c r="B7" s="27">
        <f>'Retail_Tariff_Current'!E5</f>
        <v/>
      </c>
      <c r="C7" t="inlineStr">
        <is>
          <t>Gs/kWh</t>
        </is>
      </c>
      <c r="D7" s="28" t="inlineStr">
        <is>
          <t>OFICIAL CONTRACTUAL</t>
        </is>
      </c>
      <c r="E7" t="inlineStr">
        <is>
          <t>Faja 0-50 kWh/mes.</t>
        </is>
      </c>
      <c r="F7" t="inlineStr">
        <is>
          <t>Pliego 21</t>
        </is>
      </c>
    </row>
    <row r="8">
      <c r="A8" t="inlineStr">
        <is>
          <t>Tarifa residencial vigente máxima</t>
        </is>
      </c>
      <c r="B8" s="27">
        <f>'Retail_Tariff_Current'!E10</f>
        <v/>
      </c>
      <c r="C8" t="inlineStr">
        <is>
          <t>Gs/kWh</t>
        </is>
      </c>
      <c r="D8" s="28" t="inlineStr">
        <is>
          <t>OFICIAL CONTRACTUAL</t>
        </is>
      </c>
      <c r="E8" t="inlineStr">
        <is>
          <t>Faja mayor a 1.000 kWh/mes.</t>
        </is>
      </c>
      <c r="F8" t="inlineStr">
        <is>
          <t>Pliego 21</t>
        </is>
      </c>
    </row>
    <row r="9">
      <c r="A9" t="inlineStr">
        <is>
          <t>Tarifa media nacional 2024</t>
        </is>
      </c>
      <c r="B9" s="27">
        <f>'Retail_Tariff_History'!C36</f>
        <v/>
      </c>
      <c r="C9" t="inlineStr">
        <is>
          <t>Gs/kWh</t>
        </is>
      </c>
      <c r="D9" s="28" t="inlineStr">
        <is>
          <t>OFICIAL</t>
        </is>
      </c>
      <c r="E9" t="inlineStr">
        <is>
          <t>Promedio de ventas dentro del mercado nacional.</t>
        </is>
      </c>
      <c r="F9" t="inlineStr">
        <is>
          <t>ANDE Resumen Estadístico 2020-2024</t>
        </is>
      </c>
    </row>
    <row r="10">
      <c r="A10" t="inlineStr">
        <is>
          <t>Tarifa media exportación ANDE 2024</t>
        </is>
      </c>
      <c r="B10" s="27">
        <f>'Retail_Tariff_History'!D36</f>
        <v/>
      </c>
      <c r="C10" t="inlineStr">
        <is>
          <t>Gs/kWh</t>
        </is>
      </c>
      <c r="D10" s="28" t="inlineStr">
        <is>
          <t>OFICIAL</t>
        </is>
      </c>
      <c r="E10" t="inlineStr">
        <is>
          <t>Promedio de exportación ANDE; no equivale a cesión binacional.</t>
        </is>
      </c>
      <c r="F10" t="inlineStr">
        <is>
          <t>ANDE Resumen Estadístico 2020-2024</t>
        </is>
      </c>
    </row>
    <row r="11">
      <c r="A11" t="inlineStr">
        <is>
          <t>Relación residencial / exportación 2024</t>
        </is>
      </c>
      <c r="B11" s="30">
        <f>B3/B10</f>
        <v/>
      </c>
      <c r="C11" t="inlineStr">
        <is>
          <t>%</t>
        </is>
      </c>
      <c r="D11" s="29" t="inlineStr">
        <is>
          <t>DERIVADO</t>
        </is>
      </c>
      <c r="E11" t="inlineStr">
        <is>
          <t>Compara tarifa residencial media con tarifa media de exportación ANDE del mismo año.</t>
        </is>
      </c>
      <c r="F11" t="inlineStr">
        <is>
          <t>EnergiaPY sobre ANDE</t>
        </is>
      </c>
    </row>
    <row r="12">
      <c r="A12" t="inlineStr">
        <is>
          <t>Proxy tarifa media nacional 2025</t>
        </is>
      </c>
      <c r="B12" s="27">
        <f>B9*(1+$F$14)/(1+$F$15)</f>
        <v/>
      </c>
      <c r="C12" t="inlineStr">
        <is>
          <t>Gs/kWh</t>
        </is>
      </c>
      <c r="D12" s="29" t="inlineStr">
        <is>
          <t>DERIVADO PROVISIONAL</t>
        </is>
      </c>
      <c r="E12" t="inlineStr">
        <is>
          <t>Estimación usando crecimiento del importe facturado y de la energía facturada 2025. No sustituye una tarifa media oficial 2025.</t>
        </is>
      </c>
      <c r="F12" t="inlineStr">
        <is>
          <t>BAGP 2025</t>
        </is>
      </c>
    </row>
    <row r="13">
      <c r="E13" s="25" t="inlineStr">
        <is>
          <t>Supuestos proxy 2025</t>
        </is>
      </c>
    </row>
    <row r="14">
      <c r="E14" t="inlineStr">
        <is>
          <t>Crecimiento importe facturado 2025</t>
        </is>
      </c>
      <c r="F14" s="31" t="n">
        <v>0.1334</v>
      </c>
    </row>
    <row r="15">
      <c r="E15" t="inlineStr">
        <is>
          <t>Crecimiento energía facturada 2025</t>
        </is>
      </c>
      <c r="F15" s="31" t="n">
        <v>0.1595</v>
      </c>
    </row>
    <row r="17">
      <c r="A17" s="25" t="inlineStr">
        <is>
          <t>Normalización macro V4</t>
        </is>
      </c>
    </row>
    <row r="18">
      <c r="A18" t="inlineStr">
        <is>
          <t>Tarifa residencial media 2024 en USD/MWh</t>
        </is>
      </c>
      <c r="B18" s="32">
        <f>'Retail_Tariff_History'!B36*1000/'Macro_Annual'!D37</f>
        <v/>
      </c>
      <c r="C18" t="inlineStr">
        <is>
          <t>USD/MWh</t>
        </is>
      </c>
      <c r="D18" t="inlineStr">
        <is>
          <t>CALCULADO</t>
        </is>
      </c>
      <c r="E18" t="inlineStr">
        <is>
          <t>Usa FX promedio anual 2024.</t>
        </is>
      </c>
      <c r="F18" t="inlineStr">
        <is>
          <t>https://data.worldbank.org/indicator/PA.NUS.FCRF?locations=PY</t>
        </is>
      </c>
    </row>
    <row r="19">
      <c r="A19" t="inlineStr">
        <is>
          <t>Tarifa residencial media 2024 en Gs de 2025</t>
        </is>
      </c>
      <c r="B19" s="32">
        <f>'Retail_Tariff_History'!B36*'Macro_Annual'!B38/'Macro_Annual'!B37</f>
        <v/>
      </c>
      <c r="C19" t="inlineStr">
        <is>
          <t>Gs 2025/kWh</t>
        </is>
      </c>
      <c r="D19" t="inlineStr">
        <is>
          <t>CALCULADO</t>
        </is>
      </c>
      <c r="E19" t="inlineStr">
        <is>
          <t>Deflactada/reexpresada con IPC anual.</t>
        </is>
      </c>
      <c r="F19" t="inlineStr">
        <is>
          <t>https://data.worldbank.org/indicator/PA.NUS.FCRF?locations=PY</t>
        </is>
      </c>
    </row>
    <row r="20">
      <c r="A20" t="inlineStr">
        <is>
          <t>Tarifa residencial vigente mínima a FX 10-09-2026</t>
        </is>
      </c>
      <c r="B20" s="32">
        <f>'Retail_Tariff_Current'!E5*1000/5933.25</f>
        <v/>
      </c>
      <c r="C20" t="inlineStr">
        <is>
          <t>USD/MWh</t>
        </is>
      </c>
      <c r="D20" t="inlineStr">
        <is>
          <t>CALCULADO SNAPSHOT</t>
        </is>
      </c>
      <c r="E20" t="inlineStr">
        <is>
          <t>Conversión con BCP 10-09-2026; no es promedio anual.</t>
        </is>
      </c>
      <c r="F20" t="inlineStr">
        <is>
          <t>https://www.bcp.gov.py/webapps/web/cotizacion/monedas</t>
        </is>
      </c>
    </row>
    <row r="21">
      <c r="A21" t="inlineStr">
        <is>
          <t>Tarifa residencial vigente máxima a FX 10-09-2026</t>
        </is>
      </c>
      <c r="B21" s="32">
        <f>'Retail_Tariff_Current'!E10*1000/5933.25</f>
        <v/>
      </c>
      <c r="C21" t="inlineStr">
        <is>
          <t>USD/MWh</t>
        </is>
      </c>
      <c r="D21" t="inlineStr">
        <is>
          <t>CALCULADO SNAPSHOT</t>
        </is>
      </c>
      <c r="E21" t="inlineStr">
        <is>
          <t>Conversión con BCP 10-09-2026; no es promedio anual.</t>
        </is>
      </c>
      <c r="F21" t="inlineStr">
        <is>
          <t>https://www.bcp.gov.py/webapps/web/cotizacion/monedas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6" customWidth="1" min="3" max="3"/>
    <col width="19" customWidth="1" min="4" max="4"/>
    <col width="14" customWidth="1" min="5" max="5"/>
    <col width="14" customWidth="1" min="6" max="6"/>
    <col width="20" customWidth="1" min="7" max="7"/>
    <col width="24" customWidth="1" min="8" max="8"/>
    <col width="23" customWidth="1" min="9" max="9"/>
    <col width="58" customWidth="1" min="10" max="10"/>
    <col width="58" customWidth="1" min="11" max="11"/>
    <col width="80" customWidth="1" min="12" max="12"/>
  </cols>
  <sheetData>
    <row r="1">
      <c r="A1" s="20" t="inlineStr">
        <is>
          <t>EnergiaPY.live — Macro anual para normalización económica</t>
        </is>
      </c>
    </row>
    <row r="2">
      <c r="A2" s="5" t="inlineStr">
        <is>
          <t>Año</t>
        </is>
      </c>
      <c r="B2" s="5" t="inlineStr">
        <is>
          <t>IPC (2010=100)</t>
        </is>
      </c>
      <c r="C2" s="5" t="inlineStr">
        <is>
          <t>Inflación anual</t>
        </is>
      </c>
      <c r="D2" s="5" t="inlineStr">
        <is>
          <t>USD/PYG promedio</t>
        </is>
      </c>
      <c r="E2" s="5" t="inlineStr">
        <is>
          <t>Fuente IPC</t>
        </is>
      </c>
      <c r="F2" s="5" t="inlineStr">
        <is>
          <t>Fuente FX</t>
        </is>
      </c>
      <c r="G2" s="5" t="inlineStr">
        <is>
          <t>Autoridad</t>
        </is>
      </c>
      <c r="H2" s="5" t="inlineStr">
        <is>
          <t>Calidad</t>
        </is>
      </c>
      <c r="I2" s="5" t="inlineStr">
        <is>
          <t>Pendiente reconciliar BCP</t>
        </is>
      </c>
      <c r="J2" s="5" t="inlineStr">
        <is>
          <t>URL IPC</t>
        </is>
      </c>
      <c r="K2" s="5" t="inlineStr">
        <is>
          <t>URL FX</t>
        </is>
      </c>
      <c r="L2" s="5" t="inlineStr">
        <is>
          <t>Notas</t>
        </is>
      </c>
    </row>
    <row r="3">
      <c r="A3" t="n">
        <v>1990</v>
      </c>
      <c r="B3" s="33" t="n">
        <v>13.412</v>
      </c>
      <c r="C3" s="34" t="n">
        <v>0.372599561799201</v>
      </c>
      <c r="D3" s="24" t="n">
        <v>1229.80833333333</v>
      </c>
      <c r="E3" t="inlineStr">
        <is>
          <t>WDI/IMF</t>
        </is>
      </c>
      <c r="F3" t="inlineStr">
        <is>
          <t>WDI/IMF</t>
        </is>
      </c>
      <c r="G3" t="inlineStr">
        <is>
          <t>OFICIAL INTERNACIONAL</t>
        </is>
      </c>
      <c r="H3" s="35" t="inlineStr">
        <is>
          <t>BACKFILL PROVISIONAL</t>
        </is>
      </c>
      <c r="I3" t="inlineStr">
        <is>
          <t>SÍ</t>
        </is>
      </c>
      <c r="J3" t="inlineStr">
        <is>
          <t>https://data.worldbank.org/indicator/FP.CPI.TOTL?locations=PY</t>
        </is>
      </c>
      <c r="K3" t="inlineStr">
        <is>
          <t>https://data.worldbank.org/indicator/PA.NUS.FCRF?locations=PY</t>
        </is>
      </c>
      <c r="L3" t="inlineStr">
        <is>
          <t>BCP es la fuente primaria objetivo; reconciliar contra archivo bruto BCP en producción.</t>
        </is>
      </c>
    </row>
    <row r="4">
      <c r="A4" t="n">
        <v>1991</v>
      </c>
      <c r="B4" s="33" t="n">
        <v>16.6663</v>
      </c>
      <c r="C4" s="34" t="n">
        <v>0.242253521126763</v>
      </c>
      <c r="D4" s="24" t="n">
        <v>1325.18333333333</v>
      </c>
      <c r="E4" t="inlineStr">
        <is>
          <t>WDI/IMF</t>
        </is>
      </c>
      <c r="F4" t="inlineStr">
        <is>
          <t>WDI/IMF</t>
        </is>
      </c>
      <c r="G4" t="inlineStr">
        <is>
          <t>OFICIAL INTERNACIONAL</t>
        </is>
      </c>
      <c r="H4" s="35" t="inlineStr">
        <is>
          <t>BACKFILL PROVISIONAL</t>
        </is>
      </c>
      <c r="I4" t="inlineStr">
        <is>
          <t>SÍ</t>
        </is>
      </c>
      <c r="J4" t="inlineStr">
        <is>
          <t>https://data.worldbank.org/indicator/FP.CPI.TOTL?locations=PY</t>
        </is>
      </c>
      <c r="K4" t="inlineStr">
        <is>
          <t>https://data.worldbank.org/indicator/PA.NUS.FCRF?locations=PY</t>
        </is>
      </c>
      <c r="L4" t="inlineStr">
        <is>
          <t>BCP es la fuente primaria objetivo; reconciliar contra archivo bruto BCP en producción.</t>
        </is>
      </c>
    </row>
    <row r="5">
      <c r="A5" t="n">
        <v>1992</v>
      </c>
      <c r="B5" s="33" t="n">
        <v>19.1868</v>
      </c>
      <c r="C5" s="34" t="n">
        <v>0.15192743764172</v>
      </c>
      <c r="D5" s="24" t="n">
        <v>1500.25833333333</v>
      </c>
      <c r="E5" t="inlineStr">
        <is>
          <t>WDI/IMF</t>
        </is>
      </c>
      <c r="F5" t="inlineStr">
        <is>
          <t>WDI/IMF</t>
        </is>
      </c>
      <c r="G5" t="inlineStr">
        <is>
          <t>OFICIAL INTERNACIONAL</t>
        </is>
      </c>
      <c r="H5" s="35" t="inlineStr">
        <is>
          <t>BACKFILL PROVISIONAL</t>
        </is>
      </c>
      <c r="I5" t="inlineStr">
        <is>
          <t>SÍ</t>
        </is>
      </c>
      <c r="J5" t="inlineStr">
        <is>
          <t>https://data.worldbank.org/indicator/FP.CPI.TOTL?locations=PY</t>
        </is>
      </c>
      <c r="K5" t="inlineStr">
        <is>
          <t>https://data.worldbank.org/indicator/PA.NUS.FCRF?locations=PY</t>
        </is>
      </c>
      <c r="L5" t="inlineStr">
        <is>
          <t>BCP es la fuente primaria objetivo; reconciliar contra archivo bruto BCP en producción.</t>
        </is>
      </c>
    </row>
    <row r="6">
      <c r="A6" t="n">
        <v>1993</v>
      </c>
      <c r="B6" s="33" t="n">
        <v>22.6898</v>
      </c>
      <c r="C6" s="34" t="n">
        <v>0.182086614173228</v>
      </c>
      <c r="D6" s="24" t="n">
        <v>1744.34583333333</v>
      </c>
      <c r="E6" t="inlineStr">
        <is>
          <t>WDI/IMF</t>
        </is>
      </c>
      <c r="F6" t="inlineStr">
        <is>
          <t>WDI/IMF</t>
        </is>
      </c>
      <c r="G6" t="inlineStr">
        <is>
          <t>OFICIAL INTERNACIONAL</t>
        </is>
      </c>
      <c r="H6" s="35" t="inlineStr">
        <is>
          <t>BACKFILL PROVISIONAL</t>
        </is>
      </c>
      <c r="I6" t="inlineStr">
        <is>
          <t>SÍ</t>
        </is>
      </c>
      <c r="J6" t="inlineStr">
        <is>
          <t>https://data.worldbank.org/indicator/FP.CPI.TOTL?locations=PY</t>
        </is>
      </c>
      <c r="K6" t="inlineStr">
        <is>
          <t>https://data.worldbank.org/indicator/PA.NUS.FCRF?locations=PY</t>
        </is>
      </c>
      <c r="L6" t="inlineStr">
        <is>
          <t>BCP es la fuente primaria objetivo; reconciliar contra archivo bruto BCP en producción.</t>
        </is>
      </c>
    </row>
    <row r="7">
      <c r="A7" t="n">
        <v>1994</v>
      </c>
      <c r="B7" s="33" t="n">
        <v>27.3657</v>
      </c>
      <c r="C7" s="34" t="n">
        <v>0.205661948376355</v>
      </c>
      <c r="D7" s="24" t="n">
        <v>1904.76083333333</v>
      </c>
      <c r="E7" t="inlineStr">
        <is>
          <t>WDI/IMF</t>
        </is>
      </c>
      <c r="F7" t="inlineStr">
        <is>
          <t>WDI/IMF</t>
        </is>
      </c>
      <c r="G7" t="inlineStr">
        <is>
          <t>OFICIAL INTERNACIONAL</t>
        </is>
      </c>
      <c r="H7" s="35" t="inlineStr">
        <is>
          <t>BACKFILL PROVISIONAL</t>
        </is>
      </c>
      <c r="I7" t="inlineStr">
        <is>
          <t>SÍ</t>
        </is>
      </c>
      <c r="J7" t="inlineStr">
        <is>
          <t>https://data.worldbank.org/indicator/FP.CPI.TOTL?locations=PY</t>
        </is>
      </c>
      <c r="K7" t="inlineStr">
        <is>
          <t>https://data.worldbank.org/indicator/PA.NUS.FCRF?locations=PY</t>
        </is>
      </c>
      <c r="L7" t="inlineStr">
        <is>
          <t>BCP es la fuente primaria objetivo; reconciliar contra archivo bruto BCP en producción.</t>
        </is>
      </c>
    </row>
    <row r="8">
      <c r="A8" t="n">
        <v>1995</v>
      </c>
      <c r="B8" s="33" t="n">
        <v>31.0292</v>
      </c>
      <c r="C8" s="34" t="n">
        <v>0.134254143646407</v>
      </c>
      <c r="D8" s="24" t="n">
        <v>1963.01916666667</v>
      </c>
      <c r="E8" t="inlineStr">
        <is>
          <t>WDI/IMF</t>
        </is>
      </c>
      <c r="F8" t="inlineStr">
        <is>
          <t>WDI/IMF</t>
        </is>
      </c>
      <c r="G8" t="inlineStr">
        <is>
          <t>OFICIAL INTERNACIONAL</t>
        </is>
      </c>
      <c r="H8" s="35" t="inlineStr">
        <is>
          <t>BACKFILL PROVISIONAL</t>
        </is>
      </c>
      <c r="I8" t="inlineStr">
        <is>
          <t>SÍ</t>
        </is>
      </c>
      <c r="J8" t="inlineStr">
        <is>
          <t>https://data.worldbank.org/indicator/FP.CPI.TOTL?locations=PY</t>
        </is>
      </c>
      <c r="K8" t="inlineStr">
        <is>
          <t>https://data.worldbank.org/indicator/PA.NUS.FCRF?locations=PY</t>
        </is>
      </c>
      <c r="L8" t="inlineStr">
        <is>
          <t>BCP es la fuente primaria objetivo; reconciliar contra archivo bruto BCP en producción.</t>
        </is>
      </c>
    </row>
    <row r="9">
      <c r="A9" t="n">
        <v>1996</v>
      </c>
      <c r="B9" s="33" t="n">
        <v>34.0693</v>
      </c>
      <c r="C9" s="34" t="n">
        <v>0.09799683390160829</v>
      </c>
      <c r="D9" s="24" t="n">
        <v>2056.81166666667</v>
      </c>
      <c r="E9" t="inlineStr">
        <is>
          <t>WDI/IMF</t>
        </is>
      </c>
      <c r="F9" t="inlineStr">
        <is>
          <t>WDI/IMF</t>
        </is>
      </c>
      <c r="G9" t="inlineStr">
        <is>
          <t>OFICIAL INTERNACIONAL</t>
        </is>
      </c>
      <c r="H9" s="35" t="inlineStr">
        <is>
          <t>BACKFILL PROVISIONAL</t>
        </is>
      </c>
      <c r="I9" t="inlineStr">
        <is>
          <t>SÍ</t>
        </is>
      </c>
      <c r="J9" t="inlineStr">
        <is>
          <t>https://data.worldbank.org/indicator/FP.CPI.TOTL?locations=PY</t>
        </is>
      </c>
      <c r="K9" t="inlineStr">
        <is>
          <t>https://data.worldbank.org/indicator/PA.NUS.FCRF?locations=PY</t>
        </is>
      </c>
      <c r="L9" t="inlineStr">
        <is>
          <t>BCP es la fuente primaria objetivo; reconciliar contra archivo bruto BCP en producción.</t>
        </is>
      </c>
    </row>
    <row r="10">
      <c r="A10" t="n">
        <v>1997</v>
      </c>
      <c r="B10" s="33" t="n">
        <v>36.4372</v>
      </c>
      <c r="C10" s="34" t="n">
        <v>0.0694956608534118</v>
      </c>
      <c r="D10" s="24" t="n">
        <v>2177.8625</v>
      </c>
      <c r="E10" t="inlineStr">
        <is>
          <t>WDI/IMF</t>
        </is>
      </c>
      <c r="F10" t="inlineStr">
        <is>
          <t>WDI/IMF</t>
        </is>
      </c>
      <c r="G10" t="inlineStr">
        <is>
          <t>OFICIAL INTERNACIONAL</t>
        </is>
      </c>
      <c r="H10" s="35" t="inlineStr">
        <is>
          <t>BACKFILL PROVISIONAL</t>
        </is>
      </c>
      <c r="I10" t="inlineStr">
        <is>
          <t>SÍ</t>
        </is>
      </c>
      <c r="J10" t="inlineStr">
        <is>
          <t>https://data.worldbank.org/indicator/FP.CPI.TOTL?locations=PY</t>
        </is>
      </c>
      <c r="K10" t="inlineStr">
        <is>
          <t>https://data.worldbank.org/indicator/PA.NUS.FCRF?locations=PY</t>
        </is>
      </c>
      <c r="L10" t="inlineStr">
        <is>
          <t>BCP es la fuente primaria objetivo; reconciliar contra archivo bruto BCP en producción.</t>
        </is>
      </c>
    </row>
    <row r="11">
      <c r="A11" t="n">
        <v>1998</v>
      </c>
      <c r="B11" s="33" t="n">
        <v>40.647</v>
      </c>
      <c r="C11" s="34" t="n">
        <v>0.115532684355839</v>
      </c>
      <c r="D11" s="24" t="n">
        <v>2726.49</v>
      </c>
      <c r="E11" t="inlineStr">
        <is>
          <t>WDI/IMF</t>
        </is>
      </c>
      <c r="F11" t="inlineStr">
        <is>
          <t>WDI/IMF</t>
        </is>
      </c>
      <c r="G11" t="inlineStr">
        <is>
          <t>OFICIAL INTERNACIONAL</t>
        </is>
      </c>
      <c r="H11" s="35" t="inlineStr">
        <is>
          <t>BACKFILL PROVISIONAL</t>
        </is>
      </c>
      <c r="I11" t="inlineStr">
        <is>
          <t>SÍ</t>
        </is>
      </c>
      <c r="J11" t="inlineStr">
        <is>
          <t>https://data.worldbank.org/indicator/FP.CPI.TOTL?locations=PY</t>
        </is>
      </c>
      <c r="K11" t="inlineStr">
        <is>
          <t>https://data.worldbank.org/indicator/PA.NUS.FCRF?locations=PY</t>
        </is>
      </c>
      <c r="L11" t="inlineStr">
        <is>
          <t>BCP es la fuente primaria objetivo; reconciliar contra archivo bruto BCP en producción.</t>
        </is>
      </c>
    </row>
    <row r="12">
      <c r="A12" t="n">
        <v>1999</v>
      </c>
      <c r="B12" s="33" t="n">
        <v>43.3912</v>
      </c>
      <c r="C12" s="34" t="n">
        <v>0.0675226586102725</v>
      </c>
      <c r="D12" s="24" t="n">
        <v>3119.07333333333</v>
      </c>
      <c r="E12" t="inlineStr">
        <is>
          <t>WDI/IMF</t>
        </is>
      </c>
      <c r="F12" t="inlineStr">
        <is>
          <t>WDI/IMF</t>
        </is>
      </c>
      <c r="G12" t="inlineStr">
        <is>
          <t>OFICIAL INTERNACIONAL</t>
        </is>
      </c>
      <c r="H12" s="35" t="inlineStr">
        <is>
          <t>BACKFILL PROVISIONAL</t>
        </is>
      </c>
      <c r="I12" t="inlineStr">
        <is>
          <t>SÍ</t>
        </is>
      </c>
      <c r="J12" t="inlineStr">
        <is>
          <t>https://data.worldbank.org/indicator/FP.CPI.TOTL?locations=PY</t>
        </is>
      </c>
      <c r="K12" t="inlineStr">
        <is>
          <t>https://data.worldbank.org/indicator/PA.NUS.FCRF?locations=PY</t>
        </is>
      </c>
      <c r="L12" t="inlineStr">
        <is>
          <t>BCP es la fuente primaria objetivo; reconciliar contra archivo bruto BCP en producción.</t>
        </is>
      </c>
    </row>
    <row r="13">
      <c r="A13" t="n">
        <v>2000</v>
      </c>
      <c r="B13" s="33" t="n">
        <v>47.2893</v>
      </c>
      <c r="C13" s="34" t="n">
        <v>0.0898215976750022</v>
      </c>
      <c r="D13" s="24" t="n">
        <v>3486.35333333333</v>
      </c>
      <c r="E13" t="inlineStr">
        <is>
          <t>WDI/IMF</t>
        </is>
      </c>
      <c r="F13" t="inlineStr">
        <is>
          <t>WDI/IMF</t>
        </is>
      </c>
      <c r="G13" t="inlineStr">
        <is>
          <t>OFICIAL INTERNACIONAL</t>
        </is>
      </c>
      <c r="H13" s="35" t="inlineStr">
        <is>
          <t>BACKFILL PROVISIONAL</t>
        </is>
      </c>
      <c r="I13" t="inlineStr">
        <is>
          <t>SÍ</t>
        </is>
      </c>
      <c r="J13" t="inlineStr">
        <is>
          <t>https://data.worldbank.org/indicator/FP.CPI.TOTL?locations=PY</t>
        </is>
      </c>
      <c r="K13" t="inlineStr">
        <is>
          <t>https://data.worldbank.org/indicator/PA.NUS.FCRF?locations=PY</t>
        </is>
      </c>
      <c r="L13" t="inlineStr">
        <is>
          <t>BCP es la fuente primaria objetivo; reconciliar contra archivo bruto BCP en producción.</t>
        </is>
      </c>
    </row>
    <row r="14">
      <c r="A14" t="n">
        <v>2001</v>
      </c>
      <c r="B14" s="33" t="n">
        <v>50.7261</v>
      </c>
      <c r="C14" s="34" t="n">
        <v>0.0726806028584825</v>
      </c>
      <c r="D14" s="24" t="n">
        <v>4105.925</v>
      </c>
      <c r="E14" t="inlineStr">
        <is>
          <t>WDI/IMF</t>
        </is>
      </c>
      <c r="F14" t="inlineStr">
        <is>
          <t>WDI/IMF</t>
        </is>
      </c>
      <c r="G14" t="inlineStr">
        <is>
          <t>OFICIAL INTERNACIONAL</t>
        </is>
      </c>
      <c r="H14" s="35" t="inlineStr">
        <is>
          <t>BACKFILL PROVISIONAL</t>
        </is>
      </c>
      <c r="I14" t="inlineStr">
        <is>
          <t>SÍ</t>
        </is>
      </c>
      <c r="J14" t="inlineStr">
        <is>
          <t>https://data.worldbank.org/indicator/FP.CPI.TOTL?locations=PY</t>
        </is>
      </c>
      <c r="K14" t="inlineStr">
        <is>
          <t>https://data.worldbank.org/indicator/PA.NUS.FCRF?locations=PY</t>
        </is>
      </c>
      <c r="L14" t="inlineStr">
        <is>
          <t>BCP es la fuente primaria objetivo; reconciliar contra archivo bruto BCP en producción.</t>
        </is>
      </c>
    </row>
    <row r="15">
      <c r="A15" t="n">
        <v>2002</v>
      </c>
      <c r="B15" s="33" t="n">
        <v>56.0576</v>
      </c>
      <c r="C15" s="34" t="n">
        <v>0.105102420856612</v>
      </c>
      <c r="D15" s="24" t="n">
        <v>5716.25833333333</v>
      </c>
      <c r="E15" t="inlineStr">
        <is>
          <t>WDI/IMF</t>
        </is>
      </c>
      <c r="F15" t="inlineStr">
        <is>
          <t>WDI/IMF</t>
        </is>
      </c>
      <c r="G15" t="inlineStr">
        <is>
          <t>OFICIAL INTERNACIONAL</t>
        </is>
      </c>
      <c r="H15" s="35" t="inlineStr">
        <is>
          <t>BACKFILL PROVISIONAL</t>
        </is>
      </c>
      <c r="I15" t="inlineStr">
        <is>
          <t>SÍ</t>
        </is>
      </c>
      <c r="J15" t="inlineStr">
        <is>
          <t>https://data.worldbank.org/indicator/FP.CPI.TOTL?locations=PY</t>
        </is>
      </c>
      <c r="K15" t="inlineStr">
        <is>
          <t>https://data.worldbank.org/indicator/PA.NUS.FCRF?locations=PY</t>
        </is>
      </c>
      <c r="L15" t="inlineStr">
        <is>
          <t>BCP es la fuente primaria objetivo; reconciliar contra archivo bruto BCP en producción.</t>
        </is>
      </c>
    </row>
    <row r="16">
      <c r="A16" t="n">
        <v>2003</v>
      </c>
      <c r="B16" s="33" t="n">
        <v>64.0384</v>
      </c>
      <c r="C16" s="34" t="n">
        <v>0.142367970499143</v>
      </c>
      <c r="D16" s="24" t="n">
        <v>6424.33916666667</v>
      </c>
      <c r="E16" t="inlineStr">
        <is>
          <t>WDI/IMF</t>
        </is>
      </c>
      <c r="F16" t="inlineStr">
        <is>
          <t>WDI/IMF</t>
        </is>
      </c>
      <c r="G16" t="inlineStr">
        <is>
          <t>OFICIAL INTERNACIONAL</t>
        </is>
      </c>
      <c r="H16" s="35" t="inlineStr">
        <is>
          <t>BACKFILL PROVISIONAL</t>
        </is>
      </c>
      <c r="I16" t="inlineStr">
        <is>
          <t>SÍ</t>
        </is>
      </c>
      <c r="J16" t="inlineStr">
        <is>
          <t>https://data.worldbank.org/indicator/FP.CPI.TOTL?locations=PY</t>
        </is>
      </c>
      <c r="K16" t="inlineStr">
        <is>
          <t>https://data.worldbank.org/indicator/PA.NUS.FCRF?locations=PY</t>
        </is>
      </c>
      <c r="L16" t="inlineStr">
        <is>
          <t>BCP es la fuente primaria objetivo; reconciliar contra archivo bruto BCP en producción.</t>
        </is>
      </c>
    </row>
    <row r="17">
      <c r="A17" t="n">
        <v>2004</v>
      </c>
      <c r="B17" s="33" t="n">
        <v>66.8069</v>
      </c>
      <c r="C17" s="34" t="n">
        <v>0.0432326492967491</v>
      </c>
      <c r="D17" s="24" t="n">
        <v>5974.5775</v>
      </c>
      <c r="E17" t="inlineStr">
        <is>
          <t>WDI/IMF</t>
        </is>
      </c>
      <c r="F17" t="inlineStr">
        <is>
          <t>WDI/IMF</t>
        </is>
      </c>
      <c r="G17" t="inlineStr">
        <is>
          <t>OFICIAL INTERNACIONAL</t>
        </is>
      </c>
      <c r="H17" s="35" t="inlineStr">
        <is>
          <t>BACKFILL PROVISIONAL</t>
        </is>
      </c>
      <c r="I17" t="inlineStr">
        <is>
          <t>SÍ</t>
        </is>
      </c>
      <c r="J17" t="inlineStr">
        <is>
          <t>https://data.worldbank.org/indicator/FP.CPI.TOTL?locations=PY</t>
        </is>
      </c>
      <c r="K17" t="inlineStr">
        <is>
          <t>https://data.worldbank.org/indicator/PA.NUS.FCRF?locations=PY</t>
        </is>
      </c>
      <c r="L17" t="inlineStr">
        <is>
          <t>BCP es la fuente primaria objetivo; reconciliar contra archivo bruto BCP en producción.</t>
        </is>
      </c>
    </row>
    <row r="18">
      <c r="A18" t="n">
        <v>2005</v>
      </c>
      <c r="B18" s="33" t="n">
        <v>71.35469999999999</v>
      </c>
      <c r="C18" s="34" t="n">
        <v>0.06807382031163769</v>
      </c>
      <c r="D18" s="24" t="n">
        <v>6177.9349469697</v>
      </c>
      <c r="E18" t="inlineStr">
        <is>
          <t>WDI/IMF</t>
        </is>
      </c>
      <c r="F18" t="inlineStr">
        <is>
          <t>WDI/IMF</t>
        </is>
      </c>
      <c r="G18" t="inlineStr">
        <is>
          <t>OFICIAL INTERNACIONAL</t>
        </is>
      </c>
      <c r="H18" s="35" t="inlineStr">
        <is>
          <t>BACKFILL PROVISIONAL</t>
        </is>
      </c>
      <c r="I18" t="inlineStr">
        <is>
          <t>SÍ</t>
        </is>
      </c>
      <c r="J18" t="inlineStr">
        <is>
          <t>https://data.worldbank.org/indicator/FP.CPI.TOTL?locations=PY</t>
        </is>
      </c>
      <c r="K18" t="inlineStr">
        <is>
          <t>https://data.worldbank.org/indicator/PA.NUS.FCRF?locations=PY</t>
        </is>
      </c>
      <c r="L18" t="inlineStr">
        <is>
          <t>BCP es la fuente primaria objetivo; reconciliar contra archivo bruto BCP en producción.</t>
        </is>
      </c>
    </row>
    <row r="19">
      <c r="A19" t="n">
        <v>2006</v>
      </c>
      <c r="B19" s="33" t="n">
        <v>78.1986</v>
      </c>
      <c r="C19" s="34" t="n">
        <v>0.09589349411292289</v>
      </c>
      <c r="D19" s="24" t="n">
        <v>5635.09393939394</v>
      </c>
      <c r="E19" t="inlineStr">
        <is>
          <t>WDI/IMF</t>
        </is>
      </c>
      <c r="F19" t="inlineStr">
        <is>
          <t>WDI/IMF</t>
        </is>
      </c>
      <c r="G19" t="inlineStr">
        <is>
          <t>OFICIAL INTERNACIONAL</t>
        </is>
      </c>
      <c r="H19" s="35" t="inlineStr">
        <is>
          <t>BACKFILL PROVISIONAL</t>
        </is>
      </c>
      <c r="I19" t="inlineStr">
        <is>
          <t>SÍ</t>
        </is>
      </c>
      <c r="J19" t="inlineStr">
        <is>
          <t>https://data.worldbank.org/indicator/FP.CPI.TOTL?locations=PY</t>
        </is>
      </c>
      <c r="K19" t="inlineStr">
        <is>
          <t>https://data.worldbank.org/indicator/PA.NUS.FCRF?locations=PY</t>
        </is>
      </c>
      <c r="L19" t="inlineStr">
        <is>
          <t>BCP es la fuente primaria objetivo; reconciliar contra archivo bruto BCP en producción.</t>
        </is>
      </c>
    </row>
    <row r="20">
      <c r="A20" t="n">
        <v>2007</v>
      </c>
      <c r="B20" s="33" t="n">
        <v>84.5552</v>
      </c>
      <c r="C20" s="34" t="n">
        <v>0.08130474176985769</v>
      </c>
      <c r="D20" s="24" t="n">
        <v>5032.71157647908</v>
      </c>
      <c r="E20" t="inlineStr">
        <is>
          <t>WDI/IMF</t>
        </is>
      </c>
      <c r="F20" t="inlineStr">
        <is>
          <t>WDI/IMF</t>
        </is>
      </c>
      <c r="G20" t="inlineStr">
        <is>
          <t>OFICIAL INTERNACIONAL</t>
        </is>
      </c>
      <c r="H20" s="35" t="inlineStr">
        <is>
          <t>BACKFILL PROVISIONAL</t>
        </is>
      </c>
      <c r="I20" t="inlineStr">
        <is>
          <t>SÍ</t>
        </is>
      </c>
      <c r="J20" t="inlineStr">
        <is>
          <t>https://data.worldbank.org/indicator/FP.CPI.TOTL?locations=PY</t>
        </is>
      </c>
      <c r="K20" t="inlineStr">
        <is>
          <t>https://data.worldbank.org/indicator/PA.NUS.FCRF?locations=PY</t>
        </is>
      </c>
      <c r="L20" t="inlineStr">
        <is>
          <t>BCP es la fuente primaria objetivo; reconciliar contra archivo bruto BCP en producción.</t>
        </is>
      </c>
    </row>
    <row r="21">
      <c r="A21" t="n">
        <v>2008</v>
      </c>
      <c r="B21" s="33" t="n">
        <v>93.1414</v>
      </c>
      <c r="C21" s="34" t="n">
        <v>0.101547846489023</v>
      </c>
      <c r="D21" s="24" t="n">
        <v>4363.29160824492</v>
      </c>
      <c r="E21" t="inlineStr">
        <is>
          <t>WDI/IMF</t>
        </is>
      </c>
      <c r="F21" t="inlineStr">
        <is>
          <t>WDI/IMF</t>
        </is>
      </c>
      <c r="G21" t="inlineStr">
        <is>
          <t>OFICIAL INTERNACIONAL</t>
        </is>
      </c>
      <c r="H21" s="35" t="inlineStr">
        <is>
          <t>BACKFILL PROVISIONAL</t>
        </is>
      </c>
      <c r="I21" t="inlineStr">
        <is>
          <t>SÍ</t>
        </is>
      </c>
      <c r="J21" t="inlineStr">
        <is>
          <t>https://data.worldbank.org/indicator/FP.CPI.TOTL?locations=PY</t>
        </is>
      </c>
      <c r="K21" t="inlineStr">
        <is>
          <t>https://data.worldbank.org/indicator/PA.NUS.FCRF?locations=PY</t>
        </is>
      </c>
      <c r="L21" t="inlineStr">
        <is>
          <t>BCP es la fuente primaria objetivo; reconciliar contra archivo bruto BCP en producción.</t>
        </is>
      </c>
    </row>
    <row r="22">
      <c r="A22" t="n">
        <v>2009</v>
      </c>
      <c r="B22" s="33" t="n">
        <v>95.5556</v>
      </c>
      <c r="C22" s="34" t="n">
        <v>0.0259194673430567</v>
      </c>
      <c r="D22" s="24" t="n">
        <v>4966.68229650212</v>
      </c>
      <c r="E22" t="inlineStr">
        <is>
          <t>WDI/IMF</t>
        </is>
      </c>
      <c r="F22" t="inlineStr">
        <is>
          <t>WDI/IMF</t>
        </is>
      </c>
      <c r="G22" t="inlineStr">
        <is>
          <t>OFICIAL INTERNACIONAL</t>
        </is>
      </c>
      <c r="H22" s="35" t="inlineStr">
        <is>
          <t>BACKFILL PROVISIONAL</t>
        </is>
      </c>
      <c r="I22" t="inlineStr">
        <is>
          <t>SÍ</t>
        </is>
      </c>
      <c r="J22" t="inlineStr">
        <is>
          <t>https://data.worldbank.org/indicator/FP.CPI.TOTL?locations=PY</t>
        </is>
      </c>
      <c r="K22" t="inlineStr">
        <is>
          <t>https://data.worldbank.org/indicator/PA.NUS.FCRF?locations=PY</t>
        </is>
      </c>
      <c r="L22" t="inlineStr">
        <is>
          <t>BCP es la fuente primaria objetivo; reconciliar contra archivo bruto BCP en producción.</t>
        </is>
      </c>
    </row>
    <row r="23">
      <c r="A23" t="n">
        <v>2010</v>
      </c>
      <c r="B23" s="33" t="n">
        <v>100</v>
      </c>
      <c r="C23" s="34" t="n">
        <v>0.0465116279069765</v>
      </c>
      <c r="D23" s="24" t="n">
        <v>4758.43012878788</v>
      </c>
      <c r="E23" t="inlineStr">
        <is>
          <t>WDI/IMF</t>
        </is>
      </c>
      <c r="F23" t="inlineStr">
        <is>
          <t>WDI/IMF</t>
        </is>
      </c>
      <c r="G23" t="inlineStr">
        <is>
          <t>OFICIAL INTERNACIONAL</t>
        </is>
      </c>
      <c r="H23" s="35" t="inlineStr">
        <is>
          <t>BACKFILL PROVISIONAL</t>
        </is>
      </c>
      <c r="I23" t="inlineStr">
        <is>
          <t>SÍ</t>
        </is>
      </c>
      <c r="J23" t="inlineStr">
        <is>
          <t>https://data.worldbank.org/indicator/FP.CPI.TOTL?locations=PY</t>
        </is>
      </c>
      <c r="K23" t="inlineStr">
        <is>
          <t>https://data.worldbank.org/indicator/PA.NUS.FCRF?locations=PY</t>
        </is>
      </c>
      <c r="L23" t="inlineStr">
        <is>
          <t>BCP es la fuente primaria objetivo; reconciliar contra archivo bruto BCP en producción.</t>
        </is>
      </c>
    </row>
    <row r="24">
      <c r="A24" t="n">
        <v>2011</v>
      </c>
      <c r="B24" s="33" t="n">
        <v>108.254</v>
      </c>
      <c r="C24" s="34" t="n">
        <v>0.082539682539683</v>
      </c>
      <c r="D24" s="24" t="n">
        <v>4193.8023075919</v>
      </c>
      <c r="E24" t="inlineStr">
        <is>
          <t>WDI/IMF</t>
        </is>
      </c>
      <c r="F24" t="inlineStr">
        <is>
          <t>WDI/IMF</t>
        </is>
      </c>
      <c r="G24" t="inlineStr">
        <is>
          <t>OFICIAL INTERNACIONAL</t>
        </is>
      </c>
      <c r="H24" s="35" t="inlineStr">
        <is>
          <t>BACKFILL PROVISIONAL</t>
        </is>
      </c>
      <c r="I24" t="inlineStr">
        <is>
          <t>SÍ</t>
        </is>
      </c>
      <c r="J24" t="inlineStr">
        <is>
          <t>https://data.worldbank.org/indicator/FP.CPI.TOTL?locations=PY</t>
        </is>
      </c>
      <c r="K24" t="inlineStr">
        <is>
          <t>https://data.worldbank.org/indicator/PA.NUS.FCRF?locations=PY</t>
        </is>
      </c>
      <c r="L24" t="inlineStr">
        <is>
          <t>BCP es la fuente primaria objetivo; reconciliar contra archivo bruto BCP en producción.</t>
        </is>
      </c>
    </row>
    <row r="25">
      <c r="A25" t="n">
        <v>2012</v>
      </c>
      <c r="B25" s="33" t="n">
        <v>112.233</v>
      </c>
      <c r="C25" s="34" t="n">
        <v>0.0367591897974496</v>
      </c>
      <c r="D25" s="24" t="n">
        <v>4421.65928640414</v>
      </c>
      <c r="E25" t="inlineStr">
        <is>
          <t>WDI/IMF</t>
        </is>
      </c>
      <c r="F25" t="inlineStr">
        <is>
          <t>WDI/IMF</t>
        </is>
      </c>
      <c r="G25" t="inlineStr">
        <is>
          <t>OFICIAL INTERNACIONAL</t>
        </is>
      </c>
      <c r="H25" s="35" t="inlineStr">
        <is>
          <t>BACKFILL PROVISIONAL</t>
        </is>
      </c>
      <c r="I25" t="inlineStr">
        <is>
          <t>SÍ</t>
        </is>
      </c>
      <c r="J25" t="inlineStr">
        <is>
          <t>https://data.worldbank.org/indicator/FP.CPI.TOTL?locations=PY</t>
        </is>
      </c>
      <c r="K25" t="inlineStr">
        <is>
          <t>https://data.worldbank.org/indicator/PA.NUS.FCRF?locations=PY</t>
        </is>
      </c>
      <c r="L25" t="inlineStr">
        <is>
          <t>BCP es la fuente primaria objetivo; reconciliar contra archivo bruto BCP en producción.</t>
        </is>
      </c>
    </row>
    <row r="26">
      <c r="A26" t="n">
        <v>2013</v>
      </c>
      <c r="B26" s="33" t="n">
        <v>115.245</v>
      </c>
      <c r="C26" s="34" t="n">
        <v>0.0268385738718582</v>
      </c>
      <c r="D26" s="24" t="n">
        <v>4303.88256599819</v>
      </c>
      <c r="E26" t="inlineStr">
        <is>
          <t>WDI/IMF</t>
        </is>
      </c>
      <c r="F26" t="inlineStr">
        <is>
          <t>WDI/IMF</t>
        </is>
      </c>
      <c r="G26" t="inlineStr">
        <is>
          <t>OFICIAL INTERNACIONAL</t>
        </is>
      </c>
      <c r="H26" s="35" t="inlineStr">
        <is>
          <t>BACKFILL PROVISIONAL</t>
        </is>
      </c>
      <c r="I26" t="inlineStr">
        <is>
          <t>SÍ</t>
        </is>
      </c>
      <c r="J26" t="inlineStr">
        <is>
          <t>https://data.worldbank.org/indicator/FP.CPI.TOTL?locations=PY</t>
        </is>
      </c>
      <c r="K26" t="inlineStr">
        <is>
          <t>https://data.worldbank.org/indicator/PA.NUS.FCRF?locations=PY</t>
        </is>
      </c>
      <c r="L26" t="inlineStr">
        <is>
          <t>BCP es la fuente primaria objetivo; reconciliar contra archivo bruto BCP en producción.</t>
        </is>
      </c>
    </row>
    <row r="27">
      <c r="A27" t="n">
        <v>2014</v>
      </c>
      <c r="B27" s="33" t="n">
        <v>121.041</v>
      </c>
      <c r="C27" s="34" t="n">
        <v>0.0502882767456766</v>
      </c>
      <c r="D27" s="24" t="n">
        <v>4462.18528829093</v>
      </c>
      <c r="E27" t="inlineStr">
        <is>
          <t>WDI/IMF</t>
        </is>
      </c>
      <c r="F27" t="inlineStr">
        <is>
          <t>WDI/IMF</t>
        </is>
      </c>
      <c r="G27" t="inlineStr">
        <is>
          <t>OFICIAL INTERNACIONAL</t>
        </is>
      </c>
      <c r="H27" s="35" t="inlineStr">
        <is>
          <t>BACKFILL PROVISIONAL</t>
        </is>
      </c>
      <c r="I27" t="inlineStr">
        <is>
          <t>SÍ</t>
        </is>
      </c>
      <c r="J27" t="inlineStr">
        <is>
          <t>https://data.worldbank.org/indicator/FP.CPI.TOTL?locations=PY</t>
        </is>
      </c>
      <c r="K27" t="inlineStr">
        <is>
          <t>https://data.worldbank.org/indicator/PA.NUS.FCRF?locations=PY</t>
        </is>
      </c>
      <c r="L27" t="inlineStr">
        <is>
          <t>BCP es la fuente primaria objetivo; reconciliar contra archivo bruto BCP en producción.</t>
        </is>
      </c>
    </row>
    <row r="28">
      <c r="A28" t="n">
        <v>2015</v>
      </c>
      <c r="B28" s="33" t="n">
        <v>124.828</v>
      </c>
      <c r="C28" s="34" t="n">
        <v>0.0312900274473925</v>
      </c>
      <c r="D28" s="24" t="n">
        <v>5204.92080811087</v>
      </c>
      <c r="E28" t="inlineStr">
        <is>
          <t>WDI/IMF</t>
        </is>
      </c>
      <c r="F28" t="inlineStr">
        <is>
          <t>WDI/IMF</t>
        </is>
      </c>
      <c r="G28" t="inlineStr">
        <is>
          <t>OFICIAL INTERNACIONAL</t>
        </is>
      </c>
      <c r="H28" s="35" t="inlineStr">
        <is>
          <t>BACKFILL PROVISIONAL</t>
        </is>
      </c>
      <c r="I28" t="inlineStr">
        <is>
          <t>SÍ</t>
        </is>
      </c>
      <c r="J28" t="inlineStr">
        <is>
          <t>https://data.worldbank.org/indicator/FP.CPI.TOTL?locations=PY</t>
        </is>
      </c>
      <c r="K28" t="inlineStr">
        <is>
          <t>https://data.worldbank.org/indicator/PA.NUS.FCRF?locations=PY</t>
        </is>
      </c>
      <c r="L28" t="inlineStr">
        <is>
          <t>BCP es la fuente primaria objetivo; reconciliar contra archivo bruto BCP en producción.</t>
        </is>
      </c>
    </row>
    <row r="29">
      <c r="A29" t="n">
        <v>2016</v>
      </c>
      <c r="B29" s="33" t="n">
        <v>129.93</v>
      </c>
      <c r="C29" s="34" t="n">
        <v>0.0408682280577241</v>
      </c>
      <c r="D29" s="24" t="n">
        <v>5670.54089799784</v>
      </c>
      <c r="E29" t="inlineStr">
        <is>
          <t>WDI/IMF</t>
        </is>
      </c>
      <c r="F29" t="inlineStr">
        <is>
          <t>WDI/IMF</t>
        </is>
      </c>
      <c r="G29" t="inlineStr">
        <is>
          <t>OFICIAL INTERNACIONAL</t>
        </is>
      </c>
      <c r="H29" s="35" t="inlineStr">
        <is>
          <t>BACKFILL PROVISIONAL</t>
        </is>
      </c>
      <c r="I29" t="inlineStr">
        <is>
          <t>SÍ</t>
        </is>
      </c>
      <c r="J29" t="inlineStr">
        <is>
          <t>https://data.worldbank.org/indicator/FP.CPI.TOTL?locations=PY</t>
        </is>
      </c>
      <c r="K29" t="inlineStr">
        <is>
          <t>https://data.worldbank.org/indicator/PA.NUS.FCRF?locations=PY</t>
        </is>
      </c>
      <c r="L29" t="inlineStr">
        <is>
          <t>BCP es la fuente primaria objetivo; reconciliar contra archivo bruto BCP en producción.</t>
        </is>
      </c>
    </row>
    <row r="30">
      <c r="A30" t="n">
        <v>2017</v>
      </c>
      <c r="B30" s="33" t="n">
        <v>134.611</v>
      </c>
      <c r="C30" s="34" t="n">
        <v>0.0360247741348943</v>
      </c>
      <c r="D30" s="24" t="n">
        <v>5618.9334516428</v>
      </c>
      <c r="E30" t="inlineStr">
        <is>
          <t>WDI/IMF</t>
        </is>
      </c>
      <c r="F30" t="inlineStr">
        <is>
          <t>WDI/IMF</t>
        </is>
      </c>
      <c r="G30" t="inlineStr">
        <is>
          <t>OFICIAL INTERNACIONAL</t>
        </is>
      </c>
      <c r="H30" s="35" t="inlineStr">
        <is>
          <t>BACKFILL PROVISIONAL</t>
        </is>
      </c>
      <c r="I30" t="inlineStr">
        <is>
          <t>SÍ</t>
        </is>
      </c>
      <c r="J30" t="inlineStr">
        <is>
          <t>https://data.worldbank.org/indicator/FP.CPI.TOTL?locations=PY</t>
        </is>
      </c>
      <c r="K30" t="inlineStr">
        <is>
          <t>https://data.worldbank.org/indicator/PA.NUS.FCRF?locations=PY</t>
        </is>
      </c>
      <c r="L30" t="inlineStr">
        <is>
          <t>BCP es la fuente primaria objetivo; reconciliar contra archivo bruto BCP en producción.</t>
        </is>
      </c>
    </row>
    <row r="31">
      <c r="A31" t="n">
        <v>2018</v>
      </c>
      <c r="B31" s="33" t="n">
        <v>139.9626085889871</v>
      </c>
      <c r="C31" s="34" t="n">
        <v>0.0397561015740694</v>
      </c>
      <c r="D31" s="24" t="n">
        <v>5732.10455572912</v>
      </c>
      <c r="E31" t="inlineStr">
        <is>
          <t>WDI/IMF</t>
        </is>
      </c>
      <c r="F31" t="inlineStr">
        <is>
          <t>WDI/IMF</t>
        </is>
      </c>
      <c r="G31" t="inlineStr">
        <is>
          <t>OFICIAL INTERNACIONAL</t>
        </is>
      </c>
      <c r="H31" s="35" t="inlineStr">
        <is>
          <t>BACKFILL PROVISIONAL</t>
        </is>
      </c>
      <c r="I31" t="inlineStr">
        <is>
          <t>SÍ</t>
        </is>
      </c>
      <c r="J31" t="inlineStr">
        <is>
          <t>https://data.worldbank.org/indicator/FP.CPI.TOTL?locations=PY</t>
        </is>
      </c>
      <c r="K31" t="inlineStr">
        <is>
          <t>https://data.worldbank.org/indicator/PA.NUS.FCRF?locations=PY</t>
        </is>
      </c>
      <c r="L31" t="inlineStr">
        <is>
          <t>BCP es la fuente primaria objetivo; reconciliar contra archivo bruto BCP en producción.</t>
        </is>
      </c>
    </row>
    <row r="32">
      <c r="A32" t="n">
        <v>2019</v>
      </c>
      <c r="B32" s="33" t="n">
        <v>143.8215138572915</v>
      </c>
      <c r="C32" s="34" t="n">
        <v>0.0275709727562775</v>
      </c>
      <c r="D32" s="24" t="n">
        <v>6240.72207844257</v>
      </c>
      <c r="E32" t="inlineStr">
        <is>
          <t>WDI/IMF</t>
        </is>
      </c>
      <c r="F32" t="inlineStr">
        <is>
          <t>WDI/IMF</t>
        </is>
      </c>
      <c r="G32" t="inlineStr">
        <is>
          <t>OFICIAL INTERNACIONAL</t>
        </is>
      </c>
      <c r="H32" s="35" t="inlineStr">
        <is>
          <t>BACKFILL PROVISIONAL</t>
        </is>
      </c>
      <c r="I32" t="inlineStr">
        <is>
          <t>SÍ</t>
        </is>
      </c>
      <c r="J32" t="inlineStr">
        <is>
          <t>https://data.worldbank.org/indicator/FP.CPI.TOTL?locations=PY</t>
        </is>
      </c>
      <c r="K32" t="inlineStr">
        <is>
          <t>https://data.worldbank.org/indicator/PA.NUS.FCRF?locations=PY</t>
        </is>
      </c>
      <c r="L32" t="inlineStr">
        <is>
          <t>BCP es la fuente primaria objetivo; reconciliar contra archivo bruto BCP en producción.</t>
        </is>
      </c>
    </row>
    <row r="33">
      <c r="A33" t="n">
        <v>2020</v>
      </c>
      <c r="B33" s="33" t="n">
        <v>146.3635820162343</v>
      </c>
      <c r="C33" s="34" t="n">
        <v>0.0176751592356698</v>
      </c>
      <c r="D33" s="24" t="n">
        <v>6771.09742519651</v>
      </c>
      <c r="E33" t="inlineStr">
        <is>
          <t>WDI/IMF</t>
        </is>
      </c>
      <c r="F33" t="inlineStr">
        <is>
          <t>WDI/IMF</t>
        </is>
      </c>
      <c r="G33" t="inlineStr">
        <is>
          <t>OFICIAL INTERNACIONAL</t>
        </is>
      </c>
      <c r="H33" s="35" t="inlineStr">
        <is>
          <t>BACKFILL PROVISIONAL</t>
        </is>
      </c>
      <c r="I33" t="inlineStr">
        <is>
          <t>SÍ</t>
        </is>
      </c>
      <c r="J33" t="inlineStr">
        <is>
          <t>https://data.worldbank.org/indicator/FP.CPI.TOTL?locations=PY</t>
        </is>
      </c>
      <c r="K33" t="inlineStr">
        <is>
          <t>https://data.worldbank.org/indicator/PA.NUS.FCRF?locations=PY</t>
        </is>
      </c>
      <c r="L33" t="inlineStr">
        <is>
          <t>BCP es la fuente primaria objetivo; reconciliar contra archivo bruto BCP en producción.</t>
        </is>
      </c>
    </row>
    <row r="34">
      <c r="A34" t="n">
        <v>2021</v>
      </c>
      <c r="B34" s="33" t="n">
        <v>153.3714455895353</v>
      </c>
      <c r="C34" s="34" t="n">
        <v>0.04787983101236</v>
      </c>
      <c r="D34" s="24" t="n">
        <v>6774.16273484849</v>
      </c>
      <c r="E34" t="inlineStr">
        <is>
          <t>WDI/IMF</t>
        </is>
      </c>
      <c r="F34" t="inlineStr">
        <is>
          <t>WDI/IMF</t>
        </is>
      </c>
      <c r="G34" t="inlineStr">
        <is>
          <t>OFICIAL INTERNACIONAL</t>
        </is>
      </c>
      <c r="H34" s="35" t="inlineStr">
        <is>
          <t>BACKFILL PROVISIONAL</t>
        </is>
      </c>
      <c r="I34" t="inlineStr">
        <is>
          <t>SÍ</t>
        </is>
      </c>
      <c r="J34" t="inlineStr">
        <is>
          <t>https://data.worldbank.org/indicator/FP.CPI.TOTL?locations=PY</t>
        </is>
      </c>
      <c r="K34" t="inlineStr">
        <is>
          <t>https://data.worldbank.org/indicator/PA.NUS.FCRF?locations=PY</t>
        </is>
      </c>
      <c r="L34" t="inlineStr">
        <is>
          <t>BCP es la fuente primaria objetivo; reconciliar contra archivo bruto BCP en producción.</t>
        </is>
      </c>
    </row>
    <row r="35">
      <c r="A35" t="n">
        <v>2022</v>
      </c>
      <c r="B35" s="33" t="n">
        <v>168.3490363638455</v>
      </c>
      <c r="C35" s="34" t="n">
        <v>0.0976556667164402</v>
      </c>
      <c r="D35" s="24" t="n">
        <v>6982.75237776692</v>
      </c>
      <c r="E35" t="inlineStr">
        <is>
          <t>WDI/IMF</t>
        </is>
      </c>
      <c r="F35" t="inlineStr">
        <is>
          <t>WDI/IMF</t>
        </is>
      </c>
      <c r="G35" t="inlineStr">
        <is>
          <t>OFICIAL INTERNACIONAL</t>
        </is>
      </c>
      <c r="H35" s="35" t="inlineStr">
        <is>
          <t>BACKFILL PROVISIONAL</t>
        </is>
      </c>
      <c r="I35" t="inlineStr">
        <is>
          <t>SÍ</t>
        </is>
      </c>
      <c r="J35" t="inlineStr">
        <is>
          <t>https://data.worldbank.org/indicator/FP.CPI.TOTL?locations=PY</t>
        </is>
      </c>
      <c r="K35" t="inlineStr">
        <is>
          <t>https://data.worldbank.org/indicator/PA.NUS.FCRF?locations=PY</t>
        </is>
      </c>
      <c r="L35" t="inlineStr">
        <is>
          <t>BCP es la fuente primaria objetivo; reconciliar contra archivo bruto BCP en producción.</t>
        </is>
      </c>
    </row>
    <row r="36">
      <c r="A36" t="n">
        <v>2023</v>
      </c>
      <c r="B36" s="33" t="n">
        <v>176.1470022027641</v>
      </c>
      <c r="C36" s="34" t="n">
        <v>0.0463202285403356</v>
      </c>
      <c r="D36" s="24" t="n">
        <v>7288.87205374128</v>
      </c>
      <c r="E36" t="inlineStr">
        <is>
          <t>WDI/IMF</t>
        </is>
      </c>
      <c r="F36" t="inlineStr">
        <is>
          <t>WDI/IMF</t>
        </is>
      </c>
      <c r="G36" t="inlineStr">
        <is>
          <t>OFICIAL INTERNACIONAL</t>
        </is>
      </c>
      <c r="H36" s="35" t="inlineStr">
        <is>
          <t>BACKFILL PROVISIONAL</t>
        </is>
      </c>
      <c r="I36" t="inlineStr">
        <is>
          <t>SÍ</t>
        </is>
      </c>
      <c r="J36" t="inlineStr">
        <is>
          <t>https://data.worldbank.org/indicator/FP.CPI.TOTL?locations=PY</t>
        </is>
      </c>
      <c r="K36" t="inlineStr">
        <is>
          <t>https://data.worldbank.org/indicator/PA.NUS.FCRF?locations=PY</t>
        </is>
      </c>
      <c r="L36" t="inlineStr">
        <is>
          <t>BCP es la fuente primaria objetivo; reconciliar contra archivo bruto BCP en producción.</t>
        </is>
      </c>
    </row>
    <row r="37">
      <c r="A37" t="n">
        <v>2024</v>
      </c>
      <c r="B37" s="33" t="n">
        <v>182.9029491116656</v>
      </c>
      <c r="C37" s="34" t="n">
        <v>0.0383540271728533</v>
      </c>
      <c r="D37" s="24" t="n">
        <v>7560.25</v>
      </c>
      <c r="E37" t="inlineStr">
        <is>
          <t>WDI/IMF</t>
        </is>
      </c>
      <c r="F37" t="inlineStr">
        <is>
          <t>WDI/IMF</t>
        </is>
      </c>
      <c r="G37" t="inlineStr">
        <is>
          <t>OFICIAL INTERNACIONAL</t>
        </is>
      </c>
      <c r="H37" s="35" t="inlineStr">
        <is>
          <t>BACKFILL PROVISIONAL</t>
        </is>
      </c>
      <c r="I37" t="inlineStr">
        <is>
          <t>SÍ</t>
        </is>
      </c>
      <c r="J37" t="inlineStr">
        <is>
          <t>https://data.worldbank.org/indicator/FP.CPI.TOTL?locations=PY</t>
        </is>
      </c>
      <c r="K37" t="inlineStr">
        <is>
          <t>https://data.worldbank.org/indicator/PA.NUS.FCRF?locations=PY</t>
        </is>
      </c>
      <c r="L37" t="inlineStr">
        <is>
          <t>BCP es la fuente primaria objetivo; reconciliar contra archivo bruto BCP en producción.</t>
        </is>
      </c>
    </row>
    <row r="38">
      <c r="A38" t="n">
        <v>2025</v>
      </c>
      <c r="B38" s="33" t="n">
        <v>190.2886876815662</v>
      </c>
      <c r="C38" s="34" t="n">
        <v>0.040380642333938</v>
      </c>
      <c r="D38" s="24" t="n">
        <v>7545.45</v>
      </c>
      <c r="E38" t="inlineStr">
        <is>
          <t>WDI/IMF</t>
        </is>
      </c>
      <c r="F38" t="inlineStr">
        <is>
          <t>WDI/IMF</t>
        </is>
      </c>
      <c r="G38" t="inlineStr">
        <is>
          <t>OFICIAL INTERNACIONAL</t>
        </is>
      </c>
      <c r="H38" s="35" t="inlineStr">
        <is>
          <t>BACKFILL PROVISIONAL</t>
        </is>
      </c>
      <c r="I38" t="inlineStr">
        <is>
          <t>SÍ</t>
        </is>
      </c>
      <c r="J38" t="inlineStr">
        <is>
          <t>https://data.worldbank.org/indicator/FP.CPI.TOTL?locations=PY</t>
        </is>
      </c>
      <c r="K38" t="inlineStr">
        <is>
          <t>https://data.worldbank.org/indicator/PA.NUS.FCRF?locations=PY</t>
        </is>
      </c>
      <c r="L38" t="inlineStr">
        <is>
          <t>BCP es la fuente primaria objetivo; reconciliar contra archivo bruto BCP en producción.</t>
        </is>
      </c>
    </row>
  </sheetData>
  <autoFilter ref="A2:L38"/>
  <mergeCells count="1">
    <mergeCell ref="A1:L1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16" customWidth="1" min="4" max="4"/>
    <col width="14" customWidth="1" min="5" max="5"/>
    <col width="12" customWidth="1" min="6" max="6"/>
    <col width="28" customWidth="1" min="7" max="7"/>
    <col width="62" customWidth="1" min="8" max="8"/>
    <col width="55" customWidth="1" min="9" max="9"/>
  </cols>
  <sheetData>
    <row r="1">
      <c r="A1" s="20" t="inlineStr">
        <is>
          <t>EnergiaPY.live — Macro BCP actual / expectativas 2026</t>
        </is>
      </c>
    </row>
    <row r="2">
      <c r="A2" s="5" t="inlineStr">
        <is>
          <t>ID</t>
        </is>
      </c>
      <c r="B2" s="5" t="inlineStr">
        <is>
          <t>Fecha</t>
        </is>
      </c>
      <c r="C2" s="5" t="inlineStr">
        <is>
          <t>Serie</t>
        </is>
      </c>
      <c r="D2" s="5" t="inlineStr">
        <is>
          <t>Valor</t>
        </is>
      </c>
      <c r="E2" s="5" t="inlineStr">
        <is>
          <t>Unidad</t>
        </is>
      </c>
      <c r="F2" s="5" t="inlineStr">
        <is>
          <t>Fuente</t>
        </is>
      </c>
      <c r="G2" s="5" t="inlineStr">
        <is>
          <t>Calidad</t>
        </is>
      </c>
      <c r="H2" s="5" t="inlineStr">
        <is>
          <t>URL</t>
        </is>
      </c>
      <c r="I2" s="5" t="inlineStr">
        <is>
          <t>Notas</t>
        </is>
      </c>
    </row>
    <row r="3">
      <c r="A3" t="inlineStr">
        <is>
          <t>M2026-001</t>
        </is>
      </c>
      <c r="B3" t="inlineStr">
        <is>
          <t>2026-08-31</t>
        </is>
      </c>
      <c r="C3" t="inlineStr">
        <is>
          <t>CPI_MONTHLY_INFLATION</t>
        </is>
      </c>
      <c r="D3" s="24" t="n">
        <v>0</v>
      </c>
      <c r="E3" t="inlineStr">
        <is>
          <t>percent</t>
        </is>
      </c>
      <c r="F3" t="inlineStr">
        <is>
          <t>BCP</t>
        </is>
      </c>
      <c r="G3" t="inlineStr">
        <is>
          <t>OFFICIAL_MEASURED</t>
        </is>
      </c>
      <c r="H3" t="inlineStr">
        <is>
          <t>https://www.bcp.gov.py/web/institucional/w/informe-de-inflaci%C3%B3n-agosto-2026</t>
        </is>
      </c>
      <c r="I3" t="inlineStr">
        <is>
          <t>Inflacion mensual IPC agosto 2026.</t>
        </is>
      </c>
    </row>
    <row r="4">
      <c r="A4" t="inlineStr">
        <is>
          <t>M2026-002</t>
        </is>
      </c>
      <c r="B4" t="inlineStr">
        <is>
          <t>2026-08-31</t>
        </is>
      </c>
      <c r="C4" t="inlineStr">
        <is>
          <t>CPI_YTD_INFLATION</t>
        </is>
      </c>
      <c r="D4" s="24" t="n">
        <v>1.8</v>
      </c>
      <c r="E4" t="inlineStr">
        <is>
          <t>percent</t>
        </is>
      </c>
      <c r="F4" t="inlineStr">
        <is>
          <t>BCP</t>
        </is>
      </c>
      <c r="G4" t="inlineStr">
        <is>
          <t>OFFICIAL_MEASURED</t>
        </is>
      </c>
      <c r="H4" t="inlineStr">
        <is>
          <t>https://www.bcp.gov.py/web/institucional/w/informe-de-inflaci%C3%B3n-agosto-2026</t>
        </is>
      </c>
      <c r="I4" t="inlineStr">
        <is>
          <t>Inflacion acumulada enero-agosto 2026.</t>
        </is>
      </c>
    </row>
    <row r="5">
      <c r="A5" t="inlineStr">
        <is>
          <t>M2026-003</t>
        </is>
      </c>
      <c r="B5" t="inlineStr">
        <is>
          <t>2026-08-31</t>
        </is>
      </c>
      <c r="C5" t="inlineStr">
        <is>
          <t>CPI_YOY_INFLATION</t>
        </is>
      </c>
      <c r="D5" s="24" t="n">
        <v>1.5</v>
      </c>
      <c r="E5" t="inlineStr">
        <is>
          <t>percent</t>
        </is>
      </c>
      <c r="F5" t="inlineStr">
        <is>
          <t>BCP</t>
        </is>
      </c>
      <c r="G5" t="inlineStr">
        <is>
          <t>OFFICIAL_MEASURED</t>
        </is>
      </c>
      <c r="H5" t="inlineStr">
        <is>
          <t>https://www.bcp.gov.py/web/institucional/w/informe-de-inflaci%C3%B3n-agosto-2026</t>
        </is>
      </c>
      <c r="I5" t="inlineStr">
        <is>
          <t>Inflacion interanual agosto 2026.</t>
        </is>
      </c>
    </row>
    <row r="6">
      <c r="A6" t="inlineStr">
        <is>
          <t>M2026-004</t>
        </is>
      </c>
      <c r="B6" t="inlineStr">
        <is>
          <t>2026-09-10</t>
        </is>
      </c>
      <c r="C6" t="inlineStr">
        <is>
          <t>FX_USD_PYG_REFERENCE</t>
        </is>
      </c>
      <c r="D6" s="24" t="n">
        <v>5933.25</v>
      </c>
      <c r="E6" t="inlineStr">
        <is>
          <t>PYG/USD</t>
        </is>
      </c>
      <c r="F6" t="inlineStr">
        <is>
          <t>BCP</t>
        </is>
      </c>
      <c r="G6" t="inlineStr">
        <is>
          <t>OFFICIAL_MEASURED</t>
        </is>
      </c>
      <c r="H6" t="inlineStr">
        <is>
          <t>https://www.bcp.gov.py/webapps/web/cotizacion/monedas</t>
        </is>
      </c>
      <c r="I6" t="inlineStr">
        <is>
          <t>Cotizacion referencial USD/PYG del 10-09-2026.</t>
        </is>
      </c>
    </row>
    <row r="7">
      <c r="A7" t="inlineStr">
        <is>
          <t>M2026-005</t>
        </is>
      </c>
      <c r="B7" t="inlineStr">
        <is>
          <t>2026-09-10</t>
        </is>
      </c>
      <c r="C7" t="inlineStr">
        <is>
          <t>FX_BRL_PYG_REFERENCE</t>
        </is>
      </c>
      <c r="D7" s="24" t="n">
        <v>1165.78</v>
      </c>
      <c r="E7" t="inlineStr">
        <is>
          <t>PYG/BRL</t>
        </is>
      </c>
      <c r="F7" t="inlineStr">
        <is>
          <t>BCP</t>
        </is>
      </c>
      <c r="G7" t="inlineStr">
        <is>
          <t>OFFICIAL_MEASURED</t>
        </is>
      </c>
      <c r="H7" t="inlineStr">
        <is>
          <t>https://www.bcp.gov.py/webapps/web/cotizacion/monedas</t>
        </is>
      </c>
      <c r="I7" t="inlineStr">
        <is>
          <t>Cotizacion referencial BRL/PYG del 10-09-2026.</t>
        </is>
      </c>
    </row>
    <row r="8">
      <c r="A8" t="inlineStr">
        <is>
          <t>M2026-006</t>
        </is>
      </c>
      <c r="B8" t="inlineStr">
        <is>
          <t>2026-09-10</t>
        </is>
      </c>
      <c r="C8" t="inlineStr">
        <is>
          <t>FX_ARS_PYG_REFERENCE</t>
        </is>
      </c>
      <c r="D8" s="24" t="n">
        <v>3.92</v>
      </c>
      <c r="E8" t="inlineStr">
        <is>
          <t>PYG/ARS</t>
        </is>
      </c>
      <c r="F8" t="inlineStr">
        <is>
          <t>BCP</t>
        </is>
      </c>
      <c r="G8" t="inlineStr">
        <is>
          <t>OFFICIAL_MEASURED</t>
        </is>
      </c>
      <c r="H8" t="inlineStr">
        <is>
          <t>https://www.bcp.gov.py/webapps/web/cotizacion/monedas</t>
        </is>
      </c>
      <c r="I8" t="inlineStr">
        <is>
          <t>Cotizacion referencial ARS/PYG del 10-09-2026.</t>
        </is>
      </c>
    </row>
    <row r="9">
      <c r="A9" t="inlineStr">
        <is>
          <t>M2026-007</t>
        </is>
      </c>
      <c r="B9" t="inlineStr">
        <is>
          <t>2026-08-07</t>
        </is>
      </c>
      <c r="C9" t="inlineStr">
        <is>
          <t>EVE_INFLATION_2026</t>
        </is>
      </c>
      <c r="D9" s="24" t="n">
        <v>3.3</v>
      </c>
      <c r="E9" t="inlineStr">
        <is>
          <t>percent</t>
        </is>
      </c>
      <c r="F9" t="inlineStr">
        <is>
          <t>BCP</t>
        </is>
      </c>
      <c r="G9" s="29" t="inlineStr">
        <is>
          <t>OFFICIAL_SURVEY_EXPECTATION</t>
        </is>
      </c>
      <c r="H9" t="inlineStr">
        <is>
          <t>https://www.bcp.gov.py/es/web/institucional/w/encuesta-de-expectativas-de-variables-econ%C3%B3micas-agosto-2026/-/categories/158845</t>
        </is>
      </c>
      <c r="I9" t="inlineStr">
        <is>
          <t>Mediana EVE agosto 2026 para cierre 2026.</t>
        </is>
      </c>
    </row>
    <row r="10">
      <c r="A10" t="inlineStr">
        <is>
          <t>M2026-008</t>
        </is>
      </c>
      <c r="B10" t="inlineStr">
        <is>
          <t>2026-08-07</t>
        </is>
      </c>
      <c r="C10" t="inlineStr">
        <is>
          <t>EVE_INFLATION_2027</t>
        </is>
      </c>
      <c r="D10" s="24" t="n">
        <v>3.5</v>
      </c>
      <c r="E10" t="inlineStr">
        <is>
          <t>percent</t>
        </is>
      </c>
      <c r="F10" t="inlineStr">
        <is>
          <t>BCP</t>
        </is>
      </c>
      <c r="G10" s="29" t="inlineStr">
        <is>
          <t>OFFICIAL_SURVEY_EXPECTATION</t>
        </is>
      </c>
      <c r="H10" t="inlineStr">
        <is>
          <t>https://www.bcp.gov.py/es/web/institucional/w/encuesta-de-expectativas-de-variables-econ%C3%B3micas-agosto-2026/-/categories/158845</t>
        </is>
      </c>
      <c r="I10" t="inlineStr">
        <is>
          <t>Mediana EVE agosto 2026 para cierre 2027.</t>
        </is>
      </c>
    </row>
    <row r="11">
      <c r="A11" t="inlineStr">
        <is>
          <t>M2026-009</t>
        </is>
      </c>
      <c r="B11" t="inlineStr">
        <is>
          <t>2026-08-07</t>
        </is>
      </c>
      <c r="C11" t="inlineStr">
        <is>
          <t>EVE_FX_SEP_2026</t>
        </is>
      </c>
      <c r="D11" s="24" t="n">
        <v>6015</v>
      </c>
      <c r="E11" t="inlineStr">
        <is>
          <t>PYG/USD</t>
        </is>
      </c>
      <c r="F11" t="inlineStr">
        <is>
          <t>BCP</t>
        </is>
      </c>
      <c r="G11" s="29" t="inlineStr">
        <is>
          <t>OFFICIAL_SURVEY_EXPECTATION</t>
        </is>
      </c>
      <c r="H11" t="inlineStr">
        <is>
          <t>https://www.bcp.gov.py/es/web/institucional/w/encuesta-de-expectativas-de-variables-econ%C3%B3micas-agosto-2026/-/categories/158845</t>
        </is>
      </c>
      <c r="I11" t="inlineStr">
        <is>
          <t>Mediana EVE para septiembre 2026.</t>
        </is>
      </c>
    </row>
    <row r="12">
      <c r="A12" t="inlineStr">
        <is>
          <t>M2026-010</t>
        </is>
      </c>
      <c r="B12" t="inlineStr">
        <is>
          <t>2026-08-07</t>
        </is>
      </c>
      <c r="C12" t="inlineStr">
        <is>
          <t>EVE_FX_EOY_2026</t>
        </is>
      </c>
      <c r="D12" s="24" t="n">
        <v>6150</v>
      </c>
      <c r="E12" t="inlineStr">
        <is>
          <t>PYG/USD</t>
        </is>
      </c>
      <c r="F12" t="inlineStr">
        <is>
          <t>BCP</t>
        </is>
      </c>
      <c r="G12" s="29" t="inlineStr">
        <is>
          <t>OFFICIAL_SURVEY_EXPECTATION</t>
        </is>
      </c>
      <c r="H12" t="inlineStr">
        <is>
          <t>https://www.bcp.gov.py/es/web/institucional/w/encuesta-de-expectativas-de-variables-econ%C3%B3micas-agosto-2026/-/categories/158845</t>
        </is>
      </c>
      <c r="I12" t="inlineStr">
        <is>
          <t>Mediana EVE para cierre 2026.</t>
        </is>
      </c>
    </row>
    <row r="13">
      <c r="A13" t="inlineStr">
        <is>
          <t>M2026-011</t>
        </is>
      </c>
      <c r="B13" t="inlineStr">
        <is>
          <t>2026-08-07</t>
        </is>
      </c>
      <c r="C13" t="inlineStr">
        <is>
          <t>EVE_FX_EOY_2027</t>
        </is>
      </c>
      <c r="D13" s="24" t="n">
        <v>6400</v>
      </c>
      <c r="E13" t="inlineStr">
        <is>
          <t>PYG/USD</t>
        </is>
      </c>
      <c r="F13" t="inlineStr">
        <is>
          <t>BCP</t>
        </is>
      </c>
      <c r="G13" s="29" t="inlineStr">
        <is>
          <t>OFFICIAL_SURVEY_EXPECTATION</t>
        </is>
      </c>
      <c r="H13" t="inlineStr">
        <is>
          <t>https://www.bcp.gov.py/es/web/institucional/w/encuesta-de-expectativas-de-variables-econ%C3%B3micas-agosto-2026/-/categories/158845</t>
        </is>
      </c>
      <c r="I13" t="inlineStr">
        <is>
          <t>Mediana EVE para cierre 2027.</t>
        </is>
      </c>
    </row>
    <row r="14">
      <c r="A14" t="inlineStr">
        <is>
          <t>M2026-012</t>
        </is>
      </c>
      <c r="B14" t="inlineStr">
        <is>
          <t>2026-08-07</t>
        </is>
      </c>
      <c r="C14" t="inlineStr">
        <is>
          <t>EVE_GDP_GROWTH_2026</t>
        </is>
      </c>
      <c r="D14" s="24" t="n">
        <v>4.3</v>
      </c>
      <c r="E14" t="inlineStr">
        <is>
          <t>percent</t>
        </is>
      </c>
      <c r="F14" t="inlineStr">
        <is>
          <t>BCP</t>
        </is>
      </c>
      <c r="G14" s="29" t="inlineStr">
        <is>
          <t>OFFICIAL_SURVEY_EXPECTATION</t>
        </is>
      </c>
      <c r="H14" t="inlineStr">
        <is>
          <t>https://www.bcp.gov.py/es/web/institucional/w/encuesta-de-expectativas-de-variables-econ%C3%B3micas-agosto-2026/-/categories/158845</t>
        </is>
      </c>
      <c r="I14" t="inlineStr">
        <is>
          <t>Mediana EVE crecimiento PIB 2026.</t>
        </is>
      </c>
    </row>
    <row r="15">
      <c r="A15" t="inlineStr">
        <is>
          <t>M2026-013</t>
        </is>
      </c>
      <c r="B15" t="inlineStr">
        <is>
          <t>2026-08-07</t>
        </is>
      </c>
      <c r="C15" t="inlineStr">
        <is>
          <t>EVE_GDP_GROWTH_2027</t>
        </is>
      </c>
      <c r="D15" s="24" t="n">
        <v>4</v>
      </c>
      <c r="E15" t="inlineStr">
        <is>
          <t>percent</t>
        </is>
      </c>
      <c r="F15" t="inlineStr">
        <is>
          <t>BCP</t>
        </is>
      </c>
      <c r="G15" s="29" t="inlineStr">
        <is>
          <t>OFFICIAL_SURVEY_EXPECTATION</t>
        </is>
      </c>
      <c r="H15" t="inlineStr">
        <is>
          <t>https://www.bcp.gov.py/es/web/institucional/w/encuesta-de-expectativas-de-variables-econ%C3%B3micas-agosto-2026/-/categories/158845</t>
        </is>
      </c>
      <c r="I15" t="inlineStr">
        <is>
          <t>Mediana EVE crecimiento PIB 2027.</t>
        </is>
      </c>
    </row>
    <row r="16">
      <c r="A16" t="inlineStr">
        <is>
          <t>M2026-014</t>
        </is>
      </c>
      <c r="B16" t="inlineStr">
        <is>
          <t>2026-08-07</t>
        </is>
      </c>
      <c r="C16" t="inlineStr">
        <is>
          <t>EVE_TPM_EOY_2026</t>
        </is>
      </c>
      <c r="D16" s="24" t="n">
        <v>5.5</v>
      </c>
      <c r="E16" t="inlineStr">
        <is>
          <t>percent</t>
        </is>
      </c>
      <c r="F16" t="inlineStr">
        <is>
          <t>BCP</t>
        </is>
      </c>
      <c r="G16" s="29" t="inlineStr">
        <is>
          <t>OFFICIAL_SURVEY_EXPECTATION</t>
        </is>
      </c>
      <c r="H16" t="inlineStr">
        <is>
          <t>https://www.bcp.gov.py/es/web/institucional/w/encuesta-de-expectativas-de-variables-econ%C3%B3micas-agosto-2026/-/categories/158845</t>
        </is>
      </c>
      <c r="I16" t="inlineStr">
        <is>
          <t>Mediana EVE TPM cierre 2026.</t>
        </is>
      </c>
    </row>
  </sheetData>
  <autoFilter ref="A2:I16"/>
  <mergeCells count="1"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23" customWidth="1" min="3" max="3"/>
    <col width="16" customWidth="1" min="4" max="4"/>
    <col width="20" customWidth="1" min="5" max="5"/>
    <col width="26" customWidth="1" min="6" max="6"/>
    <col width="24" customWidth="1" min="7" max="7"/>
    <col width="20" customWidth="1" min="8" max="8"/>
    <col width="22" customWidth="1" min="9" max="9"/>
    <col width="62" customWidth="1" min="10" max="10"/>
    <col width="52" customWidth="1" min="11" max="11"/>
    <col width="52" customWidth="1" min="12" max="12"/>
  </cols>
  <sheetData>
    <row r="1">
      <c r="A1" s="20" t="inlineStr">
        <is>
          <t>EnergiaPY.live — Tarifas ANDE comparables en términos reales y USD</t>
        </is>
      </c>
    </row>
    <row r="2">
      <c r="A2" s="5" t="inlineStr">
        <is>
          <t>Año</t>
        </is>
      </c>
      <c r="B2" s="5" t="inlineStr">
        <is>
          <t>Código tarifa</t>
        </is>
      </c>
      <c r="C2" s="5" t="inlineStr">
        <is>
          <t>Tarifa nominal (Gs/kWh)</t>
        </is>
      </c>
      <c r="D2" s="5" t="inlineStr">
        <is>
          <t>IPC del año</t>
        </is>
      </c>
      <c r="E2" s="5" t="inlineStr">
        <is>
          <t>USD/PYG promedio</t>
        </is>
      </c>
      <c r="F2" s="5" t="inlineStr">
        <is>
          <t>Tarifa real (Gs 2025/kWh)</t>
        </is>
      </c>
      <c r="G2" s="5" t="inlineStr">
        <is>
          <t>Equivalente (USD/MWh)</t>
        </is>
      </c>
      <c r="H2" s="5" t="inlineStr">
        <is>
          <t>Calidad tarifa</t>
        </is>
      </c>
      <c r="I2" s="5" t="inlineStr">
        <is>
          <t>Calidad macro</t>
        </is>
      </c>
      <c r="J2" s="5" t="inlineStr">
        <is>
          <t>Fuente tarifa</t>
        </is>
      </c>
      <c r="K2" s="5" t="inlineStr">
        <is>
          <t>Fuente IPC</t>
        </is>
      </c>
      <c r="L2" s="5" t="inlineStr">
        <is>
          <t>Fuente FX</t>
        </is>
      </c>
    </row>
    <row r="3">
      <c r="A3" t="n">
        <v>1990</v>
      </c>
      <c r="B3" t="inlineStr">
        <is>
          <t>ANDE_TARIFF_COMMERCIAL</t>
        </is>
      </c>
      <c r="C3" s="24" t="n">
        <v>72.90000000000001</v>
      </c>
      <c r="D3" s="36">
        <f>'Macro_Annual'!B3</f>
        <v/>
      </c>
      <c r="E3" s="32">
        <f>'Macro_Annual'!D3</f>
        <v/>
      </c>
      <c r="F3" s="37">
        <f>IFERROR(C3*'Macro_Annual'!$B$38/D3,"")</f>
        <v/>
      </c>
      <c r="G3" s="38">
        <f>IFERROR(C3*1000/E3,"")</f>
        <v/>
      </c>
      <c r="H3" t="inlineStr">
        <is>
          <t>OFFICIAL_AGGREGATE</t>
        </is>
      </c>
      <c r="I3" t="inlineStr">
        <is>
          <t>BACKFILL PROVISIONAL</t>
        </is>
      </c>
      <c r="J3" t="inlineStr">
        <is>
          <t>https://www.ande.gov.py/documentos_contables/157/compilacion_estadistica_1990-2010.pdf</t>
        </is>
      </c>
      <c r="K3" t="inlineStr">
        <is>
          <t>https://data.worldbank.org/indicator/FP.CPI.TOTL?locations=PY</t>
        </is>
      </c>
      <c r="L3" t="inlineStr">
        <is>
          <t>https://data.worldbank.org/indicator/PA.NUS.FCRF?locations=PY</t>
        </is>
      </c>
    </row>
    <row r="4">
      <c r="A4" t="n">
        <v>1990</v>
      </c>
      <c r="B4" t="inlineStr">
        <is>
          <t>ANDE_TARIFF_EXPORT_AVG</t>
        </is>
      </c>
      <c r="C4" s="24" t="n">
        <v>44.5</v>
      </c>
      <c r="D4" s="36">
        <f>'Macro_Annual'!B3</f>
        <v/>
      </c>
      <c r="E4" s="32">
        <f>'Macro_Annual'!D3</f>
        <v/>
      </c>
      <c r="F4" s="37">
        <f>IFERROR(C4*'Macro_Annual'!$B$38/D4,"")</f>
        <v/>
      </c>
      <c r="G4" s="38">
        <f>IFERROR(C4*1000/E4,"")</f>
        <v/>
      </c>
      <c r="H4" t="inlineStr">
        <is>
          <t>OFFICIAL_AGGREGATE</t>
        </is>
      </c>
      <c r="I4" t="inlineStr">
        <is>
          <t>BACKFILL PROVISIONAL</t>
        </is>
      </c>
      <c r="J4" t="inlineStr">
        <is>
          <t>https://www.ande.gov.py/documentos_contables/157/compilacion_estadistica_1990-2010.pdf</t>
        </is>
      </c>
      <c r="K4" t="inlineStr">
        <is>
          <t>https://data.worldbank.org/indicator/FP.CPI.TOTL?locations=PY</t>
        </is>
      </c>
      <c r="L4" t="inlineStr">
        <is>
          <t>https://data.worldbank.org/indicator/PA.NUS.FCRF?locations=PY</t>
        </is>
      </c>
    </row>
    <row r="5">
      <c r="A5" t="n">
        <v>1990</v>
      </c>
      <c r="B5" t="inlineStr">
        <is>
          <t>ANDE_TARIFF_GENERAL</t>
        </is>
      </c>
      <c r="C5" s="24" t="n">
        <v>48.9</v>
      </c>
      <c r="D5" s="36">
        <f>'Macro_Annual'!B3</f>
        <v/>
      </c>
      <c r="E5" s="32">
        <f>'Macro_Annual'!D3</f>
        <v/>
      </c>
      <c r="F5" s="37">
        <f>IFERROR(C5*'Macro_Annual'!$B$38/D5,"")</f>
        <v/>
      </c>
      <c r="G5" s="38">
        <f>IFERROR(C5*1000/E5,"")</f>
        <v/>
      </c>
      <c r="H5" t="inlineStr">
        <is>
          <t>OFFICIAL_AGGREGATE</t>
        </is>
      </c>
      <c r="I5" t="inlineStr">
        <is>
          <t>BACKFILL PROVISIONAL</t>
        </is>
      </c>
      <c r="J5" t="inlineStr">
        <is>
          <t>https://www.ande.gov.py/documentos_contables/157/compilacion_estadistica_1990-2010.pdf</t>
        </is>
      </c>
      <c r="K5" t="inlineStr">
        <is>
          <t>https://data.worldbank.org/indicator/FP.CPI.TOTL?locations=PY</t>
        </is>
      </c>
      <c r="L5" t="inlineStr">
        <is>
          <t>https://data.worldbank.org/indicator/PA.NUS.FCRF?locations=PY</t>
        </is>
      </c>
    </row>
    <row r="6">
      <c r="A6" t="n">
        <v>1990</v>
      </c>
      <c r="B6" t="inlineStr">
        <is>
          <t>ANDE_TARIFF_GENERAL_AVG</t>
        </is>
      </c>
      <c r="C6" s="24" t="n">
        <v>51.7</v>
      </c>
      <c r="D6" s="36">
        <f>'Macro_Annual'!B3</f>
        <v/>
      </c>
      <c r="E6" s="32">
        <f>'Macro_Annual'!D3</f>
        <v/>
      </c>
      <c r="F6" s="37">
        <f>IFERROR(C6*'Macro_Annual'!$B$38/D6,"")</f>
        <v/>
      </c>
      <c r="G6" s="38">
        <f>IFERROR(C6*1000/E6,"")</f>
        <v/>
      </c>
      <c r="H6" t="inlineStr">
        <is>
          <t>OFFICIAL_AGGREGATE</t>
        </is>
      </c>
      <c r="I6" t="inlineStr">
        <is>
          <t>BACKFILL PROVISIONAL</t>
        </is>
      </c>
      <c r="J6" t="inlineStr">
        <is>
          <t>https://www.ande.gov.py/documentos_contables/157/compilacion_estadistica_1990-2010.pdf</t>
        </is>
      </c>
      <c r="K6" t="inlineStr">
        <is>
          <t>https://data.worldbank.org/indicator/FP.CPI.TOTL?locations=PY</t>
        </is>
      </c>
      <c r="L6" t="inlineStr">
        <is>
          <t>https://data.worldbank.org/indicator/PA.NUS.FCRF?locations=PY</t>
        </is>
      </c>
    </row>
    <row r="7">
      <c r="A7" t="n">
        <v>1990</v>
      </c>
      <c r="B7" t="inlineStr">
        <is>
          <t>ANDE_TARIFF_GOV</t>
        </is>
      </c>
      <c r="C7" s="24" t="n">
        <v>28.1</v>
      </c>
      <c r="D7" s="36">
        <f>'Macro_Annual'!B3</f>
        <v/>
      </c>
      <c r="E7" s="32">
        <f>'Macro_Annual'!D3</f>
        <v/>
      </c>
      <c r="F7" s="37">
        <f>IFERROR(C7*'Macro_Annual'!$B$38/D7,"")</f>
        <v/>
      </c>
      <c r="G7" s="38">
        <f>IFERROR(C7*1000/E7,"")</f>
        <v/>
      </c>
      <c r="H7" t="inlineStr">
        <is>
          <t>OFFICIAL_AGGREGATE</t>
        </is>
      </c>
      <c r="I7" t="inlineStr">
        <is>
          <t>BACKFILL PROVISIONAL</t>
        </is>
      </c>
      <c r="J7" t="inlineStr">
        <is>
          <t>https://www.ande.gov.py/documentos_contables/157/compilacion_estadistica_1990-2010.pdf</t>
        </is>
      </c>
      <c r="K7" t="inlineStr">
        <is>
          <t>https://data.worldbank.org/indicator/FP.CPI.TOTL?locations=PY</t>
        </is>
      </c>
      <c r="L7" t="inlineStr">
        <is>
          <t>https://data.worldbank.org/indicator/PA.NUS.FCRF?locations=PY</t>
        </is>
      </c>
    </row>
    <row r="8">
      <c r="A8" t="n">
        <v>1990</v>
      </c>
      <c r="B8" t="inlineStr">
        <is>
          <t>ANDE_TARIFF_INDUSTRIAL</t>
        </is>
      </c>
      <c r="C8" s="24" t="n">
        <v>40.1</v>
      </c>
      <c r="D8" s="36">
        <f>'Macro_Annual'!B3</f>
        <v/>
      </c>
      <c r="E8" s="32">
        <f>'Macro_Annual'!D3</f>
        <v/>
      </c>
      <c r="F8" s="37">
        <f>IFERROR(C8*'Macro_Annual'!$B$38/D8,"")</f>
        <v/>
      </c>
      <c r="G8" s="38">
        <f>IFERROR(C8*1000/E8,"")</f>
        <v/>
      </c>
      <c r="H8" t="inlineStr">
        <is>
          <t>OFFICIAL_AGGREGATE</t>
        </is>
      </c>
      <c r="I8" t="inlineStr">
        <is>
          <t>BACKFILL PROVISIONAL</t>
        </is>
      </c>
      <c r="J8" t="inlineStr">
        <is>
          <t>https://www.ande.gov.py/documentos_contables/157/compilacion_estadistica_1990-2010.pdf</t>
        </is>
      </c>
      <c r="K8" t="inlineStr">
        <is>
          <t>https://data.worldbank.org/indicator/FP.CPI.TOTL?locations=PY</t>
        </is>
      </c>
      <c r="L8" t="inlineStr">
        <is>
          <t>https://data.worldbank.org/indicator/PA.NUS.FCRF?locations=PY</t>
        </is>
      </c>
    </row>
    <row r="9">
      <c r="A9" t="n">
        <v>1990</v>
      </c>
      <c r="B9" t="inlineStr">
        <is>
          <t>ANDE_TARIFF_NATIONAL_AVG</t>
        </is>
      </c>
      <c r="C9" s="24" t="n">
        <v>52.2</v>
      </c>
      <c r="D9" s="36">
        <f>'Macro_Annual'!B3</f>
        <v/>
      </c>
      <c r="E9" s="32">
        <f>'Macro_Annual'!D3</f>
        <v/>
      </c>
      <c r="F9" s="37">
        <f>IFERROR(C9*'Macro_Annual'!$B$38/D9,"")</f>
        <v/>
      </c>
      <c r="G9" s="38">
        <f>IFERROR(C9*1000/E9,"")</f>
        <v/>
      </c>
      <c r="H9" t="inlineStr">
        <is>
          <t>OFFICIAL_AGGREGATE</t>
        </is>
      </c>
      <c r="I9" t="inlineStr">
        <is>
          <t>BACKFILL PROVISIONAL</t>
        </is>
      </c>
      <c r="J9" t="inlineStr">
        <is>
          <t>https://www.ande.gov.py/documentos_contables/157/compilacion_estadistica_1990-2010.pdf</t>
        </is>
      </c>
      <c r="K9" t="inlineStr">
        <is>
          <t>https://data.worldbank.org/indicator/FP.CPI.TOTL?locations=PY</t>
        </is>
      </c>
      <c r="L9" t="inlineStr">
        <is>
          <t>https://data.worldbank.org/indicator/PA.NUS.FCRF?locations=PY</t>
        </is>
      </c>
    </row>
    <row r="10">
      <c r="A10" t="n">
        <v>1990</v>
      </c>
      <c r="B10" t="inlineStr">
        <is>
          <t>ANDE_TARIFF_PUBLIC_LIGHT</t>
        </is>
      </c>
      <c r="C10" s="24" t="n">
        <v>61.8</v>
      </c>
      <c r="D10" s="36">
        <f>'Macro_Annual'!B3</f>
        <v/>
      </c>
      <c r="E10" s="32">
        <f>'Macro_Annual'!D3</f>
        <v/>
      </c>
      <c r="F10" s="37">
        <f>IFERROR(C10*'Macro_Annual'!$B$38/D10,"")</f>
        <v/>
      </c>
      <c r="G10" s="38">
        <f>IFERROR(C10*1000/E10,"")</f>
        <v/>
      </c>
      <c r="H10" t="inlineStr">
        <is>
          <t>OFFICIAL_AGGREGATE</t>
        </is>
      </c>
      <c r="I10" t="inlineStr">
        <is>
          <t>BACKFILL PROVISIONAL</t>
        </is>
      </c>
      <c r="J10" t="inlineStr">
        <is>
          <t>https://www.ande.gov.py/documentos_contables/157/compilacion_estadistica_1990-2010.pdf</t>
        </is>
      </c>
      <c r="K10" t="inlineStr">
        <is>
          <t>https://data.worldbank.org/indicator/FP.CPI.TOTL?locations=PY</t>
        </is>
      </c>
      <c r="L10" t="inlineStr">
        <is>
          <t>https://data.worldbank.org/indicator/PA.NUS.FCRF?locations=PY</t>
        </is>
      </c>
    </row>
    <row r="11">
      <c r="A11" t="n">
        <v>1990</v>
      </c>
      <c r="B11" t="inlineStr">
        <is>
          <t>ANDE_TARIFF_RESIDENTIAL</t>
        </is>
      </c>
      <c r="C11" s="24" t="n">
        <v>56.1</v>
      </c>
      <c r="D11" s="36">
        <f>'Macro_Annual'!B3</f>
        <v/>
      </c>
      <c r="E11" s="32">
        <f>'Macro_Annual'!D3</f>
        <v/>
      </c>
      <c r="F11" s="37">
        <f>IFERROR(C11*'Macro_Annual'!$B$38/D11,"")</f>
        <v/>
      </c>
      <c r="G11" s="38">
        <f>IFERROR(C11*1000/E11,"")</f>
        <v/>
      </c>
      <c r="H11" t="inlineStr">
        <is>
          <t>OFFICIAL_AGGREGATE</t>
        </is>
      </c>
      <c r="I11" t="inlineStr">
        <is>
          <t>BACKFILL PROVISIONAL</t>
        </is>
      </c>
      <c r="J11" t="inlineStr">
        <is>
          <t>https://www.ande.gov.py/documentos_contables/157/compilacion_estadistica_1990-2010.pdf</t>
        </is>
      </c>
      <c r="K11" t="inlineStr">
        <is>
          <t>https://data.worldbank.org/indicator/FP.CPI.TOTL?locations=PY</t>
        </is>
      </c>
      <c r="L11" t="inlineStr">
        <is>
          <t>https://data.worldbank.org/indicator/PA.NUS.FCRF?locations=PY</t>
        </is>
      </c>
    </row>
    <row r="12">
      <c r="A12" t="n">
        <v>1991</v>
      </c>
      <c r="B12" t="inlineStr">
        <is>
          <t>ANDE_TARIFF_COMMERCIAL</t>
        </is>
      </c>
      <c r="C12" s="24" t="n">
        <v>85.40000000000001</v>
      </c>
      <c r="D12" s="36">
        <f>'Macro_Annual'!B4</f>
        <v/>
      </c>
      <c r="E12" s="32">
        <f>'Macro_Annual'!D4</f>
        <v/>
      </c>
      <c r="F12" s="37">
        <f>IFERROR(C12*'Macro_Annual'!$B$38/D12,"")</f>
        <v/>
      </c>
      <c r="G12" s="38">
        <f>IFERROR(C12*1000/E12,"")</f>
        <v/>
      </c>
      <c r="H12" t="inlineStr">
        <is>
          <t>OFFICIAL_AGGREGATE</t>
        </is>
      </c>
      <c r="I12" t="inlineStr">
        <is>
          <t>BACKFILL PROVISIONAL</t>
        </is>
      </c>
      <c r="J12" t="inlineStr">
        <is>
          <t>https://www.ande.gov.py/documentos_contables/157/compilacion_estadistica_1990-2010.pdf</t>
        </is>
      </c>
      <c r="K12" t="inlineStr">
        <is>
          <t>https://data.worldbank.org/indicator/FP.CPI.TOTL?locations=PY</t>
        </is>
      </c>
      <c r="L12" t="inlineStr">
        <is>
          <t>https://data.worldbank.org/indicator/PA.NUS.FCRF?locations=PY</t>
        </is>
      </c>
    </row>
    <row r="13">
      <c r="A13" t="n">
        <v>1991</v>
      </c>
      <c r="B13" t="inlineStr">
        <is>
          <t>ANDE_TARIFF_EXPORT_AVG</t>
        </is>
      </c>
      <c r="C13" s="24" t="n">
        <v>44.6</v>
      </c>
      <c r="D13" s="36">
        <f>'Macro_Annual'!B4</f>
        <v/>
      </c>
      <c r="E13" s="32">
        <f>'Macro_Annual'!D4</f>
        <v/>
      </c>
      <c r="F13" s="37">
        <f>IFERROR(C13*'Macro_Annual'!$B$38/D13,"")</f>
        <v/>
      </c>
      <c r="G13" s="38">
        <f>IFERROR(C13*1000/E13,"")</f>
        <v/>
      </c>
      <c r="H13" t="inlineStr">
        <is>
          <t>OFFICIAL_AGGREGATE</t>
        </is>
      </c>
      <c r="I13" t="inlineStr">
        <is>
          <t>BACKFILL PROVISIONAL</t>
        </is>
      </c>
      <c r="J13" t="inlineStr">
        <is>
          <t>https://www.ande.gov.py/documentos_contables/157/compilacion_estadistica_1990-2010.pdf</t>
        </is>
      </c>
      <c r="K13" t="inlineStr">
        <is>
          <t>https://data.worldbank.org/indicator/FP.CPI.TOTL?locations=PY</t>
        </is>
      </c>
      <c r="L13" t="inlineStr">
        <is>
          <t>https://data.worldbank.org/indicator/PA.NUS.FCRF?locations=PY</t>
        </is>
      </c>
    </row>
    <row r="14">
      <c r="A14" t="n">
        <v>1991</v>
      </c>
      <c r="B14" t="inlineStr">
        <is>
          <t>ANDE_TARIFF_GENERAL</t>
        </is>
      </c>
      <c r="C14" s="24" t="n">
        <v>56.1</v>
      </c>
      <c r="D14" s="36">
        <f>'Macro_Annual'!B4</f>
        <v/>
      </c>
      <c r="E14" s="32">
        <f>'Macro_Annual'!D4</f>
        <v/>
      </c>
      <c r="F14" s="37">
        <f>IFERROR(C14*'Macro_Annual'!$B$38/D14,"")</f>
        <v/>
      </c>
      <c r="G14" s="38">
        <f>IFERROR(C14*1000/E14,"")</f>
        <v/>
      </c>
      <c r="H14" t="inlineStr">
        <is>
          <t>OFFICIAL_AGGREGATE</t>
        </is>
      </c>
      <c r="I14" t="inlineStr">
        <is>
          <t>BACKFILL PROVISIONAL</t>
        </is>
      </c>
      <c r="J14" t="inlineStr">
        <is>
          <t>https://www.ande.gov.py/documentos_contables/157/compilacion_estadistica_1990-2010.pdf</t>
        </is>
      </c>
      <c r="K14" t="inlineStr">
        <is>
          <t>https://data.worldbank.org/indicator/FP.CPI.TOTL?locations=PY</t>
        </is>
      </c>
      <c r="L14" t="inlineStr">
        <is>
          <t>https://data.worldbank.org/indicator/PA.NUS.FCRF?locations=PY</t>
        </is>
      </c>
    </row>
    <row r="15">
      <c r="A15" t="n">
        <v>1991</v>
      </c>
      <c r="B15" t="inlineStr">
        <is>
          <t>ANDE_TARIFF_GENERAL_AVG</t>
        </is>
      </c>
      <c r="C15" s="24" t="n">
        <v>61.5</v>
      </c>
      <c r="D15" s="36">
        <f>'Macro_Annual'!B4</f>
        <v/>
      </c>
      <c r="E15" s="32">
        <f>'Macro_Annual'!D4</f>
        <v/>
      </c>
      <c r="F15" s="37">
        <f>IFERROR(C15*'Macro_Annual'!$B$38/D15,"")</f>
        <v/>
      </c>
      <c r="G15" s="38">
        <f>IFERROR(C15*1000/E15,"")</f>
        <v/>
      </c>
      <c r="H15" t="inlineStr">
        <is>
          <t>OFFICIAL_AGGREGATE</t>
        </is>
      </c>
      <c r="I15" t="inlineStr">
        <is>
          <t>BACKFILL PROVISIONAL</t>
        </is>
      </c>
      <c r="J15" t="inlineStr">
        <is>
          <t>https://www.ande.gov.py/documentos_contables/157/compilacion_estadistica_1990-2010.pdf</t>
        </is>
      </c>
      <c r="K15" t="inlineStr">
        <is>
          <t>https://data.worldbank.org/indicator/FP.CPI.TOTL?locations=PY</t>
        </is>
      </c>
      <c r="L15" t="inlineStr">
        <is>
          <t>https://data.worldbank.org/indicator/PA.NUS.FCRF?locations=PY</t>
        </is>
      </c>
    </row>
    <row r="16">
      <c r="A16" t="n">
        <v>1991</v>
      </c>
      <c r="B16" t="inlineStr">
        <is>
          <t>ANDE_TARIFF_GOV</t>
        </is>
      </c>
      <c r="C16" s="24" t="n">
        <v>28.9</v>
      </c>
      <c r="D16" s="36">
        <f>'Macro_Annual'!B4</f>
        <v/>
      </c>
      <c r="E16" s="32">
        <f>'Macro_Annual'!D4</f>
        <v/>
      </c>
      <c r="F16" s="37">
        <f>IFERROR(C16*'Macro_Annual'!$B$38/D16,"")</f>
        <v/>
      </c>
      <c r="G16" s="38">
        <f>IFERROR(C16*1000/E16,"")</f>
        <v/>
      </c>
      <c r="H16" t="inlineStr">
        <is>
          <t>OFFICIAL_AGGREGATE</t>
        </is>
      </c>
      <c r="I16" t="inlineStr">
        <is>
          <t>BACKFILL PROVISIONAL</t>
        </is>
      </c>
      <c r="J16" t="inlineStr">
        <is>
          <t>https://www.ande.gov.py/documentos_contables/157/compilacion_estadistica_1990-2010.pdf</t>
        </is>
      </c>
      <c r="K16" t="inlineStr">
        <is>
          <t>https://data.worldbank.org/indicator/FP.CPI.TOTL?locations=PY</t>
        </is>
      </c>
      <c r="L16" t="inlineStr">
        <is>
          <t>https://data.worldbank.org/indicator/PA.NUS.FCRF?locations=PY</t>
        </is>
      </c>
    </row>
    <row r="17">
      <c r="A17" t="n">
        <v>1991</v>
      </c>
      <c r="B17" t="inlineStr">
        <is>
          <t>ANDE_TARIFF_INDUSTRIAL</t>
        </is>
      </c>
      <c r="C17" s="24" t="n">
        <v>49.2</v>
      </c>
      <c r="D17" s="36">
        <f>'Macro_Annual'!B4</f>
        <v/>
      </c>
      <c r="E17" s="32">
        <f>'Macro_Annual'!D4</f>
        <v/>
      </c>
      <c r="F17" s="37">
        <f>IFERROR(C17*'Macro_Annual'!$B$38/D17,"")</f>
        <v/>
      </c>
      <c r="G17" s="38">
        <f>IFERROR(C17*1000/E17,"")</f>
        <v/>
      </c>
      <c r="H17" t="inlineStr">
        <is>
          <t>OFFICIAL_AGGREGATE</t>
        </is>
      </c>
      <c r="I17" t="inlineStr">
        <is>
          <t>BACKFILL PROVISIONAL</t>
        </is>
      </c>
      <c r="J17" t="inlineStr">
        <is>
          <t>https://www.ande.gov.py/documentos_contables/157/compilacion_estadistica_1990-2010.pdf</t>
        </is>
      </c>
      <c r="K17" t="inlineStr">
        <is>
          <t>https://data.worldbank.org/indicator/FP.CPI.TOTL?locations=PY</t>
        </is>
      </c>
      <c r="L17" t="inlineStr">
        <is>
          <t>https://data.worldbank.org/indicator/PA.NUS.FCRF?locations=PY</t>
        </is>
      </c>
    </row>
    <row r="18">
      <c r="A18" t="n">
        <v>1991</v>
      </c>
      <c r="B18" t="inlineStr">
        <is>
          <t>ANDE_TARIFF_NATIONAL_AVG</t>
        </is>
      </c>
      <c r="C18" s="24" t="n">
        <v>62.2</v>
      </c>
      <c r="D18" s="36">
        <f>'Macro_Annual'!B4</f>
        <v/>
      </c>
      <c r="E18" s="32">
        <f>'Macro_Annual'!D4</f>
        <v/>
      </c>
      <c r="F18" s="37">
        <f>IFERROR(C18*'Macro_Annual'!$B$38/D18,"")</f>
        <v/>
      </c>
      <c r="G18" s="38">
        <f>IFERROR(C18*1000/E18,"")</f>
        <v/>
      </c>
      <c r="H18" t="inlineStr">
        <is>
          <t>OFFICIAL_AGGREGATE</t>
        </is>
      </c>
      <c r="I18" t="inlineStr">
        <is>
          <t>BACKFILL PROVISIONAL</t>
        </is>
      </c>
      <c r="J18" t="inlineStr">
        <is>
          <t>https://www.ande.gov.py/documentos_contables/157/compilacion_estadistica_1990-2010.pdf</t>
        </is>
      </c>
      <c r="K18" t="inlineStr">
        <is>
          <t>https://data.worldbank.org/indicator/FP.CPI.TOTL?locations=PY</t>
        </is>
      </c>
      <c r="L18" t="inlineStr">
        <is>
          <t>https://data.worldbank.org/indicator/PA.NUS.FCRF?locations=PY</t>
        </is>
      </c>
    </row>
    <row r="19">
      <c r="A19" t="n">
        <v>1991</v>
      </c>
      <c r="B19" t="inlineStr">
        <is>
          <t>ANDE_TARIFF_PUBLIC_LIGHT</t>
        </is>
      </c>
      <c r="C19" s="24" t="n">
        <v>75.3</v>
      </c>
      <c r="D19" s="36">
        <f>'Macro_Annual'!B4</f>
        <v/>
      </c>
      <c r="E19" s="32">
        <f>'Macro_Annual'!D4</f>
        <v/>
      </c>
      <c r="F19" s="37">
        <f>IFERROR(C19*'Macro_Annual'!$B$38/D19,"")</f>
        <v/>
      </c>
      <c r="G19" s="38">
        <f>IFERROR(C19*1000/E19,"")</f>
        <v/>
      </c>
      <c r="H19" t="inlineStr">
        <is>
          <t>OFFICIAL_AGGREGATE</t>
        </is>
      </c>
      <c r="I19" t="inlineStr">
        <is>
          <t>BACKFILL PROVISIONAL</t>
        </is>
      </c>
      <c r="J19" t="inlineStr">
        <is>
          <t>https://www.ande.gov.py/documentos_contables/157/compilacion_estadistica_1990-2010.pdf</t>
        </is>
      </c>
      <c r="K19" t="inlineStr">
        <is>
          <t>https://data.worldbank.org/indicator/FP.CPI.TOTL?locations=PY</t>
        </is>
      </c>
      <c r="L19" t="inlineStr">
        <is>
          <t>https://data.worldbank.org/indicator/PA.NUS.FCRF?locations=PY</t>
        </is>
      </c>
    </row>
    <row r="20">
      <c r="A20" t="n">
        <v>1991</v>
      </c>
      <c r="B20" t="inlineStr">
        <is>
          <t>ANDE_TARIFF_RESIDENTIAL</t>
        </is>
      </c>
      <c r="C20" s="24" t="n">
        <v>66.2</v>
      </c>
      <c r="D20" s="36">
        <f>'Macro_Annual'!B4</f>
        <v/>
      </c>
      <c r="E20" s="32">
        <f>'Macro_Annual'!D4</f>
        <v/>
      </c>
      <c r="F20" s="37">
        <f>IFERROR(C20*'Macro_Annual'!$B$38/D20,"")</f>
        <v/>
      </c>
      <c r="G20" s="38">
        <f>IFERROR(C20*1000/E20,"")</f>
        <v/>
      </c>
      <c r="H20" t="inlineStr">
        <is>
          <t>OFFICIAL_AGGREGATE</t>
        </is>
      </c>
      <c r="I20" t="inlineStr">
        <is>
          <t>BACKFILL PROVISIONAL</t>
        </is>
      </c>
      <c r="J20" t="inlineStr">
        <is>
          <t>https://www.ande.gov.py/documentos_contables/157/compilacion_estadistica_1990-2010.pdf</t>
        </is>
      </c>
      <c r="K20" t="inlineStr">
        <is>
          <t>https://data.worldbank.org/indicator/FP.CPI.TOTL?locations=PY</t>
        </is>
      </c>
      <c r="L20" t="inlineStr">
        <is>
          <t>https://data.worldbank.org/indicator/PA.NUS.FCRF?locations=PY</t>
        </is>
      </c>
    </row>
    <row r="21">
      <c r="A21" t="n">
        <v>1992</v>
      </c>
      <c r="B21" t="inlineStr">
        <is>
          <t>ANDE_TARIFF_COMMERCIAL</t>
        </is>
      </c>
      <c r="C21" s="24" t="n">
        <v>85.09999999999999</v>
      </c>
      <c r="D21" s="36">
        <f>'Macro_Annual'!B5</f>
        <v/>
      </c>
      <c r="E21" s="32">
        <f>'Macro_Annual'!D5</f>
        <v/>
      </c>
      <c r="F21" s="37">
        <f>IFERROR(C21*'Macro_Annual'!$B$38/D21,"")</f>
        <v/>
      </c>
      <c r="G21" s="38">
        <f>IFERROR(C21*1000/E21,"")</f>
        <v/>
      </c>
      <c r="H21" t="inlineStr">
        <is>
          <t>OFFICIAL_AGGREGATE</t>
        </is>
      </c>
      <c r="I21" t="inlineStr">
        <is>
          <t>BACKFILL PROVISIONAL</t>
        </is>
      </c>
      <c r="J21" t="inlineStr">
        <is>
          <t>https://www.ande.gov.py/documentos_contables/157/compilacion_estadistica_1990-2010.pdf</t>
        </is>
      </c>
      <c r="K21" t="inlineStr">
        <is>
          <t>https://data.worldbank.org/indicator/FP.CPI.TOTL?locations=PY</t>
        </is>
      </c>
      <c r="L21" t="inlineStr">
        <is>
          <t>https://data.worldbank.org/indicator/PA.NUS.FCRF?locations=PY</t>
        </is>
      </c>
    </row>
    <row r="22">
      <c r="A22" t="n">
        <v>1992</v>
      </c>
      <c r="B22" t="inlineStr">
        <is>
          <t>ANDE_TARIFF_EXPORT_AVG</t>
        </is>
      </c>
      <c r="C22" s="24" t="n">
        <v>50.2</v>
      </c>
      <c r="D22" s="36">
        <f>'Macro_Annual'!B5</f>
        <v/>
      </c>
      <c r="E22" s="32">
        <f>'Macro_Annual'!D5</f>
        <v/>
      </c>
      <c r="F22" s="37">
        <f>IFERROR(C22*'Macro_Annual'!$B$38/D22,"")</f>
        <v/>
      </c>
      <c r="G22" s="38">
        <f>IFERROR(C22*1000/E22,"")</f>
        <v/>
      </c>
      <c r="H22" t="inlineStr">
        <is>
          <t>OFFICIAL_AGGREGATE</t>
        </is>
      </c>
      <c r="I22" t="inlineStr">
        <is>
          <t>BACKFILL PROVISIONAL</t>
        </is>
      </c>
      <c r="J22" t="inlineStr">
        <is>
          <t>https://www.ande.gov.py/documentos_contables/157/compilacion_estadistica_1990-2010.pdf</t>
        </is>
      </c>
      <c r="K22" t="inlineStr">
        <is>
          <t>https://data.worldbank.org/indicator/FP.CPI.TOTL?locations=PY</t>
        </is>
      </c>
      <c r="L22" t="inlineStr">
        <is>
          <t>https://data.worldbank.org/indicator/PA.NUS.FCRF?locations=PY</t>
        </is>
      </c>
    </row>
    <row r="23">
      <c r="A23" t="n">
        <v>1992</v>
      </c>
      <c r="B23" t="inlineStr">
        <is>
          <t>ANDE_TARIFF_GENERAL</t>
        </is>
      </c>
      <c r="C23" s="24" t="n">
        <v>57.3</v>
      </c>
      <c r="D23" s="36">
        <f>'Macro_Annual'!B5</f>
        <v/>
      </c>
      <c r="E23" s="32">
        <f>'Macro_Annual'!D5</f>
        <v/>
      </c>
      <c r="F23" s="37">
        <f>IFERROR(C23*'Macro_Annual'!$B$38/D23,"")</f>
        <v/>
      </c>
      <c r="G23" s="38">
        <f>IFERROR(C23*1000/E23,"")</f>
        <v/>
      </c>
      <c r="H23" t="inlineStr">
        <is>
          <t>OFFICIAL_AGGREGATE</t>
        </is>
      </c>
      <c r="I23" t="inlineStr">
        <is>
          <t>BACKFILL PROVISIONAL</t>
        </is>
      </c>
      <c r="J23" t="inlineStr">
        <is>
          <t>https://www.ande.gov.py/documentos_contables/157/compilacion_estadistica_1990-2010.pdf</t>
        </is>
      </c>
      <c r="K23" t="inlineStr">
        <is>
          <t>https://data.worldbank.org/indicator/FP.CPI.TOTL?locations=PY</t>
        </is>
      </c>
      <c r="L23" t="inlineStr">
        <is>
          <t>https://data.worldbank.org/indicator/PA.NUS.FCRF?locations=PY</t>
        </is>
      </c>
    </row>
    <row r="24">
      <c r="A24" t="n">
        <v>1992</v>
      </c>
      <c r="B24" t="inlineStr">
        <is>
          <t>ANDE_TARIFF_GENERAL_AVG</t>
        </is>
      </c>
      <c r="C24" s="24" t="n">
        <v>61.4</v>
      </c>
      <c r="D24" s="36">
        <f>'Macro_Annual'!B5</f>
        <v/>
      </c>
      <c r="E24" s="32">
        <f>'Macro_Annual'!D5</f>
        <v/>
      </c>
      <c r="F24" s="37">
        <f>IFERROR(C24*'Macro_Annual'!$B$38/D24,"")</f>
        <v/>
      </c>
      <c r="G24" s="38">
        <f>IFERROR(C24*1000/E24,"")</f>
        <v/>
      </c>
      <c r="H24" t="inlineStr">
        <is>
          <t>OFFICIAL_AGGREGATE</t>
        </is>
      </c>
      <c r="I24" t="inlineStr">
        <is>
          <t>BACKFILL PROVISIONAL</t>
        </is>
      </c>
      <c r="J24" t="inlineStr">
        <is>
          <t>https://www.ande.gov.py/documentos_contables/157/compilacion_estadistica_1990-2010.pdf</t>
        </is>
      </c>
      <c r="K24" t="inlineStr">
        <is>
          <t>https://data.worldbank.org/indicator/FP.CPI.TOTL?locations=PY</t>
        </is>
      </c>
      <c r="L24" t="inlineStr">
        <is>
          <t>https://data.worldbank.org/indicator/PA.NUS.FCRF?locations=PY</t>
        </is>
      </c>
    </row>
    <row r="25">
      <c r="A25" t="n">
        <v>1992</v>
      </c>
      <c r="B25" t="inlineStr">
        <is>
          <t>ANDE_TARIFF_GOV</t>
        </is>
      </c>
      <c r="C25" s="24" t="n">
        <v>25.9</v>
      </c>
      <c r="D25" s="36">
        <f>'Macro_Annual'!B5</f>
        <v/>
      </c>
      <c r="E25" s="32">
        <f>'Macro_Annual'!D5</f>
        <v/>
      </c>
      <c r="F25" s="37">
        <f>IFERROR(C25*'Macro_Annual'!$B$38/D25,"")</f>
        <v/>
      </c>
      <c r="G25" s="38">
        <f>IFERROR(C25*1000/E25,"")</f>
        <v/>
      </c>
      <c r="H25" t="inlineStr">
        <is>
          <t>OFFICIAL_AGGREGATE</t>
        </is>
      </c>
      <c r="I25" t="inlineStr">
        <is>
          <t>BACKFILL PROVISIONAL</t>
        </is>
      </c>
      <c r="J25" t="inlineStr">
        <is>
          <t>https://www.ande.gov.py/documentos_contables/157/compilacion_estadistica_1990-2010.pdf</t>
        </is>
      </c>
      <c r="K25" t="inlineStr">
        <is>
          <t>https://data.worldbank.org/indicator/FP.CPI.TOTL?locations=PY</t>
        </is>
      </c>
      <c r="L25" t="inlineStr">
        <is>
          <t>https://data.worldbank.org/indicator/PA.NUS.FCRF?locations=PY</t>
        </is>
      </c>
    </row>
    <row r="26">
      <c r="A26" t="n">
        <v>1992</v>
      </c>
      <c r="B26" t="inlineStr">
        <is>
          <t>ANDE_TARIFF_INDUSTRIAL</t>
        </is>
      </c>
      <c r="C26" s="24" t="n">
        <v>46.9</v>
      </c>
      <c r="D26" s="36">
        <f>'Macro_Annual'!B5</f>
        <v/>
      </c>
      <c r="E26" s="32">
        <f>'Macro_Annual'!D5</f>
        <v/>
      </c>
      <c r="F26" s="37">
        <f>IFERROR(C26*'Macro_Annual'!$B$38/D26,"")</f>
        <v/>
      </c>
      <c r="G26" s="38">
        <f>IFERROR(C26*1000/E26,"")</f>
        <v/>
      </c>
      <c r="H26" t="inlineStr">
        <is>
          <t>OFFICIAL_AGGREGATE</t>
        </is>
      </c>
      <c r="I26" t="inlineStr">
        <is>
          <t>BACKFILL PROVISIONAL</t>
        </is>
      </c>
      <c r="J26" t="inlineStr">
        <is>
          <t>https://www.ande.gov.py/documentos_contables/157/compilacion_estadistica_1990-2010.pdf</t>
        </is>
      </c>
      <c r="K26" t="inlineStr">
        <is>
          <t>https://data.worldbank.org/indicator/FP.CPI.TOTL?locations=PY</t>
        </is>
      </c>
      <c r="L26" t="inlineStr">
        <is>
          <t>https://data.worldbank.org/indicator/PA.NUS.FCRF?locations=PY</t>
        </is>
      </c>
    </row>
    <row r="27">
      <c r="A27" t="n">
        <v>1992</v>
      </c>
      <c r="B27" t="inlineStr">
        <is>
          <t>ANDE_TARIFF_NATIONAL_AVG</t>
        </is>
      </c>
      <c r="C27" s="24" t="n">
        <v>61.7</v>
      </c>
      <c r="D27" s="36">
        <f>'Macro_Annual'!B5</f>
        <v/>
      </c>
      <c r="E27" s="32">
        <f>'Macro_Annual'!D5</f>
        <v/>
      </c>
      <c r="F27" s="37">
        <f>IFERROR(C27*'Macro_Annual'!$B$38/D27,"")</f>
        <v/>
      </c>
      <c r="G27" s="38">
        <f>IFERROR(C27*1000/E27,"")</f>
        <v/>
      </c>
      <c r="H27" t="inlineStr">
        <is>
          <t>OFFICIAL_AGGREGATE</t>
        </is>
      </c>
      <c r="I27" t="inlineStr">
        <is>
          <t>BACKFILL PROVISIONAL</t>
        </is>
      </c>
      <c r="J27" t="inlineStr">
        <is>
          <t>https://www.ande.gov.py/documentos_contables/157/compilacion_estadistica_1990-2010.pdf</t>
        </is>
      </c>
      <c r="K27" t="inlineStr">
        <is>
          <t>https://data.worldbank.org/indicator/FP.CPI.TOTL?locations=PY</t>
        </is>
      </c>
      <c r="L27" t="inlineStr">
        <is>
          <t>https://data.worldbank.org/indicator/PA.NUS.FCRF?locations=PY</t>
        </is>
      </c>
    </row>
    <row r="28">
      <c r="A28" t="n">
        <v>1992</v>
      </c>
      <c r="B28" t="inlineStr">
        <is>
          <t>ANDE_TARIFF_PUBLIC_LIGHT</t>
        </is>
      </c>
      <c r="C28" s="24" t="n">
        <v>76.3</v>
      </c>
      <c r="D28" s="36">
        <f>'Macro_Annual'!B5</f>
        <v/>
      </c>
      <c r="E28" s="32">
        <f>'Macro_Annual'!D5</f>
        <v/>
      </c>
      <c r="F28" s="37">
        <f>IFERROR(C28*'Macro_Annual'!$B$38/D28,"")</f>
        <v/>
      </c>
      <c r="G28" s="38">
        <f>IFERROR(C28*1000/E28,"")</f>
        <v/>
      </c>
      <c r="H28" t="inlineStr">
        <is>
          <t>OFFICIAL_AGGREGATE</t>
        </is>
      </c>
      <c r="I28" t="inlineStr">
        <is>
          <t>BACKFILL PROVISIONAL</t>
        </is>
      </c>
      <c r="J28" t="inlineStr">
        <is>
          <t>https://www.ande.gov.py/documentos_contables/157/compilacion_estadistica_1990-2010.pdf</t>
        </is>
      </c>
      <c r="K28" t="inlineStr">
        <is>
          <t>https://data.worldbank.org/indicator/FP.CPI.TOTL?locations=PY</t>
        </is>
      </c>
      <c r="L28" t="inlineStr">
        <is>
          <t>https://data.worldbank.org/indicator/PA.NUS.FCRF?locations=PY</t>
        </is>
      </c>
    </row>
    <row r="29">
      <c r="A29" t="n">
        <v>1992</v>
      </c>
      <c r="B29" t="inlineStr">
        <is>
          <t>ANDE_TARIFF_RESIDENTIAL</t>
        </is>
      </c>
      <c r="C29" s="24" t="n">
        <v>66.3</v>
      </c>
      <c r="D29" s="36">
        <f>'Macro_Annual'!B5</f>
        <v/>
      </c>
      <c r="E29" s="32">
        <f>'Macro_Annual'!D5</f>
        <v/>
      </c>
      <c r="F29" s="37">
        <f>IFERROR(C29*'Macro_Annual'!$B$38/D29,"")</f>
        <v/>
      </c>
      <c r="G29" s="38">
        <f>IFERROR(C29*1000/E29,"")</f>
        <v/>
      </c>
      <c r="H29" t="inlineStr">
        <is>
          <t>OFFICIAL_AGGREGATE</t>
        </is>
      </c>
      <c r="I29" t="inlineStr">
        <is>
          <t>BACKFILL PROVISIONAL</t>
        </is>
      </c>
      <c r="J29" t="inlineStr">
        <is>
          <t>https://www.ande.gov.py/documentos_contables/157/compilacion_estadistica_1990-2010.pdf</t>
        </is>
      </c>
      <c r="K29" t="inlineStr">
        <is>
          <t>https://data.worldbank.org/indicator/FP.CPI.TOTL?locations=PY</t>
        </is>
      </c>
      <c r="L29" t="inlineStr">
        <is>
          <t>https://data.worldbank.org/indicator/PA.NUS.FCRF?locations=PY</t>
        </is>
      </c>
    </row>
    <row r="30">
      <c r="A30" t="n">
        <v>1993</v>
      </c>
      <c r="B30" t="inlineStr">
        <is>
          <t>ANDE_TARIFF_COMMERCIAL</t>
        </is>
      </c>
      <c r="C30" s="24" t="n">
        <v>85.40000000000001</v>
      </c>
      <c r="D30" s="36">
        <f>'Macro_Annual'!B6</f>
        <v/>
      </c>
      <c r="E30" s="32">
        <f>'Macro_Annual'!D6</f>
        <v/>
      </c>
      <c r="F30" s="37">
        <f>IFERROR(C30*'Macro_Annual'!$B$38/D30,"")</f>
        <v/>
      </c>
      <c r="G30" s="38">
        <f>IFERROR(C30*1000/E30,"")</f>
        <v/>
      </c>
      <c r="H30" t="inlineStr">
        <is>
          <t>OFFICIAL_AGGREGATE</t>
        </is>
      </c>
      <c r="I30" t="inlineStr">
        <is>
          <t>BACKFILL PROVISIONAL</t>
        </is>
      </c>
      <c r="J30" t="inlineStr">
        <is>
          <t>https://www.ande.gov.py/documentos_contables/157/compilacion_estadistica_1990-2010.pdf</t>
        </is>
      </c>
      <c r="K30" t="inlineStr">
        <is>
          <t>https://data.worldbank.org/indicator/FP.CPI.TOTL?locations=PY</t>
        </is>
      </c>
      <c r="L30" t="inlineStr">
        <is>
          <t>https://data.worldbank.org/indicator/PA.NUS.FCRF?locations=PY</t>
        </is>
      </c>
    </row>
    <row r="31">
      <c r="A31" t="n">
        <v>1993</v>
      </c>
      <c r="B31" t="inlineStr">
        <is>
          <t>ANDE_TARIFF_EXPORT_AVG</t>
        </is>
      </c>
      <c r="C31" s="24" t="n">
        <v>65.90000000000001</v>
      </c>
      <c r="D31" s="36">
        <f>'Macro_Annual'!B6</f>
        <v/>
      </c>
      <c r="E31" s="32">
        <f>'Macro_Annual'!D6</f>
        <v/>
      </c>
      <c r="F31" s="37">
        <f>IFERROR(C31*'Macro_Annual'!$B$38/D31,"")</f>
        <v/>
      </c>
      <c r="G31" s="38">
        <f>IFERROR(C31*1000/E31,"")</f>
        <v/>
      </c>
      <c r="H31" t="inlineStr">
        <is>
          <t>OFFICIAL_AGGREGATE</t>
        </is>
      </c>
      <c r="I31" t="inlineStr">
        <is>
          <t>BACKFILL PROVISIONAL</t>
        </is>
      </c>
      <c r="J31" t="inlineStr">
        <is>
          <t>https://www.ande.gov.py/documentos_contables/157/compilacion_estadistica_1990-2010.pdf</t>
        </is>
      </c>
      <c r="K31" t="inlineStr">
        <is>
          <t>https://data.worldbank.org/indicator/FP.CPI.TOTL?locations=PY</t>
        </is>
      </c>
      <c r="L31" t="inlineStr">
        <is>
          <t>https://data.worldbank.org/indicator/PA.NUS.FCRF?locations=PY</t>
        </is>
      </c>
    </row>
    <row r="32">
      <c r="A32" t="n">
        <v>1993</v>
      </c>
      <c r="B32" t="inlineStr">
        <is>
          <t>ANDE_TARIFF_GENERAL</t>
        </is>
      </c>
      <c r="C32" s="24" t="n">
        <v>62.4</v>
      </c>
      <c r="D32" s="36">
        <f>'Macro_Annual'!B6</f>
        <v/>
      </c>
      <c r="E32" s="32">
        <f>'Macro_Annual'!D6</f>
        <v/>
      </c>
      <c r="F32" s="37">
        <f>IFERROR(C32*'Macro_Annual'!$B$38/D32,"")</f>
        <v/>
      </c>
      <c r="G32" s="38">
        <f>IFERROR(C32*1000/E32,"")</f>
        <v/>
      </c>
      <c r="H32" t="inlineStr">
        <is>
          <t>OFFICIAL_AGGREGATE</t>
        </is>
      </c>
      <c r="I32" t="inlineStr">
        <is>
          <t>BACKFILL PROVISIONAL</t>
        </is>
      </c>
      <c r="J32" t="inlineStr">
        <is>
          <t>https://www.ande.gov.py/documentos_contables/157/compilacion_estadistica_1990-2010.pdf</t>
        </is>
      </c>
      <c r="K32" t="inlineStr">
        <is>
          <t>https://data.worldbank.org/indicator/FP.CPI.TOTL?locations=PY</t>
        </is>
      </c>
      <c r="L32" t="inlineStr">
        <is>
          <t>https://data.worldbank.org/indicator/PA.NUS.FCRF?locations=PY</t>
        </is>
      </c>
    </row>
    <row r="33">
      <c r="A33" t="n">
        <v>1993</v>
      </c>
      <c r="B33" t="inlineStr">
        <is>
          <t>ANDE_TARIFF_GENERAL_AVG</t>
        </is>
      </c>
      <c r="C33" s="24" t="n">
        <v>66.40000000000001</v>
      </c>
      <c r="D33" s="36">
        <f>'Macro_Annual'!B6</f>
        <v/>
      </c>
      <c r="E33" s="32">
        <f>'Macro_Annual'!D6</f>
        <v/>
      </c>
      <c r="F33" s="37">
        <f>IFERROR(C33*'Macro_Annual'!$B$38/D33,"")</f>
        <v/>
      </c>
      <c r="G33" s="38">
        <f>IFERROR(C33*1000/E33,"")</f>
        <v/>
      </c>
      <c r="H33" t="inlineStr">
        <is>
          <t>OFFICIAL_AGGREGATE</t>
        </is>
      </c>
      <c r="I33" t="inlineStr">
        <is>
          <t>BACKFILL PROVISIONAL</t>
        </is>
      </c>
      <c r="J33" t="inlineStr">
        <is>
          <t>https://www.ande.gov.py/documentos_contables/157/compilacion_estadistica_1990-2010.pdf</t>
        </is>
      </c>
      <c r="K33" t="inlineStr">
        <is>
          <t>https://data.worldbank.org/indicator/FP.CPI.TOTL?locations=PY</t>
        </is>
      </c>
      <c r="L33" t="inlineStr">
        <is>
          <t>https://data.worldbank.org/indicator/PA.NUS.FCRF?locations=PY</t>
        </is>
      </c>
    </row>
    <row r="34">
      <c r="A34" t="n">
        <v>1993</v>
      </c>
      <c r="B34" t="inlineStr">
        <is>
          <t>ANDE_TARIFF_GOV</t>
        </is>
      </c>
      <c r="C34" s="24" t="n">
        <v>32.1</v>
      </c>
      <c r="D34" s="36">
        <f>'Macro_Annual'!B6</f>
        <v/>
      </c>
      <c r="E34" s="32">
        <f>'Macro_Annual'!D6</f>
        <v/>
      </c>
      <c r="F34" s="37">
        <f>IFERROR(C34*'Macro_Annual'!$B$38/D34,"")</f>
        <v/>
      </c>
      <c r="G34" s="38">
        <f>IFERROR(C34*1000/E34,"")</f>
        <v/>
      </c>
      <c r="H34" t="inlineStr">
        <is>
          <t>OFFICIAL_AGGREGATE</t>
        </is>
      </c>
      <c r="I34" t="inlineStr">
        <is>
          <t>BACKFILL PROVISIONAL</t>
        </is>
      </c>
      <c r="J34" t="inlineStr">
        <is>
          <t>https://www.ande.gov.py/documentos_contables/157/compilacion_estadistica_1990-2010.pdf</t>
        </is>
      </c>
      <c r="K34" t="inlineStr">
        <is>
          <t>https://data.worldbank.org/indicator/FP.CPI.TOTL?locations=PY</t>
        </is>
      </c>
      <c r="L34" t="inlineStr">
        <is>
          <t>https://data.worldbank.org/indicator/PA.NUS.FCRF?locations=PY</t>
        </is>
      </c>
    </row>
    <row r="35">
      <c r="A35" t="n">
        <v>1993</v>
      </c>
      <c r="B35" t="inlineStr">
        <is>
          <t>ANDE_TARIFF_INDUSTRIAL</t>
        </is>
      </c>
      <c r="C35" s="24" t="n">
        <v>52.2</v>
      </c>
      <c r="D35" s="36">
        <f>'Macro_Annual'!B6</f>
        <v/>
      </c>
      <c r="E35" s="32">
        <f>'Macro_Annual'!D6</f>
        <v/>
      </c>
      <c r="F35" s="37">
        <f>IFERROR(C35*'Macro_Annual'!$B$38/D35,"")</f>
        <v/>
      </c>
      <c r="G35" s="38">
        <f>IFERROR(C35*1000/E35,"")</f>
        <v/>
      </c>
      <c r="H35" t="inlineStr">
        <is>
          <t>OFFICIAL_AGGREGATE</t>
        </is>
      </c>
      <c r="I35" t="inlineStr">
        <is>
          <t>BACKFILL PROVISIONAL</t>
        </is>
      </c>
      <c r="J35" t="inlineStr">
        <is>
          <t>https://www.ande.gov.py/documentos_contables/157/compilacion_estadistica_1990-2010.pdf</t>
        </is>
      </c>
      <c r="K35" t="inlineStr">
        <is>
          <t>https://data.worldbank.org/indicator/FP.CPI.TOTL?locations=PY</t>
        </is>
      </c>
      <c r="L35" t="inlineStr">
        <is>
          <t>https://data.worldbank.org/indicator/PA.NUS.FCRF?locations=PY</t>
        </is>
      </c>
    </row>
    <row r="36">
      <c r="A36" t="n">
        <v>1993</v>
      </c>
      <c r="B36" t="inlineStr">
        <is>
          <t>ANDE_TARIFF_NATIONAL_AVG</t>
        </is>
      </c>
      <c r="C36" s="24" t="n">
        <v>66.40000000000001</v>
      </c>
      <c r="D36" s="36">
        <f>'Macro_Annual'!B6</f>
        <v/>
      </c>
      <c r="E36" s="32">
        <f>'Macro_Annual'!D6</f>
        <v/>
      </c>
      <c r="F36" s="37">
        <f>IFERROR(C36*'Macro_Annual'!$B$38/D36,"")</f>
        <v/>
      </c>
      <c r="G36" s="38">
        <f>IFERROR(C36*1000/E36,"")</f>
        <v/>
      </c>
      <c r="H36" t="inlineStr">
        <is>
          <t>OFFICIAL_AGGREGATE</t>
        </is>
      </c>
      <c r="I36" t="inlineStr">
        <is>
          <t>BACKFILL PROVISIONAL</t>
        </is>
      </c>
      <c r="J36" t="inlineStr">
        <is>
          <t>https://www.ande.gov.py/documentos_contables/157/compilacion_estadistica_1990-2010.pdf</t>
        </is>
      </c>
      <c r="K36" t="inlineStr">
        <is>
          <t>https://data.worldbank.org/indicator/FP.CPI.TOTL?locations=PY</t>
        </is>
      </c>
      <c r="L36" t="inlineStr">
        <is>
          <t>https://data.worldbank.org/indicator/PA.NUS.FCRF?locations=PY</t>
        </is>
      </c>
    </row>
    <row r="37">
      <c r="A37" t="n">
        <v>1993</v>
      </c>
      <c r="B37" t="inlineStr">
        <is>
          <t>ANDE_TARIFF_PUBLIC_LIGHT</t>
        </is>
      </c>
      <c r="C37" s="24" t="n">
        <v>84.5</v>
      </c>
      <c r="D37" s="36">
        <f>'Macro_Annual'!B6</f>
        <v/>
      </c>
      <c r="E37" s="32">
        <f>'Macro_Annual'!D6</f>
        <v/>
      </c>
      <c r="F37" s="37">
        <f>IFERROR(C37*'Macro_Annual'!$B$38/D37,"")</f>
        <v/>
      </c>
      <c r="G37" s="38">
        <f>IFERROR(C37*1000/E37,"")</f>
        <v/>
      </c>
      <c r="H37" t="inlineStr">
        <is>
          <t>OFFICIAL_AGGREGATE</t>
        </is>
      </c>
      <c r="I37" t="inlineStr">
        <is>
          <t>BACKFILL PROVISIONAL</t>
        </is>
      </c>
      <c r="J37" t="inlineStr">
        <is>
          <t>https://www.ande.gov.py/documentos_contables/157/compilacion_estadistica_1990-2010.pdf</t>
        </is>
      </c>
      <c r="K37" t="inlineStr">
        <is>
          <t>https://data.worldbank.org/indicator/FP.CPI.TOTL?locations=PY</t>
        </is>
      </c>
      <c r="L37" t="inlineStr">
        <is>
          <t>https://data.worldbank.org/indicator/PA.NUS.FCRF?locations=PY</t>
        </is>
      </c>
    </row>
    <row r="38">
      <c r="A38" t="n">
        <v>1993</v>
      </c>
      <c r="B38" t="inlineStr">
        <is>
          <t>ANDE_TARIFF_RESIDENTIAL</t>
        </is>
      </c>
      <c r="C38" s="24" t="n">
        <v>70.59999999999999</v>
      </c>
      <c r="D38" s="36">
        <f>'Macro_Annual'!B6</f>
        <v/>
      </c>
      <c r="E38" s="32">
        <f>'Macro_Annual'!D6</f>
        <v/>
      </c>
      <c r="F38" s="37">
        <f>IFERROR(C38*'Macro_Annual'!$B$38/D38,"")</f>
        <v/>
      </c>
      <c r="G38" s="38">
        <f>IFERROR(C38*1000/E38,"")</f>
        <v/>
      </c>
      <c r="H38" t="inlineStr">
        <is>
          <t>OFFICIAL_AGGREGATE</t>
        </is>
      </c>
      <c r="I38" t="inlineStr">
        <is>
          <t>BACKFILL PROVISIONAL</t>
        </is>
      </c>
      <c r="J38" t="inlineStr">
        <is>
          <t>https://www.ande.gov.py/documentos_contables/157/compilacion_estadistica_1990-2010.pdf</t>
        </is>
      </c>
      <c r="K38" t="inlineStr">
        <is>
          <t>https://data.worldbank.org/indicator/FP.CPI.TOTL?locations=PY</t>
        </is>
      </c>
      <c r="L38" t="inlineStr">
        <is>
          <t>https://data.worldbank.org/indicator/PA.NUS.FCRF?locations=PY</t>
        </is>
      </c>
    </row>
    <row r="39">
      <c r="A39" t="n">
        <v>1994</v>
      </c>
      <c r="B39" t="inlineStr">
        <is>
          <t>ANDE_TARIFF_COMMERCIAL</t>
        </is>
      </c>
      <c r="C39" s="24" t="n">
        <v>94.7</v>
      </c>
      <c r="D39" s="36">
        <f>'Macro_Annual'!B7</f>
        <v/>
      </c>
      <c r="E39" s="32">
        <f>'Macro_Annual'!D7</f>
        <v/>
      </c>
      <c r="F39" s="37">
        <f>IFERROR(C39*'Macro_Annual'!$B$38/D39,"")</f>
        <v/>
      </c>
      <c r="G39" s="38">
        <f>IFERROR(C39*1000/E39,"")</f>
        <v/>
      </c>
      <c r="H39" t="inlineStr">
        <is>
          <t>OFFICIAL_AGGREGATE</t>
        </is>
      </c>
      <c r="I39" t="inlineStr">
        <is>
          <t>BACKFILL PROVISIONAL</t>
        </is>
      </c>
      <c r="J39" t="inlineStr">
        <is>
          <t>https://www.ande.gov.py/documentos_contables/157/compilacion_estadistica_1990-2010.pdf</t>
        </is>
      </c>
      <c r="K39" t="inlineStr">
        <is>
          <t>https://data.worldbank.org/indicator/FP.CPI.TOTL?locations=PY</t>
        </is>
      </c>
      <c r="L39" t="inlineStr">
        <is>
          <t>https://data.worldbank.org/indicator/PA.NUS.FCRF?locations=PY</t>
        </is>
      </c>
    </row>
    <row r="40">
      <c r="A40" t="n">
        <v>1994</v>
      </c>
      <c r="B40" t="inlineStr">
        <is>
          <t>ANDE_TARIFF_EXPORT_AVG</t>
        </is>
      </c>
      <c r="C40" s="24" t="n">
        <v>66.2</v>
      </c>
      <c r="D40" s="36">
        <f>'Macro_Annual'!B7</f>
        <v/>
      </c>
      <c r="E40" s="32">
        <f>'Macro_Annual'!D7</f>
        <v/>
      </c>
      <c r="F40" s="37">
        <f>IFERROR(C40*'Macro_Annual'!$B$38/D40,"")</f>
        <v/>
      </c>
      <c r="G40" s="38">
        <f>IFERROR(C40*1000/E40,"")</f>
        <v/>
      </c>
      <c r="H40" t="inlineStr">
        <is>
          <t>OFFICIAL_AGGREGATE</t>
        </is>
      </c>
      <c r="I40" t="inlineStr">
        <is>
          <t>BACKFILL PROVISIONAL</t>
        </is>
      </c>
      <c r="J40" t="inlineStr">
        <is>
          <t>https://www.ande.gov.py/documentos_contables/157/compilacion_estadistica_1990-2010.pdf</t>
        </is>
      </c>
      <c r="K40" t="inlineStr">
        <is>
          <t>https://data.worldbank.org/indicator/FP.CPI.TOTL?locations=PY</t>
        </is>
      </c>
      <c r="L40" t="inlineStr">
        <is>
          <t>https://data.worldbank.org/indicator/PA.NUS.FCRF?locations=PY</t>
        </is>
      </c>
    </row>
    <row r="41">
      <c r="A41" t="n">
        <v>1994</v>
      </c>
      <c r="B41" t="inlineStr">
        <is>
          <t>ANDE_TARIFF_GENERAL</t>
        </is>
      </c>
      <c r="C41" s="24" t="n">
        <v>75.40000000000001</v>
      </c>
      <c r="D41" s="36">
        <f>'Macro_Annual'!B7</f>
        <v/>
      </c>
      <c r="E41" s="32">
        <f>'Macro_Annual'!D7</f>
        <v/>
      </c>
      <c r="F41" s="37">
        <f>IFERROR(C41*'Macro_Annual'!$B$38/D41,"")</f>
        <v/>
      </c>
      <c r="G41" s="38">
        <f>IFERROR(C41*1000/E41,"")</f>
        <v/>
      </c>
      <c r="H41" t="inlineStr">
        <is>
          <t>OFFICIAL_AGGREGATE</t>
        </is>
      </c>
      <c r="I41" t="inlineStr">
        <is>
          <t>BACKFILL PROVISIONAL</t>
        </is>
      </c>
      <c r="J41" t="inlineStr">
        <is>
          <t>https://www.ande.gov.py/documentos_contables/157/compilacion_estadistica_1990-2010.pdf</t>
        </is>
      </c>
      <c r="K41" t="inlineStr">
        <is>
          <t>https://data.worldbank.org/indicator/FP.CPI.TOTL?locations=PY</t>
        </is>
      </c>
      <c r="L41" t="inlineStr">
        <is>
          <t>https://data.worldbank.org/indicator/PA.NUS.FCRF?locations=PY</t>
        </is>
      </c>
    </row>
    <row r="42">
      <c r="A42" t="n">
        <v>1994</v>
      </c>
      <c r="B42" t="inlineStr">
        <is>
          <t>ANDE_TARIFF_GENERAL_AVG</t>
        </is>
      </c>
      <c r="C42" s="24" t="n">
        <v>79.8</v>
      </c>
      <c r="D42" s="36">
        <f>'Macro_Annual'!B7</f>
        <v/>
      </c>
      <c r="E42" s="32">
        <f>'Macro_Annual'!D7</f>
        <v/>
      </c>
      <c r="F42" s="37">
        <f>IFERROR(C42*'Macro_Annual'!$B$38/D42,"")</f>
        <v/>
      </c>
      <c r="G42" s="38">
        <f>IFERROR(C42*1000/E42,"")</f>
        <v/>
      </c>
      <c r="H42" t="inlineStr">
        <is>
          <t>OFFICIAL_AGGREGATE</t>
        </is>
      </c>
      <c r="I42" t="inlineStr">
        <is>
          <t>BACKFILL PROVISIONAL</t>
        </is>
      </c>
      <c r="J42" t="inlineStr">
        <is>
          <t>https://www.ande.gov.py/documentos_contables/157/compilacion_estadistica_1990-2010.pdf</t>
        </is>
      </c>
      <c r="K42" t="inlineStr">
        <is>
          <t>https://data.worldbank.org/indicator/FP.CPI.TOTL?locations=PY</t>
        </is>
      </c>
      <c r="L42" t="inlineStr">
        <is>
          <t>https://data.worldbank.org/indicator/PA.NUS.FCRF?locations=PY</t>
        </is>
      </c>
    </row>
    <row r="43">
      <c r="A43" t="n">
        <v>1994</v>
      </c>
      <c r="B43" t="inlineStr">
        <is>
          <t>ANDE_TARIFF_GOV</t>
        </is>
      </c>
      <c r="C43" s="24" t="n">
        <v>52</v>
      </c>
      <c r="D43" s="36">
        <f>'Macro_Annual'!B7</f>
        <v/>
      </c>
      <c r="E43" s="32">
        <f>'Macro_Annual'!D7</f>
        <v/>
      </c>
      <c r="F43" s="37">
        <f>IFERROR(C43*'Macro_Annual'!$B$38/D43,"")</f>
        <v/>
      </c>
      <c r="G43" s="38">
        <f>IFERROR(C43*1000/E43,"")</f>
        <v/>
      </c>
      <c r="H43" t="inlineStr">
        <is>
          <t>OFFICIAL_AGGREGATE</t>
        </is>
      </c>
      <c r="I43" t="inlineStr">
        <is>
          <t>BACKFILL PROVISIONAL</t>
        </is>
      </c>
      <c r="J43" t="inlineStr">
        <is>
          <t>https://www.ande.gov.py/documentos_contables/157/compilacion_estadistica_1990-2010.pdf</t>
        </is>
      </c>
      <c r="K43" t="inlineStr">
        <is>
          <t>https://data.worldbank.org/indicator/FP.CPI.TOTL?locations=PY</t>
        </is>
      </c>
      <c r="L43" t="inlineStr">
        <is>
          <t>https://data.worldbank.org/indicator/PA.NUS.FCRF?locations=PY</t>
        </is>
      </c>
    </row>
    <row r="44">
      <c r="A44" t="n">
        <v>1994</v>
      </c>
      <c r="B44" t="inlineStr">
        <is>
          <t>ANDE_TARIFF_INDUSTRIAL</t>
        </is>
      </c>
      <c r="C44" s="24" t="n">
        <v>63.9</v>
      </c>
      <c r="D44" s="36">
        <f>'Macro_Annual'!B7</f>
        <v/>
      </c>
      <c r="E44" s="32">
        <f>'Macro_Annual'!D7</f>
        <v/>
      </c>
      <c r="F44" s="37">
        <f>IFERROR(C44*'Macro_Annual'!$B$38/D44,"")</f>
        <v/>
      </c>
      <c r="G44" s="38">
        <f>IFERROR(C44*1000/E44,"")</f>
        <v/>
      </c>
      <c r="H44" t="inlineStr">
        <is>
          <t>OFFICIAL_AGGREGATE</t>
        </is>
      </c>
      <c r="I44" t="inlineStr">
        <is>
          <t>BACKFILL PROVISIONAL</t>
        </is>
      </c>
      <c r="J44" t="inlineStr">
        <is>
          <t>https://www.ande.gov.py/documentos_contables/157/compilacion_estadistica_1990-2010.pdf</t>
        </is>
      </c>
      <c r="K44" t="inlineStr">
        <is>
          <t>https://data.worldbank.org/indicator/FP.CPI.TOTL?locations=PY</t>
        </is>
      </c>
      <c r="L44" t="inlineStr">
        <is>
          <t>https://data.worldbank.org/indicator/PA.NUS.FCRF?locations=PY</t>
        </is>
      </c>
    </row>
    <row r="45">
      <c r="A45" t="n">
        <v>1994</v>
      </c>
      <c r="B45" t="inlineStr">
        <is>
          <t>ANDE_TARIFF_NATIONAL_AVG</t>
        </is>
      </c>
      <c r="C45" s="24" t="n">
        <v>80.3</v>
      </c>
      <c r="D45" s="36">
        <f>'Macro_Annual'!B7</f>
        <v/>
      </c>
      <c r="E45" s="32">
        <f>'Macro_Annual'!D7</f>
        <v/>
      </c>
      <c r="F45" s="37">
        <f>IFERROR(C45*'Macro_Annual'!$B$38/D45,"")</f>
        <v/>
      </c>
      <c r="G45" s="38">
        <f>IFERROR(C45*1000/E45,"")</f>
        <v/>
      </c>
      <c r="H45" t="inlineStr">
        <is>
          <t>OFFICIAL_AGGREGATE</t>
        </is>
      </c>
      <c r="I45" t="inlineStr">
        <is>
          <t>BACKFILL PROVISIONAL</t>
        </is>
      </c>
      <c r="J45" t="inlineStr">
        <is>
          <t>https://www.ande.gov.py/documentos_contables/157/compilacion_estadistica_1990-2010.pdf</t>
        </is>
      </c>
      <c r="K45" t="inlineStr">
        <is>
          <t>https://data.worldbank.org/indicator/FP.CPI.TOTL?locations=PY</t>
        </is>
      </c>
      <c r="L45" t="inlineStr">
        <is>
          <t>https://data.worldbank.org/indicator/PA.NUS.FCRF?locations=PY</t>
        </is>
      </c>
    </row>
    <row r="46">
      <c r="A46" t="n">
        <v>1994</v>
      </c>
      <c r="B46" t="inlineStr">
        <is>
          <t>ANDE_TARIFF_PUBLIC_LIGHT</t>
        </is>
      </c>
      <c r="C46" s="24" t="n">
        <v>116.4</v>
      </c>
      <c r="D46" s="36">
        <f>'Macro_Annual'!B7</f>
        <v/>
      </c>
      <c r="E46" s="32">
        <f>'Macro_Annual'!D7</f>
        <v/>
      </c>
      <c r="F46" s="37">
        <f>IFERROR(C46*'Macro_Annual'!$B$38/D46,"")</f>
        <v/>
      </c>
      <c r="G46" s="38">
        <f>IFERROR(C46*1000/E46,"")</f>
        <v/>
      </c>
      <c r="H46" t="inlineStr">
        <is>
          <t>OFFICIAL_AGGREGATE</t>
        </is>
      </c>
      <c r="I46" t="inlineStr">
        <is>
          <t>BACKFILL PROVISIONAL</t>
        </is>
      </c>
      <c r="J46" t="inlineStr">
        <is>
          <t>https://www.ande.gov.py/documentos_contables/157/compilacion_estadistica_1990-2010.pdf</t>
        </is>
      </c>
      <c r="K46" t="inlineStr">
        <is>
          <t>https://data.worldbank.org/indicator/FP.CPI.TOTL?locations=PY</t>
        </is>
      </c>
      <c r="L46" t="inlineStr">
        <is>
          <t>https://data.worldbank.org/indicator/PA.NUS.FCRF?locations=PY</t>
        </is>
      </c>
    </row>
    <row r="47">
      <c r="A47" t="n">
        <v>1994</v>
      </c>
      <c r="B47" t="inlineStr">
        <is>
          <t>ANDE_TARIFF_RESIDENTIAL</t>
        </is>
      </c>
      <c r="C47" s="24" t="n">
        <v>85.5</v>
      </c>
      <c r="D47" s="36">
        <f>'Macro_Annual'!B7</f>
        <v/>
      </c>
      <c r="E47" s="32">
        <f>'Macro_Annual'!D7</f>
        <v/>
      </c>
      <c r="F47" s="37">
        <f>IFERROR(C47*'Macro_Annual'!$B$38/D47,"")</f>
        <v/>
      </c>
      <c r="G47" s="38">
        <f>IFERROR(C47*1000/E47,"")</f>
        <v/>
      </c>
      <c r="H47" t="inlineStr">
        <is>
          <t>OFFICIAL_AGGREGATE</t>
        </is>
      </c>
      <c r="I47" t="inlineStr">
        <is>
          <t>BACKFILL PROVISIONAL</t>
        </is>
      </c>
      <c r="J47" t="inlineStr">
        <is>
          <t>https://www.ande.gov.py/documentos_contables/157/compilacion_estadistica_1990-2010.pdf</t>
        </is>
      </c>
      <c r="K47" t="inlineStr">
        <is>
          <t>https://data.worldbank.org/indicator/FP.CPI.TOTL?locations=PY</t>
        </is>
      </c>
      <c r="L47" t="inlineStr">
        <is>
          <t>https://data.worldbank.org/indicator/PA.NUS.FCRF?locations=PY</t>
        </is>
      </c>
    </row>
    <row r="48">
      <c r="A48" t="n">
        <v>1995</v>
      </c>
      <c r="B48" t="inlineStr">
        <is>
          <t>ANDE_TARIFF_COMMERCIAL</t>
        </is>
      </c>
      <c r="C48" s="24" t="n">
        <v>103.5</v>
      </c>
      <c r="D48" s="36">
        <f>'Macro_Annual'!B8</f>
        <v/>
      </c>
      <c r="E48" s="32">
        <f>'Macro_Annual'!D8</f>
        <v/>
      </c>
      <c r="F48" s="37">
        <f>IFERROR(C48*'Macro_Annual'!$B$38/D48,"")</f>
        <v/>
      </c>
      <c r="G48" s="38">
        <f>IFERROR(C48*1000/E48,"")</f>
        <v/>
      </c>
      <c r="H48" t="inlineStr">
        <is>
          <t>OFFICIAL_AGGREGATE</t>
        </is>
      </c>
      <c r="I48" t="inlineStr">
        <is>
          <t>BACKFILL PROVISIONAL</t>
        </is>
      </c>
      <c r="J48" t="inlineStr">
        <is>
          <t>https://www.ande.gov.py/documentos_contables/157/compilacion_estadistica_1990-2010.pdf</t>
        </is>
      </c>
      <c r="K48" t="inlineStr">
        <is>
          <t>https://data.worldbank.org/indicator/FP.CPI.TOTL?locations=PY</t>
        </is>
      </c>
      <c r="L48" t="inlineStr">
        <is>
          <t>https://data.worldbank.org/indicator/PA.NUS.FCRF?locations=PY</t>
        </is>
      </c>
    </row>
    <row r="49">
      <c r="A49" t="n">
        <v>1995</v>
      </c>
      <c r="B49" t="inlineStr">
        <is>
          <t>ANDE_TARIFF_EXPORT_AVG</t>
        </is>
      </c>
      <c r="C49" s="24" t="n">
        <v>78.7</v>
      </c>
      <c r="D49" s="36">
        <f>'Macro_Annual'!B8</f>
        <v/>
      </c>
      <c r="E49" s="32">
        <f>'Macro_Annual'!D8</f>
        <v/>
      </c>
      <c r="F49" s="37">
        <f>IFERROR(C49*'Macro_Annual'!$B$38/D49,"")</f>
        <v/>
      </c>
      <c r="G49" s="38">
        <f>IFERROR(C49*1000/E49,"")</f>
        <v/>
      </c>
      <c r="H49" t="inlineStr">
        <is>
          <t>OFFICIAL_AGGREGATE</t>
        </is>
      </c>
      <c r="I49" t="inlineStr">
        <is>
          <t>BACKFILL PROVISIONAL</t>
        </is>
      </c>
      <c r="J49" t="inlineStr">
        <is>
          <t>https://www.ande.gov.py/documentos_contables/157/compilacion_estadistica_1990-2010.pdf</t>
        </is>
      </c>
      <c r="K49" t="inlineStr">
        <is>
          <t>https://data.worldbank.org/indicator/FP.CPI.TOTL?locations=PY</t>
        </is>
      </c>
      <c r="L49" t="inlineStr">
        <is>
          <t>https://data.worldbank.org/indicator/PA.NUS.FCRF?locations=PY</t>
        </is>
      </c>
    </row>
    <row r="50">
      <c r="A50" t="n">
        <v>1995</v>
      </c>
      <c r="B50" t="inlineStr">
        <is>
          <t>ANDE_TARIFF_GENERAL</t>
        </is>
      </c>
      <c r="C50" s="24" t="n">
        <v>82.3</v>
      </c>
      <c r="D50" s="36">
        <f>'Macro_Annual'!B8</f>
        <v/>
      </c>
      <c r="E50" s="32">
        <f>'Macro_Annual'!D8</f>
        <v/>
      </c>
      <c r="F50" s="37">
        <f>IFERROR(C50*'Macro_Annual'!$B$38/D50,"")</f>
        <v/>
      </c>
      <c r="G50" s="38">
        <f>IFERROR(C50*1000/E50,"")</f>
        <v/>
      </c>
      <c r="H50" t="inlineStr">
        <is>
          <t>OFFICIAL_AGGREGATE</t>
        </is>
      </c>
      <c r="I50" t="inlineStr">
        <is>
          <t>BACKFILL PROVISIONAL</t>
        </is>
      </c>
      <c r="J50" t="inlineStr">
        <is>
          <t>https://www.ande.gov.py/documentos_contables/157/compilacion_estadistica_1990-2010.pdf</t>
        </is>
      </c>
      <c r="K50" t="inlineStr">
        <is>
          <t>https://data.worldbank.org/indicator/FP.CPI.TOTL?locations=PY</t>
        </is>
      </c>
      <c r="L50" t="inlineStr">
        <is>
          <t>https://data.worldbank.org/indicator/PA.NUS.FCRF?locations=PY</t>
        </is>
      </c>
    </row>
    <row r="51">
      <c r="A51" t="n">
        <v>1995</v>
      </c>
      <c r="B51" t="inlineStr">
        <is>
          <t>ANDE_TARIFF_GENERAL_AVG</t>
        </is>
      </c>
      <c r="C51" s="24" t="n">
        <v>88.7</v>
      </c>
      <c r="D51" s="36">
        <f>'Macro_Annual'!B8</f>
        <v/>
      </c>
      <c r="E51" s="32">
        <f>'Macro_Annual'!D8</f>
        <v/>
      </c>
      <c r="F51" s="37">
        <f>IFERROR(C51*'Macro_Annual'!$B$38/D51,"")</f>
        <v/>
      </c>
      <c r="G51" s="38">
        <f>IFERROR(C51*1000/E51,"")</f>
        <v/>
      </c>
      <c r="H51" t="inlineStr">
        <is>
          <t>OFFICIAL_AGGREGATE</t>
        </is>
      </c>
      <c r="I51" t="inlineStr">
        <is>
          <t>BACKFILL PROVISIONAL</t>
        </is>
      </c>
      <c r="J51" t="inlineStr">
        <is>
          <t>https://www.ande.gov.py/documentos_contables/157/compilacion_estadistica_1990-2010.pdf</t>
        </is>
      </c>
      <c r="K51" t="inlineStr">
        <is>
          <t>https://data.worldbank.org/indicator/FP.CPI.TOTL?locations=PY</t>
        </is>
      </c>
      <c r="L51" t="inlineStr">
        <is>
          <t>https://data.worldbank.org/indicator/PA.NUS.FCRF?locations=PY</t>
        </is>
      </c>
    </row>
    <row r="52">
      <c r="A52" t="n">
        <v>1995</v>
      </c>
      <c r="B52" t="inlineStr">
        <is>
          <t>ANDE_TARIFF_GOV</t>
        </is>
      </c>
      <c r="C52" s="24" t="n">
        <v>62.6</v>
      </c>
      <c r="D52" s="36">
        <f>'Macro_Annual'!B8</f>
        <v/>
      </c>
      <c r="E52" s="32">
        <f>'Macro_Annual'!D8</f>
        <v/>
      </c>
      <c r="F52" s="37">
        <f>IFERROR(C52*'Macro_Annual'!$B$38/D52,"")</f>
        <v/>
      </c>
      <c r="G52" s="38">
        <f>IFERROR(C52*1000/E52,"")</f>
        <v/>
      </c>
      <c r="H52" t="inlineStr">
        <is>
          <t>OFFICIAL_AGGREGATE</t>
        </is>
      </c>
      <c r="I52" t="inlineStr">
        <is>
          <t>BACKFILL PROVISIONAL</t>
        </is>
      </c>
      <c r="J52" t="inlineStr">
        <is>
          <t>https://www.ande.gov.py/documentos_contables/157/compilacion_estadistica_1990-2010.pdf</t>
        </is>
      </c>
      <c r="K52" t="inlineStr">
        <is>
          <t>https://data.worldbank.org/indicator/FP.CPI.TOTL?locations=PY</t>
        </is>
      </c>
      <c r="L52" t="inlineStr">
        <is>
          <t>https://data.worldbank.org/indicator/PA.NUS.FCRF?locations=PY</t>
        </is>
      </c>
    </row>
    <row r="53">
      <c r="A53" t="n">
        <v>1995</v>
      </c>
      <c r="B53" t="inlineStr">
        <is>
          <t>ANDE_TARIFF_INDUSTRIAL</t>
        </is>
      </c>
      <c r="C53" s="24" t="n">
        <v>69.40000000000001</v>
      </c>
      <c r="D53" s="36">
        <f>'Macro_Annual'!B8</f>
        <v/>
      </c>
      <c r="E53" s="32">
        <f>'Macro_Annual'!D8</f>
        <v/>
      </c>
      <c r="F53" s="37">
        <f>IFERROR(C53*'Macro_Annual'!$B$38/D53,"")</f>
        <v/>
      </c>
      <c r="G53" s="38">
        <f>IFERROR(C53*1000/E53,"")</f>
        <v/>
      </c>
      <c r="H53" t="inlineStr">
        <is>
          <t>OFFICIAL_AGGREGATE</t>
        </is>
      </c>
      <c r="I53" t="inlineStr">
        <is>
          <t>BACKFILL PROVISIONAL</t>
        </is>
      </c>
      <c r="J53" t="inlineStr">
        <is>
          <t>https://www.ande.gov.py/documentos_contables/157/compilacion_estadistica_1990-2010.pdf</t>
        </is>
      </c>
      <c r="K53" t="inlineStr">
        <is>
          <t>https://data.worldbank.org/indicator/FP.CPI.TOTL?locations=PY</t>
        </is>
      </c>
      <c r="L53" t="inlineStr">
        <is>
          <t>https://data.worldbank.org/indicator/PA.NUS.FCRF?locations=PY</t>
        </is>
      </c>
    </row>
    <row r="54">
      <c r="A54" t="n">
        <v>1995</v>
      </c>
      <c r="B54" t="inlineStr">
        <is>
          <t>ANDE_TARIFF_NATIONAL_AVG</t>
        </is>
      </c>
      <c r="C54" s="24" t="n">
        <v>89.2</v>
      </c>
      <c r="D54" s="36">
        <f>'Macro_Annual'!B8</f>
        <v/>
      </c>
      <c r="E54" s="32">
        <f>'Macro_Annual'!D8</f>
        <v/>
      </c>
      <c r="F54" s="37">
        <f>IFERROR(C54*'Macro_Annual'!$B$38/D54,"")</f>
        <v/>
      </c>
      <c r="G54" s="38">
        <f>IFERROR(C54*1000/E54,"")</f>
        <v/>
      </c>
      <c r="H54" t="inlineStr">
        <is>
          <t>OFFICIAL_AGGREGATE</t>
        </is>
      </c>
      <c r="I54" t="inlineStr">
        <is>
          <t>BACKFILL PROVISIONAL</t>
        </is>
      </c>
      <c r="J54" t="inlineStr">
        <is>
          <t>https://www.ande.gov.py/documentos_contables/157/compilacion_estadistica_1990-2010.pdf</t>
        </is>
      </c>
      <c r="K54" t="inlineStr">
        <is>
          <t>https://data.worldbank.org/indicator/FP.CPI.TOTL?locations=PY</t>
        </is>
      </c>
      <c r="L54" t="inlineStr">
        <is>
          <t>https://data.worldbank.org/indicator/PA.NUS.FCRF?locations=PY</t>
        </is>
      </c>
    </row>
    <row r="55">
      <c r="A55" t="n">
        <v>1995</v>
      </c>
      <c r="B55" t="inlineStr">
        <is>
          <t>ANDE_TARIFF_PUBLIC_LIGHT</t>
        </is>
      </c>
      <c r="C55" s="24" t="n">
        <v>136.5</v>
      </c>
      <c r="D55" s="36">
        <f>'Macro_Annual'!B8</f>
        <v/>
      </c>
      <c r="E55" s="32">
        <f>'Macro_Annual'!D8</f>
        <v/>
      </c>
      <c r="F55" s="37">
        <f>IFERROR(C55*'Macro_Annual'!$B$38/D55,"")</f>
        <v/>
      </c>
      <c r="G55" s="38">
        <f>IFERROR(C55*1000/E55,"")</f>
        <v/>
      </c>
      <c r="H55" t="inlineStr">
        <is>
          <t>OFFICIAL_AGGREGATE</t>
        </is>
      </c>
      <c r="I55" t="inlineStr">
        <is>
          <t>BACKFILL PROVISIONAL</t>
        </is>
      </c>
      <c r="J55" t="inlineStr">
        <is>
          <t>https://www.ande.gov.py/documentos_contables/157/compilacion_estadistica_1990-2010.pdf</t>
        </is>
      </c>
      <c r="K55" t="inlineStr">
        <is>
          <t>https://data.worldbank.org/indicator/FP.CPI.TOTL?locations=PY</t>
        </is>
      </c>
      <c r="L55" t="inlineStr">
        <is>
          <t>https://data.worldbank.org/indicator/PA.NUS.FCRF?locations=PY</t>
        </is>
      </c>
    </row>
    <row r="56">
      <c r="A56" t="n">
        <v>1995</v>
      </c>
      <c r="B56" t="inlineStr">
        <is>
          <t>ANDE_TARIFF_RESIDENTIAL</t>
        </is>
      </c>
      <c r="C56" s="24" t="n">
        <v>95.5</v>
      </c>
      <c r="D56" s="36">
        <f>'Macro_Annual'!B8</f>
        <v/>
      </c>
      <c r="E56" s="32">
        <f>'Macro_Annual'!D8</f>
        <v/>
      </c>
      <c r="F56" s="37">
        <f>IFERROR(C56*'Macro_Annual'!$B$38/D56,"")</f>
        <v/>
      </c>
      <c r="G56" s="38">
        <f>IFERROR(C56*1000/E56,"")</f>
        <v/>
      </c>
      <c r="H56" t="inlineStr">
        <is>
          <t>OFFICIAL_AGGREGATE</t>
        </is>
      </c>
      <c r="I56" t="inlineStr">
        <is>
          <t>BACKFILL PROVISIONAL</t>
        </is>
      </c>
      <c r="J56" t="inlineStr">
        <is>
          <t>https://www.ande.gov.py/documentos_contables/157/compilacion_estadistica_1990-2010.pdf</t>
        </is>
      </c>
      <c r="K56" t="inlineStr">
        <is>
          <t>https://data.worldbank.org/indicator/FP.CPI.TOTL?locations=PY</t>
        </is>
      </c>
      <c r="L56" t="inlineStr">
        <is>
          <t>https://data.worldbank.org/indicator/PA.NUS.FCRF?locations=PY</t>
        </is>
      </c>
    </row>
    <row r="57">
      <c r="A57" t="n">
        <v>1996</v>
      </c>
      <c r="B57" t="inlineStr">
        <is>
          <t>ANDE_TARIFF_COMMERCIAL</t>
        </is>
      </c>
      <c r="C57" s="24" t="n">
        <v>123.9</v>
      </c>
      <c r="D57" s="36">
        <f>'Macro_Annual'!B9</f>
        <v/>
      </c>
      <c r="E57" s="32">
        <f>'Macro_Annual'!D9</f>
        <v/>
      </c>
      <c r="F57" s="37">
        <f>IFERROR(C57*'Macro_Annual'!$B$38/D57,"")</f>
        <v/>
      </c>
      <c r="G57" s="38">
        <f>IFERROR(C57*1000/E57,"")</f>
        <v/>
      </c>
      <c r="H57" t="inlineStr">
        <is>
          <t>OFFICIAL_AGGREGATE</t>
        </is>
      </c>
      <c r="I57" t="inlineStr">
        <is>
          <t>BACKFILL PROVISIONAL</t>
        </is>
      </c>
      <c r="J57" t="inlineStr">
        <is>
          <t>https://www.ande.gov.py/documentos_contables/157/compilacion_estadistica_1990-2010.pdf</t>
        </is>
      </c>
      <c r="K57" t="inlineStr">
        <is>
          <t>https://data.worldbank.org/indicator/FP.CPI.TOTL?locations=PY</t>
        </is>
      </c>
      <c r="L57" t="inlineStr">
        <is>
          <t>https://data.worldbank.org/indicator/PA.NUS.FCRF?locations=PY</t>
        </is>
      </c>
    </row>
    <row r="58">
      <c r="A58" t="n">
        <v>1996</v>
      </c>
      <c r="B58" t="inlineStr">
        <is>
          <t>ANDE_TARIFF_EXPORT_AVG</t>
        </is>
      </c>
      <c r="C58" s="24" t="n">
        <v>75.40000000000001</v>
      </c>
      <c r="D58" s="36">
        <f>'Macro_Annual'!B9</f>
        <v/>
      </c>
      <c r="E58" s="32">
        <f>'Macro_Annual'!D9</f>
        <v/>
      </c>
      <c r="F58" s="37">
        <f>IFERROR(C58*'Macro_Annual'!$B$38/D58,"")</f>
        <v/>
      </c>
      <c r="G58" s="38">
        <f>IFERROR(C58*1000/E58,"")</f>
        <v/>
      </c>
      <c r="H58" t="inlineStr">
        <is>
          <t>OFFICIAL_AGGREGATE</t>
        </is>
      </c>
      <c r="I58" t="inlineStr">
        <is>
          <t>BACKFILL PROVISIONAL</t>
        </is>
      </c>
      <c r="J58" t="inlineStr">
        <is>
          <t>https://www.ande.gov.py/documentos_contables/157/compilacion_estadistica_1990-2010.pdf</t>
        </is>
      </c>
      <c r="K58" t="inlineStr">
        <is>
          <t>https://data.worldbank.org/indicator/FP.CPI.TOTL?locations=PY</t>
        </is>
      </c>
      <c r="L58" t="inlineStr">
        <is>
          <t>https://data.worldbank.org/indicator/PA.NUS.FCRF?locations=PY</t>
        </is>
      </c>
    </row>
    <row r="59">
      <c r="A59" t="n">
        <v>1996</v>
      </c>
      <c r="B59" t="inlineStr">
        <is>
          <t>ANDE_TARIFF_GENERAL</t>
        </is>
      </c>
      <c r="C59" s="24" t="n">
        <v>90.09999999999999</v>
      </c>
      <c r="D59" s="36">
        <f>'Macro_Annual'!B9</f>
        <v/>
      </c>
      <c r="E59" s="32">
        <f>'Macro_Annual'!D9</f>
        <v/>
      </c>
      <c r="F59" s="37">
        <f>IFERROR(C59*'Macro_Annual'!$B$38/D59,"")</f>
        <v/>
      </c>
      <c r="G59" s="38">
        <f>IFERROR(C59*1000/E59,"")</f>
        <v/>
      </c>
      <c r="H59" t="inlineStr">
        <is>
          <t>OFFICIAL_AGGREGATE</t>
        </is>
      </c>
      <c r="I59" t="inlineStr">
        <is>
          <t>BACKFILL PROVISIONAL</t>
        </is>
      </c>
      <c r="J59" t="inlineStr">
        <is>
          <t>https://www.ande.gov.py/documentos_contables/157/compilacion_estadistica_1990-2010.pdf</t>
        </is>
      </c>
      <c r="K59" t="inlineStr">
        <is>
          <t>https://data.worldbank.org/indicator/FP.CPI.TOTL?locations=PY</t>
        </is>
      </c>
      <c r="L59" t="inlineStr">
        <is>
          <t>https://data.worldbank.org/indicator/PA.NUS.FCRF?locations=PY</t>
        </is>
      </c>
    </row>
    <row r="60">
      <c r="A60" t="n">
        <v>1996</v>
      </c>
      <c r="B60" t="inlineStr">
        <is>
          <t>ANDE_TARIFF_GENERAL_AVG</t>
        </is>
      </c>
      <c r="C60" s="24" t="n">
        <v>108.6</v>
      </c>
      <c r="D60" s="36">
        <f>'Macro_Annual'!B9</f>
        <v/>
      </c>
      <c r="E60" s="32">
        <f>'Macro_Annual'!D9</f>
        <v/>
      </c>
      <c r="F60" s="37">
        <f>IFERROR(C60*'Macro_Annual'!$B$38/D60,"")</f>
        <v/>
      </c>
      <c r="G60" s="38">
        <f>IFERROR(C60*1000/E60,"")</f>
        <v/>
      </c>
      <c r="H60" t="inlineStr">
        <is>
          <t>OFFICIAL_AGGREGATE</t>
        </is>
      </c>
      <c r="I60" t="inlineStr">
        <is>
          <t>BACKFILL PROVISIONAL</t>
        </is>
      </c>
      <c r="J60" t="inlineStr">
        <is>
          <t>https://www.ande.gov.py/documentos_contables/157/compilacion_estadistica_1990-2010.pdf</t>
        </is>
      </c>
      <c r="K60" t="inlineStr">
        <is>
          <t>https://data.worldbank.org/indicator/FP.CPI.TOTL?locations=PY</t>
        </is>
      </c>
      <c r="L60" t="inlineStr">
        <is>
          <t>https://data.worldbank.org/indicator/PA.NUS.FCRF?locations=PY</t>
        </is>
      </c>
    </row>
    <row r="61">
      <c r="A61" t="n">
        <v>1996</v>
      </c>
      <c r="B61" t="inlineStr">
        <is>
          <t>ANDE_TARIFF_GOV</t>
        </is>
      </c>
      <c r="C61" s="24" t="n">
        <v>103.9</v>
      </c>
      <c r="D61" s="36">
        <f>'Macro_Annual'!B9</f>
        <v/>
      </c>
      <c r="E61" s="32">
        <f>'Macro_Annual'!D9</f>
        <v/>
      </c>
      <c r="F61" s="37">
        <f>IFERROR(C61*'Macro_Annual'!$B$38/D61,"")</f>
        <v/>
      </c>
      <c r="G61" s="38">
        <f>IFERROR(C61*1000/E61,"")</f>
        <v/>
      </c>
      <c r="H61" t="inlineStr">
        <is>
          <t>OFFICIAL_AGGREGATE</t>
        </is>
      </c>
      <c r="I61" t="inlineStr">
        <is>
          <t>BACKFILL PROVISIONAL</t>
        </is>
      </c>
      <c r="J61" t="inlineStr">
        <is>
          <t>https://www.ande.gov.py/documentos_contables/157/compilacion_estadistica_1990-2010.pdf</t>
        </is>
      </c>
      <c r="K61" t="inlineStr">
        <is>
          <t>https://data.worldbank.org/indicator/FP.CPI.TOTL?locations=PY</t>
        </is>
      </c>
      <c r="L61" t="inlineStr">
        <is>
          <t>https://data.worldbank.org/indicator/PA.NUS.FCRF?locations=PY</t>
        </is>
      </c>
    </row>
    <row r="62">
      <c r="A62" t="n">
        <v>1996</v>
      </c>
      <c r="B62" t="inlineStr">
        <is>
          <t>ANDE_TARIFF_INDUSTRIAL</t>
        </is>
      </c>
      <c r="C62" s="24" t="n">
        <v>85.8</v>
      </c>
      <c r="D62" s="36">
        <f>'Macro_Annual'!B9</f>
        <v/>
      </c>
      <c r="E62" s="32">
        <f>'Macro_Annual'!D9</f>
        <v/>
      </c>
      <c r="F62" s="37">
        <f>IFERROR(C62*'Macro_Annual'!$B$38/D62,"")</f>
        <v/>
      </c>
      <c r="G62" s="38">
        <f>IFERROR(C62*1000/E62,"")</f>
        <v/>
      </c>
      <c r="H62" t="inlineStr">
        <is>
          <t>OFFICIAL_AGGREGATE</t>
        </is>
      </c>
      <c r="I62" t="inlineStr">
        <is>
          <t>BACKFILL PROVISIONAL</t>
        </is>
      </c>
      <c r="J62" t="inlineStr">
        <is>
          <t>https://www.ande.gov.py/documentos_contables/157/compilacion_estadistica_1990-2010.pdf</t>
        </is>
      </c>
      <c r="K62" t="inlineStr">
        <is>
          <t>https://data.worldbank.org/indicator/FP.CPI.TOTL?locations=PY</t>
        </is>
      </c>
      <c r="L62" t="inlineStr">
        <is>
          <t>https://data.worldbank.org/indicator/PA.NUS.FCRF?locations=PY</t>
        </is>
      </c>
    </row>
    <row r="63">
      <c r="A63" t="n">
        <v>1996</v>
      </c>
      <c r="B63" t="inlineStr">
        <is>
          <t>ANDE_TARIFF_NATIONAL_AVG</t>
        </is>
      </c>
      <c r="C63" s="24" t="n">
        <v>110</v>
      </c>
      <c r="D63" s="36">
        <f>'Macro_Annual'!B9</f>
        <v/>
      </c>
      <c r="E63" s="32">
        <f>'Macro_Annual'!D9</f>
        <v/>
      </c>
      <c r="F63" s="37">
        <f>IFERROR(C63*'Macro_Annual'!$B$38/D63,"")</f>
        <v/>
      </c>
      <c r="G63" s="38">
        <f>IFERROR(C63*1000/E63,"")</f>
        <v/>
      </c>
      <c r="H63" t="inlineStr">
        <is>
          <t>OFFICIAL_AGGREGATE</t>
        </is>
      </c>
      <c r="I63" t="inlineStr">
        <is>
          <t>BACKFILL PROVISIONAL</t>
        </is>
      </c>
      <c r="J63" t="inlineStr">
        <is>
          <t>https://www.ande.gov.py/documentos_contables/157/compilacion_estadistica_1990-2010.pdf</t>
        </is>
      </c>
      <c r="K63" t="inlineStr">
        <is>
          <t>https://data.worldbank.org/indicator/FP.CPI.TOTL?locations=PY</t>
        </is>
      </c>
      <c r="L63" t="inlineStr">
        <is>
          <t>https://data.worldbank.org/indicator/PA.NUS.FCRF?locations=PY</t>
        </is>
      </c>
    </row>
    <row r="64">
      <c r="A64" t="n">
        <v>1996</v>
      </c>
      <c r="B64" t="inlineStr">
        <is>
          <t>ANDE_TARIFF_PUBLIC_LIGHT</t>
        </is>
      </c>
      <c r="C64" s="24" t="n">
        <v>171.4</v>
      </c>
      <c r="D64" s="36">
        <f>'Macro_Annual'!B9</f>
        <v/>
      </c>
      <c r="E64" s="32">
        <f>'Macro_Annual'!D9</f>
        <v/>
      </c>
      <c r="F64" s="37">
        <f>IFERROR(C64*'Macro_Annual'!$B$38/D64,"")</f>
        <v/>
      </c>
      <c r="G64" s="38">
        <f>IFERROR(C64*1000/E64,"")</f>
        <v/>
      </c>
      <c r="H64" t="inlineStr">
        <is>
          <t>OFFICIAL_AGGREGATE</t>
        </is>
      </c>
      <c r="I64" t="inlineStr">
        <is>
          <t>BACKFILL PROVISIONAL</t>
        </is>
      </c>
      <c r="J64" t="inlineStr">
        <is>
          <t>https://www.ande.gov.py/documentos_contables/157/compilacion_estadistica_1990-2010.pdf</t>
        </is>
      </c>
      <c r="K64" t="inlineStr">
        <is>
          <t>https://data.worldbank.org/indicator/FP.CPI.TOTL?locations=PY</t>
        </is>
      </c>
      <c r="L64" t="inlineStr">
        <is>
          <t>https://data.worldbank.org/indicator/PA.NUS.FCRF?locations=PY</t>
        </is>
      </c>
    </row>
    <row r="65">
      <c r="A65" t="n">
        <v>1996</v>
      </c>
      <c r="B65" t="inlineStr">
        <is>
          <t>ANDE_TARIFF_RESIDENTIAL</t>
        </is>
      </c>
      <c r="C65" s="24" t="n">
        <v>118</v>
      </c>
      <c r="D65" s="36">
        <f>'Macro_Annual'!B9</f>
        <v/>
      </c>
      <c r="E65" s="32">
        <f>'Macro_Annual'!D9</f>
        <v/>
      </c>
      <c r="F65" s="37">
        <f>IFERROR(C65*'Macro_Annual'!$B$38/D65,"")</f>
        <v/>
      </c>
      <c r="G65" s="38">
        <f>IFERROR(C65*1000/E65,"")</f>
        <v/>
      </c>
      <c r="H65" t="inlineStr">
        <is>
          <t>OFFICIAL_AGGREGATE</t>
        </is>
      </c>
      <c r="I65" t="inlineStr">
        <is>
          <t>BACKFILL PROVISIONAL</t>
        </is>
      </c>
      <c r="J65" t="inlineStr">
        <is>
          <t>https://www.ande.gov.py/documentos_contables/157/compilacion_estadistica_1990-2010.pdf</t>
        </is>
      </c>
      <c r="K65" t="inlineStr">
        <is>
          <t>https://data.worldbank.org/indicator/FP.CPI.TOTL?locations=PY</t>
        </is>
      </c>
      <c r="L65" t="inlineStr">
        <is>
          <t>https://data.worldbank.org/indicator/PA.NUS.FCRF?locations=PY</t>
        </is>
      </c>
    </row>
    <row r="66">
      <c r="A66" t="n">
        <v>1997</v>
      </c>
      <c r="B66" t="inlineStr">
        <is>
          <t>ANDE_TARIFF_COMMERCIAL</t>
        </is>
      </c>
      <c r="C66" s="24" t="n">
        <v>139.3</v>
      </c>
      <c r="D66" s="36">
        <f>'Macro_Annual'!B10</f>
        <v/>
      </c>
      <c r="E66" s="32">
        <f>'Macro_Annual'!D10</f>
        <v/>
      </c>
      <c r="F66" s="37">
        <f>IFERROR(C66*'Macro_Annual'!$B$38/D66,"")</f>
        <v/>
      </c>
      <c r="G66" s="38">
        <f>IFERROR(C66*1000/E66,"")</f>
        <v/>
      </c>
      <c r="H66" t="inlineStr">
        <is>
          <t>OFFICIAL_AGGREGATE</t>
        </is>
      </c>
      <c r="I66" t="inlineStr">
        <is>
          <t>BACKFILL PROVISIONAL</t>
        </is>
      </c>
      <c r="J66" t="inlineStr">
        <is>
          <t>https://www.ande.gov.py/documentos_contables/157/compilacion_estadistica_1990-2010.pdf</t>
        </is>
      </c>
      <c r="K66" t="inlineStr">
        <is>
          <t>https://data.worldbank.org/indicator/FP.CPI.TOTL?locations=PY</t>
        </is>
      </c>
      <c r="L66" t="inlineStr">
        <is>
          <t>https://data.worldbank.org/indicator/PA.NUS.FCRF?locations=PY</t>
        </is>
      </c>
    </row>
    <row r="67">
      <c r="A67" t="n">
        <v>1997</v>
      </c>
      <c r="B67" t="inlineStr">
        <is>
          <t>ANDE_TARIFF_EXPORT_AVG</t>
        </is>
      </c>
      <c r="C67" s="24" t="n">
        <v>55</v>
      </c>
      <c r="D67" s="36">
        <f>'Macro_Annual'!B10</f>
        <v/>
      </c>
      <c r="E67" s="32">
        <f>'Macro_Annual'!D10</f>
        <v/>
      </c>
      <c r="F67" s="37">
        <f>IFERROR(C67*'Macro_Annual'!$B$38/D67,"")</f>
        <v/>
      </c>
      <c r="G67" s="38">
        <f>IFERROR(C67*1000/E67,"")</f>
        <v/>
      </c>
      <c r="H67" t="inlineStr">
        <is>
          <t>OFFICIAL_AGGREGATE</t>
        </is>
      </c>
      <c r="I67" t="inlineStr">
        <is>
          <t>BACKFILL PROVISIONAL</t>
        </is>
      </c>
      <c r="J67" t="inlineStr">
        <is>
          <t>https://www.ande.gov.py/documentos_contables/157/compilacion_estadistica_1990-2010.pdf</t>
        </is>
      </c>
      <c r="K67" t="inlineStr">
        <is>
          <t>https://data.worldbank.org/indicator/FP.CPI.TOTL?locations=PY</t>
        </is>
      </c>
      <c r="L67" t="inlineStr">
        <is>
          <t>https://data.worldbank.org/indicator/PA.NUS.FCRF?locations=PY</t>
        </is>
      </c>
    </row>
    <row r="68">
      <c r="A68" t="n">
        <v>1997</v>
      </c>
      <c r="B68" t="inlineStr">
        <is>
          <t>ANDE_TARIFF_GENERAL</t>
        </is>
      </c>
      <c r="C68" s="24" t="n">
        <v>103.9</v>
      </c>
      <c r="D68" s="36">
        <f>'Macro_Annual'!B10</f>
        <v/>
      </c>
      <c r="E68" s="32">
        <f>'Macro_Annual'!D10</f>
        <v/>
      </c>
      <c r="F68" s="37">
        <f>IFERROR(C68*'Macro_Annual'!$B$38/D68,"")</f>
        <v/>
      </c>
      <c r="G68" s="38">
        <f>IFERROR(C68*1000/E68,"")</f>
        <v/>
      </c>
      <c r="H68" t="inlineStr">
        <is>
          <t>OFFICIAL_AGGREGATE</t>
        </is>
      </c>
      <c r="I68" t="inlineStr">
        <is>
          <t>BACKFILL PROVISIONAL</t>
        </is>
      </c>
      <c r="J68" t="inlineStr">
        <is>
          <t>https://www.ande.gov.py/documentos_contables/157/compilacion_estadistica_1990-2010.pdf</t>
        </is>
      </c>
      <c r="K68" t="inlineStr">
        <is>
          <t>https://data.worldbank.org/indicator/FP.CPI.TOTL?locations=PY</t>
        </is>
      </c>
      <c r="L68" t="inlineStr">
        <is>
          <t>https://data.worldbank.org/indicator/PA.NUS.FCRF?locations=PY</t>
        </is>
      </c>
    </row>
    <row r="69">
      <c r="A69" t="n">
        <v>1997</v>
      </c>
      <c r="B69" t="inlineStr">
        <is>
          <t>ANDE_TARIFF_GENERAL_AVG</t>
        </is>
      </c>
      <c r="C69" s="24" t="n">
        <v>122.7</v>
      </c>
      <c r="D69" s="36">
        <f>'Macro_Annual'!B10</f>
        <v/>
      </c>
      <c r="E69" s="32">
        <f>'Macro_Annual'!D10</f>
        <v/>
      </c>
      <c r="F69" s="37">
        <f>IFERROR(C69*'Macro_Annual'!$B$38/D69,"")</f>
        <v/>
      </c>
      <c r="G69" s="38">
        <f>IFERROR(C69*1000/E69,"")</f>
        <v/>
      </c>
      <c r="H69" t="inlineStr">
        <is>
          <t>OFFICIAL_AGGREGATE</t>
        </is>
      </c>
      <c r="I69" t="inlineStr">
        <is>
          <t>BACKFILL PROVISIONAL</t>
        </is>
      </c>
      <c r="J69" t="inlineStr">
        <is>
          <t>https://www.ande.gov.py/documentos_contables/157/compilacion_estadistica_1990-2010.pdf</t>
        </is>
      </c>
      <c r="K69" t="inlineStr">
        <is>
          <t>https://data.worldbank.org/indicator/FP.CPI.TOTL?locations=PY</t>
        </is>
      </c>
      <c r="L69" t="inlineStr">
        <is>
          <t>https://data.worldbank.org/indicator/PA.NUS.FCRF?locations=PY</t>
        </is>
      </c>
    </row>
    <row r="70">
      <c r="A70" t="n">
        <v>1997</v>
      </c>
      <c r="B70" t="inlineStr">
        <is>
          <t>ANDE_TARIFF_GOV</t>
        </is>
      </c>
      <c r="C70" s="24" t="n">
        <v>95.40000000000001</v>
      </c>
      <c r="D70" s="36">
        <f>'Macro_Annual'!B10</f>
        <v/>
      </c>
      <c r="E70" s="32">
        <f>'Macro_Annual'!D10</f>
        <v/>
      </c>
      <c r="F70" s="37">
        <f>IFERROR(C70*'Macro_Annual'!$B$38/D70,"")</f>
        <v/>
      </c>
      <c r="G70" s="38">
        <f>IFERROR(C70*1000/E70,"")</f>
        <v/>
      </c>
      <c r="H70" t="inlineStr">
        <is>
          <t>OFFICIAL_AGGREGATE</t>
        </is>
      </c>
      <c r="I70" t="inlineStr">
        <is>
          <t>BACKFILL PROVISIONAL</t>
        </is>
      </c>
      <c r="J70" t="inlineStr">
        <is>
          <t>https://www.ande.gov.py/documentos_contables/157/compilacion_estadistica_1990-2010.pdf</t>
        </is>
      </c>
      <c r="K70" t="inlineStr">
        <is>
          <t>https://data.worldbank.org/indicator/FP.CPI.TOTL?locations=PY</t>
        </is>
      </c>
      <c r="L70" t="inlineStr">
        <is>
          <t>https://data.worldbank.org/indicator/PA.NUS.FCRF?locations=PY</t>
        </is>
      </c>
    </row>
    <row r="71">
      <c r="A71" t="n">
        <v>1997</v>
      </c>
      <c r="B71" t="inlineStr">
        <is>
          <t>ANDE_TARIFF_INDUSTRIAL</t>
        </is>
      </c>
      <c r="C71" s="24" t="n">
        <v>95.8</v>
      </c>
      <c r="D71" s="36">
        <f>'Macro_Annual'!B10</f>
        <v/>
      </c>
      <c r="E71" s="32">
        <f>'Macro_Annual'!D10</f>
        <v/>
      </c>
      <c r="F71" s="37">
        <f>IFERROR(C71*'Macro_Annual'!$B$38/D71,"")</f>
        <v/>
      </c>
      <c r="G71" s="38">
        <f>IFERROR(C71*1000/E71,"")</f>
        <v/>
      </c>
      <c r="H71" t="inlineStr">
        <is>
          <t>OFFICIAL_AGGREGATE</t>
        </is>
      </c>
      <c r="I71" t="inlineStr">
        <is>
          <t>BACKFILL PROVISIONAL</t>
        </is>
      </c>
      <c r="J71" t="inlineStr">
        <is>
          <t>https://www.ande.gov.py/documentos_contables/157/compilacion_estadistica_1990-2010.pdf</t>
        </is>
      </c>
      <c r="K71" t="inlineStr">
        <is>
          <t>https://data.worldbank.org/indicator/FP.CPI.TOTL?locations=PY</t>
        </is>
      </c>
      <c r="L71" t="inlineStr">
        <is>
          <t>https://data.worldbank.org/indicator/PA.NUS.FCRF?locations=PY</t>
        </is>
      </c>
    </row>
    <row r="72">
      <c r="A72" t="n">
        <v>1997</v>
      </c>
      <c r="B72" t="inlineStr">
        <is>
          <t>ANDE_TARIFF_NATIONAL_AVG</t>
        </is>
      </c>
      <c r="C72" s="24" t="n">
        <v>124.6</v>
      </c>
      <c r="D72" s="36">
        <f>'Macro_Annual'!B10</f>
        <v/>
      </c>
      <c r="E72" s="32">
        <f>'Macro_Annual'!D10</f>
        <v/>
      </c>
      <c r="F72" s="37">
        <f>IFERROR(C72*'Macro_Annual'!$B$38/D72,"")</f>
        <v/>
      </c>
      <c r="G72" s="38">
        <f>IFERROR(C72*1000/E72,"")</f>
        <v/>
      </c>
      <c r="H72" t="inlineStr">
        <is>
          <t>OFFICIAL_AGGREGATE</t>
        </is>
      </c>
      <c r="I72" t="inlineStr">
        <is>
          <t>BACKFILL PROVISIONAL</t>
        </is>
      </c>
      <c r="J72" t="inlineStr">
        <is>
          <t>https://www.ande.gov.py/documentos_contables/157/compilacion_estadistica_1990-2010.pdf</t>
        </is>
      </c>
      <c r="K72" t="inlineStr">
        <is>
          <t>https://data.worldbank.org/indicator/FP.CPI.TOTL?locations=PY</t>
        </is>
      </c>
      <c r="L72" t="inlineStr">
        <is>
          <t>https://data.worldbank.org/indicator/PA.NUS.FCRF?locations=PY</t>
        </is>
      </c>
    </row>
    <row r="73">
      <c r="A73" t="n">
        <v>1997</v>
      </c>
      <c r="B73" t="inlineStr">
        <is>
          <t>ANDE_TARIFF_PUBLIC_LIGHT</t>
        </is>
      </c>
      <c r="C73" s="24" t="n">
        <v>177.8</v>
      </c>
      <c r="D73" s="36">
        <f>'Macro_Annual'!B10</f>
        <v/>
      </c>
      <c r="E73" s="32">
        <f>'Macro_Annual'!D10</f>
        <v/>
      </c>
      <c r="F73" s="37">
        <f>IFERROR(C73*'Macro_Annual'!$B$38/D73,"")</f>
        <v/>
      </c>
      <c r="G73" s="38">
        <f>IFERROR(C73*1000/E73,"")</f>
        <v/>
      </c>
      <c r="H73" t="inlineStr">
        <is>
          <t>OFFICIAL_AGGREGATE</t>
        </is>
      </c>
      <c r="I73" t="inlineStr">
        <is>
          <t>BACKFILL PROVISIONAL</t>
        </is>
      </c>
      <c r="J73" t="inlineStr">
        <is>
          <t>https://www.ande.gov.py/documentos_contables/157/compilacion_estadistica_1990-2010.pdf</t>
        </is>
      </c>
      <c r="K73" t="inlineStr">
        <is>
          <t>https://data.worldbank.org/indicator/FP.CPI.TOTL?locations=PY</t>
        </is>
      </c>
      <c r="L73" t="inlineStr">
        <is>
          <t>https://data.worldbank.org/indicator/PA.NUS.FCRF?locations=PY</t>
        </is>
      </c>
    </row>
    <row r="74">
      <c r="A74" t="n">
        <v>1997</v>
      </c>
      <c r="B74" t="inlineStr">
        <is>
          <t>ANDE_TARIFF_RESIDENTIAL</t>
        </is>
      </c>
      <c r="C74" s="24" t="n">
        <v>135.1</v>
      </c>
      <c r="D74" s="36">
        <f>'Macro_Annual'!B10</f>
        <v/>
      </c>
      <c r="E74" s="32">
        <f>'Macro_Annual'!D10</f>
        <v/>
      </c>
      <c r="F74" s="37">
        <f>IFERROR(C74*'Macro_Annual'!$B$38/D74,"")</f>
        <v/>
      </c>
      <c r="G74" s="38">
        <f>IFERROR(C74*1000/E74,"")</f>
        <v/>
      </c>
      <c r="H74" t="inlineStr">
        <is>
          <t>OFFICIAL_AGGREGATE</t>
        </is>
      </c>
      <c r="I74" t="inlineStr">
        <is>
          <t>BACKFILL PROVISIONAL</t>
        </is>
      </c>
      <c r="J74" t="inlineStr">
        <is>
          <t>https://www.ande.gov.py/documentos_contables/157/compilacion_estadistica_1990-2010.pdf</t>
        </is>
      </c>
      <c r="K74" t="inlineStr">
        <is>
          <t>https://data.worldbank.org/indicator/FP.CPI.TOTL?locations=PY</t>
        </is>
      </c>
      <c r="L74" t="inlineStr">
        <is>
          <t>https://data.worldbank.org/indicator/PA.NUS.FCRF?locations=PY</t>
        </is>
      </c>
    </row>
    <row r="75">
      <c r="A75" t="n">
        <v>1998</v>
      </c>
      <c r="B75" t="inlineStr">
        <is>
          <t>ANDE_TARIFF_COMMERCIAL</t>
        </is>
      </c>
      <c r="C75" s="24" t="n">
        <v>163.2</v>
      </c>
      <c r="D75" s="36">
        <f>'Macro_Annual'!B11</f>
        <v/>
      </c>
      <c r="E75" s="32">
        <f>'Macro_Annual'!D11</f>
        <v/>
      </c>
      <c r="F75" s="37">
        <f>IFERROR(C75*'Macro_Annual'!$B$38/D75,"")</f>
        <v/>
      </c>
      <c r="G75" s="38">
        <f>IFERROR(C75*1000/E75,"")</f>
        <v/>
      </c>
      <c r="H75" t="inlineStr">
        <is>
          <t>OFFICIAL_AGGREGATE</t>
        </is>
      </c>
      <c r="I75" t="inlineStr">
        <is>
          <t>BACKFILL PROVISIONAL</t>
        </is>
      </c>
      <c r="J75" t="inlineStr">
        <is>
          <t>https://www.ande.gov.py/documentos_contables/157/compilacion_estadistica_1990-2010.pdf</t>
        </is>
      </c>
      <c r="K75" t="inlineStr">
        <is>
          <t>https://data.worldbank.org/indicator/FP.CPI.TOTL?locations=PY</t>
        </is>
      </c>
      <c r="L75" t="inlineStr">
        <is>
          <t>https://data.worldbank.org/indicator/PA.NUS.FCRF?locations=PY</t>
        </is>
      </c>
    </row>
    <row r="76">
      <c r="A76" t="n">
        <v>1998</v>
      </c>
      <c r="B76" t="inlineStr">
        <is>
          <t>ANDE_TARIFF_EXPORT_AVG</t>
        </is>
      </c>
      <c r="C76" s="24" t="n">
        <v>48.7</v>
      </c>
      <c r="D76" s="36">
        <f>'Macro_Annual'!B11</f>
        <v/>
      </c>
      <c r="E76" s="32">
        <f>'Macro_Annual'!D11</f>
        <v/>
      </c>
      <c r="F76" s="37">
        <f>IFERROR(C76*'Macro_Annual'!$B$38/D76,"")</f>
        <v/>
      </c>
      <c r="G76" s="38">
        <f>IFERROR(C76*1000/E76,"")</f>
        <v/>
      </c>
      <c r="H76" t="inlineStr">
        <is>
          <t>OFFICIAL_AGGREGATE</t>
        </is>
      </c>
      <c r="I76" t="inlineStr">
        <is>
          <t>BACKFILL PROVISIONAL</t>
        </is>
      </c>
      <c r="J76" t="inlineStr">
        <is>
          <t>https://www.ande.gov.py/documentos_contables/157/compilacion_estadistica_1990-2010.pdf</t>
        </is>
      </c>
      <c r="K76" t="inlineStr">
        <is>
          <t>https://data.worldbank.org/indicator/FP.CPI.TOTL?locations=PY</t>
        </is>
      </c>
      <c r="L76" t="inlineStr">
        <is>
          <t>https://data.worldbank.org/indicator/PA.NUS.FCRF?locations=PY</t>
        </is>
      </c>
    </row>
    <row r="77">
      <c r="A77" t="n">
        <v>1998</v>
      </c>
      <c r="B77" t="inlineStr">
        <is>
          <t>ANDE_TARIFF_GENERAL</t>
        </is>
      </c>
      <c r="C77" s="24" t="n">
        <v>149.1</v>
      </c>
      <c r="D77" s="36">
        <f>'Macro_Annual'!B11</f>
        <v/>
      </c>
      <c r="E77" s="32">
        <f>'Macro_Annual'!D11</f>
        <v/>
      </c>
      <c r="F77" s="37">
        <f>IFERROR(C77*'Macro_Annual'!$B$38/D77,"")</f>
        <v/>
      </c>
      <c r="G77" s="38">
        <f>IFERROR(C77*1000/E77,"")</f>
        <v/>
      </c>
      <c r="H77" t="inlineStr">
        <is>
          <t>OFFICIAL_AGGREGATE</t>
        </is>
      </c>
      <c r="I77" t="inlineStr">
        <is>
          <t>BACKFILL PROVISIONAL</t>
        </is>
      </c>
      <c r="J77" t="inlineStr">
        <is>
          <t>https://www.ande.gov.py/documentos_contables/157/compilacion_estadistica_1990-2010.pdf</t>
        </is>
      </c>
      <c r="K77" t="inlineStr">
        <is>
          <t>https://data.worldbank.org/indicator/FP.CPI.TOTL?locations=PY</t>
        </is>
      </c>
      <c r="L77" t="inlineStr">
        <is>
          <t>https://data.worldbank.org/indicator/PA.NUS.FCRF?locations=PY</t>
        </is>
      </c>
    </row>
    <row r="78">
      <c r="A78" t="n">
        <v>1998</v>
      </c>
      <c r="B78" t="inlineStr">
        <is>
          <t>ANDE_TARIFF_GENERAL_AVG</t>
        </is>
      </c>
      <c r="C78" s="24" t="n">
        <v>146.1</v>
      </c>
      <c r="D78" s="36">
        <f>'Macro_Annual'!B11</f>
        <v/>
      </c>
      <c r="E78" s="32">
        <f>'Macro_Annual'!D11</f>
        <v/>
      </c>
      <c r="F78" s="37">
        <f>IFERROR(C78*'Macro_Annual'!$B$38/D78,"")</f>
        <v/>
      </c>
      <c r="G78" s="38">
        <f>IFERROR(C78*1000/E78,"")</f>
        <v/>
      </c>
      <c r="H78" t="inlineStr">
        <is>
          <t>OFFICIAL_AGGREGATE</t>
        </is>
      </c>
      <c r="I78" t="inlineStr">
        <is>
          <t>BACKFILL PROVISIONAL</t>
        </is>
      </c>
      <c r="J78" t="inlineStr">
        <is>
          <t>https://www.ande.gov.py/documentos_contables/157/compilacion_estadistica_1990-2010.pdf</t>
        </is>
      </c>
      <c r="K78" t="inlineStr">
        <is>
          <t>https://data.worldbank.org/indicator/FP.CPI.TOTL?locations=PY</t>
        </is>
      </c>
      <c r="L78" t="inlineStr">
        <is>
          <t>https://data.worldbank.org/indicator/PA.NUS.FCRF?locations=PY</t>
        </is>
      </c>
    </row>
    <row r="79">
      <c r="A79" t="n">
        <v>1998</v>
      </c>
      <c r="B79" t="inlineStr">
        <is>
          <t>ANDE_TARIFF_GOV</t>
        </is>
      </c>
      <c r="C79" s="24" t="n">
        <v>120.1</v>
      </c>
      <c r="D79" s="36">
        <f>'Macro_Annual'!B11</f>
        <v/>
      </c>
      <c r="E79" s="32">
        <f>'Macro_Annual'!D11</f>
        <v/>
      </c>
      <c r="F79" s="37">
        <f>IFERROR(C79*'Macro_Annual'!$B$38/D79,"")</f>
        <v/>
      </c>
      <c r="G79" s="38">
        <f>IFERROR(C79*1000/E79,"")</f>
        <v/>
      </c>
      <c r="H79" t="inlineStr">
        <is>
          <t>OFFICIAL_AGGREGATE</t>
        </is>
      </c>
      <c r="I79" t="inlineStr">
        <is>
          <t>BACKFILL PROVISIONAL</t>
        </is>
      </c>
      <c r="J79" t="inlineStr">
        <is>
          <t>https://www.ande.gov.py/documentos_contables/157/compilacion_estadistica_1990-2010.pdf</t>
        </is>
      </c>
      <c r="K79" t="inlineStr">
        <is>
          <t>https://data.worldbank.org/indicator/FP.CPI.TOTL?locations=PY</t>
        </is>
      </c>
      <c r="L79" t="inlineStr">
        <is>
          <t>https://data.worldbank.org/indicator/PA.NUS.FCRF?locations=PY</t>
        </is>
      </c>
    </row>
    <row r="80">
      <c r="A80" t="n">
        <v>1998</v>
      </c>
      <c r="B80" t="inlineStr">
        <is>
          <t>ANDE_TARIFF_INDUSTRIAL</t>
        </is>
      </c>
      <c r="C80" s="24" t="n">
        <v>109.6</v>
      </c>
      <c r="D80" s="36">
        <f>'Macro_Annual'!B11</f>
        <v/>
      </c>
      <c r="E80" s="32">
        <f>'Macro_Annual'!D11</f>
        <v/>
      </c>
      <c r="F80" s="37">
        <f>IFERROR(C80*'Macro_Annual'!$B$38/D80,"")</f>
        <v/>
      </c>
      <c r="G80" s="38">
        <f>IFERROR(C80*1000/E80,"")</f>
        <v/>
      </c>
      <c r="H80" t="inlineStr">
        <is>
          <t>OFFICIAL_AGGREGATE</t>
        </is>
      </c>
      <c r="I80" t="inlineStr">
        <is>
          <t>BACKFILL PROVISIONAL</t>
        </is>
      </c>
      <c r="J80" t="inlineStr">
        <is>
          <t>https://www.ande.gov.py/documentos_contables/157/compilacion_estadistica_1990-2010.pdf</t>
        </is>
      </c>
      <c r="K80" t="inlineStr">
        <is>
          <t>https://data.worldbank.org/indicator/FP.CPI.TOTL?locations=PY</t>
        </is>
      </c>
      <c r="L80" t="inlineStr">
        <is>
          <t>https://data.worldbank.org/indicator/PA.NUS.FCRF?locations=PY</t>
        </is>
      </c>
    </row>
    <row r="81">
      <c r="A81" t="n">
        <v>1998</v>
      </c>
      <c r="B81" t="inlineStr">
        <is>
          <t>ANDE_TARIFF_NATIONAL_AVG</t>
        </is>
      </c>
      <c r="C81" s="24" t="n">
        <v>148.6</v>
      </c>
      <c r="D81" s="36">
        <f>'Macro_Annual'!B11</f>
        <v/>
      </c>
      <c r="E81" s="32">
        <f>'Macro_Annual'!D11</f>
        <v/>
      </c>
      <c r="F81" s="37">
        <f>IFERROR(C81*'Macro_Annual'!$B$38/D81,"")</f>
        <v/>
      </c>
      <c r="G81" s="38">
        <f>IFERROR(C81*1000/E81,"")</f>
        <v/>
      </c>
      <c r="H81" t="inlineStr">
        <is>
          <t>OFFICIAL_AGGREGATE</t>
        </is>
      </c>
      <c r="I81" t="inlineStr">
        <is>
          <t>BACKFILL PROVISIONAL</t>
        </is>
      </c>
      <c r="J81" t="inlineStr">
        <is>
          <t>https://www.ande.gov.py/documentos_contables/157/compilacion_estadistica_1990-2010.pdf</t>
        </is>
      </c>
      <c r="K81" t="inlineStr">
        <is>
          <t>https://data.worldbank.org/indicator/FP.CPI.TOTL?locations=PY</t>
        </is>
      </c>
      <c r="L81" t="inlineStr">
        <is>
          <t>https://data.worldbank.org/indicator/PA.NUS.FCRF?locations=PY</t>
        </is>
      </c>
    </row>
    <row r="82">
      <c r="A82" t="n">
        <v>1998</v>
      </c>
      <c r="B82" t="inlineStr">
        <is>
          <t>ANDE_TARIFF_PUBLIC_LIGHT</t>
        </is>
      </c>
      <c r="C82" s="24" t="n">
        <v>185.2</v>
      </c>
      <c r="D82" s="36">
        <f>'Macro_Annual'!B11</f>
        <v/>
      </c>
      <c r="E82" s="32">
        <f>'Macro_Annual'!D11</f>
        <v/>
      </c>
      <c r="F82" s="37">
        <f>IFERROR(C82*'Macro_Annual'!$B$38/D82,"")</f>
        <v/>
      </c>
      <c r="G82" s="38">
        <f>IFERROR(C82*1000/E82,"")</f>
        <v/>
      </c>
      <c r="H82" t="inlineStr">
        <is>
          <t>OFFICIAL_AGGREGATE</t>
        </is>
      </c>
      <c r="I82" t="inlineStr">
        <is>
          <t>BACKFILL PROVISIONAL</t>
        </is>
      </c>
      <c r="J82" t="inlineStr">
        <is>
          <t>https://www.ande.gov.py/documentos_contables/157/compilacion_estadistica_1990-2010.pdf</t>
        </is>
      </c>
      <c r="K82" t="inlineStr">
        <is>
          <t>https://data.worldbank.org/indicator/FP.CPI.TOTL?locations=PY</t>
        </is>
      </c>
      <c r="L82" t="inlineStr">
        <is>
          <t>https://data.worldbank.org/indicator/PA.NUS.FCRF?locations=PY</t>
        </is>
      </c>
    </row>
    <row r="83">
      <c r="A83" t="n">
        <v>1998</v>
      </c>
      <c r="B83" t="inlineStr">
        <is>
          <t>ANDE_TARIFF_RESIDENTIAL</t>
        </is>
      </c>
      <c r="C83" s="24" t="n">
        <v>159.9</v>
      </c>
      <c r="D83" s="36">
        <f>'Macro_Annual'!B11</f>
        <v/>
      </c>
      <c r="E83" s="32">
        <f>'Macro_Annual'!D11</f>
        <v/>
      </c>
      <c r="F83" s="37">
        <f>IFERROR(C83*'Macro_Annual'!$B$38/D83,"")</f>
        <v/>
      </c>
      <c r="G83" s="38">
        <f>IFERROR(C83*1000/E83,"")</f>
        <v/>
      </c>
      <c r="H83" t="inlineStr">
        <is>
          <t>OFFICIAL_AGGREGATE</t>
        </is>
      </c>
      <c r="I83" t="inlineStr">
        <is>
          <t>BACKFILL PROVISIONAL</t>
        </is>
      </c>
      <c r="J83" t="inlineStr">
        <is>
          <t>https://www.ande.gov.py/documentos_contables/157/compilacion_estadistica_1990-2010.pdf</t>
        </is>
      </c>
      <c r="K83" t="inlineStr">
        <is>
          <t>https://data.worldbank.org/indicator/FP.CPI.TOTL?locations=PY</t>
        </is>
      </c>
      <c r="L83" t="inlineStr">
        <is>
          <t>https://data.worldbank.org/indicator/PA.NUS.FCRF?locations=PY</t>
        </is>
      </c>
    </row>
    <row r="84">
      <c r="A84" t="n">
        <v>1999</v>
      </c>
      <c r="B84" t="inlineStr">
        <is>
          <t>ANDE_TARIFF_COMMERCIAL</t>
        </is>
      </c>
      <c r="C84" s="24" t="n">
        <v>163.4</v>
      </c>
      <c r="D84" s="36">
        <f>'Macro_Annual'!B12</f>
        <v/>
      </c>
      <c r="E84" s="32">
        <f>'Macro_Annual'!D12</f>
        <v/>
      </c>
      <c r="F84" s="37">
        <f>IFERROR(C84*'Macro_Annual'!$B$38/D84,"")</f>
        <v/>
      </c>
      <c r="G84" s="38">
        <f>IFERROR(C84*1000/E84,"")</f>
        <v/>
      </c>
      <c r="H84" t="inlineStr">
        <is>
          <t>OFFICIAL_AGGREGATE</t>
        </is>
      </c>
      <c r="I84" t="inlineStr">
        <is>
          <t>BACKFILL PROVISIONAL</t>
        </is>
      </c>
      <c r="J84" t="inlineStr">
        <is>
          <t>https://www.ande.gov.py/documentos_contables/157/compilacion_estadistica_1990-2010.pdf</t>
        </is>
      </c>
      <c r="K84" t="inlineStr">
        <is>
          <t>https://data.worldbank.org/indicator/FP.CPI.TOTL?locations=PY</t>
        </is>
      </c>
      <c r="L84" t="inlineStr">
        <is>
          <t>https://data.worldbank.org/indicator/PA.NUS.FCRF?locations=PY</t>
        </is>
      </c>
    </row>
    <row r="85">
      <c r="A85" t="n">
        <v>1999</v>
      </c>
      <c r="B85" t="inlineStr">
        <is>
          <t>ANDE_TARIFF_EXPORT_AVG</t>
        </is>
      </c>
      <c r="C85" s="24" t="n">
        <v>40.2</v>
      </c>
      <c r="D85" s="36">
        <f>'Macro_Annual'!B12</f>
        <v/>
      </c>
      <c r="E85" s="32">
        <f>'Macro_Annual'!D12</f>
        <v/>
      </c>
      <c r="F85" s="37">
        <f>IFERROR(C85*'Macro_Annual'!$B$38/D85,"")</f>
        <v/>
      </c>
      <c r="G85" s="38">
        <f>IFERROR(C85*1000/E85,"")</f>
        <v/>
      </c>
      <c r="H85" t="inlineStr">
        <is>
          <t>OFFICIAL_AGGREGATE</t>
        </is>
      </c>
      <c r="I85" t="inlineStr">
        <is>
          <t>BACKFILL PROVISIONAL</t>
        </is>
      </c>
      <c r="J85" t="inlineStr">
        <is>
          <t>https://www.ande.gov.py/documentos_contables/157/compilacion_estadistica_1990-2010.pdf</t>
        </is>
      </c>
      <c r="K85" t="inlineStr">
        <is>
          <t>https://data.worldbank.org/indicator/FP.CPI.TOTL?locations=PY</t>
        </is>
      </c>
      <c r="L85" t="inlineStr">
        <is>
          <t>https://data.worldbank.org/indicator/PA.NUS.FCRF?locations=PY</t>
        </is>
      </c>
    </row>
    <row r="86">
      <c r="A86" t="n">
        <v>1999</v>
      </c>
      <c r="B86" t="inlineStr">
        <is>
          <t>ANDE_TARIFF_GENERAL</t>
        </is>
      </c>
      <c r="C86" s="24" t="n">
        <v>154.9</v>
      </c>
      <c r="D86" s="36">
        <f>'Macro_Annual'!B12</f>
        <v/>
      </c>
      <c r="E86" s="32">
        <f>'Macro_Annual'!D12</f>
        <v/>
      </c>
      <c r="F86" s="37">
        <f>IFERROR(C86*'Macro_Annual'!$B$38/D86,"")</f>
        <v/>
      </c>
      <c r="G86" s="38">
        <f>IFERROR(C86*1000/E86,"")</f>
        <v/>
      </c>
      <c r="H86" t="inlineStr">
        <is>
          <t>OFFICIAL_AGGREGATE</t>
        </is>
      </c>
      <c r="I86" t="inlineStr">
        <is>
          <t>BACKFILL PROVISIONAL</t>
        </is>
      </c>
      <c r="J86" t="inlineStr">
        <is>
          <t>https://www.ande.gov.py/documentos_contables/157/compilacion_estadistica_1990-2010.pdf</t>
        </is>
      </c>
      <c r="K86" t="inlineStr">
        <is>
          <t>https://data.worldbank.org/indicator/FP.CPI.TOTL?locations=PY</t>
        </is>
      </c>
      <c r="L86" t="inlineStr">
        <is>
          <t>https://data.worldbank.org/indicator/PA.NUS.FCRF?locations=PY</t>
        </is>
      </c>
    </row>
    <row r="87">
      <c r="A87" t="n">
        <v>1999</v>
      </c>
      <c r="B87" t="inlineStr">
        <is>
          <t>ANDE_TARIFF_GENERAL_AVG</t>
        </is>
      </c>
      <c r="C87" s="24" t="n">
        <v>136.1</v>
      </c>
      <c r="D87" s="36">
        <f>'Macro_Annual'!B12</f>
        <v/>
      </c>
      <c r="E87" s="32">
        <f>'Macro_Annual'!D12</f>
        <v/>
      </c>
      <c r="F87" s="37">
        <f>IFERROR(C87*'Macro_Annual'!$B$38/D87,"")</f>
        <v/>
      </c>
      <c r="G87" s="38">
        <f>IFERROR(C87*1000/E87,"")</f>
        <v/>
      </c>
      <c r="H87" t="inlineStr">
        <is>
          <t>OFFICIAL_AGGREGATE</t>
        </is>
      </c>
      <c r="I87" t="inlineStr">
        <is>
          <t>BACKFILL PROVISIONAL</t>
        </is>
      </c>
      <c r="J87" t="inlineStr">
        <is>
          <t>https://www.ande.gov.py/documentos_contables/157/compilacion_estadistica_1990-2010.pdf</t>
        </is>
      </c>
      <c r="K87" t="inlineStr">
        <is>
          <t>https://data.worldbank.org/indicator/FP.CPI.TOTL?locations=PY</t>
        </is>
      </c>
      <c r="L87" t="inlineStr">
        <is>
          <t>https://data.worldbank.org/indicator/PA.NUS.FCRF?locations=PY</t>
        </is>
      </c>
    </row>
    <row r="88">
      <c r="A88" t="n">
        <v>1999</v>
      </c>
      <c r="B88" t="inlineStr">
        <is>
          <t>ANDE_TARIFF_GOV</t>
        </is>
      </c>
      <c r="C88" s="24" t="n">
        <v>129</v>
      </c>
      <c r="D88" s="36">
        <f>'Macro_Annual'!B12</f>
        <v/>
      </c>
      <c r="E88" s="32">
        <f>'Macro_Annual'!D12</f>
        <v/>
      </c>
      <c r="F88" s="37">
        <f>IFERROR(C88*'Macro_Annual'!$B$38/D88,"")</f>
        <v/>
      </c>
      <c r="G88" s="38">
        <f>IFERROR(C88*1000/E88,"")</f>
        <v/>
      </c>
      <c r="H88" t="inlineStr">
        <is>
          <t>OFFICIAL_AGGREGATE</t>
        </is>
      </c>
      <c r="I88" t="inlineStr">
        <is>
          <t>BACKFILL PROVISIONAL</t>
        </is>
      </c>
      <c r="J88" t="inlineStr">
        <is>
          <t>https://www.ande.gov.py/documentos_contables/157/compilacion_estadistica_1990-2010.pdf</t>
        </is>
      </c>
      <c r="K88" t="inlineStr">
        <is>
          <t>https://data.worldbank.org/indicator/FP.CPI.TOTL?locations=PY</t>
        </is>
      </c>
      <c r="L88" t="inlineStr">
        <is>
          <t>https://data.worldbank.org/indicator/PA.NUS.FCRF?locations=PY</t>
        </is>
      </c>
    </row>
    <row r="89">
      <c r="A89" t="n">
        <v>1999</v>
      </c>
      <c r="B89" t="inlineStr">
        <is>
          <t>ANDE_TARIFF_INDUSTRIAL</t>
        </is>
      </c>
      <c r="C89" s="24" t="n">
        <v>99.90000000000001</v>
      </c>
      <c r="D89" s="36">
        <f>'Macro_Annual'!B12</f>
        <v/>
      </c>
      <c r="E89" s="32">
        <f>'Macro_Annual'!D12</f>
        <v/>
      </c>
      <c r="F89" s="37">
        <f>IFERROR(C89*'Macro_Annual'!$B$38/D89,"")</f>
        <v/>
      </c>
      <c r="G89" s="38">
        <f>IFERROR(C89*1000/E89,"")</f>
        <v/>
      </c>
      <c r="H89" t="inlineStr">
        <is>
          <t>OFFICIAL_AGGREGATE</t>
        </is>
      </c>
      <c r="I89" t="inlineStr">
        <is>
          <t>BACKFILL PROVISIONAL</t>
        </is>
      </c>
      <c r="J89" t="inlineStr">
        <is>
          <t>https://www.ande.gov.py/documentos_contables/157/compilacion_estadistica_1990-2010.pdf</t>
        </is>
      </c>
      <c r="K89" t="inlineStr">
        <is>
          <t>https://data.worldbank.org/indicator/FP.CPI.TOTL?locations=PY</t>
        </is>
      </c>
      <c r="L89" t="inlineStr">
        <is>
          <t>https://data.worldbank.org/indicator/PA.NUS.FCRF?locations=PY</t>
        </is>
      </c>
    </row>
    <row r="90">
      <c r="A90" t="n">
        <v>1999</v>
      </c>
      <c r="B90" t="inlineStr">
        <is>
          <t>ANDE_TARIFF_NATIONAL_AVG</t>
        </is>
      </c>
      <c r="C90" s="24" t="n">
        <v>146.8</v>
      </c>
      <c r="D90" s="36">
        <f>'Macro_Annual'!B12</f>
        <v/>
      </c>
      <c r="E90" s="32">
        <f>'Macro_Annual'!D12</f>
        <v/>
      </c>
      <c r="F90" s="37">
        <f>IFERROR(C90*'Macro_Annual'!$B$38/D90,"")</f>
        <v/>
      </c>
      <c r="G90" s="38">
        <f>IFERROR(C90*1000/E90,"")</f>
        <v/>
      </c>
      <c r="H90" t="inlineStr">
        <is>
          <t>OFFICIAL_AGGREGATE</t>
        </is>
      </c>
      <c r="I90" t="inlineStr">
        <is>
          <t>BACKFILL PROVISIONAL</t>
        </is>
      </c>
      <c r="J90" t="inlineStr">
        <is>
          <t>https://www.ande.gov.py/documentos_contables/157/compilacion_estadistica_1990-2010.pdf</t>
        </is>
      </c>
      <c r="K90" t="inlineStr">
        <is>
          <t>https://data.worldbank.org/indicator/FP.CPI.TOTL?locations=PY</t>
        </is>
      </c>
      <c r="L90" t="inlineStr">
        <is>
          <t>https://data.worldbank.org/indicator/PA.NUS.FCRF?locations=PY</t>
        </is>
      </c>
    </row>
    <row r="91">
      <c r="A91" t="n">
        <v>1999</v>
      </c>
      <c r="B91" t="inlineStr">
        <is>
          <t>ANDE_TARIFF_PUBLIC_LIGHT</t>
        </is>
      </c>
      <c r="C91" s="24" t="n">
        <v>171.2</v>
      </c>
      <c r="D91" s="36">
        <f>'Macro_Annual'!B12</f>
        <v/>
      </c>
      <c r="E91" s="32">
        <f>'Macro_Annual'!D12</f>
        <v/>
      </c>
      <c r="F91" s="37">
        <f>IFERROR(C91*'Macro_Annual'!$B$38/D91,"")</f>
        <v/>
      </c>
      <c r="G91" s="38">
        <f>IFERROR(C91*1000/E91,"")</f>
        <v/>
      </c>
      <c r="H91" t="inlineStr">
        <is>
          <t>OFFICIAL_AGGREGATE</t>
        </is>
      </c>
      <c r="I91" t="inlineStr">
        <is>
          <t>BACKFILL PROVISIONAL</t>
        </is>
      </c>
      <c r="J91" t="inlineStr">
        <is>
          <t>https://www.ande.gov.py/documentos_contables/157/compilacion_estadistica_1990-2010.pdf</t>
        </is>
      </c>
      <c r="K91" t="inlineStr">
        <is>
          <t>https://data.worldbank.org/indicator/FP.CPI.TOTL?locations=PY</t>
        </is>
      </c>
      <c r="L91" t="inlineStr">
        <is>
          <t>https://data.worldbank.org/indicator/PA.NUS.FCRF?locations=PY</t>
        </is>
      </c>
    </row>
    <row r="92">
      <c r="A92" t="n">
        <v>1999</v>
      </c>
      <c r="B92" t="inlineStr">
        <is>
          <t>ANDE_TARIFF_RESIDENTIAL</t>
        </is>
      </c>
      <c r="C92" s="24" t="n">
        <v>161.7</v>
      </c>
      <c r="D92" s="36">
        <f>'Macro_Annual'!B12</f>
        <v/>
      </c>
      <c r="E92" s="32">
        <f>'Macro_Annual'!D12</f>
        <v/>
      </c>
      <c r="F92" s="37">
        <f>IFERROR(C92*'Macro_Annual'!$B$38/D92,"")</f>
        <v/>
      </c>
      <c r="G92" s="38">
        <f>IFERROR(C92*1000/E92,"")</f>
        <v/>
      </c>
      <c r="H92" t="inlineStr">
        <is>
          <t>OFFICIAL_AGGREGATE</t>
        </is>
      </c>
      <c r="I92" t="inlineStr">
        <is>
          <t>BACKFILL PROVISIONAL</t>
        </is>
      </c>
      <c r="J92" t="inlineStr">
        <is>
          <t>https://www.ande.gov.py/documentos_contables/157/compilacion_estadistica_1990-2010.pdf</t>
        </is>
      </c>
      <c r="K92" t="inlineStr">
        <is>
          <t>https://data.worldbank.org/indicator/FP.CPI.TOTL?locations=PY</t>
        </is>
      </c>
      <c r="L92" t="inlineStr">
        <is>
          <t>https://data.worldbank.org/indicator/PA.NUS.FCRF?locations=PY</t>
        </is>
      </c>
    </row>
    <row r="93">
      <c r="A93" t="n">
        <v>2000</v>
      </c>
      <c r="B93" t="inlineStr">
        <is>
          <t>ANDE_TARIFF_COMMERCIAL</t>
        </is>
      </c>
      <c r="C93" s="24" t="n">
        <v>175.9</v>
      </c>
      <c r="D93" s="36">
        <f>'Macro_Annual'!B13</f>
        <v/>
      </c>
      <c r="E93" s="32">
        <f>'Macro_Annual'!D13</f>
        <v/>
      </c>
      <c r="F93" s="37">
        <f>IFERROR(C93*'Macro_Annual'!$B$38/D93,"")</f>
        <v/>
      </c>
      <c r="G93" s="38">
        <f>IFERROR(C93*1000/E93,"")</f>
        <v/>
      </c>
      <c r="H93" t="inlineStr">
        <is>
          <t>OFFICIAL_AGGREGATE</t>
        </is>
      </c>
      <c r="I93" t="inlineStr">
        <is>
          <t>BACKFILL PROVISIONAL</t>
        </is>
      </c>
      <c r="J93" t="inlineStr">
        <is>
          <t>https://www.ande.gov.py/documentos_contables/157/compilacion_estadistica_1990-2010.pdf</t>
        </is>
      </c>
      <c r="K93" t="inlineStr">
        <is>
          <t>https://data.worldbank.org/indicator/FP.CPI.TOTL?locations=PY</t>
        </is>
      </c>
      <c r="L93" t="inlineStr">
        <is>
          <t>https://data.worldbank.org/indicator/PA.NUS.FCRF?locations=PY</t>
        </is>
      </c>
    </row>
    <row r="94">
      <c r="A94" t="n">
        <v>2000</v>
      </c>
      <c r="B94" t="inlineStr">
        <is>
          <t>ANDE_TARIFF_EXPORT_AVG</t>
        </is>
      </c>
      <c r="C94" s="24" t="n">
        <v>53.7</v>
      </c>
      <c r="D94" s="36">
        <f>'Macro_Annual'!B13</f>
        <v/>
      </c>
      <c r="E94" s="32">
        <f>'Macro_Annual'!D13</f>
        <v/>
      </c>
      <c r="F94" s="37">
        <f>IFERROR(C94*'Macro_Annual'!$B$38/D94,"")</f>
        <v/>
      </c>
      <c r="G94" s="38">
        <f>IFERROR(C94*1000/E94,"")</f>
        <v/>
      </c>
      <c r="H94" t="inlineStr">
        <is>
          <t>OFFICIAL_AGGREGATE</t>
        </is>
      </c>
      <c r="I94" t="inlineStr">
        <is>
          <t>BACKFILL PROVISIONAL</t>
        </is>
      </c>
      <c r="J94" t="inlineStr">
        <is>
          <t>https://www.ande.gov.py/documentos_contables/157/compilacion_estadistica_1990-2010.pdf</t>
        </is>
      </c>
      <c r="K94" t="inlineStr">
        <is>
          <t>https://data.worldbank.org/indicator/FP.CPI.TOTL?locations=PY</t>
        </is>
      </c>
      <c r="L94" t="inlineStr">
        <is>
          <t>https://data.worldbank.org/indicator/PA.NUS.FCRF?locations=PY</t>
        </is>
      </c>
    </row>
    <row r="95">
      <c r="A95" t="n">
        <v>2000</v>
      </c>
      <c r="B95" t="inlineStr">
        <is>
          <t>ANDE_TARIFF_GENERAL</t>
        </is>
      </c>
      <c r="C95" s="24" t="n">
        <v>155.1</v>
      </c>
      <c r="D95" s="36">
        <f>'Macro_Annual'!B13</f>
        <v/>
      </c>
      <c r="E95" s="32">
        <f>'Macro_Annual'!D13</f>
        <v/>
      </c>
      <c r="F95" s="37">
        <f>IFERROR(C95*'Macro_Annual'!$B$38/D95,"")</f>
        <v/>
      </c>
      <c r="G95" s="38">
        <f>IFERROR(C95*1000/E95,"")</f>
        <v/>
      </c>
      <c r="H95" t="inlineStr">
        <is>
          <t>OFFICIAL_AGGREGATE</t>
        </is>
      </c>
      <c r="I95" t="inlineStr">
        <is>
          <t>BACKFILL PROVISIONAL</t>
        </is>
      </c>
      <c r="J95" t="inlineStr">
        <is>
          <t>https://www.ande.gov.py/documentos_contables/157/compilacion_estadistica_1990-2010.pdf</t>
        </is>
      </c>
      <c r="K95" t="inlineStr">
        <is>
          <t>https://data.worldbank.org/indicator/FP.CPI.TOTL?locations=PY</t>
        </is>
      </c>
      <c r="L95" t="inlineStr">
        <is>
          <t>https://data.worldbank.org/indicator/PA.NUS.FCRF?locations=PY</t>
        </is>
      </c>
    </row>
    <row r="96">
      <c r="A96" t="n">
        <v>2000</v>
      </c>
      <c r="B96" t="inlineStr">
        <is>
          <t>ANDE_TARIFF_GENERAL_AVG</t>
        </is>
      </c>
      <c r="C96" s="24" t="n">
        <v>146.4</v>
      </c>
      <c r="D96" s="36">
        <f>'Macro_Annual'!B13</f>
        <v/>
      </c>
      <c r="E96" s="32">
        <f>'Macro_Annual'!D13</f>
        <v/>
      </c>
      <c r="F96" s="37">
        <f>IFERROR(C96*'Macro_Annual'!$B$38/D96,"")</f>
        <v/>
      </c>
      <c r="G96" s="38">
        <f>IFERROR(C96*1000/E96,"")</f>
        <v/>
      </c>
      <c r="H96" t="inlineStr">
        <is>
          <t>OFFICIAL_AGGREGATE</t>
        </is>
      </c>
      <c r="I96" t="inlineStr">
        <is>
          <t>BACKFILL PROVISIONAL</t>
        </is>
      </c>
      <c r="J96" t="inlineStr">
        <is>
          <t>https://www.ande.gov.py/documentos_contables/157/compilacion_estadistica_1990-2010.pdf</t>
        </is>
      </c>
      <c r="K96" t="inlineStr">
        <is>
          <t>https://data.worldbank.org/indicator/FP.CPI.TOTL?locations=PY</t>
        </is>
      </c>
      <c r="L96" t="inlineStr">
        <is>
          <t>https://data.worldbank.org/indicator/PA.NUS.FCRF?locations=PY</t>
        </is>
      </c>
    </row>
    <row r="97">
      <c r="A97" t="n">
        <v>2000</v>
      </c>
      <c r="B97" t="inlineStr">
        <is>
          <t>ANDE_TARIFF_GOV</t>
        </is>
      </c>
      <c r="C97" s="24" t="n">
        <v>129.8</v>
      </c>
      <c r="D97" s="36">
        <f>'Macro_Annual'!B13</f>
        <v/>
      </c>
      <c r="E97" s="32">
        <f>'Macro_Annual'!D13</f>
        <v/>
      </c>
      <c r="F97" s="37">
        <f>IFERROR(C97*'Macro_Annual'!$B$38/D97,"")</f>
        <v/>
      </c>
      <c r="G97" s="38">
        <f>IFERROR(C97*1000/E97,"")</f>
        <v/>
      </c>
      <c r="H97" t="inlineStr">
        <is>
          <t>OFFICIAL_AGGREGATE</t>
        </is>
      </c>
      <c r="I97" t="inlineStr">
        <is>
          <t>BACKFILL PROVISIONAL</t>
        </is>
      </c>
      <c r="J97" t="inlineStr">
        <is>
          <t>https://www.ande.gov.py/documentos_contables/157/compilacion_estadistica_1990-2010.pdf</t>
        </is>
      </c>
      <c r="K97" t="inlineStr">
        <is>
          <t>https://data.worldbank.org/indicator/FP.CPI.TOTL?locations=PY</t>
        </is>
      </c>
      <c r="L97" t="inlineStr">
        <is>
          <t>https://data.worldbank.org/indicator/PA.NUS.FCRF?locations=PY</t>
        </is>
      </c>
    </row>
    <row r="98">
      <c r="A98" t="n">
        <v>2000</v>
      </c>
      <c r="B98" t="inlineStr">
        <is>
          <t>ANDE_TARIFF_INDUSTRIAL</t>
        </is>
      </c>
      <c r="C98" s="24" t="n">
        <v>111.6</v>
      </c>
      <c r="D98" s="36">
        <f>'Macro_Annual'!B13</f>
        <v/>
      </c>
      <c r="E98" s="32">
        <f>'Macro_Annual'!D13</f>
        <v/>
      </c>
      <c r="F98" s="37">
        <f>IFERROR(C98*'Macro_Annual'!$B$38/D98,"")</f>
        <v/>
      </c>
      <c r="G98" s="38">
        <f>IFERROR(C98*1000/E98,"")</f>
        <v/>
      </c>
      <c r="H98" t="inlineStr">
        <is>
          <t>OFFICIAL_AGGREGATE</t>
        </is>
      </c>
      <c r="I98" t="inlineStr">
        <is>
          <t>BACKFILL PROVISIONAL</t>
        </is>
      </c>
      <c r="J98" t="inlineStr">
        <is>
          <t>https://www.ande.gov.py/documentos_contables/157/compilacion_estadistica_1990-2010.pdf</t>
        </is>
      </c>
      <c r="K98" t="inlineStr">
        <is>
          <t>https://data.worldbank.org/indicator/FP.CPI.TOTL?locations=PY</t>
        </is>
      </c>
      <c r="L98" t="inlineStr">
        <is>
          <t>https://data.worldbank.org/indicator/PA.NUS.FCRF?locations=PY</t>
        </is>
      </c>
    </row>
    <row r="99">
      <c r="A99" t="n">
        <v>2000</v>
      </c>
      <c r="B99" t="inlineStr">
        <is>
          <t>ANDE_TARIFF_NATIONAL_AVG</t>
        </is>
      </c>
      <c r="C99" s="24" t="n">
        <v>159.1</v>
      </c>
      <c r="D99" s="36">
        <f>'Macro_Annual'!B13</f>
        <v/>
      </c>
      <c r="E99" s="32">
        <f>'Macro_Annual'!D13</f>
        <v/>
      </c>
      <c r="F99" s="37">
        <f>IFERROR(C99*'Macro_Annual'!$B$38/D99,"")</f>
        <v/>
      </c>
      <c r="G99" s="38">
        <f>IFERROR(C99*1000/E99,"")</f>
        <v/>
      </c>
      <c r="H99" t="inlineStr">
        <is>
          <t>OFFICIAL_AGGREGATE</t>
        </is>
      </c>
      <c r="I99" t="inlineStr">
        <is>
          <t>BACKFILL PROVISIONAL</t>
        </is>
      </c>
      <c r="J99" t="inlineStr">
        <is>
          <t>https://www.ande.gov.py/documentos_contables/157/compilacion_estadistica_1990-2010.pdf</t>
        </is>
      </c>
      <c r="K99" t="inlineStr">
        <is>
          <t>https://data.worldbank.org/indicator/FP.CPI.TOTL?locations=PY</t>
        </is>
      </c>
      <c r="L99" t="inlineStr">
        <is>
          <t>https://data.worldbank.org/indicator/PA.NUS.FCRF?locations=PY</t>
        </is>
      </c>
    </row>
    <row r="100">
      <c r="A100" t="n">
        <v>2000</v>
      </c>
      <c r="B100" t="inlineStr">
        <is>
          <t>ANDE_TARIFF_PUBLIC_LIGHT</t>
        </is>
      </c>
      <c r="C100" s="24" t="n">
        <v>235.6</v>
      </c>
      <c r="D100" s="36">
        <f>'Macro_Annual'!B13</f>
        <v/>
      </c>
      <c r="E100" s="32">
        <f>'Macro_Annual'!D13</f>
        <v/>
      </c>
      <c r="F100" s="37">
        <f>IFERROR(C100*'Macro_Annual'!$B$38/D100,"")</f>
        <v/>
      </c>
      <c r="G100" s="38">
        <f>IFERROR(C100*1000/E100,"")</f>
        <v/>
      </c>
      <c r="H100" t="inlineStr">
        <is>
          <t>OFFICIAL_AGGREGATE</t>
        </is>
      </c>
      <c r="I100" t="inlineStr">
        <is>
          <t>BACKFILL PROVISIONAL</t>
        </is>
      </c>
      <c r="J100" t="inlineStr">
        <is>
          <t>https://www.ande.gov.py/documentos_contables/157/compilacion_estadistica_1990-2010.pdf</t>
        </is>
      </c>
      <c r="K100" t="inlineStr">
        <is>
          <t>https://data.worldbank.org/indicator/FP.CPI.TOTL?locations=PY</t>
        </is>
      </c>
      <c r="L100" t="inlineStr">
        <is>
          <t>https://data.worldbank.org/indicator/PA.NUS.FCRF?locations=PY</t>
        </is>
      </c>
    </row>
    <row r="101">
      <c r="A101" t="n">
        <v>2000</v>
      </c>
      <c r="B101" t="inlineStr">
        <is>
          <t>ANDE_TARIFF_RESIDENTIAL</t>
        </is>
      </c>
      <c r="C101" s="24" t="n">
        <v>171.4</v>
      </c>
      <c r="D101" s="36">
        <f>'Macro_Annual'!B13</f>
        <v/>
      </c>
      <c r="E101" s="32">
        <f>'Macro_Annual'!D13</f>
        <v/>
      </c>
      <c r="F101" s="37">
        <f>IFERROR(C101*'Macro_Annual'!$B$38/D101,"")</f>
        <v/>
      </c>
      <c r="G101" s="38">
        <f>IFERROR(C101*1000/E101,"")</f>
        <v/>
      </c>
      <c r="H101" t="inlineStr">
        <is>
          <t>OFFICIAL_AGGREGATE</t>
        </is>
      </c>
      <c r="I101" t="inlineStr">
        <is>
          <t>BACKFILL PROVISIONAL</t>
        </is>
      </c>
      <c r="J101" t="inlineStr">
        <is>
          <t>https://www.ande.gov.py/documentos_contables/157/compilacion_estadistica_1990-2010.pdf</t>
        </is>
      </c>
      <c r="K101" t="inlineStr">
        <is>
          <t>https://data.worldbank.org/indicator/FP.CPI.TOTL?locations=PY</t>
        </is>
      </c>
      <c r="L101" t="inlineStr">
        <is>
          <t>https://data.worldbank.org/indicator/PA.NUS.FCRF?locations=PY</t>
        </is>
      </c>
    </row>
    <row r="102">
      <c r="A102" t="n">
        <v>2001</v>
      </c>
      <c r="B102" t="inlineStr">
        <is>
          <t>ANDE_TARIFF_COMMERCIAL</t>
        </is>
      </c>
      <c r="C102" s="24" t="n">
        <v>230.3</v>
      </c>
      <c r="D102" s="36">
        <f>'Macro_Annual'!B14</f>
        <v/>
      </c>
      <c r="E102" s="32">
        <f>'Macro_Annual'!D14</f>
        <v/>
      </c>
      <c r="F102" s="37">
        <f>IFERROR(C102*'Macro_Annual'!$B$38/D102,"")</f>
        <v/>
      </c>
      <c r="G102" s="38">
        <f>IFERROR(C102*1000/E102,"")</f>
        <v/>
      </c>
      <c r="H102" t="inlineStr">
        <is>
          <t>OFFICIAL_AGGREGATE</t>
        </is>
      </c>
      <c r="I102" t="inlineStr">
        <is>
          <t>BACKFILL PROVISIONAL</t>
        </is>
      </c>
      <c r="J102" t="inlineStr">
        <is>
          <t>https://www.ande.gov.py/documentos_contables/157/compilacion_estadistica_1990-2010.pdf</t>
        </is>
      </c>
      <c r="K102" t="inlineStr">
        <is>
          <t>https://data.worldbank.org/indicator/FP.CPI.TOTL?locations=PY</t>
        </is>
      </c>
      <c r="L102" t="inlineStr">
        <is>
          <t>https://data.worldbank.org/indicator/PA.NUS.FCRF?locations=PY</t>
        </is>
      </c>
    </row>
    <row r="103">
      <c r="A103" t="n">
        <v>2001</v>
      </c>
      <c r="B103" t="inlineStr">
        <is>
          <t>ANDE_TARIFF_EXPORT_AVG</t>
        </is>
      </c>
      <c r="C103" s="24" t="n">
        <v>60.9</v>
      </c>
      <c r="D103" s="36">
        <f>'Macro_Annual'!B14</f>
        <v/>
      </c>
      <c r="E103" s="32">
        <f>'Macro_Annual'!D14</f>
        <v/>
      </c>
      <c r="F103" s="37">
        <f>IFERROR(C103*'Macro_Annual'!$B$38/D103,"")</f>
        <v/>
      </c>
      <c r="G103" s="38">
        <f>IFERROR(C103*1000/E103,"")</f>
        <v/>
      </c>
      <c r="H103" t="inlineStr">
        <is>
          <t>OFFICIAL_AGGREGATE</t>
        </is>
      </c>
      <c r="I103" t="inlineStr">
        <is>
          <t>BACKFILL PROVISIONAL</t>
        </is>
      </c>
      <c r="J103" t="inlineStr">
        <is>
          <t>https://www.ande.gov.py/documentos_contables/157/compilacion_estadistica_1990-2010.pdf</t>
        </is>
      </c>
      <c r="K103" t="inlineStr">
        <is>
          <t>https://data.worldbank.org/indicator/FP.CPI.TOTL?locations=PY</t>
        </is>
      </c>
      <c r="L103" t="inlineStr">
        <is>
          <t>https://data.worldbank.org/indicator/PA.NUS.FCRF?locations=PY</t>
        </is>
      </c>
    </row>
    <row r="104">
      <c r="A104" t="n">
        <v>2001</v>
      </c>
      <c r="B104" t="inlineStr">
        <is>
          <t>ANDE_TARIFF_GENERAL</t>
        </is>
      </c>
      <c r="C104" s="24" t="n">
        <v>184</v>
      </c>
      <c r="D104" s="36">
        <f>'Macro_Annual'!B14</f>
        <v/>
      </c>
      <c r="E104" s="32">
        <f>'Macro_Annual'!D14</f>
        <v/>
      </c>
      <c r="F104" s="37">
        <f>IFERROR(C104*'Macro_Annual'!$B$38/D104,"")</f>
        <v/>
      </c>
      <c r="G104" s="38">
        <f>IFERROR(C104*1000/E104,"")</f>
        <v/>
      </c>
      <c r="H104" t="inlineStr">
        <is>
          <t>OFFICIAL_AGGREGATE</t>
        </is>
      </c>
      <c r="I104" t="inlineStr">
        <is>
          <t>BACKFILL PROVISIONAL</t>
        </is>
      </c>
      <c r="J104" t="inlineStr">
        <is>
          <t>https://www.ande.gov.py/documentos_contables/157/compilacion_estadistica_1990-2010.pdf</t>
        </is>
      </c>
      <c r="K104" t="inlineStr">
        <is>
          <t>https://data.worldbank.org/indicator/FP.CPI.TOTL?locations=PY</t>
        </is>
      </c>
      <c r="L104" t="inlineStr">
        <is>
          <t>https://data.worldbank.org/indicator/PA.NUS.FCRF?locations=PY</t>
        </is>
      </c>
    </row>
    <row r="105">
      <c r="A105" t="n">
        <v>2001</v>
      </c>
      <c r="B105" t="inlineStr">
        <is>
          <t>ANDE_TARIFF_GENERAL_AVG</t>
        </is>
      </c>
      <c r="C105" s="24" t="n">
        <v>192.5</v>
      </c>
      <c r="D105" s="36">
        <f>'Macro_Annual'!B14</f>
        <v/>
      </c>
      <c r="E105" s="32">
        <f>'Macro_Annual'!D14</f>
        <v/>
      </c>
      <c r="F105" s="37">
        <f>IFERROR(C105*'Macro_Annual'!$B$38/D105,"")</f>
        <v/>
      </c>
      <c r="G105" s="38">
        <f>IFERROR(C105*1000/E105,"")</f>
        <v/>
      </c>
      <c r="H105" t="inlineStr">
        <is>
          <t>OFFICIAL_AGGREGATE</t>
        </is>
      </c>
      <c r="I105" t="inlineStr">
        <is>
          <t>BACKFILL PROVISIONAL</t>
        </is>
      </c>
      <c r="J105" t="inlineStr">
        <is>
          <t>https://www.ande.gov.py/documentos_contables/157/compilacion_estadistica_1990-2010.pdf</t>
        </is>
      </c>
      <c r="K105" t="inlineStr">
        <is>
          <t>https://data.worldbank.org/indicator/FP.CPI.TOTL?locations=PY</t>
        </is>
      </c>
      <c r="L105" t="inlineStr">
        <is>
          <t>https://data.worldbank.org/indicator/PA.NUS.FCRF?locations=PY</t>
        </is>
      </c>
    </row>
    <row r="106">
      <c r="A106" t="n">
        <v>2001</v>
      </c>
      <c r="B106" t="inlineStr">
        <is>
          <t>ANDE_TARIFF_GOV</t>
        </is>
      </c>
      <c r="C106" s="24" t="n">
        <v>185.1</v>
      </c>
      <c r="D106" s="36">
        <f>'Macro_Annual'!B14</f>
        <v/>
      </c>
      <c r="E106" s="32">
        <f>'Macro_Annual'!D14</f>
        <v/>
      </c>
      <c r="F106" s="37">
        <f>IFERROR(C106*'Macro_Annual'!$B$38/D106,"")</f>
        <v/>
      </c>
      <c r="G106" s="38">
        <f>IFERROR(C106*1000/E106,"")</f>
        <v/>
      </c>
      <c r="H106" t="inlineStr">
        <is>
          <t>OFFICIAL_AGGREGATE</t>
        </is>
      </c>
      <c r="I106" t="inlineStr">
        <is>
          <t>BACKFILL PROVISIONAL</t>
        </is>
      </c>
      <c r="J106" t="inlineStr">
        <is>
          <t>https://www.ande.gov.py/documentos_contables/157/compilacion_estadistica_1990-2010.pdf</t>
        </is>
      </c>
      <c r="K106" t="inlineStr">
        <is>
          <t>https://data.worldbank.org/indicator/FP.CPI.TOTL?locations=PY</t>
        </is>
      </c>
      <c r="L106" t="inlineStr">
        <is>
          <t>https://data.worldbank.org/indicator/PA.NUS.FCRF?locations=PY</t>
        </is>
      </c>
    </row>
    <row r="107">
      <c r="A107" t="n">
        <v>2001</v>
      </c>
      <c r="B107" t="inlineStr">
        <is>
          <t>ANDE_TARIFF_INDUSTRIAL</t>
        </is>
      </c>
      <c r="C107" s="24" t="n">
        <v>147</v>
      </c>
      <c r="D107" s="36">
        <f>'Macro_Annual'!B14</f>
        <v/>
      </c>
      <c r="E107" s="32">
        <f>'Macro_Annual'!D14</f>
        <v/>
      </c>
      <c r="F107" s="37">
        <f>IFERROR(C107*'Macro_Annual'!$B$38/D107,"")</f>
        <v/>
      </c>
      <c r="G107" s="38">
        <f>IFERROR(C107*1000/E107,"")</f>
        <v/>
      </c>
      <c r="H107" t="inlineStr">
        <is>
          <t>OFFICIAL_AGGREGATE</t>
        </is>
      </c>
      <c r="I107" t="inlineStr">
        <is>
          <t>BACKFILL PROVISIONAL</t>
        </is>
      </c>
      <c r="J107" t="inlineStr">
        <is>
          <t>https://www.ande.gov.py/documentos_contables/157/compilacion_estadistica_1990-2010.pdf</t>
        </is>
      </c>
      <c r="K107" t="inlineStr">
        <is>
          <t>https://data.worldbank.org/indicator/FP.CPI.TOTL?locations=PY</t>
        </is>
      </c>
      <c r="L107" t="inlineStr">
        <is>
          <t>https://data.worldbank.org/indicator/PA.NUS.FCRF?locations=PY</t>
        </is>
      </c>
    </row>
    <row r="108">
      <c r="A108" t="n">
        <v>2001</v>
      </c>
      <c r="B108" t="inlineStr">
        <is>
          <t>ANDE_TARIFF_NATIONAL_AVG</t>
        </is>
      </c>
      <c r="C108" s="24" t="n">
        <v>211.2</v>
      </c>
      <c r="D108" s="36">
        <f>'Macro_Annual'!B14</f>
        <v/>
      </c>
      <c r="E108" s="32">
        <f>'Macro_Annual'!D14</f>
        <v/>
      </c>
      <c r="F108" s="37">
        <f>IFERROR(C108*'Macro_Annual'!$B$38/D108,"")</f>
        <v/>
      </c>
      <c r="G108" s="38">
        <f>IFERROR(C108*1000/E108,"")</f>
        <v/>
      </c>
      <c r="H108" t="inlineStr">
        <is>
          <t>OFFICIAL_AGGREGATE</t>
        </is>
      </c>
      <c r="I108" t="inlineStr">
        <is>
          <t>BACKFILL PROVISIONAL</t>
        </is>
      </c>
      <c r="J108" t="inlineStr">
        <is>
          <t>https://www.ande.gov.py/documentos_contables/157/compilacion_estadistica_1990-2010.pdf</t>
        </is>
      </c>
      <c r="K108" t="inlineStr">
        <is>
          <t>https://data.worldbank.org/indicator/FP.CPI.TOTL?locations=PY</t>
        </is>
      </c>
      <c r="L108" t="inlineStr">
        <is>
          <t>https://data.worldbank.org/indicator/PA.NUS.FCRF?locations=PY</t>
        </is>
      </c>
    </row>
    <row r="109">
      <c r="A109" t="n">
        <v>2001</v>
      </c>
      <c r="B109" t="inlineStr">
        <is>
          <t>ANDE_TARIFF_PUBLIC_LIGHT</t>
        </is>
      </c>
      <c r="C109" s="24" t="n">
        <v>330.6</v>
      </c>
      <c r="D109" s="36">
        <f>'Macro_Annual'!B14</f>
        <v/>
      </c>
      <c r="E109" s="32">
        <f>'Macro_Annual'!D14</f>
        <v/>
      </c>
      <c r="F109" s="37">
        <f>IFERROR(C109*'Macro_Annual'!$B$38/D109,"")</f>
        <v/>
      </c>
      <c r="G109" s="38">
        <f>IFERROR(C109*1000/E109,"")</f>
        <v/>
      </c>
      <c r="H109" t="inlineStr">
        <is>
          <t>OFFICIAL_AGGREGATE</t>
        </is>
      </c>
      <c r="I109" t="inlineStr">
        <is>
          <t>BACKFILL PROVISIONAL</t>
        </is>
      </c>
      <c r="J109" t="inlineStr">
        <is>
          <t>https://www.ande.gov.py/documentos_contables/157/compilacion_estadistica_1990-2010.pdf</t>
        </is>
      </c>
      <c r="K109" t="inlineStr">
        <is>
          <t>https://data.worldbank.org/indicator/FP.CPI.TOTL?locations=PY</t>
        </is>
      </c>
      <c r="L109" t="inlineStr">
        <is>
          <t>https://data.worldbank.org/indicator/PA.NUS.FCRF?locations=PY</t>
        </is>
      </c>
    </row>
    <row r="110">
      <c r="A110" t="n">
        <v>2001</v>
      </c>
      <c r="B110" t="inlineStr">
        <is>
          <t>ANDE_TARIFF_RESIDENTIAL</t>
        </is>
      </c>
      <c r="C110" s="24" t="n">
        <v>232</v>
      </c>
      <c r="D110" s="36">
        <f>'Macro_Annual'!B14</f>
        <v/>
      </c>
      <c r="E110" s="32">
        <f>'Macro_Annual'!D14</f>
        <v/>
      </c>
      <c r="F110" s="37">
        <f>IFERROR(C110*'Macro_Annual'!$B$38/D110,"")</f>
        <v/>
      </c>
      <c r="G110" s="38">
        <f>IFERROR(C110*1000/E110,"")</f>
        <v/>
      </c>
      <c r="H110" t="inlineStr">
        <is>
          <t>OFFICIAL_AGGREGATE</t>
        </is>
      </c>
      <c r="I110" t="inlineStr">
        <is>
          <t>BACKFILL PROVISIONAL</t>
        </is>
      </c>
      <c r="J110" t="inlineStr">
        <is>
          <t>https://www.ande.gov.py/documentos_contables/157/compilacion_estadistica_1990-2010.pdf</t>
        </is>
      </c>
      <c r="K110" t="inlineStr">
        <is>
          <t>https://data.worldbank.org/indicator/FP.CPI.TOTL?locations=PY</t>
        </is>
      </c>
      <c r="L110" t="inlineStr">
        <is>
          <t>https://data.worldbank.org/indicator/PA.NUS.FCRF?locations=PY</t>
        </is>
      </c>
    </row>
    <row r="111">
      <c r="A111" t="n">
        <v>2002</v>
      </c>
      <c r="B111" t="inlineStr">
        <is>
          <t>ANDE_TARIFF_COMMERCIAL</t>
        </is>
      </c>
      <c r="C111" s="24" t="n">
        <v>300.1</v>
      </c>
      <c r="D111" s="36">
        <f>'Macro_Annual'!B15</f>
        <v/>
      </c>
      <c r="E111" s="32">
        <f>'Macro_Annual'!D15</f>
        <v/>
      </c>
      <c r="F111" s="37">
        <f>IFERROR(C111*'Macro_Annual'!$B$38/D111,"")</f>
        <v/>
      </c>
      <c r="G111" s="38">
        <f>IFERROR(C111*1000/E111,"")</f>
        <v/>
      </c>
      <c r="H111" t="inlineStr">
        <is>
          <t>OFFICIAL_AGGREGATE</t>
        </is>
      </c>
      <c r="I111" t="inlineStr">
        <is>
          <t>BACKFILL PROVISIONAL</t>
        </is>
      </c>
      <c r="J111" t="inlineStr">
        <is>
          <t>https://www.ande.gov.py/documentos_contables/157/compilacion_estadistica_1990-2010.pdf</t>
        </is>
      </c>
      <c r="K111" t="inlineStr">
        <is>
          <t>https://data.worldbank.org/indicator/FP.CPI.TOTL?locations=PY</t>
        </is>
      </c>
      <c r="L111" t="inlineStr">
        <is>
          <t>https://data.worldbank.org/indicator/PA.NUS.FCRF?locations=PY</t>
        </is>
      </c>
    </row>
    <row r="112">
      <c r="A112" t="n">
        <v>2002</v>
      </c>
      <c r="B112" t="inlineStr">
        <is>
          <t>ANDE_TARIFF_EXPORT_AVG</t>
        </is>
      </c>
      <c r="C112" s="24" t="n">
        <v>51.3</v>
      </c>
      <c r="D112" s="36">
        <f>'Macro_Annual'!B15</f>
        <v/>
      </c>
      <c r="E112" s="32">
        <f>'Macro_Annual'!D15</f>
        <v/>
      </c>
      <c r="F112" s="37">
        <f>IFERROR(C112*'Macro_Annual'!$B$38/D112,"")</f>
        <v/>
      </c>
      <c r="G112" s="38">
        <f>IFERROR(C112*1000/E112,"")</f>
        <v/>
      </c>
      <c r="H112" t="inlineStr">
        <is>
          <t>OFFICIAL_AGGREGATE</t>
        </is>
      </c>
      <c r="I112" t="inlineStr">
        <is>
          <t>BACKFILL PROVISIONAL</t>
        </is>
      </c>
      <c r="J112" t="inlineStr">
        <is>
          <t>https://www.ande.gov.py/documentos_contables/157/compilacion_estadistica_1990-2010.pdf</t>
        </is>
      </c>
      <c r="K112" t="inlineStr">
        <is>
          <t>https://data.worldbank.org/indicator/FP.CPI.TOTL?locations=PY</t>
        </is>
      </c>
      <c r="L112" t="inlineStr">
        <is>
          <t>https://data.worldbank.org/indicator/PA.NUS.FCRF?locations=PY</t>
        </is>
      </c>
    </row>
    <row r="113">
      <c r="A113" t="n">
        <v>2002</v>
      </c>
      <c r="B113" t="inlineStr">
        <is>
          <t>ANDE_TARIFF_GENERAL</t>
        </is>
      </c>
      <c r="C113" s="24" t="n">
        <v>234.4</v>
      </c>
      <c r="D113" s="36">
        <f>'Macro_Annual'!B15</f>
        <v/>
      </c>
      <c r="E113" s="32">
        <f>'Macro_Annual'!D15</f>
        <v/>
      </c>
      <c r="F113" s="37">
        <f>IFERROR(C113*'Macro_Annual'!$B$38/D113,"")</f>
        <v/>
      </c>
      <c r="G113" s="38">
        <f>IFERROR(C113*1000/E113,"")</f>
        <v/>
      </c>
      <c r="H113" t="inlineStr">
        <is>
          <t>OFFICIAL_AGGREGATE</t>
        </is>
      </c>
      <c r="I113" t="inlineStr">
        <is>
          <t>BACKFILL PROVISIONAL</t>
        </is>
      </c>
      <c r="J113" t="inlineStr">
        <is>
          <t>https://www.ande.gov.py/documentos_contables/157/compilacion_estadistica_1990-2010.pdf</t>
        </is>
      </c>
      <c r="K113" t="inlineStr">
        <is>
          <t>https://data.worldbank.org/indicator/FP.CPI.TOTL?locations=PY</t>
        </is>
      </c>
      <c r="L113" t="inlineStr">
        <is>
          <t>https://data.worldbank.org/indicator/PA.NUS.FCRF?locations=PY</t>
        </is>
      </c>
    </row>
    <row r="114">
      <c r="A114" t="n">
        <v>2002</v>
      </c>
      <c r="B114" t="inlineStr">
        <is>
          <t>ANDE_TARIFF_GENERAL_AVG</t>
        </is>
      </c>
      <c r="C114" s="24" t="n">
        <v>245.9</v>
      </c>
      <c r="D114" s="36">
        <f>'Macro_Annual'!B15</f>
        <v/>
      </c>
      <c r="E114" s="32">
        <f>'Macro_Annual'!D15</f>
        <v/>
      </c>
      <c r="F114" s="37">
        <f>IFERROR(C114*'Macro_Annual'!$B$38/D114,"")</f>
        <v/>
      </c>
      <c r="G114" s="38">
        <f>IFERROR(C114*1000/E114,"")</f>
        <v/>
      </c>
      <c r="H114" t="inlineStr">
        <is>
          <t>OFFICIAL_AGGREGATE</t>
        </is>
      </c>
      <c r="I114" t="inlineStr">
        <is>
          <t>BACKFILL PROVISIONAL</t>
        </is>
      </c>
      <c r="J114" t="inlineStr">
        <is>
          <t>https://www.ande.gov.py/documentos_contables/157/compilacion_estadistica_1990-2010.pdf</t>
        </is>
      </c>
      <c r="K114" t="inlineStr">
        <is>
          <t>https://data.worldbank.org/indicator/FP.CPI.TOTL?locations=PY</t>
        </is>
      </c>
      <c r="L114" t="inlineStr">
        <is>
          <t>https://data.worldbank.org/indicator/PA.NUS.FCRF?locations=PY</t>
        </is>
      </c>
    </row>
    <row r="115">
      <c r="A115" t="n">
        <v>2002</v>
      </c>
      <c r="B115" t="inlineStr">
        <is>
          <t>ANDE_TARIFF_GOV</t>
        </is>
      </c>
      <c r="C115" s="24" t="n">
        <v>244.9</v>
      </c>
      <c r="D115" s="36">
        <f>'Macro_Annual'!B15</f>
        <v/>
      </c>
      <c r="E115" s="32">
        <f>'Macro_Annual'!D15</f>
        <v/>
      </c>
      <c r="F115" s="37">
        <f>IFERROR(C115*'Macro_Annual'!$B$38/D115,"")</f>
        <v/>
      </c>
      <c r="G115" s="38">
        <f>IFERROR(C115*1000/E115,"")</f>
        <v/>
      </c>
      <c r="H115" t="inlineStr">
        <is>
          <t>OFFICIAL_AGGREGATE</t>
        </is>
      </c>
      <c r="I115" t="inlineStr">
        <is>
          <t>BACKFILL PROVISIONAL</t>
        </is>
      </c>
      <c r="J115" t="inlineStr">
        <is>
          <t>https://www.ande.gov.py/documentos_contables/157/compilacion_estadistica_1990-2010.pdf</t>
        </is>
      </c>
      <c r="K115" t="inlineStr">
        <is>
          <t>https://data.worldbank.org/indicator/FP.CPI.TOTL?locations=PY</t>
        </is>
      </c>
      <c r="L115" t="inlineStr">
        <is>
          <t>https://data.worldbank.org/indicator/PA.NUS.FCRF?locations=PY</t>
        </is>
      </c>
    </row>
    <row r="116">
      <c r="A116" t="n">
        <v>2002</v>
      </c>
      <c r="B116" t="inlineStr">
        <is>
          <t>ANDE_TARIFF_INDUSTRIAL</t>
        </is>
      </c>
      <c r="C116" s="24" t="n">
        <v>199.6</v>
      </c>
      <c r="D116" s="36">
        <f>'Macro_Annual'!B15</f>
        <v/>
      </c>
      <c r="E116" s="32">
        <f>'Macro_Annual'!D15</f>
        <v/>
      </c>
      <c r="F116" s="37">
        <f>IFERROR(C116*'Macro_Annual'!$B$38/D116,"")</f>
        <v/>
      </c>
      <c r="G116" s="38">
        <f>IFERROR(C116*1000/E116,"")</f>
        <v/>
      </c>
      <c r="H116" t="inlineStr">
        <is>
          <t>OFFICIAL_AGGREGATE</t>
        </is>
      </c>
      <c r="I116" t="inlineStr">
        <is>
          <t>BACKFILL PROVISIONAL</t>
        </is>
      </c>
      <c r="J116" t="inlineStr">
        <is>
          <t>https://www.ande.gov.py/documentos_contables/157/compilacion_estadistica_1990-2010.pdf</t>
        </is>
      </c>
      <c r="K116" t="inlineStr">
        <is>
          <t>https://data.worldbank.org/indicator/FP.CPI.TOTL?locations=PY</t>
        </is>
      </c>
      <c r="L116" t="inlineStr">
        <is>
          <t>https://data.worldbank.org/indicator/PA.NUS.FCRF?locations=PY</t>
        </is>
      </c>
    </row>
    <row r="117">
      <c r="A117" t="n">
        <v>2002</v>
      </c>
      <c r="B117" t="inlineStr">
        <is>
          <t>ANDE_TARIFF_NATIONAL_AVG</t>
        </is>
      </c>
      <c r="C117" s="24" t="n">
        <v>275.4</v>
      </c>
      <c r="D117" s="36">
        <f>'Macro_Annual'!B15</f>
        <v/>
      </c>
      <c r="E117" s="32">
        <f>'Macro_Annual'!D15</f>
        <v/>
      </c>
      <c r="F117" s="37">
        <f>IFERROR(C117*'Macro_Annual'!$B$38/D117,"")</f>
        <v/>
      </c>
      <c r="G117" s="38">
        <f>IFERROR(C117*1000/E117,"")</f>
        <v/>
      </c>
      <c r="H117" t="inlineStr">
        <is>
          <t>OFFICIAL_AGGREGATE</t>
        </is>
      </c>
      <c r="I117" t="inlineStr">
        <is>
          <t>BACKFILL PROVISIONAL</t>
        </is>
      </c>
      <c r="J117" t="inlineStr">
        <is>
          <t>https://www.ande.gov.py/documentos_contables/157/compilacion_estadistica_1990-2010.pdf</t>
        </is>
      </c>
      <c r="K117" t="inlineStr">
        <is>
          <t>https://data.worldbank.org/indicator/FP.CPI.TOTL?locations=PY</t>
        </is>
      </c>
      <c r="L117" t="inlineStr">
        <is>
          <t>https://data.worldbank.org/indicator/PA.NUS.FCRF?locations=PY</t>
        </is>
      </c>
    </row>
    <row r="118">
      <c r="A118" t="n">
        <v>2002</v>
      </c>
      <c r="B118" t="inlineStr">
        <is>
          <t>ANDE_TARIFF_PUBLIC_LIGHT</t>
        </is>
      </c>
      <c r="C118" s="24" t="n">
        <v>458.2</v>
      </c>
      <c r="D118" s="36">
        <f>'Macro_Annual'!B15</f>
        <v/>
      </c>
      <c r="E118" s="32">
        <f>'Macro_Annual'!D15</f>
        <v/>
      </c>
      <c r="F118" s="37">
        <f>IFERROR(C118*'Macro_Annual'!$B$38/D118,"")</f>
        <v/>
      </c>
      <c r="G118" s="38">
        <f>IFERROR(C118*1000/E118,"")</f>
        <v/>
      </c>
      <c r="H118" t="inlineStr">
        <is>
          <t>OFFICIAL_AGGREGATE</t>
        </is>
      </c>
      <c r="I118" t="inlineStr">
        <is>
          <t>BACKFILL PROVISIONAL</t>
        </is>
      </c>
      <c r="J118" t="inlineStr">
        <is>
          <t>https://www.ande.gov.py/documentos_contables/157/compilacion_estadistica_1990-2010.pdf</t>
        </is>
      </c>
      <c r="K118" t="inlineStr">
        <is>
          <t>https://data.worldbank.org/indicator/FP.CPI.TOTL?locations=PY</t>
        </is>
      </c>
      <c r="L118" t="inlineStr">
        <is>
          <t>https://data.worldbank.org/indicator/PA.NUS.FCRF?locations=PY</t>
        </is>
      </c>
    </row>
    <row r="119">
      <c r="A119" t="n">
        <v>2002</v>
      </c>
      <c r="B119" t="inlineStr">
        <is>
          <t>ANDE_TARIFF_RESIDENTIAL</t>
        </is>
      </c>
      <c r="C119" s="24" t="n">
        <v>299.7</v>
      </c>
      <c r="D119" s="36">
        <f>'Macro_Annual'!B15</f>
        <v/>
      </c>
      <c r="E119" s="32">
        <f>'Macro_Annual'!D15</f>
        <v/>
      </c>
      <c r="F119" s="37">
        <f>IFERROR(C119*'Macro_Annual'!$B$38/D119,"")</f>
        <v/>
      </c>
      <c r="G119" s="38">
        <f>IFERROR(C119*1000/E119,"")</f>
        <v/>
      </c>
      <c r="H119" t="inlineStr">
        <is>
          <t>OFFICIAL_AGGREGATE</t>
        </is>
      </c>
      <c r="I119" t="inlineStr">
        <is>
          <t>BACKFILL PROVISIONAL</t>
        </is>
      </c>
      <c r="J119" t="inlineStr">
        <is>
          <t>https://www.ande.gov.py/documentos_contables/157/compilacion_estadistica_1990-2010.pdf</t>
        </is>
      </c>
      <c r="K119" t="inlineStr">
        <is>
          <t>https://data.worldbank.org/indicator/FP.CPI.TOTL?locations=PY</t>
        </is>
      </c>
      <c r="L119" t="inlineStr">
        <is>
          <t>https://data.worldbank.org/indicator/PA.NUS.FCRF?locations=PY</t>
        </is>
      </c>
    </row>
    <row r="120">
      <c r="A120" t="n">
        <v>2003</v>
      </c>
      <c r="B120" t="inlineStr">
        <is>
          <t>ANDE_TARIFF_EXPORT_AVG</t>
        </is>
      </c>
      <c r="C120" s="24" t="n">
        <v>57.8</v>
      </c>
      <c r="D120" s="36">
        <f>'Macro_Annual'!B16</f>
        <v/>
      </c>
      <c r="E120" s="32">
        <f>'Macro_Annual'!D16</f>
        <v/>
      </c>
      <c r="F120" s="37">
        <f>IFERROR(C120*'Macro_Annual'!$B$38/D120,"")</f>
        <v/>
      </c>
      <c r="G120" s="38">
        <f>IFERROR(C120*1000/E120,"")</f>
        <v/>
      </c>
      <c r="H120" t="inlineStr">
        <is>
          <t>OFFICIAL_AGGREGATE</t>
        </is>
      </c>
      <c r="I120" t="inlineStr">
        <is>
          <t>BACKFILL PROVISIONAL</t>
        </is>
      </c>
      <c r="J120" t="inlineStr">
        <is>
          <t>https://www.ande.gov.py/finanzas/2.%20COMPILACION%20ESTADISTICA%202003-2023/ANDE%20-%20Compilacion%20Estadistica%202003-2023.pdf</t>
        </is>
      </c>
      <c r="K120" t="inlineStr">
        <is>
          <t>https://data.worldbank.org/indicator/FP.CPI.TOTL?locations=PY</t>
        </is>
      </c>
      <c r="L120" t="inlineStr">
        <is>
          <t>https://data.worldbank.org/indicator/PA.NUS.FCRF?locations=PY</t>
        </is>
      </c>
    </row>
    <row r="121">
      <c r="A121" t="n">
        <v>2003</v>
      </c>
      <c r="B121" t="inlineStr">
        <is>
          <t>ANDE_TARIFF_GENERAL_AVG</t>
        </is>
      </c>
      <c r="C121" s="24" t="n">
        <v>284.8</v>
      </c>
      <c r="D121" s="36">
        <f>'Macro_Annual'!B16</f>
        <v/>
      </c>
      <c r="E121" s="32">
        <f>'Macro_Annual'!D16</f>
        <v/>
      </c>
      <c r="F121" s="37">
        <f>IFERROR(C121*'Macro_Annual'!$B$38/D121,"")</f>
        <v/>
      </c>
      <c r="G121" s="38">
        <f>IFERROR(C121*1000/E121,"")</f>
        <v/>
      </c>
      <c r="H121" t="inlineStr">
        <is>
          <t>OFFICIAL_AGGREGATE</t>
        </is>
      </c>
      <c r="I121" t="inlineStr">
        <is>
          <t>BACKFILL PROVISIONAL</t>
        </is>
      </c>
      <c r="J121" t="inlineStr">
        <is>
          <t>https://www.ande.gov.py/finanzas/2.%20COMPILACION%20ESTADISTICA%202003-2023/ANDE%20-%20Compilacion%20Estadistica%202003-2023.pdf</t>
        </is>
      </c>
      <c r="K121" t="inlineStr">
        <is>
          <t>https://data.worldbank.org/indicator/FP.CPI.TOTL?locations=PY</t>
        </is>
      </c>
      <c r="L121" t="inlineStr">
        <is>
          <t>https://data.worldbank.org/indicator/PA.NUS.FCRF?locations=PY</t>
        </is>
      </c>
    </row>
    <row r="122">
      <c r="A122" t="n">
        <v>2003</v>
      </c>
      <c r="B122" t="inlineStr">
        <is>
          <t>ANDE_TARIFF_GOV</t>
        </is>
      </c>
      <c r="C122" s="24" t="n">
        <v>301.5</v>
      </c>
      <c r="D122" s="36">
        <f>'Macro_Annual'!B16</f>
        <v/>
      </c>
      <c r="E122" s="32">
        <f>'Macro_Annual'!D16</f>
        <v/>
      </c>
      <c r="F122" s="37">
        <f>IFERROR(C122*'Macro_Annual'!$B$38/D122,"")</f>
        <v/>
      </c>
      <c r="G122" s="38">
        <f>IFERROR(C122*1000/E122,"")</f>
        <v/>
      </c>
      <c r="H122" t="inlineStr">
        <is>
          <t>OFFICIAL_AGGREGATE</t>
        </is>
      </c>
      <c r="I122" t="inlineStr">
        <is>
          <t>BACKFILL PROVISIONAL</t>
        </is>
      </c>
      <c r="J122" t="inlineStr">
        <is>
          <t>https://www.ande.gov.py/finanzas/2.%20COMPILACION%20ESTADISTICA%202003-2023/ANDE%20-%20Compilacion%20Estadistica%202003-2023.pdf</t>
        </is>
      </c>
      <c r="K122" t="inlineStr">
        <is>
          <t>https://data.worldbank.org/indicator/FP.CPI.TOTL?locations=PY</t>
        </is>
      </c>
      <c r="L122" t="inlineStr">
        <is>
          <t>https://data.worldbank.org/indicator/PA.NUS.FCRF?locations=PY</t>
        </is>
      </c>
    </row>
    <row r="123">
      <c r="A123" t="n">
        <v>2003</v>
      </c>
      <c r="B123" t="inlineStr">
        <is>
          <t>ANDE_TARIFF_INDUSTRIAL</t>
        </is>
      </c>
      <c r="C123" s="24" t="n">
        <v>220</v>
      </c>
      <c r="D123" s="36">
        <f>'Macro_Annual'!B16</f>
        <v/>
      </c>
      <c r="E123" s="32">
        <f>'Macro_Annual'!D16</f>
        <v/>
      </c>
      <c r="F123" s="37">
        <f>IFERROR(C123*'Macro_Annual'!$B$38/D123,"")</f>
        <v/>
      </c>
      <c r="G123" s="38">
        <f>IFERROR(C123*1000/E123,"")</f>
        <v/>
      </c>
      <c r="H123" t="inlineStr">
        <is>
          <t>OFFICIAL_AGGREGATE</t>
        </is>
      </c>
      <c r="I123" t="inlineStr">
        <is>
          <t>BACKFILL PROVISIONAL</t>
        </is>
      </c>
      <c r="J123" t="inlineStr">
        <is>
          <t>https://www.ande.gov.py/finanzas/2.%20COMPILACION%20ESTADISTICA%202003-2023/ANDE%20-%20Compilacion%20Estadistica%202003-2023.pdf</t>
        </is>
      </c>
      <c r="K123" t="inlineStr">
        <is>
          <t>https://data.worldbank.org/indicator/FP.CPI.TOTL?locations=PY</t>
        </is>
      </c>
      <c r="L123" t="inlineStr">
        <is>
          <t>https://data.worldbank.org/indicator/PA.NUS.FCRF?locations=PY</t>
        </is>
      </c>
    </row>
    <row r="124">
      <c r="A124" t="n">
        <v>2003</v>
      </c>
      <c r="B124" t="inlineStr">
        <is>
          <t>ANDE_TARIFF_NATIONAL_AVG</t>
        </is>
      </c>
      <c r="C124" s="24" t="n">
        <v>317.3</v>
      </c>
      <c r="D124" s="36">
        <f>'Macro_Annual'!B16</f>
        <v/>
      </c>
      <c r="E124" s="32">
        <f>'Macro_Annual'!D16</f>
        <v/>
      </c>
      <c r="F124" s="37">
        <f>IFERROR(C124*'Macro_Annual'!$B$38/D124,"")</f>
        <v/>
      </c>
      <c r="G124" s="38">
        <f>IFERROR(C124*1000/E124,"")</f>
        <v/>
      </c>
      <c r="H124" t="inlineStr">
        <is>
          <t>OFFICIAL_AGGREGATE</t>
        </is>
      </c>
      <c r="I124" t="inlineStr">
        <is>
          <t>BACKFILL PROVISIONAL</t>
        </is>
      </c>
      <c r="J124" t="inlineStr">
        <is>
          <t>https://www.ande.gov.py/finanzas/2.%20COMPILACION%20ESTADISTICA%202003-2023/ANDE%20-%20Compilacion%20Estadistica%202003-2023.pdf</t>
        </is>
      </c>
      <c r="K124" t="inlineStr">
        <is>
          <t>https://data.worldbank.org/indicator/FP.CPI.TOTL?locations=PY</t>
        </is>
      </c>
      <c r="L124" t="inlineStr">
        <is>
          <t>https://data.worldbank.org/indicator/PA.NUS.FCRF?locations=PY</t>
        </is>
      </c>
    </row>
    <row r="125">
      <c r="A125" t="n">
        <v>2003</v>
      </c>
      <c r="B125" t="inlineStr">
        <is>
          <t>ANDE_TARIFF_OTHER</t>
        </is>
      </c>
      <c r="C125" s="24" t="n">
        <v>336.1</v>
      </c>
      <c r="D125" s="36">
        <f>'Macro_Annual'!B16</f>
        <v/>
      </c>
      <c r="E125" s="32">
        <f>'Macro_Annual'!D16</f>
        <v/>
      </c>
      <c r="F125" s="37">
        <f>IFERROR(C125*'Macro_Annual'!$B$38/D125,"")</f>
        <v/>
      </c>
      <c r="G125" s="38">
        <f>IFERROR(C125*1000/E125,"")</f>
        <v/>
      </c>
      <c r="H125" t="inlineStr">
        <is>
          <t>OFFICIAL_AGGREGATE</t>
        </is>
      </c>
      <c r="I125" t="inlineStr">
        <is>
          <t>BACKFILL PROVISIONAL</t>
        </is>
      </c>
      <c r="J125" t="inlineStr">
        <is>
          <t>https://www.ande.gov.py/finanzas/2.%20COMPILACION%20ESTADISTICA%202003-2023/ANDE%20-%20Compilacion%20Estadistica%202003-2023.pdf</t>
        </is>
      </c>
      <c r="K125" t="inlineStr">
        <is>
          <t>https://data.worldbank.org/indicator/FP.CPI.TOTL?locations=PY</t>
        </is>
      </c>
      <c r="L125" t="inlineStr">
        <is>
          <t>https://data.worldbank.org/indicator/PA.NUS.FCRF?locations=PY</t>
        </is>
      </c>
    </row>
    <row r="126">
      <c r="A126" t="n">
        <v>2003</v>
      </c>
      <c r="B126" t="inlineStr">
        <is>
          <t>ANDE_TARIFF_PUBLIC_LIGHT</t>
        </is>
      </c>
      <c r="C126" s="24" t="n">
        <v>523.6</v>
      </c>
      <c r="D126" s="36">
        <f>'Macro_Annual'!B16</f>
        <v/>
      </c>
      <c r="E126" s="32">
        <f>'Macro_Annual'!D16</f>
        <v/>
      </c>
      <c r="F126" s="37">
        <f>IFERROR(C126*'Macro_Annual'!$B$38/D126,"")</f>
        <v/>
      </c>
      <c r="G126" s="38">
        <f>IFERROR(C126*1000/E126,"")</f>
        <v/>
      </c>
      <c r="H126" t="inlineStr">
        <is>
          <t>OFFICIAL_AGGREGATE</t>
        </is>
      </c>
      <c r="I126" t="inlineStr">
        <is>
          <t>BACKFILL PROVISIONAL</t>
        </is>
      </c>
      <c r="J126" t="inlineStr">
        <is>
          <t>https://www.ande.gov.py/finanzas/2.%20COMPILACION%20ESTADISTICA%202003-2023/ANDE%20-%20Compilacion%20Estadistica%202003-2023.pdf</t>
        </is>
      </c>
      <c r="K126" t="inlineStr">
        <is>
          <t>https://data.worldbank.org/indicator/FP.CPI.TOTL?locations=PY</t>
        </is>
      </c>
      <c r="L126" t="inlineStr">
        <is>
          <t>https://data.worldbank.org/indicator/PA.NUS.FCRF?locations=PY</t>
        </is>
      </c>
    </row>
    <row r="127">
      <c r="A127" t="n">
        <v>2003</v>
      </c>
      <c r="B127" t="inlineStr">
        <is>
          <t>ANDE_TARIFF_RESIDENTIAL</t>
        </is>
      </c>
      <c r="C127" s="24" t="n">
        <v>348.4</v>
      </c>
      <c r="D127" s="36">
        <f>'Macro_Annual'!B16</f>
        <v/>
      </c>
      <c r="E127" s="32">
        <f>'Macro_Annual'!D16</f>
        <v/>
      </c>
      <c r="F127" s="37">
        <f>IFERROR(C127*'Macro_Annual'!$B$38/D127,"")</f>
        <v/>
      </c>
      <c r="G127" s="38">
        <f>IFERROR(C127*1000/E127,"")</f>
        <v/>
      </c>
      <c r="H127" t="inlineStr">
        <is>
          <t>OFFICIAL_AGGREGATE</t>
        </is>
      </c>
      <c r="I127" t="inlineStr">
        <is>
          <t>BACKFILL PROVISIONAL</t>
        </is>
      </c>
      <c r="J127" t="inlineStr">
        <is>
          <t>https://www.ande.gov.py/finanzas/2.%20COMPILACION%20ESTADISTICA%202003-2023/ANDE%20-%20Compilacion%20Estadistica%202003-2023.pdf</t>
        </is>
      </c>
      <c r="K127" t="inlineStr">
        <is>
          <t>https://data.worldbank.org/indicator/FP.CPI.TOTL?locations=PY</t>
        </is>
      </c>
      <c r="L127" t="inlineStr">
        <is>
          <t>https://data.worldbank.org/indicator/PA.NUS.FCRF?locations=PY</t>
        </is>
      </c>
    </row>
    <row r="128">
      <c r="A128" t="n">
        <v>2004</v>
      </c>
      <c r="B128" t="inlineStr">
        <is>
          <t>ANDE_TARIFF_EXPORT_AVG</t>
        </is>
      </c>
      <c r="C128" s="24" t="n">
        <v>67.90000000000001</v>
      </c>
      <c r="D128" s="36">
        <f>'Macro_Annual'!B17</f>
        <v/>
      </c>
      <c r="E128" s="32">
        <f>'Macro_Annual'!D17</f>
        <v/>
      </c>
      <c r="F128" s="37">
        <f>IFERROR(C128*'Macro_Annual'!$B$38/D128,"")</f>
        <v/>
      </c>
      <c r="G128" s="38">
        <f>IFERROR(C128*1000/E128,"")</f>
        <v/>
      </c>
      <c r="H128" t="inlineStr">
        <is>
          <t>OFFICIAL_AGGREGATE</t>
        </is>
      </c>
      <c r="I128" t="inlineStr">
        <is>
          <t>BACKFILL PROVISIONAL</t>
        </is>
      </c>
      <c r="J128" t="inlineStr">
        <is>
          <t>https://www.ande.gov.py/finanzas/2.%20COMPILACION%20ESTADISTICA%202003-2023/ANDE%20-%20Compilacion%20Estadistica%202003-2023.pdf</t>
        </is>
      </c>
      <c r="K128" t="inlineStr">
        <is>
          <t>https://data.worldbank.org/indicator/FP.CPI.TOTL?locations=PY</t>
        </is>
      </c>
      <c r="L128" t="inlineStr">
        <is>
          <t>https://data.worldbank.org/indicator/PA.NUS.FCRF?locations=PY</t>
        </is>
      </c>
    </row>
    <row r="129">
      <c r="A129" t="n">
        <v>2004</v>
      </c>
      <c r="B129" t="inlineStr">
        <is>
          <t>ANDE_TARIFF_GENERAL_AVG</t>
        </is>
      </c>
      <c r="C129" s="24" t="n">
        <v>279.6</v>
      </c>
      <c r="D129" s="36">
        <f>'Macro_Annual'!B17</f>
        <v/>
      </c>
      <c r="E129" s="32">
        <f>'Macro_Annual'!D17</f>
        <v/>
      </c>
      <c r="F129" s="37">
        <f>IFERROR(C129*'Macro_Annual'!$B$38/D129,"")</f>
        <v/>
      </c>
      <c r="G129" s="38">
        <f>IFERROR(C129*1000/E129,"")</f>
        <v/>
      </c>
      <c r="H129" t="inlineStr">
        <is>
          <t>OFFICIAL_AGGREGATE</t>
        </is>
      </c>
      <c r="I129" t="inlineStr">
        <is>
          <t>BACKFILL PROVISIONAL</t>
        </is>
      </c>
      <c r="J129" t="inlineStr">
        <is>
          <t>https://www.ande.gov.py/finanzas/2.%20COMPILACION%20ESTADISTICA%202003-2023/ANDE%20-%20Compilacion%20Estadistica%202003-2023.pdf</t>
        </is>
      </c>
      <c r="K129" t="inlineStr">
        <is>
          <t>https://data.worldbank.org/indicator/FP.CPI.TOTL?locations=PY</t>
        </is>
      </c>
      <c r="L129" t="inlineStr">
        <is>
          <t>https://data.worldbank.org/indicator/PA.NUS.FCRF?locations=PY</t>
        </is>
      </c>
    </row>
    <row r="130">
      <c r="A130" t="n">
        <v>2004</v>
      </c>
      <c r="B130" t="inlineStr">
        <is>
          <t>ANDE_TARIFF_GOV</t>
        </is>
      </c>
      <c r="C130" s="24" t="n">
        <v>314.2</v>
      </c>
      <c r="D130" s="36">
        <f>'Macro_Annual'!B17</f>
        <v/>
      </c>
      <c r="E130" s="32">
        <f>'Macro_Annual'!D17</f>
        <v/>
      </c>
      <c r="F130" s="37">
        <f>IFERROR(C130*'Macro_Annual'!$B$38/D130,"")</f>
        <v/>
      </c>
      <c r="G130" s="38">
        <f>IFERROR(C130*1000/E130,"")</f>
        <v/>
      </c>
      <c r="H130" t="inlineStr">
        <is>
          <t>OFFICIAL_AGGREGATE</t>
        </is>
      </c>
      <c r="I130" t="inlineStr">
        <is>
          <t>BACKFILL PROVISIONAL</t>
        </is>
      </c>
      <c r="J130" t="inlineStr">
        <is>
          <t>https://www.ande.gov.py/finanzas/2.%20COMPILACION%20ESTADISTICA%202003-2023/ANDE%20-%20Compilacion%20Estadistica%202003-2023.pdf</t>
        </is>
      </c>
      <c r="K130" t="inlineStr">
        <is>
          <t>https://data.worldbank.org/indicator/FP.CPI.TOTL?locations=PY</t>
        </is>
      </c>
      <c r="L130" t="inlineStr">
        <is>
          <t>https://data.worldbank.org/indicator/PA.NUS.FCRF?locations=PY</t>
        </is>
      </c>
    </row>
    <row r="131">
      <c r="A131" t="n">
        <v>2004</v>
      </c>
      <c r="B131" t="inlineStr">
        <is>
          <t>ANDE_TARIFF_INDUSTRIAL</t>
        </is>
      </c>
      <c r="C131" s="24" t="n">
        <v>215.1</v>
      </c>
      <c r="D131" s="36">
        <f>'Macro_Annual'!B17</f>
        <v/>
      </c>
      <c r="E131" s="32">
        <f>'Macro_Annual'!D17</f>
        <v/>
      </c>
      <c r="F131" s="37">
        <f>IFERROR(C131*'Macro_Annual'!$B$38/D131,"")</f>
        <v/>
      </c>
      <c r="G131" s="38">
        <f>IFERROR(C131*1000/E131,"")</f>
        <v/>
      </c>
      <c r="H131" t="inlineStr">
        <is>
          <t>OFFICIAL_AGGREGATE</t>
        </is>
      </c>
      <c r="I131" t="inlineStr">
        <is>
          <t>BACKFILL PROVISIONAL</t>
        </is>
      </c>
      <c r="J131" t="inlineStr">
        <is>
          <t>https://www.ande.gov.py/finanzas/2.%20COMPILACION%20ESTADISTICA%202003-2023/ANDE%20-%20Compilacion%20Estadistica%202003-2023.pdf</t>
        </is>
      </c>
      <c r="K131" t="inlineStr">
        <is>
          <t>https://data.worldbank.org/indicator/FP.CPI.TOTL?locations=PY</t>
        </is>
      </c>
      <c r="L131" t="inlineStr">
        <is>
          <t>https://data.worldbank.org/indicator/PA.NUS.FCRF?locations=PY</t>
        </is>
      </c>
    </row>
    <row r="132">
      <c r="A132" t="n">
        <v>2004</v>
      </c>
      <c r="B132" t="inlineStr">
        <is>
          <t>ANDE_TARIFF_NATIONAL_AVG</t>
        </is>
      </c>
      <c r="C132" s="24" t="n">
        <v>314.5</v>
      </c>
      <c r="D132" s="36">
        <f>'Macro_Annual'!B17</f>
        <v/>
      </c>
      <c r="E132" s="32">
        <f>'Macro_Annual'!D17</f>
        <v/>
      </c>
      <c r="F132" s="37">
        <f>IFERROR(C132*'Macro_Annual'!$B$38/D132,"")</f>
        <v/>
      </c>
      <c r="G132" s="38">
        <f>IFERROR(C132*1000/E132,"")</f>
        <v/>
      </c>
      <c r="H132" t="inlineStr">
        <is>
          <t>OFFICIAL_AGGREGATE</t>
        </is>
      </c>
      <c r="I132" t="inlineStr">
        <is>
          <t>BACKFILL PROVISIONAL</t>
        </is>
      </c>
      <c r="J132" t="inlineStr">
        <is>
          <t>https://www.ande.gov.py/finanzas/2.%20COMPILACION%20ESTADISTICA%202003-2023/ANDE%20-%20Compilacion%20Estadistica%202003-2023.pdf</t>
        </is>
      </c>
      <c r="K132" t="inlineStr">
        <is>
          <t>https://data.worldbank.org/indicator/FP.CPI.TOTL?locations=PY</t>
        </is>
      </c>
      <c r="L132" t="inlineStr">
        <is>
          <t>https://data.worldbank.org/indicator/PA.NUS.FCRF?locations=PY</t>
        </is>
      </c>
    </row>
    <row r="133">
      <c r="A133" t="n">
        <v>2004</v>
      </c>
      <c r="B133" t="inlineStr">
        <is>
          <t>ANDE_TARIFF_OTHER</t>
        </is>
      </c>
      <c r="C133" s="24" t="n">
        <v>336.1</v>
      </c>
      <c r="D133" s="36">
        <f>'Macro_Annual'!B17</f>
        <v/>
      </c>
      <c r="E133" s="32">
        <f>'Macro_Annual'!D17</f>
        <v/>
      </c>
      <c r="F133" s="37">
        <f>IFERROR(C133*'Macro_Annual'!$B$38/D133,"")</f>
        <v/>
      </c>
      <c r="G133" s="38">
        <f>IFERROR(C133*1000/E133,"")</f>
        <v/>
      </c>
      <c r="H133" t="inlineStr">
        <is>
          <t>OFFICIAL_AGGREGATE</t>
        </is>
      </c>
      <c r="I133" t="inlineStr">
        <is>
          <t>BACKFILL PROVISIONAL</t>
        </is>
      </c>
      <c r="J133" t="inlineStr">
        <is>
          <t>https://www.ande.gov.py/finanzas/2.%20COMPILACION%20ESTADISTICA%202003-2023/ANDE%20-%20Compilacion%20Estadistica%202003-2023.pdf</t>
        </is>
      </c>
      <c r="K133" t="inlineStr">
        <is>
          <t>https://data.worldbank.org/indicator/FP.CPI.TOTL?locations=PY</t>
        </is>
      </c>
      <c r="L133" t="inlineStr">
        <is>
          <t>https://data.worldbank.org/indicator/PA.NUS.FCRF?locations=PY</t>
        </is>
      </c>
    </row>
    <row r="134">
      <c r="A134" t="n">
        <v>2004</v>
      </c>
      <c r="B134" t="inlineStr">
        <is>
          <t>ANDE_TARIFF_PUBLIC_LIGHT</t>
        </is>
      </c>
      <c r="C134" s="24" t="n">
        <v>508</v>
      </c>
      <c r="D134" s="36">
        <f>'Macro_Annual'!B17</f>
        <v/>
      </c>
      <c r="E134" s="32">
        <f>'Macro_Annual'!D17</f>
        <v/>
      </c>
      <c r="F134" s="37">
        <f>IFERROR(C134*'Macro_Annual'!$B$38/D134,"")</f>
        <v/>
      </c>
      <c r="G134" s="38">
        <f>IFERROR(C134*1000/E134,"")</f>
        <v/>
      </c>
      <c r="H134" t="inlineStr">
        <is>
          <t>OFFICIAL_AGGREGATE</t>
        </is>
      </c>
      <c r="I134" t="inlineStr">
        <is>
          <t>BACKFILL PROVISIONAL</t>
        </is>
      </c>
      <c r="J134" t="inlineStr">
        <is>
          <t>https://www.ande.gov.py/finanzas/2.%20COMPILACION%20ESTADISTICA%202003-2023/ANDE%20-%20Compilacion%20Estadistica%202003-2023.pdf</t>
        </is>
      </c>
      <c r="K134" t="inlineStr">
        <is>
          <t>https://data.worldbank.org/indicator/FP.CPI.TOTL?locations=PY</t>
        </is>
      </c>
      <c r="L134" t="inlineStr">
        <is>
          <t>https://data.worldbank.org/indicator/PA.NUS.FCRF?locations=PY</t>
        </is>
      </c>
    </row>
    <row r="135">
      <c r="A135" t="n">
        <v>2004</v>
      </c>
      <c r="B135" t="inlineStr">
        <is>
          <t>ANDE_TARIFF_RESIDENTIAL</t>
        </is>
      </c>
      <c r="C135" s="24" t="n">
        <v>349.6</v>
      </c>
      <c r="D135" s="36">
        <f>'Macro_Annual'!B17</f>
        <v/>
      </c>
      <c r="E135" s="32">
        <f>'Macro_Annual'!D17</f>
        <v/>
      </c>
      <c r="F135" s="37">
        <f>IFERROR(C135*'Macro_Annual'!$B$38/D135,"")</f>
        <v/>
      </c>
      <c r="G135" s="38">
        <f>IFERROR(C135*1000/E135,"")</f>
        <v/>
      </c>
      <c r="H135" t="inlineStr">
        <is>
          <t>OFFICIAL_AGGREGATE</t>
        </is>
      </c>
      <c r="I135" t="inlineStr">
        <is>
          <t>BACKFILL PROVISIONAL</t>
        </is>
      </c>
      <c r="J135" t="inlineStr">
        <is>
          <t>https://www.ande.gov.py/finanzas/2.%20COMPILACION%20ESTADISTICA%202003-2023/ANDE%20-%20Compilacion%20Estadistica%202003-2023.pdf</t>
        </is>
      </c>
      <c r="K135" t="inlineStr">
        <is>
          <t>https://data.worldbank.org/indicator/FP.CPI.TOTL?locations=PY</t>
        </is>
      </c>
      <c r="L135" t="inlineStr">
        <is>
          <t>https://data.worldbank.org/indicator/PA.NUS.FCRF?locations=PY</t>
        </is>
      </c>
    </row>
    <row r="136">
      <c r="A136" t="n">
        <v>2005</v>
      </c>
      <c r="B136" t="inlineStr">
        <is>
          <t>ANDE_TARIFF_EXPORT_AVG</t>
        </is>
      </c>
      <c r="C136" s="24" t="n">
        <v>83.90000000000001</v>
      </c>
      <c r="D136" s="36">
        <f>'Macro_Annual'!B18</f>
        <v/>
      </c>
      <c r="E136" s="32">
        <f>'Macro_Annual'!D18</f>
        <v/>
      </c>
      <c r="F136" s="37">
        <f>IFERROR(C136*'Macro_Annual'!$B$38/D136,"")</f>
        <v/>
      </c>
      <c r="G136" s="38">
        <f>IFERROR(C136*1000/E136,"")</f>
        <v/>
      </c>
      <c r="H136" t="inlineStr">
        <is>
          <t>OFFICIAL_AGGREGATE</t>
        </is>
      </c>
      <c r="I136" t="inlineStr">
        <is>
          <t>BACKFILL PROVISIONAL</t>
        </is>
      </c>
      <c r="J136" t="inlineStr">
        <is>
          <t>https://www.ande.gov.py/finanzas/2.%20COMPILACION%20ESTADISTICA%202003-2023/ANDE%20-%20Compilacion%20Estadistica%202003-2023.pdf</t>
        </is>
      </c>
      <c r="K136" t="inlineStr">
        <is>
          <t>https://data.worldbank.org/indicator/FP.CPI.TOTL?locations=PY</t>
        </is>
      </c>
      <c r="L136" t="inlineStr">
        <is>
          <t>https://data.worldbank.org/indicator/PA.NUS.FCRF?locations=PY</t>
        </is>
      </c>
    </row>
    <row r="137">
      <c r="A137" t="n">
        <v>2005</v>
      </c>
      <c r="B137" t="inlineStr">
        <is>
          <t>ANDE_TARIFF_GENERAL_AVG</t>
        </is>
      </c>
      <c r="C137" s="24" t="n">
        <v>294.1</v>
      </c>
      <c r="D137" s="36">
        <f>'Macro_Annual'!B18</f>
        <v/>
      </c>
      <c r="E137" s="32">
        <f>'Macro_Annual'!D18</f>
        <v/>
      </c>
      <c r="F137" s="37">
        <f>IFERROR(C137*'Macro_Annual'!$B$38/D137,"")</f>
        <v/>
      </c>
      <c r="G137" s="38">
        <f>IFERROR(C137*1000/E137,"")</f>
        <v/>
      </c>
      <c r="H137" t="inlineStr">
        <is>
          <t>OFFICIAL_AGGREGATE</t>
        </is>
      </c>
      <c r="I137" t="inlineStr">
        <is>
          <t>BACKFILL PROVISIONAL</t>
        </is>
      </c>
      <c r="J137" t="inlineStr">
        <is>
          <t>https://www.ande.gov.py/finanzas/2.%20COMPILACION%20ESTADISTICA%202003-2023/ANDE%20-%20Compilacion%20Estadistica%202003-2023.pdf</t>
        </is>
      </c>
      <c r="K137" t="inlineStr">
        <is>
          <t>https://data.worldbank.org/indicator/FP.CPI.TOTL?locations=PY</t>
        </is>
      </c>
      <c r="L137" t="inlineStr">
        <is>
          <t>https://data.worldbank.org/indicator/PA.NUS.FCRF?locations=PY</t>
        </is>
      </c>
    </row>
    <row r="138">
      <c r="A138" t="n">
        <v>2005</v>
      </c>
      <c r="B138" t="inlineStr">
        <is>
          <t>ANDE_TARIFF_GOV</t>
        </is>
      </c>
      <c r="C138" s="24" t="n">
        <v>288</v>
      </c>
      <c r="D138" s="36">
        <f>'Macro_Annual'!B18</f>
        <v/>
      </c>
      <c r="E138" s="32">
        <f>'Macro_Annual'!D18</f>
        <v/>
      </c>
      <c r="F138" s="37">
        <f>IFERROR(C138*'Macro_Annual'!$B$38/D138,"")</f>
        <v/>
      </c>
      <c r="G138" s="38">
        <f>IFERROR(C138*1000/E138,"")</f>
        <v/>
      </c>
      <c r="H138" t="inlineStr">
        <is>
          <t>OFFICIAL_AGGREGATE</t>
        </is>
      </c>
      <c r="I138" t="inlineStr">
        <is>
          <t>BACKFILL PROVISIONAL</t>
        </is>
      </c>
      <c r="J138" t="inlineStr">
        <is>
          <t>https://www.ande.gov.py/finanzas/2.%20COMPILACION%20ESTADISTICA%202003-2023/ANDE%20-%20Compilacion%20Estadistica%202003-2023.pdf</t>
        </is>
      </c>
      <c r="K138" t="inlineStr">
        <is>
          <t>https://data.worldbank.org/indicator/FP.CPI.TOTL?locations=PY</t>
        </is>
      </c>
      <c r="L138" t="inlineStr">
        <is>
          <t>https://data.worldbank.org/indicator/PA.NUS.FCRF?locations=PY</t>
        </is>
      </c>
    </row>
    <row r="139">
      <c r="A139" t="n">
        <v>2005</v>
      </c>
      <c r="B139" t="inlineStr">
        <is>
          <t>ANDE_TARIFF_INDUSTRIAL</t>
        </is>
      </c>
      <c r="C139" s="24" t="n">
        <v>213.6</v>
      </c>
      <c r="D139" s="36">
        <f>'Macro_Annual'!B18</f>
        <v/>
      </c>
      <c r="E139" s="32">
        <f>'Macro_Annual'!D18</f>
        <v/>
      </c>
      <c r="F139" s="37">
        <f>IFERROR(C139*'Macro_Annual'!$B$38/D139,"")</f>
        <v/>
      </c>
      <c r="G139" s="38">
        <f>IFERROR(C139*1000/E139,"")</f>
        <v/>
      </c>
      <c r="H139" t="inlineStr">
        <is>
          <t>OFFICIAL_AGGREGATE</t>
        </is>
      </c>
      <c r="I139" t="inlineStr">
        <is>
          <t>BACKFILL PROVISIONAL</t>
        </is>
      </c>
      <c r="J139" t="inlineStr">
        <is>
          <t>https://www.ande.gov.py/finanzas/2.%20COMPILACION%20ESTADISTICA%202003-2023/ANDE%20-%20Compilacion%20Estadistica%202003-2023.pdf</t>
        </is>
      </c>
      <c r="K139" t="inlineStr">
        <is>
          <t>https://data.worldbank.org/indicator/FP.CPI.TOTL?locations=PY</t>
        </is>
      </c>
      <c r="L139" t="inlineStr">
        <is>
          <t>https://data.worldbank.org/indicator/PA.NUS.FCRF?locations=PY</t>
        </is>
      </c>
    </row>
    <row r="140">
      <c r="A140" t="n">
        <v>2005</v>
      </c>
      <c r="B140" t="inlineStr">
        <is>
          <t>ANDE_TARIFF_NATIONAL_AVG</t>
        </is>
      </c>
      <c r="C140" s="24" t="n">
        <v>312.6</v>
      </c>
      <c r="D140" s="36">
        <f>'Macro_Annual'!B18</f>
        <v/>
      </c>
      <c r="E140" s="32">
        <f>'Macro_Annual'!D18</f>
        <v/>
      </c>
      <c r="F140" s="37">
        <f>IFERROR(C140*'Macro_Annual'!$B$38/D140,"")</f>
        <v/>
      </c>
      <c r="G140" s="38">
        <f>IFERROR(C140*1000/E140,"")</f>
        <v/>
      </c>
      <c r="H140" t="inlineStr">
        <is>
          <t>OFFICIAL_AGGREGATE</t>
        </is>
      </c>
      <c r="I140" t="inlineStr">
        <is>
          <t>BACKFILL PROVISIONAL</t>
        </is>
      </c>
      <c r="J140" t="inlineStr">
        <is>
          <t>https://www.ande.gov.py/finanzas/2.%20COMPILACION%20ESTADISTICA%202003-2023/ANDE%20-%20Compilacion%20Estadistica%202003-2023.pdf</t>
        </is>
      </c>
      <c r="K140" t="inlineStr">
        <is>
          <t>https://data.worldbank.org/indicator/FP.CPI.TOTL?locations=PY</t>
        </is>
      </c>
      <c r="L140" t="inlineStr">
        <is>
          <t>https://data.worldbank.org/indicator/PA.NUS.FCRF?locations=PY</t>
        </is>
      </c>
    </row>
    <row r="141">
      <c r="A141" t="n">
        <v>2005</v>
      </c>
      <c r="B141" t="inlineStr">
        <is>
          <t>ANDE_TARIFF_OTHER</t>
        </is>
      </c>
      <c r="C141" s="24" t="n">
        <v>334.4</v>
      </c>
      <c r="D141" s="36">
        <f>'Macro_Annual'!B18</f>
        <v/>
      </c>
      <c r="E141" s="32">
        <f>'Macro_Annual'!D18</f>
        <v/>
      </c>
      <c r="F141" s="37">
        <f>IFERROR(C141*'Macro_Annual'!$B$38/D141,"")</f>
        <v/>
      </c>
      <c r="G141" s="38">
        <f>IFERROR(C141*1000/E141,"")</f>
        <v/>
      </c>
      <c r="H141" t="inlineStr">
        <is>
          <t>OFFICIAL_AGGREGATE</t>
        </is>
      </c>
      <c r="I141" t="inlineStr">
        <is>
          <t>BACKFILL PROVISIONAL</t>
        </is>
      </c>
      <c r="J141" t="inlineStr">
        <is>
          <t>https://www.ande.gov.py/finanzas/2.%20COMPILACION%20ESTADISTICA%202003-2023/ANDE%20-%20Compilacion%20Estadistica%202003-2023.pdf</t>
        </is>
      </c>
      <c r="K141" t="inlineStr">
        <is>
          <t>https://data.worldbank.org/indicator/FP.CPI.TOTL?locations=PY</t>
        </is>
      </c>
      <c r="L141" t="inlineStr">
        <is>
          <t>https://data.worldbank.org/indicator/PA.NUS.FCRF?locations=PY</t>
        </is>
      </c>
    </row>
    <row r="142">
      <c r="A142" t="n">
        <v>2005</v>
      </c>
      <c r="B142" t="inlineStr">
        <is>
          <t>ANDE_TARIFF_PUBLIC_LIGHT</t>
        </is>
      </c>
      <c r="C142" s="24" t="n">
        <v>487.7</v>
      </c>
      <c r="D142" s="36">
        <f>'Macro_Annual'!B18</f>
        <v/>
      </c>
      <c r="E142" s="32">
        <f>'Macro_Annual'!D18</f>
        <v/>
      </c>
      <c r="F142" s="37">
        <f>IFERROR(C142*'Macro_Annual'!$B$38/D142,"")</f>
        <v/>
      </c>
      <c r="G142" s="38">
        <f>IFERROR(C142*1000/E142,"")</f>
        <v/>
      </c>
      <c r="H142" t="inlineStr">
        <is>
          <t>OFFICIAL_AGGREGATE</t>
        </is>
      </c>
      <c r="I142" t="inlineStr">
        <is>
          <t>BACKFILL PROVISIONAL</t>
        </is>
      </c>
      <c r="J142" t="inlineStr">
        <is>
          <t>https://www.ande.gov.py/finanzas/2.%20COMPILACION%20ESTADISTICA%202003-2023/ANDE%20-%20Compilacion%20Estadistica%202003-2023.pdf</t>
        </is>
      </c>
      <c r="K142" t="inlineStr">
        <is>
          <t>https://data.worldbank.org/indicator/FP.CPI.TOTL?locations=PY</t>
        </is>
      </c>
      <c r="L142" t="inlineStr">
        <is>
          <t>https://data.worldbank.org/indicator/PA.NUS.FCRF?locations=PY</t>
        </is>
      </c>
    </row>
    <row r="143">
      <c r="A143" t="n">
        <v>2005</v>
      </c>
      <c r="B143" t="inlineStr">
        <is>
          <t>ANDE_TARIFF_RESIDENTIAL</t>
        </is>
      </c>
      <c r="C143" s="24" t="n">
        <v>352.3</v>
      </c>
      <c r="D143" s="36">
        <f>'Macro_Annual'!B18</f>
        <v/>
      </c>
      <c r="E143" s="32">
        <f>'Macro_Annual'!D18</f>
        <v/>
      </c>
      <c r="F143" s="37">
        <f>IFERROR(C143*'Macro_Annual'!$B$38/D143,"")</f>
        <v/>
      </c>
      <c r="G143" s="38">
        <f>IFERROR(C143*1000/E143,"")</f>
        <v/>
      </c>
      <c r="H143" t="inlineStr">
        <is>
          <t>OFFICIAL_AGGREGATE</t>
        </is>
      </c>
      <c r="I143" t="inlineStr">
        <is>
          <t>BACKFILL PROVISIONAL</t>
        </is>
      </c>
      <c r="J143" t="inlineStr">
        <is>
          <t>https://www.ande.gov.py/finanzas/2.%20COMPILACION%20ESTADISTICA%202003-2023/ANDE%20-%20Compilacion%20Estadistica%202003-2023.pdf</t>
        </is>
      </c>
      <c r="K143" t="inlineStr">
        <is>
          <t>https://data.worldbank.org/indicator/FP.CPI.TOTL?locations=PY</t>
        </is>
      </c>
      <c r="L143" t="inlineStr">
        <is>
          <t>https://data.worldbank.org/indicator/PA.NUS.FCRF?locations=PY</t>
        </is>
      </c>
    </row>
    <row r="144">
      <c r="A144" t="n">
        <v>2006</v>
      </c>
      <c r="B144" t="inlineStr">
        <is>
          <t>ANDE_TARIFF_EXPORT_AVG</t>
        </is>
      </c>
      <c r="C144" s="24" t="n">
        <v>87</v>
      </c>
      <c r="D144" s="36">
        <f>'Macro_Annual'!B19</f>
        <v/>
      </c>
      <c r="E144" s="32">
        <f>'Macro_Annual'!D19</f>
        <v/>
      </c>
      <c r="F144" s="37">
        <f>IFERROR(C144*'Macro_Annual'!$B$38/D144,"")</f>
        <v/>
      </c>
      <c r="G144" s="38">
        <f>IFERROR(C144*1000/E144,"")</f>
        <v/>
      </c>
      <c r="H144" t="inlineStr">
        <is>
          <t>OFFICIAL_AGGREGATE</t>
        </is>
      </c>
      <c r="I144" t="inlineStr">
        <is>
          <t>BACKFILL PROVISIONAL</t>
        </is>
      </c>
      <c r="J144" t="inlineStr">
        <is>
          <t>https://www.ande.gov.py/finanzas/2.%20COMPILACION%20ESTADISTICA%202003-2023/ANDE%20-%20Compilacion%20Estadistica%202003-2023.pdf</t>
        </is>
      </c>
      <c r="K144" t="inlineStr">
        <is>
          <t>https://data.worldbank.org/indicator/FP.CPI.TOTL?locations=PY</t>
        </is>
      </c>
      <c r="L144" t="inlineStr">
        <is>
          <t>https://data.worldbank.org/indicator/PA.NUS.FCRF?locations=PY</t>
        </is>
      </c>
    </row>
    <row r="145">
      <c r="A145" t="n">
        <v>2006</v>
      </c>
      <c r="B145" t="inlineStr">
        <is>
          <t>ANDE_TARIFF_GENERAL_AVG</t>
        </is>
      </c>
      <c r="C145" s="24" t="n">
        <v>283.5</v>
      </c>
      <c r="D145" s="36">
        <f>'Macro_Annual'!B19</f>
        <v/>
      </c>
      <c r="E145" s="32">
        <f>'Macro_Annual'!D19</f>
        <v/>
      </c>
      <c r="F145" s="37">
        <f>IFERROR(C145*'Macro_Annual'!$B$38/D145,"")</f>
        <v/>
      </c>
      <c r="G145" s="38">
        <f>IFERROR(C145*1000/E145,"")</f>
        <v/>
      </c>
      <c r="H145" t="inlineStr">
        <is>
          <t>OFFICIAL_AGGREGATE</t>
        </is>
      </c>
      <c r="I145" t="inlineStr">
        <is>
          <t>BACKFILL PROVISIONAL</t>
        </is>
      </c>
      <c r="J145" t="inlineStr">
        <is>
          <t>https://www.ande.gov.py/finanzas/2.%20COMPILACION%20ESTADISTICA%202003-2023/ANDE%20-%20Compilacion%20Estadistica%202003-2023.pdf</t>
        </is>
      </c>
      <c r="K145" t="inlineStr">
        <is>
          <t>https://data.worldbank.org/indicator/FP.CPI.TOTL?locations=PY</t>
        </is>
      </c>
      <c r="L145" t="inlineStr">
        <is>
          <t>https://data.worldbank.org/indicator/PA.NUS.FCRF?locations=PY</t>
        </is>
      </c>
    </row>
    <row r="146">
      <c r="A146" t="n">
        <v>2006</v>
      </c>
      <c r="B146" t="inlineStr">
        <is>
          <t>ANDE_TARIFF_GOV</t>
        </is>
      </c>
      <c r="C146" s="24" t="n">
        <v>275.2</v>
      </c>
      <c r="D146" s="36">
        <f>'Macro_Annual'!B19</f>
        <v/>
      </c>
      <c r="E146" s="32">
        <f>'Macro_Annual'!D19</f>
        <v/>
      </c>
      <c r="F146" s="37">
        <f>IFERROR(C146*'Macro_Annual'!$B$38/D146,"")</f>
        <v/>
      </c>
      <c r="G146" s="38">
        <f>IFERROR(C146*1000/E146,"")</f>
        <v/>
      </c>
      <c r="H146" t="inlineStr">
        <is>
          <t>OFFICIAL_AGGREGATE</t>
        </is>
      </c>
      <c r="I146" t="inlineStr">
        <is>
          <t>BACKFILL PROVISIONAL</t>
        </is>
      </c>
      <c r="J146" t="inlineStr">
        <is>
          <t>https://www.ande.gov.py/finanzas/2.%20COMPILACION%20ESTADISTICA%202003-2023/ANDE%20-%20Compilacion%20Estadistica%202003-2023.pdf</t>
        </is>
      </c>
      <c r="K146" t="inlineStr">
        <is>
          <t>https://data.worldbank.org/indicator/FP.CPI.TOTL?locations=PY</t>
        </is>
      </c>
      <c r="L146" t="inlineStr">
        <is>
          <t>https://data.worldbank.org/indicator/PA.NUS.FCRF?locations=PY</t>
        </is>
      </c>
    </row>
    <row r="147">
      <c r="A147" t="n">
        <v>2006</v>
      </c>
      <c r="B147" t="inlineStr">
        <is>
          <t>ANDE_TARIFF_INDUSTRIAL</t>
        </is>
      </c>
      <c r="C147" s="24" t="n">
        <v>216.6</v>
      </c>
      <c r="D147" s="36">
        <f>'Macro_Annual'!B19</f>
        <v/>
      </c>
      <c r="E147" s="32">
        <f>'Macro_Annual'!D19</f>
        <v/>
      </c>
      <c r="F147" s="37">
        <f>IFERROR(C147*'Macro_Annual'!$B$38/D147,"")</f>
        <v/>
      </c>
      <c r="G147" s="38">
        <f>IFERROR(C147*1000/E147,"")</f>
        <v/>
      </c>
      <c r="H147" t="inlineStr">
        <is>
          <t>OFFICIAL_AGGREGATE</t>
        </is>
      </c>
      <c r="I147" t="inlineStr">
        <is>
          <t>BACKFILL PROVISIONAL</t>
        </is>
      </c>
      <c r="J147" t="inlineStr">
        <is>
          <t>https://www.ande.gov.py/finanzas/2.%20COMPILACION%20ESTADISTICA%202003-2023/ANDE%20-%20Compilacion%20Estadistica%202003-2023.pdf</t>
        </is>
      </c>
      <c r="K147" t="inlineStr">
        <is>
          <t>https://data.worldbank.org/indicator/FP.CPI.TOTL?locations=PY</t>
        </is>
      </c>
      <c r="L147" t="inlineStr">
        <is>
          <t>https://data.worldbank.org/indicator/PA.NUS.FCRF?locations=PY</t>
        </is>
      </c>
    </row>
    <row r="148">
      <c r="A148" t="n">
        <v>2006</v>
      </c>
      <c r="B148" t="inlineStr">
        <is>
          <t>ANDE_TARIFF_NATIONAL_AVG</t>
        </is>
      </c>
      <c r="C148" s="24" t="n">
        <v>311.3</v>
      </c>
      <c r="D148" s="36">
        <f>'Macro_Annual'!B19</f>
        <v/>
      </c>
      <c r="E148" s="32">
        <f>'Macro_Annual'!D19</f>
        <v/>
      </c>
      <c r="F148" s="37">
        <f>IFERROR(C148*'Macro_Annual'!$B$38/D148,"")</f>
        <v/>
      </c>
      <c r="G148" s="38">
        <f>IFERROR(C148*1000/E148,"")</f>
        <v/>
      </c>
      <c r="H148" t="inlineStr">
        <is>
          <t>OFFICIAL_AGGREGATE</t>
        </is>
      </c>
      <c r="I148" t="inlineStr">
        <is>
          <t>BACKFILL PROVISIONAL</t>
        </is>
      </c>
      <c r="J148" t="inlineStr">
        <is>
          <t>https://www.ande.gov.py/finanzas/2.%20COMPILACION%20ESTADISTICA%202003-2023/ANDE%20-%20Compilacion%20Estadistica%202003-2023.pdf</t>
        </is>
      </c>
      <c r="K148" t="inlineStr">
        <is>
          <t>https://data.worldbank.org/indicator/FP.CPI.TOTL?locations=PY</t>
        </is>
      </c>
      <c r="L148" t="inlineStr">
        <is>
          <t>https://data.worldbank.org/indicator/PA.NUS.FCRF?locations=PY</t>
        </is>
      </c>
    </row>
    <row r="149">
      <c r="A149" t="n">
        <v>2006</v>
      </c>
      <c r="B149" t="inlineStr">
        <is>
          <t>ANDE_TARIFF_OTHER</t>
        </is>
      </c>
      <c r="C149" s="24" t="n">
        <v>332</v>
      </c>
      <c r="D149" s="36">
        <f>'Macro_Annual'!B19</f>
        <v/>
      </c>
      <c r="E149" s="32">
        <f>'Macro_Annual'!D19</f>
        <v/>
      </c>
      <c r="F149" s="37">
        <f>IFERROR(C149*'Macro_Annual'!$B$38/D149,"")</f>
        <v/>
      </c>
      <c r="G149" s="38">
        <f>IFERROR(C149*1000/E149,"")</f>
        <v/>
      </c>
      <c r="H149" t="inlineStr">
        <is>
          <t>OFFICIAL_AGGREGATE</t>
        </is>
      </c>
      <c r="I149" t="inlineStr">
        <is>
          <t>BACKFILL PROVISIONAL</t>
        </is>
      </c>
      <c r="J149" t="inlineStr">
        <is>
          <t>https://www.ande.gov.py/finanzas/2.%20COMPILACION%20ESTADISTICA%202003-2023/ANDE%20-%20Compilacion%20Estadistica%202003-2023.pdf</t>
        </is>
      </c>
      <c r="K149" t="inlineStr">
        <is>
          <t>https://data.worldbank.org/indicator/FP.CPI.TOTL?locations=PY</t>
        </is>
      </c>
      <c r="L149" t="inlineStr">
        <is>
          <t>https://data.worldbank.org/indicator/PA.NUS.FCRF?locations=PY</t>
        </is>
      </c>
    </row>
    <row r="150">
      <c r="A150" t="n">
        <v>2006</v>
      </c>
      <c r="B150" t="inlineStr">
        <is>
          <t>ANDE_TARIFF_PUBLIC_LIGHT</t>
        </is>
      </c>
      <c r="C150" s="24" t="n">
        <v>484</v>
      </c>
      <c r="D150" s="36">
        <f>'Macro_Annual'!B19</f>
        <v/>
      </c>
      <c r="E150" s="32">
        <f>'Macro_Annual'!D19</f>
        <v/>
      </c>
      <c r="F150" s="37">
        <f>IFERROR(C150*'Macro_Annual'!$B$38/D150,"")</f>
        <v/>
      </c>
      <c r="G150" s="38">
        <f>IFERROR(C150*1000/E150,"")</f>
        <v/>
      </c>
      <c r="H150" t="inlineStr">
        <is>
          <t>OFFICIAL_AGGREGATE</t>
        </is>
      </c>
      <c r="I150" t="inlineStr">
        <is>
          <t>BACKFILL PROVISIONAL</t>
        </is>
      </c>
      <c r="J150" t="inlineStr">
        <is>
          <t>https://www.ande.gov.py/finanzas/2.%20COMPILACION%20ESTADISTICA%202003-2023/ANDE%20-%20Compilacion%20Estadistica%202003-2023.pdf</t>
        </is>
      </c>
      <c r="K150" t="inlineStr">
        <is>
          <t>https://data.worldbank.org/indicator/FP.CPI.TOTL?locations=PY</t>
        </is>
      </c>
      <c r="L150" t="inlineStr">
        <is>
          <t>https://data.worldbank.org/indicator/PA.NUS.FCRF?locations=PY</t>
        </is>
      </c>
    </row>
    <row r="151">
      <c r="A151" t="n">
        <v>2006</v>
      </c>
      <c r="B151" t="inlineStr">
        <is>
          <t>ANDE_TARIFF_RESIDENTIAL</t>
        </is>
      </c>
      <c r="C151" s="24" t="n">
        <v>351.9</v>
      </c>
      <c r="D151" s="36">
        <f>'Macro_Annual'!B19</f>
        <v/>
      </c>
      <c r="E151" s="32">
        <f>'Macro_Annual'!D19</f>
        <v/>
      </c>
      <c r="F151" s="37">
        <f>IFERROR(C151*'Macro_Annual'!$B$38/D151,"")</f>
        <v/>
      </c>
      <c r="G151" s="38">
        <f>IFERROR(C151*1000/E151,"")</f>
        <v/>
      </c>
      <c r="H151" t="inlineStr">
        <is>
          <t>OFFICIAL_AGGREGATE</t>
        </is>
      </c>
      <c r="I151" t="inlineStr">
        <is>
          <t>BACKFILL PROVISIONAL</t>
        </is>
      </c>
      <c r="J151" t="inlineStr">
        <is>
          <t>https://www.ande.gov.py/finanzas/2.%20COMPILACION%20ESTADISTICA%202003-2023/ANDE%20-%20Compilacion%20Estadistica%202003-2023.pdf</t>
        </is>
      </c>
      <c r="K151" t="inlineStr">
        <is>
          <t>https://data.worldbank.org/indicator/FP.CPI.TOTL?locations=PY</t>
        </is>
      </c>
      <c r="L151" t="inlineStr">
        <is>
          <t>https://data.worldbank.org/indicator/PA.NUS.FCRF?locations=PY</t>
        </is>
      </c>
    </row>
    <row r="152">
      <c r="A152" t="n">
        <v>2007</v>
      </c>
      <c r="B152" t="inlineStr">
        <is>
          <t>ANDE_TARIFF_EXPORT_AVG</t>
        </is>
      </c>
      <c r="C152" s="24" t="n">
        <v>94.2</v>
      </c>
      <c r="D152" s="36">
        <f>'Macro_Annual'!B20</f>
        <v/>
      </c>
      <c r="E152" s="32">
        <f>'Macro_Annual'!D20</f>
        <v/>
      </c>
      <c r="F152" s="37">
        <f>IFERROR(C152*'Macro_Annual'!$B$38/D152,"")</f>
        <v/>
      </c>
      <c r="G152" s="38">
        <f>IFERROR(C152*1000/E152,"")</f>
        <v/>
      </c>
      <c r="H152" t="inlineStr">
        <is>
          <t>OFFICIAL_AGGREGATE</t>
        </is>
      </c>
      <c r="I152" t="inlineStr">
        <is>
          <t>BACKFILL PROVISIONAL</t>
        </is>
      </c>
      <c r="J152" t="inlineStr">
        <is>
          <t>https://www.ande.gov.py/finanzas/2.%20COMPILACION%20ESTADISTICA%202003-2023/ANDE%20-%20Compilacion%20Estadistica%202003-2023.pdf</t>
        </is>
      </c>
      <c r="K152" t="inlineStr">
        <is>
          <t>https://data.worldbank.org/indicator/FP.CPI.TOTL?locations=PY</t>
        </is>
      </c>
      <c r="L152" t="inlineStr">
        <is>
          <t>https://data.worldbank.org/indicator/PA.NUS.FCRF?locations=PY</t>
        </is>
      </c>
    </row>
    <row r="153">
      <c r="A153" t="n">
        <v>2007</v>
      </c>
      <c r="B153" t="inlineStr">
        <is>
          <t>ANDE_TARIFF_GENERAL_AVG</t>
        </is>
      </c>
      <c r="C153" s="24" t="n">
        <v>292.8</v>
      </c>
      <c r="D153" s="36">
        <f>'Macro_Annual'!B20</f>
        <v/>
      </c>
      <c r="E153" s="32">
        <f>'Macro_Annual'!D20</f>
        <v/>
      </c>
      <c r="F153" s="37">
        <f>IFERROR(C153*'Macro_Annual'!$B$38/D153,"")</f>
        <v/>
      </c>
      <c r="G153" s="38">
        <f>IFERROR(C153*1000/E153,"")</f>
        <v/>
      </c>
      <c r="H153" t="inlineStr">
        <is>
          <t>OFFICIAL_AGGREGATE</t>
        </is>
      </c>
      <c r="I153" t="inlineStr">
        <is>
          <t>BACKFILL PROVISIONAL</t>
        </is>
      </c>
      <c r="J153" t="inlineStr">
        <is>
          <t>https://www.ande.gov.py/finanzas/2.%20COMPILACION%20ESTADISTICA%202003-2023/ANDE%20-%20Compilacion%20Estadistica%202003-2023.pdf</t>
        </is>
      </c>
      <c r="K153" t="inlineStr">
        <is>
          <t>https://data.worldbank.org/indicator/FP.CPI.TOTL?locations=PY</t>
        </is>
      </c>
      <c r="L153" t="inlineStr">
        <is>
          <t>https://data.worldbank.org/indicator/PA.NUS.FCRF?locations=PY</t>
        </is>
      </c>
    </row>
    <row r="154">
      <c r="A154" t="n">
        <v>2007</v>
      </c>
      <c r="B154" t="inlineStr">
        <is>
          <t>ANDE_TARIFF_GOV</t>
        </is>
      </c>
      <c r="C154" s="24" t="n">
        <v>279.5</v>
      </c>
      <c r="D154" s="36">
        <f>'Macro_Annual'!B20</f>
        <v/>
      </c>
      <c r="E154" s="32">
        <f>'Macro_Annual'!D20</f>
        <v/>
      </c>
      <c r="F154" s="37">
        <f>IFERROR(C154*'Macro_Annual'!$B$38/D154,"")</f>
        <v/>
      </c>
      <c r="G154" s="38">
        <f>IFERROR(C154*1000/E154,"")</f>
        <v/>
      </c>
      <c r="H154" t="inlineStr">
        <is>
          <t>OFFICIAL_AGGREGATE</t>
        </is>
      </c>
      <c r="I154" t="inlineStr">
        <is>
          <t>BACKFILL PROVISIONAL</t>
        </is>
      </c>
      <c r="J154" t="inlineStr">
        <is>
          <t>https://www.ande.gov.py/finanzas/2.%20COMPILACION%20ESTADISTICA%202003-2023/ANDE%20-%20Compilacion%20Estadistica%202003-2023.pdf</t>
        </is>
      </c>
      <c r="K154" t="inlineStr">
        <is>
          <t>https://data.worldbank.org/indicator/FP.CPI.TOTL?locations=PY</t>
        </is>
      </c>
      <c r="L154" t="inlineStr">
        <is>
          <t>https://data.worldbank.org/indicator/PA.NUS.FCRF?locations=PY</t>
        </is>
      </c>
    </row>
    <row r="155">
      <c r="A155" t="n">
        <v>2007</v>
      </c>
      <c r="B155" t="inlineStr">
        <is>
          <t>ANDE_TARIFF_INDUSTRIAL</t>
        </is>
      </c>
      <c r="C155" s="24" t="n">
        <v>216.4</v>
      </c>
      <c r="D155" s="36">
        <f>'Macro_Annual'!B20</f>
        <v/>
      </c>
      <c r="E155" s="32">
        <f>'Macro_Annual'!D20</f>
        <v/>
      </c>
      <c r="F155" s="37">
        <f>IFERROR(C155*'Macro_Annual'!$B$38/D155,"")</f>
        <v/>
      </c>
      <c r="G155" s="38">
        <f>IFERROR(C155*1000/E155,"")</f>
        <v/>
      </c>
      <c r="H155" t="inlineStr">
        <is>
          <t>OFFICIAL_AGGREGATE</t>
        </is>
      </c>
      <c r="I155" t="inlineStr">
        <is>
          <t>BACKFILL PROVISIONAL</t>
        </is>
      </c>
      <c r="J155" t="inlineStr">
        <is>
          <t>https://www.ande.gov.py/finanzas/2.%20COMPILACION%20ESTADISTICA%202003-2023/ANDE%20-%20Compilacion%20Estadistica%202003-2023.pdf</t>
        </is>
      </c>
      <c r="K155" t="inlineStr">
        <is>
          <t>https://data.worldbank.org/indicator/FP.CPI.TOTL?locations=PY</t>
        </is>
      </c>
      <c r="L155" t="inlineStr">
        <is>
          <t>https://data.worldbank.org/indicator/PA.NUS.FCRF?locations=PY</t>
        </is>
      </c>
    </row>
    <row r="156">
      <c r="A156" t="n">
        <v>2007</v>
      </c>
      <c r="B156" t="inlineStr">
        <is>
          <t>ANDE_TARIFF_NATIONAL_AVG</t>
        </is>
      </c>
      <c r="C156" s="24" t="n">
        <v>311.1</v>
      </c>
      <c r="D156" s="36">
        <f>'Macro_Annual'!B20</f>
        <v/>
      </c>
      <c r="E156" s="32">
        <f>'Macro_Annual'!D20</f>
        <v/>
      </c>
      <c r="F156" s="37">
        <f>IFERROR(C156*'Macro_Annual'!$B$38/D156,"")</f>
        <v/>
      </c>
      <c r="G156" s="38">
        <f>IFERROR(C156*1000/E156,"")</f>
        <v/>
      </c>
      <c r="H156" t="inlineStr">
        <is>
          <t>OFFICIAL_AGGREGATE</t>
        </is>
      </c>
      <c r="I156" t="inlineStr">
        <is>
          <t>BACKFILL PROVISIONAL</t>
        </is>
      </c>
      <c r="J156" t="inlineStr">
        <is>
          <t>https://www.ande.gov.py/finanzas/2.%20COMPILACION%20ESTADISTICA%202003-2023/ANDE%20-%20Compilacion%20Estadistica%202003-2023.pdf</t>
        </is>
      </c>
      <c r="K156" t="inlineStr">
        <is>
          <t>https://data.worldbank.org/indicator/FP.CPI.TOTL?locations=PY</t>
        </is>
      </c>
      <c r="L156" t="inlineStr">
        <is>
          <t>https://data.worldbank.org/indicator/PA.NUS.FCRF?locations=PY</t>
        </is>
      </c>
    </row>
    <row r="157">
      <c r="A157" t="n">
        <v>2007</v>
      </c>
      <c r="B157" t="inlineStr">
        <is>
          <t>ANDE_TARIFF_OTHER</t>
        </is>
      </c>
      <c r="C157" s="24" t="n">
        <v>323.6</v>
      </c>
      <c r="D157" s="36">
        <f>'Macro_Annual'!B20</f>
        <v/>
      </c>
      <c r="E157" s="32">
        <f>'Macro_Annual'!D20</f>
        <v/>
      </c>
      <c r="F157" s="37">
        <f>IFERROR(C157*'Macro_Annual'!$B$38/D157,"")</f>
        <v/>
      </c>
      <c r="G157" s="38">
        <f>IFERROR(C157*1000/E157,"")</f>
        <v/>
      </c>
      <c r="H157" t="inlineStr">
        <is>
          <t>OFFICIAL_AGGREGATE</t>
        </is>
      </c>
      <c r="I157" t="inlineStr">
        <is>
          <t>BACKFILL PROVISIONAL</t>
        </is>
      </c>
      <c r="J157" t="inlineStr">
        <is>
          <t>https://www.ande.gov.py/finanzas/2.%20COMPILACION%20ESTADISTICA%202003-2023/ANDE%20-%20Compilacion%20Estadistica%202003-2023.pdf</t>
        </is>
      </c>
      <c r="K157" t="inlineStr">
        <is>
          <t>https://data.worldbank.org/indicator/FP.CPI.TOTL?locations=PY</t>
        </is>
      </c>
      <c r="L157" t="inlineStr">
        <is>
          <t>https://data.worldbank.org/indicator/PA.NUS.FCRF?locations=PY</t>
        </is>
      </c>
    </row>
    <row r="158">
      <c r="A158" t="n">
        <v>2007</v>
      </c>
      <c r="B158" t="inlineStr">
        <is>
          <t>ANDE_TARIFF_PUBLIC_LIGHT</t>
        </is>
      </c>
      <c r="C158" s="24" t="n">
        <v>476.8</v>
      </c>
      <c r="D158" s="36">
        <f>'Macro_Annual'!B20</f>
        <v/>
      </c>
      <c r="E158" s="32">
        <f>'Macro_Annual'!D20</f>
        <v/>
      </c>
      <c r="F158" s="37">
        <f>IFERROR(C158*'Macro_Annual'!$B$38/D158,"")</f>
        <v/>
      </c>
      <c r="G158" s="38">
        <f>IFERROR(C158*1000/E158,"")</f>
        <v/>
      </c>
      <c r="H158" t="inlineStr">
        <is>
          <t>OFFICIAL_AGGREGATE</t>
        </is>
      </c>
      <c r="I158" t="inlineStr">
        <is>
          <t>BACKFILL PROVISIONAL</t>
        </is>
      </c>
      <c r="J158" t="inlineStr">
        <is>
          <t>https://www.ande.gov.py/finanzas/2.%20COMPILACION%20ESTADISTICA%202003-2023/ANDE%20-%20Compilacion%20Estadistica%202003-2023.pdf</t>
        </is>
      </c>
      <c r="K158" t="inlineStr">
        <is>
          <t>https://data.worldbank.org/indicator/FP.CPI.TOTL?locations=PY</t>
        </is>
      </c>
      <c r="L158" t="inlineStr">
        <is>
          <t>https://data.worldbank.org/indicator/PA.NUS.FCRF?locations=PY</t>
        </is>
      </c>
    </row>
    <row r="159">
      <c r="A159" t="n">
        <v>2007</v>
      </c>
      <c r="B159" t="inlineStr">
        <is>
          <t>ANDE_TARIFF_RESIDENTIAL</t>
        </is>
      </c>
      <c r="C159" s="24" t="n">
        <v>355.8</v>
      </c>
      <c r="D159" s="36">
        <f>'Macro_Annual'!B20</f>
        <v/>
      </c>
      <c r="E159" s="32">
        <f>'Macro_Annual'!D20</f>
        <v/>
      </c>
      <c r="F159" s="37">
        <f>IFERROR(C159*'Macro_Annual'!$B$38/D159,"")</f>
        <v/>
      </c>
      <c r="G159" s="38">
        <f>IFERROR(C159*1000/E159,"")</f>
        <v/>
      </c>
      <c r="H159" t="inlineStr">
        <is>
          <t>OFFICIAL_AGGREGATE</t>
        </is>
      </c>
      <c r="I159" t="inlineStr">
        <is>
          <t>BACKFILL PROVISIONAL</t>
        </is>
      </c>
      <c r="J159" t="inlineStr">
        <is>
          <t>https://www.ande.gov.py/finanzas/2.%20COMPILACION%20ESTADISTICA%202003-2023/ANDE%20-%20Compilacion%20Estadistica%202003-2023.pdf</t>
        </is>
      </c>
      <c r="K159" t="inlineStr">
        <is>
          <t>https://data.worldbank.org/indicator/FP.CPI.TOTL?locations=PY</t>
        </is>
      </c>
      <c r="L159" t="inlineStr">
        <is>
          <t>https://data.worldbank.org/indicator/PA.NUS.FCRF?locations=PY</t>
        </is>
      </c>
    </row>
    <row r="160">
      <c r="A160" t="n">
        <v>2008</v>
      </c>
      <c r="B160" t="inlineStr">
        <is>
          <t>ANDE_TARIFF_EXPORT_AVG</t>
        </is>
      </c>
      <c r="C160" s="24" t="n">
        <v>111</v>
      </c>
      <c r="D160" s="36">
        <f>'Macro_Annual'!B21</f>
        <v/>
      </c>
      <c r="E160" s="32">
        <f>'Macro_Annual'!D21</f>
        <v/>
      </c>
      <c r="F160" s="37">
        <f>IFERROR(C160*'Macro_Annual'!$B$38/D160,"")</f>
        <v/>
      </c>
      <c r="G160" s="38">
        <f>IFERROR(C160*1000/E160,"")</f>
        <v/>
      </c>
      <c r="H160" t="inlineStr">
        <is>
          <t>OFFICIAL_AGGREGATE</t>
        </is>
      </c>
      <c r="I160" t="inlineStr">
        <is>
          <t>BACKFILL PROVISIONAL</t>
        </is>
      </c>
      <c r="J160" t="inlineStr">
        <is>
          <t>https://www.ande.gov.py/finanzas/2.%20COMPILACION%20ESTADISTICA%202003-2023/ANDE%20-%20Compilacion%20Estadistica%202003-2023.pdf</t>
        </is>
      </c>
      <c r="K160" t="inlineStr">
        <is>
          <t>https://data.worldbank.org/indicator/FP.CPI.TOTL?locations=PY</t>
        </is>
      </c>
      <c r="L160" t="inlineStr">
        <is>
          <t>https://data.worldbank.org/indicator/PA.NUS.FCRF?locations=PY</t>
        </is>
      </c>
    </row>
    <row r="161">
      <c r="A161" t="n">
        <v>2008</v>
      </c>
      <c r="B161" t="inlineStr">
        <is>
          <t>ANDE_TARIFF_GENERAL_AVG</t>
        </is>
      </c>
      <c r="C161" s="24" t="n">
        <v>304.9</v>
      </c>
      <c r="D161" s="36">
        <f>'Macro_Annual'!B21</f>
        <v/>
      </c>
      <c r="E161" s="32">
        <f>'Macro_Annual'!D21</f>
        <v/>
      </c>
      <c r="F161" s="37">
        <f>IFERROR(C161*'Macro_Annual'!$B$38/D161,"")</f>
        <v/>
      </c>
      <c r="G161" s="38">
        <f>IFERROR(C161*1000/E161,"")</f>
        <v/>
      </c>
      <c r="H161" t="inlineStr">
        <is>
          <t>OFFICIAL_AGGREGATE</t>
        </is>
      </c>
      <c r="I161" t="inlineStr">
        <is>
          <t>BACKFILL PROVISIONAL</t>
        </is>
      </c>
      <c r="J161" t="inlineStr">
        <is>
          <t>https://www.ande.gov.py/finanzas/2.%20COMPILACION%20ESTADISTICA%202003-2023/ANDE%20-%20Compilacion%20Estadistica%202003-2023.pdf</t>
        </is>
      </c>
      <c r="K161" t="inlineStr">
        <is>
          <t>https://data.worldbank.org/indicator/FP.CPI.TOTL?locations=PY</t>
        </is>
      </c>
      <c r="L161" t="inlineStr">
        <is>
          <t>https://data.worldbank.org/indicator/PA.NUS.FCRF?locations=PY</t>
        </is>
      </c>
    </row>
    <row r="162">
      <c r="A162" t="n">
        <v>2008</v>
      </c>
      <c r="B162" t="inlineStr">
        <is>
          <t>ANDE_TARIFF_GOV</t>
        </is>
      </c>
      <c r="C162" s="24" t="n">
        <v>274.1</v>
      </c>
      <c r="D162" s="36">
        <f>'Macro_Annual'!B21</f>
        <v/>
      </c>
      <c r="E162" s="32">
        <f>'Macro_Annual'!D21</f>
        <v/>
      </c>
      <c r="F162" s="37">
        <f>IFERROR(C162*'Macro_Annual'!$B$38/D162,"")</f>
        <v/>
      </c>
      <c r="G162" s="38">
        <f>IFERROR(C162*1000/E162,"")</f>
        <v/>
      </c>
      <c r="H162" t="inlineStr">
        <is>
          <t>OFFICIAL_AGGREGATE</t>
        </is>
      </c>
      <c r="I162" t="inlineStr">
        <is>
          <t>BACKFILL PROVISIONAL</t>
        </is>
      </c>
      <c r="J162" t="inlineStr">
        <is>
          <t>https://www.ande.gov.py/finanzas/2.%20COMPILACION%20ESTADISTICA%202003-2023/ANDE%20-%20Compilacion%20Estadistica%202003-2023.pdf</t>
        </is>
      </c>
      <c r="K162" t="inlineStr">
        <is>
          <t>https://data.worldbank.org/indicator/FP.CPI.TOTL?locations=PY</t>
        </is>
      </c>
      <c r="L162" t="inlineStr">
        <is>
          <t>https://data.worldbank.org/indicator/PA.NUS.FCRF?locations=PY</t>
        </is>
      </c>
    </row>
    <row r="163">
      <c r="A163" t="n">
        <v>2008</v>
      </c>
      <c r="B163" t="inlineStr">
        <is>
          <t>ANDE_TARIFF_INDUSTRIAL</t>
        </is>
      </c>
      <c r="C163" s="24" t="n">
        <v>223.9</v>
      </c>
      <c r="D163" s="36">
        <f>'Macro_Annual'!B21</f>
        <v/>
      </c>
      <c r="E163" s="32">
        <f>'Macro_Annual'!D21</f>
        <v/>
      </c>
      <c r="F163" s="37">
        <f>IFERROR(C163*'Macro_Annual'!$B$38/D163,"")</f>
        <v/>
      </c>
      <c r="G163" s="38">
        <f>IFERROR(C163*1000/E163,"")</f>
        <v/>
      </c>
      <c r="H163" t="inlineStr">
        <is>
          <t>OFFICIAL_AGGREGATE</t>
        </is>
      </c>
      <c r="I163" t="inlineStr">
        <is>
          <t>BACKFILL PROVISIONAL</t>
        </is>
      </c>
      <c r="J163" t="inlineStr">
        <is>
          <t>https://www.ande.gov.py/finanzas/2.%20COMPILACION%20ESTADISTICA%202003-2023/ANDE%20-%20Compilacion%20Estadistica%202003-2023.pdf</t>
        </is>
      </c>
      <c r="K163" t="inlineStr">
        <is>
          <t>https://data.worldbank.org/indicator/FP.CPI.TOTL?locations=PY</t>
        </is>
      </c>
      <c r="L163" t="inlineStr">
        <is>
          <t>https://data.worldbank.org/indicator/PA.NUS.FCRF?locations=PY</t>
        </is>
      </c>
    </row>
    <row r="164">
      <c r="A164" t="n">
        <v>2008</v>
      </c>
      <c r="B164" t="inlineStr">
        <is>
          <t>ANDE_TARIFF_NATIONAL_AVG</t>
        </is>
      </c>
      <c r="C164" s="24" t="n">
        <v>311</v>
      </c>
      <c r="D164" s="36">
        <f>'Macro_Annual'!B21</f>
        <v/>
      </c>
      <c r="E164" s="32">
        <f>'Macro_Annual'!D21</f>
        <v/>
      </c>
      <c r="F164" s="37">
        <f>IFERROR(C164*'Macro_Annual'!$B$38/D164,"")</f>
        <v/>
      </c>
      <c r="G164" s="38">
        <f>IFERROR(C164*1000/E164,"")</f>
        <v/>
      </c>
      <c r="H164" t="inlineStr">
        <is>
          <t>OFFICIAL_AGGREGATE</t>
        </is>
      </c>
      <c r="I164" t="inlineStr">
        <is>
          <t>BACKFILL PROVISIONAL</t>
        </is>
      </c>
      <c r="J164" t="inlineStr">
        <is>
          <t>https://www.ande.gov.py/finanzas/2.%20COMPILACION%20ESTADISTICA%202003-2023/ANDE%20-%20Compilacion%20Estadistica%202003-2023.pdf</t>
        </is>
      </c>
      <c r="K164" t="inlineStr">
        <is>
          <t>https://data.worldbank.org/indicator/FP.CPI.TOTL?locations=PY</t>
        </is>
      </c>
      <c r="L164" t="inlineStr">
        <is>
          <t>https://data.worldbank.org/indicator/PA.NUS.FCRF?locations=PY</t>
        </is>
      </c>
    </row>
    <row r="165">
      <c r="A165" t="n">
        <v>2008</v>
      </c>
      <c r="B165" t="inlineStr">
        <is>
          <t>ANDE_TARIFF_OTHER</t>
        </is>
      </c>
      <c r="C165" s="24" t="n">
        <v>320.4</v>
      </c>
      <c r="D165" s="36">
        <f>'Macro_Annual'!B21</f>
        <v/>
      </c>
      <c r="E165" s="32">
        <f>'Macro_Annual'!D21</f>
        <v/>
      </c>
      <c r="F165" s="37">
        <f>IFERROR(C165*'Macro_Annual'!$B$38/D165,"")</f>
        <v/>
      </c>
      <c r="G165" s="38">
        <f>IFERROR(C165*1000/E165,"")</f>
        <v/>
      </c>
      <c r="H165" t="inlineStr">
        <is>
          <t>OFFICIAL_AGGREGATE</t>
        </is>
      </c>
      <c r="I165" t="inlineStr">
        <is>
          <t>BACKFILL PROVISIONAL</t>
        </is>
      </c>
      <c r="J165" t="inlineStr">
        <is>
          <t>https://www.ande.gov.py/finanzas/2.%20COMPILACION%20ESTADISTICA%202003-2023/ANDE%20-%20Compilacion%20Estadistica%202003-2023.pdf</t>
        </is>
      </c>
      <c r="K165" t="inlineStr">
        <is>
          <t>https://data.worldbank.org/indicator/FP.CPI.TOTL?locations=PY</t>
        </is>
      </c>
      <c r="L165" t="inlineStr">
        <is>
          <t>https://data.worldbank.org/indicator/PA.NUS.FCRF?locations=PY</t>
        </is>
      </c>
    </row>
    <row r="166">
      <c r="A166" t="n">
        <v>2008</v>
      </c>
      <c r="B166" t="inlineStr">
        <is>
          <t>ANDE_TARIFF_PUBLIC_LIGHT</t>
        </is>
      </c>
      <c r="C166" s="24" t="n">
        <v>453.3</v>
      </c>
      <c r="D166" s="36">
        <f>'Macro_Annual'!B21</f>
        <v/>
      </c>
      <c r="E166" s="32">
        <f>'Macro_Annual'!D21</f>
        <v/>
      </c>
      <c r="F166" s="37">
        <f>IFERROR(C166*'Macro_Annual'!$B$38/D166,"")</f>
        <v/>
      </c>
      <c r="G166" s="38">
        <f>IFERROR(C166*1000/E166,"")</f>
        <v/>
      </c>
      <c r="H166" t="inlineStr">
        <is>
          <t>OFFICIAL_AGGREGATE</t>
        </is>
      </c>
      <c r="I166" t="inlineStr">
        <is>
          <t>BACKFILL PROVISIONAL</t>
        </is>
      </c>
      <c r="J166" t="inlineStr">
        <is>
          <t>https://www.ande.gov.py/finanzas/2.%20COMPILACION%20ESTADISTICA%202003-2023/ANDE%20-%20Compilacion%20Estadistica%202003-2023.pdf</t>
        </is>
      </c>
      <c r="K166" t="inlineStr">
        <is>
          <t>https://data.worldbank.org/indicator/FP.CPI.TOTL?locations=PY</t>
        </is>
      </c>
      <c r="L166" t="inlineStr">
        <is>
          <t>https://data.worldbank.org/indicator/PA.NUS.FCRF?locations=PY</t>
        </is>
      </c>
    </row>
    <row r="167">
      <c r="A167" t="n">
        <v>2008</v>
      </c>
      <c r="B167" t="inlineStr">
        <is>
          <t>ANDE_TARIFF_RESIDENTIAL</t>
        </is>
      </c>
      <c r="C167" s="24" t="n">
        <v>353.4</v>
      </c>
      <c r="D167" s="36">
        <f>'Macro_Annual'!B21</f>
        <v/>
      </c>
      <c r="E167" s="32">
        <f>'Macro_Annual'!D21</f>
        <v/>
      </c>
      <c r="F167" s="37">
        <f>IFERROR(C167*'Macro_Annual'!$B$38/D167,"")</f>
        <v/>
      </c>
      <c r="G167" s="38">
        <f>IFERROR(C167*1000/E167,"")</f>
        <v/>
      </c>
      <c r="H167" t="inlineStr">
        <is>
          <t>OFFICIAL_AGGREGATE</t>
        </is>
      </c>
      <c r="I167" t="inlineStr">
        <is>
          <t>BACKFILL PROVISIONAL</t>
        </is>
      </c>
      <c r="J167" t="inlineStr">
        <is>
          <t>https://www.ande.gov.py/finanzas/2.%20COMPILACION%20ESTADISTICA%202003-2023/ANDE%20-%20Compilacion%20Estadistica%202003-2023.pdf</t>
        </is>
      </c>
      <c r="K167" t="inlineStr">
        <is>
          <t>https://data.worldbank.org/indicator/FP.CPI.TOTL?locations=PY</t>
        </is>
      </c>
      <c r="L167" t="inlineStr">
        <is>
          <t>https://data.worldbank.org/indicator/PA.NUS.FCRF?locations=PY</t>
        </is>
      </c>
    </row>
    <row r="168">
      <c r="A168" t="n">
        <v>2009</v>
      </c>
      <c r="B168" t="inlineStr">
        <is>
          <t>ANDE_TARIFF_EXPORT_AVG</t>
        </is>
      </c>
      <c r="C168" s="24" t="n">
        <v>267.5</v>
      </c>
      <c r="D168" s="36">
        <f>'Macro_Annual'!B22</f>
        <v/>
      </c>
      <c r="E168" s="32">
        <f>'Macro_Annual'!D22</f>
        <v/>
      </c>
      <c r="F168" s="37">
        <f>IFERROR(C168*'Macro_Annual'!$B$38/D168,"")</f>
        <v/>
      </c>
      <c r="G168" s="38">
        <f>IFERROR(C168*1000/E168,"")</f>
        <v/>
      </c>
      <c r="H168" t="inlineStr">
        <is>
          <t>OFFICIAL_AGGREGATE</t>
        </is>
      </c>
      <c r="I168" t="inlineStr">
        <is>
          <t>BACKFILL PROVISIONAL</t>
        </is>
      </c>
      <c r="J168" t="inlineStr">
        <is>
          <t>https://www.ande.gov.py/finanzas/2.%20COMPILACION%20ESTADISTICA%202003-2023/ANDE%20-%20Compilacion%20Estadistica%202003-2023.pdf</t>
        </is>
      </c>
      <c r="K168" t="inlineStr">
        <is>
          <t>https://data.worldbank.org/indicator/FP.CPI.TOTL?locations=PY</t>
        </is>
      </c>
      <c r="L168" t="inlineStr">
        <is>
          <t>https://data.worldbank.org/indicator/PA.NUS.FCRF?locations=PY</t>
        </is>
      </c>
    </row>
    <row r="169">
      <c r="A169" t="n">
        <v>2009</v>
      </c>
      <c r="B169" t="inlineStr">
        <is>
          <t>ANDE_TARIFF_GENERAL_AVG</t>
        </is>
      </c>
      <c r="C169" s="24" t="n">
        <v>307.3</v>
      </c>
      <c r="D169" s="36">
        <f>'Macro_Annual'!B22</f>
        <v/>
      </c>
      <c r="E169" s="32">
        <f>'Macro_Annual'!D22</f>
        <v/>
      </c>
      <c r="F169" s="37">
        <f>IFERROR(C169*'Macro_Annual'!$B$38/D169,"")</f>
        <v/>
      </c>
      <c r="G169" s="38">
        <f>IFERROR(C169*1000/E169,"")</f>
        <v/>
      </c>
      <c r="H169" t="inlineStr">
        <is>
          <t>OFFICIAL_AGGREGATE</t>
        </is>
      </c>
      <c r="I169" t="inlineStr">
        <is>
          <t>BACKFILL PROVISIONAL</t>
        </is>
      </c>
      <c r="J169" t="inlineStr">
        <is>
          <t>https://www.ande.gov.py/finanzas/2.%20COMPILACION%20ESTADISTICA%202003-2023/ANDE%20-%20Compilacion%20Estadistica%202003-2023.pdf</t>
        </is>
      </c>
      <c r="K169" t="inlineStr">
        <is>
          <t>https://data.worldbank.org/indicator/FP.CPI.TOTL?locations=PY</t>
        </is>
      </c>
      <c r="L169" t="inlineStr">
        <is>
          <t>https://data.worldbank.org/indicator/PA.NUS.FCRF?locations=PY</t>
        </is>
      </c>
    </row>
    <row r="170">
      <c r="A170" t="n">
        <v>2009</v>
      </c>
      <c r="B170" t="inlineStr">
        <is>
          <t>ANDE_TARIFF_GOV</t>
        </is>
      </c>
      <c r="C170" s="24" t="n">
        <v>215.7</v>
      </c>
      <c r="D170" s="36">
        <f>'Macro_Annual'!B22</f>
        <v/>
      </c>
      <c r="E170" s="32">
        <f>'Macro_Annual'!D22</f>
        <v/>
      </c>
      <c r="F170" s="37">
        <f>IFERROR(C170*'Macro_Annual'!$B$38/D170,"")</f>
        <v/>
      </c>
      <c r="G170" s="38">
        <f>IFERROR(C170*1000/E170,"")</f>
        <v/>
      </c>
      <c r="H170" t="inlineStr">
        <is>
          <t>OFFICIAL_AGGREGATE</t>
        </is>
      </c>
      <c r="I170" t="inlineStr">
        <is>
          <t>BACKFILL PROVISIONAL</t>
        </is>
      </c>
      <c r="J170" t="inlineStr">
        <is>
          <t>https://www.ande.gov.py/finanzas/2.%20COMPILACION%20ESTADISTICA%202003-2023/ANDE%20-%20Compilacion%20Estadistica%202003-2023.pdf</t>
        </is>
      </c>
      <c r="K170" t="inlineStr">
        <is>
          <t>https://data.worldbank.org/indicator/FP.CPI.TOTL?locations=PY</t>
        </is>
      </c>
      <c r="L170" t="inlineStr">
        <is>
          <t>https://data.worldbank.org/indicator/PA.NUS.FCRF?locations=PY</t>
        </is>
      </c>
    </row>
    <row r="171">
      <c r="A171" t="n">
        <v>2009</v>
      </c>
      <c r="B171" t="inlineStr">
        <is>
          <t>ANDE_TARIFF_INDUSTRIAL</t>
        </is>
      </c>
      <c r="C171" s="24" t="n">
        <v>232.1</v>
      </c>
      <c r="D171" s="36">
        <f>'Macro_Annual'!B22</f>
        <v/>
      </c>
      <c r="E171" s="32">
        <f>'Macro_Annual'!D22</f>
        <v/>
      </c>
      <c r="F171" s="37">
        <f>IFERROR(C171*'Macro_Annual'!$B$38/D171,"")</f>
        <v/>
      </c>
      <c r="G171" s="38">
        <f>IFERROR(C171*1000/E171,"")</f>
        <v/>
      </c>
      <c r="H171" t="inlineStr">
        <is>
          <t>OFFICIAL_AGGREGATE</t>
        </is>
      </c>
      <c r="I171" t="inlineStr">
        <is>
          <t>BACKFILL PROVISIONAL</t>
        </is>
      </c>
      <c r="J171" t="inlineStr">
        <is>
          <t>https://www.ande.gov.py/finanzas/2.%20COMPILACION%20ESTADISTICA%202003-2023/ANDE%20-%20Compilacion%20Estadistica%202003-2023.pdf</t>
        </is>
      </c>
      <c r="K171" t="inlineStr">
        <is>
          <t>https://data.worldbank.org/indicator/FP.CPI.TOTL?locations=PY</t>
        </is>
      </c>
      <c r="L171" t="inlineStr">
        <is>
          <t>https://data.worldbank.org/indicator/PA.NUS.FCRF?locations=PY</t>
        </is>
      </c>
    </row>
    <row r="172">
      <c r="A172" t="n">
        <v>2009</v>
      </c>
      <c r="B172" t="inlineStr">
        <is>
          <t>ANDE_TARIFF_NATIONAL_AVG</t>
        </is>
      </c>
      <c r="C172" s="24" t="n">
        <v>310</v>
      </c>
      <c r="D172" s="36">
        <f>'Macro_Annual'!B22</f>
        <v/>
      </c>
      <c r="E172" s="32">
        <f>'Macro_Annual'!D22</f>
        <v/>
      </c>
      <c r="F172" s="37">
        <f>IFERROR(C172*'Macro_Annual'!$B$38/D172,"")</f>
        <v/>
      </c>
      <c r="G172" s="38">
        <f>IFERROR(C172*1000/E172,"")</f>
        <v/>
      </c>
      <c r="H172" t="inlineStr">
        <is>
          <t>OFFICIAL_AGGREGATE</t>
        </is>
      </c>
      <c r="I172" t="inlineStr">
        <is>
          <t>BACKFILL PROVISIONAL</t>
        </is>
      </c>
      <c r="J172" t="inlineStr">
        <is>
          <t>https://www.ande.gov.py/finanzas/2.%20COMPILACION%20ESTADISTICA%202003-2023/ANDE%20-%20Compilacion%20Estadistica%202003-2023.pdf</t>
        </is>
      </c>
      <c r="K172" t="inlineStr">
        <is>
          <t>https://data.worldbank.org/indicator/FP.CPI.TOTL?locations=PY</t>
        </is>
      </c>
      <c r="L172" t="inlineStr">
        <is>
          <t>https://data.worldbank.org/indicator/PA.NUS.FCRF?locations=PY</t>
        </is>
      </c>
    </row>
    <row r="173">
      <c r="A173" t="n">
        <v>2009</v>
      </c>
      <c r="B173" t="inlineStr">
        <is>
          <t>ANDE_TARIFF_OTHER</t>
        </is>
      </c>
      <c r="C173" s="24" t="n">
        <v>321.8</v>
      </c>
      <c r="D173" s="36">
        <f>'Macro_Annual'!B22</f>
        <v/>
      </c>
      <c r="E173" s="32">
        <f>'Macro_Annual'!D22</f>
        <v/>
      </c>
      <c r="F173" s="37">
        <f>IFERROR(C173*'Macro_Annual'!$B$38/D173,"")</f>
        <v/>
      </c>
      <c r="G173" s="38">
        <f>IFERROR(C173*1000/E173,"")</f>
        <v/>
      </c>
      <c r="H173" t="inlineStr">
        <is>
          <t>OFFICIAL_AGGREGATE</t>
        </is>
      </c>
      <c r="I173" t="inlineStr">
        <is>
          <t>BACKFILL PROVISIONAL</t>
        </is>
      </c>
      <c r="J173" t="inlineStr">
        <is>
          <t>https://www.ande.gov.py/finanzas/2.%20COMPILACION%20ESTADISTICA%202003-2023/ANDE%20-%20Compilacion%20Estadistica%202003-2023.pdf</t>
        </is>
      </c>
      <c r="K173" t="inlineStr">
        <is>
          <t>https://data.worldbank.org/indicator/FP.CPI.TOTL?locations=PY</t>
        </is>
      </c>
      <c r="L173" t="inlineStr">
        <is>
          <t>https://data.worldbank.org/indicator/PA.NUS.FCRF?locations=PY</t>
        </is>
      </c>
    </row>
    <row r="174">
      <c r="A174" t="n">
        <v>2009</v>
      </c>
      <c r="B174" t="inlineStr">
        <is>
          <t>ANDE_TARIFF_PUBLIC_LIGHT</t>
        </is>
      </c>
      <c r="C174" s="24" t="n">
        <v>398.4</v>
      </c>
      <c r="D174" s="36">
        <f>'Macro_Annual'!B22</f>
        <v/>
      </c>
      <c r="E174" s="32">
        <f>'Macro_Annual'!D22</f>
        <v/>
      </c>
      <c r="F174" s="37">
        <f>IFERROR(C174*'Macro_Annual'!$B$38/D174,"")</f>
        <v/>
      </c>
      <c r="G174" s="38">
        <f>IFERROR(C174*1000/E174,"")</f>
        <v/>
      </c>
      <c r="H174" t="inlineStr">
        <is>
          <t>OFFICIAL_AGGREGATE</t>
        </is>
      </c>
      <c r="I174" t="inlineStr">
        <is>
          <t>BACKFILL PROVISIONAL</t>
        </is>
      </c>
      <c r="J174" t="inlineStr">
        <is>
          <t>https://www.ande.gov.py/finanzas/2.%20COMPILACION%20ESTADISTICA%202003-2023/ANDE%20-%20Compilacion%20Estadistica%202003-2023.pdf</t>
        </is>
      </c>
      <c r="K174" t="inlineStr">
        <is>
          <t>https://data.worldbank.org/indicator/FP.CPI.TOTL?locations=PY</t>
        </is>
      </c>
      <c r="L174" t="inlineStr">
        <is>
          <t>https://data.worldbank.org/indicator/PA.NUS.FCRF?locations=PY</t>
        </is>
      </c>
    </row>
    <row r="175">
      <c r="A175" t="n">
        <v>2009</v>
      </c>
      <c r="B175" t="inlineStr">
        <is>
          <t>ANDE_TARIFF_RESIDENTIAL</t>
        </is>
      </c>
      <c r="C175" s="24" t="n">
        <v>354</v>
      </c>
      <c r="D175" s="36">
        <f>'Macro_Annual'!B22</f>
        <v/>
      </c>
      <c r="E175" s="32">
        <f>'Macro_Annual'!D22</f>
        <v/>
      </c>
      <c r="F175" s="37">
        <f>IFERROR(C175*'Macro_Annual'!$B$38/D175,"")</f>
        <v/>
      </c>
      <c r="G175" s="38">
        <f>IFERROR(C175*1000/E175,"")</f>
        <v/>
      </c>
      <c r="H175" t="inlineStr">
        <is>
          <t>OFFICIAL_AGGREGATE</t>
        </is>
      </c>
      <c r="I175" t="inlineStr">
        <is>
          <t>BACKFILL PROVISIONAL</t>
        </is>
      </c>
      <c r="J175" t="inlineStr">
        <is>
          <t>https://www.ande.gov.py/finanzas/2.%20COMPILACION%20ESTADISTICA%202003-2023/ANDE%20-%20Compilacion%20Estadistica%202003-2023.pdf</t>
        </is>
      </c>
      <c r="K175" t="inlineStr">
        <is>
          <t>https://data.worldbank.org/indicator/FP.CPI.TOTL?locations=PY</t>
        </is>
      </c>
      <c r="L175" t="inlineStr">
        <is>
          <t>https://data.worldbank.org/indicator/PA.NUS.FCRF?locations=PY</t>
        </is>
      </c>
    </row>
    <row r="176">
      <c r="A176" t="n">
        <v>2010</v>
      </c>
      <c r="B176" t="inlineStr">
        <is>
          <t>ANDE_TARIFF_EXPORT_AVG</t>
        </is>
      </c>
      <c r="C176" s="24" t="n">
        <v>255.6</v>
      </c>
      <c r="D176" s="36">
        <f>'Macro_Annual'!B23</f>
        <v/>
      </c>
      <c r="E176" s="32">
        <f>'Macro_Annual'!D23</f>
        <v/>
      </c>
      <c r="F176" s="37">
        <f>IFERROR(C176*'Macro_Annual'!$B$38/D176,"")</f>
        <v/>
      </c>
      <c r="G176" s="38">
        <f>IFERROR(C176*1000/E176,"")</f>
        <v/>
      </c>
      <c r="H176" t="inlineStr">
        <is>
          <t>OFFICIAL_AGGREGATE</t>
        </is>
      </c>
      <c r="I176" t="inlineStr">
        <is>
          <t>BACKFILL PROVISIONAL</t>
        </is>
      </c>
      <c r="J176" t="inlineStr">
        <is>
          <t>https://www.ande.gov.py/finanzas/2.%20COMPILACION%20ESTADISTICA%202003-2023/ANDE%20-%20Compilacion%20Estadistica%202003-2023.pdf</t>
        </is>
      </c>
      <c r="K176" t="inlineStr">
        <is>
          <t>https://data.worldbank.org/indicator/FP.CPI.TOTL?locations=PY</t>
        </is>
      </c>
      <c r="L176" t="inlineStr">
        <is>
          <t>https://data.worldbank.org/indicator/PA.NUS.FCRF?locations=PY</t>
        </is>
      </c>
    </row>
    <row r="177">
      <c r="A177" t="n">
        <v>2010</v>
      </c>
      <c r="B177" t="inlineStr">
        <is>
          <t>ANDE_TARIFF_GENERAL_AVG</t>
        </is>
      </c>
      <c r="C177" s="24" t="n">
        <v>305</v>
      </c>
      <c r="D177" s="36">
        <f>'Macro_Annual'!B23</f>
        <v/>
      </c>
      <c r="E177" s="32">
        <f>'Macro_Annual'!D23</f>
        <v/>
      </c>
      <c r="F177" s="37">
        <f>IFERROR(C177*'Macro_Annual'!$B$38/D177,"")</f>
        <v/>
      </c>
      <c r="G177" s="38">
        <f>IFERROR(C177*1000/E177,"")</f>
        <v/>
      </c>
      <c r="H177" t="inlineStr">
        <is>
          <t>OFFICIAL_AGGREGATE</t>
        </is>
      </c>
      <c r="I177" t="inlineStr">
        <is>
          <t>BACKFILL PROVISIONAL</t>
        </is>
      </c>
      <c r="J177" t="inlineStr">
        <is>
          <t>https://www.ande.gov.py/finanzas/2.%20COMPILACION%20ESTADISTICA%202003-2023/ANDE%20-%20Compilacion%20Estadistica%202003-2023.pdf</t>
        </is>
      </c>
      <c r="K177" t="inlineStr">
        <is>
          <t>https://data.worldbank.org/indicator/FP.CPI.TOTL?locations=PY</t>
        </is>
      </c>
      <c r="L177" t="inlineStr">
        <is>
          <t>https://data.worldbank.org/indicator/PA.NUS.FCRF?locations=PY</t>
        </is>
      </c>
    </row>
    <row r="178">
      <c r="A178" t="n">
        <v>2010</v>
      </c>
      <c r="B178" t="inlineStr">
        <is>
          <t>ANDE_TARIFF_GOV</t>
        </is>
      </c>
      <c r="C178" s="24" t="n">
        <v>202.6</v>
      </c>
      <c r="D178" s="36">
        <f>'Macro_Annual'!B23</f>
        <v/>
      </c>
      <c r="E178" s="32">
        <f>'Macro_Annual'!D23</f>
        <v/>
      </c>
      <c r="F178" s="37">
        <f>IFERROR(C178*'Macro_Annual'!$B$38/D178,"")</f>
        <v/>
      </c>
      <c r="G178" s="38">
        <f>IFERROR(C178*1000/E178,"")</f>
        <v/>
      </c>
      <c r="H178" t="inlineStr">
        <is>
          <t>OFFICIAL_AGGREGATE</t>
        </is>
      </c>
      <c r="I178" t="inlineStr">
        <is>
          <t>BACKFILL PROVISIONAL</t>
        </is>
      </c>
      <c r="J178" t="inlineStr">
        <is>
          <t>https://www.ande.gov.py/finanzas/2.%20COMPILACION%20ESTADISTICA%202003-2023/ANDE%20-%20Compilacion%20Estadistica%202003-2023.pdf</t>
        </is>
      </c>
      <c r="K178" t="inlineStr">
        <is>
          <t>https://data.worldbank.org/indicator/FP.CPI.TOTL?locations=PY</t>
        </is>
      </c>
      <c r="L178" t="inlineStr">
        <is>
          <t>https://data.worldbank.org/indicator/PA.NUS.FCRF?locations=PY</t>
        </is>
      </c>
    </row>
    <row r="179">
      <c r="A179" t="n">
        <v>2010</v>
      </c>
      <c r="B179" t="inlineStr">
        <is>
          <t>ANDE_TARIFF_INDUSTRIAL</t>
        </is>
      </c>
      <c r="C179" s="24" t="n">
        <v>229.9</v>
      </c>
      <c r="D179" s="36">
        <f>'Macro_Annual'!B23</f>
        <v/>
      </c>
      <c r="E179" s="32">
        <f>'Macro_Annual'!D23</f>
        <v/>
      </c>
      <c r="F179" s="37">
        <f>IFERROR(C179*'Macro_Annual'!$B$38/D179,"")</f>
        <v/>
      </c>
      <c r="G179" s="38">
        <f>IFERROR(C179*1000/E179,"")</f>
        <v/>
      </c>
      <c r="H179" t="inlineStr">
        <is>
          <t>OFFICIAL_AGGREGATE</t>
        </is>
      </c>
      <c r="I179" t="inlineStr">
        <is>
          <t>BACKFILL PROVISIONAL</t>
        </is>
      </c>
      <c r="J179" t="inlineStr">
        <is>
          <t>https://www.ande.gov.py/finanzas/2.%20COMPILACION%20ESTADISTICA%202003-2023/ANDE%20-%20Compilacion%20Estadistica%202003-2023.pdf</t>
        </is>
      </c>
      <c r="K179" t="inlineStr">
        <is>
          <t>https://data.worldbank.org/indicator/FP.CPI.TOTL?locations=PY</t>
        </is>
      </c>
      <c r="L179" t="inlineStr">
        <is>
          <t>https://data.worldbank.org/indicator/PA.NUS.FCRF?locations=PY</t>
        </is>
      </c>
    </row>
    <row r="180">
      <c r="A180" t="n">
        <v>2010</v>
      </c>
      <c r="B180" t="inlineStr">
        <is>
          <t>ANDE_TARIFF_NATIONAL_AVG</t>
        </is>
      </c>
      <c r="C180" s="24" t="n">
        <v>307.5</v>
      </c>
      <c r="D180" s="36">
        <f>'Macro_Annual'!B23</f>
        <v/>
      </c>
      <c r="E180" s="32">
        <f>'Macro_Annual'!D23</f>
        <v/>
      </c>
      <c r="F180" s="37">
        <f>IFERROR(C180*'Macro_Annual'!$B$38/D180,"")</f>
        <v/>
      </c>
      <c r="G180" s="38">
        <f>IFERROR(C180*1000/E180,"")</f>
        <v/>
      </c>
      <c r="H180" t="inlineStr">
        <is>
          <t>OFFICIAL_AGGREGATE</t>
        </is>
      </c>
      <c r="I180" t="inlineStr">
        <is>
          <t>BACKFILL PROVISIONAL</t>
        </is>
      </c>
      <c r="J180" t="inlineStr">
        <is>
          <t>https://www.ande.gov.py/finanzas/2.%20COMPILACION%20ESTADISTICA%202003-2023/ANDE%20-%20Compilacion%20Estadistica%202003-2023.pdf</t>
        </is>
      </c>
      <c r="K180" t="inlineStr">
        <is>
          <t>https://data.worldbank.org/indicator/FP.CPI.TOTL?locations=PY</t>
        </is>
      </c>
      <c r="L180" t="inlineStr">
        <is>
          <t>https://data.worldbank.org/indicator/PA.NUS.FCRF?locations=PY</t>
        </is>
      </c>
    </row>
    <row r="181">
      <c r="A181" t="n">
        <v>2010</v>
      </c>
      <c r="B181" t="inlineStr">
        <is>
          <t>ANDE_TARIFF_OTHER</t>
        </is>
      </c>
      <c r="C181" s="24" t="n">
        <v>325.3</v>
      </c>
      <c r="D181" s="36">
        <f>'Macro_Annual'!B23</f>
        <v/>
      </c>
      <c r="E181" s="32">
        <f>'Macro_Annual'!D23</f>
        <v/>
      </c>
      <c r="F181" s="37">
        <f>IFERROR(C181*'Macro_Annual'!$B$38/D181,"")</f>
        <v/>
      </c>
      <c r="G181" s="38">
        <f>IFERROR(C181*1000/E181,"")</f>
        <v/>
      </c>
      <c r="H181" t="inlineStr">
        <is>
          <t>OFFICIAL_AGGREGATE</t>
        </is>
      </c>
      <c r="I181" t="inlineStr">
        <is>
          <t>BACKFILL PROVISIONAL</t>
        </is>
      </c>
      <c r="J181" t="inlineStr">
        <is>
          <t>https://www.ande.gov.py/finanzas/2.%20COMPILACION%20ESTADISTICA%202003-2023/ANDE%20-%20Compilacion%20Estadistica%202003-2023.pdf</t>
        </is>
      </c>
      <c r="K181" t="inlineStr">
        <is>
          <t>https://data.worldbank.org/indicator/FP.CPI.TOTL?locations=PY</t>
        </is>
      </c>
      <c r="L181" t="inlineStr">
        <is>
          <t>https://data.worldbank.org/indicator/PA.NUS.FCRF?locations=PY</t>
        </is>
      </c>
    </row>
    <row r="182">
      <c r="A182" t="n">
        <v>2010</v>
      </c>
      <c r="B182" t="inlineStr">
        <is>
          <t>ANDE_TARIFF_PUBLIC_LIGHT</t>
        </is>
      </c>
      <c r="C182" s="24" t="n">
        <v>401</v>
      </c>
      <c r="D182" s="36">
        <f>'Macro_Annual'!B23</f>
        <v/>
      </c>
      <c r="E182" s="32">
        <f>'Macro_Annual'!D23</f>
        <v/>
      </c>
      <c r="F182" s="37">
        <f>IFERROR(C182*'Macro_Annual'!$B$38/D182,"")</f>
        <v/>
      </c>
      <c r="G182" s="38">
        <f>IFERROR(C182*1000/E182,"")</f>
        <v/>
      </c>
      <c r="H182" t="inlineStr">
        <is>
          <t>OFFICIAL_AGGREGATE</t>
        </is>
      </c>
      <c r="I182" t="inlineStr">
        <is>
          <t>BACKFILL PROVISIONAL</t>
        </is>
      </c>
      <c r="J182" t="inlineStr">
        <is>
          <t>https://www.ande.gov.py/finanzas/2.%20COMPILACION%20ESTADISTICA%202003-2023/ANDE%20-%20Compilacion%20Estadistica%202003-2023.pdf</t>
        </is>
      </c>
      <c r="K182" t="inlineStr">
        <is>
          <t>https://data.worldbank.org/indicator/FP.CPI.TOTL?locations=PY</t>
        </is>
      </c>
      <c r="L182" t="inlineStr">
        <is>
          <t>https://data.worldbank.org/indicator/PA.NUS.FCRF?locations=PY</t>
        </is>
      </c>
    </row>
    <row r="183">
      <c r="A183" t="n">
        <v>2010</v>
      </c>
      <c r="B183" t="inlineStr">
        <is>
          <t>ANDE_TARIFF_RESIDENTIAL</t>
        </is>
      </c>
      <c r="C183" s="24" t="n">
        <v>352.9</v>
      </c>
      <c r="D183" s="36">
        <f>'Macro_Annual'!B23</f>
        <v/>
      </c>
      <c r="E183" s="32">
        <f>'Macro_Annual'!D23</f>
        <v/>
      </c>
      <c r="F183" s="37">
        <f>IFERROR(C183*'Macro_Annual'!$B$38/D183,"")</f>
        <v/>
      </c>
      <c r="G183" s="38">
        <f>IFERROR(C183*1000/E183,"")</f>
        <v/>
      </c>
      <c r="H183" t="inlineStr">
        <is>
          <t>OFFICIAL_AGGREGATE</t>
        </is>
      </c>
      <c r="I183" t="inlineStr">
        <is>
          <t>BACKFILL PROVISIONAL</t>
        </is>
      </c>
      <c r="J183" t="inlineStr">
        <is>
          <t>https://www.ande.gov.py/finanzas/2.%20COMPILACION%20ESTADISTICA%202003-2023/ANDE%20-%20Compilacion%20Estadistica%202003-2023.pdf</t>
        </is>
      </c>
      <c r="K183" t="inlineStr">
        <is>
          <t>https://data.worldbank.org/indicator/FP.CPI.TOTL?locations=PY</t>
        </is>
      </c>
      <c r="L183" t="inlineStr">
        <is>
          <t>https://data.worldbank.org/indicator/PA.NUS.FCRF?locations=PY</t>
        </is>
      </c>
    </row>
    <row r="184">
      <c r="A184" t="n">
        <v>2011</v>
      </c>
      <c r="B184" t="inlineStr">
        <is>
          <t>ANDE_TARIFF_EXPORT_AVG</t>
        </is>
      </c>
      <c r="C184" s="24" t="n">
        <v>311.1</v>
      </c>
      <c r="D184" s="36">
        <f>'Macro_Annual'!B24</f>
        <v/>
      </c>
      <c r="E184" s="32">
        <f>'Macro_Annual'!D24</f>
        <v/>
      </c>
      <c r="F184" s="37">
        <f>IFERROR(C184*'Macro_Annual'!$B$38/D184,"")</f>
        <v/>
      </c>
      <c r="G184" s="38">
        <f>IFERROR(C184*1000/E184,"")</f>
        <v/>
      </c>
      <c r="H184" t="inlineStr">
        <is>
          <t>OFFICIAL_AGGREGATE</t>
        </is>
      </c>
      <c r="I184" t="inlineStr">
        <is>
          <t>BACKFILL PROVISIONAL</t>
        </is>
      </c>
      <c r="J184" t="inlineStr">
        <is>
          <t>https://www.ande.gov.py/finanzas/2.%20COMPILACION%20ESTADISTICA%202003-2023/ANDE%20-%20Compilacion%20Estadistica%202003-2023.pdf</t>
        </is>
      </c>
      <c r="K184" t="inlineStr">
        <is>
          <t>https://data.worldbank.org/indicator/FP.CPI.TOTL?locations=PY</t>
        </is>
      </c>
      <c r="L184" t="inlineStr">
        <is>
          <t>https://data.worldbank.org/indicator/PA.NUS.FCRF?locations=PY</t>
        </is>
      </c>
    </row>
    <row r="185">
      <c r="A185" t="n">
        <v>2011</v>
      </c>
      <c r="B185" t="inlineStr">
        <is>
          <t>ANDE_TARIFF_GENERAL_AVG</t>
        </is>
      </c>
      <c r="C185" s="24" t="n">
        <v>318.1</v>
      </c>
      <c r="D185" s="36">
        <f>'Macro_Annual'!B24</f>
        <v/>
      </c>
      <c r="E185" s="32">
        <f>'Macro_Annual'!D24</f>
        <v/>
      </c>
      <c r="F185" s="37">
        <f>IFERROR(C185*'Macro_Annual'!$B$38/D185,"")</f>
        <v/>
      </c>
      <c r="G185" s="38">
        <f>IFERROR(C185*1000/E185,"")</f>
        <v/>
      </c>
      <c r="H185" t="inlineStr">
        <is>
          <t>OFFICIAL_AGGREGATE</t>
        </is>
      </c>
      <c r="I185" t="inlineStr">
        <is>
          <t>BACKFILL PROVISIONAL</t>
        </is>
      </c>
      <c r="J185" t="inlineStr">
        <is>
          <t>https://www.ande.gov.py/finanzas/2.%20COMPILACION%20ESTADISTICA%202003-2023/ANDE%20-%20Compilacion%20Estadistica%202003-2023.pdf</t>
        </is>
      </c>
      <c r="K185" t="inlineStr">
        <is>
          <t>https://data.worldbank.org/indicator/FP.CPI.TOTL?locations=PY</t>
        </is>
      </c>
      <c r="L185" t="inlineStr">
        <is>
          <t>https://data.worldbank.org/indicator/PA.NUS.FCRF?locations=PY</t>
        </is>
      </c>
    </row>
    <row r="186">
      <c r="A186" t="n">
        <v>2011</v>
      </c>
      <c r="B186" t="inlineStr">
        <is>
          <t>ANDE_TARIFF_GOV</t>
        </is>
      </c>
      <c r="C186" s="24" t="n">
        <v>262.2</v>
      </c>
      <c r="D186" s="36">
        <f>'Macro_Annual'!B24</f>
        <v/>
      </c>
      <c r="E186" s="32">
        <f>'Macro_Annual'!D24</f>
        <v/>
      </c>
      <c r="F186" s="37">
        <f>IFERROR(C186*'Macro_Annual'!$B$38/D186,"")</f>
        <v/>
      </c>
      <c r="G186" s="38">
        <f>IFERROR(C186*1000/E186,"")</f>
        <v/>
      </c>
      <c r="H186" t="inlineStr">
        <is>
          <t>OFFICIAL_AGGREGATE</t>
        </is>
      </c>
      <c r="I186" t="inlineStr">
        <is>
          <t>BACKFILL PROVISIONAL</t>
        </is>
      </c>
      <c r="J186" t="inlineStr">
        <is>
          <t>https://www.ande.gov.py/finanzas/2.%20COMPILACION%20ESTADISTICA%202003-2023/ANDE%20-%20Compilacion%20Estadistica%202003-2023.pdf</t>
        </is>
      </c>
      <c r="K186" t="inlineStr">
        <is>
          <t>https://data.worldbank.org/indicator/FP.CPI.TOTL?locations=PY</t>
        </is>
      </c>
      <c r="L186" t="inlineStr">
        <is>
          <t>https://data.worldbank.org/indicator/PA.NUS.FCRF?locations=PY</t>
        </is>
      </c>
    </row>
    <row r="187">
      <c r="A187" t="n">
        <v>2011</v>
      </c>
      <c r="B187" t="inlineStr">
        <is>
          <t>ANDE_TARIFF_INDUSTRIAL</t>
        </is>
      </c>
      <c r="C187" s="24" t="n">
        <v>241.1</v>
      </c>
      <c r="D187" s="36">
        <f>'Macro_Annual'!B24</f>
        <v/>
      </c>
      <c r="E187" s="32">
        <f>'Macro_Annual'!D24</f>
        <v/>
      </c>
      <c r="F187" s="37">
        <f>IFERROR(C187*'Macro_Annual'!$B$38/D187,"")</f>
        <v/>
      </c>
      <c r="G187" s="38">
        <f>IFERROR(C187*1000/E187,"")</f>
        <v/>
      </c>
      <c r="H187" t="inlineStr">
        <is>
          <t>OFFICIAL_AGGREGATE</t>
        </is>
      </c>
      <c r="I187" t="inlineStr">
        <is>
          <t>BACKFILL PROVISIONAL</t>
        </is>
      </c>
      <c r="J187" t="inlineStr">
        <is>
          <t>https://www.ande.gov.py/finanzas/2.%20COMPILACION%20ESTADISTICA%202003-2023/ANDE%20-%20Compilacion%20Estadistica%202003-2023.pdf</t>
        </is>
      </c>
      <c r="K187" t="inlineStr">
        <is>
          <t>https://data.worldbank.org/indicator/FP.CPI.TOTL?locations=PY</t>
        </is>
      </c>
      <c r="L187" t="inlineStr">
        <is>
          <t>https://data.worldbank.org/indicator/PA.NUS.FCRF?locations=PY</t>
        </is>
      </c>
    </row>
    <row r="188">
      <c r="A188" t="n">
        <v>2011</v>
      </c>
      <c r="B188" t="inlineStr">
        <is>
          <t>ANDE_TARIFF_NATIONAL_AVG</t>
        </is>
      </c>
      <c r="C188" s="24" t="n">
        <v>318.2</v>
      </c>
      <c r="D188" s="36">
        <f>'Macro_Annual'!B24</f>
        <v/>
      </c>
      <c r="E188" s="32">
        <f>'Macro_Annual'!D24</f>
        <v/>
      </c>
      <c r="F188" s="37">
        <f>IFERROR(C188*'Macro_Annual'!$B$38/D188,"")</f>
        <v/>
      </c>
      <c r="G188" s="38">
        <f>IFERROR(C188*1000/E188,"")</f>
        <v/>
      </c>
      <c r="H188" t="inlineStr">
        <is>
          <t>OFFICIAL_AGGREGATE</t>
        </is>
      </c>
      <c r="I188" t="inlineStr">
        <is>
          <t>BACKFILL PROVISIONAL</t>
        </is>
      </c>
      <c r="J188" t="inlineStr">
        <is>
          <t>https://www.ande.gov.py/finanzas/2.%20COMPILACION%20ESTADISTICA%202003-2023/ANDE%20-%20Compilacion%20Estadistica%202003-2023.pdf</t>
        </is>
      </c>
      <c r="K188" t="inlineStr">
        <is>
          <t>https://data.worldbank.org/indicator/FP.CPI.TOTL?locations=PY</t>
        </is>
      </c>
      <c r="L188" t="inlineStr">
        <is>
          <t>https://data.worldbank.org/indicator/PA.NUS.FCRF?locations=PY</t>
        </is>
      </c>
    </row>
    <row r="189">
      <c r="A189" t="n">
        <v>2011</v>
      </c>
      <c r="B189" t="inlineStr">
        <is>
          <t>ANDE_TARIFF_OTHER</t>
        </is>
      </c>
      <c r="C189" s="24" t="n">
        <v>322.6</v>
      </c>
      <c r="D189" s="36">
        <f>'Macro_Annual'!B24</f>
        <v/>
      </c>
      <c r="E189" s="32">
        <f>'Macro_Annual'!D24</f>
        <v/>
      </c>
      <c r="F189" s="37">
        <f>IFERROR(C189*'Macro_Annual'!$B$38/D189,"")</f>
        <v/>
      </c>
      <c r="G189" s="38">
        <f>IFERROR(C189*1000/E189,"")</f>
        <v/>
      </c>
      <c r="H189" t="inlineStr">
        <is>
          <t>OFFICIAL_AGGREGATE</t>
        </is>
      </c>
      <c r="I189" t="inlineStr">
        <is>
          <t>BACKFILL PROVISIONAL</t>
        </is>
      </c>
      <c r="J189" t="inlineStr">
        <is>
          <t>https://www.ande.gov.py/finanzas/2.%20COMPILACION%20ESTADISTICA%202003-2023/ANDE%20-%20Compilacion%20Estadistica%202003-2023.pdf</t>
        </is>
      </c>
      <c r="K189" t="inlineStr">
        <is>
          <t>https://data.worldbank.org/indicator/FP.CPI.TOTL?locations=PY</t>
        </is>
      </c>
      <c r="L189" t="inlineStr">
        <is>
          <t>https://data.worldbank.org/indicator/PA.NUS.FCRF?locations=PY</t>
        </is>
      </c>
    </row>
    <row r="190">
      <c r="A190" t="n">
        <v>2011</v>
      </c>
      <c r="B190" t="inlineStr">
        <is>
          <t>ANDE_TARIFF_PUBLIC_LIGHT</t>
        </is>
      </c>
      <c r="C190" s="24" t="n">
        <v>376.9</v>
      </c>
      <c r="D190" s="36">
        <f>'Macro_Annual'!B24</f>
        <v/>
      </c>
      <c r="E190" s="32">
        <f>'Macro_Annual'!D24</f>
        <v/>
      </c>
      <c r="F190" s="37">
        <f>IFERROR(C190*'Macro_Annual'!$B$38/D190,"")</f>
        <v/>
      </c>
      <c r="G190" s="38">
        <f>IFERROR(C190*1000/E190,"")</f>
        <v/>
      </c>
      <c r="H190" t="inlineStr">
        <is>
          <t>OFFICIAL_AGGREGATE</t>
        </is>
      </c>
      <c r="I190" t="inlineStr">
        <is>
          <t>BACKFILL PROVISIONAL</t>
        </is>
      </c>
      <c r="J190" t="inlineStr">
        <is>
          <t>https://www.ande.gov.py/finanzas/2.%20COMPILACION%20ESTADISTICA%202003-2023/ANDE%20-%20Compilacion%20Estadistica%202003-2023.pdf</t>
        </is>
      </c>
      <c r="K190" t="inlineStr">
        <is>
          <t>https://data.worldbank.org/indicator/FP.CPI.TOTL?locations=PY</t>
        </is>
      </c>
      <c r="L190" t="inlineStr">
        <is>
          <t>https://data.worldbank.org/indicator/PA.NUS.FCRF?locations=PY</t>
        </is>
      </c>
    </row>
    <row r="191">
      <c r="A191" t="n">
        <v>2011</v>
      </c>
      <c r="B191" t="inlineStr">
        <is>
          <t>ANDE_TARIFF_RESIDENTIAL</t>
        </is>
      </c>
      <c r="C191" s="24" t="n">
        <v>362</v>
      </c>
      <c r="D191" s="36">
        <f>'Macro_Annual'!B24</f>
        <v/>
      </c>
      <c r="E191" s="32">
        <f>'Macro_Annual'!D24</f>
        <v/>
      </c>
      <c r="F191" s="37">
        <f>IFERROR(C191*'Macro_Annual'!$B$38/D191,"")</f>
        <v/>
      </c>
      <c r="G191" s="38">
        <f>IFERROR(C191*1000/E191,"")</f>
        <v/>
      </c>
      <c r="H191" t="inlineStr">
        <is>
          <t>OFFICIAL_AGGREGATE</t>
        </is>
      </c>
      <c r="I191" t="inlineStr">
        <is>
          <t>BACKFILL PROVISIONAL</t>
        </is>
      </c>
      <c r="J191" t="inlineStr">
        <is>
          <t>https://www.ande.gov.py/finanzas/2.%20COMPILACION%20ESTADISTICA%202003-2023/ANDE%20-%20Compilacion%20Estadistica%202003-2023.pdf</t>
        </is>
      </c>
      <c r="K191" t="inlineStr">
        <is>
          <t>https://data.worldbank.org/indicator/FP.CPI.TOTL?locations=PY</t>
        </is>
      </c>
      <c r="L191" t="inlineStr">
        <is>
          <t>https://data.worldbank.org/indicator/PA.NUS.FCRF?locations=PY</t>
        </is>
      </c>
    </row>
    <row r="192">
      <c r="A192" t="n">
        <v>2012</v>
      </c>
      <c r="B192" t="inlineStr">
        <is>
          <t>ANDE_TARIFF_EXPORT_AVG</t>
        </is>
      </c>
      <c r="C192" s="24" t="n">
        <v>615.1</v>
      </c>
      <c r="D192" s="36">
        <f>'Macro_Annual'!B25</f>
        <v/>
      </c>
      <c r="E192" s="32">
        <f>'Macro_Annual'!D25</f>
        <v/>
      </c>
      <c r="F192" s="37">
        <f>IFERROR(C192*'Macro_Annual'!$B$38/D192,"")</f>
        <v/>
      </c>
      <c r="G192" s="38">
        <f>IFERROR(C192*1000/E192,"")</f>
        <v/>
      </c>
      <c r="H192" t="inlineStr">
        <is>
          <t>OFFICIAL_AGGREGATE</t>
        </is>
      </c>
      <c r="I192" t="inlineStr">
        <is>
          <t>BACKFILL PROVISIONAL</t>
        </is>
      </c>
      <c r="J192" t="inlineStr">
        <is>
          <t>https://www.ande.gov.py/finanzas/2.%20COMPILACION%20ESTADISTICA%202003-2023/ANDE%20-%20Compilacion%20Estadistica%202003-2023.pdf</t>
        </is>
      </c>
      <c r="K192" t="inlineStr">
        <is>
          <t>https://data.worldbank.org/indicator/FP.CPI.TOTL?locations=PY</t>
        </is>
      </c>
      <c r="L192" t="inlineStr">
        <is>
          <t>https://data.worldbank.org/indicator/PA.NUS.FCRF?locations=PY</t>
        </is>
      </c>
    </row>
    <row r="193">
      <c r="A193" t="n">
        <v>2012</v>
      </c>
      <c r="B193" t="inlineStr">
        <is>
          <t>ANDE_TARIFF_GENERAL_AVG</t>
        </is>
      </c>
      <c r="C193" s="24" t="n">
        <v>325.7</v>
      </c>
      <c r="D193" s="36">
        <f>'Macro_Annual'!B25</f>
        <v/>
      </c>
      <c r="E193" s="32">
        <f>'Macro_Annual'!D25</f>
        <v/>
      </c>
      <c r="F193" s="37">
        <f>IFERROR(C193*'Macro_Annual'!$B$38/D193,"")</f>
        <v/>
      </c>
      <c r="G193" s="38">
        <f>IFERROR(C193*1000/E193,"")</f>
        <v/>
      </c>
      <c r="H193" t="inlineStr">
        <is>
          <t>OFFICIAL_AGGREGATE</t>
        </is>
      </c>
      <c r="I193" t="inlineStr">
        <is>
          <t>BACKFILL PROVISIONAL</t>
        </is>
      </c>
      <c r="J193" t="inlineStr">
        <is>
          <t>https://www.ande.gov.py/finanzas/2.%20COMPILACION%20ESTADISTICA%202003-2023/ANDE%20-%20Compilacion%20Estadistica%202003-2023.pdf</t>
        </is>
      </c>
      <c r="K193" t="inlineStr">
        <is>
          <t>https://data.worldbank.org/indicator/FP.CPI.TOTL?locations=PY</t>
        </is>
      </c>
      <c r="L193" t="inlineStr">
        <is>
          <t>https://data.worldbank.org/indicator/PA.NUS.FCRF?locations=PY</t>
        </is>
      </c>
    </row>
    <row r="194">
      <c r="A194" t="n">
        <v>2012</v>
      </c>
      <c r="B194" t="inlineStr">
        <is>
          <t>ANDE_TARIFF_GOV</t>
        </is>
      </c>
      <c r="C194" s="24" t="n">
        <v>215.1</v>
      </c>
      <c r="D194" s="36">
        <f>'Macro_Annual'!B25</f>
        <v/>
      </c>
      <c r="E194" s="32">
        <f>'Macro_Annual'!D25</f>
        <v/>
      </c>
      <c r="F194" s="37">
        <f>IFERROR(C194*'Macro_Annual'!$B$38/D194,"")</f>
        <v/>
      </c>
      <c r="G194" s="38">
        <f>IFERROR(C194*1000/E194,"")</f>
        <v/>
      </c>
      <c r="H194" t="inlineStr">
        <is>
          <t>OFFICIAL_AGGREGATE</t>
        </is>
      </c>
      <c r="I194" t="inlineStr">
        <is>
          <t>BACKFILL PROVISIONAL</t>
        </is>
      </c>
      <c r="J194" t="inlineStr">
        <is>
          <t>https://www.ande.gov.py/finanzas/2.%20COMPILACION%20ESTADISTICA%202003-2023/ANDE%20-%20Compilacion%20Estadistica%202003-2023.pdf</t>
        </is>
      </c>
      <c r="K194" t="inlineStr">
        <is>
          <t>https://data.worldbank.org/indicator/FP.CPI.TOTL?locations=PY</t>
        </is>
      </c>
      <c r="L194" t="inlineStr">
        <is>
          <t>https://data.worldbank.org/indicator/PA.NUS.FCRF?locations=PY</t>
        </is>
      </c>
    </row>
    <row r="195">
      <c r="A195" t="n">
        <v>2012</v>
      </c>
      <c r="B195" t="inlineStr">
        <is>
          <t>ANDE_TARIFF_INDUSTRIAL</t>
        </is>
      </c>
      <c r="C195" s="24" t="n">
        <v>254.5</v>
      </c>
      <c r="D195" s="36">
        <f>'Macro_Annual'!B25</f>
        <v/>
      </c>
      <c r="E195" s="32">
        <f>'Macro_Annual'!D25</f>
        <v/>
      </c>
      <c r="F195" s="37">
        <f>IFERROR(C195*'Macro_Annual'!$B$38/D195,"")</f>
        <v/>
      </c>
      <c r="G195" s="38">
        <f>IFERROR(C195*1000/E195,"")</f>
        <v/>
      </c>
      <c r="H195" t="inlineStr">
        <is>
          <t>OFFICIAL_AGGREGATE</t>
        </is>
      </c>
      <c r="I195" t="inlineStr">
        <is>
          <t>BACKFILL PROVISIONAL</t>
        </is>
      </c>
      <c r="J195" t="inlineStr">
        <is>
          <t>https://www.ande.gov.py/finanzas/2.%20COMPILACION%20ESTADISTICA%202003-2023/ANDE%20-%20Compilacion%20Estadistica%202003-2023.pdf</t>
        </is>
      </c>
      <c r="K195" t="inlineStr">
        <is>
          <t>https://data.worldbank.org/indicator/FP.CPI.TOTL?locations=PY</t>
        </is>
      </c>
      <c r="L195" t="inlineStr">
        <is>
          <t>https://data.worldbank.org/indicator/PA.NUS.FCRF?locations=PY</t>
        </is>
      </c>
    </row>
    <row r="196">
      <c r="A196" t="n">
        <v>2012</v>
      </c>
      <c r="B196" t="inlineStr">
        <is>
          <t>ANDE_TARIFF_NATIONAL_AVG</t>
        </is>
      </c>
      <c r="C196" s="24" t="n">
        <v>320.4</v>
      </c>
      <c r="D196" s="36">
        <f>'Macro_Annual'!B25</f>
        <v/>
      </c>
      <c r="E196" s="32">
        <f>'Macro_Annual'!D25</f>
        <v/>
      </c>
      <c r="F196" s="37">
        <f>IFERROR(C196*'Macro_Annual'!$B$38/D196,"")</f>
        <v/>
      </c>
      <c r="G196" s="38">
        <f>IFERROR(C196*1000/E196,"")</f>
        <v/>
      </c>
      <c r="H196" t="inlineStr">
        <is>
          <t>OFFICIAL_AGGREGATE</t>
        </is>
      </c>
      <c r="I196" t="inlineStr">
        <is>
          <t>BACKFILL PROVISIONAL</t>
        </is>
      </c>
      <c r="J196" t="inlineStr">
        <is>
          <t>https://www.ande.gov.py/finanzas/2.%20COMPILACION%20ESTADISTICA%202003-2023/ANDE%20-%20Compilacion%20Estadistica%202003-2023.pdf</t>
        </is>
      </c>
      <c r="K196" t="inlineStr">
        <is>
          <t>https://data.worldbank.org/indicator/FP.CPI.TOTL?locations=PY</t>
        </is>
      </c>
      <c r="L196" t="inlineStr">
        <is>
          <t>https://data.worldbank.org/indicator/PA.NUS.FCRF?locations=PY</t>
        </is>
      </c>
    </row>
    <row r="197">
      <c r="A197" t="n">
        <v>2012</v>
      </c>
      <c r="B197" t="inlineStr">
        <is>
          <t>ANDE_TARIFF_OTHER</t>
        </is>
      </c>
      <c r="C197" s="24" t="n">
        <v>323.7</v>
      </c>
      <c r="D197" s="36">
        <f>'Macro_Annual'!B25</f>
        <v/>
      </c>
      <c r="E197" s="32">
        <f>'Macro_Annual'!D25</f>
        <v/>
      </c>
      <c r="F197" s="37">
        <f>IFERROR(C197*'Macro_Annual'!$B$38/D197,"")</f>
        <v/>
      </c>
      <c r="G197" s="38">
        <f>IFERROR(C197*1000/E197,"")</f>
        <v/>
      </c>
      <c r="H197" t="inlineStr">
        <is>
          <t>OFFICIAL_AGGREGATE</t>
        </is>
      </c>
      <c r="I197" t="inlineStr">
        <is>
          <t>BACKFILL PROVISIONAL</t>
        </is>
      </c>
      <c r="J197" t="inlineStr">
        <is>
          <t>https://www.ande.gov.py/finanzas/2.%20COMPILACION%20ESTADISTICA%202003-2023/ANDE%20-%20Compilacion%20Estadistica%202003-2023.pdf</t>
        </is>
      </c>
      <c r="K197" t="inlineStr">
        <is>
          <t>https://data.worldbank.org/indicator/FP.CPI.TOTL?locations=PY</t>
        </is>
      </c>
      <c r="L197" t="inlineStr">
        <is>
          <t>https://data.worldbank.org/indicator/PA.NUS.FCRF?locations=PY</t>
        </is>
      </c>
    </row>
    <row r="198">
      <c r="A198" t="n">
        <v>2012</v>
      </c>
      <c r="B198" t="inlineStr">
        <is>
          <t>ANDE_TARIFF_PUBLIC_LIGHT</t>
        </is>
      </c>
      <c r="C198" s="24" t="n">
        <v>364.8</v>
      </c>
      <c r="D198" s="36">
        <f>'Macro_Annual'!B25</f>
        <v/>
      </c>
      <c r="E198" s="32">
        <f>'Macro_Annual'!D25</f>
        <v/>
      </c>
      <c r="F198" s="37">
        <f>IFERROR(C198*'Macro_Annual'!$B$38/D198,"")</f>
        <v/>
      </c>
      <c r="G198" s="38">
        <f>IFERROR(C198*1000/E198,"")</f>
        <v/>
      </c>
      <c r="H198" t="inlineStr">
        <is>
          <t>OFFICIAL_AGGREGATE</t>
        </is>
      </c>
      <c r="I198" t="inlineStr">
        <is>
          <t>BACKFILL PROVISIONAL</t>
        </is>
      </c>
      <c r="J198" t="inlineStr">
        <is>
          <t>https://www.ande.gov.py/finanzas/2.%20COMPILACION%20ESTADISTICA%202003-2023/ANDE%20-%20Compilacion%20Estadistica%202003-2023.pdf</t>
        </is>
      </c>
      <c r="K198" t="inlineStr">
        <is>
          <t>https://data.worldbank.org/indicator/FP.CPI.TOTL?locations=PY</t>
        </is>
      </c>
      <c r="L198" t="inlineStr">
        <is>
          <t>https://data.worldbank.org/indicator/PA.NUS.FCRF?locations=PY</t>
        </is>
      </c>
    </row>
    <row r="199">
      <c r="A199" t="n">
        <v>2012</v>
      </c>
      <c r="B199" t="inlineStr">
        <is>
          <t>ANDE_TARIFF_RESIDENTIAL</t>
        </is>
      </c>
      <c r="C199" s="24" t="n">
        <v>365.4</v>
      </c>
      <c r="D199" s="36">
        <f>'Macro_Annual'!B25</f>
        <v/>
      </c>
      <c r="E199" s="32">
        <f>'Macro_Annual'!D25</f>
        <v/>
      </c>
      <c r="F199" s="37">
        <f>IFERROR(C199*'Macro_Annual'!$B$38/D199,"")</f>
        <v/>
      </c>
      <c r="G199" s="38">
        <f>IFERROR(C199*1000/E199,"")</f>
        <v/>
      </c>
      <c r="H199" t="inlineStr">
        <is>
          <t>OFFICIAL_AGGREGATE</t>
        </is>
      </c>
      <c r="I199" t="inlineStr">
        <is>
          <t>BACKFILL PROVISIONAL</t>
        </is>
      </c>
      <c r="J199" t="inlineStr">
        <is>
          <t>https://www.ande.gov.py/finanzas/2.%20COMPILACION%20ESTADISTICA%202003-2023/ANDE%20-%20Compilacion%20Estadistica%202003-2023.pdf</t>
        </is>
      </c>
      <c r="K199" t="inlineStr">
        <is>
          <t>https://data.worldbank.org/indicator/FP.CPI.TOTL?locations=PY</t>
        </is>
      </c>
      <c r="L199" t="inlineStr">
        <is>
          <t>https://data.worldbank.org/indicator/PA.NUS.FCRF?locations=PY</t>
        </is>
      </c>
    </row>
    <row r="200">
      <c r="A200" t="n">
        <v>2013</v>
      </c>
      <c r="B200" t="inlineStr">
        <is>
          <t>ANDE_TARIFF_EXPORT_AVG</t>
        </is>
      </c>
      <c r="C200" s="24" t="n">
        <v>608.2</v>
      </c>
      <c r="D200" s="36">
        <f>'Macro_Annual'!B26</f>
        <v/>
      </c>
      <c r="E200" s="32">
        <f>'Macro_Annual'!D26</f>
        <v/>
      </c>
      <c r="F200" s="37">
        <f>IFERROR(C200*'Macro_Annual'!$B$38/D200,"")</f>
        <v/>
      </c>
      <c r="G200" s="38">
        <f>IFERROR(C200*1000/E200,"")</f>
        <v/>
      </c>
      <c r="H200" t="inlineStr">
        <is>
          <t>OFFICIAL_AGGREGATE</t>
        </is>
      </c>
      <c r="I200" t="inlineStr">
        <is>
          <t>BACKFILL PROVISIONAL</t>
        </is>
      </c>
      <c r="J200" t="inlineStr">
        <is>
          <t>https://www.ande.gov.py/finanzas/2.%20COMPILACION%20ESTADISTICA%202003-2023/ANDE%20-%20Compilacion%20Estadistica%202003-2023.pdf</t>
        </is>
      </c>
      <c r="K200" t="inlineStr">
        <is>
          <t>https://data.worldbank.org/indicator/FP.CPI.TOTL?locations=PY</t>
        </is>
      </c>
      <c r="L200" t="inlineStr">
        <is>
          <t>https://data.worldbank.org/indicator/PA.NUS.FCRF?locations=PY</t>
        </is>
      </c>
    </row>
    <row r="201">
      <c r="A201" t="n">
        <v>2013</v>
      </c>
      <c r="B201" t="inlineStr">
        <is>
          <t>ANDE_TARIFF_GENERAL_AVG</t>
        </is>
      </c>
      <c r="C201" s="24" t="n">
        <v>317.6</v>
      </c>
      <c r="D201" s="36">
        <f>'Macro_Annual'!B26</f>
        <v/>
      </c>
      <c r="E201" s="32">
        <f>'Macro_Annual'!D26</f>
        <v/>
      </c>
      <c r="F201" s="37">
        <f>IFERROR(C201*'Macro_Annual'!$B$38/D201,"")</f>
        <v/>
      </c>
      <c r="G201" s="38">
        <f>IFERROR(C201*1000/E201,"")</f>
        <v/>
      </c>
      <c r="H201" t="inlineStr">
        <is>
          <t>OFFICIAL_AGGREGATE</t>
        </is>
      </c>
      <c r="I201" t="inlineStr">
        <is>
          <t>BACKFILL PROVISIONAL</t>
        </is>
      </c>
      <c r="J201" t="inlineStr">
        <is>
          <t>https://www.ande.gov.py/finanzas/2.%20COMPILACION%20ESTADISTICA%202003-2023/ANDE%20-%20Compilacion%20Estadistica%202003-2023.pdf</t>
        </is>
      </c>
      <c r="K201" t="inlineStr">
        <is>
          <t>https://data.worldbank.org/indicator/FP.CPI.TOTL?locations=PY</t>
        </is>
      </c>
      <c r="L201" t="inlineStr">
        <is>
          <t>https://data.worldbank.org/indicator/PA.NUS.FCRF?locations=PY</t>
        </is>
      </c>
    </row>
    <row r="202">
      <c r="A202" t="n">
        <v>2013</v>
      </c>
      <c r="B202" t="inlineStr">
        <is>
          <t>ANDE_TARIFF_GOV</t>
        </is>
      </c>
      <c r="C202" s="24" t="n">
        <v>205.2</v>
      </c>
      <c r="D202" s="36">
        <f>'Macro_Annual'!B26</f>
        <v/>
      </c>
      <c r="E202" s="32">
        <f>'Macro_Annual'!D26</f>
        <v/>
      </c>
      <c r="F202" s="37">
        <f>IFERROR(C202*'Macro_Annual'!$B$38/D202,"")</f>
        <v/>
      </c>
      <c r="G202" s="38">
        <f>IFERROR(C202*1000/E202,"")</f>
        <v/>
      </c>
      <c r="H202" t="inlineStr">
        <is>
          <t>OFFICIAL_AGGREGATE</t>
        </is>
      </c>
      <c r="I202" t="inlineStr">
        <is>
          <t>BACKFILL PROVISIONAL</t>
        </is>
      </c>
      <c r="J202" t="inlineStr">
        <is>
          <t>https://www.ande.gov.py/finanzas/2.%20COMPILACION%20ESTADISTICA%202003-2023/ANDE%20-%20Compilacion%20Estadistica%202003-2023.pdf</t>
        </is>
      </c>
      <c r="K202" t="inlineStr">
        <is>
          <t>https://data.worldbank.org/indicator/FP.CPI.TOTL?locations=PY</t>
        </is>
      </c>
      <c r="L202" t="inlineStr">
        <is>
          <t>https://data.worldbank.org/indicator/PA.NUS.FCRF?locations=PY</t>
        </is>
      </c>
    </row>
    <row r="203">
      <c r="A203" t="n">
        <v>2013</v>
      </c>
      <c r="B203" t="inlineStr">
        <is>
          <t>ANDE_TARIFF_INDUSTRIAL</t>
        </is>
      </c>
      <c r="C203" s="24" t="n">
        <v>247.8</v>
      </c>
      <c r="D203" s="36">
        <f>'Macro_Annual'!B26</f>
        <v/>
      </c>
      <c r="E203" s="32">
        <f>'Macro_Annual'!D26</f>
        <v/>
      </c>
      <c r="F203" s="37">
        <f>IFERROR(C203*'Macro_Annual'!$B$38/D203,"")</f>
        <v/>
      </c>
      <c r="G203" s="38">
        <f>IFERROR(C203*1000/E203,"")</f>
        <v/>
      </c>
      <c r="H203" t="inlineStr">
        <is>
          <t>OFFICIAL_AGGREGATE</t>
        </is>
      </c>
      <c r="I203" t="inlineStr">
        <is>
          <t>BACKFILL PROVISIONAL</t>
        </is>
      </c>
      <c r="J203" t="inlineStr">
        <is>
          <t>https://www.ande.gov.py/finanzas/2.%20COMPILACION%20ESTADISTICA%202003-2023/ANDE%20-%20Compilacion%20Estadistica%202003-2023.pdf</t>
        </is>
      </c>
      <c r="K203" t="inlineStr">
        <is>
          <t>https://data.worldbank.org/indicator/FP.CPI.TOTL?locations=PY</t>
        </is>
      </c>
      <c r="L203" t="inlineStr">
        <is>
          <t>https://data.worldbank.org/indicator/PA.NUS.FCRF?locations=PY</t>
        </is>
      </c>
    </row>
    <row r="204">
      <c r="A204" t="n">
        <v>2013</v>
      </c>
      <c r="B204" t="inlineStr">
        <is>
          <t>ANDE_TARIFF_NATIONAL_AVG</t>
        </is>
      </c>
      <c r="C204" s="24" t="n">
        <v>313.2</v>
      </c>
      <c r="D204" s="36">
        <f>'Macro_Annual'!B26</f>
        <v/>
      </c>
      <c r="E204" s="32">
        <f>'Macro_Annual'!D26</f>
        <v/>
      </c>
      <c r="F204" s="37">
        <f>IFERROR(C204*'Macro_Annual'!$B$38/D204,"")</f>
        <v/>
      </c>
      <c r="G204" s="38">
        <f>IFERROR(C204*1000/E204,"")</f>
        <v/>
      </c>
      <c r="H204" t="inlineStr">
        <is>
          <t>OFFICIAL_AGGREGATE</t>
        </is>
      </c>
      <c r="I204" t="inlineStr">
        <is>
          <t>BACKFILL PROVISIONAL</t>
        </is>
      </c>
      <c r="J204" t="inlineStr">
        <is>
          <t>https://www.ande.gov.py/finanzas/2.%20COMPILACION%20ESTADISTICA%202003-2023/ANDE%20-%20Compilacion%20Estadistica%202003-2023.pdf</t>
        </is>
      </c>
      <c r="K204" t="inlineStr">
        <is>
          <t>https://data.worldbank.org/indicator/FP.CPI.TOTL?locations=PY</t>
        </is>
      </c>
      <c r="L204" t="inlineStr">
        <is>
          <t>https://data.worldbank.org/indicator/PA.NUS.FCRF?locations=PY</t>
        </is>
      </c>
    </row>
    <row r="205">
      <c r="A205" t="n">
        <v>2013</v>
      </c>
      <c r="B205" t="inlineStr">
        <is>
          <t>ANDE_TARIFF_OTHER</t>
        </is>
      </c>
      <c r="C205" s="24" t="n">
        <v>314.6</v>
      </c>
      <c r="D205" s="36">
        <f>'Macro_Annual'!B26</f>
        <v/>
      </c>
      <c r="E205" s="32">
        <f>'Macro_Annual'!D26</f>
        <v/>
      </c>
      <c r="F205" s="37">
        <f>IFERROR(C205*'Macro_Annual'!$B$38/D205,"")</f>
        <v/>
      </c>
      <c r="G205" s="38">
        <f>IFERROR(C205*1000/E205,"")</f>
        <v/>
      </c>
      <c r="H205" t="inlineStr">
        <is>
          <t>OFFICIAL_AGGREGATE</t>
        </is>
      </c>
      <c r="I205" t="inlineStr">
        <is>
          <t>BACKFILL PROVISIONAL</t>
        </is>
      </c>
      <c r="J205" t="inlineStr">
        <is>
          <t>https://www.ande.gov.py/finanzas/2.%20COMPILACION%20ESTADISTICA%202003-2023/ANDE%20-%20Compilacion%20Estadistica%202003-2023.pdf</t>
        </is>
      </c>
      <c r="K205" t="inlineStr">
        <is>
          <t>https://data.worldbank.org/indicator/FP.CPI.TOTL?locations=PY</t>
        </is>
      </c>
      <c r="L205" t="inlineStr">
        <is>
          <t>https://data.worldbank.org/indicator/PA.NUS.FCRF?locations=PY</t>
        </is>
      </c>
    </row>
    <row r="206">
      <c r="A206" t="n">
        <v>2013</v>
      </c>
      <c r="B206" t="inlineStr">
        <is>
          <t>ANDE_TARIFF_PUBLIC_LIGHT</t>
        </is>
      </c>
      <c r="C206" s="24" t="n">
        <v>340.5</v>
      </c>
      <c r="D206" s="36">
        <f>'Macro_Annual'!B26</f>
        <v/>
      </c>
      <c r="E206" s="32">
        <f>'Macro_Annual'!D26</f>
        <v/>
      </c>
      <c r="F206" s="37">
        <f>IFERROR(C206*'Macro_Annual'!$B$38/D206,"")</f>
        <v/>
      </c>
      <c r="G206" s="38">
        <f>IFERROR(C206*1000/E206,"")</f>
        <v/>
      </c>
      <c r="H206" t="inlineStr">
        <is>
          <t>OFFICIAL_AGGREGATE</t>
        </is>
      </c>
      <c r="I206" t="inlineStr">
        <is>
          <t>BACKFILL PROVISIONAL</t>
        </is>
      </c>
      <c r="J206" t="inlineStr">
        <is>
          <t>https://www.ande.gov.py/finanzas/2.%20COMPILACION%20ESTADISTICA%202003-2023/ANDE%20-%20Compilacion%20Estadistica%202003-2023.pdf</t>
        </is>
      </c>
      <c r="K206" t="inlineStr">
        <is>
          <t>https://data.worldbank.org/indicator/FP.CPI.TOTL?locations=PY</t>
        </is>
      </c>
      <c r="L206" t="inlineStr">
        <is>
          <t>https://data.worldbank.org/indicator/PA.NUS.FCRF?locations=PY</t>
        </is>
      </c>
    </row>
    <row r="207">
      <c r="A207" t="n">
        <v>2013</v>
      </c>
      <c r="B207" t="inlineStr">
        <is>
          <t>ANDE_TARIFF_RESIDENTIAL</t>
        </is>
      </c>
      <c r="C207" s="24" t="n">
        <v>359.5</v>
      </c>
      <c r="D207" s="36">
        <f>'Macro_Annual'!B26</f>
        <v/>
      </c>
      <c r="E207" s="32">
        <f>'Macro_Annual'!D26</f>
        <v/>
      </c>
      <c r="F207" s="37">
        <f>IFERROR(C207*'Macro_Annual'!$B$38/D207,"")</f>
        <v/>
      </c>
      <c r="G207" s="38">
        <f>IFERROR(C207*1000/E207,"")</f>
        <v/>
      </c>
      <c r="H207" t="inlineStr">
        <is>
          <t>OFFICIAL_AGGREGATE</t>
        </is>
      </c>
      <c r="I207" t="inlineStr">
        <is>
          <t>BACKFILL PROVISIONAL</t>
        </is>
      </c>
      <c r="J207" t="inlineStr">
        <is>
          <t>https://www.ande.gov.py/finanzas/2.%20COMPILACION%20ESTADISTICA%202003-2023/ANDE%20-%20Compilacion%20Estadistica%202003-2023.pdf</t>
        </is>
      </c>
      <c r="K207" t="inlineStr">
        <is>
          <t>https://data.worldbank.org/indicator/FP.CPI.TOTL?locations=PY</t>
        </is>
      </c>
      <c r="L207" t="inlineStr">
        <is>
          <t>https://data.worldbank.org/indicator/PA.NUS.FCRF?locations=PY</t>
        </is>
      </c>
    </row>
    <row r="208">
      <c r="A208" t="n">
        <v>2014</v>
      </c>
      <c r="B208" t="inlineStr">
        <is>
          <t>ANDE_TARIFF_EXPORT_AVG</t>
        </is>
      </c>
      <c r="C208" s="24" t="n">
        <v>637.2</v>
      </c>
      <c r="D208" s="36">
        <f>'Macro_Annual'!B27</f>
        <v/>
      </c>
      <c r="E208" s="32">
        <f>'Macro_Annual'!D27</f>
        <v/>
      </c>
      <c r="F208" s="37">
        <f>IFERROR(C208*'Macro_Annual'!$B$38/D208,"")</f>
        <v/>
      </c>
      <c r="G208" s="38">
        <f>IFERROR(C208*1000/E208,"")</f>
        <v/>
      </c>
      <c r="H208" t="inlineStr">
        <is>
          <t>OFFICIAL_AGGREGATE</t>
        </is>
      </c>
      <c r="I208" t="inlineStr">
        <is>
          <t>BACKFILL PROVISIONAL</t>
        </is>
      </c>
      <c r="J208" t="inlineStr">
        <is>
          <t>https://www.ande.gov.py/finanzas/2.%20COMPILACION%20ESTADISTICA%202003-2023/ANDE%20-%20Compilacion%20Estadistica%202003-2023.pdf</t>
        </is>
      </c>
      <c r="K208" t="inlineStr">
        <is>
          <t>https://data.worldbank.org/indicator/FP.CPI.TOTL?locations=PY</t>
        </is>
      </c>
      <c r="L208" t="inlineStr">
        <is>
          <t>https://data.worldbank.org/indicator/PA.NUS.FCRF?locations=PY</t>
        </is>
      </c>
    </row>
    <row r="209">
      <c r="A209" t="n">
        <v>2014</v>
      </c>
      <c r="B209" t="inlineStr">
        <is>
          <t>ANDE_TARIFF_GENERAL_AVG</t>
        </is>
      </c>
      <c r="C209" s="24" t="n">
        <v>318</v>
      </c>
      <c r="D209" s="36">
        <f>'Macro_Annual'!B27</f>
        <v/>
      </c>
      <c r="E209" s="32">
        <f>'Macro_Annual'!D27</f>
        <v/>
      </c>
      <c r="F209" s="37">
        <f>IFERROR(C209*'Macro_Annual'!$B$38/D209,"")</f>
        <v/>
      </c>
      <c r="G209" s="38">
        <f>IFERROR(C209*1000/E209,"")</f>
        <v/>
      </c>
      <c r="H209" t="inlineStr">
        <is>
          <t>OFFICIAL_AGGREGATE</t>
        </is>
      </c>
      <c r="I209" t="inlineStr">
        <is>
          <t>BACKFILL PROVISIONAL</t>
        </is>
      </c>
      <c r="J209" t="inlineStr">
        <is>
          <t>https://www.ande.gov.py/finanzas/2.%20COMPILACION%20ESTADISTICA%202003-2023/ANDE%20-%20Compilacion%20Estadistica%202003-2023.pdf</t>
        </is>
      </c>
      <c r="K209" t="inlineStr">
        <is>
          <t>https://data.worldbank.org/indicator/FP.CPI.TOTL?locations=PY</t>
        </is>
      </c>
      <c r="L209" t="inlineStr">
        <is>
          <t>https://data.worldbank.org/indicator/PA.NUS.FCRF?locations=PY</t>
        </is>
      </c>
    </row>
    <row r="210">
      <c r="A210" t="n">
        <v>2014</v>
      </c>
      <c r="B210" t="inlineStr">
        <is>
          <t>ANDE_TARIFF_GOV</t>
        </is>
      </c>
      <c r="C210" s="24" t="n">
        <v>209.3</v>
      </c>
      <c r="D210" s="36">
        <f>'Macro_Annual'!B27</f>
        <v/>
      </c>
      <c r="E210" s="32">
        <f>'Macro_Annual'!D27</f>
        <v/>
      </c>
      <c r="F210" s="37">
        <f>IFERROR(C210*'Macro_Annual'!$B$38/D210,"")</f>
        <v/>
      </c>
      <c r="G210" s="38">
        <f>IFERROR(C210*1000/E210,"")</f>
        <v/>
      </c>
      <c r="H210" t="inlineStr">
        <is>
          <t>OFFICIAL_AGGREGATE</t>
        </is>
      </c>
      <c r="I210" t="inlineStr">
        <is>
          <t>BACKFILL PROVISIONAL</t>
        </is>
      </c>
      <c r="J210" t="inlineStr">
        <is>
          <t>https://www.ande.gov.py/finanzas/2.%20COMPILACION%20ESTADISTICA%202003-2023/ANDE%20-%20Compilacion%20Estadistica%202003-2023.pdf</t>
        </is>
      </c>
      <c r="K210" t="inlineStr">
        <is>
          <t>https://data.worldbank.org/indicator/FP.CPI.TOTL?locations=PY</t>
        </is>
      </c>
      <c r="L210" t="inlineStr">
        <is>
          <t>https://data.worldbank.org/indicator/PA.NUS.FCRF?locations=PY</t>
        </is>
      </c>
    </row>
    <row r="211">
      <c r="A211" t="n">
        <v>2014</v>
      </c>
      <c r="B211" t="inlineStr">
        <is>
          <t>ANDE_TARIFF_INDUSTRIAL</t>
        </is>
      </c>
      <c r="C211" s="24" t="n">
        <v>251.6</v>
      </c>
      <c r="D211" s="36">
        <f>'Macro_Annual'!B27</f>
        <v/>
      </c>
      <c r="E211" s="32">
        <f>'Macro_Annual'!D27</f>
        <v/>
      </c>
      <c r="F211" s="37">
        <f>IFERROR(C211*'Macro_Annual'!$B$38/D211,"")</f>
        <v/>
      </c>
      <c r="G211" s="38">
        <f>IFERROR(C211*1000/E211,"")</f>
        <v/>
      </c>
      <c r="H211" t="inlineStr">
        <is>
          <t>OFFICIAL_AGGREGATE</t>
        </is>
      </c>
      <c r="I211" t="inlineStr">
        <is>
          <t>BACKFILL PROVISIONAL</t>
        </is>
      </c>
      <c r="J211" t="inlineStr">
        <is>
          <t>https://www.ande.gov.py/finanzas/2.%20COMPILACION%20ESTADISTICA%202003-2023/ANDE%20-%20Compilacion%20Estadistica%202003-2023.pdf</t>
        </is>
      </c>
      <c r="K211" t="inlineStr">
        <is>
          <t>https://data.worldbank.org/indicator/FP.CPI.TOTL?locations=PY</t>
        </is>
      </c>
      <c r="L211" t="inlineStr">
        <is>
          <t>https://data.worldbank.org/indicator/PA.NUS.FCRF?locations=PY</t>
        </is>
      </c>
    </row>
    <row r="212">
      <c r="A212" t="n">
        <v>2014</v>
      </c>
      <c r="B212" t="inlineStr">
        <is>
          <t>ANDE_TARIFF_NATIONAL_AVG</t>
        </is>
      </c>
      <c r="C212" s="24" t="n">
        <v>314.2</v>
      </c>
      <c r="D212" s="36">
        <f>'Macro_Annual'!B27</f>
        <v/>
      </c>
      <c r="E212" s="32">
        <f>'Macro_Annual'!D27</f>
        <v/>
      </c>
      <c r="F212" s="37">
        <f>IFERROR(C212*'Macro_Annual'!$B$38/D212,"")</f>
        <v/>
      </c>
      <c r="G212" s="38">
        <f>IFERROR(C212*1000/E212,"")</f>
        <v/>
      </c>
      <c r="H212" t="inlineStr">
        <is>
          <t>OFFICIAL_AGGREGATE</t>
        </is>
      </c>
      <c r="I212" t="inlineStr">
        <is>
          <t>BACKFILL PROVISIONAL</t>
        </is>
      </c>
      <c r="J212" t="inlineStr">
        <is>
          <t>https://www.ande.gov.py/finanzas/2.%20COMPILACION%20ESTADISTICA%202003-2023/ANDE%20-%20Compilacion%20Estadistica%202003-2023.pdf</t>
        </is>
      </c>
      <c r="K212" t="inlineStr">
        <is>
          <t>https://data.worldbank.org/indicator/FP.CPI.TOTL?locations=PY</t>
        </is>
      </c>
      <c r="L212" t="inlineStr">
        <is>
          <t>https://data.worldbank.org/indicator/PA.NUS.FCRF?locations=PY</t>
        </is>
      </c>
    </row>
    <row r="213">
      <c r="A213" t="n">
        <v>2014</v>
      </c>
      <c r="B213" t="inlineStr">
        <is>
          <t>ANDE_TARIFF_OTHER</t>
        </is>
      </c>
      <c r="C213" s="24" t="n">
        <v>307</v>
      </c>
      <c r="D213" s="36">
        <f>'Macro_Annual'!B27</f>
        <v/>
      </c>
      <c r="E213" s="32">
        <f>'Macro_Annual'!D27</f>
        <v/>
      </c>
      <c r="F213" s="37">
        <f>IFERROR(C213*'Macro_Annual'!$B$38/D213,"")</f>
        <v/>
      </c>
      <c r="G213" s="38">
        <f>IFERROR(C213*1000/E213,"")</f>
        <v/>
      </c>
      <c r="H213" t="inlineStr">
        <is>
          <t>OFFICIAL_AGGREGATE</t>
        </is>
      </c>
      <c r="I213" t="inlineStr">
        <is>
          <t>BACKFILL PROVISIONAL</t>
        </is>
      </c>
      <c r="J213" t="inlineStr">
        <is>
          <t>https://www.ande.gov.py/finanzas/2.%20COMPILACION%20ESTADISTICA%202003-2023/ANDE%20-%20Compilacion%20Estadistica%202003-2023.pdf</t>
        </is>
      </c>
      <c r="K213" t="inlineStr">
        <is>
          <t>https://data.worldbank.org/indicator/FP.CPI.TOTL?locations=PY</t>
        </is>
      </c>
      <c r="L213" t="inlineStr">
        <is>
          <t>https://data.worldbank.org/indicator/PA.NUS.FCRF?locations=PY</t>
        </is>
      </c>
    </row>
    <row r="214">
      <c r="A214" t="n">
        <v>2014</v>
      </c>
      <c r="B214" t="inlineStr">
        <is>
          <t>ANDE_TARIFF_PUBLIC_LIGHT</t>
        </is>
      </c>
      <c r="C214" s="24" t="n">
        <v>317.5</v>
      </c>
      <c r="D214" s="36">
        <f>'Macro_Annual'!B27</f>
        <v/>
      </c>
      <c r="E214" s="32">
        <f>'Macro_Annual'!D27</f>
        <v/>
      </c>
      <c r="F214" s="37">
        <f>IFERROR(C214*'Macro_Annual'!$B$38/D214,"")</f>
        <v/>
      </c>
      <c r="G214" s="38">
        <f>IFERROR(C214*1000/E214,"")</f>
        <v/>
      </c>
      <c r="H214" t="inlineStr">
        <is>
          <t>OFFICIAL_AGGREGATE</t>
        </is>
      </c>
      <c r="I214" t="inlineStr">
        <is>
          <t>BACKFILL PROVISIONAL</t>
        </is>
      </c>
      <c r="J214" t="inlineStr">
        <is>
          <t>https://www.ande.gov.py/finanzas/2.%20COMPILACION%20ESTADISTICA%202003-2023/ANDE%20-%20Compilacion%20Estadistica%202003-2023.pdf</t>
        </is>
      </c>
      <c r="K214" t="inlineStr">
        <is>
          <t>https://data.worldbank.org/indicator/FP.CPI.TOTL?locations=PY</t>
        </is>
      </c>
      <c r="L214" t="inlineStr">
        <is>
          <t>https://data.worldbank.org/indicator/PA.NUS.FCRF?locations=PY</t>
        </is>
      </c>
    </row>
    <row r="215">
      <c r="A215" t="n">
        <v>2014</v>
      </c>
      <c r="B215" t="inlineStr">
        <is>
          <t>ANDE_TARIFF_RESIDENTIAL</t>
        </is>
      </c>
      <c r="C215" s="24" t="n">
        <v>362.2</v>
      </c>
      <c r="D215" s="36">
        <f>'Macro_Annual'!B27</f>
        <v/>
      </c>
      <c r="E215" s="32">
        <f>'Macro_Annual'!D27</f>
        <v/>
      </c>
      <c r="F215" s="37">
        <f>IFERROR(C215*'Macro_Annual'!$B$38/D215,"")</f>
        <v/>
      </c>
      <c r="G215" s="38">
        <f>IFERROR(C215*1000/E215,"")</f>
        <v/>
      </c>
      <c r="H215" t="inlineStr">
        <is>
          <t>OFFICIAL_AGGREGATE</t>
        </is>
      </c>
      <c r="I215" t="inlineStr">
        <is>
          <t>BACKFILL PROVISIONAL</t>
        </is>
      </c>
      <c r="J215" t="inlineStr">
        <is>
          <t>https://www.ande.gov.py/finanzas/2.%20COMPILACION%20ESTADISTICA%202003-2023/ANDE%20-%20Compilacion%20Estadistica%202003-2023.pdf</t>
        </is>
      </c>
      <c r="K215" t="inlineStr">
        <is>
          <t>https://data.worldbank.org/indicator/FP.CPI.TOTL?locations=PY</t>
        </is>
      </c>
      <c r="L215" t="inlineStr">
        <is>
          <t>https://data.worldbank.org/indicator/PA.NUS.FCRF?locations=PY</t>
        </is>
      </c>
    </row>
    <row r="216">
      <c r="A216" t="n">
        <v>2015</v>
      </c>
      <c r="B216" t="inlineStr">
        <is>
          <t>ANDE_TARIFF_EXPORT_AVG</t>
        </is>
      </c>
      <c r="C216" s="24" t="n">
        <v>728.2</v>
      </c>
      <c r="D216" s="36">
        <f>'Macro_Annual'!B28</f>
        <v/>
      </c>
      <c r="E216" s="32">
        <f>'Macro_Annual'!D28</f>
        <v/>
      </c>
      <c r="F216" s="37">
        <f>IFERROR(C216*'Macro_Annual'!$B$38/D216,"")</f>
        <v/>
      </c>
      <c r="G216" s="38">
        <f>IFERROR(C216*1000/E216,"")</f>
        <v/>
      </c>
      <c r="H216" t="inlineStr">
        <is>
          <t>OFFICIAL_AGGREGATE</t>
        </is>
      </c>
      <c r="I216" t="inlineStr">
        <is>
          <t>BACKFILL PROVISIONAL</t>
        </is>
      </c>
      <c r="J216" t="inlineStr">
        <is>
          <t>https://www.ande.gov.py/finanzas/2.%20COMPILACION%20ESTADISTICA%202003-2023/ANDE%20-%20Compilacion%20Estadistica%202003-2023.pdf</t>
        </is>
      </c>
      <c r="K216" t="inlineStr">
        <is>
          <t>https://data.worldbank.org/indicator/FP.CPI.TOTL?locations=PY</t>
        </is>
      </c>
      <c r="L216" t="inlineStr">
        <is>
          <t>https://data.worldbank.org/indicator/PA.NUS.FCRF?locations=PY</t>
        </is>
      </c>
    </row>
    <row r="217">
      <c r="A217" t="n">
        <v>2015</v>
      </c>
      <c r="B217" t="inlineStr">
        <is>
          <t>ANDE_TARIFF_GENERAL_AVG</t>
        </is>
      </c>
      <c r="C217" s="24" t="n">
        <v>316.9</v>
      </c>
      <c r="D217" s="36">
        <f>'Macro_Annual'!B28</f>
        <v/>
      </c>
      <c r="E217" s="32">
        <f>'Macro_Annual'!D28</f>
        <v/>
      </c>
      <c r="F217" s="37">
        <f>IFERROR(C217*'Macro_Annual'!$B$38/D217,"")</f>
        <v/>
      </c>
      <c r="G217" s="38">
        <f>IFERROR(C217*1000/E217,"")</f>
        <v/>
      </c>
      <c r="H217" t="inlineStr">
        <is>
          <t>OFFICIAL_AGGREGATE</t>
        </is>
      </c>
      <c r="I217" t="inlineStr">
        <is>
          <t>BACKFILL PROVISIONAL</t>
        </is>
      </c>
      <c r="J217" t="inlineStr">
        <is>
          <t>https://www.ande.gov.py/finanzas/2.%20COMPILACION%20ESTADISTICA%202003-2023/ANDE%20-%20Compilacion%20Estadistica%202003-2023.pdf</t>
        </is>
      </c>
      <c r="K217" t="inlineStr">
        <is>
          <t>https://data.worldbank.org/indicator/FP.CPI.TOTL?locations=PY</t>
        </is>
      </c>
      <c r="L217" t="inlineStr">
        <is>
          <t>https://data.worldbank.org/indicator/PA.NUS.FCRF?locations=PY</t>
        </is>
      </c>
    </row>
    <row r="218">
      <c r="A218" t="n">
        <v>2015</v>
      </c>
      <c r="B218" t="inlineStr">
        <is>
          <t>ANDE_TARIFF_GOV</t>
        </is>
      </c>
      <c r="C218" s="24" t="n">
        <v>206.6</v>
      </c>
      <c r="D218" s="36">
        <f>'Macro_Annual'!B28</f>
        <v/>
      </c>
      <c r="E218" s="32">
        <f>'Macro_Annual'!D28</f>
        <v/>
      </c>
      <c r="F218" s="37">
        <f>IFERROR(C218*'Macro_Annual'!$B$38/D218,"")</f>
        <v/>
      </c>
      <c r="G218" s="38">
        <f>IFERROR(C218*1000/E218,"")</f>
        <v/>
      </c>
      <c r="H218" t="inlineStr">
        <is>
          <t>OFFICIAL_AGGREGATE</t>
        </is>
      </c>
      <c r="I218" t="inlineStr">
        <is>
          <t>BACKFILL PROVISIONAL</t>
        </is>
      </c>
      <c r="J218" t="inlineStr">
        <is>
          <t>https://www.ande.gov.py/finanzas/2.%20COMPILACION%20ESTADISTICA%202003-2023/ANDE%20-%20Compilacion%20Estadistica%202003-2023.pdf</t>
        </is>
      </c>
      <c r="K218" t="inlineStr">
        <is>
          <t>https://data.worldbank.org/indicator/FP.CPI.TOTL?locations=PY</t>
        </is>
      </c>
      <c r="L218" t="inlineStr">
        <is>
          <t>https://data.worldbank.org/indicator/PA.NUS.FCRF?locations=PY</t>
        </is>
      </c>
    </row>
    <row r="219">
      <c r="A219" t="n">
        <v>2015</v>
      </c>
      <c r="B219" t="inlineStr">
        <is>
          <t>ANDE_TARIFF_INDUSTRIAL</t>
        </is>
      </c>
      <c r="C219" s="24" t="n">
        <v>252.1</v>
      </c>
      <c r="D219" s="36">
        <f>'Macro_Annual'!B28</f>
        <v/>
      </c>
      <c r="E219" s="32">
        <f>'Macro_Annual'!D28</f>
        <v/>
      </c>
      <c r="F219" s="37">
        <f>IFERROR(C219*'Macro_Annual'!$B$38/D219,"")</f>
        <v/>
      </c>
      <c r="G219" s="38">
        <f>IFERROR(C219*1000/E219,"")</f>
        <v/>
      </c>
      <c r="H219" t="inlineStr">
        <is>
          <t>OFFICIAL_AGGREGATE</t>
        </is>
      </c>
      <c r="I219" t="inlineStr">
        <is>
          <t>BACKFILL PROVISIONAL</t>
        </is>
      </c>
      <c r="J219" t="inlineStr">
        <is>
          <t>https://www.ande.gov.py/finanzas/2.%20COMPILACION%20ESTADISTICA%202003-2023/ANDE%20-%20Compilacion%20Estadistica%202003-2023.pdf</t>
        </is>
      </c>
      <c r="K219" t="inlineStr">
        <is>
          <t>https://data.worldbank.org/indicator/FP.CPI.TOTL?locations=PY</t>
        </is>
      </c>
      <c r="L219" t="inlineStr">
        <is>
          <t>https://data.worldbank.org/indicator/PA.NUS.FCRF?locations=PY</t>
        </is>
      </c>
    </row>
    <row r="220">
      <c r="A220" t="n">
        <v>2015</v>
      </c>
      <c r="B220" t="inlineStr">
        <is>
          <t>ANDE_TARIFF_NATIONAL_AVG</t>
        </is>
      </c>
      <c r="C220" s="24" t="n">
        <v>312.4</v>
      </c>
      <c r="D220" s="36">
        <f>'Macro_Annual'!B28</f>
        <v/>
      </c>
      <c r="E220" s="32">
        <f>'Macro_Annual'!D28</f>
        <v/>
      </c>
      <c r="F220" s="37">
        <f>IFERROR(C220*'Macro_Annual'!$B$38/D220,"")</f>
        <v/>
      </c>
      <c r="G220" s="38">
        <f>IFERROR(C220*1000/E220,"")</f>
        <v/>
      </c>
      <c r="H220" t="inlineStr">
        <is>
          <t>OFFICIAL_AGGREGATE</t>
        </is>
      </c>
      <c r="I220" t="inlineStr">
        <is>
          <t>BACKFILL PROVISIONAL</t>
        </is>
      </c>
      <c r="J220" t="inlineStr">
        <is>
          <t>https://www.ande.gov.py/finanzas/2.%20COMPILACION%20ESTADISTICA%202003-2023/ANDE%20-%20Compilacion%20Estadistica%202003-2023.pdf</t>
        </is>
      </c>
      <c r="K220" t="inlineStr">
        <is>
          <t>https://data.worldbank.org/indicator/FP.CPI.TOTL?locations=PY</t>
        </is>
      </c>
      <c r="L220" t="inlineStr">
        <is>
          <t>https://data.worldbank.org/indicator/PA.NUS.FCRF?locations=PY</t>
        </is>
      </c>
    </row>
    <row r="221">
      <c r="A221" t="n">
        <v>2015</v>
      </c>
      <c r="B221" t="inlineStr">
        <is>
          <t>ANDE_TARIFF_OTHER</t>
        </is>
      </c>
      <c r="C221" s="24" t="n">
        <v>300.2</v>
      </c>
      <c r="D221" s="36">
        <f>'Macro_Annual'!B28</f>
        <v/>
      </c>
      <c r="E221" s="32">
        <f>'Macro_Annual'!D28</f>
        <v/>
      </c>
      <c r="F221" s="37">
        <f>IFERROR(C221*'Macro_Annual'!$B$38/D221,"")</f>
        <v/>
      </c>
      <c r="G221" s="38">
        <f>IFERROR(C221*1000/E221,"")</f>
        <v/>
      </c>
      <c r="H221" t="inlineStr">
        <is>
          <t>OFFICIAL_AGGREGATE</t>
        </is>
      </c>
      <c r="I221" t="inlineStr">
        <is>
          <t>BACKFILL PROVISIONAL</t>
        </is>
      </c>
      <c r="J221" t="inlineStr">
        <is>
          <t>https://www.ande.gov.py/finanzas/2.%20COMPILACION%20ESTADISTICA%202003-2023/ANDE%20-%20Compilacion%20Estadistica%202003-2023.pdf</t>
        </is>
      </c>
      <c r="K221" t="inlineStr">
        <is>
          <t>https://data.worldbank.org/indicator/FP.CPI.TOTL?locations=PY</t>
        </is>
      </c>
      <c r="L221" t="inlineStr">
        <is>
          <t>https://data.worldbank.org/indicator/PA.NUS.FCRF?locations=PY</t>
        </is>
      </c>
    </row>
    <row r="222">
      <c r="A222" t="n">
        <v>2015</v>
      </c>
      <c r="B222" t="inlineStr">
        <is>
          <t>ANDE_TARIFF_PUBLIC_LIGHT</t>
        </is>
      </c>
      <c r="C222" s="24" t="n">
        <v>317.5</v>
      </c>
      <c r="D222" s="36">
        <f>'Macro_Annual'!B28</f>
        <v/>
      </c>
      <c r="E222" s="32">
        <f>'Macro_Annual'!D28</f>
        <v/>
      </c>
      <c r="F222" s="37">
        <f>IFERROR(C222*'Macro_Annual'!$B$38/D222,"")</f>
        <v/>
      </c>
      <c r="G222" s="38">
        <f>IFERROR(C222*1000/E222,"")</f>
        <v/>
      </c>
      <c r="H222" t="inlineStr">
        <is>
          <t>OFFICIAL_AGGREGATE</t>
        </is>
      </c>
      <c r="I222" t="inlineStr">
        <is>
          <t>BACKFILL PROVISIONAL</t>
        </is>
      </c>
      <c r="J222" t="inlineStr">
        <is>
          <t>https://www.ande.gov.py/finanzas/2.%20COMPILACION%20ESTADISTICA%202003-2023/ANDE%20-%20Compilacion%20Estadistica%202003-2023.pdf</t>
        </is>
      </c>
      <c r="K222" t="inlineStr">
        <is>
          <t>https://data.worldbank.org/indicator/FP.CPI.TOTL?locations=PY</t>
        </is>
      </c>
      <c r="L222" t="inlineStr">
        <is>
          <t>https://data.worldbank.org/indicator/PA.NUS.FCRF?locations=PY</t>
        </is>
      </c>
    </row>
    <row r="223">
      <c r="A223" t="n">
        <v>2015</v>
      </c>
      <c r="B223" t="inlineStr">
        <is>
          <t>ANDE_TARIFF_RESIDENTIAL</t>
        </is>
      </c>
      <c r="C223" s="24" t="n">
        <v>362.4</v>
      </c>
      <c r="D223" s="36">
        <f>'Macro_Annual'!B28</f>
        <v/>
      </c>
      <c r="E223" s="32">
        <f>'Macro_Annual'!D28</f>
        <v/>
      </c>
      <c r="F223" s="37">
        <f>IFERROR(C223*'Macro_Annual'!$B$38/D223,"")</f>
        <v/>
      </c>
      <c r="G223" s="38">
        <f>IFERROR(C223*1000/E223,"")</f>
        <v/>
      </c>
      <c r="H223" t="inlineStr">
        <is>
          <t>OFFICIAL_AGGREGATE</t>
        </is>
      </c>
      <c r="I223" t="inlineStr">
        <is>
          <t>BACKFILL PROVISIONAL</t>
        </is>
      </c>
      <c r="J223" t="inlineStr">
        <is>
          <t>https://www.ande.gov.py/finanzas/2.%20COMPILACION%20ESTADISTICA%202003-2023/ANDE%20-%20Compilacion%20Estadistica%202003-2023.pdf</t>
        </is>
      </c>
      <c r="K223" t="inlineStr">
        <is>
          <t>https://data.worldbank.org/indicator/FP.CPI.TOTL?locations=PY</t>
        </is>
      </c>
      <c r="L223" t="inlineStr">
        <is>
          <t>https://data.worldbank.org/indicator/PA.NUS.FCRF?locations=PY</t>
        </is>
      </c>
    </row>
    <row r="224">
      <c r="A224" t="n">
        <v>2016</v>
      </c>
      <c r="B224" t="inlineStr">
        <is>
          <t>ANDE_TARIFF_EXPORT_AVG</t>
        </is>
      </c>
      <c r="C224" s="24" t="n">
        <v>796.4</v>
      </c>
      <c r="D224" s="36">
        <f>'Macro_Annual'!B29</f>
        <v/>
      </c>
      <c r="E224" s="32">
        <f>'Macro_Annual'!D29</f>
        <v/>
      </c>
      <c r="F224" s="37">
        <f>IFERROR(C224*'Macro_Annual'!$B$38/D224,"")</f>
        <v/>
      </c>
      <c r="G224" s="38">
        <f>IFERROR(C224*1000/E224,"")</f>
        <v/>
      </c>
      <c r="H224" t="inlineStr">
        <is>
          <t>OFFICIAL_AGGREGATE</t>
        </is>
      </c>
      <c r="I224" t="inlineStr">
        <is>
          <t>BACKFILL PROVISIONAL</t>
        </is>
      </c>
      <c r="J224" t="inlineStr">
        <is>
          <t>https://www.ande.gov.py/finanzas/2.%20COMPILACION%20ESTADISTICA%202003-2023/ANDE%20-%20Compilacion%20Estadistica%202003-2023.pdf</t>
        </is>
      </c>
      <c r="K224" t="inlineStr">
        <is>
          <t>https://data.worldbank.org/indicator/FP.CPI.TOTL?locations=PY</t>
        </is>
      </c>
      <c r="L224" t="inlineStr">
        <is>
          <t>https://data.worldbank.org/indicator/PA.NUS.FCRF?locations=PY</t>
        </is>
      </c>
    </row>
    <row r="225">
      <c r="A225" t="n">
        <v>2016</v>
      </c>
      <c r="B225" t="inlineStr">
        <is>
          <t>ANDE_TARIFF_GENERAL_AVG</t>
        </is>
      </c>
      <c r="C225" s="24" t="n">
        <v>321.4</v>
      </c>
      <c r="D225" s="36">
        <f>'Macro_Annual'!B29</f>
        <v/>
      </c>
      <c r="E225" s="32">
        <f>'Macro_Annual'!D29</f>
        <v/>
      </c>
      <c r="F225" s="37">
        <f>IFERROR(C225*'Macro_Annual'!$B$38/D225,"")</f>
        <v/>
      </c>
      <c r="G225" s="38">
        <f>IFERROR(C225*1000/E225,"")</f>
        <v/>
      </c>
      <c r="H225" t="inlineStr">
        <is>
          <t>OFFICIAL_AGGREGATE</t>
        </is>
      </c>
      <c r="I225" t="inlineStr">
        <is>
          <t>BACKFILL PROVISIONAL</t>
        </is>
      </c>
      <c r="J225" t="inlineStr">
        <is>
          <t>https://www.ande.gov.py/finanzas/2.%20COMPILACION%20ESTADISTICA%202003-2023/ANDE%20-%20Compilacion%20Estadistica%202003-2023.pdf</t>
        </is>
      </c>
      <c r="K225" t="inlineStr">
        <is>
          <t>https://data.worldbank.org/indicator/FP.CPI.TOTL?locations=PY</t>
        </is>
      </c>
      <c r="L225" t="inlineStr">
        <is>
          <t>https://data.worldbank.org/indicator/PA.NUS.FCRF?locations=PY</t>
        </is>
      </c>
    </row>
    <row r="226">
      <c r="A226" t="n">
        <v>2016</v>
      </c>
      <c r="B226" t="inlineStr">
        <is>
          <t>ANDE_TARIFF_GOV</t>
        </is>
      </c>
      <c r="C226" s="24" t="n">
        <v>211.3</v>
      </c>
      <c r="D226" s="36">
        <f>'Macro_Annual'!B29</f>
        <v/>
      </c>
      <c r="E226" s="32">
        <f>'Macro_Annual'!D29</f>
        <v/>
      </c>
      <c r="F226" s="37">
        <f>IFERROR(C226*'Macro_Annual'!$B$38/D226,"")</f>
        <v/>
      </c>
      <c r="G226" s="38">
        <f>IFERROR(C226*1000/E226,"")</f>
        <v/>
      </c>
      <c r="H226" t="inlineStr">
        <is>
          <t>OFFICIAL_AGGREGATE</t>
        </is>
      </c>
      <c r="I226" t="inlineStr">
        <is>
          <t>BACKFILL PROVISIONAL</t>
        </is>
      </c>
      <c r="J226" t="inlineStr">
        <is>
          <t>https://www.ande.gov.py/finanzas/2.%20COMPILACION%20ESTADISTICA%202003-2023/ANDE%20-%20Compilacion%20Estadistica%202003-2023.pdf</t>
        </is>
      </c>
      <c r="K226" t="inlineStr">
        <is>
          <t>https://data.worldbank.org/indicator/FP.CPI.TOTL?locations=PY</t>
        </is>
      </c>
      <c r="L226" t="inlineStr">
        <is>
          <t>https://data.worldbank.org/indicator/PA.NUS.FCRF?locations=PY</t>
        </is>
      </c>
    </row>
    <row r="227">
      <c r="A227" t="n">
        <v>2016</v>
      </c>
      <c r="B227" t="inlineStr">
        <is>
          <t>ANDE_TARIFF_INDUSTRIAL</t>
        </is>
      </c>
      <c r="C227" s="24" t="n">
        <v>245.6</v>
      </c>
      <c r="D227" s="36">
        <f>'Macro_Annual'!B29</f>
        <v/>
      </c>
      <c r="E227" s="32">
        <f>'Macro_Annual'!D29</f>
        <v/>
      </c>
      <c r="F227" s="37">
        <f>IFERROR(C227*'Macro_Annual'!$B$38/D227,"")</f>
        <v/>
      </c>
      <c r="G227" s="38">
        <f>IFERROR(C227*1000/E227,"")</f>
        <v/>
      </c>
      <c r="H227" t="inlineStr">
        <is>
          <t>OFFICIAL_AGGREGATE</t>
        </is>
      </c>
      <c r="I227" t="inlineStr">
        <is>
          <t>BACKFILL PROVISIONAL</t>
        </is>
      </c>
      <c r="J227" t="inlineStr">
        <is>
          <t>https://www.ande.gov.py/finanzas/2.%20COMPILACION%20ESTADISTICA%202003-2023/ANDE%20-%20Compilacion%20Estadistica%202003-2023.pdf</t>
        </is>
      </c>
      <c r="K227" t="inlineStr">
        <is>
          <t>https://data.worldbank.org/indicator/FP.CPI.TOTL?locations=PY</t>
        </is>
      </c>
      <c r="L227" t="inlineStr">
        <is>
          <t>https://data.worldbank.org/indicator/PA.NUS.FCRF?locations=PY</t>
        </is>
      </c>
    </row>
    <row r="228">
      <c r="A228" t="n">
        <v>2016</v>
      </c>
      <c r="B228" t="inlineStr">
        <is>
          <t>ANDE_TARIFF_NATIONAL_AVG</t>
        </is>
      </c>
      <c r="C228" s="24" t="n">
        <v>316.1</v>
      </c>
      <c r="D228" s="36">
        <f>'Macro_Annual'!B29</f>
        <v/>
      </c>
      <c r="E228" s="32">
        <f>'Macro_Annual'!D29</f>
        <v/>
      </c>
      <c r="F228" s="37">
        <f>IFERROR(C228*'Macro_Annual'!$B$38/D228,"")</f>
        <v/>
      </c>
      <c r="G228" s="38">
        <f>IFERROR(C228*1000/E228,"")</f>
        <v/>
      </c>
      <c r="H228" t="inlineStr">
        <is>
          <t>OFFICIAL_AGGREGATE</t>
        </is>
      </c>
      <c r="I228" t="inlineStr">
        <is>
          <t>BACKFILL PROVISIONAL</t>
        </is>
      </c>
      <c r="J228" t="inlineStr">
        <is>
          <t>https://www.ande.gov.py/finanzas/2.%20COMPILACION%20ESTADISTICA%202003-2023/ANDE%20-%20Compilacion%20Estadistica%202003-2023.pdf</t>
        </is>
      </c>
      <c r="K228" t="inlineStr">
        <is>
          <t>https://data.worldbank.org/indicator/FP.CPI.TOTL?locations=PY</t>
        </is>
      </c>
      <c r="L228" t="inlineStr">
        <is>
          <t>https://data.worldbank.org/indicator/PA.NUS.FCRF?locations=PY</t>
        </is>
      </c>
    </row>
    <row r="229">
      <c r="A229" t="n">
        <v>2016</v>
      </c>
      <c r="B229" t="inlineStr">
        <is>
          <t>ANDE_TARIFF_OTHER</t>
        </is>
      </c>
      <c r="C229" s="24" t="n">
        <v>303.7</v>
      </c>
      <c r="D229" s="36">
        <f>'Macro_Annual'!B29</f>
        <v/>
      </c>
      <c r="E229" s="32">
        <f>'Macro_Annual'!D29</f>
        <v/>
      </c>
      <c r="F229" s="37">
        <f>IFERROR(C229*'Macro_Annual'!$B$38/D229,"")</f>
        <v/>
      </c>
      <c r="G229" s="38">
        <f>IFERROR(C229*1000/E229,"")</f>
        <v/>
      </c>
      <c r="H229" t="inlineStr">
        <is>
          <t>OFFICIAL_AGGREGATE</t>
        </is>
      </c>
      <c r="I229" t="inlineStr">
        <is>
          <t>BACKFILL PROVISIONAL</t>
        </is>
      </c>
      <c r="J229" t="inlineStr">
        <is>
          <t>https://www.ande.gov.py/finanzas/2.%20COMPILACION%20ESTADISTICA%202003-2023/ANDE%20-%20Compilacion%20Estadistica%202003-2023.pdf</t>
        </is>
      </c>
      <c r="K229" t="inlineStr">
        <is>
          <t>https://data.worldbank.org/indicator/FP.CPI.TOTL?locations=PY</t>
        </is>
      </c>
      <c r="L229" t="inlineStr">
        <is>
          <t>https://data.worldbank.org/indicator/PA.NUS.FCRF?locations=PY</t>
        </is>
      </c>
    </row>
    <row r="230">
      <c r="A230" t="n">
        <v>2016</v>
      </c>
      <c r="B230" t="inlineStr">
        <is>
          <t>ANDE_TARIFF_PUBLIC_LIGHT</t>
        </is>
      </c>
      <c r="C230" s="24" t="n">
        <v>317.5</v>
      </c>
      <c r="D230" s="36">
        <f>'Macro_Annual'!B29</f>
        <v/>
      </c>
      <c r="E230" s="32">
        <f>'Macro_Annual'!D29</f>
        <v/>
      </c>
      <c r="F230" s="37">
        <f>IFERROR(C230*'Macro_Annual'!$B$38/D230,"")</f>
        <v/>
      </c>
      <c r="G230" s="38">
        <f>IFERROR(C230*1000/E230,"")</f>
        <v/>
      </c>
      <c r="H230" t="inlineStr">
        <is>
          <t>OFFICIAL_AGGREGATE</t>
        </is>
      </c>
      <c r="I230" t="inlineStr">
        <is>
          <t>BACKFILL PROVISIONAL</t>
        </is>
      </c>
      <c r="J230" t="inlineStr">
        <is>
          <t>https://www.ande.gov.py/finanzas/2.%20COMPILACION%20ESTADISTICA%202003-2023/ANDE%20-%20Compilacion%20Estadistica%202003-2023.pdf</t>
        </is>
      </c>
      <c r="K230" t="inlineStr">
        <is>
          <t>https://data.worldbank.org/indicator/FP.CPI.TOTL?locations=PY</t>
        </is>
      </c>
      <c r="L230" t="inlineStr">
        <is>
          <t>https://data.worldbank.org/indicator/PA.NUS.FCRF?locations=PY</t>
        </is>
      </c>
    </row>
    <row r="231">
      <c r="A231" t="n">
        <v>2016</v>
      </c>
      <c r="B231" t="inlineStr">
        <is>
          <t>ANDE_TARIFF_RESIDENTIAL</t>
        </is>
      </c>
      <c r="C231" s="24" t="n">
        <v>365.3</v>
      </c>
      <c r="D231" s="36">
        <f>'Macro_Annual'!B29</f>
        <v/>
      </c>
      <c r="E231" s="32">
        <f>'Macro_Annual'!D29</f>
        <v/>
      </c>
      <c r="F231" s="37">
        <f>IFERROR(C231*'Macro_Annual'!$B$38/D231,"")</f>
        <v/>
      </c>
      <c r="G231" s="38">
        <f>IFERROR(C231*1000/E231,"")</f>
        <v/>
      </c>
      <c r="H231" t="inlineStr">
        <is>
          <t>OFFICIAL_AGGREGATE</t>
        </is>
      </c>
      <c r="I231" t="inlineStr">
        <is>
          <t>BACKFILL PROVISIONAL</t>
        </is>
      </c>
      <c r="J231" t="inlineStr">
        <is>
          <t>https://www.ande.gov.py/finanzas/2.%20COMPILACION%20ESTADISTICA%202003-2023/ANDE%20-%20Compilacion%20Estadistica%202003-2023.pdf</t>
        </is>
      </c>
      <c r="K231" t="inlineStr">
        <is>
          <t>https://data.worldbank.org/indicator/FP.CPI.TOTL?locations=PY</t>
        </is>
      </c>
      <c r="L231" t="inlineStr">
        <is>
          <t>https://data.worldbank.org/indicator/PA.NUS.FCRF?locations=PY</t>
        </is>
      </c>
    </row>
    <row r="232">
      <c r="A232" t="n">
        <v>2017</v>
      </c>
      <c r="B232" t="inlineStr">
        <is>
          <t>ANDE_TARIFF_EXPORT_AVG</t>
        </is>
      </c>
      <c r="C232" s="24" t="n">
        <v>789.4</v>
      </c>
      <c r="D232" s="36">
        <f>'Macro_Annual'!B30</f>
        <v/>
      </c>
      <c r="E232" s="32">
        <f>'Macro_Annual'!D30</f>
        <v/>
      </c>
      <c r="F232" s="37">
        <f>IFERROR(C232*'Macro_Annual'!$B$38/D232,"")</f>
        <v/>
      </c>
      <c r="G232" s="38">
        <f>IFERROR(C232*1000/E232,"")</f>
        <v/>
      </c>
      <c r="H232" t="inlineStr">
        <is>
          <t>OFFICIAL_AGGREGATE</t>
        </is>
      </c>
      <c r="I232" t="inlineStr">
        <is>
          <t>BACKFILL PROVISIONAL</t>
        </is>
      </c>
      <c r="J232" t="inlineStr">
        <is>
          <t>https://www.ande.gov.py/finanzas/2.%20COMPILACION%20ESTADISTICA%202003-2023/ANDE%20-%20Compilacion%20Estadistica%202003-2023.pdf</t>
        </is>
      </c>
      <c r="K232" t="inlineStr">
        <is>
          <t>https://data.worldbank.org/indicator/FP.CPI.TOTL?locations=PY</t>
        </is>
      </c>
      <c r="L232" t="inlineStr">
        <is>
          <t>https://data.worldbank.org/indicator/PA.NUS.FCRF?locations=PY</t>
        </is>
      </c>
    </row>
    <row r="233">
      <c r="A233" t="n">
        <v>2017</v>
      </c>
      <c r="B233" t="inlineStr">
        <is>
          <t>ANDE_TARIFF_GENERAL_AVG</t>
        </is>
      </c>
      <c r="C233" s="24" t="n">
        <v>360.3</v>
      </c>
      <c r="D233" s="36">
        <f>'Macro_Annual'!B30</f>
        <v/>
      </c>
      <c r="E233" s="32">
        <f>'Macro_Annual'!D30</f>
        <v/>
      </c>
      <c r="F233" s="37">
        <f>IFERROR(C233*'Macro_Annual'!$B$38/D233,"")</f>
        <v/>
      </c>
      <c r="G233" s="38">
        <f>IFERROR(C233*1000/E233,"")</f>
        <v/>
      </c>
      <c r="H233" t="inlineStr">
        <is>
          <t>OFFICIAL_AGGREGATE</t>
        </is>
      </c>
      <c r="I233" t="inlineStr">
        <is>
          <t>BACKFILL PROVISIONAL</t>
        </is>
      </c>
      <c r="J233" t="inlineStr">
        <is>
          <t>https://www.ande.gov.py/finanzas/2.%20COMPILACION%20ESTADISTICA%202003-2023/ANDE%20-%20Compilacion%20Estadistica%202003-2023.pdf</t>
        </is>
      </c>
      <c r="K233" t="inlineStr">
        <is>
          <t>https://data.worldbank.org/indicator/FP.CPI.TOTL?locations=PY</t>
        </is>
      </c>
      <c r="L233" t="inlineStr">
        <is>
          <t>https://data.worldbank.org/indicator/PA.NUS.FCRF?locations=PY</t>
        </is>
      </c>
    </row>
    <row r="234">
      <c r="A234" t="n">
        <v>2017</v>
      </c>
      <c r="B234" t="inlineStr">
        <is>
          <t>ANDE_TARIFF_GOV</t>
        </is>
      </c>
      <c r="C234" s="24" t="n">
        <v>267</v>
      </c>
      <c r="D234" s="36">
        <f>'Macro_Annual'!B30</f>
        <v/>
      </c>
      <c r="E234" s="32">
        <f>'Macro_Annual'!D30</f>
        <v/>
      </c>
      <c r="F234" s="37">
        <f>IFERROR(C234*'Macro_Annual'!$B$38/D234,"")</f>
        <v/>
      </c>
      <c r="G234" s="38">
        <f>IFERROR(C234*1000/E234,"")</f>
        <v/>
      </c>
      <c r="H234" t="inlineStr">
        <is>
          <t>OFFICIAL_AGGREGATE</t>
        </is>
      </c>
      <c r="I234" t="inlineStr">
        <is>
          <t>BACKFILL PROVISIONAL</t>
        </is>
      </c>
      <c r="J234" t="inlineStr">
        <is>
          <t>https://www.ande.gov.py/finanzas/2.%20COMPILACION%20ESTADISTICA%202003-2023/ANDE%20-%20Compilacion%20Estadistica%202003-2023.pdf</t>
        </is>
      </c>
      <c r="K234" t="inlineStr">
        <is>
          <t>https://data.worldbank.org/indicator/FP.CPI.TOTL?locations=PY</t>
        </is>
      </c>
      <c r="L234" t="inlineStr">
        <is>
          <t>https://data.worldbank.org/indicator/PA.NUS.FCRF?locations=PY</t>
        </is>
      </c>
    </row>
    <row r="235">
      <c r="A235" t="n">
        <v>2017</v>
      </c>
      <c r="B235" t="inlineStr">
        <is>
          <t>ANDE_TARIFF_INDUSTRIAL</t>
        </is>
      </c>
      <c r="C235" s="24" t="n">
        <v>283</v>
      </c>
      <c r="D235" s="36">
        <f>'Macro_Annual'!B30</f>
        <v/>
      </c>
      <c r="E235" s="32">
        <f>'Macro_Annual'!D30</f>
        <v/>
      </c>
      <c r="F235" s="37">
        <f>IFERROR(C235*'Macro_Annual'!$B$38/D235,"")</f>
        <v/>
      </c>
      <c r="G235" s="38">
        <f>IFERROR(C235*1000/E235,"")</f>
        <v/>
      </c>
      <c r="H235" t="inlineStr">
        <is>
          <t>OFFICIAL_AGGREGATE</t>
        </is>
      </c>
      <c r="I235" t="inlineStr">
        <is>
          <t>BACKFILL PROVISIONAL</t>
        </is>
      </c>
      <c r="J235" t="inlineStr">
        <is>
          <t>https://www.ande.gov.py/finanzas/2.%20COMPILACION%20ESTADISTICA%202003-2023/ANDE%20-%20Compilacion%20Estadistica%202003-2023.pdf</t>
        </is>
      </c>
      <c r="K235" t="inlineStr">
        <is>
          <t>https://data.worldbank.org/indicator/FP.CPI.TOTL?locations=PY</t>
        </is>
      </c>
      <c r="L235" t="inlineStr">
        <is>
          <t>https://data.worldbank.org/indicator/PA.NUS.FCRF?locations=PY</t>
        </is>
      </c>
    </row>
    <row r="236">
      <c r="A236" t="n">
        <v>2017</v>
      </c>
      <c r="B236" t="inlineStr">
        <is>
          <t>ANDE_TARIFF_NATIONAL_AVG</t>
        </is>
      </c>
      <c r="C236" s="24" t="n">
        <v>357.6</v>
      </c>
      <c r="D236" s="36">
        <f>'Macro_Annual'!B30</f>
        <v/>
      </c>
      <c r="E236" s="32">
        <f>'Macro_Annual'!D30</f>
        <v/>
      </c>
      <c r="F236" s="37">
        <f>IFERROR(C236*'Macro_Annual'!$B$38/D236,"")</f>
        <v/>
      </c>
      <c r="G236" s="38">
        <f>IFERROR(C236*1000/E236,"")</f>
        <v/>
      </c>
      <c r="H236" t="inlineStr">
        <is>
          <t>OFFICIAL_AGGREGATE</t>
        </is>
      </c>
      <c r="I236" t="inlineStr">
        <is>
          <t>BACKFILL PROVISIONAL</t>
        </is>
      </c>
      <c r="J236" t="inlineStr">
        <is>
          <t>https://www.ande.gov.py/finanzas/2.%20COMPILACION%20ESTADISTICA%202003-2023/ANDE%20-%20Compilacion%20Estadistica%202003-2023.pdf</t>
        </is>
      </c>
      <c r="K236" t="inlineStr">
        <is>
          <t>https://data.worldbank.org/indicator/FP.CPI.TOTL?locations=PY</t>
        </is>
      </c>
      <c r="L236" t="inlineStr">
        <is>
          <t>https://data.worldbank.org/indicator/PA.NUS.FCRF?locations=PY</t>
        </is>
      </c>
    </row>
    <row r="237">
      <c r="A237" t="n">
        <v>2017</v>
      </c>
      <c r="B237" t="inlineStr">
        <is>
          <t>ANDE_TARIFF_OTHER</t>
        </is>
      </c>
      <c r="C237" s="24" t="n">
        <v>357.1</v>
      </c>
      <c r="D237" s="36">
        <f>'Macro_Annual'!B30</f>
        <v/>
      </c>
      <c r="E237" s="32">
        <f>'Macro_Annual'!D30</f>
        <v/>
      </c>
      <c r="F237" s="37">
        <f>IFERROR(C237*'Macro_Annual'!$B$38/D237,"")</f>
        <v/>
      </c>
      <c r="G237" s="38">
        <f>IFERROR(C237*1000/E237,"")</f>
        <v/>
      </c>
      <c r="H237" t="inlineStr">
        <is>
          <t>OFFICIAL_AGGREGATE</t>
        </is>
      </c>
      <c r="I237" t="inlineStr">
        <is>
          <t>BACKFILL PROVISIONAL</t>
        </is>
      </c>
      <c r="J237" t="inlineStr">
        <is>
          <t>https://www.ande.gov.py/finanzas/2.%20COMPILACION%20ESTADISTICA%202003-2023/ANDE%20-%20Compilacion%20Estadistica%202003-2023.pdf</t>
        </is>
      </c>
      <c r="K237" t="inlineStr">
        <is>
          <t>https://data.worldbank.org/indicator/FP.CPI.TOTL?locations=PY</t>
        </is>
      </c>
      <c r="L237" t="inlineStr">
        <is>
          <t>https://data.worldbank.org/indicator/PA.NUS.FCRF?locations=PY</t>
        </is>
      </c>
    </row>
    <row r="238">
      <c r="A238" t="n">
        <v>2017</v>
      </c>
      <c r="B238" t="inlineStr">
        <is>
          <t>ANDE_TARIFF_PUBLIC_LIGHT</t>
        </is>
      </c>
      <c r="C238" s="24" t="n">
        <v>375.2</v>
      </c>
      <c r="D238" s="36">
        <f>'Macro_Annual'!B30</f>
        <v/>
      </c>
      <c r="E238" s="32">
        <f>'Macro_Annual'!D30</f>
        <v/>
      </c>
      <c r="F238" s="37">
        <f>IFERROR(C238*'Macro_Annual'!$B$38/D238,"")</f>
        <v/>
      </c>
      <c r="G238" s="38">
        <f>IFERROR(C238*1000/E238,"")</f>
        <v/>
      </c>
      <c r="H238" t="inlineStr">
        <is>
          <t>OFFICIAL_AGGREGATE</t>
        </is>
      </c>
      <c r="I238" t="inlineStr">
        <is>
          <t>BACKFILL PROVISIONAL</t>
        </is>
      </c>
      <c r="J238" t="inlineStr">
        <is>
          <t>https://www.ande.gov.py/finanzas/2.%20COMPILACION%20ESTADISTICA%202003-2023/ANDE%20-%20Compilacion%20Estadistica%202003-2023.pdf</t>
        </is>
      </c>
      <c r="K238" t="inlineStr">
        <is>
          <t>https://data.worldbank.org/indicator/FP.CPI.TOTL?locations=PY</t>
        </is>
      </c>
      <c r="L238" t="inlineStr">
        <is>
          <t>https://data.worldbank.org/indicator/PA.NUS.FCRF?locations=PY</t>
        </is>
      </c>
    </row>
    <row r="239">
      <c r="A239" t="n">
        <v>2017</v>
      </c>
      <c r="B239" t="inlineStr">
        <is>
          <t>ANDE_TARIFF_RESIDENTIAL</t>
        </is>
      </c>
      <c r="C239" s="24" t="n">
        <v>392.5</v>
      </c>
      <c r="D239" s="36">
        <f>'Macro_Annual'!B30</f>
        <v/>
      </c>
      <c r="E239" s="32">
        <f>'Macro_Annual'!D30</f>
        <v/>
      </c>
      <c r="F239" s="37">
        <f>IFERROR(C239*'Macro_Annual'!$B$38/D239,"")</f>
        <v/>
      </c>
      <c r="G239" s="38">
        <f>IFERROR(C239*1000/E239,"")</f>
        <v/>
      </c>
      <c r="H239" t="inlineStr">
        <is>
          <t>OFFICIAL_AGGREGATE</t>
        </is>
      </c>
      <c r="I239" t="inlineStr">
        <is>
          <t>BACKFILL PROVISIONAL</t>
        </is>
      </c>
      <c r="J239" t="inlineStr">
        <is>
          <t>https://www.ande.gov.py/finanzas/2.%20COMPILACION%20ESTADISTICA%202003-2023/ANDE%20-%20Compilacion%20Estadistica%202003-2023.pdf</t>
        </is>
      </c>
      <c r="K239" t="inlineStr">
        <is>
          <t>https://data.worldbank.org/indicator/FP.CPI.TOTL?locations=PY</t>
        </is>
      </c>
      <c r="L239" t="inlineStr">
        <is>
          <t>https://data.worldbank.org/indicator/PA.NUS.FCRF?locations=PY</t>
        </is>
      </c>
    </row>
    <row r="240">
      <c r="A240" t="n">
        <v>2018</v>
      </c>
      <c r="B240" t="inlineStr">
        <is>
          <t>ANDE_TARIFF_EXPORT_AVG</t>
        </is>
      </c>
      <c r="C240" s="24" t="n">
        <v>714.6</v>
      </c>
      <c r="D240" s="36">
        <f>'Macro_Annual'!B31</f>
        <v/>
      </c>
      <c r="E240" s="32">
        <f>'Macro_Annual'!D31</f>
        <v/>
      </c>
      <c r="F240" s="37">
        <f>IFERROR(C240*'Macro_Annual'!$B$38/D240,"")</f>
        <v/>
      </c>
      <c r="G240" s="38">
        <f>IFERROR(C240*1000/E240,"")</f>
        <v/>
      </c>
      <c r="H240" t="inlineStr">
        <is>
          <t>OFFICIAL_AGGREGATE</t>
        </is>
      </c>
      <c r="I240" t="inlineStr">
        <is>
          <t>BACKFILL PROVISIONAL</t>
        </is>
      </c>
      <c r="J240" t="inlineStr">
        <is>
          <t>https://www.ande.gov.py/finanzas/2.%20COMPILACION%20ESTADISTICA%202003-2023/ANDE%20-%20Compilacion%20Estadistica%202003-2023.pdf</t>
        </is>
      </c>
      <c r="K240" t="inlineStr">
        <is>
          <t>https://data.worldbank.org/indicator/FP.CPI.TOTL?locations=PY</t>
        </is>
      </c>
      <c r="L240" t="inlineStr">
        <is>
          <t>https://data.worldbank.org/indicator/PA.NUS.FCRF?locations=PY</t>
        </is>
      </c>
    </row>
    <row r="241">
      <c r="A241" t="n">
        <v>2018</v>
      </c>
      <c r="B241" t="inlineStr">
        <is>
          <t>ANDE_TARIFF_GENERAL_AVG</t>
        </is>
      </c>
      <c r="C241" s="24" t="n">
        <v>373.3</v>
      </c>
      <c r="D241" s="36">
        <f>'Macro_Annual'!B31</f>
        <v/>
      </c>
      <c r="E241" s="32">
        <f>'Macro_Annual'!D31</f>
        <v/>
      </c>
      <c r="F241" s="37">
        <f>IFERROR(C241*'Macro_Annual'!$B$38/D241,"")</f>
        <v/>
      </c>
      <c r="G241" s="38">
        <f>IFERROR(C241*1000/E241,"")</f>
        <v/>
      </c>
      <c r="H241" t="inlineStr">
        <is>
          <t>OFFICIAL_AGGREGATE</t>
        </is>
      </c>
      <c r="I241" t="inlineStr">
        <is>
          <t>BACKFILL PROVISIONAL</t>
        </is>
      </c>
      <c r="J241" t="inlineStr">
        <is>
          <t>https://www.ande.gov.py/finanzas/2.%20COMPILACION%20ESTADISTICA%202003-2023/ANDE%20-%20Compilacion%20Estadistica%202003-2023.pdf</t>
        </is>
      </c>
      <c r="K241" t="inlineStr">
        <is>
          <t>https://data.worldbank.org/indicator/FP.CPI.TOTL?locations=PY</t>
        </is>
      </c>
      <c r="L241" t="inlineStr">
        <is>
          <t>https://data.worldbank.org/indicator/PA.NUS.FCRF?locations=PY</t>
        </is>
      </c>
    </row>
    <row r="242">
      <c r="A242" t="n">
        <v>2018</v>
      </c>
      <c r="B242" t="inlineStr">
        <is>
          <t>ANDE_TARIFF_GOV</t>
        </is>
      </c>
      <c r="C242" s="24" t="n">
        <v>358.8</v>
      </c>
      <c r="D242" s="36">
        <f>'Macro_Annual'!B31</f>
        <v/>
      </c>
      <c r="E242" s="32">
        <f>'Macro_Annual'!D31</f>
        <v/>
      </c>
      <c r="F242" s="37">
        <f>IFERROR(C242*'Macro_Annual'!$B$38/D242,"")</f>
        <v/>
      </c>
      <c r="G242" s="38">
        <f>IFERROR(C242*1000/E242,"")</f>
        <v/>
      </c>
      <c r="H242" t="inlineStr">
        <is>
          <t>OFFICIAL_AGGREGATE</t>
        </is>
      </c>
      <c r="I242" t="inlineStr">
        <is>
          <t>BACKFILL PROVISIONAL</t>
        </is>
      </c>
      <c r="J242" t="inlineStr">
        <is>
          <t>https://www.ande.gov.py/finanzas/2.%20COMPILACION%20ESTADISTICA%202003-2023/ANDE%20-%20Compilacion%20Estadistica%202003-2023.pdf</t>
        </is>
      </c>
      <c r="K242" t="inlineStr">
        <is>
          <t>https://data.worldbank.org/indicator/FP.CPI.TOTL?locations=PY</t>
        </is>
      </c>
      <c r="L242" t="inlineStr">
        <is>
          <t>https://data.worldbank.org/indicator/PA.NUS.FCRF?locations=PY</t>
        </is>
      </c>
    </row>
    <row r="243">
      <c r="A243" t="n">
        <v>2018</v>
      </c>
      <c r="B243" t="inlineStr">
        <is>
          <t>ANDE_TARIFF_INDUSTRIAL</t>
        </is>
      </c>
      <c r="C243" s="24" t="n">
        <v>288.7</v>
      </c>
      <c r="D243" s="36">
        <f>'Macro_Annual'!B31</f>
        <v/>
      </c>
      <c r="E243" s="32">
        <f>'Macro_Annual'!D31</f>
        <v/>
      </c>
      <c r="F243" s="37">
        <f>IFERROR(C243*'Macro_Annual'!$B$38/D243,"")</f>
        <v/>
      </c>
      <c r="G243" s="38">
        <f>IFERROR(C243*1000/E243,"")</f>
        <v/>
      </c>
      <c r="H243" t="inlineStr">
        <is>
          <t>OFFICIAL_AGGREGATE</t>
        </is>
      </c>
      <c r="I243" t="inlineStr">
        <is>
          <t>BACKFILL PROVISIONAL</t>
        </is>
      </c>
      <c r="J243" t="inlineStr">
        <is>
          <t>https://www.ande.gov.py/finanzas/2.%20COMPILACION%20ESTADISTICA%202003-2023/ANDE%20-%20Compilacion%20Estadistica%202003-2023.pdf</t>
        </is>
      </c>
      <c r="K243" t="inlineStr">
        <is>
          <t>https://data.worldbank.org/indicator/FP.CPI.TOTL?locations=PY</t>
        </is>
      </c>
      <c r="L243" t="inlineStr">
        <is>
          <t>https://data.worldbank.org/indicator/PA.NUS.FCRF?locations=PY</t>
        </is>
      </c>
    </row>
    <row r="244">
      <c r="A244" t="n">
        <v>2018</v>
      </c>
      <c r="B244" t="inlineStr">
        <is>
          <t>ANDE_TARIFF_NATIONAL_AVG</t>
        </is>
      </c>
      <c r="C244" s="24" t="n">
        <v>372.6</v>
      </c>
      <c r="D244" s="36">
        <f>'Macro_Annual'!B31</f>
        <v/>
      </c>
      <c r="E244" s="32">
        <f>'Macro_Annual'!D31</f>
        <v/>
      </c>
      <c r="F244" s="37">
        <f>IFERROR(C244*'Macro_Annual'!$B$38/D244,"")</f>
        <v/>
      </c>
      <c r="G244" s="38">
        <f>IFERROR(C244*1000/E244,"")</f>
        <v/>
      </c>
      <c r="H244" t="inlineStr">
        <is>
          <t>OFFICIAL_AGGREGATE</t>
        </is>
      </c>
      <c r="I244" t="inlineStr">
        <is>
          <t>BACKFILL PROVISIONAL</t>
        </is>
      </c>
      <c r="J244" t="inlineStr">
        <is>
          <t>https://www.ande.gov.py/finanzas/2.%20COMPILACION%20ESTADISTICA%202003-2023/ANDE%20-%20Compilacion%20Estadistica%202003-2023.pdf</t>
        </is>
      </c>
      <c r="K244" t="inlineStr">
        <is>
          <t>https://data.worldbank.org/indicator/FP.CPI.TOTL?locations=PY</t>
        </is>
      </c>
      <c r="L244" t="inlineStr">
        <is>
          <t>https://data.worldbank.org/indicator/PA.NUS.FCRF?locations=PY</t>
        </is>
      </c>
    </row>
    <row r="245">
      <c r="A245" t="n">
        <v>2018</v>
      </c>
      <c r="B245" t="inlineStr">
        <is>
          <t>ANDE_TARIFF_OTHER</t>
        </is>
      </c>
      <c r="C245" s="24" t="n">
        <v>363.7</v>
      </c>
      <c r="D245" s="36">
        <f>'Macro_Annual'!B31</f>
        <v/>
      </c>
      <c r="E245" s="32">
        <f>'Macro_Annual'!D31</f>
        <v/>
      </c>
      <c r="F245" s="37">
        <f>IFERROR(C245*'Macro_Annual'!$B$38/D245,"")</f>
        <v/>
      </c>
      <c r="G245" s="38">
        <f>IFERROR(C245*1000/E245,"")</f>
        <v/>
      </c>
      <c r="H245" t="inlineStr">
        <is>
          <t>OFFICIAL_AGGREGATE</t>
        </is>
      </c>
      <c r="I245" t="inlineStr">
        <is>
          <t>BACKFILL PROVISIONAL</t>
        </is>
      </c>
      <c r="J245" t="inlineStr">
        <is>
          <t>https://www.ande.gov.py/finanzas/2.%20COMPILACION%20ESTADISTICA%202003-2023/ANDE%20-%20Compilacion%20Estadistica%202003-2023.pdf</t>
        </is>
      </c>
      <c r="K245" t="inlineStr">
        <is>
          <t>https://data.worldbank.org/indicator/FP.CPI.TOTL?locations=PY</t>
        </is>
      </c>
      <c r="L245" t="inlineStr">
        <is>
          <t>https://data.worldbank.org/indicator/PA.NUS.FCRF?locations=PY</t>
        </is>
      </c>
    </row>
    <row r="246">
      <c r="A246" t="n">
        <v>2018</v>
      </c>
      <c r="B246" t="inlineStr">
        <is>
          <t>ANDE_TARIFF_PUBLIC_LIGHT</t>
        </is>
      </c>
      <c r="C246" s="24" t="n">
        <v>387.3</v>
      </c>
      <c r="D246" s="36">
        <f>'Macro_Annual'!B31</f>
        <v/>
      </c>
      <c r="E246" s="32">
        <f>'Macro_Annual'!D31</f>
        <v/>
      </c>
      <c r="F246" s="37">
        <f>IFERROR(C246*'Macro_Annual'!$B$38/D246,"")</f>
        <v/>
      </c>
      <c r="G246" s="38">
        <f>IFERROR(C246*1000/E246,"")</f>
        <v/>
      </c>
      <c r="H246" t="inlineStr">
        <is>
          <t>OFFICIAL_AGGREGATE</t>
        </is>
      </c>
      <c r="I246" t="inlineStr">
        <is>
          <t>BACKFILL PROVISIONAL</t>
        </is>
      </c>
      <c r="J246" t="inlineStr">
        <is>
          <t>https://www.ande.gov.py/finanzas/2.%20COMPILACION%20ESTADISTICA%202003-2023/ANDE%20-%20Compilacion%20Estadistica%202003-2023.pdf</t>
        </is>
      </c>
      <c r="K246" t="inlineStr">
        <is>
          <t>https://data.worldbank.org/indicator/FP.CPI.TOTL?locations=PY</t>
        </is>
      </c>
      <c r="L246" t="inlineStr">
        <is>
          <t>https://data.worldbank.org/indicator/PA.NUS.FCRF?locations=PY</t>
        </is>
      </c>
    </row>
    <row r="247">
      <c r="A247" t="n">
        <v>2018</v>
      </c>
      <c r="B247" t="inlineStr">
        <is>
          <t>ANDE_TARIFF_RESIDENTIAL</t>
        </is>
      </c>
      <c r="C247" s="24" t="n">
        <v>407.2</v>
      </c>
      <c r="D247" s="36">
        <f>'Macro_Annual'!B31</f>
        <v/>
      </c>
      <c r="E247" s="32">
        <f>'Macro_Annual'!D31</f>
        <v/>
      </c>
      <c r="F247" s="37">
        <f>IFERROR(C247*'Macro_Annual'!$B$38/D247,"")</f>
        <v/>
      </c>
      <c r="G247" s="38">
        <f>IFERROR(C247*1000/E247,"")</f>
        <v/>
      </c>
      <c r="H247" t="inlineStr">
        <is>
          <t>OFFICIAL_AGGREGATE</t>
        </is>
      </c>
      <c r="I247" t="inlineStr">
        <is>
          <t>BACKFILL PROVISIONAL</t>
        </is>
      </c>
      <c r="J247" t="inlineStr">
        <is>
          <t>https://www.ande.gov.py/finanzas/2.%20COMPILACION%20ESTADISTICA%202003-2023/ANDE%20-%20Compilacion%20Estadistica%202003-2023.pdf</t>
        </is>
      </c>
      <c r="K247" t="inlineStr">
        <is>
          <t>https://data.worldbank.org/indicator/FP.CPI.TOTL?locations=PY</t>
        </is>
      </c>
      <c r="L247" t="inlineStr">
        <is>
          <t>https://data.worldbank.org/indicator/PA.NUS.FCRF?locations=PY</t>
        </is>
      </c>
    </row>
    <row r="248">
      <c r="A248" t="n">
        <v>2019</v>
      </c>
      <c r="B248" t="inlineStr">
        <is>
          <t>ANDE_TARIFF_EXPORT_AVG</t>
        </is>
      </c>
      <c r="C248" s="24" t="n">
        <v>743.4</v>
      </c>
      <c r="D248" s="36">
        <f>'Macro_Annual'!B32</f>
        <v/>
      </c>
      <c r="E248" s="32">
        <f>'Macro_Annual'!D32</f>
        <v/>
      </c>
      <c r="F248" s="37">
        <f>IFERROR(C248*'Macro_Annual'!$B$38/D248,"")</f>
        <v/>
      </c>
      <c r="G248" s="38">
        <f>IFERROR(C248*1000/E248,"")</f>
        <v/>
      </c>
      <c r="H248" t="inlineStr">
        <is>
          <t>OFFICIAL_AGGREGATE</t>
        </is>
      </c>
      <c r="I248" t="inlineStr">
        <is>
          <t>BACKFILL PROVISIONAL</t>
        </is>
      </c>
      <c r="J248" t="inlineStr">
        <is>
          <t>https://www.ande.gov.py/finanzas/2.%20COMPILACION%20ESTADISTICA%202003-2023/ANDE%20-%20Compilacion%20Estadistica%202003-2023.pdf</t>
        </is>
      </c>
      <c r="K248" t="inlineStr">
        <is>
          <t>https://data.worldbank.org/indicator/FP.CPI.TOTL?locations=PY</t>
        </is>
      </c>
      <c r="L248" t="inlineStr">
        <is>
          <t>https://data.worldbank.org/indicator/PA.NUS.FCRF?locations=PY</t>
        </is>
      </c>
    </row>
    <row r="249">
      <c r="A249" t="n">
        <v>2019</v>
      </c>
      <c r="B249" t="inlineStr">
        <is>
          <t>ANDE_TARIFF_GENERAL_AVG</t>
        </is>
      </c>
      <c r="C249" s="24" t="n">
        <v>386.6</v>
      </c>
      <c r="D249" s="36">
        <f>'Macro_Annual'!B32</f>
        <v/>
      </c>
      <c r="E249" s="32">
        <f>'Macro_Annual'!D32</f>
        <v/>
      </c>
      <c r="F249" s="37">
        <f>IFERROR(C249*'Macro_Annual'!$B$38/D249,"")</f>
        <v/>
      </c>
      <c r="G249" s="38">
        <f>IFERROR(C249*1000/E249,"")</f>
        <v/>
      </c>
      <c r="H249" t="inlineStr">
        <is>
          <t>OFFICIAL_AGGREGATE</t>
        </is>
      </c>
      <c r="I249" t="inlineStr">
        <is>
          <t>BACKFILL PROVISIONAL</t>
        </is>
      </c>
      <c r="J249" t="inlineStr">
        <is>
          <t>https://www.ande.gov.py/finanzas/2.%20COMPILACION%20ESTADISTICA%202003-2023/ANDE%20-%20Compilacion%20Estadistica%202003-2023.pdf</t>
        </is>
      </c>
      <c r="K249" t="inlineStr">
        <is>
          <t>https://data.worldbank.org/indicator/FP.CPI.TOTL?locations=PY</t>
        </is>
      </c>
      <c r="L249" t="inlineStr">
        <is>
          <t>https://data.worldbank.org/indicator/PA.NUS.FCRF?locations=PY</t>
        </is>
      </c>
    </row>
    <row r="250">
      <c r="A250" t="n">
        <v>2019</v>
      </c>
      <c r="B250" t="inlineStr">
        <is>
          <t>ANDE_TARIFF_GOV</t>
        </is>
      </c>
      <c r="C250" s="24" t="n">
        <v>384.8</v>
      </c>
      <c r="D250" s="36">
        <f>'Macro_Annual'!B32</f>
        <v/>
      </c>
      <c r="E250" s="32">
        <f>'Macro_Annual'!D32</f>
        <v/>
      </c>
      <c r="F250" s="37">
        <f>IFERROR(C250*'Macro_Annual'!$B$38/D250,"")</f>
        <v/>
      </c>
      <c r="G250" s="38">
        <f>IFERROR(C250*1000/E250,"")</f>
        <v/>
      </c>
      <c r="H250" t="inlineStr">
        <is>
          <t>OFFICIAL_AGGREGATE</t>
        </is>
      </c>
      <c r="I250" t="inlineStr">
        <is>
          <t>BACKFILL PROVISIONAL</t>
        </is>
      </c>
      <c r="J250" t="inlineStr">
        <is>
          <t>https://www.ande.gov.py/finanzas/2.%20COMPILACION%20ESTADISTICA%202003-2023/ANDE%20-%20Compilacion%20Estadistica%202003-2023.pdf</t>
        </is>
      </c>
      <c r="K250" t="inlineStr">
        <is>
          <t>https://data.worldbank.org/indicator/FP.CPI.TOTL?locations=PY</t>
        </is>
      </c>
      <c r="L250" t="inlineStr">
        <is>
          <t>https://data.worldbank.org/indicator/PA.NUS.FCRF?locations=PY</t>
        </is>
      </c>
    </row>
    <row r="251">
      <c r="A251" t="n">
        <v>2019</v>
      </c>
      <c r="B251" t="inlineStr">
        <is>
          <t>ANDE_TARIFF_INDUSTRIAL</t>
        </is>
      </c>
      <c r="C251" s="24" t="n">
        <v>278.4</v>
      </c>
      <c r="D251" s="36">
        <f>'Macro_Annual'!B32</f>
        <v/>
      </c>
      <c r="E251" s="32">
        <f>'Macro_Annual'!D32</f>
        <v/>
      </c>
      <c r="F251" s="37">
        <f>IFERROR(C251*'Macro_Annual'!$B$38/D251,"")</f>
        <v/>
      </c>
      <c r="G251" s="38">
        <f>IFERROR(C251*1000/E251,"")</f>
        <v/>
      </c>
      <c r="H251" t="inlineStr">
        <is>
          <t>OFFICIAL_AGGREGATE</t>
        </is>
      </c>
      <c r="I251" t="inlineStr">
        <is>
          <t>BACKFILL PROVISIONAL</t>
        </is>
      </c>
      <c r="J251" t="inlineStr">
        <is>
          <t>https://www.ande.gov.py/finanzas/2.%20COMPILACION%20ESTADISTICA%202003-2023/ANDE%20-%20Compilacion%20Estadistica%202003-2023.pdf</t>
        </is>
      </c>
      <c r="K251" t="inlineStr">
        <is>
          <t>https://data.worldbank.org/indicator/FP.CPI.TOTL?locations=PY</t>
        </is>
      </c>
      <c r="L251" t="inlineStr">
        <is>
          <t>https://data.worldbank.org/indicator/PA.NUS.FCRF?locations=PY</t>
        </is>
      </c>
    </row>
    <row r="252">
      <c r="A252" t="n">
        <v>2019</v>
      </c>
      <c r="B252" t="inlineStr">
        <is>
          <t>ANDE_TARIFF_NATIONAL_AVG</t>
        </is>
      </c>
      <c r="C252" s="24" t="n">
        <v>383</v>
      </c>
      <c r="D252" s="36">
        <f>'Macro_Annual'!B32</f>
        <v/>
      </c>
      <c r="E252" s="32">
        <f>'Macro_Annual'!D32</f>
        <v/>
      </c>
      <c r="F252" s="37">
        <f>IFERROR(C252*'Macro_Annual'!$B$38/D252,"")</f>
        <v/>
      </c>
      <c r="G252" s="38">
        <f>IFERROR(C252*1000/E252,"")</f>
        <v/>
      </c>
      <c r="H252" t="inlineStr">
        <is>
          <t>OFFICIAL_AGGREGATE</t>
        </is>
      </c>
      <c r="I252" t="inlineStr">
        <is>
          <t>BACKFILL PROVISIONAL</t>
        </is>
      </c>
      <c r="J252" t="inlineStr">
        <is>
          <t>https://www.ande.gov.py/finanzas/2.%20COMPILACION%20ESTADISTICA%202003-2023/ANDE%20-%20Compilacion%20Estadistica%202003-2023.pdf</t>
        </is>
      </c>
      <c r="K252" t="inlineStr">
        <is>
          <t>https://data.worldbank.org/indicator/FP.CPI.TOTL?locations=PY</t>
        </is>
      </c>
      <c r="L252" t="inlineStr">
        <is>
          <t>https://data.worldbank.org/indicator/PA.NUS.FCRF?locations=PY</t>
        </is>
      </c>
    </row>
    <row r="253">
      <c r="A253" t="n">
        <v>2019</v>
      </c>
      <c r="B253" t="inlineStr">
        <is>
          <t>ANDE_TARIFF_OTHER</t>
        </is>
      </c>
      <c r="C253" s="24" t="n">
        <v>365.7</v>
      </c>
      <c r="D253" s="36">
        <f>'Macro_Annual'!B32</f>
        <v/>
      </c>
      <c r="E253" s="32">
        <f>'Macro_Annual'!D32</f>
        <v/>
      </c>
      <c r="F253" s="37">
        <f>IFERROR(C253*'Macro_Annual'!$B$38/D253,"")</f>
        <v/>
      </c>
      <c r="G253" s="38">
        <f>IFERROR(C253*1000/E253,"")</f>
        <v/>
      </c>
      <c r="H253" t="inlineStr">
        <is>
          <t>OFFICIAL_AGGREGATE</t>
        </is>
      </c>
      <c r="I253" t="inlineStr">
        <is>
          <t>BACKFILL PROVISIONAL</t>
        </is>
      </c>
      <c r="J253" t="inlineStr">
        <is>
          <t>https://www.ande.gov.py/finanzas/2.%20COMPILACION%20ESTADISTICA%202003-2023/ANDE%20-%20Compilacion%20Estadistica%202003-2023.pdf</t>
        </is>
      </c>
      <c r="K253" t="inlineStr">
        <is>
          <t>https://data.worldbank.org/indicator/FP.CPI.TOTL?locations=PY</t>
        </is>
      </c>
      <c r="L253" t="inlineStr">
        <is>
          <t>https://data.worldbank.org/indicator/PA.NUS.FCRF?locations=PY</t>
        </is>
      </c>
    </row>
    <row r="254">
      <c r="A254" t="n">
        <v>2019</v>
      </c>
      <c r="B254" t="inlineStr">
        <is>
          <t>ANDE_TARIFF_PUBLIC_LIGHT</t>
        </is>
      </c>
      <c r="C254" s="24" t="n">
        <v>387.3</v>
      </c>
      <c r="D254" s="36">
        <f>'Macro_Annual'!B32</f>
        <v/>
      </c>
      <c r="E254" s="32">
        <f>'Macro_Annual'!D32</f>
        <v/>
      </c>
      <c r="F254" s="37">
        <f>IFERROR(C254*'Macro_Annual'!$B$38/D254,"")</f>
        <v/>
      </c>
      <c r="G254" s="38">
        <f>IFERROR(C254*1000/E254,"")</f>
        <v/>
      </c>
      <c r="H254" t="inlineStr">
        <is>
          <t>OFFICIAL_AGGREGATE</t>
        </is>
      </c>
      <c r="I254" t="inlineStr">
        <is>
          <t>BACKFILL PROVISIONAL</t>
        </is>
      </c>
      <c r="J254" t="inlineStr">
        <is>
          <t>https://www.ande.gov.py/finanzas/2.%20COMPILACION%20ESTADISTICA%202003-2023/ANDE%20-%20Compilacion%20Estadistica%202003-2023.pdf</t>
        </is>
      </c>
      <c r="K254" t="inlineStr">
        <is>
          <t>https://data.worldbank.org/indicator/FP.CPI.TOTL?locations=PY</t>
        </is>
      </c>
      <c r="L254" t="inlineStr">
        <is>
          <t>https://data.worldbank.org/indicator/PA.NUS.FCRF?locations=PY</t>
        </is>
      </c>
    </row>
    <row r="255">
      <c r="A255" t="n">
        <v>2019</v>
      </c>
      <c r="B255" t="inlineStr">
        <is>
          <t>ANDE_TARIFF_RESIDENTIAL</t>
        </is>
      </c>
      <c r="C255" s="24" t="n">
        <v>425.7</v>
      </c>
      <c r="D255" s="36">
        <f>'Macro_Annual'!B32</f>
        <v/>
      </c>
      <c r="E255" s="32">
        <f>'Macro_Annual'!D32</f>
        <v/>
      </c>
      <c r="F255" s="37">
        <f>IFERROR(C255*'Macro_Annual'!$B$38/D255,"")</f>
        <v/>
      </c>
      <c r="G255" s="38">
        <f>IFERROR(C255*1000/E255,"")</f>
        <v/>
      </c>
      <c r="H255" t="inlineStr">
        <is>
          <t>OFFICIAL_AGGREGATE</t>
        </is>
      </c>
      <c r="I255" t="inlineStr">
        <is>
          <t>BACKFILL PROVISIONAL</t>
        </is>
      </c>
      <c r="J255" t="inlineStr">
        <is>
          <t>https://www.ande.gov.py/finanzas/2.%20COMPILACION%20ESTADISTICA%202003-2023/ANDE%20-%20Compilacion%20Estadistica%202003-2023.pdf</t>
        </is>
      </c>
      <c r="K255" t="inlineStr">
        <is>
          <t>https://data.worldbank.org/indicator/FP.CPI.TOTL?locations=PY</t>
        </is>
      </c>
      <c r="L255" t="inlineStr">
        <is>
          <t>https://data.worldbank.org/indicator/PA.NUS.FCRF?locations=PY</t>
        </is>
      </c>
    </row>
    <row r="256">
      <c r="A256" t="n">
        <v>2020</v>
      </c>
      <c r="B256" t="inlineStr">
        <is>
          <t>ANDE_TARIFF_DIFFERENTIAL</t>
        </is>
      </c>
      <c r="C256" s="24" t="n">
        <v>410.1</v>
      </c>
      <c r="D256" s="36">
        <f>'Macro_Annual'!B33</f>
        <v/>
      </c>
      <c r="E256" s="32">
        <f>'Macro_Annual'!D33</f>
        <v/>
      </c>
      <c r="F256" s="37">
        <f>IFERROR(C256*'Macro_Annual'!$B$38/D256,"")</f>
        <v/>
      </c>
      <c r="G256" s="38">
        <f>IFERROR(C256*1000/E256,"")</f>
        <v/>
      </c>
      <c r="H256" t="inlineStr">
        <is>
          <t>OFFICIAL_AGGREGATE</t>
        </is>
      </c>
      <c r="I256" t="inlineStr">
        <is>
          <t>BACKFILL PROVISIONAL</t>
        </is>
      </c>
      <c r="J256" t="inlineStr">
        <is>
          <t>https://www.ande.gov.py/finanzas/ANDE%20-%20Resumen%20Estad%C3%ADstico%202020%20-%202024.pdf</t>
        </is>
      </c>
      <c r="K256" t="inlineStr">
        <is>
          <t>https://data.worldbank.org/indicator/FP.CPI.TOTL?locations=PY</t>
        </is>
      </c>
      <c r="L256" t="inlineStr">
        <is>
          <t>https://data.worldbank.org/indicator/PA.NUS.FCRF?locations=PY</t>
        </is>
      </c>
    </row>
    <row r="257">
      <c r="A257" t="n">
        <v>2020</v>
      </c>
      <c r="B257" t="inlineStr">
        <is>
          <t>ANDE_TARIFF_ELECTROINTENSIVE</t>
        </is>
      </c>
      <c r="C257" s="24" t="n">
        <v>216.2</v>
      </c>
      <c r="D257" s="36">
        <f>'Macro_Annual'!B33</f>
        <v/>
      </c>
      <c r="E257" s="32">
        <f>'Macro_Annual'!D33</f>
        <v/>
      </c>
      <c r="F257" s="37">
        <f>IFERROR(C257*'Macro_Annual'!$B$38/D257,"")</f>
        <v/>
      </c>
      <c r="G257" s="38">
        <f>IFERROR(C257*1000/E257,"")</f>
        <v/>
      </c>
      <c r="H257" t="inlineStr">
        <is>
          <t>OFFICIAL_AGGREGATE</t>
        </is>
      </c>
      <c r="I257" t="inlineStr">
        <is>
          <t>BACKFILL PROVISIONAL</t>
        </is>
      </c>
      <c r="J257" t="inlineStr">
        <is>
          <t>https://www.ande.gov.py/finanzas/ANDE%20-%20Resumen%20Estad%C3%ADstico%202020%20-%202024.pdf</t>
        </is>
      </c>
      <c r="K257" t="inlineStr">
        <is>
          <t>https://data.worldbank.org/indicator/FP.CPI.TOTL?locations=PY</t>
        </is>
      </c>
      <c r="L257" t="inlineStr">
        <is>
          <t>https://data.worldbank.org/indicator/PA.NUS.FCRF?locations=PY</t>
        </is>
      </c>
    </row>
    <row r="258">
      <c r="A258" t="n">
        <v>2020</v>
      </c>
      <c r="B258" t="inlineStr">
        <is>
          <t>ANDE_TARIFF_EXPORT_AVG</t>
        </is>
      </c>
      <c r="C258" s="24" t="n">
        <v>805.3</v>
      </c>
      <c r="D258" s="36">
        <f>'Macro_Annual'!B33</f>
        <v/>
      </c>
      <c r="E258" s="32">
        <f>'Macro_Annual'!D33</f>
        <v/>
      </c>
      <c r="F258" s="37">
        <f>IFERROR(C258*'Macro_Annual'!$B$38/D258,"")</f>
        <v/>
      </c>
      <c r="G258" s="38">
        <f>IFERROR(C258*1000/E258,"")</f>
        <v/>
      </c>
      <c r="H258" t="inlineStr">
        <is>
          <t>OFFICIAL_AGGREGATE</t>
        </is>
      </c>
      <c r="I258" t="inlineStr">
        <is>
          <t>BACKFILL PROVISIONAL</t>
        </is>
      </c>
      <c r="J258" t="inlineStr">
        <is>
          <t>https://www.ande.gov.py/finanzas/ANDE%20-%20Resumen%20Estad%C3%ADstico%202020%20-%202024.pdf</t>
        </is>
      </c>
      <c r="K258" t="inlineStr">
        <is>
          <t>https://data.worldbank.org/indicator/FP.CPI.TOTL?locations=PY</t>
        </is>
      </c>
      <c r="L258" t="inlineStr">
        <is>
          <t>https://data.worldbank.org/indicator/PA.NUS.FCRF?locations=PY</t>
        </is>
      </c>
    </row>
    <row r="259">
      <c r="A259" t="n">
        <v>2020</v>
      </c>
      <c r="B259" t="inlineStr">
        <is>
          <t>ANDE_TARIFF_GENERAL_AVG</t>
        </is>
      </c>
      <c r="C259" s="24" t="n">
        <v>383</v>
      </c>
      <c r="D259" s="36">
        <f>'Macro_Annual'!B33</f>
        <v/>
      </c>
      <c r="E259" s="32">
        <f>'Macro_Annual'!D33</f>
        <v/>
      </c>
      <c r="F259" s="37">
        <f>IFERROR(C259*'Macro_Annual'!$B$38/D259,"")</f>
        <v/>
      </c>
      <c r="G259" s="38">
        <f>IFERROR(C259*1000/E259,"")</f>
        <v/>
      </c>
      <c r="H259" t="inlineStr">
        <is>
          <t>OFFICIAL_AGGREGATE</t>
        </is>
      </c>
      <c r="I259" t="inlineStr">
        <is>
          <t>BACKFILL PROVISIONAL</t>
        </is>
      </c>
      <c r="J259" t="inlineStr">
        <is>
          <t>https://www.ande.gov.py/finanzas/ANDE%20-%20Resumen%20Estad%C3%ADstico%202020%20-%202024.pdf</t>
        </is>
      </c>
      <c r="K259" t="inlineStr">
        <is>
          <t>https://data.worldbank.org/indicator/FP.CPI.TOTL?locations=PY</t>
        </is>
      </c>
      <c r="L259" t="inlineStr">
        <is>
          <t>https://data.worldbank.org/indicator/PA.NUS.FCRF?locations=PY</t>
        </is>
      </c>
    </row>
    <row r="260">
      <c r="A260" t="n">
        <v>2020</v>
      </c>
      <c r="B260" t="inlineStr">
        <is>
          <t>ANDE_TARIFF_GOV</t>
        </is>
      </c>
      <c r="C260" s="24" t="n">
        <v>366.8</v>
      </c>
      <c r="D260" s="36">
        <f>'Macro_Annual'!B33</f>
        <v/>
      </c>
      <c r="E260" s="32">
        <f>'Macro_Annual'!D33</f>
        <v/>
      </c>
      <c r="F260" s="37">
        <f>IFERROR(C260*'Macro_Annual'!$B$38/D260,"")</f>
        <v/>
      </c>
      <c r="G260" s="38">
        <f>IFERROR(C260*1000/E260,"")</f>
        <v/>
      </c>
      <c r="H260" t="inlineStr">
        <is>
          <t>OFFICIAL_AGGREGATE</t>
        </is>
      </c>
      <c r="I260" t="inlineStr">
        <is>
          <t>BACKFILL PROVISIONAL</t>
        </is>
      </c>
      <c r="J260" t="inlineStr">
        <is>
          <t>https://www.ande.gov.py/finanzas/ANDE%20-%20Resumen%20Estad%C3%ADstico%202020%20-%202024.pdf</t>
        </is>
      </c>
      <c r="K260" t="inlineStr">
        <is>
          <t>https://data.worldbank.org/indicator/FP.CPI.TOTL?locations=PY</t>
        </is>
      </c>
      <c r="L260" t="inlineStr">
        <is>
          <t>https://data.worldbank.org/indicator/PA.NUS.FCRF?locations=PY</t>
        </is>
      </c>
    </row>
    <row r="261">
      <c r="A261" t="n">
        <v>2020</v>
      </c>
      <c r="B261" t="inlineStr">
        <is>
          <t>ANDE_TARIFF_HIGH_VOLTAGE</t>
        </is>
      </c>
      <c r="C261" s="24" t="n">
        <v>247</v>
      </c>
      <c r="D261" s="36">
        <f>'Macro_Annual'!B33</f>
        <v/>
      </c>
      <c r="E261" s="32">
        <f>'Macro_Annual'!D33</f>
        <v/>
      </c>
      <c r="F261" s="37">
        <f>IFERROR(C261*'Macro_Annual'!$B$38/D261,"")</f>
        <v/>
      </c>
      <c r="G261" s="38">
        <f>IFERROR(C261*1000/E261,"")</f>
        <v/>
      </c>
      <c r="H261" t="inlineStr">
        <is>
          <t>OFFICIAL_AGGREGATE</t>
        </is>
      </c>
      <c r="I261" t="inlineStr">
        <is>
          <t>BACKFILL PROVISIONAL</t>
        </is>
      </c>
      <c r="J261" t="inlineStr">
        <is>
          <t>https://www.ande.gov.py/finanzas/ANDE%20-%20Resumen%20Estad%C3%ADstico%202020%20-%202024.pdf</t>
        </is>
      </c>
      <c r="K261" t="inlineStr">
        <is>
          <t>https://data.worldbank.org/indicator/FP.CPI.TOTL?locations=PY</t>
        </is>
      </c>
      <c r="L261" t="inlineStr">
        <is>
          <t>https://data.worldbank.org/indicator/PA.NUS.FCRF?locations=PY</t>
        </is>
      </c>
    </row>
    <row r="262">
      <c r="A262" t="n">
        <v>2020</v>
      </c>
      <c r="B262" t="inlineStr">
        <is>
          <t>ANDE_TARIFF_INDUSTRIAL</t>
        </is>
      </c>
      <c r="C262" s="24" t="n">
        <v>299.8</v>
      </c>
      <c r="D262" s="36">
        <f>'Macro_Annual'!B33</f>
        <v/>
      </c>
      <c r="E262" s="32">
        <f>'Macro_Annual'!D33</f>
        <v/>
      </c>
      <c r="F262" s="37">
        <f>IFERROR(C262*'Macro_Annual'!$B$38/D262,"")</f>
        <v/>
      </c>
      <c r="G262" s="38">
        <f>IFERROR(C262*1000/E262,"")</f>
        <v/>
      </c>
      <c r="H262" t="inlineStr">
        <is>
          <t>OFFICIAL_AGGREGATE</t>
        </is>
      </c>
      <c r="I262" t="inlineStr">
        <is>
          <t>BACKFILL PROVISIONAL</t>
        </is>
      </c>
      <c r="J262" t="inlineStr">
        <is>
          <t>https://www.ande.gov.py/finanzas/ANDE%20-%20Resumen%20Estad%C3%ADstico%202020%20-%202024.pdf</t>
        </is>
      </c>
      <c r="K262" t="inlineStr">
        <is>
          <t>https://data.worldbank.org/indicator/FP.CPI.TOTL?locations=PY</t>
        </is>
      </c>
      <c r="L262" t="inlineStr">
        <is>
          <t>https://data.worldbank.org/indicator/PA.NUS.FCRF?locations=PY</t>
        </is>
      </c>
    </row>
    <row r="263">
      <c r="A263" t="n">
        <v>2020</v>
      </c>
      <c r="B263" t="inlineStr">
        <is>
          <t>ANDE_TARIFF_NATIONAL_AVG</t>
        </is>
      </c>
      <c r="C263" s="24" t="n">
        <v>378.4</v>
      </c>
      <c r="D263" s="36">
        <f>'Macro_Annual'!B33</f>
        <v/>
      </c>
      <c r="E263" s="32">
        <f>'Macro_Annual'!D33</f>
        <v/>
      </c>
      <c r="F263" s="37">
        <f>IFERROR(C263*'Macro_Annual'!$B$38/D263,"")</f>
        <v/>
      </c>
      <c r="G263" s="38">
        <f>IFERROR(C263*1000/E263,"")</f>
        <v/>
      </c>
      <c r="H263" t="inlineStr">
        <is>
          <t>OFFICIAL_AGGREGATE</t>
        </is>
      </c>
      <c r="I263" t="inlineStr">
        <is>
          <t>BACKFILL PROVISIONAL</t>
        </is>
      </c>
      <c r="J263" t="inlineStr">
        <is>
          <t>https://www.ande.gov.py/finanzas/ANDE%20-%20Resumen%20Estad%C3%ADstico%202020%20-%202024.pdf</t>
        </is>
      </c>
      <c r="K263" t="inlineStr">
        <is>
          <t>https://data.worldbank.org/indicator/FP.CPI.TOTL?locations=PY</t>
        </is>
      </c>
      <c r="L263" t="inlineStr">
        <is>
          <t>https://data.worldbank.org/indicator/PA.NUS.FCRF?locations=PY</t>
        </is>
      </c>
    </row>
    <row r="264">
      <c r="A264" t="n">
        <v>2020</v>
      </c>
      <c r="B264" t="inlineStr">
        <is>
          <t>ANDE_TARIFF_OTHER</t>
        </is>
      </c>
      <c r="C264" s="24" t="n">
        <v>366</v>
      </c>
      <c r="D264" s="36">
        <f>'Macro_Annual'!B33</f>
        <v/>
      </c>
      <c r="E264" s="32">
        <f>'Macro_Annual'!D33</f>
        <v/>
      </c>
      <c r="F264" s="37">
        <f>IFERROR(C264*'Macro_Annual'!$B$38/D264,"")</f>
        <v/>
      </c>
      <c r="G264" s="38">
        <f>IFERROR(C264*1000/E264,"")</f>
        <v/>
      </c>
      <c r="H264" t="inlineStr">
        <is>
          <t>OFFICIAL_AGGREGATE</t>
        </is>
      </c>
      <c r="I264" t="inlineStr">
        <is>
          <t>BACKFILL PROVISIONAL</t>
        </is>
      </c>
      <c r="J264" t="inlineStr">
        <is>
          <t>https://www.ande.gov.py/finanzas/ANDE%20-%20Resumen%20Estad%C3%ADstico%202020%20-%202024.pdf</t>
        </is>
      </c>
      <c r="K264" t="inlineStr">
        <is>
          <t>https://data.worldbank.org/indicator/FP.CPI.TOTL?locations=PY</t>
        </is>
      </c>
      <c r="L264" t="inlineStr">
        <is>
          <t>https://data.worldbank.org/indicator/PA.NUS.FCRF?locations=PY</t>
        </is>
      </c>
    </row>
    <row r="265">
      <c r="A265" t="n">
        <v>2020</v>
      </c>
      <c r="B265" t="inlineStr">
        <is>
          <t>ANDE_TARIFF_PUBLIC_LIGHT</t>
        </is>
      </c>
      <c r="C265" s="24" t="n">
        <v>387.3</v>
      </c>
      <c r="D265" s="36">
        <f>'Macro_Annual'!B33</f>
        <v/>
      </c>
      <c r="E265" s="32">
        <f>'Macro_Annual'!D33</f>
        <v/>
      </c>
      <c r="F265" s="37">
        <f>IFERROR(C265*'Macro_Annual'!$B$38/D265,"")</f>
        <v/>
      </c>
      <c r="G265" s="38">
        <f>IFERROR(C265*1000/E265,"")</f>
        <v/>
      </c>
      <c r="H265" t="inlineStr">
        <is>
          <t>OFFICIAL_AGGREGATE</t>
        </is>
      </c>
      <c r="I265" t="inlineStr">
        <is>
          <t>BACKFILL PROVISIONAL</t>
        </is>
      </c>
      <c r="J265" t="inlineStr">
        <is>
          <t>https://www.ande.gov.py/finanzas/ANDE%20-%20Resumen%20Estad%C3%ADstico%202020%20-%202024.pdf</t>
        </is>
      </c>
      <c r="K265" t="inlineStr">
        <is>
          <t>https://data.worldbank.org/indicator/FP.CPI.TOTL?locations=PY</t>
        </is>
      </c>
      <c r="L265" t="inlineStr">
        <is>
          <t>https://data.worldbank.org/indicator/PA.NUS.FCRF?locations=PY</t>
        </is>
      </c>
    </row>
    <row r="266">
      <c r="A266" t="n">
        <v>2020</v>
      </c>
      <c r="B266" t="inlineStr">
        <is>
          <t>ANDE_TARIFF_RESIDENTIAL</t>
        </is>
      </c>
      <c r="C266" s="24" t="n">
        <v>411.3</v>
      </c>
      <c r="D266" s="36">
        <f>'Macro_Annual'!B33</f>
        <v/>
      </c>
      <c r="E266" s="32">
        <f>'Macro_Annual'!D33</f>
        <v/>
      </c>
      <c r="F266" s="37">
        <f>IFERROR(C266*'Macro_Annual'!$B$38/D266,"")</f>
        <v/>
      </c>
      <c r="G266" s="38">
        <f>IFERROR(C266*1000/E266,"")</f>
        <v/>
      </c>
      <c r="H266" t="inlineStr">
        <is>
          <t>OFFICIAL_AGGREGATE</t>
        </is>
      </c>
      <c r="I266" t="inlineStr">
        <is>
          <t>BACKFILL PROVISIONAL</t>
        </is>
      </c>
      <c r="J266" t="inlineStr">
        <is>
          <t>https://www.ande.gov.py/finanzas/ANDE%20-%20Resumen%20Estad%C3%ADstico%202020%20-%202024.pdf</t>
        </is>
      </c>
      <c r="K266" t="inlineStr">
        <is>
          <t>https://data.worldbank.org/indicator/FP.CPI.TOTL?locations=PY</t>
        </is>
      </c>
      <c r="L266" t="inlineStr">
        <is>
          <t>https://data.worldbank.org/indicator/PA.NUS.FCRF?locations=PY</t>
        </is>
      </c>
    </row>
    <row r="267">
      <c r="A267" t="n">
        <v>2020</v>
      </c>
      <c r="B267" t="inlineStr">
        <is>
          <t>ANDE_TARIFF_SPECIAL_INTENSIVE</t>
        </is>
      </c>
      <c r="C267" s="24" t="n">
        <v>0</v>
      </c>
      <c r="D267" s="36">
        <f>'Macro_Annual'!B33</f>
        <v/>
      </c>
      <c r="E267" s="32">
        <f>'Macro_Annual'!D33</f>
        <v/>
      </c>
      <c r="F267" s="37">
        <f>IFERROR(C267*'Macro_Annual'!$B$38/D267,"")</f>
        <v/>
      </c>
      <c r="G267" s="38">
        <f>IFERROR(C267*1000/E267,"")</f>
        <v/>
      </c>
      <c r="H267" t="inlineStr">
        <is>
          <t>OFFICIAL_AGGREGATE</t>
        </is>
      </c>
      <c r="I267" t="inlineStr">
        <is>
          <t>BACKFILL PROVISIONAL</t>
        </is>
      </c>
      <c r="J267" t="inlineStr">
        <is>
          <t>https://www.ande.gov.py/finanzas/ANDE%20-%20Resumen%20Estad%C3%ADstico%202020%20-%202024.pdf</t>
        </is>
      </c>
      <c r="K267" t="inlineStr">
        <is>
          <t>https://data.worldbank.org/indicator/FP.CPI.TOTL?locations=PY</t>
        </is>
      </c>
      <c r="L267" t="inlineStr">
        <is>
          <t>https://data.worldbank.org/indicator/PA.NUS.FCRF?locations=PY</t>
        </is>
      </c>
    </row>
    <row r="268">
      <c r="A268" t="n">
        <v>2020</v>
      </c>
      <c r="B268" t="inlineStr">
        <is>
          <t>ANDE_TARIFF_VERY_HIGH_VOLTAGE</t>
        </is>
      </c>
      <c r="C268" s="24" t="n">
        <v>249.8</v>
      </c>
      <c r="D268" s="36">
        <f>'Macro_Annual'!B33</f>
        <v/>
      </c>
      <c r="E268" s="32">
        <f>'Macro_Annual'!D33</f>
        <v/>
      </c>
      <c r="F268" s="37">
        <f>IFERROR(C268*'Macro_Annual'!$B$38/D268,"")</f>
        <v/>
      </c>
      <c r="G268" s="38">
        <f>IFERROR(C268*1000/E268,"")</f>
        <v/>
      </c>
      <c r="H268" t="inlineStr">
        <is>
          <t>OFFICIAL_AGGREGATE</t>
        </is>
      </c>
      <c r="I268" t="inlineStr">
        <is>
          <t>BACKFILL PROVISIONAL</t>
        </is>
      </c>
      <c r="J268" t="inlineStr">
        <is>
          <t>https://www.ande.gov.py/finanzas/ANDE%20-%20Resumen%20Estad%C3%ADstico%202020%20-%202024.pdf</t>
        </is>
      </c>
      <c r="K268" t="inlineStr">
        <is>
          <t>https://data.worldbank.org/indicator/FP.CPI.TOTL?locations=PY</t>
        </is>
      </c>
      <c r="L268" t="inlineStr">
        <is>
          <t>https://data.worldbank.org/indicator/PA.NUS.FCRF?locations=PY</t>
        </is>
      </c>
    </row>
    <row r="269">
      <c r="A269" t="n">
        <v>2021</v>
      </c>
      <c r="B269" t="inlineStr">
        <is>
          <t>ANDE_TARIFF_DIFFERENTIAL</t>
        </is>
      </c>
      <c r="C269" s="24" t="n">
        <v>393.1</v>
      </c>
      <c r="D269" s="36">
        <f>'Macro_Annual'!B34</f>
        <v/>
      </c>
      <c r="E269" s="32">
        <f>'Macro_Annual'!D34</f>
        <v/>
      </c>
      <c r="F269" s="37">
        <f>IFERROR(C269*'Macro_Annual'!$B$38/D269,"")</f>
        <v/>
      </c>
      <c r="G269" s="38">
        <f>IFERROR(C269*1000/E269,"")</f>
        <v/>
      </c>
      <c r="H269" t="inlineStr">
        <is>
          <t>OFFICIAL_AGGREGATE</t>
        </is>
      </c>
      <c r="I269" t="inlineStr">
        <is>
          <t>BACKFILL PROVISIONAL</t>
        </is>
      </c>
      <c r="J269" t="inlineStr">
        <is>
          <t>https://www.ande.gov.py/finanzas/ANDE%20-%20Resumen%20Estad%C3%ADstico%202020%20-%202024.pdf</t>
        </is>
      </c>
      <c r="K269" t="inlineStr">
        <is>
          <t>https://data.worldbank.org/indicator/FP.CPI.TOTL?locations=PY</t>
        </is>
      </c>
      <c r="L269" t="inlineStr">
        <is>
          <t>https://data.worldbank.org/indicator/PA.NUS.FCRF?locations=PY</t>
        </is>
      </c>
    </row>
    <row r="270">
      <c r="A270" t="n">
        <v>2021</v>
      </c>
      <c r="B270" t="inlineStr">
        <is>
          <t>ANDE_TARIFF_ELECTROINTENSIVE</t>
        </is>
      </c>
      <c r="C270" s="24" t="n">
        <v>248.4</v>
      </c>
      <c r="D270" s="36">
        <f>'Macro_Annual'!B34</f>
        <v/>
      </c>
      <c r="E270" s="32">
        <f>'Macro_Annual'!D34</f>
        <v/>
      </c>
      <c r="F270" s="37">
        <f>IFERROR(C270*'Macro_Annual'!$B$38/D270,"")</f>
        <v/>
      </c>
      <c r="G270" s="38">
        <f>IFERROR(C270*1000/E270,"")</f>
        <v/>
      </c>
      <c r="H270" t="inlineStr">
        <is>
          <t>OFFICIAL_AGGREGATE</t>
        </is>
      </c>
      <c r="I270" t="inlineStr">
        <is>
          <t>BACKFILL PROVISIONAL</t>
        </is>
      </c>
      <c r="J270" t="inlineStr">
        <is>
          <t>https://www.ande.gov.py/finanzas/ANDE%20-%20Resumen%20Estad%C3%ADstico%202020%20-%202024.pdf</t>
        </is>
      </c>
      <c r="K270" t="inlineStr">
        <is>
          <t>https://data.worldbank.org/indicator/FP.CPI.TOTL?locations=PY</t>
        </is>
      </c>
      <c r="L270" t="inlineStr">
        <is>
          <t>https://data.worldbank.org/indicator/PA.NUS.FCRF?locations=PY</t>
        </is>
      </c>
    </row>
    <row r="271">
      <c r="A271" t="n">
        <v>2021</v>
      </c>
      <c r="B271" t="inlineStr">
        <is>
          <t>ANDE_TARIFF_EXPORT_AVG</t>
        </is>
      </c>
      <c r="C271" s="24" t="n">
        <v>804.4</v>
      </c>
      <c r="D271" s="36">
        <f>'Macro_Annual'!B34</f>
        <v/>
      </c>
      <c r="E271" s="32">
        <f>'Macro_Annual'!D34</f>
        <v/>
      </c>
      <c r="F271" s="37">
        <f>IFERROR(C271*'Macro_Annual'!$B$38/D271,"")</f>
        <v/>
      </c>
      <c r="G271" s="38">
        <f>IFERROR(C271*1000/E271,"")</f>
        <v/>
      </c>
      <c r="H271" t="inlineStr">
        <is>
          <t>OFFICIAL_AGGREGATE</t>
        </is>
      </c>
      <c r="I271" t="inlineStr">
        <is>
          <t>BACKFILL PROVISIONAL</t>
        </is>
      </c>
      <c r="J271" t="inlineStr">
        <is>
          <t>https://www.ande.gov.py/finanzas/ANDE%20-%20Resumen%20Estad%C3%ADstico%202020%20-%202024.pdf</t>
        </is>
      </c>
      <c r="K271" t="inlineStr">
        <is>
          <t>https://data.worldbank.org/indicator/FP.CPI.TOTL?locations=PY</t>
        </is>
      </c>
      <c r="L271" t="inlineStr">
        <is>
          <t>https://data.worldbank.org/indicator/PA.NUS.FCRF?locations=PY</t>
        </is>
      </c>
    </row>
    <row r="272">
      <c r="A272" t="n">
        <v>2021</v>
      </c>
      <c r="B272" t="inlineStr">
        <is>
          <t>ANDE_TARIFF_GENERAL_AVG</t>
        </is>
      </c>
      <c r="C272" s="24" t="n">
        <v>377.9</v>
      </c>
      <c r="D272" s="36">
        <f>'Macro_Annual'!B34</f>
        <v/>
      </c>
      <c r="E272" s="32">
        <f>'Macro_Annual'!D34</f>
        <v/>
      </c>
      <c r="F272" s="37">
        <f>IFERROR(C272*'Macro_Annual'!$B$38/D272,"")</f>
        <v/>
      </c>
      <c r="G272" s="38">
        <f>IFERROR(C272*1000/E272,"")</f>
        <v/>
      </c>
      <c r="H272" t="inlineStr">
        <is>
          <t>OFFICIAL_AGGREGATE</t>
        </is>
      </c>
      <c r="I272" t="inlineStr">
        <is>
          <t>BACKFILL PROVISIONAL</t>
        </is>
      </c>
      <c r="J272" t="inlineStr">
        <is>
          <t>https://www.ande.gov.py/finanzas/ANDE%20-%20Resumen%20Estad%C3%ADstico%202020%20-%202024.pdf</t>
        </is>
      </c>
      <c r="K272" t="inlineStr">
        <is>
          <t>https://data.worldbank.org/indicator/FP.CPI.TOTL?locations=PY</t>
        </is>
      </c>
      <c r="L272" t="inlineStr">
        <is>
          <t>https://data.worldbank.org/indicator/PA.NUS.FCRF?locations=PY</t>
        </is>
      </c>
    </row>
    <row r="273">
      <c r="A273" t="n">
        <v>2021</v>
      </c>
      <c r="B273" t="inlineStr">
        <is>
          <t>ANDE_TARIFF_GOV</t>
        </is>
      </c>
      <c r="C273" s="24" t="n">
        <v>359</v>
      </c>
      <c r="D273" s="36">
        <f>'Macro_Annual'!B34</f>
        <v/>
      </c>
      <c r="E273" s="32">
        <f>'Macro_Annual'!D34</f>
        <v/>
      </c>
      <c r="F273" s="37">
        <f>IFERROR(C273*'Macro_Annual'!$B$38/D273,"")</f>
        <v/>
      </c>
      <c r="G273" s="38">
        <f>IFERROR(C273*1000/E273,"")</f>
        <v/>
      </c>
      <c r="H273" t="inlineStr">
        <is>
          <t>OFFICIAL_AGGREGATE</t>
        </is>
      </c>
      <c r="I273" t="inlineStr">
        <is>
          <t>BACKFILL PROVISIONAL</t>
        </is>
      </c>
      <c r="J273" t="inlineStr">
        <is>
          <t>https://www.ande.gov.py/finanzas/ANDE%20-%20Resumen%20Estad%C3%ADstico%202020%20-%202024.pdf</t>
        </is>
      </c>
      <c r="K273" t="inlineStr">
        <is>
          <t>https://data.worldbank.org/indicator/FP.CPI.TOTL?locations=PY</t>
        </is>
      </c>
      <c r="L273" t="inlineStr">
        <is>
          <t>https://data.worldbank.org/indicator/PA.NUS.FCRF?locations=PY</t>
        </is>
      </c>
    </row>
    <row r="274">
      <c r="A274" t="n">
        <v>2021</v>
      </c>
      <c r="B274" t="inlineStr">
        <is>
          <t>ANDE_TARIFF_HIGH_VOLTAGE</t>
        </is>
      </c>
      <c r="C274" s="24" t="n">
        <v>235</v>
      </c>
      <c r="D274" s="36">
        <f>'Macro_Annual'!B34</f>
        <v/>
      </c>
      <c r="E274" s="32">
        <f>'Macro_Annual'!D34</f>
        <v/>
      </c>
      <c r="F274" s="37">
        <f>IFERROR(C274*'Macro_Annual'!$B$38/D274,"")</f>
        <v/>
      </c>
      <c r="G274" s="38">
        <f>IFERROR(C274*1000/E274,"")</f>
        <v/>
      </c>
      <c r="H274" t="inlineStr">
        <is>
          <t>OFFICIAL_AGGREGATE</t>
        </is>
      </c>
      <c r="I274" t="inlineStr">
        <is>
          <t>BACKFILL PROVISIONAL</t>
        </is>
      </c>
      <c r="J274" t="inlineStr">
        <is>
          <t>https://www.ande.gov.py/finanzas/ANDE%20-%20Resumen%20Estad%C3%ADstico%202020%20-%202024.pdf</t>
        </is>
      </c>
      <c r="K274" t="inlineStr">
        <is>
          <t>https://data.worldbank.org/indicator/FP.CPI.TOTL?locations=PY</t>
        </is>
      </c>
      <c r="L274" t="inlineStr">
        <is>
          <t>https://data.worldbank.org/indicator/PA.NUS.FCRF?locations=PY</t>
        </is>
      </c>
    </row>
    <row r="275">
      <c r="A275" t="n">
        <v>2021</v>
      </c>
      <c r="B275" t="inlineStr">
        <is>
          <t>ANDE_TARIFF_INDUSTRIAL</t>
        </is>
      </c>
      <c r="C275" s="24" t="n">
        <v>281.3</v>
      </c>
      <c r="D275" s="36">
        <f>'Macro_Annual'!B34</f>
        <v/>
      </c>
      <c r="E275" s="32">
        <f>'Macro_Annual'!D34</f>
        <v/>
      </c>
      <c r="F275" s="37">
        <f>IFERROR(C275*'Macro_Annual'!$B$38/D275,"")</f>
        <v/>
      </c>
      <c r="G275" s="38">
        <f>IFERROR(C275*1000/E275,"")</f>
        <v/>
      </c>
      <c r="H275" t="inlineStr">
        <is>
          <t>OFFICIAL_AGGREGATE</t>
        </is>
      </c>
      <c r="I275" t="inlineStr">
        <is>
          <t>BACKFILL PROVISIONAL</t>
        </is>
      </c>
      <c r="J275" t="inlineStr">
        <is>
          <t>https://www.ande.gov.py/finanzas/ANDE%20-%20Resumen%20Estad%C3%ADstico%202020%20-%202024.pdf</t>
        </is>
      </c>
      <c r="K275" t="inlineStr">
        <is>
          <t>https://data.worldbank.org/indicator/FP.CPI.TOTL?locations=PY</t>
        </is>
      </c>
      <c r="L275" t="inlineStr">
        <is>
          <t>https://data.worldbank.org/indicator/PA.NUS.FCRF?locations=PY</t>
        </is>
      </c>
    </row>
    <row r="276">
      <c r="A276" t="n">
        <v>2021</v>
      </c>
      <c r="B276" t="inlineStr">
        <is>
          <t>ANDE_TARIFF_NATIONAL_AVG</t>
        </is>
      </c>
      <c r="C276" s="24" t="n">
        <v>373.2</v>
      </c>
      <c r="D276" s="36">
        <f>'Macro_Annual'!B34</f>
        <v/>
      </c>
      <c r="E276" s="32">
        <f>'Macro_Annual'!D34</f>
        <v/>
      </c>
      <c r="F276" s="37">
        <f>IFERROR(C276*'Macro_Annual'!$B$38/D276,"")</f>
        <v/>
      </c>
      <c r="G276" s="38">
        <f>IFERROR(C276*1000/E276,"")</f>
        <v/>
      </c>
      <c r="H276" t="inlineStr">
        <is>
          <t>OFFICIAL_AGGREGATE</t>
        </is>
      </c>
      <c r="I276" t="inlineStr">
        <is>
          <t>BACKFILL PROVISIONAL</t>
        </is>
      </c>
      <c r="J276" t="inlineStr">
        <is>
          <t>https://www.ande.gov.py/finanzas/ANDE%20-%20Resumen%20Estad%C3%ADstico%202020%20-%202024.pdf</t>
        </is>
      </c>
      <c r="K276" t="inlineStr">
        <is>
          <t>https://data.worldbank.org/indicator/FP.CPI.TOTL?locations=PY</t>
        </is>
      </c>
      <c r="L276" t="inlineStr">
        <is>
          <t>https://data.worldbank.org/indicator/PA.NUS.FCRF?locations=PY</t>
        </is>
      </c>
    </row>
    <row r="277">
      <c r="A277" t="n">
        <v>2021</v>
      </c>
      <c r="B277" t="inlineStr">
        <is>
          <t>ANDE_TARIFF_OTHER</t>
        </is>
      </c>
      <c r="C277" s="24" t="n">
        <v>356.7</v>
      </c>
      <c r="D277" s="36">
        <f>'Macro_Annual'!B34</f>
        <v/>
      </c>
      <c r="E277" s="32">
        <f>'Macro_Annual'!D34</f>
        <v/>
      </c>
      <c r="F277" s="37">
        <f>IFERROR(C277*'Macro_Annual'!$B$38/D277,"")</f>
        <v/>
      </c>
      <c r="G277" s="38">
        <f>IFERROR(C277*1000/E277,"")</f>
        <v/>
      </c>
      <c r="H277" t="inlineStr">
        <is>
          <t>OFFICIAL_AGGREGATE</t>
        </is>
      </c>
      <c r="I277" t="inlineStr">
        <is>
          <t>BACKFILL PROVISIONAL</t>
        </is>
      </c>
      <c r="J277" t="inlineStr">
        <is>
          <t>https://www.ande.gov.py/finanzas/ANDE%20-%20Resumen%20Estad%C3%ADstico%202020%20-%202024.pdf</t>
        </is>
      </c>
      <c r="K277" t="inlineStr">
        <is>
          <t>https://data.worldbank.org/indicator/FP.CPI.TOTL?locations=PY</t>
        </is>
      </c>
      <c r="L277" t="inlineStr">
        <is>
          <t>https://data.worldbank.org/indicator/PA.NUS.FCRF?locations=PY</t>
        </is>
      </c>
    </row>
    <row r="278">
      <c r="A278" t="n">
        <v>2021</v>
      </c>
      <c r="B278" t="inlineStr">
        <is>
          <t>ANDE_TARIFF_PUBLIC_LIGHT</t>
        </is>
      </c>
      <c r="C278" s="24" t="n">
        <v>387.3</v>
      </c>
      <c r="D278" s="36">
        <f>'Macro_Annual'!B34</f>
        <v/>
      </c>
      <c r="E278" s="32">
        <f>'Macro_Annual'!D34</f>
        <v/>
      </c>
      <c r="F278" s="37">
        <f>IFERROR(C278*'Macro_Annual'!$B$38/D278,"")</f>
        <v/>
      </c>
      <c r="G278" s="38">
        <f>IFERROR(C278*1000/E278,"")</f>
        <v/>
      </c>
      <c r="H278" t="inlineStr">
        <is>
          <t>OFFICIAL_AGGREGATE</t>
        </is>
      </c>
      <c r="I278" t="inlineStr">
        <is>
          <t>BACKFILL PROVISIONAL</t>
        </is>
      </c>
      <c r="J278" t="inlineStr">
        <is>
          <t>https://www.ande.gov.py/finanzas/ANDE%20-%20Resumen%20Estad%C3%ADstico%202020%20-%202024.pdf</t>
        </is>
      </c>
      <c r="K278" t="inlineStr">
        <is>
          <t>https://data.worldbank.org/indicator/FP.CPI.TOTL?locations=PY</t>
        </is>
      </c>
      <c r="L278" t="inlineStr">
        <is>
          <t>https://data.worldbank.org/indicator/PA.NUS.FCRF?locations=PY</t>
        </is>
      </c>
    </row>
    <row r="279">
      <c r="A279" t="n">
        <v>2021</v>
      </c>
      <c r="B279" t="inlineStr">
        <is>
          <t>ANDE_TARIFF_RESIDENTIAL</t>
        </is>
      </c>
      <c r="C279" s="24" t="n">
        <v>411.5</v>
      </c>
      <c r="D279" s="36">
        <f>'Macro_Annual'!B34</f>
        <v/>
      </c>
      <c r="E279" s="32">
        <f>'Macro_Annual'!D34</f>
        <v/>
      </c>
      <c r="F279" s="37">
        <f>IFERROR(C279*'Macro_Annual'!$B$38/D279,"")</f>
        <v/>
      </c>
      <c r="G279" s="38">
        <f>IFERROR(C279*1000/E279,"")</f>
        <v/>
      </c>
      <c r="H279" t="inlineStr">
        <is>
          <t>OFFICIAL_AGGREGATE</t>
        </is>
      </c>
      <c r="I279" t="inlineStr">
        <is>
          <t>BACKFILL PROVISIONAL</t>
        </is>
      </c>
      <c r="J279" t="inlineStr">
        <is>
          <t>https://www.ande.gov.py/finanzas/ANDE%20-%20Resumen%20Estad%C3%ADstico%202020%20-%202024.pdf</t>
        </is>
      </c>
      <c r="K279" t="inlineStr">
        <is>
          <t>https://data.worldbank.org/indicator/FP.CPI.TOTL?locations=PY</t>
        </is>
      </c>
      <c r="L279" t="inlineStr">
        <is>
          <t>https://data.worldbank.org/indicator/PA.NUS.FCRF?locations=PY</t>
        </is>
      </c>
    </row>
    <row r="280">
      <c r="A280" t="n">
        <v>2021</v>
      </c>
      <c r="B280" t="inlineStr">
        <is>
          <t>ANDE_TARIFF_SPECIAL_INTENSIVE</t>
        </is>
      </c>
      <c r="C280" s="24" t="n">
        <v>0</v>
      </c>
      <c r="D280" s="36">
        <f>'Macro_Annual'!B34</f>
        <v/>
      </c>
      <c r="E280" s="32">
        <f>'Macro_Annual'!D34</f>
        <v/>
      </c>
      <c r="F280" s="37">
        <f>IFERROR(C280*'Macro_Annual'!$B$38/D280,"")</f>
        <v/>
      </c>
      <c r="G280" s="38">
        <f>IFERROR(C280*1000/E280,"")</f>
        <v/>
      </c>
      <c r="H280" t="inlineStr">
        <is>
          <t>OFFICIAL_AGGREGATE</t>
        </is>
      </c>
      <c r="I280" t="inlineStr">
        <is>
          <t>BACKFILL PROVISIONAL</t>
        </is>
      </c>
      <c r="J280" t="inlineStr">
        <is>
          <t>https://www.ande.gov.py/finanzas/ANDE%20-%20Resumen%20Estad%C3%ADstico%202020%20-%202024.pdf</t>
        </is>
      </c>
      <c r="K280" t="inlineStr">
        <is>
          <t>https://data.worldbank.org/indicator/FP.CPI.TOTL?locations=PY</t>
        </is>
      </c>
      <c r="L280" t="inlineStr">
        <is>
          <t>https://data.worldbank.org/indicator/PA.NUS.FCRF?locations=PY</t>
        </is>
      </c>
    </row>
    <row r="281">
      <c r="A281" t="n">
        <v>2021</v>
      </c>
      <c r="B281" t="inlineStr">
        <is>
          <t>ANDE_TARIFF_VERY_HIGH_VOLTAGE</t>
        </is>
      </c>
      <c r="C281" s="24" t="n">
        <v>280.1</v>
      </c>
      <c r="D281" s="36">
        <f>'Macro_Annual'!B34</f>
        <v/>
      </c>
      <c r="E281" s="32">
        <f>'Macro_Annual'!D34</f>
        <v/>
      </c>
      <c r="F281" s="37">
        <f>IFERROR(C281*'Macro_Annual'!$B$38/D281,"")</f>
        <v/>
      </c>
      <c r="G281" s="38">
        <f>IFERROR(C281*1000/E281,"")</f>
        <v/>
      </c>
      <c r="H281" t="inlineStr">
        <is>
          <t>OFFICIAL_AGGREGATE</t>
        </is>
      </c>
      <c r="I281" t="inlineStr">
        <is>
          <t>BACKFILL PROVISIONAL</t>
        </is>
      </c>
      <c r="J281" t="inlineStr">
        <is>
          <t>https://www.ande.gov.py/finanzas/ANDE%20-%20Resumen%20Estad%C3%ADstico%202020%20-%202024.pdf</t>
        </is>
      </c>
      <c r="K281" t="inlineStr">
        <is>
          <t>https://data.worldbank.org/indicator/FP.CPI.TOTL?locations=PY</t>
        </is>
      </c>
      <c r="L281" t="inlineStr">
        <is>
          <t>https://data.worldbank.org/indicator/PA.NUS.FCRF?locations=PY</t>
        </is>
      </c>
    </row>
    <row r="282">
      <c r="A282" t="n">
        <v>2022</v>
      </c>
      <c r="B282" t="inlineStr">
        <is>
          <t>ANDE_TARIFF_DIFFERENTIAL</t>
        </is>
      </c>
      <c r="C282" s="24" t="n">
        <v>435.7</v>
      </c>
      <c r="D282" s="36">
        <f>'Macro_Annual'!B35</f>
        <v/>
      </c>
      <c r="E282" s="32">
        <f>'Macro_Annual'!D35</f>
        <v/>
      </c>
      <c r="F282" s="37">
        <f>IFERROR(C282*'Macro_Annual'!$B$38/D282,"")</f>
        <v/>
      </c>
      <c r="G282" s="38">
        <f>IFERROR(C282*1000/E282,"")</f>
        <v/>
      </c>
      <c r="H282" t="inlineStr">
        <is>
          <t>OFFICIAL_AGGREGATE</t>
        </is>
      </c>
      <c r="I282" t="inlineStr">
        <is>
          <t>BACKFILL PROVISIONAL</t>
        </is>
      </c>
      <c r="J282" t="inlineStr">
        <is>
          <t>https://www.ande.gov.py/finanzas/ANDE%20-%20Resumen%20Estad%C3%ADstico%202020%20-%202024.pdf</t>
        </is>
      </c>
      <c r="K282" t="inlineStr">
        <is>
          <t>https://data.worldbank.org/indicator/FP.CPI.TOTL?locations=PY</t>
        </is>
      </c>
      <c r="L282" t="inlineStr">
        <is>
          <t>https://data.worldbank.org/indicator/PA.NUS.FCRF?locations=PY</t>
        </is>
      </c>
    </row>
    <row r="283">
      <c r="A283" t="n">
        <v>2022</v>
      </c>
      <c r="B283" t="inlineStr">
        <is>
          <t>ANDE_TARIFF_ELECTROINTENSIVE</t>
        </is>
      </c>
      <c r="C283" s="24" t="n">
        <v>219.1</v>
      </c>
      <c r="D283" s="36">
        <f>'Macro_Annual'!B35</f>
        <v/>
      </c>
      <c r="E283" s="32">
        <f>'Macro_Annual'!D35</f>
        <v/>
      </c>
      <c r="F283" s="37">
        <f>IFERROR(C283*'Macro_Annual'!$B$38/D283,"")</f>
        <v/>
      </c>
      <c r="G283" s="38">
        <f>IFERROR(C283*1000/E283,"")</f>
        <v/>
      </c>
      <c r="H283" t="inlineStr">
        <is>
          <t>OFFICIAL_AGGREGATE</t>
        </is>
      </c>
      <c r="I283" t="inlineStr">
        <is>
          <t>BACKFILL PROVISIONAL</t>
        </is>
      </c>
      <c r="J283" t="inlineStr">
        <is>
          <t>https://www.ande.gov.py/finanzas/ANDE%20-%20Resumen%20Estad%C3%ADstico%202020%20-%202024.pdf</t>
        </is>
      </c>
      <c r="K283" t="inlineStr">
        <is>
          <t>https://data.worldbank.org/indicator/FP.CPI.TOTL?locations=PY</t>
        </is>
      </c>
      <c r="L283" t="inlineStr">
        <is>
          <t>https://data.worldbank.org/indicator/PA.NUS.FCRF?locations=PY</t>
        </is>
      </c>
    </row>
    <row r="284">
      <c r="A284" t="n">
        <v>2022</v>
      </c>
      <c r="B284" t="inlineStr">
        <is>
          <t>ANDE_TARIFF_EXPORT_AVG</t>
        </is>
      </c>
      <c r="C284" s="24" t="n">
        <v>831.1</v>
      </c>
      <c r="D284" s="36">
        <f>'Macro_Annual'!B35</f>
        <v/>
      </c>
      <c r="E284" s="32">
        <f>'Macro_Annual'!D35</f>
        <v/>
      </c>
      <c r="F284" s="37">
        <f>IFERROR(C284*'Macro_Annual'!$B$38/D284,"")</f>
        <v/>
      </c>
      <c r="G284" s="38">
        <f>IFERROR(C284*1000/E284,"")</f>
        <v/>
      </c>
      <c r="H284" t="inlineStr">
        <is>
          <t>OFFICIAL_AGGREGATE</t>
        </is>
      </c>
      <c r="I284" t="inlineStr">
        <is>
          <t>BACKFILL PROVISIONAL</t>
        </is>
      </c>
      <c r="J284" t="inlineStr">
        <is>
          <t>https://www.ande.gov.py/finanzas/ANDE%20-%20Resumen%20Estad%C3%ADstico%202020%20-%202024.pdf</t>
        </is>
      </c>
      <c r="K284" t="inlineStr">
        <is>
          <t>https://data.worldbank.org/indicator/FP.CPI.TOTL?locations=PY</t>
        </is>
      </c>
      <c r="L284" t="inlineStr">
        <is>
          <t>https://data.worldbank.org/indicator/PA.NUS.FCRF?locations=PY</t>
        </is>
      </c>
    </row>
    <row r="285">
      <c r="A285" t="n">
        <v>2022</v>
      </c>
      <c r="B285" t="inlineStr">
        <is>
          <t>ANDE_TARIFF_GENERAL_AVG</t>
        </is>
      </c>
      <c r="C285" s="24" t="n">
        <v>376.6</v>
      </c>
      <c r="D285" s="36">
        <f>'Macro_Annual'!B35</f>
        <v/>
      </c>
      <c r="E285" s="32">
        <f>'Macro_Annual'!D35</f>
        <v/>
      </c>
      <c r="F285" s="37">
        <f>IFERROR(C285*'Macro_Annual'!$B$38/D285,"")</f>
        <v/>
      </c>
      <c r="G285" s="38">
        <f>IFERROR(C285*1000/E285,"")</f>
        <v/>
      </c>
      <c r="H285" t="inlineStr">
        <is>
          <t>OFFICIAL_AGGREGATE</t>
        </is>
      </c>
      <c r="I285" t="inlineStr">
        <is>
          <t>BACKFILL PROVISIONAL</t>
        </is>
      </c>
      <c r="J285" t="inlineStr">
        <is>
          <t>https://www.ande.gov.py/finanzas/ANDE%20-%20Resumen%20Estad%C3%ADstico%202020%20-%202024.pdf</t>
        </is>
      </c>
      <c r="K285" t="inlineStr">
        <is>
          <t>https://data.worldbank.org/indicator/FP.CPI.TOTL?locations=PY</t>
        </is>
      </c>
      <c r="L285" t="inlineStr">
        <is>
          <t>https://data.worldbank.org/indicator/PA.NUS.FCRF?locations=PY</t>
        </is>
      </c>
    </row>
    <row r="286">
      <c r="A286" t="n">
        <v>2022</v>
      </c>
      <c r="B286" t="inlineStr">
        <is>
          <t>ANDE_TARIFF_GOV</t>
        </is>
      </c>
      <c r="C286" s="24" t="n">
        <v>374.6</v>
      </c>
      <c r="D286" s="36">
        <f>'Macro_Annual'!B35</f>
        <v/>
      </c>
      <c r="E286" s="32">
        <f>'Macro_Annual'!D35</f>
        <v/>
      </c>
      <c r="F286" s="37">
        <f>IFERROR(C286*'Macro_Annual'!$B$38/D286,"")</f>
        <v/>
      </c>
      <c r="G286" s="38">
        <f>IFERROR(C286*1000/E286,"")</f>
        <v/>
      </c>
      <c r="H286" t="inlineStr">
        <is>
          <t>OFFICIAL_AGGREGATE</t>
        </is>
      </c>
      <c r="I286" t="inlineStr">
        <is>
          <t>BACKFILL PROVISIONAL</t>
        </is>
      </c>
      <c r="J286" t="inlineStr">
        <is>
          <t>https://www.ande.gov.py/finanzas/ANDE%20-%20Resumen%20Estad%C3%ADstico%202020%20-%202024.pdf</t>
        </is>
      </c>
      <c r="K286" t="inlineStr">
        <is>
          <t>https://data.worldbank.org/indicator/FP.CPI.TOTL?locations=PY</t>
        </is>
      </c>
      <c r="L286" t="inlineStr">
        <is>
          <t>https://data.worldbank.org/indicator/PA.NUS.FCRF?locations=PY</t>
        </is>
      </c>
    </row>
    <row r="287">
      <c r="A287" t="n">
        <v>2022</v>
      </c>
      <c r="B287" t="inlineStr">
        <is>
          <t>ANDE_TARIFF_HIGH_VOLTAGE</t>
        </is>
      </c>
      <c r="C287" s="24" t="n">
        <v>221.3</v>
      </c>
      <c r="D287" s="36">
        <f>'Macro_Annual'!B35</f>
        <v/>
      </c>
      <c r="E287" s="32">
        <f>'Macro_Annual'!D35</f>
        <v/>
      </c>
      <c r="F287" s="37">
        <f>IFERROR(C287*'Macro_Annual'!$B$38/D287,"")</f>
        <v/>
      </c>
      <c r="G287" s="38">
        <f>IFERROR(C287*1000/E287,"")</f>
        <v/>
      </c>
      <c r="H287" t="inlineStr">
        <is>
          <t>OFFICIAL_AGGREGATE</t>
        </is>
      </c>
      <c r="I287" t="inlineStr">
        <is>
          <t>BACKFILL PROVISIONAL</t>
        </is>
      </c>
      <c r="J287" t="inlineStr">
        <is>
          <t>https://www.ande.gov.py/finanzas/ANDE%20-%20Resumen%20Estad%C3%ADstico%202020%20-%202024.pdf</t>
        </is>
      </c>
      <c r="K287" t="inlineStr">
        <is>
          <t>https://data.worldbank.org/indicator/FP.CPI.TOTL?locations=PY</t>
        </is>
      </c>
      <c r="L287" t="inlineStr">
        <is>
          <t>https://data.worldbank.org/indicator/PA.NUS.FCRF?locations=PY</t>
        </is>
      </c>
    </row>
    <row r="288">
      <c r="A288" t="n">
        <v>2022</v>
      </c>
      <c r="B288" t="inlineStr">
        <is>
          <t>ANDE_TARIFF_INDUSTRIAL</t>
        </is>
      </c>
      <c r="C288" s="24" t="n">
        <v>287.7</v>
      </c>
      <c r="D288" s="36">
        <f>'Macro_Annual'!B35</f>
        <v/>
      </c>
      <c r="E288" s="32">
        <f>'Macro_Annual'!D35</f>
        <v/>
      </c>
      <c r="F288" s="37">
        <f>IFERROR(C288*'Macro_Annual'!$B$38/D288,"")</f>
        <v/>
      </c>
      <c r="G288" s="38">
        <f>IFERROR(C288*1000/E288,"")</f>
        <v/>
      </c>
      <c r="H288" t="inlineStr">
        <is>
          <t>OFFICIAL_AGGREGATE</t>
        </is>
      </c>
      <c r="I288" t="inlineStr">
        <is>
          <t>BACKFILL PROVISIONAL</t>
        </is>
      </c>
      <c r="J288" t="inlineStr">
        <is>
          <t>https://www.ande.gov.py/finanzas/ANDE%20-%20Resumen%20Estad%C3%ADstico%202020%20-%202024.pdf</t>
        </is>
      </c>
      <c r="K288" t="inlineStr">
        <is>
          <t>https://data.worldbank.org/indicator/FP.CPI.TOTL?locations=PY</t>
        </is>
      </c>
      <c r="L288" t="inlineStr">
        <is>
          <t>https://data.worldbank.org/indicator/PA.NUS.FCRF?locations=PY</t>
        </is>
      </c>
    </row>
    <row r="289">
      <c r="A289" t="n">
        <v>2022</v>
      </c>
      <c r="B289" t="inlineStr">
        <is>
          <t>ANDE_TARIFF_NATIONAL_AVG</t>
        </is>
      </c>
      <c r="C289" s="24" t="n">
        <v>373.2</v>
      </c>
      <c r="D289" s="36">
        <f>'Macro_Annual'!B35</f>
        <v/>
      </c>
      <c r="E289" s="32">
        <f>'Macro_Annual'!D35</f>
        <v/>
      </c>
      <c r="F289" s="37">
        <f>IFERROR(C289*'Macro_Annual'!$B$38/D289,"")</f>
        <v/>
      </c>
      <c r="G289" s="38">
        <f>IFERROR(C289*1000/E289,"")</f>
        <v/>
      </c>
      <c r="H289" t="inlineStr">
        <is>
          <t>OFFICIAL_AGGREGATE</t>
        </is>
      </c>
      <c r="I289" t="inlineStr">
        <is>
          <t>BACKFILL PROVISIONAL</t>
        </is>
      </c>
      <c r="J289" t="inlineStr">
        <is>
          <t>https://www.ande.gov.py/finanzas/ANDE%20-%20Resumen%20Estad%C3%ADstico%202020%20-%202024.pdf</t>
        </is>
      </c>
      <c r="K289" t="inlineStr">
        <is>
          <t>https://data.worldbank.org/indicator/FP.CPI.TOTL?locations=PY</t>
        </is>
      </c>
      <c r="L289" t="inlineStr">
        <is>
          <t>https://data.worldbank.org/indicator/PA.NUS.FCRF?locations=PY</t>
        </is>
      </c>
    </row>
    <row r="290">
      <c r="A290" t="n">
        <v>2022</v>
      </c>
      <c r="B290" t="inlineStr">
        <is>
          <t>ANDE_TARIFF_OTHER</t>
        </is>
      </c>
      <c r="C290" s="24" t="n">
        <v>361</v>
      </c>
      <c r="D290" s="36">
        <f>'Macro_Annual'!B35</f>
        <v/>
      </c>
      <c r="E290" s="32">
        <f>'Macro_Annual'!D35</f>
        <v/>
      </c>
      <c r="F290" s="37">
        <f>IFERROR(C290*'Macro_Annual'!$B$38/D290,"")</f>
        <v/>
      </c>
      <c r="G290" s="38">
        <f>IFERROR(C290*1000/E290,"")</f>
        <v/>
      </c>
      <c r="H290" t="inlineStr">
        <is>
          <t>OFFICIAL_AGGREGATE</t>
        </is>
      </c>
      <c r="I290" t="inlineStr">
        <is>
          <t>BACKFILL PROVISIONAL</t>
        </is>
      </c>
      <c r="J290" t="inlineStr">
        <is>
          <t>https://www.ande.gov.py/finanzas/ANDE%20-%20Resumen%20Estad%C3%ADstico%202020%20-%202024.pdf</t>
        </is>
      </c>
      <c r="K290" t="inlineStr">
        <is>
          <t>https://data.worldbank.org/indicator/FP.CPI.TOTL?locations=PY</t>
        </is>
      </c>
      <c r="L290" t="inlineStr">
        <is>
          <t>https://data.worldbank.org/indicator/PA.NUS.FCRF?locations=PY</t>
        </is>
      </c>
    </row>
    <row r="291">
      <c r="A291" t="n">
        <v>2022</v>
      </c>
      <c r="B291" t="inlineStr">
        <is>
          <t>ANDE_TARIFF_PUBLIC_LIGHT</t>
        </is>
      </c>
      <c r="C291" s="24" t="n">
        <v>387.3</v>
      </c>
      <c r="D291" s="36">
        <f>'Macro_Annual'!B35</f>
        <v/>
      </c>
      <c r="E291" s="32">
        <f>'Macro_Annual'!D35</f>
        <v/>
      </c>
      <c r="F291" s="37">
        <f>IFERROR(C291*'Macro_Annual'!$B$38/D291,"")</f>
        <v/>
      </c>
      <c r="G291" s="38">
        <f>IFERROR(C291*1000/E291,"")</f>
        <v/>
      </c>
      <c r="H291" t="inlineStr">
        <is>
          <t>OFFICIAL_AGGREGATE</t>
        </is>
      </c>
      <c r="I291" t="inlineStr">
        <is>
          <t>BACKFILL PROVISIONAL</t>
        </is>
      </c>
      <c r="J291" t="inlineStr">
        <is>
          <t>https://www.ande.gov.py/finanzas/ANDE%20-%20Resumen%20Estad%C3%ADstico%202020%20-%202024.pdf</t>
        </is>
      </c>
      <c r="K291" t="inlineStr">
        <is>
          <t>https://data.worldbank.org/indicator/FP.CPI.TOTL?locations=PY</t>
        </is>
      </c>
      <c r="L291" t="inlineStr">
        <is>
          <t>https://data.worldbank.org/indicator/PA.NUS.FCRF?locations=PY</t>
        </is>
      </c>
    </row>
    <row r="292">
      <c r="A292" t="n">
        <v>2022</v>
      </c>
      <c r="B292" t="inlineStr">
        <is>
          <t>ANDE_TARIFF_RESIDENTIAL</t>
        </is>
      </c>
      <c r="C292" s="24" t="n">
        <v>411.4</v>
      </c>
      <c r="D292" s="36">
        <f>'Macro_Annual'!B35</f>
        <v/>
      </c>
      <c r="E292" s="32">
        <f>'Macro_Annual'!D35</f>
        <v/>
      </c>
      <c r="F292" s="37">
        <f>IFERROR(C292*'Macro_Annual'!$B$38/D292,"")</f>
        <v/>
      </c>
      <c r="G292" s="38">
        <f>IFERROR(C292*1000/E292,"")</f>
        <v/>
      </c>
      <c r="H292" t="inlineStr">
        <is>
          <t>OFFICIAL_AGGREGATE</t>
        </is>
      </c>
      <c r="I292" t="inlineStr">
        <is>
          <t>BACKFILL PROVISIONAL</t>
        </is>
      </c>
      <c r="J292" t="inlineStr">
        <is>
          <t>https://www.ande.gov.py/finanzas/ANDE%20-%20Resumen%20Estad%C3%ADstico%202020%20-%202024.pdf</t>
        </is>
      </c>
      <c r="K292" t="inlineStr">
        <is>
          <t>https://data.worldbank.org/indicator/FP.CPI.TOTL?locations=PY</t>
        </is>
      </c>
      <c r="L292" t="inlineStr">
        <is>
          <t>https://data.worldbank.org/indicator/PA.NUS.FCRF?locations=PY</t>
        </is>
      </c>
    </row>
    <row r="293">
      <c r="A293" t="n">
        <v>2022</v>
      </c>
      <c r="B293" t="inlineStr">
        <is>
          <t>ANDE_TARIFF_SPECIAL_INTENSIVE</t>
        </is>
      </c>
      <c r="C293" s="24" t="n">
        <v>0</v>
      </c>
      <c r="D293" s="36">
        <f>'Macro_Annual'!B35</f>
        <v/>
      </c>
      <c r="E293" s="32">
        <f>'Macro_Annual'!D35</f>
        <v/>
      </c>
      <c r="F293" s="37">
        <f>IFERROR(C293*'Macro_Annual'!$B$38/D293,"")</f>
        <v/>
      </c>
      <c r="G293" s="38">
        <f>IFERROR(C293*1000/E293,"")</f>
        <v/>
      </c>
      <c r="H293" t="inlineStr">
        <is>
          <t>OFFICIAL_AGGREGATE</t>
        </is>
      </c>
      <c r="I293" t="inlineStr">
        <is>
          <t>BACKFILL PROVISIONAL</t>
        </is>
      </c>
      <c r="J293" t="inlineStr">
        <is>
          <t>https://www.ande.gov.py/finanzas/ANDE%20-%20Resumen%20Estad%C3%ADstico%202020%20-%202024.pdf</t>
        </is>
      </c>
      <c r="K293" t="inlineStr">
        <is>
          <t>https://data.worldbank.org/indicator/FP.CPI.TOTL?locations=PY</t>
        </is>
      </c>
      <c r="L293" t="inlineStr">
        <is>
          <t>https://data.worldbank.org/indicator/PA.NUS.FCRF?locations=PY</t>
        </is>
      </c>
    </row>
    <row r="294">
      <c r="A294" t="n">
        <v>2022</v>
      </c>
      <c r="B294" t="inlineStr">
        <is>
          <t>ANDE_TARIFF_VERY_HIGH_VOLTAGE</t>
        </is>
      </c>
      <c r="C294" s="24" t="n">
        <v>251.3</v>
      </c>
      <c r="D294" s="36">
        <f>'Macro_Annual'!B35</f>
        <v/>
      </c>
      <c r="E294" s="32">
        <f>'Macro_Annual'!D35</f>
        <v/>
      </c>
      <c r="F294" s="37">
        <f>IFERROR(C294*'Macro_Annual'!$B$38/D294,"")</f>
        <v/>
      </c>
      <c r="G294" s="38">
        <f>IFERROR(C294*1000/E294,"")</f>
        <v/>
      </c>
      <c r="H294" t="inlineStr">
        <is>
          <t>OFFICIAL_AGGREGATE</t>
        </is>
      </c>
      <c r="I294" t="inlineStr">
        <is>
          <t>BACKFILL PROVISIONAL</t>
        </is>
      </c>
      <c r="J294" t="inlineStr">
        <is>
          <t>https://www.ande.gov.py/finanzas/ANDE%20-%20Resumen%20Estad%C3%ADstico%202020%20-%202024.pdf</t>
        </is>
      </c>
      <c r="K294" t="inlineStr">
        <is>
          <t>https://data.worldbank.org/indicator/FP.CPI.TOTL?locations=PY</t>
        </is>
      </c>
      <c r="L294" t="inlineStr">
        <is>
          <t>https://data.worldbank.org/indicator/PA.NUS.FCRF?locations=PY</t>
        </is>
      </c>
    </row>
    <row r="295">
      <c r="A295" t="n">
        <v>2023</v>
      </c>
      <c r="B295" t="inlineStr">
        <is>
          <t>ANDE_TARIFF_DIFFERENTIAL</t>
        </is>
      </c>
      <c r="C295" s="24" t="n">
        <v>425.8</v>
      </c>
      <c r="D295" s="36">
        <f>'Macro_Annual'!B36</f>
        <v/>
      </c>
      <c r="E295" s="32">
        <f>'Macro_Annual'!D36</f>
        <v/>
      </c>
      <c r="F295" s="37">
        <f>IFERROR(C295*'Macro_Annual'!$B$38/D295,"")</f>
        <v/>
      </c>
      <c r="G295" s="38">
        <f>IFERROR(C295*1000/E295,"")</f>
        <v/>
      </c>
      <c r="H295" t="inlineStr">
        <is>
          <t>OFFICIAL_AGGREGATE</t>
        </is>
      </c>
      <c r="I295" t="inlineStr">
        <is>
          <t>BACKFILL PROVISIONAL</t>
        </is>
      </c>
      <c r="J295" t="inlineStr">
        <is>
          <t>https://www.ande.gov.py/finanzas/ANDE%20-%20Resumen%20Estad%C3%ADstico%202020%20-%202024.pdf</t>
        </is>
      </c>
      <c r="K295" t="inlineStr">
        <is>
          <t>https://data.worldbank.org/indicator/FP.CPI.TOTL?locations=PY</t>
        </is>
      </c>
      <c r="L295" t="inlineStr">
        <is>
          <t>https://data.worldbank.org/indicator/PA.NUS.FCRF?locations=PY</t>
        </is>
      </c>
    </row>
    <row r="296">
      <c r="A296" t="n">
        <v>2023</v>
      </c>
      <c r="B296" t="inlineStr">
        <is>
          <t>ANDE_TARIFF_ELECTROINTENSIVE</t>
        </is>
      </c>
      <c r="C296" s="24" t="n">
        <v>0</v>
      </c>
      <c r="D296" s="36">
        <f>'Macro_Annual'!B36</f>
        <v/>
      </c>
      <c r="E296" s="32">
        <f>'Macro_Annual'!D36</f>
        <v/>
      </c>
      <c r="F296" s="37">
        <f>IFERROR(C296*'Macro_Annual'!$B$38/D296,"")</f>
        <v/>
      </c>
      <c r="G296" s="38">
        <f>IFERROR(C296*1000/E296,"")</f>
        <v/>
      </c>
      <c r="H296" t="inlineStr">
        <is>
          <t>OFFICIAL_AGGREGATE</t>
        </is>
      </c>
      <c r="I296" t="inlineStr">
        <is>
          <t>BACKFILL PROVISIONAL</t>
        </is>
      </c>
      <c r="J296" t="inlineStr">
        <is>
          <t>https://www.ande.gov.py/finanzas/ANDE%20-%20Resumen%20Estad%C3%ADstico%202020%20-%202024.pdf</t>
        </is>
      </c>
      <c r="K296" t="inlineStr">
        <is>
          <t>https://data.worldbank.org/indicator/FP.CPI.TOTL?locations=PY</t>
        </is>
      </c>
      <c r="L296" t="inlineStr">
        <is>
          <t>https://data.worldbank.org/indicator/PA.NUS.FCRF?locations=PY</t>
        </is>
      </c>
    </row>
    <row r="297">
      <c r="A297" t="n">
        <v>2023</v>
      </c>
      <c r="B297" t="inlineStr">
        <is>
          <t>ANDE_TARIFF_EXPORT_AVG</t>
        </is>
      </c>
      <c r="C297" s="24" t="n">
        <v>866.3</v>
      </c>
      <c r="D297" s="36">
        <f>'Macro_Annual'!B36</f>
        <v/>
      </c>
      <c r="E297" s="32">
        <f>'Macro_Annual'!D36</f>
        <v/>
      </c>
      <c r="F297" s="37">
        <f>IFERROR(C297*'Macro_Annual'!$B$38/D297,"")</f>
        <v/>
      </c>
      <c r="G297" s="38">
        <f>IFERROR(C297*1000/E297,"")</f>
        <v/>
      </c>
      <c r="H297" t="inlineStr">
        <is>
          <t>OFFICIAL_AGGREGATE</t>
        </is>
      </c>
      <c r="I297" t="inlineStr">
        <is>
          <t>BACKFILL PROVISIONAL</t>
        </is>
      </c>
      <c r="J297" t="inlineStr">
        <is>
          <t>https://www.ande.gov.py/finanzas/ANDE%20-%20Resumen%20Estad%C3%ADstico%202020%20-%202024.pdf</t>
        </is>
      </c>
      <c r="K297" t="inlineStr">
        <is>
          <t>https://data.worldbank.org/indicator/FP.CPI.TOTL?locations=PY</t>
        </is>
      </c>
      <c r="L297" t="inlineStr">
        <is>
          <t>https://data.worldbank.org/indicator/PA.NUS.FCRF?locations=PY</t>
        </is>
      </c>
    </row>
    <row r="298">
      <c r="A298" t="n">
        <v>2023</v>
      </c>
      <c r="B298" t="inlineStr">
        <is>
          <t>ANDE_TARIFF_GENERAL_AVG</t>
        </is>
      </c>
      <c r="C298" s="24" t="n">
        <v>372.8</v>
      </c>
      <c r="D298" s="36">
        <f>'Macro_Annual'!B36</f>
        <v/>
      </c>
      <c r="E298" s="32">
        <f>'Macro_Annual'!D36</f>
        <v/>
      </c>
      <c r="F298" s="37">
        <f>IFERROR(C298*'Macro_Annual'!$B$38/D298,"")</f>
        <v/>
      </c>
      <c r="G298" s="38">
        <f>IFERROR(C298*1000/E298,"")</f>
        <v/>
      </c>
      <c r="H298" t="inlineStr">
        <is>
          <t>OFFICIAL_AGGREGATE</t>
        </is>
      </c>
      <c r="I298" t="inlineStr">
        <is>
          <t>BACKFILL PROVISIONAL</t>
        </is>
      </c>
      <c r="J298" t="inlineStr">
        <is>
          <t>https://www.ande.gov.py/finanzas/ANDE%20-%20Resumen%20Estad%C3%ADstico%202020%20-%202024.pdf</t>
        </is>
      </c>
      <c r="K298" t="inlineStr">
        <is>
          <t>https://data.worldbank.org/indicator/FP.CPI.TOTL?locations=PY</t>
        </is>
      </c>
      <c r="L298" t="inlineStr">
        <is>
          <t>https://data.worldbank.org/indicator/PA.NUS.FCRF?locations=PY</t>
        </is>
      </c>
    </row>
    <row r="299">
      <c r="A299" t="n">
        <v>2023</v>
      </c>
      <c r="B299" t="inlineStr">
        <is>
          <t>ANDE_TARIFF_GOV</t>
        </is>
      </c>
      <c r="C299" s="24" t="n">
        <v>368.3</v>
      </c>
      <c r="D299" s="36">
        <f>'Macro_Annual'!B36</f>
        <v/>
      </c>
      <c r="E299" s="32">
        <f>'Macro_Annual'!D36</f>
        <v/>
      </c>
      <c r="F299" s="37">
        <f>IFERROR(C299*'Macro_Annual'!$B$38/D299,"")</f>
        <v/>
      </c>
      <c r="G299" s="38">
        <f>IFERROR(C299*1000/E299,"")</f>
        <v/>
      </c>
      <c r="H299" t="inlineStr">
        <is>
          <t>OFFICIAL_AGGREGATE</t>
        </is>
      </c>
      <c r="I299" t="inlineStr">
        <is>
          <t>BACKFILL PROVISIONAL</t>
        </is>
      </c>
      <c r="J299" t="inlineStr">
        <is>
          <t>https://www.ande.gov.py/finanzas/ANDE%20-%20Resumen%20Estad%C3%ADstico%202020%20-%202024.pdf</t>
        </is>
      </c>
      <c r="K299" t="inlineStr">
        <is>
          <t>https://data.worldbank.org/indicator/FP.CPI.TOTL?locations=PY</t>
        </is>
      </c>
      <c r="L299" t="inlineStr">
        <is>
          <t>https://data.worldbank.org/indicator/PA.NUS.FCRF?locations=PY</t>
        </is>
      </c>
    </row>
    <row r="300">
      <c r="A300" t="n">
        <v>2023</v>
      </c>
      <c r="B300" t="inlineStr">
        <is>
          <t>ANDE_TARIFF_HIGH_VOLTAGE</t>
        </is>
      </c>
      <c r="C300" s="24" t="n">
        <v>222.4</v>
      </c>
      <c r="D300" s="36">
        <f>'Macro_Annual'!B36</f>
        <v/>
      </c>
      <c r="E300" s="32">
        <f>'Macro_Annual'!D36</f>
        <v/>
      </c>
      <c r="F300" s="37">
        <f>IFERROR(C300*'Macro_Annual'!$B$38/D300,"")</f>
        <v/>
      </c>
      <c r="G300" s="38">
        <f>IFERROR(C300*1000/E300,"")</f>
        <v/>
      </c>
      <c r="H300" t="inlineStr">
        <is>
          <t>OFFICIAL_AGGREGATE</t>
        </is>
      </c>
      <c r="I300" t="inlineStr">
        <is>
          <t>BACKFILL PROVISIONAL</t>
        </is>
      </c>
      <c r="J300" t="inlineStr">
        <is>
          <t>https://www.ande.gov.py/finanzas/ANDE%20-%20Resumen%20Estad%C3%ADstico%202020%20-%202024.pdf</t>
        </is>
      </c>
      <c r="K300" t="inlineStr">
        <is>
          <t>https://data.worldbank.org/indicator/FP.CPI.TOTL?locations=PY</t>
        </is>
      </c>
      <c r="L300" t="inlineStr">
        <is>
          <t>https://data.worldbank.org/indicator/PA.NUS.FCRF?locations=PY</t>
        </is>
      </c>
    </row>
    <row r="301">
      <c r="A301" t="n">
        <v>2023</v>
      </c>
      <c r="B301" t="inlineStr">
        <is>
          <t>ANDE_TARIFF_INDUSTRIAL</t>
        </is>
      </c>
      <c r="C301" s="24" t="n">
        <v>278.2</v>
      </c>
      <c r="D301" s="36">
        <f>'Macro_Annual'!B36</f>
        <v/>
      </c>
      <c r="E301" s="32">
        <f>'Macro_Annual'!D36</f>
        <v/>
      </c>
      <c r="F301" s="37">
        <f>IFERROR(C301*'Macro_Annual'!$B$38/D301,"")</f>
        <v/>
      </c>
      <c r="G301" s="38">
        <f>IFERROR(C301*1000/E301,"")</f>
        <v/>
      </c>
      <c r="H301" t="inlineStr">
        <is>
          <t>OFFICIAL_AGGREGATE</t>
        </is>
      </c>
      <c r="I301" t="inlineStr">
        <is>
          <t>BACKFILL PROVISIONAL</t>
        </is>
      </c>
      <c r="J301" t="inlineStr">
        <is>
          <t>https://www.ande.gov.py/finanzas/ANDE%20-%20Resumen%20Estad%C3%ADstico%202020%20-%202024.pdf</t>
        </is>
      </c>
      <c r="K301" t="inlineStr">
        <is>
          <t>https://data.worldbank.org/indicator/FP.CPI.TOTL?locations=PY</t>
        </is>
      </c>
      <c r="L301" t="inlineStr">
        <is>
          <t>https://data.worldbank.org/indicator/PA.NUS.FCRF?locations=PY</t>
        </is>
      </c>
    </row>
    <row r="302">
      <c r="A302" t="n">
        <v>2023</v>
      </c>
      <c r="B302" t="inlineStr">
        <is>
          <t>ANDE_TARIFF_NATIONAL_AVG</t>
        </is>
      </c>
      <c r="C302" s="24" t="n">
        <v>369.2</v>
      </c>
      <c r="D302" s="36">
        <f>'Macro_Annual'!B36</f>
        <v/>
      </c>
      <c r="E302" s="32">
        <f>'Macro_Annual'!D36</f>
        <v/>
      </c>
      <c r="F302" s="37">
        <f>IFERROR(C302*'Macro_Annual'!$B$38/D302,"")</f>
        <v/>
      </c>
      <c r="G302" s="38">
        <f>IFERROR(C302*1000/E302,"")</f>
        <v/>
      </c>
      <c r="H302" t="inlineStr">
        <is>
          <t>OFFICIAL_AGGREGATE</t>
        </is>
      </c>
      <c r="I302" t="inlineStr">
        <is>
          <t>BACKFILL PROVISIONAL</t>
        </is>
      </c>
      <c r="J302" t="inlineStr">
        <is>
          <t>https://www.ande.gov.py/finanzas/ANDE%20-%20Resumen%20Estad%C3%ADstico%202020%20-%202024.pdf</t>
        </is>
      </c>
      <c r="K302" t="inlineStr">
        <is>
          <t>https://data.worldbank.org/indicator/FP.CPI.TOTL?locations=PY</t>
        </is>
      </c>
      <c r="L302" t="inlineStr">
        <is>
          <t>https://data.worldbank.org/indicator/PA.NUS.FCRF?locations=PY</t>
        </is>
      </c>
    </row>
    <row r="303">
      <c r="A303" t="n">
        <v>2023</v>
      </c>
      <c r="B303" t="inlineStr">
        <is>
          <t>ANDE_TARIFF_OTHER</t>
        </is>
      </c>
      <c r="C303" s="24" t="n">
        <v>349.5</v>
      </c>
      <c r="D303" s="36">
        <f>'Macro_Annual'!B36</f>
        <v/>
      </c>
      <c r="E303" s="32">
        <f>'Macro_Annual'!D36</f>
        <v/>
      </c>
      <c r="F303" s="37">
        <f>IFERROR(C303*'Macro_Annual'!$B$38/D303,"")</f>
        <v/>
      </c>
      <c r="G303" s="38">
        <f>IFERROR(C303*1000/E303,"")</f>
        <v/>
      </c>
      <c r="H303" t="inlineStr">
        <is>
          <t>OFFICIAL_AGGREGATE</t>
        </is>
      </c>
      <c r="I303" t="inlineStr">
        <is>
          <t>BACKFILL PROVISIONAL</t>
        </is>
      </c>
      <c r="J303" t="inlineStr">
        <is>
          <t>https://www.ande.gov.py/finanzas/ANDE%20-%20Resumen%20Estad%C3%ADstico%202020%20-%202024.pdf</t>
        </is>
      </c>
      <c r="K303" t="inlineStr">
        <is>
          <t>https://data.worldbank.org/indicator/FP.CPI.TOTL?locations=PY</t>
        </is>
      </c>
      <c r="L303" t="inlineStr">
        <is>
          <t>https://data.worldbank.org/indicator/PA.NUS.FCRF?locations=PY</t>
        </is>
      </c>
    </row>
    <row r="304">
      <c r="A304" t="n">
        <v>2023</v>
      </c>
      <c r="B304" t="inlineStr">
        <is>
          <t>ANDE_TARIFF_PUBLIC_LIGHT</t>
        </is>
      </c>
      <c r="C304" s="24" t="n">
        <v>387.3</v>
      </c>
      <c r="D304" s="36">
        <f>'Macro_Annual'!B36</f>
        <v/>
      </c>
      <c r="E304" s="32">
        <f>'Macro_Annual'!D36</f>
        <v/>
      </c>
      <c r="F304" s="37">
        <f>IFERROR(C304*'Macro_Annual'!$B$38/D304,"")</f>
        <v/>
      </c>
      <c r="G304" s="38">
        <f>IFERROR(C304*1000/E304,"")</f>
        <v/>
      </c>
      <c r="H304" t="inlineStr">
        <is>
          <t>OFFICIAL_AGGREGATE</t>
        </is>
      </c>
      <c r="I304" t="inlineStr">
        <is>
          <t>BACKFILL PROVISIONAL</t>
        </is>
      </c>
      <c r="J304" t="inlineStr">
        <is>
          <t>https://www.ande.gov.py/finanzas/ANDE%20-%20Resumen%20Estad%C3%ADstico%202020%20-%202024.pdf</t>
        </is>
      </c>
      <c r="K304" t="inlineStr">
        <is>
          <t>https://data.worldbank.org/indicator/FP.CPI.TOTL?locations=PY</t>
        </is>
      </c>
      <c r="L304" t="inlineStr">
        <is>
          <t>https://data.worldbank.org/indicator/PA.NUS.FCRF?locations=PY</t>
        </is>
      </c>
    </row>
    <row r="305">
      <c r="A305" t="n">
        <v>2023</v>
      </c>
      <c r="B305" t="inlineStr">
        <is>
          <t>ANDE_TARIFF_RESIDENTIAL</t>
        </is>
      </c>
      <c r="C305" s="24" t="n">
        <v>412.6</v>
      </c>
      <c r="D305" s="36">
        <f>'Macro_Annual'!B36</f>
        <v/>
      </c>
      <c r="E305" s="32">
        <f>'Macro_Annual'!D36</f>
        <v/>
      </c>
      <c r="F305" s="37">
        <f>IFERROR(C305*'Macro_Annual'!$B$38/D305,"")</f>
        <v/>
      </c>
      <c r="G305" s="38">
        <f>IFERROR(C305*1000/E305,"")</f>
        <v/>
      </c>
      <c r="H305" t="inlineStr">
        <is>
          <t>OFFICIAL_AGGREGATE</t>
        </is>
      </c>
      <c r="I305" t="inlineStr">
        <is>
          <t>BACKFILL PROVISIONAL</t>
        </is>
      </c>
      <c r="J305" t="inlineStr">
        <is>
          <t>https://www.ande.gov.py/finanzas/ANDE%20-%20Resumen%20Estad%C3%ADstico%202020%20-%202024.pdf</t>
        </is>
      </c>
      <c r="K305" t="inlineStr">
        <is>
          <t>https://data.worldbank.org/indicator/FP.CPI.TOTL?locations=PY</t>
        </is>
      </c>
      <c r="L305" t="inlineStr">
        <is>
          <t>https://data.worldbank.org/indicator/PA.NUS.FCRF?locations=PY</t>
        </is>
      </c>
    </row>
    <row r="306">
      <c r="A306" t="n">
        <v>2023</v>
      </c>
      <c r="B306" t="inlineStr">
        <is>
          <t>ANDE_TARIFF_SPECIAL_INTENSIVE</t>
        </is>
      </c>
      <c r="C306" s="24" t="n">
        <v>376.7</v>
      </c>
      <c r="D306" s="36">
        <f>'Macro_Annual'!B36</f>
        <v/>
      </c>
      <c r="E306" s="32">
        <f>'Macro_Annual'!D36</f>
        <v/>
      </c>
      <c r="F306" s="37">
        <f>IFERROR(C306*'Macro_Annual'!$B$38/D306,"")</f>
        <v/>
      </c>
      <c r="G306" s="38">
        <f>IFERROR(C306*1000/E306,"")</f>
        <v/>
      </c>
      <c r="H306" t="inlineStr">
        <is>
          <t>OFFICIAL_AGGREGATE</t>
        </is>
      </c>
      <c r="I306" t="inlineStr">
        <is>
          <t>BACKFILL PROVISIONAL</t>
        </is>
      </c>
      <c r="J306" t="inlineStr">
        <is>
          <t>https://www.ande.gov.py/finanzas/ANDE%20-%20Resumen%20Estad%C3%ADstico%202020%20-%202024.pdf</t>
        </is>
      </c>
      <c r="K306" t="inlineStr">
        <is>
          <t>https://data.worldbank.org/indicator/FP.CPI.TOTL?locations=PY</t>
        </is>
      </c>
      <c r="L306" t="inlineStr">
        <is>
          <t>https://data.worldbank.org/indicator/PA.NUS.FCRF?locations=PY</t>
        </is>
      </c>
    </row>
    <row r="307">
      <c r="A307" t="n">
        <v>2023</v>
      </c>
      <c r="B307" t="inlineStr">
        <is>
          <t>ANDE_TARIFF_VERY_HIGH_VOLTAGE</t>
        </is>
      </c>
      <c r="C307" s="24" t="n">
        <v>252.3</v>
      </c>
      <c r="D307" s="36">
        <f>'Macro_Annual'!B36</f>
        <v/>
      </c>
      <c r="E307" s="32">
        <f>'Macro_Annual'!D36</f>
        <v/>
      </c>
      <c r="F307" s="37">
        <f>IFERROR(C307*'Macro_Annual'!$B$38/D307,"")</f>
        <v/>
      </c>
      <c r="G307" s="38">
        <f>IFERROR(C307*1000/E307,"")</f>
        <v/>
      </c>
      <c r="H307" t="inlineStr">
        <is>
          <t>OFFICIAL_AGGREGATE</t>
        </is>
      </c>
      <c r="I307" t="inlineStr">
        <is>
          <t>BACKFILL PROVISIONAL</t>
        </is>
      </c>
      <c r="J307" t="inlineStr">
        <is>
          <t>https://www.ande.gov.py/finanzas/ANDE%20-%20Resumen%20Estad%C3%ADstico%202020%20-%202024.pdf</t>
        </is>
      </c>
      <c r="K307" t="inlineStr">
        <is>
          <t>https://data.worldbank.org/indicator/FP.CPI.TOTL?locations=PY</t>
        </is>
      </c>
      <c r="L307" t="inlineStr">
        <is>
          <t>https://data.worldbank.org/indicator/PA.NUS.FCRF?locations=PY</t>
        </is>
      </c>
    </row>
    <row r="308">
      <c r="A308" t="n">
        <v>2024</v>
      </c>
      <c r="B308" t="inlineStr">
        <is>
          <t>ANDE_TARIFF_DIFFERENTIAL</t>
        </is>
      </c>
      <c r="C308" s="24" t="n">
        <v>405.3</v>
      </c>
      <c r="D308" s="36">
        <f>'Macro_Annual'!B37</f>
        <v/>
      </c>
      <c r="E308" s="32">
        <f>'Macro_Annual'!D37</f>
        <v/>
      </c>
      <c r="F308" s="37">
        <f>IFERROR(C308*'Macro_Annual'!$B$38/D308,"")</f>
        <v/>
      </c>
      <c r="G308" s="38">
        <f>IFERROR(C308*1000/E308,"")</f>
        <v/>
      </c>
      <c r="H308" t="inlineStr">
        <is>
          <t>OFFICIAL_AGGREGATE</t>
        </is>
      </c>
      <c r="I308" t="inlineStr">
        <is>
          <t>BACKFILL PROVISIONAL</t>
        </is>
      </c>
      <c r="J308" t="inlineStr">
        <is>
          <t>https://www.ande.gov.py/finanzas/ANDE%20-%20Resumen%20Estad%C3%ADstico%202020%20-%202024.pdf</t>
        </is>
      </c>
      <c r="K308" t="inlineStr">
        <is>
          <t>https://data.worldbank.org/indicator/FP.CPI.TOTL?locations=PY</t>
        </is>
      </c>
      <c r="L308" t="inlineStr">
        <is>
          <t>https://data.worldbank.org/indicator/PA.NUS.FCRF?locations=PY</t>
        </is>
      </c>
    </row>
    <row r="309">
      <c r="A309" t="n">
        <v>2024</v>
      </c>
      <c r="B309" t="inlineStr">
        <is>
          <t>ANDE_TARIFF_ELECTROINTENSIVE</t>
        </is>
      </c>
      <c r="C309" s="24" t="n">
        <v>0</v>
      </c>
      <c r="D309" s="36">
        <f>'Macro_Annual'!B37</f>
        <v/>
      </c>
      <c r="E309" s="32">
        <f>'Macro_Annual'!D37</f>
        <v/>
      </c>
      <c r="F309" s="37">
        <f>IFERROR(C309*'Macro_Annual'!$B$38/D309,"")</f>
        <v/>
      </c>
      <c r="G309" s="38">
        <f>IFERROR(C309*1000/E309,"")</f>
        <v/>
      </c>
      <c r="H309" t="inlineStr">
        <is>
          <t>OFFICIAL_AGGREGATE</t>
        </is>
      </c>
      <c r="I309" t="inlineStr">
        <is>
          <t>BACKFILL PROVISIONAL</t>
        </is>
      </c>
      <c r="J309" t="inlineStr">
        <is>
          <t>https://www.ande.gov.py/finanzas/ANDE%20-%20Resumen%20Estad%C3%ADstico%202020%20-%202024.pdf</t>
        </is>
      </c>
      <c r="K309" t="inlineStr">
        <is>
          <t>https://data.worldbank.org/indicator/FP.CPI.TOTL?locations=PY</t>
        </is>
      </c>
      <c r="L309" t="inlineStr">
        <is>
          <t>https://data.worldbank.org/indicator/PA.NUS.FCRF?locations=PY</t>
        </is>
      </c>
    </row>
    <row r="310">
      <c r="A310" t="n">
        <v>2024</v>
      </c>
      <c r="B310" t="inlineStr">
        <is>
          <t>ANDE_TARIFF_EXPORT_AVG</t>
        </is>
      </c>
      <c r="C310" s="24" t="n">
        <v>899.3</v>
      </c>
      <c r="D310" s="36">
        <f>'Macro_Annual'!B37</f>
        <v/>
      </c>
      <c r="E310" s="32">
        <f>'Macro_Annual'!D37</f>
        <v/>
      </c>
      <c r="F310" s="37">
        <f>IFERROR(C310*'Macro_Annual'!$B$38/D310,"")</f>
        <v/>
      </c>
      <c r="G310" s="38">
        <f>IFERROR(C310*1000/E310,"")</f>
        <v/>
      </c>
      <c r="H310" t="inlineStr">
        <is>
          <t>OFFICIAL_AGGREGATE</t>
        </is>
      </c>
      <c r="I310" t="inlineStr">
        <is>
          <t>BACKFILL PROVISIONAL</t>
        </is>
      </c>
      <c r="J310" t="inlineStr">
        <is>
          <t>https://www.ande.gov.py/finanzas/ANDE%20-%20Resumen%20Estad%C3%ADstico%202020%20-%202024.pdf</t>
        </is>
      </c>
      <c r="K310" t="inlineStr">
        <is>
          <t>https://data.worldbank.org/indicator/FP.CPI.TOTL?locations=PY</t>
        </is>
      </c>
      <c r="L310" t="inlineStr">
        <is>
          <t>https://data.worldbank.org/indicator/PA.NUS.FCRF?locations=PY</t>
        </is>
      </c>
    </row>
    <row r="311">
      <c r="A311" t="n">
        <v>2024</v>
      </c>
      <c r="B311" t="inlineStr">
        <is>
          <t>ANDE_TARIFF_GENERAL_AVG</t>
        </is>
      </c>
      <c r="C311" s="24" t="n">
        <v>374.6</v>
      </c>
      <c r="D311" s="36">
        <f>'Macro_Annual'!B37</f>
        <v/>
      </c>
      <c r="E311" s="32">
        <f>'Macro_Annual'!D37</f>
        <v/>
      </c>
      <c r="F311" s="37">
        <f>IFERROR(C311*'Macro_Annual'!$B$38/D311,"")</f>
        <v/>
      </c>
      <c r="G311" s="38">
        <f>IFERROR(C311*1000/E311,"")</f>
        <v/>
      </c>
      <c r="H311" t="inlineStr">
        <is>
          <t>OFFICIAL_AGGREGATE</t>
        </is>
      </c>
      <c r="I311" t="inlineStr">
        <is>
          <t>BACKFILL PROVISIONAL</t>
        </is>
      </c>
      <c r="J311" t="inlineStr">
        <is>
          <t>https://www.ande.gov.py/finanzas/ANDE%20-%20Resumen%20Estad%C3%ADstico%202020%20-%202024.pdf</t>
        </is>
      </c>
      <c r="K311" t="inlineStr">
        <is>
          <t>https://data.worldbank.org/indicator/FP.CPI.TOTL?locations=PY</t>
        </is>
      </c>
      <c r="L311" t="inlineStr">
        <is>
          <t>https://data.worldbank.org/indicator/PA.NUS.FCRF?locations=PY</t>
        </is>
      </c>
    </row>
    <row r="312">
      <c r="A312" t="n">
        <v>2024</v>
      </c>
      <c r="B312" t="inlineStr">
        <is>
          <t>ANDE_TARIFF_GOV</t>
        </is>
      </c>
      <c r="C312" s="24" t="n">
        <v>383.7</v>
      </c>
      <c r="D312" s="36">
        <f>'Macro_Annual'!B37</f>
        <v/>
      </c>
      <c r="E312" s="32">
        <f>'Macro_Annual'!D37</f>
        <v/>
      </c>
      <c r="F312" s="37">
        <f>IFERROR(C312*'Macro_Annual'!$B$38/D312,"")</f>
        <v/>
      </c>
      <c r="G312" s="38">
        <f>IFERROR(C312*1000/E312,"")</f>
        <v/>
      </c>
      <c r="H312" t="inlineStr">
        <is>
          <t>OFFICIAL_AGGREGATE</t>
        </is>
      </c>
      <c r="I312" t="inlineStr">
        <is>
          <t>BACKFILL PROVISIONAL</t>
        </is>
      </c>
      <c r="J312" t="inlineStr">
        <is>
          <t>https://www.ande.gov.py/finanzas/ANDE%20-%20Resumen%20Estad%C3%ADstico%202020%20-%202024.pdf</t>
        </is>
      </c>
      <c r="K312" t="inlineStr">
        <is>
          <t>https://data.worldbank.org/indicator/FP.CPI.TOTL?locations=PY</t>
        </is>
      </c>
      <c r="L312" t="inlineStr">
        <is>
          <t>https://data.worldbank.org/indicator/PA.NUS.FCRF?locations=PY</t>
        </is>
      </c>
    </row>
    <row r="313">
      <c r="A313" t="n">
        <v>2024</v>
      </c>
      <c r="B313" t="inlineStr">
        <is>
          <t>ANDE_TARIFF_HIGH_VOLTAGE</t>
        </is>
      </c>
      <c r="C313" s="24" t="n">
        <v>220.8</v>
      </c>
      <c r="D313" s="36">
        <f>'Macro_Annual'!B37</f>
        <v/>
      </c>
      <c r="E313" s="32">
        <f>'Macro_Annual'!D37</f>
        <v/>
      </c>
      <c r="F313" s="37">
        <f>IFERROR(C313*'Macro_Annual'!$B$38/D313,"")</f>
        <v/>
      </c>
      <c r="G313" s="38">
        <f>IFERROR(C313*1000/E313,"")</f>
        <v/>
      </c>
      <c r="H313" t="inlineStr">
        <is>
          <t>OFFICIAL_AGGREGATE</t>
        </is>
      </c>
      <c r="I313" t="inlineStr">
        <is>
          <t>BACKFILL PROVISIONAL</t>
        </is>
      </c>
      <c r="J313" t="inlineStr">
        <is>
          <t>https://www.ande.gov.py/finanzas/ANDE%20-%20Resumen%20Estad%C3%ADstico%202020%20-%202024.pdf</t>
        </is>
      </c>
      <c r="K313" t="inlineStr">
        <is>
          <t>https://data.worldbank.org/indicator/FP.CPI.TOTL?locations=PY</t>
        </is>
      </c>
      <c r="L313" t="inlineStr">
        <is>
          <t>https://data.worldbank.org/indicator/PA.NUS.FCRF?locations=PY</t>
        </is>
      </c>
    </row>
    <row r="314">
      <c r="A314" t="n">
        <v>2024</v>
      </c>
      <c r="B314" t="inlineStr">
        <is>
          <t>ANDE_TARIFF_INDUSTRIAL</t>
        </is>
      </c>
      <c r="C314" s="24" t="n">
        <v>272.4</v>
      </c>
      <c r="D314" s="36">
        <f>'Macro_Annual'!B37</f>
        <v/>
      </c>
      <c r="E314" s="32">
        <f>'Macro_Annual'!D37</f>
        <v/>
      </c>
      <c r="F314" s="37">
        <f>IFERROR(C314*'Macro_Annual'!$B$38/D314,"")</f>
        <v/>
      </c>
      <c r="G314" s="38">
        <f>IFERROR(C314*1000/E314,"")</f>
        <v/>
      </c>
      <c r="H314" t="inlineStr">
        <is>
          <t>OFFICIAL_AGGREGATE</t>
        </is>
      </c>
      <c r="I314" t="inlineStr">
        <is>
          <t>BACKFILL PROVISIONAL</t>
        </is>
      </c>
      <c r="J314" t="inlineStr">
        <is>
          <t>https://www.ande.gov.py/finanzas/ANDE%20-%20Resumen%20Estad%C3%ADstico%202020%20-%202024.pdf</t>
        </is>
      </c>
      <c r="K314" t="inlineStr">
        <is>
          <t>https://data.worldbank.org/indicator/FP.CPI.TOTL?locations=PY</t>
        </is>
      </c>
      <c r="L314" t="inlineStr">
        <is>
          <t>https://data.worldbank.org/indicator/PA.NUS.FCRF?locations=PY</t>
        </is>
      </c>
    </row>
    <row r="315">
      <c r="A315" t="n">
        <v>2024</v>
      </c>
      <c r="B315" t="inlineStr">
        <is>
          <t>ANDE_TARIFF_NATIONAL_AVG</t>
        </is>
      </c>
      <c r="C315" s="24" t="n">
        <v>371.9</v>
      </c>
      <c r="D315" s="36">
        <f>'Macro_Annual'!B37</f>
        <v/>
      </c>
      <c r="E315" s="32">
        <f>'Macro_Annual'!D37</f>
        <v/>
      </c>
      <c r="F315" s="37">
        <f>IFERROR(C315*'Macro_Annual'!$B$38/D315,"")</f>
        <v/>
      </c>
      <c r="G315" s="38">
        <f>IFERROR(C315*1000/E315,"")</f>
        <v/>
      </c>
      <c r="H315" t="inlineStr">
        <is>
          <t>OFFICIAL_AGGREGATE</t>
        </is>
      </c>
      <c r="I315" t="inlineStr">
        <is>
          <t>BACKFILL PROVISIONAL</t>
        </is>
      </c>
      <c r="J315" t="inlineStr">
        <is>
          <t>https://www.ande.gov.py/finanzas/ANDE%20-%20Resumen%20Estad%C3%ADstico%202020%20-%202024.pdf</t>
        </is>
      </c>
      <c r="K315" t="inlineStr">
        <is>
          <t>https://data.worldbank.org/indicator/FP.CPI.TOTL?locations=PY</t>
        </is>
      </c>
      <c r="L315" t="inlineStr">
        <is>
          <t>https://data.worldbank.org/indicator/PA.NUS.FCRF?locations=PY</t>
        </is>
      </c>
    </row>
    <row r="316">
      <c r="A316" t="n">
        <v>2024</v>
      </c>
      <c r="B316" t="inlineStr">
        <is>
          <t>ANDE_TARIFF_OTHER</t>
        </is>
      </c>
      <c r="C316" s="24" t="n">
        <v>354.9</v>
      </c>
      <c r="D316" s="36">
        <f>'Macro_Annual'!B37</f>
        <v/>
      </c>
      <c r="E316" s="32">
        <f>'Macro_Annual'!D37</f>
        <v/>
      </c>
      <c r="F316" s="37">
        <f>IFERROR(C316*'Macro_Annual'!$B$38/D316,"")</f>
        <v/>
      </c>
      <c r="G316" s="38">
        <f>IFERROR(C316*1000/E316,"")</f>
        <v/>
      </c>
      <c r="H316" t="inlineStr">
        <is>
          <t>OFFICIAL_AGGREGATE</t>
        </is>
      </c>
      <c r="I316" t="inlineStr">
        <is>
          <t>BACKFILL PROVISIONAL</t>
        </is>
      </c>
      <c r="J316" t="inlineStr">
        <is>
          <t>https://www.ande.gov.py/finanzas/ANDE%20-%20Resumen%20Estad%C3%ADstico%202020%20-%202024.pdf</t>
        </is>
      </c>
      <c r="K316" t="inlineStr">
        <is>
          <t>https://data.worldbank.org/indicator/FP.CPI.TOTL?locations=PY</t>
        </is>
      </c>
      <c r="L316" t="inlineStr">
        <is>
          <t>https://data.worldbank.org/indicator/PA.NUS.FCRF?locations=PY</t>
        </is>
      </c>
    </row>
    <row r="317">
      <c r="A317" t="n">
        <v>2024</v>
      </c>
      <c r="B317" t="inlineStr">
        <is>
          <t>ANDE_TARIFF_PUBLIC_LIGHT</t>
        </is>
      </c>
      <c r="C317" s="24" t="n">
        <v>387.3</v>
      </c>
      <c r="D317" s="36">
        <f>'Macro_Annual'!B37</f>
        <v/>
      </c>
      <c r="E317" s="32">
        <f>'Macro_Annual'!D37</f>
        <v/>
      </c>
      <c r="F317" s="37">
        <f>IFERROR(C317*'Macro_Annual'!$B$38/D317,"")</f>
        <v/>
      </c>
      <c r="G317" s="38">
        <f>IFERROR(C317*1000/E317,"")</f>
        <v/>
      </c>
      <c r="H317" t="inlineStr">
        <is>
          <t>OFFICIAL_AGGREGATE</t>
        </is>
      </c>
      <c r="I317" t="inlineStr">
        <is>
          <t>BACKFILL PROVISIONAL</t>
        </is>
      </c>
      <c r="J317" t="inlineStr">
        <is>
          <t>https://www.ande.gov.py/finanzas/ANDE%20-%20Resumen%20Estad%C3%ADstico%202020%20-%202024.pdf</t>
        </is>
      </c>
      <c r="K317" t="inlineStr">
        <is>
          <t>https://data.worldbank.org/indicator/FP.CPI.TOTL?locations=PY</t>
        </is>
      </c>
      <c r="L317" t="inlineStr">
        <is>
          <t>https://data.worldbank.org/indicator/PA.NUS.FCRF?locations=PY</t>
        </is>
      </c>
    </row>
    <row r="318">
      <c r="A318" t="n">
        <v>2024</v>
      </c>
      <c r="B318" t="inlineStr">
        <is>
          <t>ANDE_TARIFF_RESIDENTIAL</t>
        </is>
      </c>
      <c r="C318" s="24" t="n">
        <v>415.5</v>
      </c>
      <c r="D318" s="36">
        <f>'Macro_Annual'!B37</f>
        <v/>
      </c>
      <c r="E318" s="32">
        <f>'Macro_Annual'!D37</f>
        <v/>
      </c>
      <c r="F318" s="37">
        <f>IFERROR(C318*'Macro_Annual'!$B$38/D318,"")</f>
        <v/>
      </c>
      <c r="G318" s="38">
        <f>IFERROR(C318*1000/E318,"")</f>
        <v/>
      </c>
      <c r="H318" t="inlineStr">
        <is>
          <t>OFFICIAL_AGGREGATE</t>
        </is>
      </c>
      <c r="I318" t="inlineStr">
        <is>
          <t>BACKFILL PROVISIONAL</t>
        </is>
      </c>
      <c r="J318" t="inlineStr">
        <is>
          <t>https://www.ande.gov.py/finanzas/ANDE%20-%20Resumen%20Estad%C3%ADstico%202020%20-%202024.pdf</t>
        </is>
      </c>
      <c r="K318" t="inlineStr">
        <is>
          <t>https://data.worldbank.org/indicator/FP.CPI.TOTL?locations=PY</t>
        </is>
      </c>
      <c r="L318" t="inlineStr">
        <is>
          <t>https://data.worldbank.org/indicator/PA.NUS.FCRF?locations=PY</t>
        </is>
      </c>
    </row>
    <row r="319">
      <c r="A319" t="n">
        <v>2024</v>
      </c>
      <c r="B319" t="inlineStr">
        <is>
          <t>ANDE_TARIFF_SPECIAL_INTENSIVE</t>
        </is>
      </c>
      <c r="C319" s="24" t="n">
        <v>356.1</v>
      </c>
      <c r="D319" s="36">
        <f>'Macro_Annual'!B37</f>
        <v/>
      </c>
      <c r="E319" s="32">
        <f>'Macro_Annual'!D37</f>
        <v/>
      </c>
      <c r="F319" s="37">
        <f>IFERROR(C319*'Macro_Annual'!$B$38/D319,"")</f>
        <v/>
      </c>
      <c r="G319" s="38">
        <f>IFERROR(C319*1000/E319,"")</f>
        <v/>
      </c>
      <c r="H319" t="inlineStr">
        <is>
          <t>OFFICIAL_AGGREGATE</t>
        </is>
      </c>
      <c r="I319" t="inlineStr">
        <is>
          <t>BACKFILL PROVISIONAL</t>
        </is>
      </c>
      <c r="J319" t="inlineStr">
        <is>
          <t>https://www.ande.gov.py/finanzas/ANDE%20-%20Resumen%20Estad%C3%ADstico%202020%20-%202024.pdf</t>
        </is>
      </c>
      <c r="K319" t="inlineStr">
        <is>
          <t>https://data.worldbank.org/indicator/FP.CPI.TOTL?locations=PY</t>
        </is>
      </c>
      <c r="L319" t="inlineStr">
        <is>
          <t>https://data.worldbank.org/indicator/PA.NUS.FCRF?locations=PY</t>
        </is>
      </c>
    </row>
    <row r="320">
      <c r="A320" t="n">
        <v>2024</v>
      </c>
      <c r="B320" t="inlineStr">
        <is>
          <t>ANDE_TARIFF_VERY_HIGH_VOLTAGE</t>
        </is>
      </c>
      <c r="C320" s="24" t="n">
        <v>244.5</v>
      </c>
      <c r="D320" s="36">
        <f>'Macro_Annual'!B37</f>
        <v/>
      </c>
      <c r="E320" s="32">
        <f>'Macro_Annual'!D37</f>
        <v/>
      </c>
      <c r="F320" s="37">
        <f>IFERROR(C320*'Macro_Annual'!$B$38/D320,"")</f>
        <v/>
      </c>
      <c r="G320" s="38">
        <f>IFERROR(C320*1000/E320,"")</f>
        <v/>
      </c>
      <c r="H320" t="inlineStr">
        <is>
          <t>OFFICIAL_AGGREGATE</t>
        </is>
      </c>
      <c r="I320" t="inlineStr">
        <is>
          <t>BACKFILL PROVISIONAL</t>
        </is>
      </c>
      <c r="J320" t="inlineStr">
        <is>
          <t>https://www.ande.gov.py/finanzas/ANDE%20-%20Resumen%20Estad%C3%ADstico%202020%20-%202024.pdf</t>
        </is>
      </c>
      <c r="K320" t="inlineStr">
        <is>
          <t>https://data.worldbank.org/indicator/FP.CPI.TOTL?locations=PY</t>
        </is>
      </c>
      <c r="L320" t="inlineStr">
        <is>
          <t>https://data.worldbank.org/indicator/PA.NUS.FCRF?locations=PY</t>
        </is>
      </c>
    </row>
  </sheetData>
  <autoFilter ref="A2:L320"/>
  <mergeCells count="1"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5" customWidth="1" min="2" max="2"/>
    <col width="62" customWidth="1" min="3" max="3"/>
    <col width="62" customWidth="1" min="4" max="4"/>
    <col width="58" customWidth="1" min="5" max="5"/>
  </cols>
  <sheetData>
    <row r="1">
      <c r="A1" s="20" t="inlineStr">
        <is>
          <t>EnergiaPY.live — Lineage y uso de macrodatos</t>
        </is>
      </c>
    </row>
    <row r="2">
      <c r="A2" s="5" t="inlineStr">
        <is>
          <t>Tema</t>
        </is>
      </c>
      <c r="B2" s="5" t="inlineStr">
        <is>
          <t>Regla</t>
        </is>
      </c>
      <c r="C2" s="5" t="inlineStr">
        <is>
          <t>Fuente primaria objetivo</t>
        </is>
      </c>
      <c r="D2" s="5" t="inlineStr">
        <is>
          <t>Backfill actual</t>
        </is>
      </c>
      <c r="E2" s="5" t="inlineStr">
        <is>
          <t>Uso en EnergiaPY</t>
        </is>
      </c>
    </row>
    <row r="3">
      <c r="A3" t="inlineStr">
        <is>
          <t>IPC</t>
        </is>
      </c>
      <c r="B3" t="inlineStr">
        <is>
          <t>BCP controla la serie final. WDI/IMF se usa como backfill provisional hasta reconciliar el XLSX empalmado BCP.</t>
        </is>
      </c>
      <c r="C3" t="inlineStr">
        <is>
          <t>https://www.bcp.gov.py/es/web/institucional/indice-precios-al-consumidor-ipc</t>
        </is>
      </c>
      <c r="D3" t="inlineStr">
        <is>
          <t>https://data.worldbank.org/indicator/FP.CPI.TOTL?locations=PY</t>
        </is>
      </c>
      <c r="E3" t="inlineStr">
        <is>
          <t>Tarifas en guaraníes reales, poder de compra y comparaciones históricas.</t>
        </is>
      </c>
    </row>
    <row r="4">
      <c r="A4" t="inlineStr">
        <is>
          <t>USD/PYG</t>
        </is>
      </c>
      <c r="B4" t="inlineStr">
        <is>
          <t>Usar promedio anual para históricos; cotización puntual solo para calculadoras actuales.</t>
        </is>
      </c>
      <c r="C4" t="inlineStr">
        <is>
          <t>https://www.bcp.gov.py/webapps/web/cotizacion/monedas-historica</t>
        </is>
      </c>
      <c r="D4" t="inlineStr">
        <is>
          <t>https://data.worldbank.org/indicator/PA.NUS.FCRF?locations=PY</t>
        </is>
      </c>
      <c r="E4" t="inlineStr">
        <is>
          <t>Convertir Gs/kWh a USD/MWh sin usar el dólar actual para años pasados.</t>
        </is>
      </c>
    </row>
    <row r="5">
      <c r="A5" t="inlineStr">
        <is>
          <t>2026 actual</t>
        </is>
      </c>
      <c r="B5" t="inlineStr">
        <is>
          <t>No inferir promedio anual 2026 desde una cotización puntual. Guardar observaciones BCP con fecha.</t>
        </is>
      </c>
      <c r="C5" t="inlineStr">
        <is>
          <t>https://www.bcp.gov.py/webapps/web/cotizacion/monedas</t>
        </is>
      </c>
      <c r="D5" t="inlineStr">
        <is>
          <t>N/A</t>
        </is>
      </c>
      <c r="E5" t="inlineStr">
        <is>
          <t>Calculadora ciudadanía y contexto actual.</t>
        </is>
      </c>
    </row>
    <row r="6">
      <c r="A6" t="inlineStr">
        <is>
          <t>Expectativas</t>
        </is>
      </c>
      <c r="B6" t="inlineStr">
        <is>
          <t>EVE es expectativa de agentes, no dato realizado.</t>
        </is>
      </c>
      <c r="C6" t="inlineStr">
        <is>
          <t>https://www.bcp.gov.py/es/web/institucional/w/encuesta-de-expectativas-de-variables-econ%C3%B3micas-agosto-2026/-/categories/158845</t>
        </is>
      </c>
      <c r="D6" t="inlineStr">
        <is>
          <t>N/A</t>
        </is>
      </c>
      <c r="E6" t="inlineStr">
        <is>
          <t>Escenarios, no históricos realizados.</t>
        </is>
      </c>
    </row>
    <row r="7">
      <c r="A7" t="inlineStr">
        <is>
          <t>Revisión</t>
        </is>
      </c>
      <c r="B7" t="inlineStr">
        <is>
          <t>Cuando el collector BCP ingiera el bruto oficial, comparar diferencias y elevar BCP a canonical sin borrar el backfill.</t>
        </is>
      </c>
      <c r="C7" t="inlineStr">
        <is>
          <t>https://www.bcp.gov.py/es/web/institucional/indice-precios-al-consumidor-ipc | https://www.bcp.gov.py/webapps/web/cotizacion/monedas-historica</t>
        </is>
      </c>
      <c r="D7" t="inlineStr">
        <is>
          <t>https://data.worldbank.org/indicator/FP.CPI.TOTL?locations=PY | https://data.worldbank.org/indicator/PA.NUS.FCRF?locations=PY</t>
        </is>
      </c>
      <c r="E7" t="inlineStr">
        <is>
          <t>Auditoría y reproducibilidad.</t>
        </is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42" customWidth="1" min="12" max="12"/>
    <col width="48" customWidth="1" min="13" max="13"/>
  </cols>
  <sheetData>
    <row r="1" ht="32" customHeight="1">
      <c r="A1" s="5" t="inlineStr">
        <is>
          <t>term_id</t>
        </is>
      </c>
      <c r="B1" s="5" t="inlineStr">
        <is>
          <t>term_code</t>
        </is>
      </c>
      <c r="C1" s="5" t="inlineStr">
        <is>
          <t>asset_code</t>
        </is>
      </c>
      <c r="D1" s="5" t="inlineStr">
        <is>
          <t>effective_from</t>
        </is>
      </c>
      <c r="E1" s="5" t="inlineStr">
        <is>
          <t>effective_to</t>
        </is>
      </c>
      <c r="F1" s="5" t="inlineStr">
        <is>
          <t>concept</t>
        </is>
      </c>
      <c r="G1" s="5" t="inlineStr">
        <is>
          <t>value</t>
        </is>
      </c>
      <c r="H1" s="5" t="inlineStr">
        <is>
          <t>unit</t>
        </is>
      </c>
      <c r="I1" s="5" t="inlineStr">
        <is>
          <t>currency</t>
        </is>
      </c>
      <c r="J1" s="5" t="inlineStr">
        <is>
          <t>source_code</t>
        </is>
      </c>
      <c r="K1" s="5" t="inlineStr">
        <is>
          <t>authority_class</t>
        </is>
      </c>
      <c r="L1" s="5" t="inlineStr">
        <is>
          <t>source_url</t>
        </is>
      </c>
      <c r="M1" s="5" t="inlineStr">
        <is>
          <t>notes</t>
        </is>
      </c>
    </row>
    <row r="2">
      <c r="A2" s="6" t="inlineStr">
        <is>
          <t>T0001</t>
        </is>
      </c>
      <c r="B2" s="6" t="inlineStr">
        <is>
          <t>YACYRETA_RIGHT_SHARE</t>
        </is>
      </c>
      <c r="C2" s="6" t="inlineStr">
        <is>
          <t>YACYRETA</t>
        </is>
      </c>
      <c r="D2" s="6" t="inlineStr">
        <is>
          <t>1973-12-13</t>
        </is>
      </c>
      <c r="E2" s="6" t="inlineStr"/>
      <c r="F2" s="6" t="inlineStr">
        <is>
          <t>Derecho de cada Parte sobre energia generada</t>
        </is>
      </c>
      <c r="G2" s="8" t="n">
        <v>50</v>
      </c>
      <c r="H2" s="6" t="inlineStr">
        <is>
          <t>percent</t>
        </is>
      </c>
      <c r="I2" s="6" t="inlineStr"/>
      <c r="J2" s="6" t="inlineStr">
        <is>
          <t>BACN</t>
        </is>
      </c>
      <c r="K2" s="6" t="inlineStr">
        <is>
          <t>OFFICIAL_LEGAL</t>
        </is>
      </c>
      <c r="L2" s="7" t="inlineStr">
        <is>
          <t>https://www.bacn.gov.py/leyes-paraguayas/8397/ley-n-6135-aprueba-el-acuerdo-por-notas-reversales-n-r-n-2-17-para-el-ordenamiento-econ-mico-y-financiero-de-la-entidad-binacional-yacyret-entre-la-rep-blica-del-paraguay-y-la-rep-blica-argentina</t>
        </is>
      </c>
      <c r="M2" s="4" t="inlineStr">
        <is>
          <t>Tratado/ordenamiento binacional; energia no utilizada puede cederse con compensacion.</t>
        </is>
      </c>
    </row>
    <row r="3">
      <c r="A3" s="6" t="inlineStr">
        <is>
          <t>T0002</t>
        </is>
      </c>
      <c r="B3" s="6" t="inlineStr">
        <is>
          <t>YACYRETA_CESSION_BASE_PRE2017</t>
        </is>
      </c>
      <c r="C3" s="6" t="inlineStr">
        <is>
          <t>YACYRETA</t>
        </is>
      </c>
      <c r="D3" s="6" t="inlineStr"/>
      <c r="E3" s="6" t="inlineStr">
        <is>
          <t>2016-12-31</t>
        </is>
      </c>
      <c r="F3" s="6" t="inlineStr">
        <is>
          <t>Compensacion unitaria por energia cedida</t>
        </is>
      </c>
      <c r="G3" s="8" t="n">
        <v>2998</v>
      </c>
      <c r="H3" s="6" t="inlineStr">
        <is>
          <t>USD/GWh</t>
        </is>
      </c>
      <c r="I3" s="6" t="inlineStr">
        <is>
          <t>USD</t>
        </is>
      </c>
      <c r="J3" s="6" t="inlineStr">
        <is>
          <t>BACN</t>
        </is>
      </c>
      <c r="K3" s="6" t="inlineStr">
        <is>
          <t>OFFICIAL_LEGAL</t>
        </is>
      </c>
      <c r="L3" s="7" t="inlineStr">
        <is>
          <t>https://www.bacn.gov.py/leyes-paraguayas/8397/ley-n-6135-aprueba-el-acuerdo-por-notas-reversales-n-r-n-2-17-para-el-ordenamiento-econ-mico-y-financiero-de-la-entidad-binacional-yacyret-entre-la-rep-blica-del-paraguay-y-la-rep-blica-argentina</t>
        </is>
      </c>
      <c r="M3" s="4" t="inlineStr">
        <is>
          <t>Valor base marzo 1974; se mantiene constante mediante formula de actualizacion.</t>
        </is>
      </c>
    </row>
    <row r="4">
      <c r="A4" s="6" t="inlineStr">
        <is>
          <t>T0003</t>
        </is>
      </c>
      <c r="B4" s="6" t="inlineStr">
        <is>
          <t>YACYRETA_CESSION_BASE_2017</t>
        </is>
      </c>
      <c r="C4" s="6" t="inlineStr">
        <is>
          <t>YACYRETA</t>
        </is>
      </c>
      <c r="D4" s="6" t="inlineStr">
        <is>
          <t>2017-01-01</t>
        </is>
      </c>
      <c r="E4" s="6" t="inlineStr"/>
      <c r="F4" s="6" t="inlineStr">
        <is>
          <t>Compensacion unitaria por energia cedida</t>
        </is>
      </c>
      <c r="G4" s="8" t="n">
        <v>3598</v>
      </c>
      <c r="H4" s="6" t="inlineStr">
        <is>
          <t>USD/GWh</t>
        </is>
      </c>
      <c r="I4" s="6" t="inlineStr">
        <is>
          <t>USD</t>
        </is>
      </c>
      <c r="J4" s="6" t="inlineStr">
        <is>
          <t>BACN</t>
        </is>
      </c>
      <c r="K4" s="6" t="inlineStr">
        <is>
          <t>OFFICIAL_LEGAL</t>
        </is>
      </c>
      <c r="L4" s="7" t="inlineStr">
        <is>
          <t>https://www.bacn.gov.py/leyes-paraguayas/8397/ley-n-6135-aprueba-el-acuerdo-por-notas-reversales-n-r-n-2-17-para-el-ordenamiento-econ-mico-y-financiero-de-la-entidad-binacional-yacyret-entre-la-rep-blica-del-paraguay-y-la-rep-blica-argentina</t>
        </is>
      </c>
      <c r="M4" s="4" t="inlineStr">
        <is>
          <t>Valor base marzo 1974, sujeto a actualizacion contractual.</t>
        </is>
      </c>
    </row>
    <row r="5">
      <c r="A5" s="6" t="inlineStr">
        <is>
          <t>T0004</t>
        </is>
      </c>
      <c r="B5" s="6" t="inlineStr">
        <is>
          <t>YACYRETA_MIN_ANNUAL_COMP</t>
        </is>
      </c>
      <c r="C5" s="6" t="inlineStr">
        <is>
          <t>YACYRETA</t>
        </is>
      </c>
      <c r="D5" s="6" t="inlineStr"/>
      <c r="E5" s="6" t="inlineStr"/>
      <c r="F5" s="6" t="inlineStr">
        <is>
          <t>Compensacion minima anual</t>
        </is>
      </c>
      <c r="G5" s="8" t="n">
        <v>9000000</v>
      </c>
      <c r="H5" s="6" t="inlineStr">
        <is>
          <t>USD/year</t>
        </is>
      </c>
      <c r="I5" s="6" t="inlineStr">
        <is>
          <t>USD</t>
        </is>
      </c>
      <c r="J5" s="6" t="inlineStr">
        <is>
          <t>BACN</t>
        </is>
      </c>
      <c r="K5" s="6" t="inlineStr">
        <is>
          <t>OFFICIAL_LEGAL</t>
        </is>
      </c>
      <c r="L5" s="7" t="inlineStr">
        <is>
          <t>https://www.bacn.gov.py/leyes-paraguayas/8397/ley-n-6135-aprueba-el-acuerdo-por-notas-reversales-n-r-n-2-17-para-el-ordenamiento-econ-mico-y-financiero-de-la-entidad-binacional-yacyret-entre-la-rep-blica-del-paraguay-y-la-rep-blica-argentina</t>
        </is>
      </c>
      <c r="M5" s="4" t="inlineStr">
        <is>
          <t>Referencia del regimen contractual; verificar aplicabilidad por periodo antes de uso analitico.</t>
        </is>
      </c>
    </row>
    <row r="6">
      <c r="A6" s="6" t="inlineStr">
        <is>
          <t>T0005</t>
        </is>
      </c>
      <c r="B6" s="6" t="inlineStr">
        <is>
          <t>ACARAY_COPEL_CONTRACT</t>
        </is>
      </c>
      <c r="C6" s="6" t="inlineStr">
        <is>
          <t>ACARAY</t>
        </is>
      </c>
      <c r="D6" s="6" t="inlineStr">
        <is>
          <t>1969-12-03</t>
        </is>
      </c>
      <c r="E6" s="6" t="inlineStr">
        <is>
          <t>2014-12-31</t>
        </is>
      </c>
      <c r="F6" s="6" t="inlineStr">
        <is>
          <t>Contrato de interconexion y abastecimiento ANDE-COPEL</t>
        </is>
      </c>
      <c r="G6" s="6" t="n"/>
      <c r="H6" s="6" t="inlineStr"/>
      <c r="I6" s="6" t="inlineStr"/>
      <c r="J6" s="6" t="inlineStr">
        <is>
          <t>ANDE</t>
        </is>
      </c>
      <c r="K6" s="6" t="inlineStr">
        <is>
          <t>OFFICIAL_PRIMARY</t>
        </is>
      </c>
      <c r="L6" s="7" t="inlineStr">
        <is>
          <t>https://www.ande.gov.py/interna.php?id=8362</t>
        </is>
      </c>
      <c r="M6" s="4" t="inlineStr">
        <is>
          <t>Venta, compra, entrega y recepcion de energia; linea 138 kV Acaray-Foz.</t>
        </is>
      </c>
    </row>
    <row r="7">
      <c r="A7" s="6" t="inlineStr">
        <is>
          <t>T0006</t>
        </is>
      </c>
      <c r="B7" s="6" t="inlineStr">
        <is>
          <t>ACARAY_BRAZIL_ACL_TENDER</t>
        </is>
      </c>
      <c r="C7" s="6" t="inlineStr">
        <is>
          <t>ACARAY</t>
        </is>
      </c>
      <c r="D7" s="6" t="inlineStr">
        <is>
          <t>2024-05-31</t>
        </is>
      </c>
      <c r="E7" s="6" t="inlineStr"/>
      <c r="F7" s="6" t="inlineStr">
        <is>
          <t>Concurso para venta de 100 MW medios al ACL Brasil</t>
        </is>
      </c>
      <c r="G7" s="8" t="n">
        <v>100</v>
      </c>
      <c r="H7" s="6" t="inlineStr">
        <is>
          <t>MWavg</t>
        </is>
      </c>
      <c r="I7" s="6" t="inlineStr"/>
      <c r="J7" s="6" t="inlineStr">
        <is>
          <t>ANDE</t>
        </is>
      </c>
      <c r="K7" s="6" t="inlineStr">
        <is>
          <t>OFFICIAL_PRIMARY</t>
        </is>
      </c>
      <c r="L7" s="7" t="inlineStr">
        <is>
          <t>https://www.ande.gov.py/interna.php?id=12352</t>
        </is>
      </c>
      <c r="M7" s="4" t="inlineStr">
        <is>
          <t>Plazo 1-6 años; entrega en SMD vinculada a frontera Itaipu. Ofertas no equivalen a contrato.</t>
        </is>
      </c>
    </row>
  </sheetData>
  <autoFilter ref="A1:M7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6" customWidth="1" min="4" max="4"/>
    <col width="3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42" customWidth="1" min="14" max="14"/>
    <col width="48" customWidth="1" min="15" max="15"/>
  </cols>
  <sheetData>
    <row r="1" ht="32" customHeight="1">
      <c r="A1" s="5" t="inlineStr">
        <is>
          <t>transaction_id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grain</t>
        </is>
      </c>
      <c r="E1" s="5" t="inlineStr">
        <is>
          <t>transaction_code</t>
        </is>
      </c>
      <c r="F1" s="5" t="inlineStr">
        <is>
          <t>asset_code</t>
        </is>
      </c>
      <c r="G1" s="5" t="inlineStr">
        <is>
          <t>payer</t>
        </is>
      </c>
      <c r="H1" s="5" t="inlineStr">
        <is>
          <t>payee</t>
        </is>
      </c>
      <c r="I1" s="5" t="inlineStr">
        <is>
          <t>value</t>
        </is>
      </c>
      <c r="J1" s="5" t="inlineStr">
        <is>
          <t>currency</t>
        </is>
      </c>
      <c r="K1" s="5" t="inlineStr">
        <is>
          <t>source_code</t>
        </is>
      </c>
      <c r="L1" s="5" t="inlineStr">
        <is>
          <t>authority_class</t>
        </is>
      </c>
      <c r="M1" s="5" t="inlineStr">
        <is>
          <t>quality_class</t>
        </is>
      </c>
      <c r="N1" s="5" t="inlineStr">
        <is>
          <t>source_url</t>
        </is>
      </c>
      <c r="O1" s="5" t="inlineStr">
        <is>
          <t>notes</t>
        </is>
      </c>
    </row>
    <row r="2">
      <c r="A2" s="6" t="inlineStr">
        <is>
          <t>X00001</t>
        </is>
      </c>
      <c r="B2" s="6" t="inlineStr">
        <is>
          <t>1989-01-01</t>
        </is>
      </c>
      <c r="C2" s="6" t="inlineStr">
        <is>
          <t>1989-12-31</t>
        </is>
      </c>
      <c r="D2" s="6" t="inlineStr">
        <is>
          <t>year</t>
        </is>
      </c>
      <c r="E2" s="6" t="inlineStr">
        <is>
          <t>ITAIPU_ROYALTIES_CASH</t>
        </is>
      </c>
      <c r="F2" s="6" t="inlineStr">
        <is>
          <t>ITAIPU</t>
        </is>
      </c>
      <c r="G2" s="6" t="inlineStr">
        <is>
          <t>ITAIPU</t>
        </is>
      </c>
      <c r="H2" s="6" t="inlineStr">
        <is>
          <t>PY_TREASURY</t>
        </is>
      </c>
      <c r="I2" s="8" t="n">
        <v>36734560</v>
      </c>
      <c r="J2" s="6" t="inlineStr">
        <is>
          <t>USD</t>
        </is>
      </c>
      <c r="K2" s="6" t="inlineStr">
        <is>
          <t>ITAIPU</t>
        </is>
      </c>
      <c r="L2" s="6" t="inlineStr">
        <is>
          <t>OFFICIAL_PRIMARY</t>
        </is>
      </c>
      <c r="M2" s="9" t="inlineStr">
        <is>
          <t>OFFICIAL_ACCOUNTING</t>
        </is>
      </c>
      <c r="N2" s="7" t="inlineStr">
        <is>
          <t>https://www.itaipu.gov.py/wp-content/uploads/2026/04/03-Planillas-de-Royalties-31_03_26.pdf</t>
        </is>
      </c>
      <c r="O2" s="4" t="inlineStr">
        <is>
          <t>Regimen de caja; planilla anual oficial.</t>
        </is>
      </c>
    </row>
    <row r="3">
      <c r="A3" s="6" t="inlineStr">
        <is>
          <t>X00002</t>
        </is>
      </c>
      <c r="B3" s="6" t="inlineStr">
        <is>
          <t>1990-01-01</t>
        </is>
      </c>
      <c r="C3" s="6" t="inlineStr">
        <is>
          <t>1990-12-31</t>
        </is>
      </c>
      <c r="D3" s="6" t="inlineStr">
        <is>
          <t>year</t>
        </is>
      </c>
      <c r="E3" s="6" t="inlineStr">
        <is>
          <t>ITAIPU_ROYALTIES_CASH</t>
        </is>
      </c>
      <c r="F3" s="6" t="inlineStr">
        <is>
          <t>ITAIPU</t>
        </is>
      </c>
      <c r="G3" s="6" t="inlineStr">
        <is>
          <t>ITAIPU</t>
        </is>
      </c>
      <c r="H3" s="6" t="inlineStr">
        <is>
          <t>PY_TREASURY</t>
        </is>
      </c>
      <c r="I3" s="8" t="n">
        <v>80245850</v>
      </c>
      <c r="J3" s="6" t="inlineStr">
        <is>
          <t>USD</t>
        </is>
      </c>
      <c r="K3" s="6" t="inlineStr">
        <is>
          <t>ITAIPU</t>
        </is>
      </c>
      <c r="L3" s="6" t="inlineStr">
        <is>
          <t>OFFICIAL_PRIMARY</t>
        </is>
      </c>
      <c r="M3" s="9" t="inlineStr">
        <is>
          <t>OFFICIAL_ACCOUNTING</t>
        </is>
      </c>
      <c r="N3" s="7" t="inlineStr">
        <is>
          <t>https://www.itaipu.gov.py/wp-content/uploads/2026/04/03-Planillas-de-Royalties-31_03_26.pdf</t>
        </is>
      </c>
      <c r="O3" s="4" t="inlineStr">
        <is>
          <t>Regimen de caja; planilla anual oficial.</t>
        </is>
      </c>
    </row>
    <row r="4">
      <c r="A4" s="6" t="inlineStr">
        <is>
          <t>X00003</t>
        </is>
      </c>
      <c r="B4" s="6" t="inlineStr">
        <is>
          <t>1991-01-01</t>
        </is>
      </c>
      <c r="C4" s="6" t="inlineStr">
        <is>
          <t>1991-12-31</t>
        </is>
      </c>
      <c r="D4" s="6" t="inlineStr">
        <is>
          <t>year</t>
        </is>
      </c>
      <c r="E4" s="6" t="inlineStr">
        <is>
          <t>ITAIPU_ROYALTIES_CASH</t>
        </is>
      </c>
      <c r="F4" s="6" t="inlineStr">
        <is>
          <t>ITAIPU</t>
        </is>
      </c>
      <c r="G4" s="6" t="inlineStr">
        <is>
          <t>ITAIPU</t>
        </is>
      </c>
      <c r="H4" s="6" t="inlineStr">
        <is>
          <t>PY_TREASURY</t>
        </is>
      </c>
      <c r="I4" s="8" t="n">
        <v>77925100</v>
      </c>
      <c r="J4" s="6" t="inlineStr">
        <is>
          <t>USD</t>
        </is>
      </c>
      <c r="K4" s="6" t="inlineStr">
        <is>
          <t>ITAIPU</t>
        </is>
      </c>
      <c r="L4" s="6" t="inlineStr">
        <is>
          <t>OFFICIAL_PRIMARY</t>
        </is>
      </c>
      <c r="M4" s="9" t="inlineStr">
        <is>
          <t>OFFICIAL_ACCOUNTING</t>
        </is>
      </c>
      <c r="N4" s="7" t="inlineStr">
        <is>
          <t>https://www.itaipu.gov.py/wp-content/uploads/2026/04/03-Planillas-de-Royalties-31_03_26.pdf</t>
        </is>
      </c>
      <c r="O4" s="4" t="inlineStr">
        <is>
          <t>Regimen de caja; planilla anual oficial.</t>
        </is>
      </c>
    </row>
    <row r="5">
      <c r="A5" s="6" t="inlineStr">
        <is>
          <t>X00004</t>
        </is>
      </c>
      <c r="B5" s="6" t="inlineStr">
        <is>
          <t>1992-01-01</t>
        </is>
      </c>
      <c r="C5" s="6" t="inlineStr">
        <is>
          <t>1992-12-31</t>
        </is>
      </c>
      <c r="D5" s="6" t="inlineStr">
        <is>
          <t>year</t>
        </is>
      </c>
      <c r="E5" s="6" t="inlineStr">
        <is>
          <t>ITAIPU_ROYALTIES_CASH</t>
        </is>
      </c>
      <c r="F5" s="6" t="inlineStr">
        <is>
          <t>ITAIPU</t>
        </is>
      </c>
      <c r="G5" s="6" t="inlineStr">
        <is>
          <t>ITAIPU</t>
        </is>
      </c>
      <c r="H5" s="6" t="inlineStr">
        <is>
          <t>PY_TREASURY</t>
        </is>
      </c>
      <c r="I5" s="8" t="n">
        <v>123886090</v>
      </c>
      <c r="J5" s="6" t="inlineStr">
        <is>
          <t>USD</t>
        </is>
      </c>
      <c r="K5" s="6" t="inlineStr">
        <is>
          <t>ITAIPU</t>
        </is>
      </c>
      <c r="L5" s="6" t="inlineStr">
        <is>
          <t>OFFICIAL_PRIMARY</t>
        </is>
      </c>
      <c r="M5" s="9" t="inlineStr">
        <is>
          <t>OFFICIAL_ACCOUNTING</t>
        </is>
      </c>
      <c r="N5" s="7" t="inlineStr">
        <is>
          <t>https://www.itaipu.gov.py/wp-content/uploads/2026/04/03-Planillas-de-Royalties-31_03_26.pdf</t>
        </is>
      </c>
      <c r="O5" s="4" t="inlineStr">
        <is>
          <t>Regimen de caja; planilla anual oficial.</t>
        </is>
      </c>
    </row>
    <row r="6">
      <c r="A6" s="6" t="inlineStr">
        <is>
          <t>X00005</t>
        </is>
      </c>
      <c r="B6" s="6" t="inlineStr">
        <is>
          <t>1993-01-01</t>
        </is>
      </c>
      <c r="C6" s="6" t="inlineStr">
        <is>
          <t>1993-12-31</t>
        </is>
      </c>
      <c r="D6" s="6" t="inlineStr">
        <is>
          <t>year</t>
        </is>
      </c>
      <c r="E6" s="6" t="inlineStr">
        <is>
          <t>ITAIPU_ROYALTIES_CASH</t>
        </is>
      </c>
      <c r="F6" s="6" t="inlineStr">
        <is>
          <t>ITAIPU</t>
        </is>
      </c>
      <c r="G6" s="6" t="inlineStr">
        <is>
          <t>ITAIPU</t>
        </is>
      </c>
      <c r="H6" s="6" t="inlineStr">
        <is>
          <t>PY_TREASURY</t>
        </is>
      </c>
      <c r="I6" s="8" t="n">
        <v>123787990</v>
      </c>
      <c r="J6" s="6" t="inlineStr">
        <is>
          <t>USD</t>
        </is>
      </c>
      <c r="K6" s="6" t="inlineStr">
        <is>
          <t>ITAIPU</t>
        </is>
      </c>
      <c r="L6" s="6" t="inlineStr">
        <is>
          <t>OFFICIAL_PRIMARY</t>
        </is>
      </c>
      <c r="M6" s="9" t="inlineStr">
        <is>
          <t>OFFICIAL_ACCOUNTING</t>
        </is>
      </c>
      <c r="N6" s="7" t="inlineStr">
        <is>
          <t>https://www.itaipu.gov.py/wp-content/uploads/2026/04/03-Planillas-de-Royalties-31_03_26.pdf</t>
        </is>
      </c>
      <c r="O6" s="4" t="inlineStr">
        <is>
          <t>Regimen de caja; planilla anual oficial.</t>
        </is>
      </c>
    </row>
    <row r="7">
      <c r="A7" s="6" t="inlineStr">
        <is>
          <t>X00006</t>
        </is>
      </c>
      <c r="B7" s="6" t="inlineStr">
        <is>
          <t>1994-01-01</t>
        </is>
      </c>
      <c r="C7" s="6" t="inlineStr">
        <is>
          <t>1994-12-31</t>
        </is>
      </c>
      <c r="D7" s="6" t="inlineStr">
        <is>
          <t>year</t>
        </is>
      </c>
      <c r="E7" s="6" t="inlineStr">
        <is>
          <t>ITAIPU_ROYALTIES_CASH</t>
        </is>
      </c>
      <c r="F7" s="6" t="inlineStr">
        <is>
          <t>ITAIPU</t>
        </is>
      </c>
      <c r="G7" s="6" t="inlineStr">
        <is>
          <t>ITAIPU</t>
        </is>
      </c>
      <c r="H7" s="6" t="inlineStr">
        <is>
          <t>PY_TREASURY</t>
        </is>
      </c>
      <c r="I7" s="8" t="n">
        <v>160303310</v>
      </c>
      <c r="J7" s="6" t="inlineStr">
        <is>
          <t>USD</t>
        </is>
      </c>
      <c r="K7" s="6" t="inlineStr">
        <is>
          <t>ITAIPU</t>
        </is>
      </c>
      <c r="L7" s="6" t="inlineStr">
        <is>
          <t>OFFICIAL_PRIMARY</t>
        </is>
      </c>
      <c r="M7" s="9" t="inlineStr">
        <is>
          <t>OFFICIAL_ACCOUNTING</t>
        </is>
      </c>
      <c r="N7" s="7" t="inlineStr">
        <is>
          <t>https://www.itaipu.gov.py/wp-content/uploads/2026/04/03-Planillas-de-Royalties-31_03_26.pdf</t>
        </is>
      </c>
      <c r="O7" s="4" t="inlineStr">
        <is>
          <t>Regimen de caja; planilla anual oficial.</t>
        </is>
      </c>
    </row>
    <row r="8">
      <c r="A8" s="6" t="inlineStr">
        <is>
          <t>X00007</t>
        </is>
      </c>
      <c r="B8" s="6" t="inlineStr">
        <is>
          <t>1995-01-01</t>
        </is>
      </c>
      <c r="C8" s="6" t="inlineStr">
        <is>
          <t>1995-12-31</t>
        </is>
      </c>
      <c r="D8" s="6" t="inlineStr">
        <is>
          <t>year</t>
        </is>
      </c>
      <c r="E8" s="6" t="inlineStr">
        <is>
          <t>ITAIPU_ROYALTIES_CASH</t>
        </is>
      </c>
      <c r="F8" s="6" t="inlineStr">
        <is>
          <t>ITAIPU</t>
        </is>
      </c>
      <c r="G8" s="6" t="inlineStr">
        <is>
          <t>ITAIPU</t>
        </is>
      </c>
      <c r="H8" s="6" t="inlineStr">
        <is>
          <t>PY_TREASURY</t>
        </is>
      </c>
      <c r="I8" s="8" t="n">
        <v>123154740</v>
      </c>
      <c r="J8" s="6" t="inlineStr">
        <is>
          <t>USD</t>
        </is>
      </c>
      <c r="K8" s="6" t="inlineStr">
        <is>
          <t>ITAIPU</t>
        </is>
      </c>
      <c r="L8" s="6" t="inlineStr">
        <is>
          <t>OFFICIAL_PRIMARY</t>
        </is>
      </c>
      <c r="M8" s="9" t="inlineStr">
        <is>
          <t>OFFICIAL_ACCOUNTING</t>
        </is>
      </c>
      <c r="N8" s="7" t="inlineStr">
        <is>
          <t>https://www.itaipu.gov.py/wp-content/uploads/2026/04/03-Planillas-de-Royalties-31_03_26.pdf</t>
        </is>
      </c>
      <c r="O8" s="4" t="inlineStr">
        <is>
          <t>Regimen de caja; planilla anual oficial.</t>
        </is>
      </c>
    </row>
    <row r="9">
      <c r="A9" s="6" t="inlineStr">
        <is>
          <t>X00008</t>
        </is>
      </c>
      <c r="B9" s="6" t="inlineStr">
        <is>
          <t>1996-01-01</t>
        </is>
      </c>
      <c r="C9" s="6" t="inlineStr">
        <is>
          <t>1996-12-31</t>
        </is>
      </c>
      <c r="D9" s="6" t="inlineStr">
        <is>
          <t>year</t>
        </is>
      </c>
      <c r="E9" s="6" t="inlineStr">
        <is>
          <t>ITAIPU_ROYALTIES_CASH</t>
        </is>
      </c>
      <c r="F9" s="6" t="inlineStr">
        <is>
          <t>ITAIPU</t>
        </is>
      </c>
      <c r="G9" s="6" t="inlineStr">
        <is>
          <t>ITAIPU</t>
        </is>
      </c>
      <c r="H9" s="6" t="inlineStr">
        <is>
          <t>PY_TREASURY</t>
        </is>
      </c>
      <c r="I9" s="8" t="n">
        <v>104214460</v>
      </c>
      <c r="J9" s="6" t="inlineStr">
        <is>
          <t>USD</t>
        </is>
      </c>
      <c r="K9" s="6" t="inlineStr">
        <is>
          <t>ITAIPU</t>
        </is>
      </c>
      <c r="L9" s="6" t="inlineStr">
        <is>
          <t>OFFICIAL_PRIMARY</t>
        </is>
      </c>
      <c r="M9" s="9" t="inlineStr">
        <is>
          <t>OFFICIAL_ACCOUNTING</t>
        </is>
      </c>
      <c r="N9" s="7" t="inlineStr">
        <is>
          <t>https://www.itaipu.gov.py/wp-content/uploads/2026/04/03-Planillas-de-Royalties-31_03_26.pdf</t>
        </is>
      </c>
      <c r="O9" s="4" t="inlineStr">
        <is>
          <t>Regimen de caja; planilla anual oficial.</t>
        </is>
      </c>
    </row>
    <row r="10">
      <c r="A10" s="6" t="inlineStr">
        <is>
          <t>X00009</t>
        </is>
      </c>
      <c r="B10" s="6" t="inlineStr">
        <is>
          <t>1997-01-01</t>
        </is>
      </c>
      <c r="C10" s="6" t="inlineStr">
        <is>
          <t>1997-12-31</t>
        </is>
      </c>
      <c r="D10" s="6" t="inlineStr">
        <is>
          <t>year</t>
        </is>
      </c>
      <c r="E10" s="6" t="inlineStr">
        <is>
          <t>ITAIPU_ROYALTIES_CASH</t>
        </is>
      </c>
      <c r="F10" s="6" t="inlineStr">
        <is>
          <t>ITAIPU</t>
        </is>
      </c>
      <c r="G10" s="6" t="inlineStr">
        <is>
          <t>ITAIPU</t>
        </is>
      </c>
      <c r="H10" s="6" t="inlineStr">
        <is>
          <t>PY_TREASURY</t>
        </is>
      </c>
      <c r="I10" s="8" t="n">
        <v>163965270</v>
      </c>
      <c r="J10" s="6" t="inlineStr">
        <is>
          <t>USD</t>
        </is>
      </c>
      <c r="K10" s="6" t="inlineStr">
        <is>
          <t>ITAIPU</t>
        </is>
      </c>
      <c r="L10" s="6" t="inlineStr">
        <is>
          <t>OFFICIAL_PRIMARY</t>
        </is>
      </c>
      <c r="M10" s="9" t="inlineStr">
        <is>
          <t>OFFICIAL_ACCOUNTING</t>
        </is>
      </c>
      <c r="N10" s="7" t="inlineStr">
        <is>
          <t>https://www.itaipu.gov.py/wp-content/uploads/2026/04/03-Planillas-de-Royalties-31_03_26.pdf</t>
        </is>
      </c>
      <c r="O10" s="4" t="inlineStr">
        <is>
          <t>Regimen de caja; planilla anual oficial.</t>
        </is>
      </c>
    </row>
    <row r="11">
      <c r="A11" s="6" t="inlineStr">
        <is>
          <t>X00010</t>
        </is>
      </c>
      <c r="B11" s="6" t="inlineStr">
        <is>
          <t>1998-01-01</t>
        </is>
      </c>
      <c r="C11" s="6" t="inlineStr">
        <is>
          <t>1998-12-31</t>
        </is>
      </c>
      <c r="D11" s="6" t="inlineStr">
        <is>
          <t>year</t>
        </is>
      </c>
      <c r="E11" s="6" t="inlineStr">
        <is>
          <t>ITAIPU_ROYALTIES_CASH</t>
        </is>
      </c>
      <c r="F11" s="6" t="inlineStr">
        <is>
          <t>ITAIPU</t>
        </is>
      </c>
      <c r="G11" s="6" t="inlineStr">
        <is>
          <t>ITAIPU</t>
        </is>
      </c>
      <c r="H11" s="6" t="inlineStr">
        <is>
          <t>PY_TREASURY</t>
        </is>
      </c>
      <c r="I11" s="8" t="n">
        <v>294175640</v>
      </c>
      <c r="J11" s="6" t="inlineStr">
        <is>
          <t>USD</t>
        </is>
      </c>
      <c r="K11" s="6" t="inlineStr">
        <is>
          <t>ITAIPU</t>
        </is>
      </c>
      <c r="L11" s="6" t="inlineStr">
        <is>
          <t>OFFICIAL_PRIMARY</t>
        </is>
      </c>
      <c r="M11" s="9" t="inlineStr">
        <is>
          <t>OFFICIAL_ACCOUNTING</t>
        </is>
      </c>
      <c r="N11" s="7" t="inlineStr">
        <is>
          <t>https://www.itaipu.gov.py/wp-content/uploads/2026/04/03-Planillas-de-Royalties-31_03_26.pdf</t>
        </is>
      </c>
      <c r="O11" s="4" t="inlineStr">
        <is>
          <t>Regimen de caja; planilla anual oficial.</t>
        </is>
      </c>
    </row>
    <row r="12">
      <c r="A12" s="6" t="inlineStr">
        <is>
          <t>X00011</t>
        </is>
      </c>
      <c r="B12" s="6" t="inlineStr">
        <is>
          <t>1999-01-01</t>
        </is>
      </c>
      <c r="C12" s="6" t="inlineStr">
        <is>
          <t>1999-12-31</t>
        </is>
      </c>
      <c r="D12" s="6" t="inlineStr">
        <is>
          <t>year</t>
        </is>
      </c>
      <c r="E12" s="6" t="inlineStr">
        <is>
          <t>ITAIPU_ROYALTIES_CASH</t>
        </is>
      </c>
      <c r="F12" s="6" t="inlineStr">
        <is>
          <t>ITAIPU</t>
        </is>
      </c>
      <c r="G12" s="6" t="inlineStr">
        <is>
          <t>ITAIPU</t>
        </is>
      </c>
      <c r="H12" s="6" t="inlineStr">
        <is>
          <t>PY_TREASURY</t>
        </is>
      </c>
      <c r="I12" s="8" t="n">
        <v>155382560</v>
      </c>
      <c r="J12" s="6" t="inlineStr">
        <is>
          <t>USD</t>
        </is>
      </c>
      <c r="K12" s="6" t="inlineStr">
        <is>
          <t>ITAIPU</t>
        </is>
      </c>
      <c r="L12" s="6" t="inlineStr">
        <is>
          <t>OFFICIAL_PRIMARY</t>
        </is>
      </c>
      <c r="M12" s="9" t="inlineStr">
        <is>
          <t>OFFICIAL_ACCOUNTING</t>
        </is>
      </c>
      <c r="N12" s="7" t="inlineStr">
        <is>
          <t>https://www.itaipu.gov.py/wp-content/uploads/2026/04/03-Planillas-de-Royalties-31_03_26.pdf</t>
        </is>
      </c>
      <c r="O12" s="4" t="inlineStr">
        <is>
          <t>Regimen de caja; planilla anual oficial.</t>
        </is>
      </c>
    </row>
    <row r="13">
      <c r="A13" s="6" t="inlineStr">
        <is>
          <t>X00012</t>
        </is>
      </c>
      <c r="B13" s="6" t="inlineStr">
        <is>
          <t>2000-01-01</t>
        </is>
      </c>
      <c r="C13" s="6" t="inlineStr">
        <is>
          <t>2000-12-31</t>
        </is>
      </c>
      <c r="D13" s="6" t="inlineStr">
        <is>
          <t>year</t>
        </is>
      </c>
      <c r="E13" s="6" t="inlineStr">
        <is>
          <t>ITAIPU_ROYALTIES_CASH</t>
        </is>
      </c>
      <c r="F13" s="6" t="inlineStr">
        <is>
          <t>ITAIPU</t>
        </is>
      </c>
      <c r="G13" s="6" t="inlineStr">
        <is>
          <t>ITAIPU</t>
        </is>
      </c>
      <c r="H13" s="6" t="inlineStr">
        <is>
          <t>PY_TREASURY</t>
        </is>
      </c>
      <c r="I13" s="8" t="n">
        <v>147100460</v>
      </c>
      <c r="J13" s="6" t="inlineStr">
        <is>
          <t>USD</t>
        </is>
      </c>
      <c r="K13" s="6" t="inlineStr">
        <is>
          <t>ITAIPU</t>
        </is>
      </c>
      <c r="L13" s="6" t="inlineStr">
        <is>
          <t>OFFICIAL_PRIMARY</t>
        </is>
      </c>
      <c r="M13" s="9" t="inlineStr">
        <is>
          <t>OFFICIAL_ACCOUNTING</t>
        </is>
      </c>
      <c r="N13" s="7" t="inlineStr">
        <is>
          <t>https://www.itaipu.gov.py/wp-content/uploads/2026/04/03-Planillas-de-Royalties-31_03_26.pdf</t>
        </is>
      </c>
      <c r="O13" s="4" t="inlineStr">
        <is>
          <t>Regimen de caja; planilla anual oficial.</t>
        </is>
      </c>
    </row>
    <row r="14">
      <c r="A14" s="6" t="inlineStr">
        <is>
          <t>X00013</t>
        </is>
      </c>
      <c r="B14" s="6" t="inlineStr">
        <is>
          <t>2001-01-01</t>
        </is>
      </c>
      <c r="C14" s="6" t="inlineStr">
        <is>
          <t>2001-12-31</t>
        </is>
      </c>
      <c r="D14" s="6" t="inlineStr">
        <is>
          <t>year</t>
        </is>
      </c>
      <c r="E14" s="6" t="inlineStr">
        <is>
          <t>ITAIPU_ROYALTIES_CASH</t>
        </is>
      </c>
      <c r="F14" s="6" t="inlineStr">
        <is>
          <t>ITAIPU</t>
        </is>
      </c>
      <c r="G14" s="6" t="inlineStr">
        <is>
          <t>ITAIPU</t>
        </is>
      </c>
      <c r="H14" s="6" t="inlineStr">
        <is>
          <t>PY_TREASURY</t>
        </is>
      </c>
      <c r="I14" s="8" t="n">
        <v>244869890</v>
      </c>
      <c r="J14" s="6" t="inlineStr">
        <is>
          <t>USD</t>
        </is>
      </c>
      <c r="K14" s="6" t="inlineStr">
        <is>
          <t>ITAIPU</t>
        </is>
      </c>
      <c r="L14" s="6" t="inlineStr">
        <is>
          <t>OFFICIAL_PRIMARY</t>
        </is>
      </c>
      <c r="M14" s="9" t="inlineStr">
        <is>
          <t>OFFICIAL_ACCOUNTING</t>
        </is>
      </c>
      <c r="N14" s="7" t="inlineStr">
        <is>
          <t>https://www.itaipu.gov.py/wp-content/uploads/2026/04/03-Planillas-de-Royalties-31_03_26.pdf</t>
        </is>
      </c>
      <c r="O14" s="4" t="inlineStr">
        <is>
          <t>Regimen de caja; planilla anual oficial.</t>
        </is>
      </c>
    </row>
    <row r="15">
      <c r="A15" s="6" t="inlineStr">
        <is>
          <t>X00014</t>
        </is>
      </c>
      <c r="B15" s="6" t="inlineStr">
        <is>
          <t>2002-01-01</t>
        </is>
      </c>
      <c r="C15" s="6" t="inlineStr">
        <is>
          <t>2002-12-31</t>
        </is>
      </c>
      <c r="D15" s="6" t="inlineStr">
        <is>
          <t>year</t>
        </is>
      </c>
      <c r="E15" s="6" t="inlineStr">
        <is>
          <t>ITAIPU_ROYALTIES_CASH</t>
        </is>
      </c>
      <c r="F15" s="6" t="inlineStr">
        <is>
          <t>ITAIPU</t>
        </is>
      </c>
      <c r="G15" s="6" t="inlineStr">
        <is>
          <t>ITAIPU</t>
        </is>
      </c>
      <c r="H15" s="6" t="inlineStr">
        <is>
          <t>PY_TREASURY</t>
        </is>
      </c>
      <c r="I15" s="8" t="n">
        <v>143062790</v>
      </c>
      <c r="J15" s="6" t="inlineStr">
        <is>
          <t>USD</t>
        </is>
      </c>
      <c r="K15" s="6" t="inlineStr">
        <is>
          <t>ITAIPU</t>
        </is>
      </c>
      <c r="L15" s="6" t="inlineStr">
        <is>
          <t>OFFICIAL_PRIMARY</t>
        </is>
      </c>
      <c r="M15" s="9" t="inlineStr">
        <is>
          <t>OFFICIAL_ACCOUNTING</t>
        </is>
      </c>
      <c r="N15" s="7" t="inlineStr">
        <is>
          <t>https://www.itaipu.gov.py/wp-content/uploads/2026/04/03-Planillas-de-Royalties-31_03_26.pdf</t>
        </is>
      </c>
      <c r="O15" s="4" t="inlineStr">
        <is>
          <t>Regimen de caja; planilla anual oficial.</t>
        </is>
      </c>
    </row>
    <row r="16">
      <c r="A16" s="6" t="inlineStr">
        <is>
          <t>X00015</t>
        </is>
      </c>
      <c r="B16" s="6" t="inlineStr">
        <is>
          <t>2003-01-01</t>
        </is>
      </c>
      <c r="C16" s="6" t="inlineStr">
        <is>
          <t>2003-12-31</t>
        </is>
      </c>
      <c r="D16" s="6" t="inlineStr">
        <is>
          <t>year</t>
        </is>
      </c>
      <c r="E16" s="6" t="inlineStr">
        <is>
          <t>ITAIPU_ROYALTIES_CASH</t>
        </is>
      </c>
      <c r="F16" s="6" t="inlineStr">
        <is>
          <t>ITAIPU</t>
        </is>
      </c>
      <c r="G16" s="6" t="inlineStr">
        <is>
          <t>ITAIPU</t>
        </is>
      </c>
      <c r="H16" s="6" t="inlineStr">
        <is>
          <t>PY_TREASURY</t>
        </is>
      </c>
      <c r="I16" s="8" t="n">
        <v>153806170</v>
      </c>
      <c r="J16" s="6" t="inlineStr">
        <is>
          <t>USD</t>
        </is>
      </c>
      <c r="K16" s="6" t="inlineStr">
        <is>
          <t>ITAIPU</t>
        </is>
      </c>
      <c r="L16" s="6" t="inlineStr">
        <is>
          <t>OFFICIAL_PRIMARY</t>
        </is>
      </c>
      <c r="M16" s="9" t="inlineStr">
        <is>
          <t>OFFICIAL_ACCOUNTING</t>
        </is>
      </c>
      <c r="N16" s="7" t="inlineStr">
        <is>
          <t>https://www.itaipu.gov.py/wp-content/uploads/2026/04/03-Planillas-de-Royalties-31_03_26.pdf</t>
        </is>
      </c>
      <c r="O16" s="4" t="inlineStr">
        <is>
          <t>Regimen de caja; planilla anual oficial.</t>
        </is>
      </c>
    </row>
    <row r="17">
      <c r="A17" s="6" t="inlineStr">
        <is>
          <t>X00016</t>
        </is>
      </c>
      <c r="B17" s="6" t="inlineStr">
        <is>
          <t>2004-01-01</t>
        </is>
      </c>
      <c r="C17" s="6" t="inlineStr">
        <is>
          <t>2004-12-31</t>
        </is>
      </c>
      <c r="D17" s="6" t="inlineStr">
        <is>
          <t>year</t>
        </is>
      </c>
      <c r="E17" s="6" t="inlineStr">
        <is>
          <t>ITAIPU_ROYALTIES_CASH</t>
        </is>
      </c>
      <c r="F17" s="6" t="inlineStr">
        <is>
          <t>ITAIPU</t>
        </is>
      </c>
      <c r="G17" s="6" t="inlineStr">
        <is>
          <t>ITAIPU</t>
        </is>
      </c>
      <c r="H17" s="6" t="inlineStr">
        <is>
          <t>PY_TREASURY</t>
        </is>
      </c>
      <c r="I17" s="8" t="n">
        <v>166514560</v>
      </c>
      <c r="J17" s="6" t="inlineStr">
        <is>
          <t>USD</t>
        </is>
      </c>
      <c r="K17" s="6" t="inlineStr">
        <is>
          <t>ITAIPU</t>
        </is>
      </c>
      <c r="L17" s="6" t="inlineStr">
        <is>
          <t>OFFICIAL_PRIMARY</t>
        </is>
      </c>
      <c r="M17" s="9" t="inlineStr">
        <is>
          <t>OFFICIAL_ACCOUNTING</t>
        </is>
      </c>
      <c r="N17" s="7" t="inlineStr">
        <is>
          <t>https://www.itaipu.gov.py/wp-content/uploads/2026/04/03-Planillas-de-Royalties-31_03_26.pdf</t>
        </is>
      </c>
      <c r="O17" s="4" t="inlineStr">
        <is>
          <t>Regimen de caja; planilla anual oficial.</t>
        </is>
      </c>
    </row>
    <row r="18">
      <c r="A18" s="6" t="inlineStr">
        <is>
          <t>X00017</t>
        </is>
      </c>
      <c r="B18" s="6" t="inlineStr">
        <is>
          <t>2005-01-01</t>
        </is>
      </c>
      <c r="C18" s="6" t="inlineStr">
        <is>
          <t>2005-12-31</t>
        </is>
      </c>
      <c r="D18" s="6" t="inlineStr">
        <is>
          <t>year</t>
        </is>
      </c>
      <c r="E18" s="6" t="inlineStr">
        <is>
          <t>ITAIPU_ROYALTIES_CASH</t>
        </is>
      </c>
      <c r="F18" s="6" t="inlineStr">
        <is>
          <t>ITAIPU</t>
        </is>
      </c>
      <c r="G18" s="6" t="inlineStr">
        <is>
          <t>ITAIPU</t>
        </is>
      </c>
      <c r="H18" s="6" t="inlineStr">
        <is>
          <t>PY_TREASURY</t>
        </is>
      </c>
      <c r="I18" s="8" t="n">
        <v>183066880</v>
      </c>
      <c r="J18" s="6" t="inlineStr">
        <is>
          <t>USD</t>
        </is>
      </c>
      <c r="K18" s="6" t="inlineStr">
        <is>
          <t>ITAIPU</t>
        </is>
      </c>
      <c r="L18" s="6" t="inlineStr">
        <is>
          <t>OFFICIAL_PRIMARY</t>
        </is>
      </c>
      <c r="M18" s="9" t="inlineStr">
        <is>
          <t>OFFICIAL_ACCOUNTING</t>
        </is>
      </c>
      <c r="N18" s="7" t="inlineStr">
        <is>
          <t>https://www.itaipu.gov.py/wp-content/uploads/2026/04/03-Planillas-de-Royalties-31_03_26.pdf</t>
        </is>
      </c>
      <c r="O18" s="4" t="inlineStr">
        <is>
          <t>Regimen de caja; planilla anual oficial.</t>
        </is>
      </c>
    </row>
    <row r="19">
      <c r="A19" s="6" t="inlineStr">
        <is>
          <t>X00018</t>
        </is>
      </c>
      <c r="B19" s="6" t="inlineStr">
        <is>
          <t>2006-01-01</t>
        </is>
      </c>
      <c r="C19" s="6" t="inlineStr">
        <is>
          <t>2006-12-31</t>
        </is>
      </c>
      <c r="D19" s="6" t="inlineStr">
        <is>
          <t>year</t>
        </is>
      </c>
      <c r="E19" s="6" t="inlineStr">
        <is>
          <t>ITAIPU_ROYALTIES_CASH</t>
        </is>
      </c>
      <c r="F19" s="6" t="inlineStr">
        <is>
          <t>ITAIPU</t>
        </is>
      </c>
      <c r="G19" s="6" t="inlineStr">
        <is>
          <t>ITAIPU</t>
        </is>
      </c>
      <c r="H19" s="6" t="inlineStr">
        <is>
          <t>PY_TREASURY</t>
        </is>
      </c>
      <c r="I19" s="8" t="n">
        <v>196515990</v>
      </c>
      <c r="J19" s="6" t="inlineStr">
        <is>
          <t>USD</t>
        </is>
      </c>
      <c r="K19" s="6" t="inlineStr">
        <is>
          <t>ITAIPU</t>
        </is>
      </c>
      <c r="L19" s="6" t="inlineStr">
        <is>
          <t>OFFICIAL_PRIMARY</t>
        </is>
      </c>
      <c r="M19" s="9" t="inlineStr">
        <is>
          <t>OFFICIAL_ACCOUNTING</t>
        </is>
      </c>
      <c r="N19" s="7" t="inlineStr">
        <is>
          <t>https://www.itaipu.gov.py/wp-content/uploads/2026/04/03-Planillas-de-Royalties-31_03_26.pdf</t>
        </is>
      </c>
      <c r="O19" s="4" t="inlineStr">
        <is>
          <t>Regimen de caja; planilla anual oficial.</t>
        </is>
      </c>
    </row>
    <row r="20">
      <c r="A20" s="6" t="inlineStr">
        <is>
          <t>X00019</t>
        </is>
      </c>
      <c r="B20" s="6" t="inlineStr">
        <is>
          <t>2007-01-01</t>
        </is>
      </c>
      <c r="C20" s="6" t="inlineStr">
        <is>
          <t>2007-12-31</t>
        </is>
      </c>
      <c r="D20" s="6" t="inlineStr">
        <is>
          <t>year</t>
        </is>
      </c>
      <c r="E20" s="6" t="inlineStr">
        <is>
          <t>ITAIPU_ROYALTIES_CASH</t>
        </is>
      </c>
      <c r="F20" s="6" t="inlineStr">
        <is>
          <t>ITAIPU</t>
        </is>
      </c>
      <c r="G20" s="6" t="inlineStr">
        <is>
          <t>ITAIPU</t>
        </is>
      </c>
      <c r="H20" s="6" t="inlineStr">
        <is>
          <t>PY_TREASURY</t>
        </is>
      </c>
      <c r="I20" s="8" t="n">
        <v>206722980</v>
      </c>
      <c r="J20" s="6" t="inlineStr">
        <is>
          <t>USD</t>
        </is>
      </c>
      <c r="K20" s="6" t="inlineStr">
        <is>
          <t>ITAIPU</t>
        </is>
      </c>
      <c r="L20" s="6" t="inlineStr">
        <is>
          <t>OFFICIAL_PRIMARY</t>
        </is>
      </c>
      <c r="M20" s="9" t="inlineStr">
        <is>
          <t>OFFICIAL_ACCOUNTING</t>
        </is>
      </c>
      <c r="N20" s="7" t="inlineStr">
        <is>
          <t>https://www.itaipu.gov.py/wp-content/uploads/2026/04/03-Planillas-de-Royalties-31_03_26.pdf</t>
        </is>
      </c>
      <c r="O20" s="4" t="inlineStr">
        <is>
          <t>Regimen de caja; planilla anual oficial.</t>
        </is>
      </c>
    </row>
    <row r="21">
      <c r="A21" s="6" t="inlineStr">
        <is>
          <t>X00020</t>
        </is>
      </c>
      <c r="B21" s="6" t="inlineStr">
        <is>
          <t>2008-01-01</t>
        </is>
      </c>
      <c r="C21" s="6" t="inlineStr">
        <is>
          <t>2008-12-31</t>
        </is>
      </c>
      <c r="D21" s="6" t="inlineStr">
        <is>
          <t>year</t>
        </is>
      </c>
      <c r="E21" s="6" t="inlineStr">
        <is>
          <t>ITAIPU_ROYALTIES_CASH</t>
        </is>
      </c>
      <c r="F21" s="6" t="inlineStr">
        <is>
          <t>ITAIPU</t>
        </is>
      </c>
      <c r="G21" s="6" t="inlineStr">
        <is>
          <t>ITAIPU</t>
        </is>
      </c>
      <c r="H21" s="6" t="inlineStr">
        <is>
          <t>PY_TREASURY</t>
        </is>
      </c>
      <c r="I21" s="8" t="n">
        <v>218892070</v>
      </c>
      <c r="J21" s="6" t="inlineStr">
        <is>
          <t>USD</t>
        </is>
      </c>
      <c r="K21" s="6" t="inlineStr">
        <is>
          <t>ITAIPU</t>
        </is>
      </c>
      <c r="L21" s="6" t="inlineStr">
        <is>
          <t>OFFICIAL_PRIMARY</t>
        </is>
      </c>
      <c r="M21" s="9" t="inlineStr">
        <is>
          <t>OFFICIAL_ACCOUNTING</t>
        </is>
      </c>
      <c r="N21" s="7" t="inlineStr">
        <is>
          <t>https://www.itaipu.gov.py/wp-content/uploads/2026/04/03-Planillas-de-Royalties-31_03_26.pdf</t>
        </is>
      </c>
      <c r="O21" s="4" t="inlineStr">
        <is>
          <t>Regimen de caja; planilla anual oficial.</t>
        </is>
      </c>
    </row>
    <row r="22">
      <c r="A22" s="6" t="inlineStr">
        <is>
          <t>X00021</t>
        </is>
      </c>
      <c r="B22" s="6" t="inlineStr">
        <is>
          <t>2009-01-01</t>
        </is>
      </c>
      <c r="C22" s="6" t="inlineStr">
        <is>
          <t>2009-12-31</t>
        </is>
      </c>
      <c r="D22" s="6" t="inlineStr">
        <is>
          <t>year</t>
        </is>
      </c>
      <c r="E22" s="6" t="inlineStr">
        <is>
          <t>ITAIPU_ROYALTIES_CASH</t>
        </is>
      </c>
      <c r="F22" s="6" t="inlineStr">
        <is>
          <t>ITAIPU</t>
        </is>
      </c>
      <c r="G22" s="6" t="inlineStr">
        <is>
          <t>ITAIPU</t>
        </is>
      </c>
      <c r="H22" s="6" t="inlineStr">
        <is>
          <t>PY_TREASURY</t>
        </is>
      </c>
      <c r="I22" s="8" t="n">
        <v>231589140</v>
      </c>
      <c r="J22" s="6" t="inlineStr">
        <is>
          <t>USD</t>
        </is>
      </c>
      <c r="K22" s="6" t="inlineStr">
        <is>
          <t>ITAIPU</t>
        </is>
      </c>
      <c r="L22" s="6" t="inlineStr">
        <is>
          <t>OFFICIAL_PRIMARY</t>
        </is>
      </c>
      <c r="M22" s="9" t="inlineStr">
        <is>
          <t>OFFICIAL_ACCOUNTING</t>
        </is>
      </c>
      <c r="N22" s="7" t="inlineStr">
        <is>
          <t>https://www.itaipu.gov.py/wp-content/uploads/2026/04/03-Planillas-de-Royalties-31_03_26.pdf</t>
        </is>
      </c>
      <c r="O22" s="4" t="inlineStr">
        <is>
          <t>Regimen de caja; planilla anual oficial.</t>
        </is>
      </c>
    </row>
    <row r="23">
      <c r="A23" s="6" t="inlineStr">
        <is>
          <t>X00022</t>
        </is>
      </c>
      <c r="B23" s="6" t="inlineStr">
        <is>
          <t>2010-01-01</t>
        </is>
      </c>
      <c r="C23" s="6" t="inlineStr">
        <is>
          <t>2010-12-31</t>
        </is>
      </c>
      <c r="D23" s="6" t="inlineStr">
        <is>
          <t>year</t>
        </is>
      </c>
      <c r="E23" s="6" t="inlineStr">
        <is>
          <t>ITAIPU_ROYALTIES_CASH</t>
        </is>
      </c>
      <c r="F23" s="6" t="inlineStr">
        <is>
          <t>ITAIPU</t>
        </is>
      </c>
      <c r="G23" s="6" t="inlineStr">
        <is>
          <t>ITAIPU</t>
        </is>
      </c>
      <c r="H23" s="6" t="inlineStr">
        <is>
          <t>PY_TREASURY</t>
        </is>
      </c>
      <c r="I23" s="8" t="n">
        <v>211914580</v>
      </c>
      <c r="J23" s="6" t="inlineStr">
        <is>
          <t>USD</t>
        </is>
      </c>
      <c r="K23" s="6" t="inlineStr">
        <is>
          <t>ITAIPU</t>
        </is>
      </c>
      <c r="L23" s="6" t="inlineStr">
        <is>
          <t>OFFICIAL_PRIMARY</t>
        </is>
      </c>
      <c r="M23" s="9" t="inlineStr">
        <is>
          <t>OFFICIAL_ACCOUNTING</t>
        </is>
      </c>
      <c r="N23" s="7" t="inlineStr">
        <is>
          <t>https://www.itaipu.gov.py/wp-content/uploads/2026/04/03-Planillas-de-Royalties-31_03_26.pdf</t>
        </is>
      </c>
      <c r="O23" s="4" t="inlineStr">
        <is>
          <t>Regimen de caja; planilla anual oficial.</t>
        </is>
      </c>
    </row>
    <row r="24">
      <c r="A24" s="6" t="inlineStr">
        <is>
          <t>X00023</t>
        </is>
      </c>
      <c r="B24" s="6" t="inlineStr">
        <is>
          <t>2011-01-01</t>
        </is>
      </c>
      <c r="C24" s="6" t="inlineStr">
        <is>
          <t>2011-12-31</t>
        </is>
      </c>
      <c r="D24" s="6" t="inlineStr">
        <is>
          <t>year</t>
        </is>
      </c>
      <c r="E24" s="6" t="inlineStr">
        <is>
          <t>ITAIPU_ROYALTIES_CASH</t>
        </is>
      </c>
      <c r="F24" s="6" t="inlineStr">
        <is>
          <t>ITAIPU</t>
        </is>
      </c>
      <c r="G24" s="6" t="inlineStr">
        <is>
          <t>ITAIPU</t>
        </is>
      </c>
      <c r="H24" s="6" t="inlineStr">
        <is>
          <t>PY_TREASURY</t>
        </is>
      </c>
      <c r="I24" s="8" t="n">
        <v>222844200</v>
      </c>
      <c r="J24" s="6" t="inlineStr">
        <is>
          <t>USD</t>
        </is>
      </c>
      <c r="K24" s="6" t="inlineStr">
        <is>
          <t>ITAIPU</t>
        </is>
      </c>
      <c r="L24" s="6" t="inlineStr">
        <is>
          <t>OFFICIAL_PRIMARY</t>
        </is>
      </c>
      <c r="M24" s="9" t="inlineStr">
        <is>
          <t>OFFICIAL_ACCOUNTING</t>
        </is>
      </c>
      <c r="N24" s="7" t="inlineStr">
        <is>
          <t>https://www.itaipu.gov.py/wp-content/uploads/2026/04/03-Planillas-de-Royalties-31_03_26.pdf</t>
        </is>
      </c>
      <c r="O24" s="4" t="inlineStr">
        <is>
          <t>Regimen de caja; planilla anual oficial.</t>
        </is>
      </c>
    </row>
    <row r="25">
      <c r="A25" s="6" t="inlineStr">
        <is>
          <t>X00024</t>
        </is>
      </c>
      <c r="B25" s="6" t="inlineStr">
        <is>
          <t>2012-01-01</t>
        </is>
      </c>
      <c r="C25" s="6" t="inlineStr">
        <is>
          <t>2012-12-31</t>
        </is>
      </c>
      <c r="D25" s="6" t="inlineStr">
        <is>
          <t>year</t>
        </is>
      </c>
      <c r="E25" s="6" t="inlineStr">
        <is>
          <t>ITAIPU_ROYALTIES_CASH</t>
        </is>
      </c>
      <c r="F25" s="6" t="inlineStr">
        <is>
          <t>ITAIPU</t>
        </is>
      </c>
      <c r="G25" s="6" t="inlineStr">
        <is>
          <t>ITAIPU</t>
        </is>
      </c>
      <c r="H25" s="6" t="inlineStr">
        <is>
          <t>PY_TREASURY</t>
        </is>
      </c>
      <c r="I25" s="8" t="n">
        <v>246706910</v>
      </c>
      <c r="J25" s="6" t="inlineStr">
        <is>
          <t>USD</t>
        </is>
      </c>
      <c r="K25" s="6" t="inlineStr">
        <is>
          <t>ITAIPU</t>
        </is>
      </c>
      <c r="L25" s="6" t="inlineStr">
        <is>
          <t>OFFICIAL_PRIMARY</t>
        </is>
      </c>
      <c r="M25" s="9" t="inlineStr">
        <is>
          <t>OFFICIAL_ACCOUNTING</t>
        </is>
      </c>
      <c r="N25" s="7" t="inlineStr">
        <is>
          <t>https://www.itaipu.gov.py/wp-content/uploads/2026/04/03-Planillas-de-Royalties-31_03_26.pdf</t>
        </is>
      </c>
      <c r="O25" s="4" t="inlineStr">
        <is>
          <t>Regimen de caja; planilla anual oficial.</t>
        </is>
      </c>
    </row>
    <row r="26">
      <c r="A26" s="6" t="inlineStr">
        <is>
          <t>X00025</t>
        </is>
      </c>
      <c r="B26" s="6" t="inlineStr">
        <is>
          <t>2013-01-01</t>
        </is>
      </c>
      <c r="C26" s="6" t="inlineStr">
        <is>
          <t>2013-12-31</t>
        </is>
      </c>
      <c r="D26" s="6" t="inlineStr">
        <is>
          <t>year</t>
        </is>
      </c>
      <c r="E26" s="6" t="inlineStr">
        <is>
          <t>ITAIPU_ROYALTIES_CASH</t>
        </is>
      </c>
      <c r="F26" s="6" t="inlineStr">
        <is>
          <t>ITAIPU</t>
        </is>
      </c>
      <c r="G26" s="6" t="inlineStr">
        <is>
          <t>ITAIPU</t>
        </is>
      </c>
      <c r="H26" s="6" t="inlineStr">
        <is>
          <t>PY_TREASURY</t>
        </is>
      </c>
      <c r="I26" s="8" t="n">
        <v>258912900</v>
      </c>
      <c r="J26" s="6" t="inlineStr">
        <is>
          <t>USD</t>
        </is>
      </c>
      <c r="K26" s="6" t="inlineStr">
        <is>
          <t>ITAIPU</t>
        </is>
      </c>
      <c r="L26" s="6" t="inlineStr">
        <is>
          <t>OFFICIAL_PRIMARY</t>
        </is>
      </c>
      <c r="M26" s="9" t="inlineStr">
        <is>
          <t>OFFICIAL_ACCOUNTING</t>
        </is>
      </c>
      <c r="N26" s="7" t="inlineStr">
        <is>
          <t>https://www.itaipu.gov.py/wp-content/uploads/2026/04/03-Planillas-de-Royalties-31_03_26.pdf</t>
        </is>
      </c>
      <c r="O26" s="4" t="inlineStr">
        <is>
          <t>Regimen de caja; planilla anual oficial.</t>
        </is>
      </c>
    </row>
    <row r="27">
      <c r="A27" s="6" t="inlineStr">
        <is>
          <t>X00026</t>
        </is>
      </c>
      <c r="B27" s="6" t="inlineStr">
        <is>
          <t>2014-01-01</t>
        </is>
      </c>
      <c r="C27" s="6" t="inlineStr">
        <is>
          <t>2014-12-31</t>
        </is>
      </c>
      <c r="D27" s="6" t="inlineStr">
        <is>
          <t>year</t>
        </is>
      </c>
      <c r="E27" s="6" t="inlineStr">
        <is>
          <t>ITAIPU_ROYALTIES_CASH</t>
        </is>
      </c>
      <c r="F27" s="6" t="inlineStr">
        <is>
          <t>ITAIPU</t>
        </is>
      </c>
      <c r="G27" s="6" t="inlineStr">
        <is>
          <t>ITAIPU</t>
        </is>
      </c>
      <c r="H27" s="6" t="inlineStr">
        <is>
          <t>PY_TREASURY</t>
        </is>
      </c>
      <c r="I27" s="8" t="n">
        <v>273191600</v>
      </c>
      <c r="J27" s="6" t="inlineStr">
        <is>
          <t>USD</t>
        </is>
      </c>
      <c r="K27" s="6" t="inlineStr">
        <is>
          <t>ITAIPU</t>
        </is>
      </c>
      <c r="L27" s="6" t="inlineStr">
        <is>
          <t>OFFICIAL_PRIMARY</t>
        </is>
      </c>
      <c r="M27" s="9" t="inlineStr">
        <is>
          <t>OFFICIAL_ACCOUNTING</t>
        </is>
      </c>
      <c r="N27" s="7" t="inlineStr">
        <is>
          <t>https://www.itaipu.gov.py/wp-content/uploads/2026/04/03-Planillas-de-Royalties-31_03_26.pdf</t>
        </is>
      </c>
      <c r="O27" s="4" t="inlineStr">
        <is>
          <t>Regimen de caja; planilla anual oficial.</t>
        </is>
      </c>
    </row>
    <row r="28">
      <c r="A28" s="6" t="inlineStr">
        <is>
          <t>X00027</t>
        </is>
      </c>
      <c r="B28" s="6" t="inlineStr">
        <is>
          <t>2015-01-01</t>
        </is>
      </c>
      <c r="C28" s="6" t="inlineStr">
        <is>
          <t>2015-12-31</t>
        </is>
      </c>
      <c r="D28" s="6" t="inlineStr">
        <is>
          <t>year</t>
        </is>
      </c>
      <c r="E28" s="6" t="inlineStr">
        <is>
          <t>ITAIPU_ROYALTIES_CASH</t>
        </is>
      </c>
      <c r="F28" s="6" t="inlineStr">
        <is>
          <t>ITAIPU</t>
        </is>
      </c>
      <c r="G28" s="6" t="inlineStr">
        <is>
          <t>ITAIPU</t>
        </is>
      </c>
      <c r="H28" s="6" t="inlineStr">
        <is>
          <t>PY_TREASURY</t>
        </is>
      </c>
      <c r="I28" s="8" t="n">
        <v>250511500</v>
      </c>
      <c r="J28" s="6" t="inlineStr">
        <is>
          <t>USD</t>
        </is>
      </c>
      <c r="K28" s="6" t="inlineStr">
        <is>
          <t>ITAIPU</t>
        </is>
      </c>
      <c r="L28" s="6" t="inlineStr">
        <is>
          <t>OFFICIAL_PRIMARY</t>
        </is>
      </c>
      <c r="M28" s="9" t="inlineStr">
        <is>
          <t>OFFICIAL_ACCOUNTING</t>
        </is>
      </c>
      <c r="N28" s="7" t="inlineStr">
        <is>
          <t>https://www.itaipu.gov.py/wp-content/uploads/2026/04/03-Planillas-de-Royalties-31_03_26.pdf</t>
        </is>
      </c>
      <c r="O28" s="4" t="inlineStr">
        <is>
          <t>Regimen de caja; planilla anual oficial.</t>
        </is>
      </c>
    </row>
    <row r="29">
      <c r="A29" s="6" t="inlineStr">
        <is>
          <t>X00028</t>
        </is>
      </c>
      <c r="B29" s="6" t="inlineStr">
        <is>
          <t>2016-01-01</t>
        </is>
      </c>
      <c r="C29" s="6" t="inlineStr">
        <is>
          <t>2016-12-31</t>
        </is>
      </c>
      <c r="D29" s="6" t="inlineStr">
        <is>
          <t>year</t>
        </is>
      </c>
      <c r="E29" s="6" t="inlineStr">
        <is>
          <t>ITAIPU_ROYALTIES_CASH</t>
        </is>
      </c>
      <c r="F29" s="6" t="inlineStr">
        <is>
          <t>ITAIPU</t>
        </is>
      </c>
      <c r="G29" s="6" t="inlineStr">
        <is>
          <t>ITAIPU</t>
        </is>
      </c>
      <c r="H29" s="6" t="inlineStr">
        <is>
          <t>PY_TREASURY</t>
        </is>
      </c>
      <c r="I29" s="8" t="n">
        <v>240012700</v>
      </c>
      <c r="J29" s="6" t="inlineStr">
        <is>
          <t>USD</t>
        </is>
      </c>
      <c r="K29" s="6" t="inlineStr">
        <is>
          <t>ITAIPU</t>
        </is>
      </c>
      <c r="L29" s="6" t="inlineStr">
        <is>
          <t>OFFICIAL_PRIMARY</t>
        </is>
      </c>
      <c r="M29" s="9" t="inlineStr">
        <is>
          <t>OFFICIAL_ACCOUNTING</t>
        </is>
      </c>
      <c r="N29" s="7" t="inlineStr">
        <is>
          <t>https://www.itaipu.gov.py/wp-content/uploads/2026/04/03-Planillas-de-Royalties-31_03_26.pdf</t>
        </is>
      </c>
      <c r="O29" s="4" t="inlineStr">
        <is>
          <t>Regimen de caja; planilla anual oficial.</t>
        </is>
      </c>
    </row>
    <row r="30">
      <c r="A30" s="6" t="inlineStr">
        <is>
          <t>X00029</t>
        </is>
      </c>
      <c r="B30" s="6" t="inlineStr">
        <is>
          <t>2017-01-01</t>
        </is>
      </c>
      <c r="C30" s="6" t="inlineStr">
        <is>
          <t>2017-12-31</t>
        </is>
      </c>
      <c r="D30" s="6" t="inlineStr">
        <is>
          <t>year</t>
        </is>
      </c>
      <c r="E30" s="6" t="inlineStr">
        <is>
          <t>ITAIPU_ROYALTIES_CASH</t>
        </is>
      </c>
      <c r="F30" s="6" t="inlineStr">
        <is>
          <t>ITAIPU</t>
        </is>
      </c>
      <c r="G30" s="6" t="inlineStr">
        <is>
          <t>ITAIPU</t>
        </is>
      </c>
      <c r="H30" s="6" t="inlineStr">
        <is>
          <t>PY_TREASURY</t>
        </is>
      </c>
      <c r="I30" s="8" t="n">
        <v>257952300</v>
      </c>
      <c r="J30" s="6" t="inlineStr">
        <is>
          <t>USD</t>
        </is>
      </c>
      <c r="K30" s="6" t="inlineStr">
        <is>
          <t>ITAIPU</t>
        </is>
      </c>
      <c r="L30" s="6" t="inlineStr">
        <is>
          <t>OFFICIAL_PRIMARY</t>
        </is>
      </c>
      <c r="M30" s="9" t="inlineStr">
        <is>
          <t>OFFICIAL_ACCOUNTING</t>
        </is>
      </c>
      <c r="N30" s="7" t="inlineStr">
        <is>
          <t>https://www.itaipu.gov.py/wp-content/uploads/2026/04/03-Planillas-de-Royalties-31_03_26.pdf</t>
        </is>
      </c>
      <c r="O30" s="4" t="inlineStr">
        <is>
          <t>Regimen de caja; planilla anual oficial.</t>
        </is>
      </c>
    </row>
    <row r="31">
      <c r="A31" s="6" t="inlineStr">
        <is>
          <t>X00030</t>
        </is>
      </c>
      <c r="B31" s="6" t="inlineStr">
        <is>
          <t>2018-01-01</t>
        </is>
      </c>
      <c r="C31" s="6" t="inlineStr">
        <is>
          <t>2018-12-31</t>
        </is>
      </c>
      <c r="D31" s="6" t="inlineStr">
        <is>
          <t>year</t>
        </is>
      </c>
      <c r="E31" s="6" t="inlineStr">
        <is>
          <t>ITAIPU_ROYALTIES_CASH</t>
        </is>
      </c>
      <c r="F31" s="6" t="inlineStr">
        <is>
          <t>ITAIPU</t>
        </is>
      </c>
      <c r="G31" s="6" t="inlineStr">
        <is>
          <t>ITAIPU</t>
        </is>
      </c>
      <c r="H31" s="6" t="inlineStr">
        <is>
          <t>PY_TREASURY</t>
        </is>
      </c>
      <c r="I31" s="8" t="n">
        <v>238144800</v>
      </c>
      <c r="J31" s="6" t="inlineStr">
        <is>
          <t>USD</t>
        </is>
      </c>
      <c r="K31" s="6" t="inlineStr">
        <is>
          <t>ITAIPU</t>
        </is>
      </c>
      <c r="L31" s="6" t="inlineStr">
        <is>
          <t>OFFICIAL_PRIMARY</t>
        </is>
      </c>
      <c r="M31" s="9" t="inlineStr">
        <is>
          <t>OFFICIAL_ACCOUNTING</t>
        </is>
      </c>
      <c r="N31" s="7" t="inlineStr">
        <is>
          <t>https://www.itaipu.gov.py/wp-content/uploads/2026/04/03-Planillas-de-Royalties-31_03_26.pdf</t>
        </is>
      </c>
      <c r="O31" s="4" t="inlineStr">
        <is>
          <t>Regimen de caja; planilla anual oficial.</t>
        </is>
      </c>
    </row>
    <row r="32">
      <c r="A32" s="6" t="inlineStr">
        <is>
          <t>X00031</t>
        </is>
      </c>
      <c r="B32" s="6" t="inlineStr">
        <is>
          <t>2019-01-01</t>
        </is>
      </c>
      <c r="C32" s="6" t="inlineStr">
        <is>
          <t>2019-12-31</t>
        </is>
      </c>
      <c r="D32" s="6" t="inlineStr">
        <is>
          <t>year</t>
        </is>
      </c>
      <c r="E32" s="6" t="inlineStr">
        <is>
          <t>ITAIPU_ROYALTIES_CASH</t>
        </is>
      </c>
      <c r="F32" s="6" t="inlineStr">
        <is>
          <t>ITAIPU</t>
        </is>
      </c>
      <c r="G32" s="6" t="inlineStr">
        <is>
          <t>ITAIPU</t>
        </is>
      </c>
      <c r="H32" s="6" t="inlineStr">
        <is>
          <t>PY_TREASURY</t>
        </is>
      </c>
      <c r="I32" s="8" t="n">
        <v>271706120</v>
      </c>
      <c r="J32" s="6" t="inlineStr">
        <is>
          <t>USD</t>
        </is>
      </c>
      <c r="K32" s="6" t="inlineStr">
        <is>
          <t>ITAIPU</t>
        </is>
      </c>
      <c r="L32" s="6" t="inlineStr">
        <is>
          <t>OFFICIAL_PRIMARY</t>
        </is>
      </c>
      <c r="M32" s="9" t="inlineStr">
        <is>
          <t>OFFICIAL_ACCOUNTING</t>
        </is>
      </c>
      <c r="N32" s="7" t="inlineStr">
        <is>
          <t>https://www.itaipu.gov.py/wp-content/uploads/2026/04/03-Planillas-de-Royalties-31_03_26.pdf</t>
        </is>
      </c>
      <c r="O32" s="4" t="inlineStr">
        <is>
          <t>Regimen de caja; planilla anual oficial.</t>
        </is>
      </c>
    </row>
    <row r="33">
      <c r="A33" s="6" t="inlineStr">
        <is>
          <t>X00032</t>
        </is>
      </c>
      <c r="B33" s="6" t="inlineStr">
        <is>
          <t>2020-01-01</t>
        </is>
      </c>
      <c r="C33" s="6" t="inlineStr">
        <is>
          <t>2020-12-31</t>
        </is>
      </c>
      <c r="D33" s="6" t="inlineStr">
        <is>
          <t>year</t>
        </is>
      </c>
      <c r="E33" s="6" t="inlineStr">
        <is>
          <t>ITAIPU_ROYALTIES_CASH</t>
        </is>
      </c>
      <c r="F33" s="6" t="inlineStr">
        <is>
          <t>ITAIPU</t>
        </is>
      </c>
      <c r="G33" s="6" t="inlineStr">
        <is>
          <t>ITAIPU</t>
        </is>
      </c>
      <c r="H33" s="6" t="inlineStr">
        <is>
          <t>PY_TREASURY</t>
        </is>
      </c>
      <c r="I33" s="8" t="n">
        <v>203908990</v>
      </c>
      <c r="J33" s="6" t="inlineStr">
        <is>
          <t>USD</t>
        </is>
      </c>
      <c r="K33" s="6" t="inlineStr">
        <is>
          <t>ITAIPU</t>
        </is>
      </c>
      <c r="L33" s="6" t="inlineStr">
        <is>
          <t>OFFICIAL_PRIMARY</t>
        </is>
      </c>
      <c r="M33" s="9" t="inlineStr">
        <is>
          <t>OFFICIAL_ACCOUNTING</t>
        </is>
      </c>
      <c r="N33" s="7" t="inlineStr">
        <is>
          <t>https://www.itaipu.gov.py/wp-content/uploads/2026/04/03-Planillas-de-Royalties-31_03_26.pdf</t>
        </is>
      </c>
      <c r="O33" s="4" t="inlineStr">
        <is>
          <t>Regimen de caja; planilla anual oficial.</t>
        </is>
      </c>
    </row>
    <row r="34">
      <c r="A34" s="6" t="inlineStr">
        <is>
          <t>X00033</t>
        </is>
      </c>
      <c r="B34" s="6" t="inlineStr">
        <is>
          <t>2021-01-01</t>
        </is>
      </c>
      <c r="C34" s="6" t="inlineStr">
        <is>
          <t>2021-12-31</t>
        </is>
      </c>
      <c r="D34" s="6" t="inlineStr">
        <is>
          <t>year</t>
        </is>
      </c>
      <c r="E34" s="6" t="inlineStr">
        <is>
          <t>ITAIPU_ROYALTIES_CASH</t>
        </is>
      </c>
      <c r="F34" s="6" t="inlineStr">
        <is>
          <t>ITAIPU</t>
        </is>
      </c>
      <c r="G34" s="6" t="inlineStr">
        <is>
          <t>ITAIPU</t>
        </is>
      </c>
      <c r="H34" s="6" t="inlineStr">
        <is>
          <t>PY_TREASURY</t>
        </is>
      </c>
      <c r="I34" s="8" t="n">
        <v>201544620</v>
      </c>
      <c r="J34" s="6" t="inlineStr">
        <is>
          <t>USD</t>
        </is>
      </c>
      <c r="K34" s="6" t="inlineStr">
        <is>
          <t>ITAIPU</t>
        </is>
      </c>
      <c r="L34" s="6" t="inlineStr">
        <is>
          <t>OFFICIAL_PRIMARY</t>
        </is>
      </c>
      <c r="M34" s="9" t="inlineStr">
        <is>
          <t>OFFICIAL_ACCOUNTING</t>
        </is>
      </c>
      <c r="N34" s="7" t="inlineStr">
        <is>
          <t>https://www.itaipu.gov.py/wp-content/uploads/2026/04/03-Planillas-de-Royalties-31_03_26.pdf</t>
        </is>
      </c>
      <c r="O34" s="4" t="inlineStr">
        <is>
          <t>Regimen de caja; planilla anual oficial.</t>
        </is>
      </c>
    </row>
    <row r="35">
      <c r="A35" s="6" t="inlineStr">
        <is>
          <t>X00034</t>
        </is>
      </c>
      <c r="B35" s="6" t="inlineStr">
        <is>
          <t>2022-01-01</t>
        </is>
      </c>
      <c r="C35" s="6" t="inlineStr">
        <is>
          <t>2022-12-31</t>
        </is>
      </c>
      <c r="D35" s="6" t="inlineStr">
        <is>
          <t>year</t>
        </is>
      </c>
      <c r="E35" s="6" t="inlineStr">
        <is>
          <t>ITAIPU_ROYALTIES_CASH</t>
        </is>
      </c>
      <c r="F35" s="6" t="inlineStr">
        <is>
          <t>ITAIPU</t>
        </is>
      </c>
      <c r="G35" s="6" t="inlineStr">
        <is>
          <t>ITAIPU</t>
        </is>
      </c>
      <c r="H35" s="6" t="inlineStr">
        <is>
          <t>PY_TREASURY</t>
        </is>
      </c>
      <c r="I35" s="8" t="n">
        <v>203023210</v>
      </c>
      <c r="J35" s="6" t="inlineStr">
        <is>
          <t>USD</t>
        </is>
      </c>
      <c r="K35" s="6" t="inlineStr">
        <is>
          <t>ITAIPU</t>
        </is>
      </c>
      <c r="L35" s="6" t="inlineStr">
        <is>
          <t>OFFICIAL_PRIMARY</t>
        </is>
      </c>
      <c r="M35" s="9" t="inlineStr">
        <is>
          <t>OFFICIAL_ACCOUNTING</t>
        </is>
      </c>
      <c r="N35" s="7" t="inlineStr">
        <is>
          <t>https://www.itaipu.gov.py/wp-content/uploads/2026/04/03-Planillas-de-Royalties-31_03_26.pdf</t>
        </is>
      </c>
      <c r="O35" s="4" t="inlineStr">
        <is>
          <t>Regimen de caja; planilla anual oficial.</t>
        </is>
      </c>
    </row>
    <row r="36">
      <c r="A36" s="6" t="inlineStr">
        <is>
          <t>X00035</t>
        </is>
      </c>
      <c r="B36" s="6" t="inlineStr">
        <is>
          <t>2023-01-01</t>
        </is>
      </c>
      <c r="C36" s="6" t="inlineStr">
        <is>
          <t>2023-12-31</t>
        </is>
      </c>
      <c r="D36" s="6" t="inlineStr">
        <is>
          <t>year</t>
        </is>
      </c>
      <c r="E36" s="6" t="inlineStr">
        <is>
          <t>ITAIPU_ROYALTIES_CASH</t>
        </is>
      </c>
      <c r="F36" s="6" t="inlineStr">
        <is>
          <t>ITAIPU</t>
        </is>
      </c>
      <c r="G36" s="6" t="inlineStr">
        <is>
          <t>ITAIPU</t>
        </is>
      </c>
      <c r="H36" s="6" t="inlineStr">
        <is>
          <t>PY_TREASURY</t>
        </is>
      </c>
      <c r="I36" s="8" t="n">
        <v>251894090</v>
      </c>
      <c r="J36" s="6" t="inlineStr">
        <is>
          <t>USD</t>
        </is>
      </c>
      <c r="K36" s="6" t="inlineStr">
        <is>
          <t>ITAIPU</t>
        </is>
      </c>
      <c r="L36" s="6" t="inlineStr">
        <is>
          <t>OFFICIAL_PRIMARY</t>
        </is>
      </c>
      <c r="M36" s="9" t="inlineStr">
        <is>
          <t>OFFICIAL_ACCOUNTING</t>
        </is>
      </c>
      <c r="N36" s="7" t="inlineStr">
        <is>
          <t>https://www.itaipu.gov.py/wp-content/uploads/2026/04/03-Planillas-de-Royalties-31_03_26.pdf</t>
        </is>
      </c>
      <c r="O36" s="4" t="inlineStr">
        <is>
          <t>Regimen de caja; planilla anual oficial.</t>
        </is>
      </c>
    </row>
    <row r="37">
      <c r="A37" s="6" t="inlineStr">
        <is>
          <t>X00036</t>
        </is>
      </c>
      <c r="B37" s="6" t="inlineStr">
        <is>
          <t>2024-01-01</t>
        </is>
      </c>
      <c r="C37" s="6" t="inlineStr">
        <is>
          <t>2024-12-31</t>
        </is>
      </c>
      <c r="D37" s="6" t="inlineStr">
        <is>
          <t>year</t>
        </is>
      </c>
      <c r="E37" s="6" t="inlineStr">
        <is>
          <t>ITAIPU_ROYALTIES_CASH</t>
        </is>
      </c>
      <c r="F37" s="6" t="inlineStr">
        <is>
          <t>ITAIPU</t>
        </is>
      </c>
      <c r="G37" s="6" t="inlineStr">
        <is>
          <t>ITAIPU</t>
        </is>
      </c>
      <c r="H37" s="6" t="inlineStr">
        <is>
          <t>PY_TREASURY</t>
        </is>
      </c>
      <c r="I37" s="8" t="n">
        <v>266921120</v>
      </c>
      <c r="J37" s="6" t="inlineStr">
        <is>
          <t>USD</t>
        </is>
      </c>
      <c r="K37" s="6" t="inlineStr">
        <is>
          <t>ITAIPU</t>
        </is>
      </c>
      <c r="L37" s="6" t="inlineStr">
        <is>
          <t>OFFICIAL_PRIMARY</t>
        </is>
      </c>
      <c r="M37" s="9" t="inlineStr">
        <is>
          <t>OFFICIAL_ACCOUNTING</t>
        </is>
      </c>
      <c r="N37" s="7" t="inlineStr">
        <is>
          <t>https://www.itaipu.gov.py/wp-content/uploads/2026/04/03-Planillas-de-Royalties-31_03_26.pdf</t>
        </is>
      </c>
      <c r="O37" s="4" t="inlineStr">
        <is>
          <t>Regimen de caja; planilla anual oficial.</t>
        </is>
      </c>
    </row>
    <row r="38">
      <c r="A38" s="6" t="inlineStr">
        <is>
          <t>X00037</t>
        </is>
      </c>
      <c r="B38" s="6" t="inlineStr">
        <is>
          <t>2025-01-01</t>
        </is>
      </c>
      <c r="C38" s="6" t="inlineStr">
        <is>
          <t>2025-12-31</t>
        </is>
      </c>
      <c r="D38" s="6" t="inlineStr">
        <is>
          <t>year</t>
        </is>
      </c>
      <c r="E38" s="6" t="inlineStr">
        <is>
          <t>ITAIPU_ROYALTIES_CASH</t>
        </is>
      </c>
      <c r="F38" s="6" t="inlineStr">
        <is>
          <t>ITAIPU</t>
        </is>
      </c>
      <c r="G38" s="6" t="inlineStr">
        <is>
          <t>ITAIPU</t>
        </is>
      </c>
      <c r="H38" s="6" t="inlineStr">
        <is>
          <t>PY_TREASURY</t>
        </is>
      </c>
      <c r="I38" s="8" t="n">
        <v>246505600</v>
      </c>
      <c r="J38" s="6" t="inlineStr">
        <is>
          <t>USD</t>
        </is>
      </c>
      <c r="K38" s="6" t="inlineStr">
        <is>
          <t>ITAIPU</t>
        </is>
      </c>
      <c r="L38" s="6" t="inlineStr">
        <is>
          <t>OFFICIAL_PRIMARY</t>
        </is>
      </c>
      <c r="M38" s="9" t="inlineStr">
        <is>
          <t>OFFICIAL_ACCOUNTING</t>
        </is>
      </c>
      <c r="N38" s="7" t="inlineStr">
        <is>
          <t>https://www.itaipu.gov.py/wp-content/uploads/2026/04/03-Planillas-de-Royalties-31_03_26.pdf</t>
        </is>
      </c>
      <c r="O38" s="4" t="inlineStr">
        <is>
          <t>Regimen de caja; planilla anual oficial.</t>
        </is>
      </c>
    </row>
    <row r="39">
      <c r="A39" s="6" t="inlineStr">
        <is>
          <t>X00038</t>
        </is>
      </c>
      <c r="B39" s="6" t="inlineStr">
        <is>
          <t>2026-01-01</t>
        </is>
      </c>
      <c r="C39" s="6" t="inlineStr">
        <is>
          <t>2026-03-31</t>
        </is>
      </c>
      <c r="D39" s="6" t="inlineStr">
        <is>
          <t>period</t>
        </is>
      </c>
      <c r="E39" s="6" t="inlineStr">
        <is>
          <t>ITAIPU_ROYALTIES_CASH</t>
        </is>
      </c>
      <c r="F39" s="6" t="inlineStr">
        <is>
          <t>ITAIPU</t>
        </is>
      </c>
      <c r="G39" s="6" t="inlineStr">
        <is>
          <t>ITAIPU</t>
        </is>
      </c>
      <c r="H39" s="6" t="inlineStr">
        <is>
          <t>PY_TREASURY</t>
        </is>
      </c>
      <c r="I39" s="8" t="n">
        <v>65578280</v>
      </c>
      <c r="J39" s="6" t="inlineStr">
        <is>
          <t>USD</t>
        </is>
      </c>
      <c r="K39" s="6" t="inlineStr">
        <is>
          <t>ITAIPU</t>
        </is>
      </c>
      <c r="L39" s="6" t="inlineStr">
        <is>
          <t>OFFICIAL_PRIMARY</t>
        </is>
      </c>
      <c r="M39" s="9" t="inlineStr">
        <is>
          <t>OFFICIAL_ACCOUNTING</t>
        </is>
      </c>
      <c r="N39" s="7" t="inlineStr">
        <is>
          <t>https://www.itaipu.gov.py/wp-content/uploads/2026/04/03-Planillas-de-Royalties-31_03_26.pdf</t>
        </is>
      </c>
      <c r="O39" s="4" t="inlineStr">
        <is>
          <t>Parcial al 31/03/2026.</t>
        </is>
      </c>
    </row>
    <row r="40">
      <c r="A40" s="6" t="inlineStr">
        <is>
          <t>X00039</t>
        </is>
      </c>
      <c r="B40" s="6" t="inlineStr">
        <is>
          <t>2013-01-01</t>
        </is>
      </c>
      <c r="C40" s="6" t="inlineStr">
        <is>
          <t>2013-12-31</t>
        </is>
      </c>
      <c r="D40" s="6" t="inlineStr">
        <is>
          <t>year</t>
        </is>
      </c>
      <c r="E40" s="6" t="inlineStr">
        <is>
          <t>ITAIPU_CESSION_COMP_CASH</t>
        </is>
      </c>
      <c r="F40" s="6" t="inlineStr">
        <is>
          <t>ITAIPU</t>
        </is>
      </c>
      <c r="G40" s="6" t="inlineStr">
        <is>
          <t>BR</t>
        </is>
      </c>
      <c r="H40" s="6" t="inlineStr">
        <is>
          <t>PY_TREASURY</t>
        </is>
      </c>
      <c r="I40" s="8" t="n">
        <v>344784266.22</v>
      </c>
      <c r="J40" s="6" t="inlineStr">
        <is>
          <t>USD</t>
        </is>
      </c>
      <c r="K40" s="6" t="inlineStr">
        <is>
          <t>ITAIPU</t>
        </is>
      </c>
      <c r="L40" s="6" t="inlineStr">
        <is>
          <t>OFFICIAL_PRIMARY</t>
        </is>
      </c>
      <c r="M40" s="9" t="inlineStr">
        <is>
          <t>OFFICIAL_ACCOUNTING</t>
        </is>
      </c>
      <c r="N40" s="7" t="inlineStr">
        <is>
          <t>https://www.itaipu.gov.py/sites/default/files/COP_AVANZADA_y_REPORTE_SUSTENTABILIDAD_2015_0.pdf</t>
        </is>
      </c>
      <c r="O40" s="4" t="inlineStr">
        <is>
          <t>Compensacion por energia cedida; no confundir con venta spot.</t>
        </is>
      </c>
    </row>
    <row r="41">
      <c r="A41" s="6" t="inlineStr">
        <is>
          <t>X00040</t>
        </is>
      </c>
      <c r="B41" s="6" t="inlineStr">
        <is>
          <t>2014-01-01</t>
        </is>
      </c>
      <c r="C41" s="6" t="inlineStr">
        <is>
          <t>2014-12-31</t>
        </is>
      </c>
      <c r="D41" s="6" t="inlineStr">
        <is>
          <t>year</t>
        </is>
      </c>
      <c r="E41" s="6" t="inlineStr">
        <is>
          <t>ITAIPU_CESSION_COMP_CASH</t>
        </is>
      </c>
      <c r="F41" s="6" t="inlineStr">
        <is>
          <t>ITAIPU</t>
        </is>
      </c>
      <c r="G41" s="6" t="inlineStr">
        <is>
          <t>BR</t>
        </is>
      </c>
      <c r="H41" s="6" t="inlineStr">
        <is>
          <t>PY_TREASURY</t>
        </is>
      </c>
      <c r="I41" s="8" t="n">
        <v>298667616.49</v>
      </c>
      <c r="J41" s="6" t="inlineStr">
        <is>
          <t>USD</t>
        </is>
      </c>
      <c r="K41" s="6" t="inlineStr">
        <is>
          <t>ITAIPU</t>
        </is>
      </c>
      <c r="L41" s="6" t="inlineStr">
        <is>
          <t>OFFICIAL_PRIMARY</t>
        </is>
      </c>
      <c r="M41" s="9" t="inlineStr">
        <is>
          <t>OFFICIAL_ACCOUNTING</t>
        </is>
      </c>
      <c r="N41" s="7" t="inlineStr">
        <is>
          <t>https://www.itaipu.gov.py/sites/default/files/COP_AVANZADA_y_REPORTE_SUSTENTABILIDAD_2015_0.pdf</t>
        </is>
      </c>
      <c r="O41" s="4" t="inlineStr">
        <is>
          <t>Compensacion por energia cedida; no confundir con venta spot.</t>
        </is>
      </c>
    </row>
    <row r="42">
      <c r="A42" s="6" t="inlineStr">
        <is>
          <t>X00041</t>
        </is>
      </c>
      <c r="B42" s="6" t="inlineStr">
        <is>
          <t>2015-01-01</t>
        </is>
      </c>
      <c r="C42" s="6" t="inlineStr">
        <is>
          <t>2015-12-31</t>
        </is>
      </c>
      <c r="D42" s="6" t="inlineStr">
        <is>
          <t>year</t>
        </is>
      </c>
      <c r="E42" s="6" t="inlineStr">
        <is>
          <t>ITAIPU_CESSION_COMP_CASH</t>
        </is>
      </c>
      <c r="F42" s="6" t="inlineStr">
        <is>
          <t>ITAIPU</t>
        </is>
      </c>
      <c r="G42" s="6" t="inlineStr">
        <is>
          <t>BR</t>
        </is>
      </c>
      <c r="H42" s="6" t="inlineStr">
        <is>
          <t>PY_TREASURY</t>
        </is>
      </c>
      <c r="I42" s="8" t="n">
        <v>360186693.3</v>
      </c>
      <c r="J42" s="6" t="inlineStr">
        <is>
          <t>USD</t>
        </is>
      </c>
      <c r="K42" s="6" t="inlineStr">
        <is>
          <t>ITAIPU</t>
        </is>
      </c>
      <c r="L42" s="6" t="inlineStr">
        <is>
          <t>OFFICIAL_PRIMARY</t>
        </is>
      </c>
      <c r="M42" s="9" t="inlineStr">
        <is>
          <t>OFFICIAL_ACCOUNTING</t>
        </is>
      </c>
      <c r="N42" s="7" t="inlineStr">
        <is>
          <t>https://www.itaipu.gov.py/sites/default/files/COP_AVANZADA_y_REPORTE_SUSTENTABILIDAD_2015_0.pdf</t>
        </is>
      </c>
      <c r="O42" s="4" t="inlineStr">
        <is>
          <t>Compensacion por energia cedida; no confundir con venta spot.</t>
        </is>
      </c>
    </row>
    <row r="43">
      <c r="A43" s="6" t="inlineStr">
        <is>
          <t>X00042</t>
        </is>
      </c>
      <c r="B43" s="6" t="inlineStr">
        <is>
          <t>2016-01-01</t>
        </is>
      </c>
      <c r="C43" s="6" t="inlineStr">
        <is>
          <t>2016-12-31</t>
        </is>
      </c>
      <c r="D43" s="6" t="inlineStr">
        <is>
          <t>year</t>
        </is>
      </c>
      <c r="E43" s="6" t="inlineStr">
        <is>
          <t>ITAIPU_CESSION_COMP_CASH</t>
        </is>
      </c>
      <c r="F43" s="6" t="inlineStr">
        <is>
          <t>ITAIPU</t>
        </is>
      </c>
      <c r="G43" s="6" t="inlineStr">
        <is>
          <t>BR</t>
        </is>
      </c>
      <c r="H43" s="6" t="inlineStr">
        <is>
          <t>PY_TREASURY</t>
        </is>
      </c>
      <c r="I43" s="8" t="n">
        <v>368930511.75</v>
      </c>
      <c r="J43" s="6" t="inlineStr">
        <is>
          <t>USD</t>
        </is>
      </c>
      <c r="K43" s="6" t="inlineStr">
        <is>
          <t>ITAIPU</t>
        </is>
      </c>
      <c r="L43" s="6" t="inlineStr">
        <is>
          <t>OFFICIAL_PRIMARY</t>
        </is>
      </c>
      <c r="M43" s="9" t="inlineStr">
        <is>
          <t>OFFICIAL_ACCOUNTING</t>
        </is>
      </c>
      <c r="N43" s="7" t="inlineStr">
        <is>
          <t>https://www.itaipu.gov.py/wp-content/uploads/2025/05/COP_Y_REPORTE_DE_SOSTENIBILIDAD_ITAIPU_2018.pdf</t>
        </is>
      </c>
      <c r="O43" s="4" t="inlineStr">
        <is>
          <t>Compensacion por energia cedida; no confundir con venta spot.</t>
        </is>
      </c>
    </row>
    <row r="44">
      <c r="A44" s="6" t="inlineStr">
        <is>
          <t>X00043</t>
        </is>
      </c>
      <c r="B44" s="6" t="inlineStr">
        <is>
          <t>2017-01-01</t>
        </is>
      </c>
      <c r="C44" s="6" t="inlineStr">
        <is>
          <t>2017-12-31</t>
        </is>
      </c>
      <c r="D44" s="6" t="inlineStr">
        <is>
          <t>year</t>
        </is>
      </c>
      <c r="E44" s="6" t="inlineStr">
        <is>
          <t>ITAIPU_CESSION_COMP_CASH</t>
        </is>
      </c>
      <c r="F44" s="6" t="inlineStr">
        <is>
          <t>ITAIPU</t>
        </is>
      </c>
      <c r="G44" s="6" t="inlineStr">
        <is>
          <t>BR</t>
        </is>
      </c>
      <c r="H44" s="6" t="inlineStr">
        <is>
          <t>PY_TREASURY</t>
        </is>
      </c>
      <c r="I44" s="8" t="n">
        <v>359016482.54</v>
      </c>
      <c r="J44" s="6" t="inlineStr">
        <is>
          <t>USD</t>
        </is>
      </c>
      <c r="K44" s="6" t="inlineStr">
        <is>
          <t>ITAIPU</t>
        </is>
      </c>
      <c r="L44" s="6" t="inlineStr">
        <is>
          <t>OFFICIAL_PRIMARY</t>
        </is>
      </c>
      <c r="M44" s="9" t="inlineStr">
        <is>
          <t>OFFICIAL_ACCOUNTING</t>
        </is>
      </c>
      <c r="N44" s="7" t="inlineStr">
        <is>
          <t>https://www.itaipu.gov.py/wp-content/uploads/2025/05/COP_Y_REPORTE_DE_SOSTENIBILIDAD_ITAIPU_2018.pdf</t>
        </is>
      </c>
      <c r="O44" s="4" t="inlineStr">
        <is>
          <t>Compensacion por energia cedida; no confundir con venta spot.</t>
        </is>
      </c>
    </row>
    <row r="45">
      <c r="A45" s="6" t="inlineStr">
        <is>
          <t>X00044</t>
        </is>
      </c>
      <c r="B45" s="6" t="inlineStr">
        <is>
          <t>2018-01-01</t>
        </is>
      </c>
      <c r="C45" s="6" t="inlineStr">
        <is>
          <t>2018-12-31</t>
        </is>
      </c>
      <c r="D45" s="6" t="inlineStr">
        <is>
          <t>year</t>
        </is>
      </c>
      <c r="E45" s="6" t="inlineStr">
        <is>
          <t>ITAIPU_CESSION_COMP_CASH</t>
        </is>
      </c>
      <c r="F45" s="6" t="inlineStr">
        <is>
          <t>ITAIPU</t>
        </is>
      </c>
      <c r="G45" s="6" t="inlineStr">
        <is>
          <t>BR</t>
        </is>
      </c>
      <c r="H45" s="6" t="inlineStr">
        <is>
          <t>PY_TREASURY</t>
        </is>
      </c>
      <c r="I45" s="8" t="n">
        <v>327422857.71</v>
      </c>
      <c r="J45" s="6" t="inlineStr">
        <is>
          <t>USD</t>
        </is>
      </c>
      <c r="K45" s="6" t="inlineStr">
        <is>
          <t>ITAIPU</t>
        </is>
      </c>
      <c r="L45" s="6" t="inlineStr">
        <is>
          <t>OFFICIAL_PRIMARY</t>
        </is>
      </c>
      <c r="M45" s="9" t="inlineStr">
        <is>
          <t>OFFICIAL_ACCOUNTING</t>
        </is>
      </c>
      <c r="N45" s="7" t="inlineStr">
        <is>
          <t>https://www.itaipu.gov.py/wp-content/uploads/2025/05/COP_Y_REPORTE_DE_SOSTENIBILIDAD_ITAIPU_2018.pdf</t>
        </is>
      </c>
      <c r="O45" s="4" t="inlineStr">
        <is>
          <t>Compensacion por energia cedida; no confundir con venta spot.</t>
        </is>
      </c>
    </row>
    <row r="46">
      <c r="A46" s="6" t="inlineStr">
        <is>
          <t>X00045</t>
        </is>
      </c>
      <c r="B46" s="6" t="inlineStr">
        <is>
          <t>2020-01-01</t>
        </is>
      </c>
      <c r="C46" s="6" t="inlineStr">
        <is>
          <t>2020-12-31</t>
        </is>
      </c>
      <c r="D46" s="6" t="inlineStr">
        <is>
          <t>year</t>
        </is>
      </c>
      <c r="E46" s="6" t="inlineStr">
        <is>
          <t>ITAIPU_ROYALTIES_REPORTED</t>
        </is>
      </c>
      <c r="F46" s="6" t="inlineStr">
        <is>
          <t>ITAIPU</t>
        </is>
      </c>
      <c r="G46" s="6" t="inlineStr">
        <is>
          <t>ITAIPU</t>
        </is>
      </c>
      <c r="H46" s="6" t="inlineStr">
        <is>
          <t>PY_TREASURY</t>
        </is>
      </c>
      <c r="I46" s="8" t="n">
        <v>203909000</v>
      </c>
      <c r="J46" s="6" t="inlineStr">
        <is>
          <t>USD</t>
        </is>
      </c>
      <c r="K46" s="6" t="inlineStr">
        <is>
          <t>ITAIPU</t>
        </is>
      </c>
      <c r="L46" s="6" t="inlineStr">
        <is>
          <t>OFFICIAL_NEWS</t>
        </is>
      </c>
      <c r="M46" s="9" t="inlineStr">
        <is>
          <t>OFFICIAL_ACCOUNTING</t>
        </is>
      </c>
      <c r="N46" s="7" t="inlineStr">
        <is>
          <t>https://www.itaipu.gov.py/noticias/institucional/cifras-publicadas-por-itaipu-corresponden-a-los-montos-efectivamente-transferidos-al-estado-paraguayo</t>
        </is>
      </c>
      <c r="O46" s="4" t="inlineStr">
        <is>
          <t>Valor comunicado; planilla de royalties exacta tiene prioridad para la serie de royalties.</t>
        </is>
      </c>
    </row>
    <row r="47">
      <c r="A47" s="6" t="inlineStr">
        <is>
          <t>X00046</t>
        </is>
      </c>
      <c r="B47" s="6" t="inlineStr">
        <is>
          <t>2020-01-01</t>
        </is>
      </c>
      <c r="C47" s="6" t="inlineStr">
        <is>
          <t>2020-12-31</t>
        </is>
      </c>
      <c r="D47" s="6" t="inlineStr">
        <is>
          <t>year</t>
        </is>
      </c>
      <c r="E47" s="6" t="inlineStr">
        <is>
          <t>ITAIPU_CESSION_COMP_REPORTED</t>
        </is>
      </c>
      <c r="F47" s="6" t="inlineStr">
        <is>
          <t>ITAIPU</t>
        </is>
      </c>
      <c r="G47" s="6" t="inlineStr">
        <is>
          <t>BR</t>
        </is>
      </c>
      <c r="H47" s="6" t="inlineStr">
        <is>
          <t>PY_TREASURY</t>
        </is>
      </c>
      <c r="I47" s="8" t="n">
        <v>240876000</v>
      </c>
      <c r="J47" s="6" t="inlineStr">
        <is>
          <t>USD</t>
        </is>
      </c>
      <c r="K47" s="6" t="inlineStr">
        <is>
          <t>ITAIPU</t>
        </is>
      </c>
      <c r="L47" s="6" t="inlineStr">
        <is>
          <t>OFFICIAL_NEWS</t>
        </is>
      </c>
      <c r="M47" s="9" t="inlineStr">
        <is>
          <t>OFFICIAL_ACCOUNTING</t>
        </is>
      </c>
      <c r="N47" s="7" t="inlineStr">
        <is>
          <t>https://www.itaipu.gov.py/noticias/institucional/cifras-publicadas-por-itaipu-corresponden-a-los-montos-efectivamente-transferidos-al-estado-paraguayo</t>
        </is>
      </c>
      <c r="O47" s="4" t="inlineStr">
        <is>
          <t>Compensacion por cesion.</t>
        </is>
      </c>
    </row>
    <row r="48">
      <c r="A48" s="6" t="inlineStr">
        <is>
          <t>X00047</t>
        </is>
      </c>
      <c r="B48" s="6" t="inlineStr">
        <is>
          <t>2020-01-01</t>
        </is>
      </c>
      <c r="C48" s="6" t="inlineStr">
        <is>
          <t>2020-12-31</t>
        </is>
      </c>
      <c r="D48" s="6" t="inlineStr">
        <is>
          <t>year</t>
        </is>
      </c>
      <c r="E48" s="6" t="inlineStr">
        <is>
          <t>ITAIPU_ANEXO_C_TOTAL</t>
        </is>
      </c>
      <c r="F48" s="6" t="inlineStr">
        <is>
          <t>ITAIPU</t>
        </is>
      </c>
      <c r="G48" s="6" t="inlineStr">
        <is>
          <t>ITAIPU</t>
        </is>
      </c>
      <c r="H48" s="6" t="inlineStr">
        <is>
          <t>PY_STATE</t>
        </is>
      </c>
      <c r="I48" s="8" t="n">
        <v>444785000</v>
      </c>
      <c r="J48" s="6" t="inlineStr">
        <is>
          <t>USD</t>
        </is>
      </c>
      <c r="K48" s="6" t="inlineStr">
        <is>
          <t>ITAIPU</t>
        </is>
      </c>
      <c r="L48" s="6" t="inlineStr">
        <is>
          <t>OFFICIAL_NEWS</t>
        </is>
      </c>
      <c r="M48" s="9" t="inlineStr">
        <is>
          <t>OFFICIAL_ACCOUNTING</t>
        </is>
      </c>
      <c r="N48" s="7" t="inlineStr">
        <is>
          <t>https://www.itaipu.gov.py/noticias/institucional/cifras-publicadas-por-itaipu-corresponden-a-los-montos-efectivamente-transferidos-al-estado-paraguayo</t>
        </is>
      </c>
      <c r="O48" s="4" t="inlineStr">
        <is>
          <t>Total informado; puede haber redondeo frente a componentes.</t>
        </is>
      </c>
    </row>
    <row r="49">
      <c r="A49" s="6" t="inlineStr">
        <is>
          <t>X00048</t>
        </is>
      </c>
      <c r="B49" s="6" t="inlineStr">
        <is>
          <t>2021-01-01</t>
        </is>
      </c>
      <c r="C49" s="6" t="inlineStr">
        <is>
          <t>2021-12-31</t>
        </is>
      </c>
      <c r="D49" s="6" t="inlineStr">
        <is>
          <t>year</t>
        </is>
      </c>
      <c r="E49" s="6" t="inlineStr">
        <is>
          <t>ITAIPU_ROYALTIES_REPORTED</t>
        </is>
      </c>
      <c r="F49" s="6" t="inlineStr">
        <is>
          <t>ITAIPU</t>
        </is>
      </c>
      <c r="G49" s="6" t="inlineStr">
        <is>
          <t>ITAIPU</t>
        </is>
      </c>
      <c r="H49" s="6" t="inlineStr">
        <is>
          <t>PY_TREASURY</t>
        </is>
      </c>
      <c r="I49" s="8" t="n">
        <v>202000000</v>
      </c>
      <c r="J49" s="6" t="inlineStr">
        <is>
          <t>USD</t>
        </is>
      </c>
      <c r="K49" s="6" t="inlineStr">
        <is>
          <t>ITAIPU</t>
        </is>
      </c>
      <c r="L49" s="6" t="inlineStr">
        <is>
          <t>OFFICIAL_NEWS</t>
        </is>
      </c>
      <c r="M49" s="9" t="inlineStr">
        <is>
          <t>OFFICIAL_ACCOUNTING</t>
        </is>
      </c>
      <c r="N49" s="7" t="inlineStr">
        <is>
          <t>https://www.itaipu.gov.py/noticias/institucional/itaipu-transfirio-usd-445-millones-al-estado-en-el-2021-por-cumplimiento-del-anexo-c</t>
        </is>
      </c>
      <c r="O49" s="4" t="inlineStr">
        <is>
          <t>Valor comunicado; planilla de royalties exacta tiene prioridad para la serie de royalties.</t>
        </is>
      </c>
    </row>
    <row r="50">
      <c r="A50" s="6" t="inlineStr">
        <is>
          <t>X00049</t>
        </is>
      </c>
      <c r="B50" s="6" t="inlineStr">
        <is>
          <t>2021-01-01</t>
        </is>
      </c>
      <c r="C50" s="6" t="inlineStr">
        <is>
          <t>2021-12-31</t>
        </is>
      </c>
      <c r="D50" s="6" t="inlineStr">
        <is>
          <t>year</t>
        </is>
      </c>
      <c r="E50" s="6" t="inlineStr">
        <is>
          <t>ITAIPU_CESSION_COMP_REPORTED</t>
        </is>
      </c>
      <c r="F50" s="6" t="inlineStr">
        <is>
          <t>ITAIPU</t>
        </is>
      </c>
      <c r="G50" s="6" t="inlineStr">
        <is>
          <t>BR</t>
        </is>
      </c>
      <c r="H50" s="6" t="inlineStr">
        <is>
          <t>PY_TREASURY</t>
        </is>
      </c>
      <c r="I50" s="8" t="n">
        <v>203000000</v>
      </c>
      <c r="J50" s="6" t="inlineStr">
        <is>
          <t>USD</t>
        </is>
      </c>
      <c r="K50" s="6" t="inlineStr">
        <is>
          <t>ITAIPU</t>
        </is>
      </c>
      <c r="L50" s="6" t="inlineStr">
        <is>
          <t>OFFICIAL_NEWS</t>
        </is>
      </c>
      <c r="M50" s="9" t="inlineStr">
        <is>
          <t>OFFICIAL_ACCOUNTING</t>
        </is>
      </c>
      <c r="N50" s="7" t="inlineStr">
        <is>
          <t>https://www.itaipu.gov.py/noticias/institucional/itaipu-transfirio-usd-445-millones-al-estado-en-el-2021-por-cumplimiento-del-anexo-c</t>
        </is>
      </c>
      <c r="O50" s="4" t="inlineStr">
        <is>
          <t>Compensacion por cesion.</t>
        </is>
      </c>
    </row>
    <row r="51">
      <c r="A51" s="6" t="inlineStr">
        <is>
          <t>X00050</t>
        </is>
      </c>
      <c r="B51" s="6" t="inlineStr">
        <is>
          <t>2021-01-01</t>
        </is>
      </c>
      <c r="C51" s="6" t="inlineStr">
        <is>
          <t>2021-12-31</t>
        </is>
      </c>
      <c r="D51" s="6" t="inlineStr">
        <is>
          <t>year</t>
        </is>
      </c>
      <c r="E51" s="6" t="inlineStr">
        <is>
          <t>ITAIPU_ANDE_ADMIN_CAPITAL</t>
        </is>
      </c>
      <c r="F51" s="6" t="inlineStr">
        <is>
          <t>ITAIPU</t>
        </is>
      </c>
      <c r="G51" s="6" t="inlineStr">
        <is>
          <t>ITAIPU</t>
        </is>
      </c>
      <c r="H51" s="6" t="inlineStr">
        <is>
          <t>ANDE</t>
        </is>
      </c>
      <c r="I51" s="8" t="n">
        <v>41000000</v>
      </c>
      <c r="J51" s="6" t="inlineStr">
        <is>
          <t>USD</t>
        </is>
      </c>
      <c r="K51" s="6" t="inlineStr">
        <is>
          <t>ITAIPU</t>
        </is>
      </c>
      <c r="L51" s="6" t="inlineStr">
        <is>
          <t>OFFICIAL_NEWS</t>
        </is>
      </c>
      <c r="M51" s="9" t="inlineStr">
        <is>
          <t>OFFICIAL_ACCOUNTING</t>
        </is>
      </c>
      <c r="N51" s="7" t="inlineStr">
        <is>
          <t>https://www.itaipu.gov.py/noticias/institucional/itaipu-transfirio-usd-445-millones-al-estado-en-el-2021-por-cumplimiento-del-anexo-c</t>
        </is>
      </c>
      <c r="O51" s="4" t="inlineStr">
        <is>
          <t>Resarcimiento cargas de administracion y utilidades del capital.</t>
        </is>
      </c>
    </row>
    <row r="52">
      <c r="A52" s="6" t="inlineStr">
        <is>
          <t>X00051</t>
        </is>
      </c>
      <c r="B52" s="6" t="inlineStr">
        <is>
          <t>2021-01-01</t>
        </is>
      </c>
      <c r="C52" s="6" t="inlineStr">
        <is>
          <t>2021-12-31</t>
        </is>
      </c>
      <c r="D52" s="6" t="inlineStr">
        <is>
          <t>year</t>
        </is>
      </c>
      <c r="E52" s="6" t="inlineStr">
        <is>
          <t>ITAIPU_ANEXO_C_TOTAL</t>
        </is>
      </c>
      <c r="F52" s="6" t="inlineStr">
        <is>
          <t>ITAIPU</t>
        </is>
      </c>
      <c r="G52" s="6" t="inlineStr">
        <is>
          <t>ITAIPU</t>
        </is>
      </c>
      <c r="H52" s="6" t="inlineStr">
        <is>
          <t>PY_STATE</t>
        </is>
      </c>
      <c r="I52" s="8" t="n">
        <v>445000000</v>
      </c>
      <c r="J52" s="6" t="inlineStr">
        <is>
          <t>USD</t>
        </is>
      </c>
      <c r="K52" s="6" t="inlineStr">
        <is>
          <t>ITAIPU</t>
        </is>
      </c>
      <c r="L52" s="6" t="inlineStr">
        <is>
          <t>OFFICIAL_NEWS</t>
        </is>
      </c>
      <c r="M52" s="9" t="inlineStr">
        <is>
          <t>OFFICIAL_ACCOUNTING</t>
        </is>
      </c>
      <c r="N52" s="7" t="inlineStr">
        <is>
          <t>https://www.itaipu.gov.py/noticias/institucional/itaipu-transfirio-usd-445-millones-al-estado-en-el-2021-por-cumplimiento-del-anexo-c</t>
        </is>
      </c>
      <c r="O52" s="4" t="inlineStr">
        <is>
          <t>Total informado; puede haber redondeo frente a componentes.</t>
        </is>
      </c>
    </row>
    <row r="53">
      <c r="A53" s="6" t="inlineStr">
        <is>
          <t>X00052</t>
        </is>
      </c>
      <c r="B53" s="6" t="inlineStr">
        <is>
          <t>2022-01-01</t>
        </is>
      </c>
      <c r="C53" s="6" t="inlineStr">
        <is>
          <t>2022-12-31</t>
        </is>
      </c>
      <c r="D53" s="6" t="inlineStr">
        <is>
          <t>year</t>
        </is>
      </c>
      <c r="E53" s="6" t="inlineStr">
        <is>
          <t>ITAIPU_ROYALTIES_REPORTED</t>
        </is>
      </c>
      <c r="F53" s="6" t="inlineStr">
        <is>
          <t>ITAIPU</t>
        </is>
      </c>
      <c r="G53" s="6" t="inlineStr">
        <is>
          <t>ITAIPU</t>
        </is>
      </c>
      <c r="H53" s="6" t="inlineStr">
        <is>
          <t>PY_TREASURY</t>
        </is>
      </c>
      <c r="I53" s="8" t="n">
        <v>203000000</v>
      </c>
      <c r="J53" s="6" t="inlineStr">
        <is>
          <t>USD</t>
        </is>
      </c>
      <c r="K53" s="6" t="inlineStr">
        <is>
          <t>ITAIPU</t>
        </is>
      </c>
      <c r="L53" s="6" t="inlineStr">
        <is>
          <t>OFFICIAL_NEWS</t>
        </is>
      </c>
      <c r="M53" s="9" t="inlineStr">
        <is>
          <t>OFFICIAL_ACCOUNTING</t>
        </is>
      </c>
      <c r="N53" s="7" t="inlineStr">
        <is>
          <t>https://www.itaipu.gov.py/noticias/institucional/estado-paraguayo-recibio-usd-4293-millones-de-itaipu-por-anexo-c-en-el-2022</t>
        </is>
      </c>
      <c r="O53" s="4" t="inlineStr">
        <is>
          <t>Valor comunicado; planilla de royalties exacta tiene prioridad para la serie de royalties.</t>
        </is>
      </c>
    </row>
    <row r="54">
      <c r="A54" s="6" t="inlineStr">
        <is>
          <t>X00053</t>
        </is>
      </c>
      <c r="B54" s="6" t="inlineStr">
        <is>
          <t>2022-01-01</t>
        </is>
      </c>
      <c r="C54" s="6" t="inlineStr">
        <is>
          <t>2022-12-31</t>
        </is>
      </c>
      <c r="D54" s="6" t="inlineStr">
        <is>
          <t>year</t>
        </is>
      </c>
      <c r="E54" s="6" t="inlineStr">
        <is>
          <t>ITAIPU_CESSION_COMP_REPORTED</t>
        </is>
      </c>
      <c r="F54" s="6" t="inlineStr">
        <is>
          <t>ITAIPU</t>
        </is>
      </c>
      <c r="G54" s="6" t="inlineStr">
        <is>
          <t>BR</t>
        </is>
      </c>
      <c r="H54" s="6" t="inlineStr">
        <is>
          <t>PY_TREASURY</t>
        </is>
      </c>
      <c r="I54" s="8" t="n">
        <v>183000000</v>
      </c>
      <c r="J54" s="6" t="inlineStr">
        <is>
          <t>USD</t>
        </is>
      </c>
      <c r="K54" s="6" t="inlineStr">
        <is>
          <t>ITAIPU</t>
        </is>
      </c>
      <c r="L54" s="6" t="inlineStr">
        <is>
          <t>OFFICIAL_NEWS</t>
        </is>
      </c>
      <c r="M54" s="9" t="inlineStr">
        <is>
          <t>OFFICIAL_ACCOUNTING</t>
        </is>
      </c>
      <c r="N54" s="7" t="inlineStr">
        <is>
          <t>https://www.itaipu.gov.py/noticias/institucional/estado-paraguayo-recibio-usd-4293-millones-de-itaipu-por-anexo-c-en-el-2022</t>
        </is>
      </c>
      <c r="O54" s="4" t="inlineStr">
        <is>
          <t>Compensacion por cesion.</t>
        </is>
      </c>
    </row>
    <row r="55">
      <c r="A55" s="6" t="inlineStr">
        <is>
          <t>X00054</t>
        </is>
      </c>
      <c r="B55" s="6" t="inlineStr">
        <is>
          <t>2022-01-01</t>
        </is>
      </c>
      <c r="C55" s="6" t="inlineStr">
        <is>
          <t>2022-12-31</t>
        </is>
      </c>
      <c r="D55" s="6" t="inlineStr">
        <is>
          <t>year</t>
        </is>
      </c>
      <c r="E55" s="6" t="inlineStr">
        <is>
          <t>ITAIPU_ANDE_ADMIN_CAPITAL</t>
        </is>
      </c>
      <c r="F55" s="6" t="inlineStr">
        <is>
          <t>ITAIPU</t>
        </is>
      </c>
      <c r="G55" s="6" t="inlineStr">
        <is>
          <t>ITAIPU</t>
        </is>
      </c>
      <c r="H55" s="6" t="inlineStr">
        <is>
          <t>ANDE</t>
        </is>
      </c>
      <c r="I55" s="8" t="n">
        <v>43000000</v>
      </c>
      <c r="J55" s="6" t="inlineStr">
        <is>
          <t>USD</t>
        </is>
      </c>
      <c r="K55" s="6" t="inlineStr">
        <is>
          <t>ITAIPU</t>
        </is>
      </c>
      <c r="L55" s="6" t="inlineStr">
        <is>
          <t>OFFICIAL_NEWS</t>
        </is>
      </c>
      <c r="M55" s="9" t="inlineStr">
        <is>
          <t>OFFICIAL_ACCOUNTING</t>
        </is>
      </c>
      <c r="N55" s="7" t="inlineStr">
        <is>
          <t>https://www.itaipu.gov.py/noticias/institucional/estado-paraguayo-recibio-usd-4293-millones-de-itaipu-por-anexo-c-en-el-2022</t>
        </is>
      </c>
      <c r="O55" s="4" t="inlineStr">
        <is>
          <t>Resarcimiento cargas de administracion y utilidades del capital.</t>
        </is>
      </c>
    </row>
    <row r="56">
      <c r="A56" s="6" t="inlineStr">
        <is>
          <t>X00055</t>
        </is>
      </c>
      <c r="B56" s="6" t="inlineStr">
        <is>
          <t>2022-01-01</t>
        </is>
      </c>
      <c r="C56" s="6" t="inlineStr">
        <is>
          <t>2022-12-31</t>
        </is>
      </c>
      <c r="D56" s="6" t="inlineStr">
        <is>
          <t>year</t>
        </is>
      </c>
      <c r="E56" s="6" t="inlineStr">
        <is>
          <t>ITAIPU_ANEXO_C_TOTAL</t>
        </is>
      </c>
      <c r="F56" s="6" t="inlineStr">
        <is>
          <t>ITAIPU</t>
        </is>
      </c>
      <c r="G56" s="6" t="inlineStr">
        <is>
          <t>ITAIPU</t>
        </is>
      </c>
      <c r="H56" s="6" t="inlineStr">
        <is>
          <t>PY_STATE</t>
        </is>
      </c>
      <c r="I56" s="8" t="n">
        <v>429300000</v>
      </c>
      <c r="J56" s="6" t="inlineStr">
        <is>
          <t>USD</t>
        </is>
      </c>
      <c r="K56" s="6" t="inlineStr">
        <is>
          <t>ITAIPU</t>
        </is>
      </c>
      <c r="L56" s="6" t="inlineStr">
        <is>
          <t>OFFICIAL_NEWS</t>
        </is>
      </c>
      <c r="M56" s="9" t="inlineStr">
        <is>
          <t>OFFICIAL_ACCOUNTING</t>
        </is>
      </c>
      <c r="N56" s="7" t="inlineStr">
        <is>
          <t>https://www.itaipu.gov.py/noticias/institucional/estado-paraguayo-recibio-usd-4293-millones-de-itaipu-por-anexo-c-en-el-2022</t>
        </is>
      </c>
      <c r="O56" s="4" t="inlineStr">
        <is>
          <t>Total informado; puede haber redondeo frente a componentes.</t>
        </is>
      </c>
    </row>
    <row r="57">
      <c r="A57" s="6" t="inlineStr">
        <is>
          <t>X00056</t>
        </is>
      </c>
      <c r="B57" s="6" t="inlineStr">
        <is>
          <t>2023-01-01</t>
        </is>
      </c>
      <c r="C57" s="6" t="inlineStr">
        <is>
          <t>2023-12-31</t>
        </is>
      </c>
      <c r="D57" s="6" t="inlineStr">
        <is>
          <t>year</t>
        </is>
      </c>
      <c r="E57" s="6" t="inlineStr">
        <is>
          <t>ITAIPU_ROYALTIES_REPORTED</t>
        </is>
      </c>
      <c r="F57" s="6" t="inlineStr">
        <is>
          <t>ITAIPU</t>
        </is>
      </c>
      <c r="G57" s="6" t="inlineStr">
        <is>
          <t>ITAIPU</t>
        </is>
      </c>
      <c r="H57" s="6" t="inlineStr">
        <is>
          <t>PY_TREASURY</t>
        </is>
      </c>
      <c r="I57" s="8" t="n">
        <v>252000000</v>
      </c>
      <c r="J57" s="6" t="inlineStr">
        <is>
          <t>USD</t>
        </is>
      </c>
      <c r="K57" s="6" t="inlineStr">
        <is>
          <t>ITAIPU</t>
        </is>
      </c>
      <c r="L57" s="6" t="inlineStr">
        <is>
          <t>OFFICIAL_NEWS</t>
        </is>
      </c>
      <c r="M57" s="9" t="inlineStr">
        <is>
          <t>OFFICIAL_ACCOUNTING</t>
        </is>
      </c>
      <c r="N57" s="7" t="inlineStr">
        <is>
          <t>https://www.itaipu.gov.py/noticias/institucional/itaipu-cierra-el-2023-con-un-aporte-de-usd-535-millones-al-estado-paraguayo-por-anexo-c</t>
        </is>
      </c>
      <c r="O57" s="4" t="inlineStr">
        <is>
          <t>Valor comunicado; planilla de royalties exacta tiene prioridad para la serie de royalties.</t>
        </is>
      </c>
    </row>
    <row r="58">
      <c r="A58" s="6" t="inlineStr">
        <is>
          <t>X00057</t>
        </is>
      </c>
      <c r="B58" s="6" t="inlineStr">
        <is>
          <t>2023-01-01</t>
        </is>
      </c>
      <c r="C58" s="6" t="inlineStr">
        <is>
          <t>2023-12-31</t>
        </is>
      </c>
      <c r="D58" s="6" t="inlineStr">
        <is>
          <t>year</t>
        </is>
      </c>
      <c r="E58" s="6" t="inlineStr">
        <is>
          <t>ITAIPU_CESSION_COMP_REPORTED</t>
        </is>
      </c>
      <c r="F58" s="6" t="inlineStr">
        <is>
          <t>ITAIPU</t>
        </is>
      </c>
      <c r="G58" s="6" t="inlineStr">
        <is>
          <t>BR</t>
        </is>
      </c>
      <c r="H58" s="6" t="inlineStr">
        <is>
          <t>PY_TREASURY</t>
        </is>
      </c>
      <c r="I58" s="8" t="n">
        <v>233000000</v>
      </c>
      <c r="J58" s="6" t="inlineStr">
        <is>
          <t>USD</t>
        </is>
      </c>
      <c r="K58" s="6" t="inlineStr">
        <is>
          <t>ITAIPU</t>
        </is>
      </c>
      <c r="L58" s="6" t="inlineStr">
        <is>
          <t>OFFICIAL_NEWS</t>
        </is>
      </c>
      <c r="M58" s="9" t="inlineStr">
        <is>
          <t>OFFICIAL_ACCOUNTING</t>
        </is>
      </c>
      <c r="N58" s="7" t="inlineStr">
        <is>
          <t>https://www.itaipu.gov.py/noticias/institucional/itaipu-cierra-el-2023-con-un-aporte-de-usd-535-millones-al-estado-paraguayo-por-anexo-c</t>
        </is>
      </c>
      <c r="O58" s="4" t="inlineStr">
        <is>
          <t>Compensacion por cesion.</t>
        </is>
      </c>
    </row>
    <row r="59">
      <c r="A59" s="6" t="inlineStr">
        <is>
          <t>X00058</t>
        </is>
      </c>
      <c r="B59" s="6" t="inlineStr">
        <is>
          <t>2023-01-01</t>
        </is>
      </c>
      <c r="C59" s="6" t="inlineStr">
        <is>
          <t>2023-12-31</t>
        </is>
      </c>
      <c r="D59" s="6" t="inlineStr">
        <is>
          <t>year</t>
        </is>
      </c>
      <c r="E59" s="6" t="inlineStr">
        <is>
          <t>ITAIPU_ANDE_ADMIN_CAPITAL</t>
        </is>
      </c>
      <c r="F59" s="6" t="inlineStr">
        <is>
          <t>ITAIPU</t>
        </is>
      </c>
      <c r="G59" s="6" t="inlineStr">
        <is>
          <t>ITAIPU</t>
        </is>
      </c>
      <c r="H59" s="6" t="inlineStr">
        <is>
          <t>ANDE</t>
        </is>
      </c>
      <c r="I59" s="8" t="n">
        <v>50000000</v>
      </c>
      <c r="J59" s="6" t="inlineStr">
        <is>
          <t>USD</t>
        </is>
      </c>
      <c r="K59" s="6" t="inlineStr">
        <is>
          <t>ITAIPU</t>
        </is>
      </c>
      <c r="L59" s="6" t="inlineStr">
        <is>
          <t>OFFICIAL_NEWS</t>
        </is>
      </c>
      <c r="M59" s="9" t="inlineStr">
        <is>
          <t>OFFICIAL_ACCOUNTING</t>
        </is>
      </c>
      <c r="N59" s="7" t="inlineStr">
        <is>
          <t>https://www.itaipu.gov.py/noticias/institucional/itaipu-cierra-el-2023-con-un-aporte-de-usd-535-millones-al-estado-paraguayo-por-anexo-c</t>
        </is>
      </c>
      <c r="O59" s="4" t="inlineStr">
        <is>
          <t>Resarcimiento cargas de administracion y utilidades del capital.</t>
        </is>
      </c>
    </row>
    <row r="60">
      <c r="A60" s="6" t="inlineStr">
        <is>
          <t>X00059</t>
        </is>
      </c>
      <c r="B60" s="6" t="inlineStr">
        <is>
          <t>2023-01-01</t>
        </is>
      </c>
      <c r="C60" s="6" t="inlineStr">
        <is>
          <t>2023-12-31</t>
        </is>
      </c>
      <c r="D60" s="6" t="inlineStr">
        <is>
          <t>year</t>
        </is>
      </c>
      <c r="E60" s="6" t="inlineStr">
        <is>
          <t>ITAIPU_ANEXO_C_TOTAL</t>
        </is>
      </c>
      <c r="F60" s="6" t="inlineStr">
        <is>
          <t>ITAIPU</t>
        </is>
      </c>
      <c r="G60" s="6" t="inlineStr">
        <is>
          <t>ITAIPU</t>
        </is>
      </c>
      <c r="H60" s="6" t="inlineStr">
        <is>
          <t>PY_STATE</t>
        </is>
      </c>
      <c r="I60" s="8" t="n">
        <v>535000000</v>
      </c>
      <c r="J60" s="6" t="inlineStr">
        <is>
          <t>USD</t>
        </is>
      </c>
      <c r="K60" s="6" t="inlineStr">
        <is>
          <t>ITAIPU</t>
        </is>
      </c>
      <c r="L60" s="6" t="inlineStr">
        <is>
          <t>OFFICIAL_NEWS</t>
        </is>
      </c>
      <c r="M60" s="9" t="inlineStr">
        <is>
          <t>OFFICIAL_ACCOUNTING</t>
        </is>
      </c>
      <c r="N60" s="7" t="inlineStr">
        <is>
          <t>https://www.itaipu.gov.py/noticias/institucional/itaipu-cierra-el-2023-con-un-aporte-de-usd-535-millones-al-estado-paraguayo-por-anexo-c</t>
        </is>
      </c>
      <c r="O60" s="4" t="inlineStr">
        <is>
          <t>Total informado; puede haber redondeo frente a componentes.</t>
        </is>
      </c>
    </row>
    <row r="61">
      <c r="A61" s="6" t="inlineStr">
        <is>
          <t>X00060</t>
        </is>
      </c>
      <c r="B61" s="6" t="inlineStr">
        <is>
          <t>2024-01-01</t>
        </is>
      </c>
      <c r="C61" s="6" t="inlineStr">
        <is>
          <t>2024-12-31</t>
        </is>
      </c>
      <c r="D61" s="6" t="inlineStr">
        <is>
          <t>year</t>
        </is>
      </c>
      <c r="E61" s="6" t="inlineStr">
        <is>
          <t>ITAIPU_ROYALTIES_REPORTED</t>
        </is>
      </c>
      <c r="F61" s="6" t="inlineStr">
        <is>
          <t>ITAIPU</t>
        </is>
      </c>
      <c r="G61" s="6" t="inlineStr">
        <is>
          <t>ITAIPU</t>
        </is>
      </c>
      <c r="H61" s="6" t="inlineStr">
        <is>
          <t>PY_TREASURY</t>
        </is>
      </c>
      <c r="I61" s="8" t="n">
        <v>267000000</v>
      </c>
      <c r="J61" s="6" t="inlineStr">
        <is>
          <t>USD</t>
        </is>
      </c>
      <c r="K61" s="6" t="inlineStr">
        <is>
          <t>ITAIPU</t>
        </is>
      </c>
      <c r="L61" s="6" t="inlineStr">
        <is>
          <t>OFFICIAL_NEWS</t>
        </is>
      </c>
      <c r="M61" s="9" t="inlineStr">
        <is>
          <t>OFFICIAL_ACCOUNTING</t>
        </is>
      </c>
      <c r="N61" s="7" t="inlineStr">
        <is>
          <t>https://www.itaipu.gov.py/noticias/institucional/estado-paraguayo-recibio-usd-549-millones-de-itaipu-por-anexo-c-en-el-2024</t>
        </is>
      </c>
      <c r="O61" s="4" t="inlineStr">
        <is>
          <t>Valor comunicado; planilla de royalties exacta tiene prioridad para la serie de royalties.</t>
        </is>
      </c>
    </row>
    <row r="62">
      <c r="A62" s="6" t="inlineStr">
        <is>
          <t>X00061</t>
        </is>
      </c>
      <c r="B62" s="6" t="inlineStr">
        <is>
          <t>2024-01-01</t>
        </is>
      </c>
      <c r="C62" s="6" t="inlineStr">
        <is>
          <t>2024-12-31</t>
        </is>
      </c>
      <c r="D62" s="6" t="inlineStr">
        <is>
          <t>year</t>
        </is>
      </c>
      <c r="E62" s="6" t="inlineStr">
        <is>
          <t>ITAIPU_CESSION_COMP_REPORTED</t>
        </is>
      </c>
      <c r="F62" s="6" t="inlineStr">
        <is>
          <t>ITAIPU</t>
        </is>
      </c>
      <c r="G62" s="6" t="inlineStr">
        <is>
          <t>BR</t>
        </is>
      </c>
      <c r="H62" s="6" t="inlineStr">
        <is>
          <t>PY_TREASURY</t>
        </is>
      </c>
      <c r="I62" s="8" t="n">
        <v>230000000</v>
      </c>
      <c r="J62" s="6" t="inlineStr">
        <is>
          <t>USD</t>
        </is>
      </c>
      <c r="K62" s="6" t="inlineStr">
        <is>
          <t>ITAIPU</t>
        </is>
      </c>
      <c r="L62" s="6" t="inlineStr">
        <is>
          <t>OFFICIAL_NEWS</t>
        </is>
      </c>
      <c r="M62" s="9" t="inlineStr">
        <is>
          <t>OFFICIAL_ACCOUNTING</t>
        </is>
      </c>
      <c r="N62" s="7" t="inlineStr">
        <is>
          <t>https://www.itaipu.gov.py/noticias/institucional/estado-paraguayo-recibio-usd-549-millones-de-itaipu-por-anexo-c-en-el-2024</t>
        </is>
      </c>
      <c r="O62" s="4" t="inlineStr">
        <is>
          <t>Compensacion por cesion.</t>
        </is>
      </c>
    </row>
    <row r="63">
      <c r="A63" s="6" t="inlineStr">
        <is>
          <t>X00062</t>
        </is>
      </c>
      <c r="B63" s="6" t="inlineStr">
        <is>
          <t>2024-01-01</t>
        </is>
      </c>
      <c r="C63" s="6" t="inlineStr">
        <is>
          <t>2024-12-31</t>
        </is>
      </c>
      <c r="D63" s="6" t="inlineStr">
        <is>
          <t>year</t>
        </is>
      </c>
      <c r="E63" s="6" t="inlineStr">
        <is>
          <t>ITAIPU_ANDE_ADMIN_CAPITAL</t>
        </is>
      </c>
      <c r="F63" s="6" t="inlineStr">
        <is>
          <t>ITAIPU</t>
        </is>
      </c>
      <c r="G63" s="6" t="inlineStr">
        <is>
          <t>ITAIPU</t>
        </is>
      </c>
      <c r="H63" s="6" t="inlineStr">
        <is>
          <t>ANDE</t>
        </is>
      </c>
      <c r="I63" s="8" t="n">
        <v>51500000</v>
      </c>
      <c r="J63" s="6" t="inlineStr">
        <is>
          <t>USD</t>
        </is>
      </c>
      <c r="K63" s="6" t="inlineStr">
        <is>
          <t>ITAIPU</t>
        </is>
      </c>
      <c r="L63" s="6" t="inlineStr">
        <is>
          <t>OFFICIAL_NEWS</t>
        </is>
      </c>
      <c r="M63" s="9" t="inlineStr">
        <is>
          <t>OFFICIAL_ACCOUNTING</t>
        </is>
      </c>
      <c r="N63" s="7" t="inlineStr">
        <is>
          <t>https://www.itaipu.gov.py/noticias/institucional/estado-paraguayo-recibio-usd-549-millones-de-itaipu-por-anexo-c-en-el-2024</t>
        </is>
      </c>
      <c r="O63" s="4" t="inlineStr">
        <is>
          <t>Resarcimiento cargas de administracion y utilidades del capital.</t>
        </is>
      </c>
    </row>
    <row r="64">
      <c r="A64" s="6" t="inlineStr">
        <is>
          <t>X00063</t>
        </is>
      </c>
      <c r="B64" s="6" t="inlineStr">
        <is>
          <t>2024-01-01</t>
        </is>
      </c>
      <c r="C64" s="6" t="inlineStr">
        <is>
          <t>2024-12-31</t>
        </is>
      </c>
      <c r="D64" s="6" t="inlineStr">
        <is>
          <t>year</t>
        </is>
      </c>
      <c r="E64" s="6" t="inlineStr">
        <is>
          <t>ITAIPU_ANEXO_C_TOTAL</t>
        </is>
      </c>
      <c r="F64" s="6" t="inlineStr">
        <is>
          <t>ITAIPU</t>
        </is>
      </c>
      <c r="G64" s="6" t="inlineStr">
        <is>
          <t>ITAIPU</t>
        </is>
      </c>
      <c r="H64" s="6" t="inlineStr">
        <is>
          <t>PY_STATE</t>
        </is>
      </c>
      <c r="I64" s="8" t="n">
        <v>549000000</v>
      </c>
      <c r="J64" s="6" t="inlineStr">
        <is>
          <t>USD</t>
        </is>
      </c>
      <c r="K64" s="6" t="inlineStr">
        <is>
          <t>ITAIPU</t>
        </is>
      </c>
      <c r="L64" s="6" t="inlineStr">
        <is>
          <t>OFFICIAL_NEWS</t>
        </is>
      </c>
      <c r="M64" s="9" t="inlineStr">
        <is>
          <t>OFFICIAL_ACCOUNTING</t>
        </is>
      </c>
      <c r="N64" s="7" t="inlineStr">
        <is>
          <t>https://www.itaipu.gov.py/noticias/institucional/estado-paraguayo-recibio-usd-549-millones-de-itaipu-por-anexo-c-en-el-2024</t>
        </is>
      </c>
      <c r="O64" s="4" t="inlineStr">
        <is>
          <t>Total informado; puede haber redondeo frente a componentes.</t>
        </is>
      </c>
    </row>
    <row r="65">
      <c r="A65" s="6" t="inlineStr">
        <is>
          <t>X00064</t>
        </is>
      </c>
      <c r="B65" s="6" t="inlineStr">
        <is>
          <t>2025-01-01</t>
        </is>
      </c>
      <c r="C65" s="6" t="inlineStr">
        <is>
          <t>2025-12-31</t>
        </is>
      </c>
      <c r="D65" s="6" t="inlineStr">
        <is>
          <t>year</t>
        </is>
      </c>
      <c r="E65" s="6" t="inlineStr">
        <is>
          <t>ITAIPU_ROYALTIES_REPORTED</t>
        </is>
      </c>
      <c r="F65" s="6" t="inlineStr">
        <is>
          <t>ITAIPU</t>
        </is>
      </c>
      <c r="G65" s="6" t="inlineStr">
        <is>
          <t>ITAIPU</t>
        </is>
      </c>
      <c r="H65" s="6" t="inlineStr">
        <is>
          <t>PY_TREASURY</t>
        </is>
      </c>
      <c r="I65" s="8" t="n">
        <v>247000000</v>
      </c>
      <c r="J65" s="6" t="inlineStr">
        <is>
          <t>USD</t>
        </is>
      </c>
      <c r="K65" s="6" t="inlineStr">
        <is>
          <t>ITAIPU</t>
        </is>
      </c>
      <c r="L65" s="6" t="inlineStr">
        <is>
          <t>OFFICIAL_NEWS</t>
        </is>
      </c>
      <c r="M65" s="9" t="inlineStr">
        <is>
          <t>OFFICIAL_ACCOUNTING</t>
        </is>
      </c>
      <c r="N65" s="7" t="inlineStr">
        <is>
          <t>https://www.itaipu.gov.py/noticias/institucional/itaipu-cerro-el-2025-con-una-transferencia-total-de-usd-462-millones-al-estado-paraguayo-por-anexo-c</t>
        </is>
      </c>
      <c r="O65" s="4" t="inlineStr">
        <is>
          <t>Valor comunicado; planilla de royalties exacta tiene prioridad para la serie de royalties.</t>
        </is>
      </c>
    </row>
    <row r="66">
      <c r="A66" s="6" t="inlineStr">
        <is>
          <t>X00065</t>
        </is>
      </c>
      <c r="B66" s="6" t="inlineStr">
        <is>
          <t>2025-01-01</t>
        </is>
      </c>
      <c r="C66" s="6" t="inlineStr">
        <is>
          <t>2025-12-31</t>
        </is>
      </c>
      <c r="D66" s="6" t="inlineStr">
        <is>
          <t>year</t>
        </is>
      </c>
      <c r="E66" s="6" t="inlineStr">
        <is>
          <t>ITAIPU_CESSION_COMP_REPORTED</t>
        </is>
      </c>
      <c r="F66" s="6" t="inlineStr">
        <is>
          <t>ITAIPU</t>
        </is>
      </c>
      <c r="G66" s="6" t="inlineStr">
        <is>
          <t>BR</t>
        </is>
      </c>
      <c r="H66" s="6" t="inlineStr">
        <is>
          <t>PY_TREASURY</t>
        </is>
      </c>
      <c r="I66" s="8" t="n">
        <v>165000000</v>
      </c>
      <c r="J66" s="6" t="inlineStr">
        <is>
          <t>USD</t>
        </is>
      </c>
      <c r="K66" s="6" t="inlineStr">
        <is>
          <t>ITAIPU</t>
        </is>
      </c>
      <c r="L66" s="6" t="inlineStr">
        <is>
          <t>OFFICIAL_NEWS</t>
        </is>
      </c>
      <c r="M66" s="9" t="inlineStr">
        <is>
          <t>OFFICIAL_ACCOUNTING</t>
        </is>
      </c>
      <c r="N66" s="7" t="inlineStr">
        <is>
          <t>https://www.itaipu.gov.py/noticias/institucional/itaipu-cerro-el-2025-con-una-transferencia-total-de-usd-462-millones-al-estado-paraguayo-por-anexo-c</t>
        </is>
      </c>
      <c r="O66" s="4" t="inlineStr">
        <is>
          <t>Compensacion por cesion.</t>
        </is>
      </c>
    </row>
    <row r="67">
      <c r="A67" s="6" t="inlineStr">
        <is>
          <t>X00066</t>
        </is>
      </c>
      <c r="B67" s="6" t="inlineStr">
        <is>
          <t>2025-01-01</t>
        </is>
      </c>
      <c r="C67" s="6" t="inlineStr">
        <is>
          <t>2025-12-31</t>
        </is>
      </c>
      <c r="D67" s="6" t="inlineStr">
        <is>
          <t>year</t>
        </is>
      </c>
      <c r="E67" s="6" t="inlineStr">
        <is>
          <t>ITAIPU_ANDE_ADMIN_CAPITAL</t>
        </is>
      </c>
      <c r="F67" s="6" t="inlineStr">
        <is>
          <t>ITAIPU</t>
        </is>
      </c>
      <c r="G67" s="6" t="inlineStr">
        <is>
          <t>ITAIPU</t>
        </is>
      </c>
      <c r="H67" s="6" t="inlineStr">
        <is>
          <t>ANDE</t>
        </is>
      </c>
      <c r="I67" s="8" t="n">
        <v>50000000</v>
      </c>
      <c r="J67" s="6" t="inlineStr">
        <is>
          <t>USD</t>
        </is>
      </c>
      <c r="K67" s="6" t="inlineStr">
        <is>
          <t>ITAIPU</t>
        </is>
      </c>
      <c r="L67" s="6" t="inlineStr">
        <is>
          <t>OFFICIAL_NEWS</t>
        </is>
      </c>
      <c r="M67" s="9" t="inlineStr">
        <is>
          <t>OFFICIAL_ACCOUNTING</t>
        </is>
      </c>
      <c r="N67" s="7" t="inlineStr">
        <is>
          <t>https://www.itaipu.gov.py/noticias/institucional/itaipu-cerro-el-2025-con-una-transferencia-total-de-usd-462-millones-al-estado-paraguayo-por-anexo-c</t>
        </is>
      </c>
      <c r="O67" s="4" t="inlineStr">
        <is>
          <t>Resarcimiento cargas de administracion y utilidades del capital.</t>
        </is>
      </c>
    </row>
    <row r="68">
      <c r="A68" s="6" t="inlineStr">
        <is>
          <t>X00067</t>
        </is>
      </c>
      <c r="B68" s="6" t="inlineStr">
        <is>
          <t>2025-01-01</t>
        </is>
      </c>
      <c r="C68" s="6" t="inlineStr">
        <is>
          <t>2025-12-31</t>
        </is>
      </c>
      <c r="D68" s="6" t="inlineStr">
        <is>
          <t>year</t>
        </is>
      </c>
      <c r="E68" s="6" t="inlineStr">
        <is>
          <t>ITAIPU_ANEXO_C_TOTAL</t>
        </is>
      </c>
      <c r="F68" s="6" t="inlineStr">
        <is>
          <t>ITAIPU</t>
        </is>
      </c>
      <c r="G68" s="6" t="inlineStr">
        <is>
          <t>ITAIPU</t>
        </is>
      </c>
      <c r="H68" s="6" t="inlineStr">
        <is>
          <t>PY_STATE</t>
        </is>
      </c>
      <c r="I68" s="8" t="n">
        <v>462000000</v>
      </c>
      <c r="J68" s="6" t="inlineStr">
        <is>
          <t>USD</t>
        </is>
      </c>
      <c r="K68" s="6" t="inlineStr">
        <is>
          <t>ITAIPU</t>
        </is>
      </c>
      <c r="L68" s="6" t="inlineStr">
        <is>
          <t>OFFICIAL_NEWS</t>
        </is>
      </c>
      <c r="M68" s="9" t="inlineStr">
        <is>
          <t>OFFICIAL_ACCOUNTING</t>
        </is>
      </c>
      <c r="N68" s="7" t="inlineStr">
        <is>
          <t>https://www.itaipu.gov.py/noticias/institucional/itaipu-cerro-el-2025-con-una-transferencia-total-de-usd-462-millones-al-estado-paraguayo-por-anexo-c</t>
        </is>
      </c>
      <c r="O68" s="4" t="inlineStr">
        <is>
          <t>Total informado; puede haber redondeo frente a componentes.</t>
        </is>
      </c>
    </row>
    <row r="69">
      <c r="A69" s="6" t="inlineStr">
        <is>
          <t>X00068</t>
        </is>
      </c>
      <c r="B69" s="6" t="inlineStr">
        <is>
          <t>2026-01-01</t>
        </is>
      </c>
      <c r="C69" s="6" t="inlineStr">
        <is>
          <t>2026-08-31</t>
        </is>
      </c>
      <c r="D69" s="6" t="inlineStr">
        <is>
          <t>period</t>
        </is>
      </c>
      <c r="E69" s="6" t="inlineStr">
        <is>
          <t>ITAIPU_ROYALTIES_REPORTED</t>
        </is>
      </c>
      <c r="F69" s="6" t="inlineStr">
        <is>
          <t>ITAIPU</t>
        </is>
      </c>
      <c r="G69" s="6" t="inlineStr">
        <is>
          <t>ITAIPU</t>
        </is>
      </c>
      <c r="H69" s="6" t="inlineStr">
        <is>
          <t>PY_TREASURY</t>
        </is>
      </c>
      <c r="I69" s="8" t="n">
        <v>175000000</v>
      </c>
      <c r="J69" s="6" t="inlineStr">
        <is>
          <t>USD</t>
        </is>
      </c>
      <c r="K69" s="6" t="inlineStr">
        <is>
          <t>ITAIPU</t>
        </is>
      </c>
      <c r="L69" s="6" t="inlineStr">
        <is>
          <t>OFFICIAL_NEWS</t>
        </is>
      </c>
      <c r="M69" s="9" t="inlineStr">
        <is>
          <t>OFFICIAL_ACCOUNTING</t>
        </is>
      </c>
      <c r="N69" s="7" t="inlineStr">
        <is>
          <t>https://www.itaipu.gov.py/noticias/institucional/estado-paraguayo-recibio-usd-310-millones-de-itaipu-hasta-agosto-por-anexo-c</t>
        </is>
      </c>
      <c r="O69" s="4" t="inlineStr">
        <is>
          <t>Acumulado enero-agosto 2026; no comparar como año completo.</t>
        </is>
      </c>
    </row>
    <row r="70">
      <c r="A70" s="6" t="inlineStr">
        <is>
          <t>X00069</t>
        </is>
      </c>
      <c r="B70" s="6" t="inlineStr">
        <is>
          <t>2026-01-01</t>
        </is>
      </c>
      <c r="C70" s="6" t="inlineStr">
        <is>
          <t>2026-08-31</t>
        </is>
      </c>
      <c r="D70" s="6" t="inlineStr">
        <is>
          <t>period</t>
        </is>
      </c>
      <c r="E70" s="6" t="inlineStr">
        <is>
          <t>ITAIPU_CESSION_COMP_REPORTED</t>
        </is>
      </c>
      <c r="F70" s="6" t="inlineStr">
        <is>
          <t>ITAIPU</t>
        </is>
      </c>
      <c r="G70" s="6" t="inlineStr">
        <is>
          <t>BR</t>
        </is>
      </c>
      <c r="H70" s="6" t="inlineStr">
        <is>
          <t>PY_TREASURY</t>
        </is>
      </c>
      <c r="I70" s="8" t="n">
        <v>89000000</v>
      </c>
      <c r="J70" s="6" t="inlineStr">
        <is>
          <t>USD</t>
        </is>
      </c>
      <c r="K70" s="6" t="inlineStr">
        <is>
          <t>ITAIPU</t>
        </is>
      </c>
      <c r="L70" s="6" t="inlineStr">
        <is>
          <t>OFFICIAL_NEWS</t>
        </is>
      </c>
      <c r="M70" s="9" t="inlineStr">
        <is>
          <t>OFFICIAL_ACCOUNTING</t>
        </is>
      </c>
      <c r="N70" s="7" t="inlineStr">
        <is>
          <t>https://www.itaipu.gov.py/noticias/institucional/estado-paraguayo-recibio-usd-310-millones-de-itaipu-hasta-agosto-por-anexo-c</t>
        </is>
      </c>
      <c r="O70" s="4" t="inlineStr">
        <is>
          <t>Acumulado enero-agosto 2026; no comparar como año completo.</t>
        </is>
      </c>
    </row>
    <row r="71">
      <c r="A71" s="6" t="inlineStr">
        <is>
          <t>X00070</t>
        </is>
      </c>
      <c r="B71" s="6" t="inlineStr">
        <is>
          <t>2026-01-01</t>
        </is>
      </c>
      <c r="C71" s="6" t="inlineStr">
        <is>
          <t>2026-08-31</t>
        </is>
      </c>
      <c r="D71" s="6" t="inlineStr">
        <is>
          <t>period</t>
        </is>
      </c>
      <c r="E71" s="6" t="inlineStr">
        <is>
          <t>ITAIPU_ANDE_ADMIN_CAPITAL</t>
        </is>
      </c>
      <c r="F71" s="6" t="inlineStr">
        <is>
          <t>ITAIPU</t>
        </is>
      </c>
      <c r="G71" s="6" t="inlineStr">
        <is>
          <t>ITAIPU</t>
        </is>
      </c>
      <c r="H71" s="6" t="inlineStr">
        <is>
          <t>ANDE</t>
        </is>
      </c>
      <c r="I71" s="8" t="n">
        <v>46000000</v>
      </c>
      <c r="J71" s="6" t="inlineStr">
        <is>
          <t>USD</t>
        </is>
      </c>
      <c r="K71" s="6" t="inlineStr">
        <is>
          <t>ITAIPU</t>
        </is>
      </c>
      <c r="L71" s="6" t="inlineStr">
        <is>
          <t>OFFICIAL_NEWS</t>
        </is>
      </c>
      <c r="M71" s="9" t="inlineStr">
        <is>
          <t>OFFICIAL_ACCOUNTING</t>
        </is>
      </c>
      <c r="N71" s="7" t="inlineStr">
        <is>
          <t>https://www.itaipu.gov.py/noticias/institucional/estado-paraguayo-recibio-usd-310-millones-de-itaipu-hasta-agosto-por-anexo-c</t>
        </is>
      </c>
      <c r="O71" s="4" t="inlineStr">
        <is>
          <t>Acumulado enero-agosto 2026; no comparar como año completo.</t>
        </is>
      </c>
    </row>
    <row r="72">
      <c r="A72" s="6" t="inlineStr">
        <is>
          <t>X00071</t>
        </is>
      </c>
      <c r="B72" s="6" t="inlineStr">
        <is>
          <t>2026-01-01</t>
        </is>
      </c>
      <c r="C72" s="6" t="inlineStr">
        <is>
          <t>2026-08-31</t>
        </is>
      </c>
      <c r="D72" s="6" t="inlineStr">
        <is>
          <t>period</t>
        </is>
      </c>
      <c r="E72" s="6" t="inlineStr">
        <is>
          <t>ITAIPU_ANEXO_C_TOTAL</t>
        </is>
      </c>
      <c r="F72" s="6" t="inlineStr">
        <is>
          <t>ITAIPU</t>
        </is>
      </c>
      <c r="G72" s="6" t="inlineStr">
        <is>
          <t>ITAIPU</t>
        </is>
      </c>
      <c r="H72" s="6" t="inlineStr">
        <is>
          <t>PY_STATE</t>
        </is>
      </c>
      <c r="I72" s="8" t="n">
        <v>310000000</v>
      </c>
      <c r="J72" s="6" t="inlineStr">
        <is>
          <t>USD</t>
        </is>
      </c>
      <c r="K72" s="6" t="inlineStr">
        <is>
          <t>ITAIPU</t>
        </is>
      </c>
      <c r="L72" s="6" t="inlineStr">
        <is>
          <t>OFFICIAL_NEWS</t>
        </is>
      </c>
      <c r="M72" s="9" t="inlineStr">
        <is>
          <t>OFFICIAL_ACCOUNTING</t>
        </is>
      </c>
      <c r="N72" s="7" t="inlineStr">
        <is>
          <t>https://www.itaipu.gov.py/noticias/institucional/estado-paraguayo-recibio-usd-310-millones-de-itaipu-hasta-agosto-por-anexo-c</t>
        </is>
      </c>
      <c r="O72" s="4" t="inlineStr">
        <is>
          <t>Acumulado enero-agosto 2026; no comparar como año completo.</t>
        </is>
      </c>
    </row>
    <row r="73">
      <c r="A73" s="6" t="inlineStr">
        <is>
          <t>X00072</t>
        </is>
      </c>
      <c r="B73" s="6" t="inlineStr">
        <is>
          <t>2024-06-17</t>
        </is>
      </c>
      <c r="C73" s="6" t="inlineStr">
        <is>
          <t>2024-06-17</t>
        </is>
      </c>
      <c r="D73" s="6" t="inlineStr">
        <is>
          <t>event</t>
        </is>
      </c>
      <c r="E73" s="6" t="inlineStr">
        <is>
          <t>YACYRETA_CESSION_PAYMENT</t>
        </is>
      </c>
      <c r="F73" s="6" t="inlineStr">
        <is>
          <t>YACYRETA</t>
        </is>
      </c>
      <c r="G73" s="6" t="inlineStr">
        <is>
          <t>AR</t>
        </is>
      </c>
      <c r="H73" s="6" t="inlineStr">
        <is>
          <t>PY_TREASURY</t>
        </is>
      </c>
      <c r="I73" s="8" t="n">
        <v>100000000</v>
      </c>
      <c r="J73" s="6" t="inlineStr">
        <is>
          <t>USD</t>
        </is>
      </c>
      <c r="K73" s="6" t="inlineStr">
        <is>
          <t>EBY</t>
        </is>
      </c>
      <c r="L73" s="6" t="inlineStr">
        <is>
          <t>OFFICIAL_NEWS</t>
        </is>
      </c>
      <c r="M73" s="9" t="inlineStr">
        <is>
          <t>OFFICIAL_ACCOUNTING</t>
        </is>
      </c>
      <c r="N73" s="7" t="inlineStr">
        <is>
          <t>https://eby.gov.py/paraguay-recibe-historica-transferencia-record-de-usd-100-000-000-por-cesion-de-energia-de-yacyreta/</t>
        </is>
      </c>
      <c r="O73" s="4" t="inlineStr">
        <is>
          <t>Transferencia puntual por deuda de cesion.</t>
        </is>
      </c>
    </row>
    <row r="74">
      <c r="A74" s="6" t="inlineStr">
        <is>
          <t>X00073</t>
        </is>
      </c>
      <c r="B74" s="6" t="inlineStr">
        <is>
          <t>2024-05-01</t>
        </is>
      </c>
      <c r="C74" s="6" t="inlineStr">
        <is>
          <t>2024-05-31</t>
        </is>
      </c>
      <c r="D74" s="6" t="inlineStr">
        <is>
          <t>month</t>
        </is>
      </c>
      <c r="E74" s="6" t="inlineStr">
        <is>
          <t>YACYRETA_CESSION_PAYMENT</t>
        </is>
      </c>
      <c r="F74" s="6" t="inlineStr">
        <is>
          <t>YACYRETA</t>
        </is>
      </c>
      <c r="G74" s="6" t="inlineStr">
        <is>
          <t>AR</t>
        </is>
      </c>
      <c r="H74" s="6" t="inlineStr">
        <is>
          <t>PY_TREASURY</t>
        </is>
      </c>
      <c r="I74" s="8" t="n">
        <v>12000000</v>
      </c>
      <c r="J74" s="6" t="inlineStr">
        <is>
          <t>USD</t>
        </is>
      </c>
      <c r="K74" s="6" t="inlineStr">
        <is>
          <t>EBY</t>
        </is>
      </c>
      <c r="L74" s="6" t="inlineStr">
        <is>
          <t>OFFICIAL_NEWS</t>
        </is>
      </c>
      <c r="M74" s="9" t="inlineStr">
        <is>
          <t>OFFICIAL_ACCOUNTING</t>
        </is>
      </c>
      <c r="N74" s="7" t="inlineStr">
        <is>
          <t>https://eby.gov.py/paraguay-recibe-historica-transferencia-record-de-usd-100-000-000-por-cesion-de-energia-de-yacyreta/</t>
        </is>
      </c>
      <c r="O74" s="4" t="inlineStr">
        <is>
          <t>Pago de mayo citado por EBY.</t>
        </is>
      </c>
    </row>
    <row r="75">
      <c r="A75" s="6" t="inlineStr">
        <is>
          <t>X00074</t>
        </is>
      </c>
      <c r="B75" s="6" t="inlineStr">
        <is>
          <t>2023-08-01</t>
        </is>
      </c>
      <c r="C75" s="6" t="inlineStr">
        <is>
          <t>2024-06-30</t>
        </is>
      </c>
      <c r="D75" s="6" t="inlineStr">
        <is>
          <t>period</t>
        </is>
      </c>
      <c r="E75" s="6" t="inlineStr">
        <is>
          <t>YACYRETA_CESSION_PAYMENT_CUM</t>
        </is>
      </c>
      <c r="F75" s="6" t="inlineStr">
        <is>
          <t>YACYRETA</t>
        </is>
      </c>
      <c r="G75" s="6" t="inlineStr">
        <is>
          <t>AR</t>
        </is>
      </c>
      <c r="H75" s="6" t="inlineStr">
        <is>
          <t>PY_TREASURY</t>
        </is>
      </c>
      <c r="I75" s="8" t="n">
        <v>132567523.13</v>
      </c>
      <c r="J75" s="6" t="inlineStr">
        <is>
          <t>USD</t>
        </is>
      </c>
      <c r="K75" s="6" t="inlineStr">
        <is>
          <t>EBY</t>
        </is>
      </c>
      <c r="L75" s="6" t="inlineStr">
        <is>
          <t>OFFICIAL_NEWS</t>
        </is>
      </c>
      <c r="M75" s="9" t="inlineStr">
        <is>
          <t>OFFICIAL_ACCOUNTING</t>
        </is>
      </c>
      <c r="N75" s="7" t="inlineStr">
        <is>
          <t>https://eby.gov.py/paraguay-recibe-historica-transferencia-record-de-usd-100-000-000-por-cesion-de-energia-de-yacyreta/</t>
        </is>
      </c>
      <c r="O75" s="4" t="inlineStr">
        <is>
          <t>Acumulado recibido agosto 2023-junio 2024.</t>
        </is>
      </c>
    </row>
    <row r="76">
      <c r="A76" s="6" t="inlineStr">
        <is>
          <t>X00075</t>
        </is>
      </c>
      <c r="B76" s="6" t="inlineStr">
        <is>
          <t>2024-06-17</t>
        </is>
      </c>
      <c r="C76" s="6" t="inlineStr">
        <is>
          <t>2024-06-17</t>
        </is>
      </c>
      <c r="D76" s="6" t="inlineStr">
        <is>
          <t>event</t>
        </is>
      </c>
      <c r="E76" s="6" t="inlineStr">
        <is>
          <t>YACYRETA_CESSION_RECEIVABLE_BALANCE</t>
        </is>
      </c>
      <c r="F76" s="6" t="inlineStr">
        <is>
          <t>YACYRETA</t>
        </is>
      </c>
      <c r="G76" s="6" t="inlineStr">
        <is>
          <t>AR</t>
        </is>
      </c>
      <c r="H76" s="6" t="inlineStr">
        <is>
          <t>PY_TREASURY</t>
        </is>
      </c>
      <c r="I76" s="8" t="n">
        <v>20000000</v>
      </c>
      <c r="J76" s="6" t="inlineStr">
        <is>
          <t>USD</t>
        </is>
      </c>
      <c r="K76" s="6" t="inlineStr">
        <is>
          <t>EBY</t>
        </is>
      </c>
      <c r="L76" s="6" t="inlineStr">
        <is>
          <t>OFFICIAL_NEWS</t>
        </is>
      </c>
      <c r="M76" s="9" t="inlineStr">
        <is>
          <t>OFFICIAL_ACCOUNTING</t>
        </is>
      </c>
      <c r="N76" s="7" t="inlineStr">
        <is>
          <t>https://eby.gov.py/paraguay-recibe-historica-transferencia-record-de-usd-100-000-000-por-cesion-de-energia-de-yacyreta/</t>
        </is>
      </c>
      <c r="O76" s="4" t="inlineStr">
        <is>
          <t>Saldo de deuda por cesion luego de transferencia.</t>
        </is>
      </c>
    </row>
    <row r="77">
      <c r="A77" s="6" t="inlineStr">
        <is>
          <t>X00076</t>
        </is>
      </c>
      <c r="B77" s="6" t="inlineStr">
        <is>
          <t>2024-06-17</t>
        </is>
      </c>
      <c r="C77" s="6" t="inlineStr">
        <is>
          <t>2024-06-17</t>
        </is>
      </c>
      <c r="D77" s="6" t="inlineStr">
        <is>
          <t>event</t>
        </is>
      </c>
      <c r="E77" s="6" t="inlineStr">
        <is>
          <t>YACYRETA_GENERATION_RECEIVABLE</t>
        </is>
      </c>
      <c r="F77" s="6" t="inlineStr">
        <is>
          <t>YACYRETA</t>
        </is>
      </c>
      <c r="G77" s="6" t="inlineStr">
        <is>
          <t>AR</t>
        </is>
      </c>
      <c r="H77" s="6" t="inlineStr">
        <is>
          <t>EBY</t>
        </is>
      </c>
      <c r="I77" s="8" t="n">
        <v>92000000</v>
      </c>
      <c r="J77" s="6" t="inlineStr">
        <is>
          <t>USD</t>
        </is>
      </c>
      <c r="K77" s="6" t="inlineStr">
        <is>
          <t>EBY</t>
        </is>
      </c>
      <c r="L77" s="6" t="inlineStr">
        <is>
          <t>OFFICIAL_NEWS</t>
        </is>
      </c>
      <c r="M77" s="9" t="inlineStr">
        <is>
          <t>OFFICIAL_ACCOUNTING</t>
        </is>
      </c>
      <c r="N77" s="7" t="inlineStr">
        <is>
          <t>https://eby.gov.py/paraguay-recibe-historica-transferencia-record-de-usd-100-000-000-por-cesion-de-energia-de-yacyreta/</t>
        </is>
      </c>
      <c r="O77" s="4" t="inlineStr">
        <is>
          <t>Monto pendiente por generacion reportado por EBY.</t>
        </is>
      </c>
    </row>
  </sheetData>
  <autoFilter ref="A1:O77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48" customWidth="1" min="5" max="5"/>
    <col width="16" customWidth="1" min="6" max="6"/>
    <col width="16" customWidth="1" min="7" max="7"/>
    <col width="42" customWidth="1" min="8" max="8"/>
    <col width="48" customWidth="1" min="9" max="9"/>
  </cols>
  <sheetData>
    <row r="1" ht="32" customHeight="1">
      <c r="A1" s="5" t="inlineStr">
        <is>
          <t>year</t>
        </is>
      </c>
      <c r="B1" s="5" t="inlineStr">
        <is>
          <t>metric_code</t>
        </is>
      </c>
      <c r="C1" s="5" t="inlineStr">
        <is>
          <t>value</t>
        </is>
      </c>
      <c r="D1" s="5" t="inlineStr">
        <is>
          <t>unit</t>
        </is>
      </c>
      <c r="E1" s="5" t="inlineStr">
        <is>
          <t>scope</t>
        </is>
      </c>
      <c r="F1" s="5" t="inlineStr">
        <is>
          <t>source_code</t>
        </is>
      </c>
      <c r="G1" s="5" t="inlineStr">
        <is>
          <t>authority_class</t>
        </is>
      </c>
      <c r="H1" s="5" t="inlineStr">
        <is>
          <t>source_url</t>
        </is>
      </c>
      <c r="I1" s="5" t="inlineStr">
        <is>
          <t>notes</t>
        </is>
      </c>
    </row>
    <row r="2">
      <c r="A2" s="8" t="n">
        <v>2003</v>
      </c>
      <c r="B2" s="6" t="inlineStr">
        <is>
          <t>TX_LINE_500KV</t>
        </is>
      </c>
      <c r="C2" s="8" t="n">
        <v>16</v>
      </c>
      <c r="D2" s="6" t="inlineStr">
        <is>
          <t>km</t>
        </is>
      </c>
      <c r="E2" s="6" t="inlineStr">
        <is>
          <t>transmission</t>
        </is>
      </c>
      <c r="F2" s="6" t="inlineStr">
        <is>
          <t>ANDE</t>
        </is>
      </c>
      <c r="G2" s="6" t="inlineStr">
        <is>
          <t>OFFICIAL_PRIMARY</t>
        </is>
      </c>
      <c r="H2" s="7" t="inlineStr">
        <is>
          <t>https://www.ande.gov.py/finanzas/2.%20COMPILACION%20ESTADISTICA%202003-2023/ANDE%20-%20Compilacion%20Estadistica%202003-2023.pdf</t>
        </is>
      </c>
      <c r="I2" s="4" t="inlineStr"/>
    </row>
    <row r="3">
      <c r="A3" s="8" t="n">
        <v>2003</v>
      </c>
      <c r="B3" s="6" t="inlineStr">
        <is>
          <t>TX_LINE_220KV</t>
        </is>
      </c>
      <c r="C3" s="8" t="n">
        <v>3367</v>
      </c>
      <c r="D3" s="6" t="inlineStr">
        <is>
          <t>km</t>
        </is>
      </c>
      <c r="E3" s="6" t="inlineStr">
        <is>
          <t>transmission</t>
        </is>
      </c>
      <c r="F3" s="6" t="inlineStr">
        <is>
          <t>ANDE</t>
        </is>
      </c>
      <c r="G3" s="6" t="inlineStr">
        <is>
          <t>OFFICIAL_PRIMARY</t>
        </is>
      </c>
      <c r="H3" s="7" t="inlineStr">
        <is>
          <t>https://www.ande.gov.py/finanzas/2.%20COMPILACION%20ESTADISTICA%202003-2023/ANDE%20-%20Compilacion%20Estadistica%202003-2023.pdf</t>
        </is>
      </c>
      <c r="I3" s="4" t="inlineStr"/>
    </row>
    <row r="4">
      <c r="A4" s="8" t="n">
        <v>2003</v>
      </c>
      <c r="B4" s="6" t="inlineStr">
        <is>
          <t>TX_LINE_66KV</t>
        </is>
      </c>
      <c r="C4" s="8" t="n">
        <v>1087</v>
      </c>
      <c r="D4" s="6" t="inlineStr">
        <is>
          <t>km</t>
        </is>
      </c>
      <c r="E4" s="6" t="inlineStr">
        <is>
          <t>transmission</t>
        </is>
      </c>
      <c r="F4" s="6" t="inlineStr">
        <is>
          <t>ANDE</t>
        </is>
      </c>
      <c r="G4" s="6" t="inlineStr">
        <is>
          <t>OFFICIAL_PRIMARY</t>
        </is>
      </c>
      <c r="H4" s="7" t="inlineStr">
        <is>
          <t>https://www.ande.gov.py/finanzas/2.%20COMPILACION%20ESTADISTICA%202003-2023/ANDE%20-%20Compilacion%20Estadistica%202003-2023.pdf</t>
        </is>
      </c>
      <c r="I4" s="4" t="inlineStr"/>
    </row>
    <row r="5">
      <c r="A5" s="8" t="n">
        <v>2003</v>
      </c>
      <c r="B5" s="6" t="inlineStr">
        <is>
          <t>TX_TRANSFORMATION_CAPACITY</t>
        </is>
      </c>
      <c r="C5" s="8" t="n">
        <v>1896</v>
      </c>
      <c r="D5" s="6" t="inlineStr">
        <is>
          <t>MVA</t>
        </is>
      </c>
      <c r="E5" s="6" t="inlineStr">
        <is>
          <t>transmission</t>
        </is>
      </c>
      <c r="F5" s="6" t="inlineStr">
        <is>
          <t>ANDE</t>
        </is>
      </c>
      <c r="G5" s="6" t="inlineStr">
        <is>
          <t>OFFICIAL_PRIMARY</t>
        </is>
      </c>
      <c r="H5" s="7" t="inlineStr">
        <is>
          <t>https://www.ande.gov.py/finanzas/2.%20COMPILACION%20ESTADISTICA%202003-2023/ANDE%20-%20Compilacion%20Estadistica%202003-2023.pdf</t>
        </is>
      </c>
      <c r="I5" s="4" t="inlineStr"/>
    </row>
    <row r="6">
      <c r="A6" s="8" t="n">
        <v>2003</v>
      </c>
      <c r="B6" s="6" t="inlineStr">
        <is>
          <t>DIST_MEDIUM_VOLTAGE_NETWORK</t>
        </is>
      </c>
      <c r="C6" s="8" t="n">
        <v>28642</v>
      </c>
      <c r="D6" s="6" t="inlineStr">
        <is>
          <t>km</t>
        </is>
      </c>
      <c r="E6" s="6" t="inlineStr">
        <is>
          <t>distribution</t>
        </is>
      </c>
      <c r="F6" s="6" t="inlineStr">
        <is>
          <t>ANDE</t>
        </is>
      </c>
      <c r="G6" s="6" t="inlineStr">
        <is>
          <t>OFFICIAL_PRIMARY</t>
        </is>
      </c>
      <c r="H6" s="7" t="inlineStr">
        <is>
          <t>https://www.ande.gov.py/finanzas/2.%20COMPILACION%20ESTADISTICA%202003-2023/ANDE%20-%20Compilacion%20Estadistica%202003-2023.pdf</t>
        </is>
      </c>
      <c r="I6" s="4" t="inlineStr"/>
    </row>
    <row r="7">
      <c r="A7" s="8" t="n">
        <v>2003</v>
      </c>
      <c r="B7" s="6" t="inlineStr">
        <is>
          <t>DIST_TRANSFORMERS_QTY</t>
        </is>
      </c>
      <c r="C7" s="8" t="n">
        <v>34081</v>
      </c>
      <c r="D7" s="6" t="inlineStr">
        <is>
          <t>count</t>
        </is>
      </c>
      <c r="E7" s="6" t="inlineStr">
        <is>
          <t>distribution</t>
        </is>
      </c>
      <c r="F7" s="6" t="inlineStr">
        <is>
          <t>ANDE</t>
        </is>
      </c>
      <c r="G7" s="6" t="inlineStr">
        <is>
          <t>OFFICIAL_PRIMARY</t>
        </is>
      </c>
      <c r="H7" s="7" t="inlineStr">
        <is>
          <t>https://www.ande.gov.py/finanzas/2.%20COMPILACION%20ESTADISTICA%202003-2023/ANDE%20-%20Compilacion%20Estadistica%202003-2023.pdf</t>
        </is>
      </c>
      <c r="I7" s="4" t="inlineStr"/>
    </row>
    <row r="8">
      <c r="A8" s="8" t="n">
        <v>2003</v>
      </c>
      <c r="B8" s="6" t="inlineStr">
        <is>
          <t>DIST_TRANSFORMERS_CAPACITY</t>
        </is>
      </c>
      <c r="C8" s="8" t="n">
        <v>2223</v>
      </c>
      <c r="D8" s="6" t="inlineStr">
        <is>
          <t>MVA</t>
        </is>
      </c>
      <c r="E8" s="6" t="inlineStr">
        <is>
          <t>distribution</t>
        </is>
      </c>
      <c r="F8" s="6" t="inlineStr">
        <is>
          <t>ANDE</t>
        </is>
      </c>
      <c r="G8" s="6" t="inlineStr">
        <is>
          <t>OFFICIAL_PRIMARY</t>
        </is>
      </c>
      <c r="H8" s="7" t="inlineStr">
        <is>
          <t>https://www.ande.gov.py/finanzas/2.%20COMPILACION%20ESTADISTICA%202003-2023/ANDE%20-%20Compilacion%20Estadistica%202003-2023.pdf</t>
        </is>
      </c>
      <c r="I8" s="4" t="inlineStr"/>
    </row>
    <row r="9">
      <c r="A9" s="8" t="n">
        <v>2004</v>
      </c>
      <c r="B9" s="6" t="inlineStr">
        <is>
          <t>TX_LINE_500KV</t>
        </is>
      </c>
      <c r="C9" s="8" t="n">
        <v>16</v>
      </c>
      <c r="D9" s="6" t="inlineStr">
        <is>
          <t>km</t>
        </is>
      </c>
      <c r="E9" s="6" t="inlineStr">
        <is>
          <t>transmission</t>
        </is>
      </c>
      <c r="F9" s="6" t="inlineStr">
        <is>
          <t>ANDE</t>
        </is>
      </c>
      <c r="G9" s="6" t="inlineStr">
        <is>
          <t>OFFICIAL_PRIMARY</t>
        </is>
      </c>
      <c r="H9" s="7" t="inlineStr">
        <is>
          <t>https://www.ande.gov.py/finanzas/2.%20COMPILACION%20ESTADISTICA%202003-2023/ANDE%20-%20Compilacion%20Estadistica%202003-2023.pdf</t>
        </is>
      </c>
      <c r="I9" s="4" t="inlineStr"/>
    </row>
    <row r="10">
      <c r="A10" s="8" t="n">
        <v>2004</v>
      </c>
      <c r="B10" s="6" t="inlineStr">
        <is>
          <t>TX_LINE_220KV</t>
        </is>
      </c>
      <c r="C10" s="8" t="n">
        <v>3367</v>
      </c>
      <c r="D10" s="6" t="inlineStr">
        <is>
          <t>km</t>
        </is>
      </c>
      <c r="E10" s="6" t="inlineStr">
        <is>
          <t>transmission</t>
        </is>
      </c>
      <c r="F10" s="6" t="inlineStr">
        <is>
          <t>ANDE</t>
        </is>
      </c>
      <c r="G10" s="6" t="inlineStr">
        <is>
          <t>OFFICIAL_PRIMARY</t>
        </is>
      </c>
      <c r="H10" s="7" t="inlineStr">
        <is>
          <t>https://www.ande.gov.py/finanzas/2.%20COMPILACION%20ESTADISTICA%202003-2023/ANDE%20-%20Compilacion%20Estadistica%202003-2023.pdf</t>
        </is>
      </c>
      <c r="I10" s="4" t="inlineStr"/>
    </row>
    <row r="11">
      <c r="A11" s="8" t="n">
        <v>2004</v>
      </c>
      <c r="B11" s="6" t="inlineStr">
        <is>
          <t>TX_LINE_66KV</t>
        </is>
      </c>
      <c r="C11" s="8" t="n">
        <v>1140</v>
      </c>
      <c r="D11" s="6" t="inlineStr">
        <is>
          <t>km</t>
        </is>
      </c>
      <c r="E11" s="6" t="inlineStr">
        <is>
          <t>transmission</t>
        </is>
      </c>
      <c r="F11" s="6" t="inlineStr">
        <is>
          <t>ANDE</t>
        </is>
      </c>
      <c r="G11" s="6" t="inlineStr">
        <is>
          <t>OFFICIAL_PRIMARY</t>
        </is>
      </c>
      <c r="H11" s="7" t="inlineStr">
        <is>
          <t>https://www.ande.gov.py/finanzas/2.%20COMPILACION%20ESTADISTICA%202003-2023/ANDE%20-%20Compilacion%20Estadistica%202003-2023.pdf</t>
        </is>
      </c>
      <c r="I11" s="4" t="inlineStr"/>
    </row>
    <row r="12">
      <c r="A12" s="8" t="n">
        <v>2004</v>
      </c>
      <c r="B12" s="6" t="inlineStr">
        <is>
          <t>TX_TRANSFORMATION_CAPACITY</t>
        </is>
      </c>
      <c r="C12" s="8" t="n">
        <v>2008</v>
      </c>
      <c r="D12" s="6" t="inlineStr">
        <is>
          <t>MVA</t>
        </is>
      </c>
      <c r="E12" s="6" t="inlineStr">
        <is>
          <t>transmission</t>
        </is>
      </c>
      <c r="F12" s="6" t="inlineStr">
        <is>
          <t>ANDE</t>
        </is>
      </c>
      <c r="G12" s="6" t="inlineStr">
        <is>
          <t>OFFICIAL_PRIMARY</t>
        </is>
      </c>
      <c r="H12" s="7" t="inlineStr">
        <is>
          <t>https://www.ande.gov.py/finanzas/2.%20COMPILACION%20ESTADISTICA%202003-2023/ANDE%20-%20Compilacion%20Estadistica%202003-2023.pdf</t>
        </is>
      </c>
      <c r="I12" s="4" t="inlineStr"/>
    </row>
    <row r="13">
      <c r="A13" s="8" t="n">
        <v>2004</v>
      </c>
      <c r="B13" s="6" t="inlineStr">
        <is>
          <t>DIST_MEDIUM_VOLTAGE_NETWORK</t>
        </is>
      </c>
      <c r="C13" s="8" t="n">
        <v>29013</v>
      </c>
      <c r="D13" s="6" t="inlineStr">
        <is>
          <t>km</t>
        </is>
      </c>
      <c r="E13" s="6" t="inlineStr">
        <is>
          <t>distribution</t>
        </is>
      </c>
      <c r="F13" s="6" t="inlineStr">
        <is>
          <t>ANDE</t>
        </is>
      </c>
      <c r="G13" s="6" t="inlineStr">
        <is>
          <t>OFFICIAL_PRIMARY</t>
        </is>
      </c>
      <c r="H13" s="7" t="inlineStr">
        <is>
          <t>https://www.ande.gov.py/finanzas/2.%20COMPILACION%20ESTADISTICA%202003-2023/ANDE%20-%20Compilacion%20Estadistica%202003-2023.pdf</t>
        </is>
      </c>
      <c r="I13" s="4" t="inlineStr"/>
    </row>
    <row r="14">
      <c r="A14" s="8" t="n">
        <v>2004</v>
      </c>
      <c r="B14" s="6" t="inlineStr">
        <is>
          <t>DIST_TRANSFORMERS_QTY</t>
        </is>
      </c>
      <c r="C14" s="8" t="n">
        <v>34498</v>
      </c>
      <c r="D14" s="6" t="inlineStr">
        <is>
          <t>count</t>
        </is>
      </c>
      <c r="E14" s="6" t="inlineStr">
        <is>
          <t>distribution</t>
        </is>
      </c>
      <c r="F14" s="6" t="inlineStr">
        <is>
          <t>ANDE</t>
        </is>
      </c>
      <c r="G14" s="6" t="inlineStr">
        <is>
          <t>OFFICIAL_PRIMARY</t>
        </is>
      </c>
      <c r="H14" s="7" t="inlineStr">
        <is>
          <t>https://www.ande.gov.py/finanzas/2.%20COMPILACION%20ESTADISTICA%202003-2023/ANDE%20-%20Compilacion%20Estadistica%202003-2023.pdf</t>
        </is>
      </c>
      <c r="I14" s="4" t="inlineStr"/>
    </row>
    <row r="15">
      <c r="A15" s="8" t="n">
        <v>2004</v>
      </c>
      <c r="B15" s="6" t="inlineStr">
        <is>
          <t>DIST_TRANSFORMERS_CAPACITY</t>
        </is>
      </c>
      <c r="C15" s="8" t="n">
        <v>2245</v>
      </c>
      <c r="D15" s="6" t="inlineStr">
        <is>
          <t>MVA</t>
        </is>
      </c>
      <c r="E15" s="6" t="inlineStr">
        <is>
          <t>distribution</t>
        </is>
      </c>
      <c r="F15" s="6" t="inlineStr">
        <is>
          <t>ANDE</t>
        </is>
      </c>
      <c r="G15" s="6" t="inlineStr">
        <is>
          <t>OFFICIAL_PRIMARY</t>
        </is>
      </c>
      <c r="H15" s="7" t="inlineStr">
        <is>
          <t>https://www.ande.gov.py/finanzas/2.%20COMPILACION%20ESTADISTICA%202003-2023/ANDE%20-%20Compilacion%20Estadistica%202003-2023.pdf</t>
        </is>
      </c>
      <c r="I15" s="4" t="inlineStr"/>
    </row>
    <row r="16">
      <c r="A16" s="8" t="n">
        <v>2005</v>
      </c>
      <c r="B16" s="6" t="inlineStr">
        <is>
          <t>TX_LINE_500KV</t>
        </is>
      </c>
      <c r="C16" s="8" t="n">
        <v>16</v>
      </c>
      <c r="D16" s="6" t="inlineStr">
        <is>
          <t>km</t>
        </is>
      </c>
      <c r="E16" s="6" t="inlineStr">
        <is>
          <t>transmission</t>
        </is>
      </c>
      <c r="F16" s="6" t="inlineStr">
        <is>
          <t>ANDE</t>
        </is>
      </c>
      <c r="G16" s="6" t="inlineStr">
        <is>
          <t>OFFICIAL_PRIMARY</t>
        </is>
      </c>
      <c r="H16" s="7" t="inlineStr">
        <is>
          <t>https://www.ande.gov.py/finanzas/2.%20COMPILACION%20ESTADISTICA%202003-2023/ANDE%20-%20Compilacion%20Estadistica%202003-2023.pdf</t>
        </is>
      </c>
      <c r="I16" s="4" t="inlineStr"/>
    </row>
    <row r="17">
      <c r="A17" s="8" t="n">
        <v>2005</v>
      </c>
      <c r="B17" s="6" t="inlineStr">
        <is>
          <t>TX_LINE_220KV</t>
        </is>
      </c>
      <c r="C17" s="8" t="n">
        <v>3367</v>
      </c>
      <c r="D17" s="6" t="inlineStr">
        <is>
          <t>km</t>
        </is>
      </c>
      <c r="E17" s="6" t="inlineStr">
        <is>
          <t>transmission</t>
        </is>
      </c>
      <c r="F17" s="6" t="inlineStr">
        <is>
          <t>ANDE</t>
        </is>
      </c>
      <c r="G17" s="6" t="inlineStr">
        <is>
          <t>OFFICIAL_PRIMARY</t>
        </is>
      </c>
      <c r="H17" s="7" t="inlineStr">
        <is>
          <t>https://www.ande.gov.py/finanzas/2.%20COMPILACION%20ESTADISTICA%202003-2023/ANDE%20-%20Compilacion%20Estadistica%202003-2023.pdf</t>
        </is>
      </c>
      <c r="I17" s="4" t="inlineStr"/>
    </row>
    <row r="18">
      <c r="A18" s="8" t="n">
        <v>2005</v>
      </c>
      <c r="B18" s="6" t="inlineStr">
        <is>
          <t>TX_LINE_66KV</t>
        </is>
      </c>
      <c r="C18" s="8" t="n">
        <v>1139</v>
      </c>
      <c r="D18" s="6" t="inlineStr">
        <is>
          <t>km</t>
        </is>
      </c>
      <c r="E18" s="6" t="inlineStr">
        <is>
          <t>transmission</t>
        </is>
      </c>
      <c r="F18" s="6" t="inlineStr">
        <is>
          <t>ANDE</t>
        </is>
      </c>
      <c r="G18" s="6" t="inlineStr">
        <is>
          <t>OFFICIAL_PRIMARY</t>
        </is>
      </c>
      <c r="H18" s="7" t="inlineStr">
        <is>
          <t>https://www.ande.gov.py/finanzas/2.%20COMPILACION%20ESTADISTICA%202003-2023/ANDE%20-%20Compilacion%20Estadistica%202003-2023.pdf</t>
        </is>
      </c>
      <c r="I18" s="4" t="inlineStr"/>
    </row>
    <row r="19">
      <c r="A19" s="8" t="n">
        <v>2005</v>
      </c>
      <c r="B19" s="6" t="inlineStr">
        <is>
          <t>TX_TRANSFORMATION_CAPACITY</t>
        </is>
      </c>
      <c r="C19" s="8" t="n">
        <v>2146</v>
      </c>
      <c r="D19" s="6" t="inlineStr">
        <is>
          <t>MVA</t>
        </is>
      </c>
      <c r="E19" s="6" t="inlineStr">
        <is>
          <t>transmission</t>
        </is>
      </c>
      <c r="F19" s="6" t="inlineStr">
        <is>
          <t>ANDE</t>
        </is>
      </c>
      <c r="G19" s="6" t="inlineStr">
        <is>
          <t>OFFICIAL_PRIMARY</t>
        </is>
      </c>
      <c r="H19" s="7" t="inlineStr">
        <is>
          <t>https://www.ande.gov.py/finanzas/2.%20COMPILACION%20ESTADISTICA%202003-2023/ANDE%20-%20Compilacion%20Estadistica%202003-2023.pdf</t>
        </is>
      </c>
      <c r="I19" s="4" t="inlineStr"/>
    </row>
    <row r="20">
      <c r="A20" s="8" t="n">
        <v>2005</v>
      </c>
      <c r="B20" s="6" t="inlineStr">
        <is>
          <t>DIST_MEDIUM_VOLTAGE_NETWORK</t>
        </is>
      </c>
      <c r="C20" s="8" t="n">
        <v>29307</v>
      </c>
      <c r="D20" s="6" t="inlineStr">
        <is>
          <t>km</t>
        </is>
      </c>
      <c r="E20" s="6" t="inlineStr">
        <is>
          <t>distribution</t>
        </is>
      </c>
      <c r="F20" s="6" t="inlineStr">
        <is>
          <t>ANDE</t>
        </is>
      </c>
      <c r="G20" s="6" t="inlineStr">
        <is>
          <t>OFFICIAL_PRIMARY</t>
        </is>
      </c>
      <c r="H20" s="7" t="inlineStr">
        <is>
          <t>https://www.ande.gov.py/finanzas/2.%20COMPILACION%20ESTADISTICA%202003-2023/ANDE%20-%20Compilacion%20Estadistica%202003-2023.pdf</t>
        </is>
      </c>
      <c r="I20" s="4" t="inlineStr"/>
    </row>
    <row r="21">
      <c r="A21" s="8" t="n">
        <v>2005</v>
      </c>
      <c r="B21" s="6" t="inlineStr">
        <is>
          <t>DIST_TRANSFORMERS_QTY</t>
        </is>
      </c>
      <c r="C21" s="8" t="n">
        <v>35005</v>
      </c>
      <c r="D21" s="6" t="inlineStr">
        <is>
          <t>count</t>
        </is>
      </c>
      <c r="E21" s="6" t="inlineStr">
        <is>
          <t>distribution</t>
        </is>
      </c>
      <c r="F21" s="6" t="inlineStr">
        <is>
          <t>ANDE</t>
        </is>
      </c>
      <c r="G21" s="6" t="inlineStr">
        <is>
          <t>OFFICIAL_PRIMARY</t>
        </is>
      </c>
      <c r="H21" s="7" t="inlineStr">
        <is>
          <t>https://www.ande.gov.py/finanzas/2.%20COMPILACION%20ESTADISTICA%202003-2023/ANDE%20-%20Compilacion%20Estadistica%202003-2023.pdf</t>
        </is>
      </c>
      <c r="I21" s="4" t="inlineStr"/>
    </row>
    <row r="22">
      <c r="A22" s="8" t="n">
        <v>2005</v>
      </c>
      <c r="B22" s="6" t="inlineStr">
        <is>
          <t>DIST_TRANSFORMERS_CAPACITY</t>
        </is>
      </c>
      <c r="C22" s="8" t="n">
        <v>2272</v>
      </c>
      <c r="D22" s="6" t="inlineStr">
        <is>
          <t>MVA</t>
        </is>
      </c>
      <c r="E22" s="6" t="inlineStr">
        <is>
          <t>distribution</t>
        </is>
      </c>
      <c r="F22" s="6" t="inlineStr">
        <is>
          <t>ANDE</t>
        </is>
      </c>
      <c r="G22" s="6" t="inlineStr">
        <is>
          <t>OFFICIAL_PRIMARY</t>
        </is>
      </c>
      <c r="H22" s="7" t="inlineStr">
        <is>
          <t>https://www.ande.gov.py/finanzas/2.%20COMPILACION%20ESTADISTICA%202003-2023/ANDE%20-%20Compilacion%20Estadistica%202003-2023.pdf</t>
        </is>
      </c>
      <c r="I22" s="4" t="inlineStr"/>
    </row>
    <row r="23">
      <c r="A23" s="8" t="n">
        <v>2006</v>
      </c>
      <c r="B23" s="6" t="inlineStr">
        <is>
          <t>TX_LINE_500KV</t>
        </is>
      </c>
      <c r="C23" s="8" t="n">
        <v>16</v>
      </c>
      <c r="D23" s="6" t="inlineStr">
        <is>
          <t>km</t>
        </is>
      </c>
      <c r="E23" s="6" t="inlineStr">
        <is>
          <t>transmission</t>
        </is>
      </c>
      <c r="F23" s="6" t="inlineStr">
        <is>
          <t>ANDE</t>
        </is>
      </c>
      <c r="G23" s="6" t="inlineStr">
        <is>
          <t>OFFICIAL_PRIMARY</t>
        </is>
      </c>
      <c r="H23" s="7" t="inlineStr">
        <is>
          <t>https://www.ande.gov.py/finanzas/2.%20COMPILACION%20ESTADISTICA%202003-2023/ANDE%20-%20Compilacion%20Estadistica%202003-2023.pdf</t>
        </is>
      </c>
      <c r="I23" s="4" t="inlineStr"/>
    </row>
    <row r="24">
      <c r="A24" s="8" t="n">
        <v>2006</v>
      </c>
      <c r="B24" s="6" t="inlineStr">
        <is>
          <t>TX_LINE_220KV</t>
        </is>
      </c>
      <c r="C24" s="8" t="n">
        <v>3532</v>
      </c>
      <c r="D24" s="6" t="inlineStr">
        <is>
          <t>km</t>
        </is>
      </c>
      <c r="E24" s="6" t="inlineStr">
        <is>
          <t>transmission</t>
        </is>
      </c>
      <c r="F24" s="6" t="inlineStr">
        <is>
          <t>ANDE</t>
        </is>
      </c>
      <c r="G24" s="6" t="inlineStr">
        <is>
          <t>OFFICIAL_PRIMARY</t>
        </is>
      </c>
      <c r="H24" s="7" t="inlineStr">
        <is>
          <t>https://www.ande.gov.py/finanzas/2.%20COMPILACION%20ESTADISTICA%202003-2023/ANDE%20-%20Compilacion%20Estadistica%202003-2023.pdf</t>
        </is>
      </c>
      <c r="I24" s="4" t="inlineStr"/>
    </row>
    <row r="25">
      <c r="A25" s="8" t="n">
        <v>2006</v>
      </c>
      <c r="B25" s="6" t="inlineStr">
        <is>
          <t>TX_LINE_66KV</t>
        </is>
      </c>
      <c r="C25" s="8" t="n">
        <v>1141</v>
      </c>
      <c r="D25" s="6" t="inlineStr">
        <is>
          <t>km</t>
        </is>
      </c>
      <c r="E25" s="6" t="inlineStr">
        <is>
          <t>transmission</t>
        </is>
      </c>
      <c r="F25" s="6" t="inlineStr">
        <is>
          <t>ANDE</t>
        </is>
      </c>
      <c r="G25" s="6" t="inlineStr">
        <is>
          <t>OFFICIAL_PRIMARY</t>
        </is>
      </c>
      <c r="H25" s="7" t="inlineStr">
        <is>
          <t>https://www.ande.gov.py/finanzas/2.%20COMPILACION%20ESTADISTICA%202003-2023/ANDE%20-%20Compilacion%20Estadistica%202003-2023.pdf</t>
        </is>
      </c>
      <c r="I25" s="4" t="inlineStr"/>
    </row>
    <row r="26">
      <c r="A26" s="8" t="n">
        <v>2006</v>
      </c>
      <c r="B26" s="6" t="inlineStr">
        <is>
          <t>TX_TRANSFORMATION_CAPACITY</t>
        </is>
      </c>
      <c r="C26" s="8" t="n">
        <v>2214</v>
      </c>
      <c r="D26" s="6" t="inlineStr">
        <is>
          <t>MVA</t>
        </is>
      </c>
      <c r="E26" s="6" t="inlineStr">
        <is>
          <t>transmission</t>
        </is>
      </c>
      <c r="F26" s="6" t="inlineStr">
        <is>
          <t>ANDE</t>
        </is>
      </c>
      <c r="G26" s="6" t="inlineStr">
        <is>
          <t>OFFICIAL_PRIMARY</t>
        </is>
      </c>
      <c r="H26" s="7" t="inlineStr">
        <is>
          <t>https://www.ande.gov.py/finanzas/2.%20COMPILACION%20ESTADISTICA%202003-2023/ANDE%20-%20Compilacion%20Estadistica%202003-2023.pdf</t>
        </is>
      </c>
      <c r="I26" s="4" t="inlineStr"/>
    </row>
    <row r="27">
      <c r="A27" s="8" t="n">
        <v>2006</v>
      </c>
      <c r="B27" s="6" t="inlineStr">
        <is>
          <t>DIST_MEDIUM_VOLTAGE_NETWORK</t>
        </is>
      </c>
      <c r="C27" s="8" t="n">
        <v>29660</v>
      </c>
      <c r="D27" s="6" t="inlineStr">
        <is>
          <t>km</t>
        </is>
      </c>
      <c r="E27" s="6" t="inlineStr">
        <is>
          <t>distribution</t>
        </is>
      </c>
      <c r="F27" s="6" t="inlineStr">
        <is>
          <t>ANDE</t>
        </is>
      </c>
      <c r="G27" s="6" t="inlineStr">
        <is>
          <t>OFFICIAL_PRIMARY</t>
        </is>
      </c>
      <c r="H27" s="7" t="inlineStr">
        <is>
          <t>https://www.ande.gov.py/finanzas/2.%20COMPILACION%20ESTADISTICA%202003-2023/ANDE%20-%20Compilacion%20Estadistica%202003-2023.pdf</t>
        </is>
      </c>
      <c r="I27" s="4" t="inlineStr"/>
    </row>
    <row r="28">
      <c r="A28" s="8" t="n">
        <v>2006</v>
      </c>
      <c r="B28" s="6" t="inlineStr">
        <is>
          <t>DIST_TRANSFORMERS_QTY</t>
        </is>
      </c>
      <c r="C28" s="8" t="n">
        <v>35595</v>
      </c>
      <c r="D28" s="6" t="inlineStr">
        <is>
          <t>count</t>
        </is>
      </c>
      <c r="E28" s="6" t="inlineStr">
        <is>
          <t>distribution</t>
        </is>
      </c>
      <c r="F28" s="6" t="inlineStr">
        <is>
          <t>ANDE</t>
        </is>
      </c>
      <c r="G28" s="6" t="inlineStr">
        <is>
          <t>OFFICIAL_PRIMARY</t>
        </is>
      </c>
      <c r="H28" s="7" t="inlineStr">
        <is>
          <t>https://www.ande.gov.py/finanzas/2.%20COMPILACION%20ESTADISTICA%202003-2023/ANDE%20-%20Compilacion%20Estadistica%202003-2023.pdf</t>
        </is>
      </c>
      <c r="I28" s="4" t="inlineStr"/>
    </row>
    <row r="29">
      <c r="A29" s="8" t="n">
        <v>2006</v>
      </c>
      <c r="B29" s="6" t="inlineStr">
        <is>
          <t>DIST_TRANSFORMERS_CAPACITY</t>
        </is>
      </c>
      <c r="C29" s="8" t="n">
        <v>2305</v>
      </c>
      <c r="D29" s="6" t="inlineStr">
        <is>
          <t>MVA</t>
        </is>
      </c>
      <c r="E29" s="6" t="inlineStr">
        <is>
          <t>distribution</t>
        </is>
      </c>
      <c r="F29" s="6" t="inlineStr">
        <is>
          <t>ANDE</t>
        </is>
      </c>
      <c r="G29" s="6" t="inlineStr">
        <is>
          <t>OFFICIAL_PRIMARY</t>
        </is>
      </c>
      <c r="H29" s="7" t="inlineStr">
        <is>
          <t>https://www.ande.gov.py/finanzas/2.%20COMPILACION%20ESTADISTICA%202003-2023/ANDE%20-%20Compilacion%20Estadistica%202003-2023.pdf</t>
        </is>
      </c>
      <c r="I29" s="4" t="inlineStr"/>
    </row>
    <row r="30">
      <c r="A30" s="8" t="n">
        <v>2007</v>
      </c>
      <c r="B30" s="6" t="inlineStr">
        <is>
          <t>TX_LINE_500KV</t>
        </is>
      </c>
      <c r="C30" s="8" t="n">
        <v>16</v>
      </c>
      <c r="D30" s="6" t="inlineStr">
        <is>
          <t>km</t>
        </is>
      </c>
      <c r="E30" s="6" t="inlineStr">
        <is>
          <t>transmission</t>
        </is>
      </c>
      <c r="F30" s="6" t="inlineStr">
        <is>
          <t>ANDE</t>
        </is>
      </c>
      <c r="G30" s="6" t="inlineStr">
        <is>
          <t>OFFICIAL_PRIMARY</t>
        </is>
      </c>
      <c r="H30" s="7" t="inlineStr">
        <is>
          <t>https://www.ande.gov.py/finanzas/2.%20COMPILACION%20ESTADISTICA%202003-2023/ANDE%20-%20Compilacion%20Estadistica%202003-2023.pdf</t>
        </is>
      </c>
      <c r="I30" s="4" t="inlineStr"/>
    </row>
    <row r="31">
      <c r="A31" s="8" t="n">
        <v>2007</v>
      </c>
      <c r="B31" s="6" t="inlineStr">
        <is>
          <t>TX_LINE_220KV</t>
        </is>
      </c>
      <c r="C31" s="8" t="n">
        <v>3542</v>
      </c>
      <c r="D31" s="6" t="inlineStr">
        <is>
          <t>km</t>
        </is>
      </c>
      <c r="E31" s="6" t="inlineStr">
        <is>
          <t>transmission</t>
        </is>
      </c>
      <c r="F31" s="6" t="inlineStr">
        <is>
          <t>ANDE</t>
        </is>
      </c>
      <c r="G31" s="6" t="inlineStr">
        <is>
          <t>OFFICIAL_PRIMARY</t>
        </is>
      </c>
      <c r="H31" s="7" t="inlineStr">
        <is>
          <t>https://www.ande.gov.py/finanzas/2.%20COMPILACION%20ESTADISTICA%202003-2023/ANDE%20-%20Compilacion%20Estadistica%202003-2023.pdf</t>
        </is>
      </c>
      <c r="I31" s="4" t="inlineStr"/>
    </row>
    <row r="32">
      <c r="A32" s="8" t="n">
        <v>2007</v>
      </c>
      <c r="B32" s="6" t="inlineStr">
        <is>
          <t>TX_LINE_66KV</t>
        </is>
      </c>
      <c r="C32" s="8" t="n">
        <v>1141</v>
      </c>
      <c r="D32" s="6" t="inlineStr">
        <is>
          <t>km</t>
        </is>
      </c>
      <c r="E32" s="6" t="inlineStr">
        <is>
          <t>transmission</t>
        </is>
      </c>
      <c r="F32" s="6" t="inlineStr">
        <is>
          <t>ANDE</t>
        </is>
      </c>
      <c r="G32" s="6" t="inlineStr">
        <is>
          <t>OFFICIAL_PRIMARY</t>
        </is>
      </c>
      <c r="H32" s="7" t="inlineStr">
        <is>
          <t>https://www.ande.gov.py/finanzas/2.%20COMPILACION%20ESTADISTICA%202003-2023/ANDE%20-%20Compilacion%20Estadistica%202003-2023.pdf</t>
        </is>
      </c>
      <c r="I32" s="4" t="inlineStr"/>
    </row>
    <row r="33">
      <c r="A33" s="8" t="n">
        <v>2007</v>
      </c>
      <c r="B33" s="6" t="inlineStr">
        <is>
          <t>TX_TRANSFORMATION_CAPACITY</t>
        </is>
      </c>
      <c r="C33" s="8" t="n">
        <v>2390</v>
      </c>
      <c r="D33" s="6" t="inlineStr">
        <is>
          <t>MVA</t>
        </is>
      </c>
      <c r="E33" s="6" t="inlineStr">
        <is>
          <t>transmission</t>
        </is>
      </c>
      <c r="F33" s="6" t="inlineStr">
        <is>
          <t>ANDE</t>
        </is>
      </c>
      <c r="G33" s="6" t="inlineStr">
        <is>
          <t>OFFICIAL_PRIMARY</t>
        </is>
      </c>
      <c r="H33" s="7" t="inlineStr">
        <is>
          <t>https://www.ande.gov.py/finanzas/2.%20COMPILACION%20ESTADISTICA%202003-2023/ANDE%20-%20Compilacion%20Estadistica%202003-2023.pdf</t>
        </is>
      </c>
      <c r="I33" s="4" t="inlineStr"/>
    </row>
    <row r="34">
      <c r="A34" s="8" t="n">
        <v>2007</v>
      </c>
      <c r="B34" s="6" t="inlineStr">
        <is>
          <t>DIST_MEDIUM_VOLTAGE_NETWORK</t>
        </is>
      </c>
      <c r="C34" s="8" t="n">
        <v>29948</v>
      </c>
      <c r="D34" s="6" t="inlineStr">
        <is>
          <t>km</t>
        </is>
      </c>
      <c r="E34" s="6" t="inlineStr">
        <is>
          <t>distribution</t>
        </is>
      </c>
      <c r="F34" s="6" t="inlineStr">
        <is>
          <t>ANDE</t>
        </is>
      </c>
      <c r="G34" s="6" t="inlineStr">
        <is>
          <t>OFFICIAL_PRIMARY</t>
        </is>
      </c>
      <c r="H34" s="7" t="inlineStr">
        <is>
          <t>https://www.ande.gov.py/finanzas/2.%20COMPILACION%20ESTADISTICA%202003-2023/ANDE%20-%20Compilacion%20Estadistica%202003-2023.pdf</t>
        </is>
      </c>
      <c r="I34" s="4" t="inlineStr"/>
    </row>
    <row r="35">
      <c r="A35" s="8" t="n">
        <v>2007</v>
      </c>
      <c r="B35" s="6" t="inlineStr">
        <is>
          <t>DIST_TRANSFORMERS_QTY</t>
        </is>
      </c>
      <c r="C35" s="8" t="n">
        <v>36070</v>
      </c>
      <c r="D35" s="6" t="inlineStr">
        <is>
          <t>count</t>
        </is>
      </c>
      <c r="E35" s="6" t="inlineStr">
        <is>
          <t>distribution</t>
        </is>
      </c>
      <c r="F35" s="6" t="inlineStr">
        <is>
          <t>ANDE</t>
        </is>
      </c>
      <c r="G35" s="6" t="inlineStr">
        <is>
          <t>OFFICIAL_PRIMARY</t>
        </is>
      </c>
      <c r="H35" s="7" t="inlineStr">
        <is>
          <t>https://www.ande.gov.py/finanzas/2.%20COMPILACION%20ESTADISTICA%202003-2023/ANDE%20-%20Compilacion%20Estadistica%202003-2023.pdf</t>
        </is>
      </c>
      <c r="I35" s="4" t="inlineStr"/>
    </row>
    <row r="36">
      <c r="A36" s="8" t="n">
        <v>2007</v>
      </c>
      <c r="B36" s="6" t="inlineStr">
        <is>
          <t>DIST_TRANSFORMERS_CAPACITY</t>
        </is>
      </c>
      <c r="C36" s="8" t="n">
        <v>2334</v>
      </c>
      <c r="D36" s="6" t="inlineStr">
        <is>
          <t>MVA</t>
        </is>
      </c>
      <c r="E36" s="6" t="inlineStr">
        <is>
          <t>distribution</t>
        </is>
      </c>
      <c r="F36" s="6" t="inlineStr">
        <is>
          <t>ANDE</t>
        </is>
      </c>
      <c r="G36" s="6" t="inlineStr">
        <is>
          <t>OFFICIAL_PRIMARY</t>
        </is>
      </c>
      <c r="H36" s="7" t="inlineStr">
        <is>
          <t>https://www.ande.gov.py/finanzas/2.%20COMPILACION%20ESTADISTICA%202003-2023/ANDE%20-%20Compilacion%20Estadistica%202003-2023.pdf</t>
        </is>
      </c>
      <c r="I36" s="4" t="inlineStr"/>
    </row>
    <row r="37">
      <c r="A37" s="8" t="n">
        <v>2008</v>
      </c>
      <c r="B37" s="6" t="inlineStr">
        <is>
          <t>TX_LINE_500KV</t>
        </is>
      </c>
      <c r="C37" s="8" t="n">
        <v>16</v>
      </c>
      <c r="D37" s="6" t="inlineStr">
        <is>
          <t>km</t>
        </is>
      </c>
      <c r="E37" s="6" t="inlineStr">
        <is>
          <t>transmission</t>
        </is>
      </c>
      <c r="F37" s="6" t="inlineStr">
        <is>
          <t>ANDE</t>
        </is>
      </c>
      <c r="G37" s="6" t="inlineStr">
        <is>
          <t>OFFICIAL_PRIMARY</t>
        </is>
      </c>
      <c r="H37" s="7" t="inlineStr">
        <is>
          <t>https://www.ande.gov.py/finanzas/2.%20COMPILACION%20ESTADISTICA%202003-2023/ANDE%20-%20Compilacion%20Estadistica%202003-2023.pdf</t>
        </is>
      </c>
      <c r="I37" s="4" t="inlineStr"/>
    </row>
    <row r="38">
      <c r="A38" s="8" t="n">
        <v>2008</v>
      </c>
      <c r="B38" s="6" t="inlineStr">
        <is>
          <t>TX_LINE_220KV</t>
        </is>
      </c>
      <c r="C38" s="8" t="n">
        <v>3542</v>
      </c>
      <c r="D38" s="6" t="inlineStr">
        <is>
          <t>km</t>
        </is>
      </c>
      <c r="E38" s="6" t="inlineStr">
        <is>
          <t>transmission</t>
        </is>
      </c>
      <c r="F38" s="6" t="inlineStr">
        <is>
          <t>ANDE</t>
        </is>
      </c>
      <c r="G38" s="6" t="inlineStr">
        <is>
          <t>OFFICIAL_PRIMARY</t>
        </is>
      </c>
      <c r="H38" s="7" t="inlineStr">
        <is>
          <t>https://www.ande.gov.py/finanzas/2.%20COMPILACION%20ESTADISTICA%202003-2023/ANDE%20-%20Compilacion%20Estadistica%202003-2023.pdf</t>
        </is>
      </c>
      <c r="I38" s="4" t="inlineStr"/>
    </row>
    <row r="39">
      <c r="A39" s="8" t="n">
        <v>2008</v>
      </c>
      <c r="B39" s="6" t="inlineStr">
        <is>
          <t>TX_LINE_66KV</t>
        </is>
      </c>
      <c r="C39" s="8" t="n">
        <v>1141</v>
      </c>
      <c r="D39" s="6" t="inlineStr">
        <is>
          <t>km</t>
        </is>
      </c>
      <c r="E39" s="6" t="inlineStr">
        <is>
          <t>transmission</t>
        </is>
      </c>
      <c r="F39" s="6" t="inlineStr">
        <is>
          <t>ANDE</t>
        </is>
      </c>
      <c r="G39" s="6" t="inlineStr">
        <is>
          <t>OFFICIAL_PRIMARY</t>
        </is>
      </c>
      <c r="H39" s="7" t="inlineStr">
        <is>
          <t>https://www.ande.gov.py/finanzas/2.%20COMPILACION%20ESTADISTICA%202003-2023/ANDE%20-%20Compilacion%20Estadistica%202003-2023.pdf</t>
        </is>
      </c>
      <c r="I39" s="4" t="inlineStr"/>
    </row>
    <row r="40">
      <c r="A40" s="8" t="n">
        <v>2008</v>
      </c>
      <c r="B40" s="6" t="inlineStr">
        <is>
          <t>TX_TRANSFORMATION_CAPACITY</t>
        </is>
      </c>
      <c r="C40" s="8" t="n">
        <v>2409</v>
      </c>
      <c r="D40" s="6" t="inlineStr">
        <is>
          <t>MVA</t>
        </is>
      </c>
      <c r="E40" s="6" t="inlineStr">
        <is>
          <t>transmission</t>
        </is>
      </c>
      <c r="F40" s="6" t="inlineStr">
        <is>
          <t>ANDE</t>
        </is>
      </c>
      <c r="G40" s="6" t="inlineStr">
        <is>
          <t>OFFICIAL_PRIMARY</t>
        </is>
      </c>
      <c r="H40" s="7" t="inlineStr">
        <is>
          <t>https://www.ande.gov.py/finanzas/2.%20COMPILACION%20ESTADISTICA%202003-2023/ANDE%20-%20Compilacion%20Estadistica%202003-2023.pdf</t>
        </is>
      </c>
      <c r="I40" s="4" t="inlineStr"/>
    </row>
    <row r="41">
      <c r="A41" s="8" t="n">
        <v>2008</v>
      </c>
      <c r="B41" s="6" t="inlineStr">
        <is>
          <t>DIST_MEDIUM_VOLTAGE_NETWORK</t>
        </is>
      </c>
      <c r="C41" s="8" t="n">
        <v>30593</v>
      </c>
      <c r="D41" s="6" t="inlineStr">
        <is>
          <t>km</t>
        </is>
      </c>
      <c r="E41" s="6" t="inlineStr">
        <is>
          <t>distribution</t>
        </is>
      </c>
      <c r="F41" s="6" t="inlineStr">
        <is>
          <t>ANDE</t>
        </is>
      </c>
      <c r="G41" s="6" t="inlineStr">
        <is>
          <t>OFFICIAL_PRIMARY</t>
        </is>
      </c>
      <c r="H41" s="7" t="inlineStr">
        <is>
          <t>https://www.ande.gov.py/finanzas/2.%20COMPILACION%20ESTADISTICA%202003-2023/ANDE%20-%20Compilacion%20Estadistica%202003-2023.pdf</t>
        </is>
      </c>
      <c r="I41" s="4" t="inlineStr"/>
    </row>
    <row r="42">
      <c r="A42" s="8" t="n">
        <v>2008</v>
      </c>
      <c r="B42" s="6" t="inlineStr">
        <is>
          <t>DIST_TRANSFORMERS_QTY</t>
        </is>
      </c>
      <c r="C42" s="8" t="n">
        <v>37415</v>
      </c>
      <c r="D42" s="6" t="inlineStr">
        <is>
          <t>count</t>
        </is>
      </c>
      <c r="E42" s="6" t="inlineStr">
        <is>
          <t>distribution</t>
        </is>
      </c>
      <c r="F42" s="6" t="inlineStr">
        <is>
          <t>ANDE</t>
        </is>
      </c>
      <c r="G42" s="6" t="inlineStr">
        <is>
          <t>OFFICIAL_PRIMARY</t>
        </is>
      </c>
      <c r="H42" s="7" t="inlineStr">
        <is>
          <t>https://www.ande.gov.py/finanzas/2.%20COMPILACION%20ESTADISTICA%202003-2023/ANDE%20-%20Compilacion%20Estadistica%202003-2023.pdf</t>
        </is>
      </c>
      <c r="I42" s="4" t="inlineStr"/>
    </row>
    <row r="43">
      <c r="A43" s="8" t="n">
        <v>2008</v>
      </c>
      <c r="B43" s="6" t="inlineStr">
        <is>
          <t>DIST_TRANSFORMERS_CAPACITY</t>
        </is>
      </c>
      <c r="C43" s="8" t="n">
        <v>2368</v>
      </c>
      <c r="D43" s="6" t="inlineStr">
        <is>
          <t>MVA</t>
        </is>
      </c>
      <c r="E43" s="6" t="inlineStr">
        <is>
          <t>distribution</t>
        </is>
      </c>
      <c r="F43" s="6" t="inlineStr">
        <is>
          <t>ANDE</t>
        </is>
      </c>
      <c r="G43" s="6" t="inlineStr">
        <is>
          <t>OFFICIAL_PRIMARY</t>
        </is>
      </c>
      <c r="H43" s="7" t="inlineStr">
        <is>
          <t>https://www.ande.gov.py/finanzas/2.%20COMPILACION%20ESTADISTICA%202003-2023/ANDE%20-%20Compilacion%20Estadistica%202003-2023.pdf</t>
        </is>
      </c>
      <c r="I43" s="4" t="inlineStr"/>
    </row>
    <row r="44">
      <c r="A44" s="8" t="n">
        <v>2009</v>
      </c>
      <c r="B44" s="6" t="inlineStr">
        <is>
          <t>TX_LINE_500KV</t>
        </is>
      </c>
      <c r="C44" s="8" t="n">
        <v>16</v>
      </c>
      <c r="D44" s="6" t="inlineStr">
        <is>
          <t>km</t>
        </is>
      </c>
      <c r="E44" s="6" t="inlineStr">
        <is>
          <t>transmission</t>
        </is>
      </c>
      <c r="F44" s="6" t="inlineStr">
        <is>
          <t>ANDE</t>
        </is>
      </c>
      <c r="G44" s="6" t="inlineStr">
        <is>
          <t>OFFICIAL_PRIMARY</t>
        </is>
      </c>
      <c r="H44" s="7" t="inlineStr">
        <is>
          <t>https://www.ande.gov.py/finanzas/2.%20COMPILACION%20ESTADISTICA%202003-2023/ANDE%20-%20Compilacion%20Estadistica%202003-2023.pdf</t>
        </is>
      </c>
      <c r="I44" s="4" t="inlineStr"/>
    </row>
    <row r="45">
      <c r="A45" s="8" t="n">
        <v>2009</v>
      </c>
      <c r="B45" s="6" t="inlineStr">
        <is>
          <t>TX_LINE_220KV</t>
        </is>
      </c>
      <c r="C45" s="8" t="n">
        <v>3542</v>
      </c>
      <c r="D45" s="6" t="inlineStr">
        <is>
          <t>km</t>
        </is>
      </c>
      <c r="E45" s="6" t="inlineStr">
        <is>
          <t>transmission</t>
        </is>
      </c>
      <c r="F45" s="6" t="inlineStr">
        <is>
          <t>ANDE</t>
        </is>
      </c>
      <c r="G45" s="6" t="inlineStr">
        <is>
          <t>OFFICIAL_PRIMARY</t>
        </is>
      </c>
      <c r="H45" s="7" t="inlineStr">
        <is>
          <t>https://www.ande.gov.py/finanzas/2.%20COMPILACION%20ESTADISTICA%202003-2023/ANDE%20-%20Compilacion%20Estadistica%202003-2023.pdf</t>
        </is>
      </c>
      <c r="I45" s="4" t="inlineStr"/>
    </row>
    <row r="46">
      <c r="A46" s="8" t="n">
        <v>2009</v>
      </c>
      <c r="B46" s="6" t="inlineStr">
        <is>
          <t>TX_LINE_66KV</t>
        </is>
      </c>
      <c r="C46" s="8" t="n">
        <v>1163</v>
      </c>
      <c r="D46" s="6" t="inlineStr">
        <is>
          <t>km</t>
        </is>
      </c>
      <c r="E46" s="6" t="inlineStr">
        <is>
          <t>transmission</t>
        </is>
      </c>
      <c r="F46" s="6" t="inlineStr">
        <is>
          <t>ANDE</t>
        </is>
      </c>
      <c r="G46" s="6" t="inlineStr">
        <is>
          <t>OFFICIAL_PRIMARY</t>
        </is>
      </c>
      <c r="H46" s="7" t="inlineStr">
        <is>
          <t>https://www.ande.gov.py/finanzas/2.%20COMPILACION%20ESTADISTICA%202003-2023/ANDE%20-%20Compilacion%20Estadistica%202003-2023.pdf</t>
        </is>
      </c>
      <c r="I46" s="4" t="inlineStr"/>
    </row>
    <row r="47">
      <c r="A47" s="8" t="n">
        <v>2009</v>
      </c>
      <c r="B47" s="6" t="inlineStr">
        <is>
          <t>TX_TRANSFORMATION_CAPACITY</t>
        </is>
      </c>
      <c r="C47" s="8" t="n">
        <v>2636</v>
      </c>
      <c r="D47" s="6" t="inlineStr">
        <is>
          <t>MVA</t>
        </is>
      </c>
      <c r="E47" s="6" t="inlineStr">
        <is>
          <t>transmission</t>
        </is>
      </c>
      <c r="F47" s="6" t="inlineStr">
        <is>
          <t>ANDE</t>
        </is>
      </c>
      <c r="G47" s="6" t="inlineStr">
        <is>
          <t>OFFICIAL_PRIMARY</t>
        </is>
      </c>
      <c r="H47" s="7" t="inlineStr">
        <is>
          <t>https://www.ande.gov.py/finanzas/2.%20COMPILACION%20ESTADISTICA%202003-2023/ANDE%20-%20Compilacion%20Estadistica%202003-2023.pdf</t>
        </is>
      </c>
      <c r="I47" s="4" t="inlineStr"/>
    </row>
    <row r="48">
      <c r="A48" s="8" t="n">
        <v>2009</v>
      </c>
      <c r="B48" s="6" t="inlineStr">
        <is>
          <t>DIST_MEDIUM_VOLTAGE_NETWORK</t>
        </is>
      </c>
      <c r="C48" s="8" t="n">
        <v>30911</v>
      </c>
      <c r="D48" s="6" t="inlineStr">
        <is>
          <t>km</t>
        </is>
      </c>
      <c r="E48" s="6" t="inlineStr">
        <is>
          <t>distribution</t>
        </is>
      </c>
      <c r="F48" s="6" t="inlineStr">
        <is>
          <t>ANDE</t>
        </is>
      </c>
      <c r="G48" s="6" t="inlineStr">
        <is>
          <t>OFFICIAL_PRIMARY</t>
        </is>
      </c>
      <c r="H48" s="7" t="inlineStr">
        <is>
          <t>https://www.ande.gov.py/finanzas/2.%20COMPILACION%20ESTADISTICA%202003-2023/ANDE%20-%20Compilacion%20Estadistica%202003-2023.pdf</t>
        </is>
      </c>
      <c r="I48" s="4" t="inlineStr"/>
    </row>
    <row r="49">
      <c r="A49" s="8" t="n">
        <v>2009</v>
      </c>
      <c r="B49" s="6" t="inlineStr">
        <is>
          <t>DIST_TRANSFORMERS_QTY</t>
        </is>
      </c>
      <c r="C49" s="8" t="n">
        <v>37947</v>
      </c>
      <c r="D49" s="6" t="inlineStr">
        <is>
          <t>count</t>
        </is>
      </c>
      <c r="E49" s="6" t="inlineStr">
        <is>
          <t>distribution</t>
        </is>
      </c>
      <c r="F49" s="6" t="inlineStr">
        <is>
          <t>ANDE</t>
        </is>
      </c>
      <c r="G49" s="6" t="inlineStr">
        <is>
          <t>OFFICIAL_PRIMARY</t>
        </is>
      </c>
      <c r="H49" s="7" t="inlineStr">
        <is>
          <t>https://www.ande.gov.py/finanzas/2.%20COMPILACION%20ESTADISTICA%202003-2023/ANDE%20-%20Compilacion%20Estadistica%202003-2023.pdf</t>
        </is>
      </c>
      <c r="I49" s="4" t="inlineStr"/>
    </row>
    <row r="50">
      <c r="A50" s="8" t="n">
        <v>2009</v>
      </c>
      <c r="B50" s="6" t="inlineStr">
        <is>
          <t>DIST_TRANSFORMERS_CAPACITY</t>
        </is>
      </c>
      <c r="C50" s="8" t="n">
        <v>2399</v>
      </c>
      <c r="D50" s="6" t="inlineStr">
        <is>
          <t>MVA</t>
        </is>
      </c>
      <c r="E50" s="6" t="inlineStr">
        <is>
          <t>distribution</t>
        </is>
      </c>
      <c r="F50" s="6" t="inlineStr">
        <is>
          <t>ANDE</t>
        </is>
      </c>
      <c r="G50" s="6" t="inlineStr">
        <is>
          <t>OFFICIAL_PRIMARY</t>
        </is>
      </c>
      <c r="H50" s="7" t="inlineStr">
        <is>
          <t>https://www.ande.gov.py/finanzas/2.%20COMPILACION%20ESTADISTICA%202003-2023/ANDE%20-%20Compilacion%20Estadistica%202003-2023.pdf</t>
        </is>
      </c>
      <c r="I50" s="4" t="inlineStr"/>
    </row>
    <row r="51">
      <c r="A51" s="8" t="n">
        <v>2010</v>
      </c>
      <c r="B51" s="6" t="inlineStr">
        <is>
          <t>TX_LINE_500KV</t>
        </is>
      </c>
      <c r="C51" s="8" t="n">
        <v>16</v>
      </c>
      <c r="D51" s="6" t="inlineStr">
        <is>
          <t>km</t>
        </is>
      </c>
      <c r="E51" s="6" t="inlineStr">
        <is>
          <t>transmission</t>
        </is>
      </c>
      <c r="F51" s="6" t="inlineStr">
        <is>
          <t>ANDE</t>
        </is>
      </c>
      <c r="G51" s="6" t="inlineStr">
        <is>
          <t>OFFICIAL_PRIMARY</t>
        </is>
      </c>
      <c r="H51" s="7" t="inlineStr">
        <is>
          <t>https://www.ande.gov.py/finanzas/2.%20COMPILACION%20ESTADISTICA%202003-2023/ANDE%20-%20Compilacion%20Estadistica%202003-2023.pdf</t>
        </is>
      </c>
      <c r="I51" s="4" t="inlineStr"/>
    </row>
    <row r="52">
      <c r="A52" s="8" t="n">
        <v>2010</v>
      </c>
      <c r="B52" s="6" t="inlineStr">
        <is>
          <t>TX_LINE_220KV</t>
        </is>
      </c>
      <c r="C52" s="8" t="n">
        <v>3918</v>
      </c>
      <c r="D52" s="6" t="inlineStr">
        <is>
          <t>km</t>
        </is>
      </c>
      <c r="E52" s="6" t="inlineStr">
        <is>
          <t>transmission</t>
        </is>
      </c>
      <c r="F52" s="6" t="inlineStr">
        <is>
          <t>ANDE</t>
        </is>
      </c>
      <c r="G52" s="6" t="inlineStr">
        <is>
          <t>OFFICIAL_PRIMARY</t>
        </is>
      </c>
      <c r="H52" s="7" t="inlineStr">
        <is>
          <t>https://www.ande.gov.py/finanzas/2.%20COMPILACION%20ESTADISTICA%202003-2023/ANDE%20-%20Compilacion%20Estadistica%202003-2023.pdf</t>
        </is>
      </c>
      <c r="I52" s="4" t="inlineStr"/>
    </row>
    <row r="53">
      <c r="A53" s="8" t="n">
        <v>2010</v>
      </c>
      <c r="B53" s="6" t="inlineStr">
        <is>
          <t>TX_LINE_66KV</t>
        </is>
      </c>
      <c r="C53" s="8" t="n">
        <v>1172</v>
      </c>
      <c r="D53" s="6" t="inlineStr">
        <is>
          <t>km</t>
        </is>
      </c>
      <c r="E53" s="6" t="inlineStr">
        <is>
          <t>transmission</t>
        </is>
      </c>
      <c r="F53" s="6" t="inlineStr">
        <is>
          <t>ANDE</t>
        </is>
      </c>
      <c r="G53" s="6" t="inlineStr">
        <is>
          <t>OFFICIAL_PRIMARY</t>
        </is>
      </c>
      <c r="H53" s="7" t="inlineStr">
        <is>
          <t>https://www.ande.gov.py/finanzas/2.%20COMPILACION%20ESTADISTICA%202003-2023/ANDE%20-%20Compilacion%20Estadistica%202003-2023.pdf</t>
        </is>
      </c>
      <c r="I53" s="4" t="inlineStr"/>
    </row>
    <row r="54">
      <c r="A54" s="8" t="n">
        <v>2010</v>
      </c>
      <c r="B54" s="6" t="inlineStr">
        <is>
          <t>TX_TRANSFORMATION_CAPACITY</t>
        </is>
      </c>
      <c r="C54" s="8" t="n">
        <v>2969</v>
      </c>
      <c r="D54" s="6" t="inlineStr">
        <is>
          <t>MVA</t>
        </is>
      </c>
      <c r="E54" s="6" t="inlineStr">
        <is>
          <t>transmission</t>
        </is>
      </c>
      <c r="F54" s="6" t="inlineStr">
        <is>
          <t>ANDE</t>
        </is>
      </c>
      <c r="G54" s="6" t="inlineStr">
        <is>
          <t>OFFICIAL_PRIMARY</t>
        </is>
      </c>
      <c r="H54" s="7" t="inlineStr">
        <is>
          <t>https://www.ande.gov.py/finanzas/2.%20COMPILACION%20ESTADISTICA%202003-2023/ANDE%20-%20Compilacion%20Estadistica%202003-2023.pdf</t>
        </is>
      </c>
      <c r="I54" s="4" t="inlineStr"/>
    </row>
    <row r="55">
      <c r="A55" s="8" t="n">
        <v>2010</v>
      </c>
      <c r="B55" s="6" t="inlineStr">
        <is>
          <t>DIST_MEDIUM_VOLTAGE_NETWORK</t>
        </is>
      </c>
      <c r="C55" s="8" t="n">
        <v>32482</v>
      </c>
      <c r="D55" s="6" t="inlineStr">
        <is>
          <t>km</t>
        </is>
      </c>
      <c r="E55" s="6" t="inlineStr">
        <is>
          <t>distribution</t>
        </is>
      </c>
      <c r="F55" s="6" t="inlineStr">
        <is>
          <t>ANDE</t>
        </is>
      </c>
      <c r="G55" s="6" t="inlineStr">
        <is>
          <t>OFFICIAL_PRIMARY</t>
        </is>
      </c>
      <c r="H55" s="7" t="inlineStr">
        <is>
          <t>https://www.ande.gov.py/finanzas/2.%20COMPILACION%20ESTADISTICA%202003-2023/ANDE%20-%20Compilacion%20Estadistica%202003-2023.pdf</t>
        </is>
      </c>
      <c r="I55" s="4" t="inlineStr"/>
    </row>
    <row r="56">
      <c r="A56" s="8" t="n">
        <v>2010</v>
      </c>
      <c r="B56" s="6" t="inlineStr">
        <is>
          <t>DIST_TRANSFORMERS_QTY</t>
        </is>
      </c>
      <c r="C56" s="8" t="n">
        <v>38103</v>
      </c>
      <c r="D56" s="6" t="inlineStr">
        <is>
          <t>count</t>
        </is>
      </c>
      <c r="E56" s="6" t="inlineStr">
        <is>
          <t>distribution</t>
        </is>
      </c>
      <c r="F56" s="6" t="inlineStr">
        <is>
          <t>ANDE</t>
        </is>
      </c>
      <c r="G56" s="6" t="inlineStr">
        <is>
          <t>OFFICIAL_PRIMARY</t>
        </is>
      </c>
      <c r="H56" s="7" t="inlineStr">
        <is>
          <t>https://www.ande.gov.py/finanzas/2.%20COMPILACION%20ESTADISTICA%202003-2023/ANDE%20-%20Compilacion%20Estadistica%202003-2023.pdf</t>
        </is>
      </c>
      <c r="I56" s="4" t="inlineStr"/>
    </row>
    <row r="57">
      <c r="A57" s="8" t="n">
        <v>2010</v>
      </c>
      <c r="B57" s="6" t="inlineStr">
        <is>
          <t>DIST_TRANSFORMERS_CAPACITY</t>
        </is>
      </c>
      <c r="C57" s="8" t="n">
        <v>2426</v>
      </c>
      <c r="D57" s="6" t="inlineStr">
        <is>
          <t>MVA</t>
        </is>
      </c>
      <c r="E57" s="6" t="inlineStr">
        <is>
          <t>distribution</t>
        </is>
      </c>
      <c r="F57" s="6" t="inlineStr">
        <is>
          <t>ANDE</t>
        </is>
      </c>
      <c r="G57" s="6" t="inlineStr">
        <is>
          <t>OFFICIAL_PRIMARY</t>
        </is>
      </c>
      <c r="H57" s="7" t="inlineStr">
        <is>
          <t>https://www.ande.gov.py/finanzas/2.%20COMPILACION%20ESTADISTICA%202003-2023/ANDE%20-%20Compilacion%20Estadistica%202003-2023.pdf</t>
        </is>
      </c>
      <c r="I57" s="4" t="inlineStr"/>
    </row>
    <row r="58">
      <c r="A58" s="8" t="n">
        <v>2011</v>
      </c>
      <c r="B58" s="6" t="inlineStr">
        <is>
          <t>TX_LINE_500KV</t>
        </is>
      </c>
      <c r="C58" s="8" t="n">
        <v>16</v>
      </c>
      <c r="D58" s="6" t="inlineStr">
        <is>
          <t>km</t>
        </is>
      </c>
      <c r="E58" s="6" t="inlineStr">
        <is>
          <t>transmission</t>
        </is>
      </c>
      <c r="F58" s="6" t="inlineStr">
        <is>
          <t>ANDE</t>
        </is>
      </c>
      <c r="G58" s="6" t="inlineStr">
        <is>
          <t>OFFICIAL_PRIMARY</t>
        </is>
      </c>
      <c r="H58" s="7" t="inlineStr">
        <is>
          <t>https://www.ande.gov.py/finanzas/2.%20COMPILACION%20ESTADISTICA%202003-2023/ANDE%20-%20Compilacion%20Estadistica%202003-2023.pdf</t>
        </is>
      </c>
      <c r="I58" s="4" t="inlineStr"/>
    </row>
    <row r="59">
      <c r="A59" s="8" t="n">
        <v>2011</v>
      </c>
      <c r="B59" s="6" t="inlineStr">
        <is>
          <t>TX_LINE_220KV</t>
        </is>
      </c>
      <c r="C59" s="8" t="n">
        <v>3960</v>
      </c>
      <c r="D59" s="6" t="inlineStr">
        <is>
          <t>km</t>
        </is>
      </c>
      <c r="E59" s="6" t="inlineStr">
        <is>
          <t>transmission</t>
        </is>
      </c>
      <c r="F59" s="6" t="inlineStr">
        <is>
          <t>ANDE</t>
        </is>
      </c>
      <c r="G59" s="6" t="inlineStr">
        <is>
          <t>OFFICIAL_PRIMARY</t>
        </is>
      </c>
      <c r="H59" s="7" t="inlineStr">
        <is>
          <t>https://www.ande.gov.py/finanzas/2.%20COMPILACION%20ESTADISTICA%202003-2023/ANDE%20-%20Compilacion%20Estadistica%202003-2023.pdf</t>
        </is>
      </c>
      <c r="I59" s="4" t="inlineStr"/>
    </row>
    <row r="60">
      <c r="A60" s="8" t="n">
        <v>2011</v>
      </c>
      <c r="B60" s="6" t="inlineStr">
        <is>
          <t>TX_LINE_66KV</t>
        </is>
      </c>
      <c r="C60" s="8" t="n">
        <v>1177</v>
      </c>
      <c r="D60" s="6" t="inlineStr">
        <is>
          <t>km</t>
        </is>
      </c>
      <c r="E60" s="6" t="inlineStr">
        <is>
          <t>transmission</t>
        </is>
      </c>
      <c r="F60" s="6" t="inlineStr">
        <is>
          <t>ANDE</t>
        </is>
      </c>
      <c r="G60" s="6" t="inlineStr">
        <is>
          <t>OFFICIAL_PRIMARY</t>
        </is>
      </c>
      <c r="H60" s="7" t="inlineStr">
        <is>
          <t>https://www.ande.gov.py/finanzas/2.%20COMPILACION%20ESTADISTICA%202003-2023/ANDE%20-%20Compilacion%20Estadistica%202003-2023.pdf</t>
        </is>
      </c>
      <c r="I60" s="4" t="inlineStr"/>
    </row>
    <row r="61">
      <c r="A61" s="8" t="n">
        <v>2011</v>
      </c>
      <c r="B61" s="6" t="inlineStr">
        <is>
          <t>TX_TRANSFORMATION_CAPACITY</t>
        </is>
      </c>
      <c r="C61" s="8" t="n">
        <v>3261</v>
      </c>
      <c r="D61" s="6" t="inlineStr">
        <is>
          <t>MVA</t>
        </is>
      </c>
      <c r="E61" s="6" t="inlineStr">
        <is>
          <t>transmission</t>
        </is>
      </c>
      <c r="F61" s="6" t="inlineStr">
        <is>
          <t>ANDE</t>
        </is>
      </c>
      <c r="G61" s="6" t="inlineStr">
        <is>
          <t>OFFICIAL_PRIMARY</t>
        </is>
      </c>
      <c r="H61" s="7" t="inlineStr">
        <is>
          <t>https://www.ande.gov.py/finanzas/2.%20COMPILACION%20ESTADISTICA%202003-2023/ANDE%20-%20Compilacion%20Estadistica%202003-2023.pdf</t>
        </is>
      </c>
      <c r="I61" s="4" t="inlineStr"/>
    </row>
    <row r="62">
      <c r="A62" s="8" t="n">
        <v>2011</v>
      </c>
      <c r="B62" s="6" t="inlineStr">
        <is>
          <t>DIST_MEDIUM_VOLTAGE_NETWORK</t>
        </is>
      </c>
      <c r="C62" s="8" t="n">
        <v>33338</v>
      </c>
      <c r="D62" s="6" t="inlineStr">
        <is>
          <t>km</t>
        </is>
      </c>
      <c r="E62" s="6" t="inlineStr">
        <is>
          <t>distribution</t>
        </is>
      </c>
      <c r="F62" s="6" t="inlineStr">
        <is>
          <t>ANDE</t>
        </is>
      </c>
      <c r="G62" s="6" t="inlineStr">
        <is>
          <t>OFFICIAL_PRIMARY</t>
        </is>
      </c>
      <c r="H62" s="7" t="inlineStr">
        <is>
          <t>https://www.ande.gov.py/finanzas/2.%20COMPILACION%20ESTADISTICA%202003-2023/ANDE%20-%20Compilacion%20Estadistica%202003-2023.pdf</t>
        </is>
      </c>
      <c r="I62" s="4" t="inlineStr"/>
    </row>
    <row r="63">
      <c r="A63" s="8" t="n">
        <v>2011</v>
      </c>
      <c r="B63" s="6" t="inlineStr">
        <is>
          <t>DIST_TRANSFORMERS_QTY</t>
        </is>
      </c>
      <c r="C63" s="8" t="n">
        <v>39425</v>
      </c>
      <c r="D63" s="6" t="inlineStr">
        <is>
          <t>count</t>
        </is>
      </c>
      <c r="E63" s="6" t="inlineStr">
        <is>
          <t>distribution</t>
        </is>
      </c>
      <c r="F63" s="6" t="inlineStr">
        <is>
          <t>ANDE</t>
        </is>
      </c>
      <c r="G63" s="6" t="inlineStr">
        <is>
          <t>OFFICIAL_PRIMARY</t>
        </is>
      </c>
      <c r="H63" s="7" t="inlineStr">
        <is>
          <t>https://www.ande.gov.py/finanzas/2.%20COMPILACION%20ESTADISTICA%202003-2023/ANDE%20-%20Compilacion%20Estadistica%202003-2023.pdf</t>
        </is>
      </c>
      <c r="I63" s="4" t="inlineStr"/>
    </row>
    <row r="64">
      <c r="A64" s="8" t="n">
        <v>2011</v>
      </c>
      <c r="B64" s="6" t="inlineStr">
        <is>
          <t>DIST_TRANSFORMERS_CAPACITY</t>
        </is>
      </c>
      <c r="C64" s="8" t="n">
        <v>2484</v>
      </c>
      <c r="D64" s="6" t="inlineStr">
        <is>
          <t>MVA</t>
        </is>
      </c>
      <c r="E64" s="6" t="inlineStr">
        <is>
          <t>distribution</t>
        </is>
      </c>
      <c r="F64" s="6" t="inlineStr">
        <is>
          <t>ANDE</t>
        </is>
      </c>
      <c r="G64" s="6" t="inlineStr">
        <is>
          <t>OFFICIAL_PRIMARY</t>
        </is>
      </c>
      <c r="H64" s="7" t="inlineStr">
        <is>
          <t>https://www.ande.gov.py/finanzas/2.%20COMPILACION%20ESTADISTICA%202003-2023/ANDE%20-%20Compilacion%20Estadistica%202003-2023.pdf</t>
        </is>
      </c>
      <c r="I64" s="4" t="inlineStr"/>
    </row>
    <row r="65">
      <c r="A65" s="8" t="n">
        <v>2012</v>
      </c>
      <c r="B65" s="6" t="inlineStr">
        <is>
          <t>TX_LINE_500KV</t>
        </is>
      </c>
      <c r="C65" s="8" t="n">
        <v>16</v>
      </c>
      <c r="D65" s="6" t="inlineStr">
        <is>
          <t>km</t>
        </is>
      </c>
      <c r="E65" s="6" t="inlineStr">
        <is>
          <t>transmission</t>
        </is>
      </c>
      <c r="F65" s="6" t="inlineStr">
        <is>
          <t>ANDE</t>
        </is>
      </c>
      <c r="G65" s="6" t="inlineStr">
        <is>
          <t>OFFICIAL_PRIMARY</t>
        </is>
      </c>
      <c r="H65" s="7" t="inlineStr">
        <is>
          <t>https://www.ande.gov.py/finanzas/2.%20COMPILACION%20ESTADISTICA%202003-2023/ANDE%20-%20Compilacion%20Estadistica%202003-2023.pdf</t>
        </is>
      </c>
      <c r="I65" s="4" t="inlineStr"/>
    </row>
    <row r="66">
      <c r="A66" s="8" t="n">
        <v>2012</v>
      </c>
      <c r="B66" s="6" t="inlineStr">
        <is>
          <t>TX_LINE_220KV</t>
        </is>
      </c>
      <c r="C66" s="8" t="n">
        <v>3960</v>
      </c>
      <c r="D66" s="6" t="inlineStr">
        <is>
          <t>km</t>
        </is>
      </c>
      <c r="E66" s="6" t="inlineStr">
        <is>
          <t>transmission</t>
        </is>
      </c>
      <c r="F66" s="6" t="inlineStr">
        <is>
          <t>ANDE</t>
        </is>
      </c>
      <c r="G66" s="6" t="inlineStr">
        <is>
          <t>OFFICIAL_PRIMARY</t>
        </is>
      </c>
      <c r="H66" s="7" t="inlineStr">
        <is>
          <t>https://www.ande.gov.py/finanzas/2.%20COMPILACION%20ESTADISTICA%202003-2023/ANDE%20-%20Compilacion%20Estadistica%202003-2023.pdf</t>
        </is>
      </c>
      <c r="I66" s="4" t="inlineStr"/>
    </row>
    <row r="67">
      <c r="A67" s="8" t="n">
        <v>2012</v>
      </c>
      <c r="B67" s="6" t="inlineStr">
        <is>
          <t>TX_LINE_66KV</t>
        </is>
      </c>
      <c r="C67" s="8" t="n">
        <v>1177</v>
      </c>
      <c r="D67" s="6" t="inlineStr">
        <is>
          <t>km</t>
        </is>
      </c>
      <c r="E67" s="6" t="inlineStr">
        <is>
          <t>transmission</t>
        </is>
      </c>
      <c r="F67" s="6" t="inlineStr">
        <is>
          <t>ANDE</t>
        </is>
      </c>
      <c r="G67" s="6" t="inlineStr">
        <is>
          <t>OFFICIAL_PRIMARY</t>
        </is>
      </c>
      <c r="H67" s="7" t="inlineStr">
        <is>
          <t>https://www.ande.gov.py/finanzas/2.%20COMPILACION%20ESTADISTICA%202003-2023/ANDE%20-%20Compilacion%20Estadistica%202003-2023.pdf</t>
        </is>
      </c>
      <c r="I67" s="4" t="inlineStr"/>
    </row>
    <row r="68">
      <c r="A68" s="8" t="n">
        <v>2012</v>
      </c>
      <c r="B68" s="6" t="inlineStr">
        <is>
          <t>TX_TRANSFORMATION_CAPACITY</t>
        </is>
      </c>
      <c r="C68" s="8" t="n">
        <v>3414</v>
      </c>
      <c r="D68" s="6" t="inlineStr">
        <is>
          <t>MVA</t>
        </is>
      </c>
      <c r="E68" s="6" t="inlineStr">
        <is>
          <t>transmission</t>
        </is>
      </c>
      <c r="F68" s="6" t="inlineStr">
        <is>
          <t>ANDE</t>
        </is>
      </c>
      <c r="G68" s="6" t="inlineStr">
        <is>
          <t>OFFICIAL_PRIMARY</t>
        </is>
      </c>
      <c r="H68" s="7" t="inlineStr">
        <is>
          <t>https://www.ande.gov.py/finanzas/2.%20COMPILACION%20ESTADISTICA%202003-2023/ANDE%20-%20Compilacion%20Estadistica%202003-2023.pdf</t>
        </is>
      </c>
      <c r="I68" s="4" t="inlineStr"/>
    </row>
    <row r="69">
      <c r="A69" s="8" t="n">
        <v>2012</v>
      </c>
      <c r="B69" s="6" t="inlineStr">
        <is>
          <t>DIST_MEDIUM_VOLTAGE_NETWORK</t>
        </is>
      </c>
      <c r="C69" s="8" t="n">
        <v>33925</v>
      </c>
      <c r="D69" s="6" t="inlineStr">
        <is>
          <t>km</t>
        </is>
      </c>
      <c r="E69" s="6" t="inlineStr">
        <is>
          <t>distribution</t>
        </is>
      </c>
      <c r="F69" s="6" t="inlineStr">
        <is>
          <t>ANDE</t>
        </is>
      </c>
      <c r="G69" s="6" t="inlineStr">
        <is>
          <t>OFFICIAL_PRIMARY</t>
        </is>
      </c>
      <c r="H69" s="7" t="inlineStr">
        <is>
          <t>https://www.ande.gov.py/finanzas/2.%20COMPILACION%20ESTADISTICA%202003-2023/ANDE%20-%20Compilacion%20Estadistica%202003-2023.pdf</t>
        </is>
      </c>
      <c r="I69" s="4" t="inlineStr"/>
    </row>
    <row r="70">
      <c r="A70" s="8" t="n">
        <v>2012</v>
      </c>
      <c r="B70" s="6" t="inlineStr">
        <is>
          <t>DIST_TRANSFORMERS_QTY</t>
        </is>
      </c>
      <c r="C70" s="8" t="n">
        <v>41036</v>
      </c>
      <c r="D70" s="6" t="inlineStr">
        <is>
          <t>count</t>
        </is>
      </c>
      <c r="E70" s="6" t="inlineStr">
        <is>
          <t>distribution</t>
        </is>
      </c>
      <c r="F70" s="6" t="inlineStr">
        <is>
          <t>ANDE</t>
        </is>
      </c>
      <c r="G70" s="6" t="inlineStr">
        <is>
          <t>OFFICIAL_PRIMARY</t>
        </is>
      </c>
      <c r="H70" s="7" t="inlineStr">
        <is>
          <t>https://www.ande.gov.py/finanzas/2.%20COMPILACION%20ESTADISTICA%202003-2023/ANDE%20-%20Compilacion%20Estadistica%202003-2023.pdf</t>
        </is>
      </c>
      <c r="I70" s="4" t="inlineStr"/>
    </row>
    <row r="71">
      <c r="A71" s="8" t="n">
        <v>2012</v>
      </c>
      <c r="B71" s="6" t="inlineStr">
        <is>
          <t>DIST_TRANSFORMERS_CAPACITY</t>
        </is>
      </c>
      <c r="C71" s="8" t="n">
        <v>2598</v>
      </c>
      <c r="D71" s="6" t="inlineStr">
        <is>
          <t>MVA</t>
        </is>
      </c>
      <c r="E71" s="6" t="inlineStr">
        <is>
          <t>distribution</t>
        </is>
      </c>
      <c r="F71" s="6" t="inlineStr">
        <is>
          <t>ANDE</t>
        </is>
      </c>
      <c r="G71" s="6" t="inlineStr">
        <is>
          <t>OFFICIAL_PRIMARY</t>
        </is>
      </c>
      <c r="H71" s="7" t="inlineStr">
        <is>
          <t>https://www.ande.gov.py/finanzas/2.%20COMPILACION%20ESTADISTICA%202003-2023/ANDE%20-%20Compilacion%20Estadistica%202003-2023.pdf</t>
        </is>
      </c>
      <c r="I71" s="4" t="inlineStr"/>
    </row>
    <row r="72">
      <c r="A72" s="8" t="n">
        <v>2013</v>
      </c>
      <c r="B72" s="6" t="inlineStr">
        <is>
          <t>TX_LINE_500KV</t>
        </is>
      </c>
      <c r="C72" s="8" t="n">
        <v>364</v>
      </c>
      <c r="D72" s="6" t="inlineStr">
        <is>
          <t>km</t>
        </is>
      </c>
      <c r="E72" s="6" t="inlineStr">
        <is>
          <t>transmission</t>
        </is>
      </c>
      <c r="F72" s="6" t="inlineStr">
        <is>
          <t>ANDE</t>
        </is>
      </c>
      <c r="G72" s="6" t="inlineStr">
        <is>
          <t>OFFICIAL_PRIMARY</t>
        </is>
      </c>
      <c r="H72" s="7" t="inlineStr">
        <is>
          <t>https://www.ande.gov.py/finanzas/2.%20COMPILACION%20ESTADISTICA%202003-2023/ANDE%20-%20Compilacion%20Estadistica%202003-2023.pdf</t>
        </is>
      </c>
      <c r="I72" s="4" t="inlineStr"/>
    </row>
    <row r="73">
      <c r="A73" s="8" t="n">
        <v>2013</v>
      </c>
      <c r="B73" s="6" t="inlineStr">
        <is>
          <t>TX_LINE_220KV</t>
        </is>
      </c>
      <c r="C73" s="8" t="n">
        <v>4085</v>
      </c>
      <c r="D73" s="6" t="inlineStr">
        <is>
          <t>km</t>
        </is>
      </c>
      <c r="E73" s="6" t="inlineStr">
        <is>
          <t>transmission</t>
        </is>
      </c>
      <c r="F73" s="6" t="inlineStr">
        <is>
          <t>ANDE</t>
        </is>
      </c>
      <c r="G73" s="6" t="inlineStr">
        <is>
          <t>OFFICIAL_PRIMARY</t>
        </is>
      </c>
      <c r="H73" s="7" t="inlineStr">
        <is>
          <t>https://www.ande.gov.py/finanzas/2.%20COMPILACION%20ESTADISTICA%202003-2023/ANDE%20-%20Compilacion%20Estadistica%202003-2023.pdf</t>
        </is>
      </c>
      <c r="I73" s="4" t="inlineStr"/>
    </row>
    <row r="74">
      <c r="A74" s="8" t="n">
        <v>2013</v>
      </c>
      <c r="B74" s="6" t="inlineStr">
        <is>
          <t>TX_LINE_66KV</t>
        </is>
      </c>
      <c r="C74" s="8" t="n">
        <v>1266</v>
      </c>
      <c r="D74" s="6" t="inlineStr">
        <is>
          <t>km</t>
        </is>
      </c>
      <c r="E74" s="6" t="inlineStr">
        <is>
          <t>transmission</t>
        </is>
      </c>
      <c r="F74" s="6" t="inlineStr">
        <is>
          <t>ANDE</t>
        </is>
      </c>
      <c r="G74" s="6" t="inlineStr">
        <is>
          <t>OFFICIAL_PRIMARY</t>
        </is>
      </c>
      <c r="H74" s="7" t="inlineStr">
        <is>
          <t>https://www.ande.gov.py/finanzas/2.%20COMPILACION%20ESTADISTICA%202003-2023/ANDE%20-%20Compilacion%20Estadistica%202003-2023.pdf</t>
        </is>
      </c>
      <c r="I74" s="4" t="inlineStr"/>
    </row>
    <row r="75">
      <c r="A75" s="8" t="n">
        <v>2013</v>
      </c>
      <c r="B75" s="6" t="inlineStr">
        <is>
          <t>TX_TRANSFORMATION_CAPACITY</t>
        </is>
      </c>
      <c r="C75" s="8" t="n">
        <v>3836</v>
      </c>
      <c r="D75" s="6" t="inlineStr">
        <is>
          <t>MVA</t>
        </is>
      </c>
      <c r="E75" s="6" t="inlineStr">
        <is>
          <t>transmission</t>
        </is>
      </c>
      <c r="F75" s="6" t="inlineStr">
        <is>
          <t>ANDE</t>
        </is>
      </c>
      <c r="G75" s="6" t="inlineStr">
        <is>
          <t>OFFICIAL_PRIMARY</t>
        </is>
      </c>
      <c r="H75" s="7" t="inlineStr">
        <is>
          <t>https://www.ande.gov.py/finanzas/2.%20COMPILACION%20ESTADISTICA%202003-2023/ANDE%20-%20Compilacion%20Estadistica%202003-2023.pdf</t>
        </is>
      </c>
      <c r="I75" s="4" t="inlineStr"/>
    </row>
    <row r="76">
      <c r="A76" s="8" t="n">
        <v>2013</v>
      </c>
      <c r="B76" s="6" t="inlineStr">
        <is>
          <t>DIST_MEDIUM_VOLTAGE_NETWORK</t>
        </is>
      </c>
      <c r="C76" s="8" t="n">
        <v>34419</v>
      </c>
      <c r="D76" s="6" t="inlineStr">
        <is>
          <t>km</t>
        </is>
      </c>
      <c r="E76" s="6" t="inlineStr">
        <is>
          <t>distribution</t>
        </is>
      </c>
      <c r="F76" s="6" t="inlineStr">
        <is>
          <t>ANDE</t>
        </is>
      </c>
      <c r="G76" s="6" t="inlineStr">
        <is>
          <t>OFFICIAL_PRIMARY</t>
        </is>
      </c>
      <c r="H76" s="7" t="inlineStr">
        <is>
          <t>https://www.ande.gov.py/finanzas/2.%20COMPILACION%20ESTADISTICA%202003-2023/ANDE%20-%20Compilacion%20Estadistica%202003-2023.pdf</t>
        </is>
      </c>
      <c r="I76" s="4" t="inlineStr"/>
    </row>
    <row r="77">
      <c r="A77" s="8" t="n">
        <v>2013</v>
      </c>
      <c r="B77" s="6" t="inlineStr">
        <is>
          <t>DIST_TRANSFORMERS_QTY</t>
        </is>
      </c>
      <c r="C77" s="8" t="n">
        <v>42564</v>
      </c>
      <c r="D77" s="6" t="inlineStr">
        <is>
          <t>count</t>
        </is>
      </c>
      <c r="E77" s="6" t="inlineStr">
        <is>
          <t>distribution</t>
        </is>
      </c>
      <c r="F77" s="6" t="inlineStr">
        <is>
          <t>ANDE</t>
        </is>
      </c>
      <c r="G77" s="6" t="inlineStr">
        <is>
          <t>OFFICIAL_PRIMARY</t>
        </is>
      </c>
      <c r="H77" s="7" t="inlineStr">
        <is>
          <t>https://www.ande.gov.py/finanzas/2.%20COMPILACION%20ESTADISTICA%202003-2023/ANDE%20-%20Compilacion%20Estadistica%202003-2023.pdf</t>
        </is>
      </c>
      <c r="I77" s="4" t="inlineStr"/>
    </row>
    <row r="78">
      <c r="A78" s="8" t="n">
        <v>2013</v>
      </c>
      <c r="B78" s="6" t="inlineStr">
        <is>
          <t>DIST_TRANSFORMERS_CAPACITY</t>
        </is>
      </c>
      <c r="C78" s="8" t="n">
        <v>2700</v>
      </c>
      <c r="D78" s="6" t="inlineStr">
        <is>
          <t>MVA</t>
        </is>
      </c>
      <c r="E78" s="6" t="inlineStr">
        <is>
          <t>distribution</t>
        </is>
      </c>
      <c r="F78" s="6" t="inlineStr">
        <is>
          <t>ANDE</t>
        </is>
      </c>
      <c r="G78" s="6" t="inlineStr">
        <is>
          <t>OFFICIAL_PRIMARY</t>
        </is>
      </c>
      <c r="H78" s="7" t="inlineStr">
        <is>
          <t>https://www.ande.gov.py/finanzas/2.%20COMPILACION%20ESTADISTICA%202003-2023/ANDE%20-%20Compilacion%20Estadistica%202003-2023.pdf</t>
        </is>
      </c>
      <c r="I78" s="4" t="inlineStr"/>
    </row>
    <row r="79">
      <c r="A79" s="8" t="n">
        <v>2014</v>
      </c>
      <c r="B79" s="6" t="inlineStr">
        <is>
          <t>TX_LINE_500KV</t>
        </is>
      </c>
      <c r="C79" s="8" t="n">
        <v>364</v>
      </c>
      <c r="D79" s="6" t="inlineStr">
        <is>
          <t>km</t>
        </is>
      </c>
      <c r="E79" s="6" t="inlineStr">
        <is>
          <t>transmission</t>
        </is>
      </c>
      <c r="F79" s="6" t="inlineStr">
        <is>
          <t>ANDE</t>
        </is>
      </c>
      <c r="G79" s="6" t="inlineStr">
        <is>
          <t>OFFICIAL_PRIMARY</t>
        </is>
      </c>
      <c r="H79" s="7" t="inlineStr">
        <is>
          <t>https://www.ande.gov.py/finanzas/2.%20COMPILACION%20ESTADISTICA%202003-2023/ANDE%20-%20Compilacion%20Estadistica%202003-2023.pdf</t>
        </is>
      </c>
      <c r="I79" s="4" t="inlineStr"/>
    </row>
    <row r="80">
      <c r="A80" s="8" t="n">
        <v>2014</v>
      </c>
      <c r="B80" s="6" t="inlineStr">
        <is>
          <t>TX_LINE_220KV</t>
        </is>
      </c>
      <c r="C80" s="8" t="n">
        <v>4022</v>
      </c>
      <c r="D80" s="6" t="inlineStr">
        <is>
          <t>km</t>
        </is>
      </c>
      <c r="E80" s="6" t="inlineStr">
        <is>
          <t>transmission</t>
        </is>
      </c>
      <c r="F80" s="6" t="inlineStr">
        <is>
          <t>ANDE</t>
        </is>
      </c>
      <c r="G80" s="6" t="inlineStr">
        <is>
          <t>OFFICIAL_PRIMARY</t>
        </is>
      </c>
      <c r="H80" s="7" t="inlineStr">
        <is>
          <t>https://www.ande.gov.py/finanzas/2.%20COMPILACION%20ESTADISTICA%202003-2023/ANDE%20-%20Compilacion%20Estadistica%202003-2023.pdf</t>
        </is>
      </c>
      <c r="I80" s="4" t="inlineStr"/>
    </row>
    <row r="81">
      <c r="A81" s="8" t="n">
        <v>2014</v>
      </c>
      <c r="B81" s="6" t="inlineStr">
        <is>
          <t>TX_LINE_66KV</t>
        </is>
      </c>
      <c r="C81" s="8" t="n">
        <v>1296</v>
      </c>
      <c r="D81" s="6" t="inlineStr">
        <is>
          <t>km</t>
        </is>
      </c>
      <c r="E81" s="6" t="inlineStr">
        <is>
          <t>transmission</t>
        </is>
      </c>
      <c r="F81" s="6" t="inlineStr">
        <is>
          <t>ANDE</t>
        </is>
      </c>
      <c r="G81" s="6" t="inlineStr">
        <is>
          <t>OFFICIAL_PRIMARY</t>
        </is>
      </c>
      <c r="H81" s="7" t="inlineStr">
        <is>
          <t>https://www.ande.gov.py/finanzas/2.%20COMPILACION%20ESTADISTICA%202003-2023/ANDE%20-%20Compilacion%20Estadistica%202003-2023.pdf</t>
        </is>
      </c>
      <c r="I81" s="4" t="inlineStr"/>
    </row>
    <row r="82">
      <c r="A82" s="8" t="n">
        <v>2014</v>
      </c>
      <c r="B82" s="6" t="inlineStr">
        <is>
          <t>TX_TRANSFORMATION_CAPACITY</t>
        </is>
      </c>
      <c r="C82" s="8" t="n">
        <v>4276</v>
      </c>
      <c r="D82" s="6" t="inlineStr">
        <is>
          <t>MVA</t>
        </is>
      </c>
      <c r="E82" s="6" t="inlineStr">
        <is>
          <t>transmission</t>
        </is>
      </c>
      <c r="F82" s="6" t="inlineStr">
        <is>
          <t>ANDE</t>
        </is>
      </c>
      <c r="G82" s="6" t="inlineStr">
        <is>
          <t>OFFICIAL_PRIMARY</t>
        </is>
      </c>
      <c r="H82" s="7" t="inlineStr">
        <is>
          <t>https://www.ande.gov.py/finanzas/2.%20COMPILACION%20ESTADISTICA%202003-2023/ANDE%20-%20Compilacion%20Estadistica%202003-2023.pdf</t>
        </is>
      </c>
      <c r="I82" s="4" t="inlineStr"/>
    </row>
    <row r="83">
      <c r="A83" s="8" t="n">
        <v>2014</v>
      </c>
      <c r="B83" s="6" t="inlineStr">
        <is>
          <t>DIST_MEDIUM_VOLTAGE_NETWORK</t>
        </is>
      </c>
      <c r="C83" s="8" t="n">
        <v>65141</v>
      </c>
      <c r="D83" s="6" t="inlineStr">
        <is>
          <t>km</t>
        </is>
      </c>
      <c r="E83" s="6" t="inlineStr">
        <is>
          <t>distribution</t>
        </is>
      </c>
      <c r="F83" s="6" t="inlineStr">
        <is>
          <t>ANDE</t>
        </is>
      </c>
      <c r="G83" s="6" t="inlineStr">
        <is>
          <t>OFFICIAL_PRIMARY</t>
        </is>
      </c>
      <c r="H83" s="7" t="inlineStr">
        <is>
          <t>https://www.ande.gov.py/finanzas/2.%20COMPILACION%20ESTADISTICA%202003-2023/ANDE%20-%20Compilacion%20Estadistica%202003-2023.pdf</t>
        </is>
      </c>
      <c r="I83" s="4" t="inlineStr">
        <is>
          <t>Ruptura metodologica desde 2014 por inclusion de obras de autoconstruccion/uso exclusivo.</t>
        </is>
      </c>
    </row>
    <row r="84">
      <c r="A84" s="8" t="n">
        <v>2014</v>
      </c>
      <c r="B84" s="6" t="inlineStr">
        <is>
          <t>DIST_TRANSFORMERS_QTY</t>
        </is>
      </c>
      <c r="C84" s="8" t="n">
        <v>71312</v>
      </c>
      <c r="D84" s="6" t="inlineStr">
        <is>
          <t>count</t>
        </is>
      </c>
      <c r="E84" s="6" t="inlineStr">
        <is>
          <t>distribution</t>
        </is>
      </c>
      <c r="F84" s="6" t="inlineStr">
        <is>
          <t>ANDE</t>
        </is>
      </c>
      <c r="G84" s="6" t="inlineStr">
        <is>
          <t>OFFICIAL_PRIMARY</t>
        </is>
      </c>
      <c r="H84" s="7" t="inlineStr">
        <is>
          <t>https://www.ande.gov.py/finanzas/2.%20COMPILACION%20ESTADISTICA%202003-2023/ANDE%20-%20Compilacion%20Estadistica%202003-2023.pdf</t>
        </is>
      </c>
      <c r="I84" s="4" t="inlineStr">
        <is>
          <t>Ruptura metodologica desde 2014 por inclusion de obras de autoconstruccion/uso exclusivo.</t>
        </is>
      </c>
    </row>
    <row r="85">
      <c r="A85" s="8" t="n">
        <v>2014</v>
      </c>
      <c r="B85" s="6" t="inlineStr">
        <is>
          <t>DIST_TRANSFORMERS_CAPACITY</t>
        </is>
      </c>
      <c r="C85" s="8" t="n">
        <v>5300</v>
      </c>
      <c r="D85" s="6" t="inlineStr">
        <is>
          <t>MVA</t>
        </is>
      </c>
      <c r="E85" s="6" t="inlineStr">
        <is>
          <t>distribution</t>
        </is>
      </c>
      <c r="F85" s="6" t="inlineStr">
        <is>
          <t>ANDE</t>
        </is>
      </c>
      <c r="G85" s="6" t="inlineStr">
        <is>
          <t>OFFICIAL_PRIMARY</t>
        </is>
      </c>
      <c r="H85" s="7" t="inlineStr">
        <is>
          <t>https://www.ande.gov.py/finanzas/2.%20COMPILACION%20ESTADISTICA%202003-2023/ANDE%20-%20Compilacion%20Estadistica%202003-2023.pdf</t>
        </is>
      </c>
      <c r="I85" s="4" t="inlineStr">
        <is>
          <t>Ruptura metodologica desde 2014 por inclusion de obras de autoconstruccion/uso exclusivo.</t>
        </is>
      </c>
    </row>
    <row r="86">
      <c r="A86" s="8" t="n">
        <v>2015</v>
      </c>
      <c r="B86" s="6" t="inlineStr">
        <is>
          <t>TX_LINE_500KV</t>
        </is>
      </c>
      <c r="C86" s="8" t="n">
        <v>364</v>
      </c>
      <c r="D86" s="6" t="inlineStr">
        <is>
          <t>km</t>
        </is>
      </c>
      <c r="E86" s="6" t="inlineStr">
        <is>
          <t>transmission</t>
        </is>
      </c>
      <c r="F86" s="6" t="inlineStr">
        <is>
          <t>ANDE</t>
        </is>
      </c>
      <c r="G86" s="6" t="inlineStr">
        <is>
          <t>OFFICIAL_PRIMARY</t>
        </is>
      </c>
      <c r="H86" s="7" t="inlineStr">
        <is>
          <t>https://www.ande.gov.py/finanzas/2.%20COMPILACION%20ESTADISTICA%202003-2023/ANDE%20-%20Compilacion%20Estadistica%202003-2023.pdf</t>
        </is>
      </c>
      <c r="I86" s="4" t="inlineStr"/>
    </row>
    <row r="87">
      <c r="A87" s="8" t="n">
        <v>2015</v>
      </c>
      <c r="B87" s="6" t="inlineStr">
        <is>
          <t>TX_LINE_220KV</t>
        </is>
      </c>
      <c r="C87" s="8" t="n">
        <v>4172</v>
      </c>
      <c r="D87" s="6" t="inlineStr">
        <is>
          <t>km</t>
        </is>
      </c>
      <c r="E87" s="6" t="inlineStr">
        <is>
          <t>transmission</t>
        </is>
      </c>
      <c r="F87" s="6" t="inlineStr">
        <is>
          <t>ANDE</t>
        </is>
      </c>
      <c r="G87" s="6" t="inlineStr">
        <is>
          <t>OFFICIAL_PRIMARY</t>
        </is>
      </c>
      <c r="H87" s="7" t="inlineStr">
        <is>
          <t>https://www.ande.gov.py/finanzas/2.%20COMPILACION%20ESTADISTICA%202003-2023/ANDE%20-%20Compilacion%20Estadistica%202003-2023.pdf</t>
        </is>
      </c>
      <c r="I87" s="4" t="inlineStr"/>
    </row>
    <row r="88">
      <c r="A88" s="8" t="n">
        <v>2015</v>
      </c>
      <c r="B88" s="6" t="inlineStr">
        <is>
          <t>TX_LINE_66KV</t>
        </is>
      </c>
      <c r="C88" s="8" t="n">
        <v>1305</v>
      </c>
      <c r="D88" s="6" t="inlineStr">
        <is>
          <t>km</t>
        </is>
      </c>
      <c r="E88" s="6" t="inlineStr">
        <is>
          <t>transmission</t>
        </is>
      </c>
      <c r="F88" s="6" t="inlineStr">
        <is>
          <t>ANDE</t>
        </is>
      </c>
      <c r="G88" s="6" t="inlineStr">
        <is>
          <t>OFFICIAL_PRIMARY</t>
        </is>
      </c>
      <c r="H88" s="7" t="inlineStr">
        <is>
          <t>https://www.ande.gov.py/finanzas/2.%20COMPILACION%20ESTADISTICA%202003-2023/ANDE%20-%20Compilacion%20Estadistica%202003-2023.pdf</t>
        </is>
      </c>
      <c r="I88" s="4" t="inlineStr"/>
    </row>
    <row r="89">
      <c r="A89" s="8" t="n">
        <v>2015</v>
      </c>
      <c r="B89" s="6" t="inlineStr">
        <is>
          <t>TX_TRANSFORMATION_CAPACITY</t>
        </is>
      </c>
      <c r="C89" s="8" t="n">
        <v>4656</v>
      </c>
      <c r="D89" s="6" t="inlineStr">
        <is>
          <t>MVA</t>
        </is>
      </c>
      <c r="E89" s="6" t="inlineStr">
        <is>
          <t>transmission</t>
        </is>
      </c>
      <c r="F89" s="6" t="inlineStr">
        <is>
          <t>ANDE</t>
        </is>
      </c>
      <c r="G89" s="6" t="inlineStr">
        <is>
          <t>OFFICIAL_PRIMARY</t>
        </is>
      </c>
      <c r="H89" s="7" t="inlineStr">
        <is>
          <t>https://www.ande.gov.py/finanzas/2.%20COMPILACION%20ESTADISTICA%202003-2023/ANDE%20-%20Compilacion%20Estadistica%202003-2023.pdf</t>
        </is>
      </c>
      <c r="I89" s="4" t="inlineStr"/>
    </row>
    <row r="90">
      <c r="A90" s="8" t="n">
        <v>2015</v>
      </c>
      <c r="B90" s="6" t="inlineStr">
        <is>
          <t>DIST_MEDIUM_VOLTAGE_NETWORK</t>
        </is>
      </c>
      <c r="C90" s="8" t="n">
        <v>65696</v>
      </c>
      <c r="D90" s="6" t="inlineStr">
        <is>
          <t>km</t>
        </is>
      </c>
      <c r="E90" s="6" t="inlineStr">
        <is>
          <t>distribution</t>
        </is>
      </c>
      <c r="F90" s="6" t="inlineStr">
        <is>
          <t>ANDE</t>
        </is>
      </c>
      <c r="G90" s="6" t="inlineStr">
        <is>
          <t>OFFICIAL_PRIMARY</t>
        </is>
      </c>
      <c r="H90" s="7" t="inlineStr">
        <is>
          <t>https://www.ande.gov.py/finanzas/2.%20COMPILACION%20ESTADISTICA%202003-2023/ANDE%20-%20Compilacion%20Estadistica%202003-2023.pdf</t>
        </is>
      </c>
      <c r="I90" s="4" t="inlineStr">
        <is>
          <t>Ruptura metodologica desde 2014 por inclusion de obras de autoconstruccion/uso exclusivo.</t>
        </is>
      </c>
    </row>
    <row r="91">
      <c r="A91" s="8" t="n">
        <v>2015</v>
      </c>
      <c r="B91" s="6" t="inlineStr">
        <is>
          <t>DIST_TRANSFORMERS_QTY</t>
        </is>
      </c>
      <c r="C91" s="8" t="n">
        <v>74480</v>
      </c>
      <c r="D91" s="6" t="inlineStr">
        <is>
          <t>count</t>
        </is>
      </c>
      <c r="E91" s="6" t="inlineStr">
        <is>
          <t>distribution</t>
        </is>
      </c>
      <c r="F91" s="6" t="inlineStr">
        <is>
          <t>ANDE</t>
        </is>
      </c>
      <c r="G91" s="6" t="inlineStr">
        <is>
          <t>OFFICIAL_PRIMARY</t>
        </is>
      </c>
      <c r="H91" s="7" t="inlineStr">
        <is>
          <t>https://www.ande.gov.py/finanzas/2.%20COMPILACION%20ESTADISTICA%202003-2023/ANDE%20-%20Compilacion%20Estadistica%202003-2023.pdf</t>
        </is>
      </c>
      <c r="I91" s="4" t="inlineStr">
        <is>
          <t>Ruptura metodologica desde 2014 por inclusion de obras de autoconstruccion/uso exclusivo.</t>
        </is>
      </c>
    </row>
    <row r="92">
      <c r="A92" s="8" t="n">
        <v>2015</v>
      </c>
      <c r="B92" s="6" t="inlineStr">
        <is>
          <t>DIST_TRANSFORMERS_CAPACITY</t>
        </is>
      </c>
      <c r="C92" s="8" t="n">
        <v>5573</v>
      </c>
      <c r="D92" s="6" t="inlineStr">
        <is>
          <t>MVA</t>
        </is>
      </c>
      <c r="E92" s="6" t="inlineStr">
        <is>
          <t>distribution</t>
        </is>
      </c>
      <c r="F92" s="6" t="inlineStr">
        <is>
          <t>ANDE</t>
        </is>
      </c>
      <c r="G92" s="6" t="inlineStr">
        <is>
          <t>OFFICIAL_PRIMARY</t>
        </is>
      </c>
      <c r="H92" s="7" t="inlineStr">
        <is>
          <t>https://www.ande.gov.py/finanzas/2.%20COMPILACION%20ESTADISTICA%202003-2023/ANDE%20-%20Compilacion%20Estadistica%202003-2023.pdf</t>
        </is>
      </c>
      <c r="I92" s="4" t="inlineStr">
        <is>
          <t>Ruptura metodologica desde 2014 por inclusion de obras de autoconstruccion/uso exclusivo.</t>
        </is>
      </c>
    </row>
    <row r="93">
      <c r="A93" s="8" t="n">
        <v>2016</v>
      </c>
      <c r="B93" s="6" t="inlineStr">
        <is>
          <t>TX_LINE_500KV</t>
        </is>
      </c>
      <c r="C93" s="8" t="n">
        <v>364</v>
      </c>
      <c r="D93" s="6" t="inlineStr">
        <is>
          <t>km</t>
        </is>
      </c>
      <c r="E93" s="6" t="inlineStr">
        <is>
          <t>transmission</t>
        </is>
      </c>
      <c r="F93" s="6" t="inlineStr">
        <is>
          <t>ANDE</t>
        </is>
      </c>
      <c r="G93" s="6" t="inlineStr">
        <is>
          <t>OFFICIAL_PRIMARY</t>
        </is>
      </c>
      <c r="H93" s="7" t="inlineStr">
        <is>
          <t>https://www.ande.gov.py/finanzas/2.%20COMPILACION%20ESTADISTICA%202003-2023/ANDE%20-%20Compilacion%20Estadistica%202003-2023.pdf</t>
        </is>
      </c>
      <c r="I93" s="4" t="inlineStr"/>
    </row>
    <row r="94">
      <c r="A94" s="8" t="n">
        <v>2016</v>
      </c>
      <c r="B94" s="6" t="inlineStr">
        <is>
          <t>TX_LINE_220KV</t>
        </is>
      </c>
      <c r="C94" s="8" t="n">
        <v>4529</v>
      </c>
      <c r="D94" s="6" t="inlineStr">
        <is>
          <t>km</t>
        </is>
      </c>
      <c r="E94" s="6" t="inlineStr">
        <is>
          <t>transmission</t>
        </is>
      </c>
      <c r="F94" s="6" t="inlineStr">
        <is>
          <t>ANDE</t>
        </is>
      </c>
      <c r="G94" s="6" t="inlineStr">
        <is>
          <t>OFFICIAL_PRIMARY</t>
        </is>
      </c>
      <c r="H94" s="7" t="inlineStr">
        <is>
          <t>https://www.ande.gov.py/finanzas/2.%20COMPILACION%20ESTADISTICA%202003-2023/ANDE%20-%20Compilacion%20Estadistica%202003-2023.pdf</t>
        </is>
      </c>
      <c r="I94" s="4" t="inlineStr"/>
    </row>
    <row r="95">
      <c r="A95" s="8" t="n">
        <v>2016</v>
      </c>
      <c r="B95" s="6" t="inlineStr">
        <is>
          <t>TX_LINE_66KV</t>
        </is>
      </c>
      <c r="C95" s="8" t="n">
        <v>1261</v>
      </c>
      <c r="D95" s="6" t="inlineStr">
        <is>
          <t>km</t>
        </is>
      </c>
      <c r="E95" s="6" t="inlineStr">
        <is>
          <t>transmission</t>
        </is>
      </c>
      <c r="F95" s="6" t="inlineStr">
        <is>
          <t>ANDE</t>
        </is>
      </c>
      <c r="G95" s="6" t="inlineStr">
        <is>
          <t>OFFICIAL_PRIMARY</t>
        </is>
      </c>
      <c r="H95" s="7" t="inlineStr">
        <is>
          <t>https://www.ande.gov.py/finanzas/2.%20COMPILACION%20ESTADISTICA%202003-2023/ANDE%20-%20Compilacion%20Estadistica%202003-2023.pdf</t>
        </is>
      </c>
      <c r="I95" s="4" t="inlineStr"/>
    </row>
    <row r="96">
      <c r="A96" s="8" t="n">
        <v>2016</v>
      </c>
      <c r="B96" s="6" t="inlineStr">
        <is>
          <t>TX_TRANSFORMATION_CAPACITY</t>
        </is>
      </c>
      <c r="C96" s="8" t="n">
        <v>4900</v>
      </c>
      <c r="D96" s="6" t="inlineStr">
        <is>
          <t>MVA</t>
        </is>
      </c>
      <c r="E96" s="6" t="inlineStr">
        <is>
          <t>transmission</t>
        </is>
      </c>
      <c r="F96" s="6" t="inlineStr">
        <is>
          <t>ANDE</t>
        </is>
      </c>
      <c r="G96" s="6" t="inlineStr">
        <is>
          <t>OFFICIAL_PRIMARY</t>
        </is>
      </c>
      <c r="H96" s="7" t="inlineStr">
        <is>
          <t>https://www.ande.gov.py/finanzas/2.%20COMPILACION%20ESTADISTICA%202003-2023/ANDE%20-%20Compilacion%20Estadistica%202003-2023.pdf</t>
        </is>
      </c>
      <c r="I96" s="4" t="inlineStr"/>
    </row>
    <row r="97">
      <c r="A97" s="8" t="n">
        <v>2016</v>
      </c>
      <c r="B97" s="6" t="inlineStr">
        <is>
          <t>DIST_MEDIUM_VOLTAGE_NETWORK</t>
        </is>
      </c>
      <c r="C97" s="8" t="n">
        <v>66339</v>
      </c>
      <c r="D97" s="6" t="inlineStr">
        <is>
          <t>km</t>
        </is>
      </c>
      <c r="E97" s="6" t="inlineStr">
        <is>
          <t>distribution</t>
        </is>
      </c>
      <c r="F97" s="6" t="inlineStr">
        <is>
          <t>ANDE</t>
        </is>
      </c>
      <c r="G97" s="6" t="inlineStr">
        <is>
          <t>OFFICIAL_PRIMARY</t>
        </is>
      </c>
      <c r="H97" s="7" t="inlineStr">
        <is>
          <t>https://www.ande.gov.py/finanzas/2.%20COMPILACION%20ESTADISTICA%202003-2023/ANDE%20-%20Compilacion%20Estadistica%202003-2023.pdf</t>
        </is>
      </c>
      <c r="I97" s="4" t="inlineStr">
        <is>
          <t>Ruptura metodologica desde 2014 por inclusion de obras de autoconstruccion/uso exclusivo.</t>
        </is>
      </c>
    </row>
    <row r="98">
      <c r="A98" s="8" t="n">
        <v>2016</v>
      </c>
      <c r="B98" s="6" t="inlineStr">
        <is>
          <t>DIST_TRANSFORMERS_QTY</t>
        </is>
      </c>
      <c r="C98" s="8" t="n">
        <v>76972</v>
      </c>
      <c r="D98" s="6" t="inlineStr">
        <is>
          <t>count</t>
        </is>
      </c>
      <c r="E98" s="6" t="inlineStr">
        <is>
          <t>distribution</t>
        </is>
      </c>
      <c r="F98" s="6" t="inlineStr">
        <is>
          <t>ANDE</t>
        </is>
      </c>
      <c r="G98" s="6" t="inlineStr">
        <is>
          <t>OFFICIAL_PRIMARY</t>
        </is>
      </c>
      <c r="H98" s="7" t="inlineStr">
        <is>
          <t>https://www.ande.gov.py/finanzas/2.%20COMPILACION%20ESTADISTICA%202003-2023/ANDE%20-%20Compilacion%20Estadistica%202003-2023.pdf</t>
        </is>
      </c>
      <c r="I98" s="4" t="inlineStr">
        <is>
          <t>Ruptura metodologica desde 2014 por inclusion de obras de autoconstruccion/uso exclusivo.</t>
        </is>
      </c>
    </row>
    <row r="99">
      <c r="A99" s="8" t="n">
        <v>2016</v>
      </c>
      <c r="B99" s="6" t="inlineStr">
        <is>
          <t>DIST_TRANSFORMERS_CAPACITY</t>
        </is>
      </c>
      <c r="C99" s="8" t="n">
        <v>5791</v>
      </c>
      <c r="D99" s="6" t="inlineStr">
        <is>
          <t>MVA</t>
        </is>
      </c>
      <c r="E99" s="6" t="inlineStr">
        <is>
          <t>distribution</t>
        </is>
      </c>
      <c r="F99" s="6" t="inlineStr">
        <is>
          <t>ANDE</t>
        </is>
      </c>
      <c r="G99" s="6" t="inlineStr">
        <is>
          <t>OFFICIAL_PRIMARY</t>
        </is>
      </c>
      <c r="H99" s="7" t="inlineStr">
        <is>
          <t>https://www.ande.gov.py/finanzas/2.%20COMPILACION%20ESTADISTICA%202003-2023/ANDE%20-%20Compilacion%20Estadistica%202003-2023.pdf</t>
        </is>
      </c>
      <c r="I99" s="4" t="inlineStr">
        <is>
          <t>Ruptura metodologica desde 2014 por inclusion de obras de autoconstruccion/uso exclusivo.</t>
        </is>
      </c>
    </row>
    <row r="100">
      <c r="A100" s="8" t="n">
        <v>2017</v>
      </c>
      <c r="B100" s="6" t="inlineStr">
        <is>
          <t>TX_LINE_500KV</t>
        </is>
      </c>
      <c r="C100" s="8" t="n">
        <v>364</v>
      </c>
      <c r="D100" s="6" t="inlineStr">
        <is>
          <t>km</t>
        </is>
      </c>
      <c r="E100" s="6" t="inlineStr">
        <is>
          <t>transmission</t>
        </is>
      </c>
      <c r="F100" s="6" t="inlineStr">
        <is>
          <t>ANDE</t>
        </is>
      </c>
      <c r="G100" s="6" t="inlineStr">
        <is>
          <t>OFFICIAL_PRIMARY</t>
        </is>
      </c>
      <c r="H100" s="7" t="inlineStr">
        <is>
          <t>https://www.ande.gov.py/finanzas/2.%20COMPILACION%20ESTADISTICA%202003-2023/ANDE%20-%20Compilacion%20Estadistica%202003-2023.pdf</t>
        </is>
      </c>
      <c r="I100" s="4" t="inlineStr"/>
    </row>
    <row r="101">
      <c r="A101" s="8" t="n">
        <v>2017</v>
      </c>
      <c r="B101" s="6" t="inlineStr">
        <is>
          <t>TX_LINE_220KV</t>
        </is>
      </c>
      <c r="C101" s="8" t="n">
        <v>4564</v>
      </c>
      <c r="D101" s="6" t="inlineStr">
        <is>
          <t>km</t>
        </is>
      </c>
      <c r="E101" s="6" t="inlineStr">
        <is>
          <t>transmission</t>
        </is>
      </c>
      <c r="F101" s="6" t="inlineStr">
        <is>
          <t>ANDE</t>
        </is>
      </c>
      <c r="G101" s="6" t="inlineStr">
        <is>
          <t>OFFICIAL_PRIMARY</t>
        </is>
      </c>
      <c r="H101" s="7" t="inlineStr">
        <is>
          <t>https://www.ande.gov.py/finanzas/2.%20COMPILACION%20ESTADISTICA%202003-2023/ANDE%20-%20Compilacion%20Estadistica%202003-2023.pdf</t>
        </is>
      </c>
      <c r="I101" s="4" t="inlineStr"/>
    </row>
    <row r="102">
      <c r="A102" s="8" t="n">
        <v>2017</v>
      </c>
      <c r="B102" s="6" t="inlineStr">
        <is>
          <t>TX_LINE_66KV</t>
        </is>
      </c>
      <c r="C102" s="8" t="n">
        <v>1291</v>
      </c>
      <c r="D102" s="6" t="inlineStr">
        <is>
          <t>km</t>
        </is>
      </c>
      <c r="E102" s="6" t="inlineStr">
        <is>
          <t>transmission</t>
        </is>
      </c>
      <c r="F102" s="6" t="inlineStr">
        <is>
          <t>ANDE</t>
        </is>
      </c>
      <c r="G102" s="6" t="inlineStr">
        <is>
          <t>OFFICIAL_PRIMARY</t>
        </is>
      </c>
      <c r="H102" s="7" t="inlineStr">
        <is>
          <t>https://www.ande.gov.py/finanzas/2.%20COMPILACION%20ESTADISTICA%202003-2023/ANDE%20-%20Compilacion%20Estadistica%202003-2023.pdf</t>
        </is>
      </c>
      <c r="I102" s="4" t="inlineStr"/>
    </row>
    <row r="103">
      <c r="A103" s="8" t="n">
        <v>2017</v>
      </c>
      <c r="B103" s="6" t="inlineStr">
        <is>
          <t>TX_TRANSFORMATION_CAPACITY</t>
        </is>
      </c>
      <c r="C103" s="8" t="n">
        <v>5680</v>
      </c>
      <c r="D103" s="6" t="inlineStr">
        <is>
          <t>MVA</t>
        </is>
      </c>
      <c r="E103" s="6" t="inlineStr">
        <is>
          <t>transmission</t>
        </is>
      </c>
      <c r="F103" s="6" t="inlineStr">
        <is>
          <t>ANDE</t>
        </is>
      </c>
      <c r="G103" s="6" t="inlineStr">
        <is>
          <t>OFFICIAL_PRIMARY</t>
        </is>
      </c>
      <c r="H103" s="7" t="inlineStr">
        <is>
          <t>https://www.ande.gov.py/finanzas/2.%20COMPILACION%20ESTADISTICA%202003-2023/ANDE%20-%20Compilacion%20Estadistica%202003-2023.pdf</t>
        </is>
      </c>
      <c r="I103" s="4" t="inlineStr"/>
    </row>
    <row r="104">
      <c r="A104" s="8" t="n">
        <v>2017</v>
      </c>
      <c r="B104" s="6" t="inlineStr">
        <is>
          <t>DIST_MEDIUM_VOLTAGE_NETWORK</t>
        </is>
      </c>
      <c r="C104" s="8" t="n">
        <v>67354</v>
      </c>
      <c r="D104" s="6" t="inlineStr">
        <is>
          <t>km</t>
        </is>
      </c>
      <c r="E104" s="6" t="inlineStr">
        <is>
          <t>distribution</t>
        </is>
      </c>
      <c r="F104" s="6" t="inlineStr">
        <is>
          <t>ANDE</t>
        </is>
      </c>
      <c r="G104" s="6" t="inlineStr">
        <is>
          <t>OFFICIAL_PRIMARY</t>
        </is>
      </c>
      <c r="H104" s="7" t="inlineStr">
        <is>
          <t>https://www.ande.gov.py/finanzas/2.%20COMPILACION%20ESTADISTICA%202003-2023/ANDE%20-%20Compilacion%20Estadistica%202003-2023.pdf</t>
        </is>
      </c>
      <c r="I104" s="4" t="inlineStr">
        <is>
          <t>Ruptura metodologica desde 2014 por inclusion de obras de autoconstruccion/uso exclusivo.</t>
        </is>
      </c>
    </row>
    <row r="105">
      <c r="A105" s="8" t="n">
        <v>2017</v>
      </c>
      <c r="B105" s="6" t="inlineStr">
        <is>
          <t>DIST_TRANSFORMERS_QTY</t>
        </is>
      </c>
      <c r="C105" s="8" t="n">
        <v>79920</v>
      </c>
      <c r="D105" s="6" t="inlineStr">
        <is>
          <t>count</t>
        </is>
      </c>
      <c r="E105" s="6" t="inlineStr">
        <is>
          <t>distribution</t>
        </is>
      </c>
      <c r="F105" s="6" t="inlineStr">
        <is>
          <t>ANDE</t>
        </is>
      </c>
      <c r="G105" s="6" t="inlineStr">
        <is>
          <t>OFFICIAL_PRIMARY</t>
        </is>
      </c>
      <c r="H105" s="7" t="inlineStr">
        <is>
          <t>https://www.ande.gov.py/finanzas/2.%20COMPILACION%20ESTADISTICA%202003-2023/ANDE%20-%20Compilacion%20Estadistica%202003-2023.pdf</t>
        </is>
      </c>
      <c r="I105" s="4" t="inlineStr">
        <is>
          <t>Ruptura metodologica desde 2014 por inclusion de obras de autoconstruccion/uso exclusivo.</t>
        </is>
      </c>
    </row>
    <row r="106">
      <c r="A106" s="8" t="n">
        <v>2017</v>
      </c>
      <c r="B106" s="6" t="inlineStr">
        <is>
          <t>DIST_TRANSFORMERS_CAPACITY</t>
        </is>
      </c>
      <c r="C106" s="8" t="n">
        <v>6000</v>
      </c>
      <c r="D106" s="6" t="inlineStr">
        <is>
          <t>MVA</t>
        </is>
      </c>
      <c r="E106" s="6" t="inlineStr">
        <is>
          <t>distribution</t>
        </is>
      </c>
      <c r="F106" s="6" t="inlineStr">
        <is>
          <t>ANDE</t>
        </is>
      </c>
      <c r="G106" s="6" t="inlineStr">
        <is>
          <t>OFFICIAL_PRIMARY</t>
        </is>
      </c>
      <c r="H106" s="7" t="inlineStr">
        <is>
          <t>https://www.ande.gov.py/finanzas/2.%20COMPILACION%20ESTADISTICA%202003-2023/ANDE%20-%20Compilacion%20Estadistica%202003-2023.pdf</t>
        </is>
      </c>
      <c r="I106" s="4" t="inlineStr">
        <is>
          <t>Ruptura metodologica desde 2014 por inclusion de obras de autoconstruccion/uso exclusivo.</t>
        </is>
      </c>
    </row>
    <row r="107">
      <c r="A107" s="8" t="n">
        <v>2018</v>
      </c>
      <c r="B107" s="6" t="inlineStr">
        <is>
          <t>TX_LINE_500KV</t>
        </is>
      </c>
      <c r="C107" s="8" t="n">
        <v>711</v>
      </c>
      <c r="D107" s="6" t="inlineStr">
        <is>
          <t>km</t>
        </is>
      </c>
      <c r="E107" s="6" t="inlineStr">
        <is>
          <t>transmission</t>
        </is>
      </c>
      <c r="F107" s="6" t="inlineStr">
        <is>
          <t>ANDE</t>
        </is>
      </c>
      <c r="G107" s="6" t="inlineStr">
        <is>
          <t>OFFICIAL_PRIMARY</t>
        </is>
      </c>
      <c r="H107" s="7" t="inlineStr">
        <is>
          <t>https://www.ande.gov.py/finanzas/2.%20COMPILACION%20ESTADISTICA%202003-2023/ANDE%20-%20Compilacion%20Estadistica%202003-2023.pdf</t>
        </is>
      </c>
      <c r="I107" s="4" t="inlineStr"/>
    </row>
    <row r="108">
      <c r="A108" s="8" t="n">
        <v>2018</v>
      </c>
      <c r="B108" s="6" t="inlineStr">
        <is>
          <t>TX_LINE_220KV</t>
        </is>
      </c>
      <c r="C108" s="8" t="n">
        <v>4575</v>
      </c>
      <c r="D108" s="6" t="inlineStr">
        <is>
          <t>km</t>
        </is>
      </c>
      <c r="E108" s="6" t="inlineStr">
        <is>
          <t>transmission</t>
        </is>
      </c>
      <c r="F108" s="6" t="inlineStr">
        <is>
          <t>ANDE</t>
        </is>
      </c>
      <c r="G108" s="6" t="inlineStr">
        <is>
          <t>OFFICIAL_PRIMARY</t>
        </is>
      </c>
      <c r="H108" s="7" t="inlineStr">
        <is>
          <t>https://www.ande.gov.py/finanzas/2.%20COMPILACION%20ESTADISTICA%202003-2023/ANDE%20-%20Compilacion%20Estadistica%202003-2023.pdf</t>
        </is>
      </c>
      <c r="I108" s="4" t="inlineStr"/>
    </row>
    <row r="109">
      <c r="A109" s="8" t="n">
        <v>2018</v>
      </c>
      <c r="B109" s="6" t="inlineStr">
        <is>
          <t>TX_LINE_66KV</t>
        </is>
      </c>
      <c r="C109" s="8" t="n">
        <v>1345</v>
      </c>
      <c r="D109" s="6" t="inlineStr">
        <is>
          <t>km</t>
        </is>
      </c>
      <c r="E109" s="6" t="inlineStr">
        <is>
          <t>transmission</t>
        </is>
      </c>
      <c r="F109" s="6" t="inlineStr">
        <is>
          <t>ANDE</t>
        </is>
      </c>
      <c r="G109" s="6" t="inlineStr">
        <is>
          <t>OFFICIAL_PRIMARY</t>
        </is>
      </c>
      <c r="H109" s="7" t="inlineStr">
        <is>
          <t>https://www.ande.gov.py/finanzas/2.%20COMPILACION%20ESTADISTICA%202003-2023/ANDE%20-%20Compilacion%20Estadistica%202003-2023.pdf</t>
        </is>
      </c>
      <c r="I109" s="4" t="inlineStr"/>
    </row>
    <row r="110">
      <c r="A110" s="8" t="n">
        <v>2018</v>
      </c>
      <c r="B110" s="6" t="inlineStr">
        <is>
          <t>TX_TRANSFORMATION_CAPACITY</t>
        </is>
      </c>
      <c r="C110" s="8" t="n">
        <v>6115</v>
      </c>
      <c r="D110" s="6" t="inlineStr">
        <is>
          <t>MVA</t>
        </is>
      </c>
      <c r="E110" s="6" t="inlineStr">
        <is>
          <t>transmission</t>
        </is>
      </c>
      <c r="F110" s="6" t="inlineStr">
        <is>
          <t>ANDE</t>
        </is>
      </c>
      <c r="G110" s="6" t="inlineStr">
        <is>
          <t>OFFICIAL_PRIMARY</t>
        </is>
      </c>
      <c r="H110" s="7" t="inlineStr">
        <is>
          <t>https://www.ande.gov.py/finanzas/2.%20COMPILACION%20ESTADISTICA%202003-2023/ANDE%20-%20Compilacion%20Estadistica%202003-2023.pdf</t>
        </is>
      </c>
      <c r="I110" s="4" t="inlineStr"/>
    </row>
    <row r="111">
      <c r="A111" s="8" t="n">
        <v>2018</v>
      </c>
      <c r="B111" s="6" t="inlineStr">
        <is>
          <t>DIST_MEDIUM_VOLTAGE_NETWORK</t>
        </is>
      </c>
      <c r="C111" s="8" t="n">
        <v>67815</v>
      </c>
      <c r="D111" s="6" t="inlineStr">
        <is>
          <t>km</t>
        </is>
      </c>
      <c r="E111" s="6" t="inlineStr">
        <is>
          <t>distribution</t>
        </is>
      </c>
      <c r="F111" s="6" t="inlineStr">
        <is>
          <t>ANDE</t>
        </is>
      </c>
      <c r="G111" s="6" t="inlineStr">
        <is>
          <t>OFFICIAL_PRIMARY</t>
        </is>
      </c>
      <c r="H111" s="7" t="inlineStr">
        <is>
          <t>https://www.ande.gov.py/finanzas/2.%20COMPILACION%20ESTADISTICA%202003-2023/ANDE%20-%20Compilacion%20Estadistica%202003-2023.pdf</t>
        </is>
      </c>
      <c r="I111" s="4" t="inlineStr">
        <is>
          <t>Ruptura metodologica desde 2014 por inclusion de obras de autoconstruccion/uso exclusivo.</t>
        </is>
      </c>
    </row>
    <row r="112">
      <c r="A112" s="8" t="n">
        <v>2018</v>
      </c>
      <c r="B112" s="6" t="inlineStr">
        <is>
          <t>DIST_TRANSFORMERS_QTY</t>
        </is>
      </c>
      <c r="C112" s="8" t="n">
        <v>81942</v>
      </c>
      <c r="D112" s="6" t="inlineStr">
        <is>
          <t>count</t>
        </is>
      </c>
      <c r="E112" s="6" t="inlineStr">
        <is>
          <t>distribution</t>
        </is>
      </c>
      <c r="F112" s="6" t="inlineStr">
        <is>
          <t>ANDE</t>
        </is>
      </c>
      <c r="G112" s="6" t="inlineStr">
        <is>
          <t>OFFICIAL_PRIMARY</t>
        </is>
      </c>
      <c r="H112" s="7" t="inlineStr">
        <is>
          <t>https://www.ande.gov.py/finanzas/2.%20COMPILACION%20ESTADISTICA%202003-2023/ANDE%20-%20Compilacion%20Estadistica%202003-2023.pdf</t>
        </is>
      </c>
      <c r="I112" s="4" t="inlineStr">
        <is>
          <t>Ruptura metodologica desde 2014 por inclusion de obras de autoconstruccion/uso exclusivo.</t>
        </is>
      </c>
    </row>
    <row r="113">
      <c r="A113" s="8" t="n">
        <v>2018</v>
      </c>
      <c r="B113" s="6" t="inlineStr">
        <is>
          <t>DIST_TRANSFORMERS_CAPACITY</t>
        </is>
      </c>
      <c r="C113" s="8" t="n">
        <v>6220</v>
      </c>
      <c r="D113" s="6" t="inlineStr">
        <is>
          <t>MVA</t>
        </is>
      </c>
      <c r="E113" s="6" t="inlineStr">
        <is>
          <t>distribution</t>
        </is>
      </c>
      <c r="F113" s="6" t="inlineStr">
        <is>
          <t>ANDE</t>
        </is>
      </c>
      <c r="G113" s="6" t="inlineStr">
        <is>
          <t>OFFICIAL_PRIMARY</t>
        </is>
      </c>
      <c r="H113" s="7" t="inlineStr">
        <is>
          <t>https://www.ande.gov.py/finanzas/2.%20COMPILACION%20ESTADISTICA%202003-2023/ANDE%20-%20Compilacion%20Estadistica%202003-2023.pdf</t>
        </is>
      </c>
      <c r="I113" s="4" t="inlineStr">
        <is>
          <t>Ruptura metodologica desde 2014 por inclusion de obras de autoconstruccion/uso exclusivo.</t>
        </is>
      </c>
    </row>
    <row r="114">
      <c r="A114" s="8" t="n">
        <v>2019</v>
      </c>
      <c r="B114" s="6" t="inlineStr">
        <is>
          <t>TX_LINE_500KV</t>
        </is>
      </c>
      <c r="C114" s="8" t="n">
        <v>711</v>
      </c>
      <c r="D114" s="6" t="inlineStr">
        <is>
          <t>km</t>
        </is>
      </c>
      <c r="E114" s="6" t="inlineStr">
        <is>
          <t>transmission</t>
        </is>
      </c>
      <c r="F114" s="6" t="inlineStr">
        <is>
          <t>ANDE</t>
        </is>
      </c>
      <c r="G114" s="6" t="inlineStr">
        <is>
          <t>OFFICIAL_PRIMARY</t>
        </is>
      </c>
      <c r="H114" s="7" t="inlineStr">
        <is>
          <t>https://www.ande.gov.py/finanzas/2.%20COMPILACION%20ESTADISTICA%202003-2023/ANDE%20-%20Compilacion%20Estadistica%202003-2023.pdf</t>
        </is>
      </c>
      <c r="I114" s="4" t="inlineStr"/>
    </row>
    <row r="115">
      <c r="A115" s="8" t="n">
        <v>2019</v>
      </c>
      <c r="B115" s="6" t="inlineStr">
        <is>
          <t>TX_LINE_220KV</t>
        </is>
      </c>
      <c r="C115" s="8" t="n">
        <v>4616</v>
      </c>
      <c r="D115" s="6" t="inlineStr">
        <is>
          <t>km</t>
        </is>
      </c>
      <c r="E115" s="6" t="inlineStr">
        <is>
          <t>transmission</t>
        </is>
      </c>
      <c r="F115" s="6" t="inlineStr">
        <is>
          <t>ANDE</t>
        </is>
      </c>
      <c r="G115" s="6" t="inlineStr">
        <is>
          <t>OFFICIAL_PRIMARY</t>
        </is>
      </c>
      <c r="H115" s="7" t="inlineStr">
        <is>
          <t>https://www.ande.gov.py/finanzas/2.%20COMPILACION%20ESTADISTICA%202003-2023/ANDE%20-%20Compilacion%20Estadistica%202003-2023.pdf</t>
        </is>
      </c>
      <c r="I115" s="4" t="inlineStr"/>
    </row>
    <row r="116">
      <c r="A116" s="8" t="n">
        <v>2019</v>
      </c>
      <c r="B116" s="6" t="inlineStr">
        <is>
          <t>TX_LINE_66KV</t>
        </is>
      </c>
      <c r="C116" s="8" t="n">
        <v>1355</v>
      </c>
      <c r="D116" s="6" t="inlineStr">
        <is>
          <t>km</t>
        </is>
      </c>
      <c r="E116" s="6" t="inlineStr">
        <is>
          <t>transmission</t>
        </is>
      </c>
      <c r="F116" s="6" t="inlineStr">
        <is>
          <t>ANDE</t>
        </is>
      </c>
      <c r="G116" s="6" t="inlineStr">
        <is>
          <t>OFFICIAL_PRIMARY</t>
        </is>
      </c>
      <c r="H116" s="7" t="inlineStr">
        <is>
          <t>https://www.ande.gov.py/finanzas/2.%20COMPILACION%20ESTADISTICA%202003-2023/ANDE%20-%20Compilacion%20Estadistica%202003-2023.pdf</t>
        </is>
      </c>
      <c r="I116" s="4" t="inlineStr"/>
    </row>
    <row r="117">
      <c r="A117" s="8" t="n">
        <v>2019</v>
      </c>
      <c r="B117" s="6" t="inlineStr">
        <is>
          <t>TX_TRANSFORMATION_CAPACITY</t>
        </is>
      </c>
      <c r="C117" s="8" t="n">
        <v>6630</v>
      </c>
      <c r="D117" s="6" t="inlineStr">
        <is>
          <t>MVA</t>
        </is>
      </c>
      <c r="E117" s="6" t="inlineStr">
        <is>
          <t>transmission</t>
        </is>
      </c>
      <c r="F117" s="6" t="inlineStr">
        <is>
          <t>ANDE</t>
        </is>
      </c>
      <c r="G117" s="6" t="inlineStr">
        <is>
          <t>OFFICIAL_PRIMARY</t>
        </is>
      </c>
      <c r="H117" s="7" t="inlineStr">
        <is>
          <t>https://www.ande.gov.py/finanzas/2.%20COMPILACION%20ESTADISTICA%202003-2023/ANDE%20-%20Compilacion%20Estadistica%202003-2023.pdf</t>
        </is>
      </c>
      <c r="I117" s="4" t="inlineStr"/>
    </row>
    <row r="118">
      <c r="A118" s="8" t="n">
        <v>2019</v>
      </c>
      <c r="B118" s="6" t="inlineStr">
        <is>
          <t>DIST_MEDIUM_VOLTAGE_NETWORK</t>
        </is>
      </c>
      <c r="C118" s="8" t="n">
        <v>68331</v>
      </c>
      <c r="D118" s="6" t="inlineStr">
        <is>
          <t>km</t>
        </is>
      </c>
      <c r="E118" s="6" t="inlineStr">
        <is>
          <t>distribution</t>
        </is>
      </c>
      <c r="F118" s="6" t="inlineStr">
        <is>
          <t>ANDE</t>
        </is>
      </c>
      <c r="G118" s="6" t="inlineStr">
        <is>
          <t>OFFICIAL_PRIMARY</t>
        </is>
      </c>
      <c r="H118" s="7" t="inlineStr">
        <is>
          <t>https://www.ande.gov.py/finanzas/2.%20COMPILACION%20ESTADISTICA%202003-2023/ANDE%20-%20Compilacion%20Estadistica%202003-2023.pdf</t>
        </is>
      </c>
      <c r="I118" s="4" t="inlineStr">
        <is>
          <t>Ruptura metodologica desde 2014 por inclusion de obras de autoconstruccion/uso exclusivo.</t>
        </is>
      </c>
    </row>
    <row r="119">
      <c r="A119" s="8" t="n">
        <v>2019</v>
      </c>
      <c r="B119" s="6" t="inlineStr">
        <is>
          <t>DIST_TRANSFORMERS_QTY</t>
        </is>
      </c>
      <c r="C119" s="8" t="n">
        <v>85733</v>
      </c>
      <c r="D119" s="6" t="inlineStr">
        <is>
          <t>count</t>
        </is>
      </c>
      <c r="E119" s="6" t="inlineStr">
        <is>
          <t>distribution</t>
        </is>
      </c>
      <c r="F119" s="6" t="inlineStr">
        <is>
          <t>ANDE</t>
        </is>
      </c>
      <c r="G119" s="6" t="inlineStr">
        <is>
          <t>OFFICIAL_PRIMARY</t>
        </is>
      </c>
      <c r="H119" s="7" t="inlineStr">
        <is>
          <t>https://www.ande.gov.py/finanzas/2.%20COMPILACION%20ESTADISTICA%202003-2023/ANDE%20-%20Compilacion%20Estadistica%202003-2023.pdf</t>
        </is>
      </c>
      <c r="I119" s="4" t="inlineStr">
        <is>
          <t>Ruptura metodologica desde 2014 por inclusion de obras de autoconstruccion/uso exclusivo.</t>
        </is>
      </c>
    </row>
    <row r="120">
      <c r="A120" s="8" t="n">
        <v>2019</v>
      </c>
      <c r="B120" s="6" t="inlineStr">
        <is>
          <t>DIST_TRANSFORMERS_CAPACITY</t>
        </is>
      </c>
      <c r="C120" s="8" t="n">
        <v>6561</v>
      </c>
      <c r="D120" s="6" t="inlineStr">
        <is>
          <t>MVA</t>
        </is>
      </c>
      <c r="E120" s="6" t="inlineStr">
        <is>
          <t>distribution</t>
        </is>
      </c>
      <c r="F120" s="6" t="inlineStr">
        <is>
          <t>ANDE</t>
        </is>
      </c>
      <c r="G120" s="6" t="inlineStr">
        <is>
          <t>OFFICIAL_PRIMARY</t>
        </is>
      </c>
      <c r="H120" s="7" t="inlineStr">
        <is>
          <t>https://www.ande.gov.py/finanzas/2.%20COMPILACION%20ESTADISTICA%202003-2023/ANDE%20-%20Compilacion%20Estadistica%202003-2023.pdf</t>
        </is>
      </c>
      <c r="I120" s="4" t="inlineStr">
        <is>
          <t>Ruptura metodologica desde 2014 por inclusion de obras de autoconstruccion/uso exclusivo.</t>
        </is>
      </c>
    </row>
    <row r="121">
      <c r="A121" s="8" t="n">
        <v>2020</v>
      </c>
      <c r="B121" s="6" t="inlineStr">
        <is>
          <t>TX_LINE_500KV</t>
        </is>
      </c>
      <c r="C121" s="8" t="n">
        <v>727</v>
      </c>
      <c r="D121" s="6" t="inlineStr">
        <is>
          <t>km</t>
        </is>
      </c>
      <c r="E121" s="6" t="inlineStr">
        <is>
          <t>transmission</t>
        </is>
      </c>
      <c r="F121" s="6" t="inlineStr">
        <is>
          <t>ANDE</t>
        </is>
      </c>
      <c r="G121" s="6" t="inlineStr">
        <is>
          <t>OFFICIAL_PRIMARY</t>
        </is>
      </c>
      <c r="H121" s="7" t="inlineStr">
        <is>
          <t>https://www.ande.gov.py/finanzas/2.%20COMPILACION%20ESTADISTICA%202003-2023/ANDE%20-%20Compilacion%20Estadistica%202003-2023.pdf</t>
        </is>
      </c>
      <c r="I121" s="4" t="inlineStr"/>
    </row>
    <row r="122">
      <c r="A122" s="8" t="n">
        <v>2020</v>
      </c>
      <c r="B122" s="6" t="inlineStr">
        <is>
          <t>TX_LINE_220KV</t>
        </is>
      </c>
      <c r="C122" s="8" t="n">
        <v>4727</v>
      </c>
      <c r="D122" s="6" t="inlineStr">
        <is>
          <t>km</t>
        </is>
      </c>
      <c r="E122" s="6" t="inlineStr">
        <is>
          <t>transmission</t>
        </is>
      </c>
      <c r="F122" s="6" t="inlineStr">
        <is>
          <t>ANDE</t>
        </is>
      </c>
      <c r="G122" s="6" t="inlineStr">
        <is>
          <t>OFFICIAL_PRIMARY</t>
        </is>
      </c>
      <c r="H122" s="7" t="inlineStr">
        <is>
          <t>https://www.ande.gov.py/finanzas/2.%20COMPILACION%20ESTADISTICA%202003-2023/ANDE%20-%20Compilacion%20Estadistica%202003-2023.pdf</t>
        </is>
      </c>
      <c r="I122" s="4" t="inlineStr"/>
    </row>
    <row r="123">
      <c r="A123" s="8" t="n">
        <v>2020</v>
      </c>
      <c r="B123" s="6" t="inlineStr">
        <is>
          <t>TX_LINE_66KV</t>
        </is>
      </c>
      <c r="C123" s="8" t="n">
        <v>1355</v>
      </c>
      <c r="D123" s="6" t="inlineStr">
        <is>
          <t>km</t>
        </is>
      </c>
      <c r="E123" s="6" t="inlineStr">
        <is>
          <t>transmission</t>
        </is>
      </c>
      <c r="F123" s="6" t="inlineStr">
        <is>
          <t>ANDE</t>
        </is>
      </c>
      <c r="G123" s="6" t="inlineStr">
        <is>
          <t>OFFICIAL_PRIMARY</t>
        </is>
      </c>
      <c r="H123" s="7" t="inlineStr">
        <is>
          <t>https://www.ande.gov.py/finanzas/2.%20COMPILACION%20ESTADISTICA%202003-2023/ANDE%20-%20Compilacion%20Estadistica%202003-2023.pdf</t>
        </is>
      </c>
      <c r="I123" s="4" t="inlineStr"/>
    </row>
    <row r="124">
      <c r="A124" s="8" t="n">
        <v>2020</v>
      </c>
      <c r="B124" s="6" t="inlineStr">
        <is>
          <t>TX_TRANSFORMATION_CAPACITY</t>
        </is>
      </c>
      <c r="C124" s="8" t="n">
        <v>6804</v>
      </c>
      <c r="D124" s="6" t="inlineStr">
        <is>
          <t>MVA</t>
        </is>
      </c>
      <c r="E124" s="6" t="inlineStr">
        <is>
          <t>transmission</t>
        </is>
      </c>
      <c r="F124" s="6" t="inlineStr">
        <is>
          <t>ANDE</t>
        </is>
      </c>
      <c r="G124" s="6" t="inlineStr">
        <is>
          <t>OFFICIAL_PRIMARY</t>
        </is>
      </c>
      <c r="H124" s="7" t="inlineStr">
        <is>
          <t>https://www.ande.gov.py/finanzas/2.%20COMPILACION%20ESTADISTICA%202003-2023/ANDE%20-%20Compilacion%20Estadistica%202003-2023.pdf</t>
        </is>
      </c>
      <c r="I124" s="4" t="inlineStr"/>
    </row>
    <row r="125">
      <c r="A125" s="8" t="n">
        <v>2020</v>
      </c>
      <c r="B125" s="6" t="inlineStr">
        <is>
          <t>DIST_MEDIUM_VOLTAGE_NETWORK</t>
        </is>
      </c>
      <c r="C125" s="8" t="n">
        <v>68633</v>
      </c>
      <c r="D125" s="6" t="inlineStr">
        <is>
          <t>km</t>
        </is>
      </c>
      <c r="E125" s="6" t="inlineStr">
        <is>
          <t>distribution</t>
        </is>
      </c>
      <c r="F125" s="6" t="inlineStr">
        <is>
          <t>ANDE</t>
        </is>
      </c>
      <c r="G125" s="6" t="inlineStr">
        <is>
          <t>OFFICIAL_PRIMARY</t>
        </is>
      </c>
      <c r="H125" s="7" t="inlineStr">
        <is>
          <t>https://www.ande.gov.py/finanzas/2.%20COMPILACION%20ESTADISTICA%202003-2023/ANDE%20-%20Compilacion%20Estadistica%202003-2023.pdf</t>
        </is>
      </c>
      <c r="I125" s="4" t="inlineStr">
        <is>
          <t>Ruptura metodologica desde 2014 por inclusion de obras de autoconstruccion/uso exclusivo.</t>
        </is>
      </c>
    </row>
    <row r="126">
      <c r="A126" s="8" t="n">
        <v>2020</v>
      </c>
      <c r="B126" s="6" t="inlineStr">
        <is>
          <t>DIST_TRANSFORMERS_QTY</t>
        </is>
      </c>
      <c r="C126" s="8" t="n">
        <v>90585</v>
      </c>
      <c r="D126" s="6" t="inlineStr">
        <is>
          <t>count</t>
        </is>
      </c>
      <c r="E126" s="6" t="inlineStr">
        <is>
          <t>distribution</t>
        </is>
      </c>
      <c r="F126" s="6" t="inlineStr">
        <is>
          <t>ANDE</t>
        </is>
      </c>
      <c r="G126" s="6" t="inlineStr">
        <is>
          <t>OFFICIAL_PRIMARY</t>
        </is>
      </c>
      <c r="H126" s="7" t="inlineStr">
        <is>
          <t>https://www.ande.gov.py/finanzas/2.%20COMPILACION%20ESTADISTICA%202003-2023/ANDE%20-%20Compilacion%20Estadistica%202003-2023.pdf</t>
        </is>
      </c>
      <c r="I126" s="4" t="inlineStr">
        <is>
          <t>Ruptura metodologica desde 2014 por inclusion de obras de autoconstruccion/uso exclusivo.</t>
        </is>
      </c>
    </row>
    <row r="127">
      <c r="A127" s="8" t="n">
        <v>2020</v>
      </c>
      <c r="B127" s="6" t="inlineStr">
        <is>
          <t>DIST_TRANSFORMERS_CAPACITY</t>
        </is>
      </c>
      <c r="C127" s="8" t="n">
        <v>7039</v>
      </c>
      <c r="D127" s="6" t="inlineStr">
        <is>
          <t>MVA</t>
        </is>
      </c>
      <c r="E127" s="6" t="inlineStr">
        <is>
          <t>distribution</t>
        </is>
      </c>
      <c r="F127" s="6" t="inlineStr">
        <is>
          <t>ANDE</t>
        </is>
      </c>
      <c r="G127" s="6" t="inlineStr">
        <is>
          <t>OFFICIAL_PRIMARY</t>
        </is>
      </c>
      <c r="H127" s="7" t="inlineStr">
        <is>
          <t>https://www.ande.gov.py/finanzas/2.%20COMPILACION%20ESTADISTICA%202003-2023/ANDE%20-%20Compilacion%20Estadistica%202003-2023.pdf</t>
        </is>
      </c>
      <c r="I127" s="4" t="inlineStr">
        <is>
          <t>Ruptura metodologica desde 2014 por inclusion de obras de autoconstruccion/uso exclusivo.</t>
        </is>
      </c>
    </row>
    <row r="128">
      <c r="A128" s="8" t="n">
        <v>2021</v>
      </c>
      <c r="B128" s="6" t="inlineStr">
        <is>
          <t>TX_LINE_500KV</t>
        </is>
      </c>
      <c r="C128" s="8" t="n">
        <v>727</v>
      </c>
      <c r="D128" s="6" t="inlineStr">
        <is>
          <t>km</t>
        </is>
      </c>
      <c r="E128" s="6" t="inlineStr">
        <is>
          <t>transmission</t>
        </is>
      </c>
      <c r="F128" s="6" t="inlineStr">
        <is>
          <t>ANDE</t>
        </is>
      </c>
      <c r="G128" s="6" t="inlineStr">
        <is>
          <t>OFFICIAL_PRIMARY</t>
        </is>
      </c>
      <c r="H128" s="7" t="inlineStr">
        <is>
          <t>https://www.ande.gov.py/finanzas/2.%20COMPILACION%20ESTADISTICA%202003-2023/ANDE%20-%20Compilacion%20Estadistica%202003-2023.pdf</t>
        </is>
      </c>
      <c r="I128" s="4" t="inlineStr"/>
    </row>
    <row r="129">
      <c r="A129" s="8" t="n">
        <v>2021</v>
      </c>
      <c r="B129" s="6" t="inlineStr">
        <is>
          <t>TX_LINE_220KV</t>
        </is>
      </c>
      <c r="C129" s="8" t="n">
        <v>4787</v>
      </c>
      <c r="D129" s="6" t="inlineStr">
        <is>
          <t>km</t>
        </is>
      </c>
      <c r="E129" s="6" t="inlineStr">
        <is>
          <t>transmission</t>
        </is>
      </c>
      <c r="F129" s="6" t="inlineStr">
        <is>
          <t>ANDE</t>
        </is>
      </c>
      <c r="G129" s="6" t="inlineStr">
        <is>
          <t>OFFICIAL_PRIMARY</t>
        </is>
      </c>
      <c r="H129" s="7" t="inlineStr">
        <is>
          <t>https://www.ande.gov.py/finanzas/2.%20COMPILACION%20ESTADISTICA%202003-2023/ANDE%20-%20Compilacion%20Estadistica%202003-2023.pdf</t>
        </is>
      </c>
      <c r="I129" s="4" t="inlineStr"/>
    </row>
    <row r="130">
      <c r="A130" s="8" t="n">
        <v>2021</v>
      </c>
      <c r="B130" s="6" t="inlineStr">
        <is>
          <t>TX_LINE_66KV</t>
        </is>
      </c>
      <c r="C130" s="8" t="n">
        <v>1362</v>
      </c>
      <c r="D130" s="6" t="inlineStr">
        <is>
          <t>km</t>
        </is>
      </c>
      <c r="E130" s="6" t="inlineStr">
        <is>
          <t>transmission</t>
        </is>
      </c>
      <c r="F130" s="6" t="inlineStr">
        <is>
          <t>ANDE</t>
        </is>
      </c>
      <c r="G130" s="6" t="inlineStr">
        <is>
          <t>OFFICIAL_PRIMARY</t>
        </is>
      </c>
      <c r="H130" s="7" t="inlineStr">
        <is>
          <t>https://www.ande.gov.py/finanzas/2.%20COMPILACION%20ESTADISTICA%202003-2023/ANDE%20-%20Compilacion%20Estadistica%202003-2023.pdf</t>
        </is>
      </c>
      <c r="I130" s="4" t="inlineStr"/>
    </row>
    <row r="131">
      <c r="A131" s="8" t="n">
        <v>2021</v>
      </c>
      <c r="B131" s="6" t="inlineStr">
        <is>
          <t>TX_TRANSFORMATION_CAPACITY</t>
        </is>
      </c>
      <c r="C131" s="8" t="n">
        <v>6864</v>
      </c>
      <c r="D131" s="6" t="inlineStr">
        <is>
          <t>MVA</t>
        </is>
      </c>
      <c r="E131" s="6" t="inlineStr">
        <is>
          <t>transmission</t>
        </is>
      </c>
      <c r="F131" s="6" t="inlineStr">
        <is>
          <t>ANDE</t>
        </is>
      </c>
      <c r="G131" s="6" t="inlineStr">
        <is>
          <t>OFFICIAL_PRIMARY</t>
        </is>
      </c>
      <c r="H131" s="7" t="inlineStr">
        <is>
          <t>https://www.ande.gov.py/finanzas/2.%20COMPILACION%20ESTADISTICA%202003-2023/ANDE%20-%20Compilacion%20Estadistica%202003-2023.pdf</t>
        </is>
      </c>
      <c r="I131" s="4" t="inlineStr"/>
    </row>
    <row r="132">
      <c r="A132" s="8" t="n">
        <v>2021</v>
      </c>
      <c r="B132" s="6" t="inlineStr">
        <is>
          <t>DIST_MEDIUM_VOLTAGE_NETWORK</t>
        </is>
      </c>
      <c r="C132" s="8" t="n">
        <v>69331</v>
      </c>
      <c r="D132" s="6" t="inlineStr">
        <is>
          <t>km</t>
        </is>
      </c>
      <c r="E132" s="6" t="inlineStr">
        <is>
          <t>distribution</t>
        </is>
      </c>
      <c r="F132" s="6" t="inlineStr">
        <is>
          <t>ANDE</t>
        </is>
      </c>
      <c r="G132" s="6" t="inlineStr">
        <is>
          <t>OFFICIAL_PRIMARY</t>
        </is>
      </c>
      <c r="H132" s="7" t="inlineStr">
        <is>
          <t>https://www.ande.gov.py/finanzas/2.%20COMPILACION%20ESTADISTICA%202003-2023/ANDE%20-%20Compilacion%20Estadistica%202003-2023.pdf</t>
        </is>
      </c>
      <c r="I132" s="4" t="inlineStr">
        <is>
          <t>Ruptura metodologica desde 2014 por inclusion de obras de autoconstruccion/uso exclusivo.</t>
        </is>
      </c>
    </row>
    <row r="133">
      <c r="A133" s="8" t="n">
        <v>2021</v>
      </c>
      <c r="B133" s="6" t="inlineStr">
        <is>
          <t>DIST_TRANSFORMERS_QTY</t>
        </is>
      </c>
      <c r="C133" s="8" t="n">
        <v>97588</v>
      </c>
      <c r="D133" s="6" t="inlineStr">
        <is>
          <t>count</t>
        </is>
      </c>
      <c r="E133" s="6" t="inlineStr">
        <is>
          <t>distribution</t>
        </is>
      </c>
      <c r="F133" s="6" t="inlineStr">
        <is>
          <t>ANDE</t>
        </is>
      </c>
      <c r="G133" s="6" t="inlineStr">
        <is>
          <t>OFFICIAL_PRIMARY</t>
        </is>
      </c>
      <c r="H133" s="7" t="inlineStr">
        <is>
          <t>https://www.ande.gov.py/finanzas/2.%20COMPILACION%20ESTADISTICA%202003-2023/ANDE%20-%20Compilacion%20Estadistica%202003-2023.pdf</t>
        </is>
      </c>
      <c r="I133" s="4" t="inlineStr">
        <is>
          <t>Ruptura metodologica desde 2014 por inclusion de obras de autoconstruccion/uso exclusivo.</t>
        </is>
      </c>
    </row>
    <row r="134">
      <c r="A134" s="8" t="n">
        <v>2021</v>
      </c>
      <c r="B134" s="6" t="inlineStr">
        <is>
          <t>DIST_TRANSFORMERS_CAPACITY</t>
        </is>
      </c>
      <c r="C134" s="8" t="n">
        <v>7672</v>
      </c>
      <c r="D134" s="6" t="inlineStr">
        <is>
          <t>MVA</t>
        </is>
      </c>
      <c r="E134" s="6" t="inlineStr">
        <is>
          <t>distribution</t>
        </is>
      </c>
      <c r="F134" s="6" t="inlineStr">
        <is>
          <t>ANDE</t>
        </is>
      </c>
      <c r="G134" s="6" t="inlineStr">
        <is>
          <t>OFFICIAL_PRIMARY</t>
        </is>
      </c>
      <c r="H134" s="7" t="inlineStr">
        <is>
          <t>https://www.ande.gov.py/finanzas/2.%20COMPILACION%20ESTADISTICA%202003-2023/ANDE%20-%20Compilacion%20Estadistica%202003-2023.pdf</t>
        </is>
      </c>
      <c r="I134" s="4" t="inlineStr">
        <is>
          <t>Ruptura metodologica desde 2014 por inclusion de obras de autoconstruccion/uso exclusivo.</t>
        </is>
      </c>
    </row>
    <row r="135">
      <c r="A135" s="8" t="n">
        <v>2022</v>
      </c>
      <c r="B135" s="6" t="inlineStr">
        <is>
          <t>TX_LINE_500KV</t>
        </is>
      </c>
      <c r="C135" s="8" t="n">
        <v>727</v>
      </c>
      <c r="D135" s="6" t="inlineStr">
        <is>
          <t>km</t>
        </is>
      </c>
      <c r="E135" s="6" t="inlineStr">
        <is>
          <t>transmission</t>
        </is>
      </c>
      <c r="F135" s="6" t="inlineStr">
        <is>
          <t>ANDE</t>
        </is>
      </c>
      <c r="G135" s="6" t="inlineStr">
        <is>
          <t>OFFICIAL_PRIMARY</t>
        </is>
      </c>
      <c r="H135" s="7" t="inlineStr">
        <is>
          <t>https://www.ande.gov.py/finanzas/2.%20COMPILACION%20ESTADISTICA%202003-2023/ANDE%20-%20Compilacion%20Estadistica%202003-2023.pdf</t>
        </is>
      </c>
      <c r="I135" s="4" t="inlineStr"/>
    </row>
    <row r="136">
      <c r="A136" s="8" t="n">
        <v>2022</v>
      </c>
      <c r="B136" s="6" t="inlineStr">
        <is>
          <t>TX_LINE_220KV</t>
        </is>
      </c>
      <c r="C136" s="8" t="n">
        <v>4832</v>
      </c>
      <c r="D136" s="6" t="inlineStr">
        <is>
          <t>km</t>
        </is>
      </c>
      <c r="E136" s="6" t="inlineStr">
        <is>
          <t>transmission</t>
        </is>
      </c>
      <c r="F136" s="6" t="inlineStr">
        <is>
          <t>ANDE</t>
        </is>
      </c>
      <c r="G136" s="6" t="inlineStr">
        <is>
          <t>OFFICIAL_PRIMARY</t>
        </is>
      </c>
      <c r="H136" s="7" t="inlineStr">
        <is>
          <t>https://www.ande.gov.py/finanzas/2.%20COMPILACION%20ESTADISTICA%202003-2023/ANDE%20-%20Compilacion%20Estadistica%202003-2023.pdf</t>
        </is>
      </c>
      <c r="I136" s="4" t="inlineStr"/>
    </row>
    <row r="137">
      <c r="A137" s="8" t="n">
        <v>2022</v>
      </c>
      <c r="B137" s="6" t="inlineStr">
        <is>
          <t>TX_LINE_66KV</t>
        </is>
      </c>
      <c r="C137" s="8" t="n">
        <v>1403</v>
      </c>
      <c r="D137" s="6" t="inlineStr">
        <is>
          <t>km</t>
        </is>
      </c>
      <c r="E137" s="6" t="inlineStr">
        <is>
          <t>transmission</t>
        </is>
      </c>
      <c r="F137" s="6" t="inlineStr">
        <is>
          <t>ANDE</t>
        </is>
      </c>
      <c r="G137" s="6" t="inlineStr">
        <is>
          <t>OFFICIAL_PRIMARY</t>
        </is>
      </c>
      <c r="H137" s="7" t="inlineStr">
        <is>
          <t>https://www.ande.gov.py/finanzas/2.%20COMPILACION%20ESTADISTICA%202003-2023/ANDE%20-%20Compilacion%20Estadistica%202003-2023.pdf</t>
        </is>
      </c>
      <c r="I137" s="4" t="inlineStr"/>
    </row>
    <row r="138">
      <c r="A138" s="8" t="n">
        <v>2022</v>
      </c>
      <c r="B138" s="6" t="inlineStr">
        <is>
          <t>TX_TRANSFORMATION_CAPACITY</t>
        </is>
      </c>
      <c r="C138" s="8" t="n">
        <v>7373</v>
      </c>
      <c r="D138" s="6" t="inlineStr">
        <is>
          <t>MVA</t>
        </is>
      </c>
      <c r="E138" s="6" t="inlineStr">
        <is>
          <t>transmission</t>
        </is>
      </c>
      <c r="F138" s="6" t="inlineStr">
        <is>
          <t>ANDE</t>
        </is>
      </c>
      <c r="G138" s="6" t="inlineStr">
        <is>
          <t>OFFICIAL_PRIMARY</t>
        </is>
      </c>
      <c r="H138" s="7" t="inlineStr">
        <is>
          <t>https://www.ande.gov.py/finanzas/2.%20COMPILACION%20ESTADISTICA%202003-2023/ANDE%20-%20Compilacion%20Estadistica%202003-2023.pdf</t>
        </is>
      </c>
      <c r="I138" s="4" t="inlineStr"/>
    </row>
    <row r="139">
      <c r="A139" s="8" t="n">
        <v>2022</v>
      </c>
      <c r="B139" s="6" t="inlineStr">
        <is>
          <t>DIST_MEDIUM_VOLTAGE_NETWORK</t>
        </is>
      </c>
      <c r="C139" s="8" t="n">
        <v>71123</v>
      </c>
      <c r="D139" s="6" t="inlineStr">
        <is>
          <t>km</t>
        </is>
      </c>
      <c r="E139" s="6" t="inlineStr">
        <is>
          <t>distribution</t>
        </is>
      </c>
      <c r="F139" s="6" t="inlineStr">
        <is>
          <t>ANDE</t>
        </is>
      </c>
      <c r="G139" s="6" t="inlineStr">
        <is>
          <t>OFFICIAL_PRIMARY</t>
        </is>
      </c>
      <c r="H139" s="7" t="inlineStr">
        <is>
          <t>https://www.ande.gov.py/finanzas/2.%20COMPILACION%20ESTADISTICA%202003-2023/ANDE%20-%20Compilacion%20Estadistica%202003-2023.pdf</t>
        </is>
      </c>
      <c r="I139" s="4" t="inlineStr">
        <is>
          <t>Ruptura metodologica desde 2014 por inclusion de obras de autoconstruccion/uso exclusivo.</t>
        </is>
      </c>
    </row>
    <row r="140">
      <c r="A140" s="8" t="n">
        <v>2022</v>
      </c>
      <c r="B140" s="6" t="inlineStr">
        <is>
          <t>DIST_TRANSFORMERS_QTY</t>
        </is>
      </c>
      <c r="C140" s="8" t="n">
        <v>104598</v>
      </c>
      <c r="D140" s="6" t="inlineStr">
        <is>
          <t>count</t>
        </is>
      </c>
      <c r="E140" s="6" t="inlineStr">
        <is>
          <t>distribution</t>
        </is>
      </c>
      <c r="F140" s="6" t="inlineStr">
        <is>
          <t>ANDE</t>
        </is>
      </c>
      <c r="G140" s="6" t="inlineStr">
        <is>
          <t>OFFICIAL_PRIMARY</t>
        </is>
      </c>
      <c r="H140" s="7" t="inlineStr">
        <is>
          <t>https://www.ande.gov.py/finanzas/2.%20COMPILACION%20ESTADISTICA%202003-2023/ANDE%20-%20Compilacion%20Estadistica%202003-2023.pdf</t>
        </is>
      </c>
      <c r="I140" s="4" t="inlineStr">
        <is>
          <t>Ruptura metodologica desde 2014 por inclusion de obras de autoconstruccion/uso exclusivo.</t>
        </is>
      </c>
    </row>
    <row r="141">
      <c r="A141" s="8" t="n">
        <v>2022</v>
      </c>
      <c r="B141" s="6" t="inlineStr">
        <is>
          <t>DIST_TRANSFORMERS_CAPACITY</t>
        </is>
      </c>
      <c r="C141" s="8" t="n">
        <v>8149</v>
      </c>
      <c r="D141" s="6" t="inlineStr">
        <is>
          <t>MVA</t>
        </is>
      </c>
      <c r="E141" s="6" t="inlineStr">
        <is>
          <t>distribution</t>
        </is>
      </c>
      <c r="F141" s="6" t="inlineStr">
        <is>
          <t>ANDE</t>
        </is>
      </c>
      <c r="G141" s="6" t="inlineStr">
        <is>
          <t>OFFICIAL_PRIMARY</t>
        </is>
      </c>
      <c r="H141" s="7" t="inlineStr">
        <is>
          <t>https://www.ande.gov.py/finanzas/2.%20COMPILACION%20ESTADISTICA%202003-2023/ANDE%20-%20Compilacion%20Estadistica%202003-2023.pdf</t>
        </is>
      </c>
      <c r="I141" s="4" t="inlineStr">
        <is>
          <t>Ruptura metodologica desde 2014 por inclusion de obras de autoconstruccion/uso exclusivo.</t>
        </is>
      </c>
    </row>
    <row r="142">
      <c r="A142" s="8" t="n">
        <v>2023</v>
      </c>
      <c r="B142" s="6" t="inlineStr">
        <is>
          <t>TX_LINE_500KV</t>
        </is>
      </c>
      <c r="C142" s="8" t="n">
        <v>835</v>
      </c>
      <c r="D142" s="6" t="inlineStr">
        <is>
          <t>km</t>
        </is>
      </c>
      <c r="E142" s="6" t="inlineStr">
        <is>
          <t>transmission</t>
        </is>
      </c>
      <c r="F142" s="6" t="inlineStr">
        <is>
          <t>ANDE</t>
        </is>
      </c>
      <c r="G142" s="6" t="inlineStr">
        <is>
          <t>OFFICIAL_PRIMARY</t>
        </is>
      </c>
      <c r="H142" s="7" t="inlineStr">
        <is>
          <t>https://www.ande.gov.py/finanzas/2.%20COMPILACION%20ESTADISTICA%202003-2023/ANDE%20-%20Compilacion%20Estadistica%202003-2023.pdf</t>
        </is>
      </c>
      <c r="I142" s="4" t="inlineStr"/>
    </row>
    <row r="143">
      <c r="A143" s="8" t="n">
        <v>2023</v>
      </c>
      <c r="B143" s="6" t="inlineStr">
        <is>
          <t>TX_LINE_220KV</t>
        </is>
      </c>
      <c r="C143" s="8" t="n">
        <v>4862</v>
      </c>
      <c r="D143" s="6" t="inlineStr">
        <is>
          <t>km</t>
        </is>
      </c>
      <c r="E143" s="6" t="inlineStr">
        <is>
          <t>transmission</t>
        </is>
      </c>
      <c r="F143" s="6" t="inlineStr">
        <is>
          <t>ANDE</t>
        </is>
      </c>
      <c r="G143" s="6" t="inlineStr">
        <is>
          <t>OFFICIAL_PRIMARY</t>
        </is>
      </c>
      <c r="H143" s="7" t="inlineStr">
        <is>
          <t>https://www.ande.gov.py/finanzas/2.%20COMPILACION%20ESTADISTICA%202003-2023/ANDE%20-%20Compilacion%20Estadistica%202003-2023.pdf</t>
        </is>
      </c>
      <c r="I143" s="4" t="inlineStr"/>
    </row>
    <row r="144">
      <c r="A144" s="8" t="n">
        <v>2023</v>
      </c>
      <c r="B144" s="6" t="inlineStr">
        <is>
          <t>TX_LINE_66KV</t>
        </is>
      </c>
      <c r="C144" s="8" t="n">
        <v>1431</v>
      </c>
      <c r="D144" s="6" t="inlineStr">
        <is>
          <t>km</t>
        </is>
      </c>
      <c r="E144" s="6" t="inlineStr">
        <is>
          <t>transmission</t>
        </is>
      </c>
      <c r="F144" s="6" t="inlineStr">
        <is>
          <t>ANDE</t>
        </is>
      </c>
      <c r="G144" s="6" t="inlineStr">
        <is>
          <t>OFFICIAL_PRIMARY</t>
        </is>
      </c>
      <c r="H144" s="7" t="inlineStr">
        <is>
          <t>https://www.ande.gov.py/finanzas/2.%20COMPILACION%20ESTADISTICA%202003-2023/ANDE%20-%20Compilacion%20Estadistica%202003-2023.pdf</t>
        </is>
      </c>
      <c r="I144" s="4" t="inlineStr"/>
    </row>
    <row r="145">
      <c r="A145" s="8" t="n">
        <v>2023</v>
      </c>
      <c r="B145" s="6" t="inlineStr">
        <is>
          <t>TX_TRANSFORMATION_CAPACITY</t>
        </is>
      </c>
      <c r="C145" s="8" t="n">
        <v>7840</v>
      </c>
      <c r="D145" s="6" t="inlineStr">
        <is>
          <t>MVA</t>
        </is>
      </c>
      <c r="E145" s="6" t="inlineStr">
        <is>
          <t>transmission</t>
        </is>
      </c>
      <c r="F145" s="6" t="inlineStr">
        <is>
          <t>ANDE</t>
        </is>
      </c>
      <c r="G145" s="6" t="inlineStr">
        <is>
          <t>OFFICIAL_PRIMARY</t>
        </is>
      </c>
      <c r="H145" s="7" t="inlineStr">
        <is>
          <t>https://www.ande.gov.py/finanzas/2.%20COMPILACION%20ESTADISTICA%202003-2023/ANDE%20-%20Compilacion%20Estadistica%202003-2023.pdf</t>
        </is>
      </c>
      <c r="I145" s="4" t="inlineStr"/>
    </row>
    <row r="146">
      <c r="A146" s="8" t="n">
        <v>2023</v>
      </c>
      <c r="B146" s="6" t="inlineStr">
        <is>
          <t>DIST_MEDIUM_VOLTAGE_NETWORK</t>
        </is>
      </c>
      <c r="C146" s="8" t="n">
        <v>72075</v>
      </c>
      <c r="D146" s="6" t="inlineStr">
        <is>
          <t>km</t>
        </is>
      </c>
      <c r="E146" s="6" t="inlineStr">
        <is>
          <t>distribution</t>
        </is>
      </c>
      <c r="F146" s="6" t="inlineStr">
        <is>
          <t>ANDE</t>
        </is>
      </c>
      <c r="G146" s="6" t="inlineStr">
        <is>
          <t>OFFICIAL_PRIMARY</t>
        </is>
      </c>
      <c r="H146" s="7" t="inlineStr">
        <is>
          <t>https://www.ande.gov.py/finanzas/2.%20COMPILACION%20ESTADISTICA%202003-2023/ANDE%20-%20Compilacion%20Estadistica%202003-2023.pdf</t>
        </is>
      </c>
      <c r="I146" s="4" t="inlineStr">
        <is>
          <t>Ruptura metodologica desde 2014 por inclusion de obras de autoconstruccion/uso exclusivo.</t>
        </is>
      </c>
    </row>
    <row r="147">
      <c r="A147" s="8" t="n">
        <v>2023</v>
      </c>
      <c r="B147" s="6" t="inlineStr">
        <is>
          <t>DIST_TRANSFORMERS_QTY</t>
        </is>
      </c>
      <c r="C147" s="8" t="n">
        <v>108040</v>
      </c>
      <c r="D147" s="6" t="inlineStr">
        <is>
          <t>count</t>
        </is>
      </c>
      <c r="E147" s="6" t="inlineStr">
        <is>
          <t>distribution</t>
        </is>
      </c>
      <c r="F147" s="6" t="inlineStr">
        <is>
          <t>ANDE</t>
        </is>
      </c>
      <c r="G147" s="6" t="inlineStr">
        <is>
          <t>OFFICIAL_PRIMARY</t>
        </is>
      </c>
      <c r="H147" s="7" t="inlineStr">
        <is>
          <t>https://www.ande.gov.py/finanzas/2.%20COMPILACION%20ESTADISTICA%202003-2023/ANDE%20-%20Compilacion%20Estadistica%202003-2023.pdf</t>
        </is>
      </c>
      <c r="I147" s="4" t="inlineStr">
        <is>
          <t>Ruptura metodologica desde 2014 por inclusion de obras de autoconstruccion/uso exclusivo.</t>
        </is>
      </c>
    </row>
    <row r="148">
      <c r="A148" s="8" t="n">
        <v>2023</v>
      </c>
      <c r="B148" s="6" t="inlineStr">
        <is>
          <t>DIST_TRANSFORMERS_CAPACITY</t>
        </is>
      </c>
      <c r="C148" s="8" t="n">
        <v>8391</v>
      </c>
      <c r="D148" s="6" t="inlineStr">
        <is>
          <t>MVA</t>
        </is>
      </c>
      <c r="E148" s="6" t="inlineStr">
        <is>
          <t>distribution</t>
        </is>
      </c>
      <c r="F148" s="6" t="inlineStr">
        <is>
          <t>ANDE</t>
        </is>
      </c>
      <c r="G148" s="6" t="inlineStr">
        <is>
          <t>OFFICIAL_PRIMARY</t>
        </is>
      </c>
      <c r="H148" s="7" t="inlineStr">
        <is>
          <t>https://www.ande.gov.py/finanzas/2.%20COMPILACION%20ESTADISTICA%202003-2023/ANDE%20-%20Compilacion%20Estadistica%202003-2023.pdf</t>
        </is>
      </c>
      <c r="I148" s="4" t="inlineStr">
        <is>
          <t>Ruptura metodologica desde 2014 por inclusion de obras de autoconstruccion/uso exclusivo.</t>
        </is>
      </c>
    </row>
    <row r="149">
      <c r="A149" s="8" t="n">
        <v>1968</v>
      </c>
      <c r="B149" s="6" t="inlineStr">
        <is>
          <t>ACARAY_INSTALLED_CAPACITY_STAGE1</t>
        </is>
      </c>
      <c r="C149" s="8" t="n">
        <v>45</v>
      </c>
      <c r="D149" s="6" t="inlineStr">
        <is>
          <t>MW</t>
        </is>
      </c>
      <c r="E149" s="6" t="inlineStr">
        <is>
          <t>generation</t>
        </is>
      </c>
      <c r="F149" s="6" t="inlineStr">
        <is>
          <t>ANDE</t>
        </is>
      </c>
      <c r="G149" s="6" t="inlineStr">
        <is>
          <t>OFFICIAL_PRIMARY</t>
        </is>
      </c>
      <c r="H149" s="7" t="inlineStr">
        <is>
          <t>https://www.ande.gov.py/documentos/plan_maestro/PM_2016_2025_Gen_Trans_Distrib_Telematica.pdf</t>
        </is>
      </c>
      <c r="I149" s="4" t="inlineStr">
        <is>
          <t>Primera etapa inaugurada 16/12/1968; obras preparadas para 90 MW.</t>
        </is>
      </c>
    </row>
    <row r="150">
      <c r="A150" s="8" t="n">
        <v>1969</v>
      </c>
      <c r="B150" s="6" t="inlineStr">
        <is>
          <t>ACARAY_COPEL_INTERCONNECTION</t>
        </is>
      </c>
      <c r="C150" s="8" t="n">
        <v>138</v>
      </c>
      <c r="D150" s="6" t="inlineStr">
        <is>
          <t>kV</t>
        </is>
      </c>
      <c r="E150" s="6" t="inlineStr">
        <is>
          <t>interconnection</t>
        </is>
      </c>
      <c r="F150" s="6" t="inlineStr">
        <is>
          <t>ANDE</t>
        </is>
      </c>
      <c r="G150" s="6" t="inlineStr">
        <is>
          <t>OFFICIAL_PRIMARY</t>
        </is>
      </c>
      <c r="H150" s="7" t="inlineStr">
        <is>
          <t>https://www.ande.gov.py/interna.php?id=8362</t>
        </is>
      </c>
      <c r="I150" s="4" t="inlineStr">
        <is>
          <t>Contrato ANDE-COPEL desde 03/12/1969; finalizo 31/12/2014.</t>
        </is>
      </c>
    </row>
  </sheetData>
  <autoFilter ref="A1:I150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6" customWidth="1" min="3" max="3"/>
    <col width="48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5" t="inlineStr">
        <is>
          <t>metric_code</t>
        </is>
      </c>
      <c r="B1" s="5" t="inlineStr">
        <is>
          <t>name</t>
        </is>
      </c>
      <c r="C1" s="5" t="inlineStr">
        <is>
          <t>unit</t>
        </is>
      </c>
      <c r="D1" s="5" t="inlineStr">
        <is>
          <t>definition</t>
        </is>
      </c>
      <c r="E1" s="5" t="inlineStr">
        <is>
          <t>source</t>
        </is>
      </c>
      <c r="F1" s="5" t="inlineStr">
        <is>
          <t>grain</t>
        </is>
      </c>
      <c r="G1" s="5" t="inlineStr">
        <is>
          <t>class</t>
        </is>
      </c>
    </row>
    <row r="2">
      <c r="A2" s="6" t="inlineStr">
        <is>
          <t>PY_CONSUMPTION_TREND</t>
        </is>
      </c>
      <c r="B2" s="6" t="inlineStr">
        <is>
          <t>Consumo anual Paraguay</t>
        </is>
      </c>
      <c r="C2" s="6" t="inlineStr">
        <is>
          <t>MWh</t>
        </is>
      </c>
      <c r="D2" s="6" t="inlineStr">
        <is>
          <t>Suma/valor anual oficial de energia SIN.</t>
        </is>
      </c>
      <c r="E2" s="6" t="inlineStr">
        <is>
          <t>ANDE</t>
        </is>
      </c>
      <c r="F2" s="4" t="inlineStr">
        <is>
          <t>year</t>
        </is>
      </c>
      <c r="G2" s="4" t="inlineStr">
        <is>
          <t>Primary KPI</t>
        </is>
      </c>
    </row>
    <row r="3">
      <c r="A3" s="6" t="inlineStr">
        <is>
          <t>PY_DEMAND_PEAK</t>
        </is>
      </c>
      <c r="B3" s="6" t="inlineStr">
        <is>
          <t>Demanda maxima Paraguay</t>
        </is>
      </c>
      <c r="C3" s="6" t="inlineStr">
        <is>
          <t>MW</t>
        </is>
      </c>
      <c r="D3" s="6" t="inlineStr">
        <is>
          <t>Maximo de potencia del periodo.</t>
        </is>
      </c>
      <c r="E3" s="6" t="inlineStr">
        <is>
          <t>ANDE</t>
        </is>
      </c>
      <c r="F3" s="4" t="inlineStr">
        <is>
          <t>event/month/year</t>
        </is>
      </c>
      <c r="G3" s="4" t="inlineStr">
        <is>
          <t>Primary KPI</t>
        </is>
      </c>
    </row>
    <row r="4">
      <c r="A4" s="6" t="inlineStr">
        <is>
          <t>ITAIPU_DEPENDENCY</t>
        </is>
      </c>
      <c r="B4" s="6" t="inlineStr">
        <is>
          <t>Dependencia Itaipu</t>
        </is>
      </c>
      <c r="C4" s="6" t="inlineStr">
        <is>
          <t>percent</t>
        </is>
      </c>
      <c r="D4" s="6" t="inlineStr">
        <is>
          <t>Energia Itaipu-&gt;PY / energia total abastecida PY * 100.</t>
        </is>
      </c>
      <c r="E4" s="6" t="inlineStr">
        <is>
          <t>ANDE/ONS/ITAIPU</t>
        </is>
      </c>
      <c r="F4" s="4" t="inlineStr">
        <is>
          <t>hour/day/month/year</t>
        </is>
      </c>
      <c r="G4" s="4" t="inlineStr">
        <is>
          <t>Derived</t>
        </is>
      </c>
    </row>
    <row r="5">
      <c r="A5" s="6" t="inlineStr">
        <is>
          <t>YACYRETA_DEPENDENCY</t>
        </is>
      </c>
      <c r="B5" s="6" t="inlineStr">
        <is>
          <t>Dependencia Yacyreta</t>
        </is>
      </c>
      <c r="C5" s="6" t="inlineStr">
        <is>
          <t>percent</t>
        </is>
      </c>
      <c r="D5" s="6" t="inlineStr">
        <is>
          <t>Energia Yacyreta-&gt;PY / energia total abastecida PY * 100.</t>
        </is>
      </c>
      <c r="E5" s="6" t="inlineStr">
        <is>
          <t>ANDE/EBY</t>
        </is>
      </c>
      <c r="F5" s="4" t="inlineStr">
        <is>
          <t>hour/day/month/year</t>
        </is>
      </c>
      <c r="G5" s="4" t="inlineStr">
        <is>
          <t>Derived</t>
        </is>
      </c>
    </row>
    <row r="6">
      <c r="A6" s="6" t="inlineStr">
        <is>
          <t>ACARAY_SHARE</t>
        </is>
      </c>
      <c r="B6" s="6" t="inlineStr">
        <is>
          <t>Participacion Acaray</t>
        </is>
      </c>
      <c r="C6" s="6" t="inlineStr">
        <is>
          <t>percent</t>
        </is>
      </c>
      <c r="D6" s="6" t="inlineStr">
        <is>
          <t>Energia Acaray-&gt;PY / energia total abastecida PY * 100.</t>
        </is>
      </c>
      <c r="E6" s="6" t="inlineStr">
        <is>
          <t>ANDE</t>
        </is>
      </c>
      <c r="F6" s="4" t="inlineStr">
        <is>
          <t>month/year</t>
        </is>
      </c>
      <c r="G6" s="4" t="inlineStr">
        <is>
          <t>Derived</t>
        </is>
      </c>
    </row>
    <row r="7">
      <c r="A7" s="6" t="inlineStr">
        <is>
          <t>TRANSMISSION_LOSS_RATE</t>
        </is>
      </c>
      <c r="B7" s="6" t="inlineStr">
        <is>
          <t>Perdidas de transmision / energia SIN</t>
        </is>
      </c>
      <c r="C7" s="6" t="inlineStr">
        <is>
          <t>percent</t>
        </is>
      </c>
      <c r="D7" s="6" t="inlineStr">
        <is>
          <t>Perdidas transmision / energia SIN * 100.</t>
        </is>
      </c>
      <c r="E7" s="6" t="inlineStr">
        <is>
          <t>ANDE</t>
        </is>
      </c>
      <c r="F7" s="4" t="inlineStr">
        <is>
          <t>year</t>
        </is>
      </c>
      <c r="G7" s="4" t="inlineStr">
        <is>
          <t>Derived; no equivale a perdidas totales ANDE</t>
        </is>
      </c>
    </row>
    <row r="8">
      <c r="A8" s="6" t="inlineStr">
        <is>
          <t>EXPORT_INTENSITY</t>
        </is>
      </c>
      <c r="B8" s="6" t="inlineStr">
        <is>
          <t>Intensidad exportadora ANDE</t>
        </is>
      </c>
      <c r="C8" s="6" t="inlineStr">
        <is>
          <t>percent</t>
        </is>
      </c>
      <c r="D8" s="6" t="inlineStr">
        <is>
          <t>Exportacion ANDE / energia bruta disponible * 100.</t>
        </is>
      </c>
      <c r="E8" s="6" t="inlineStr">
        <is>
          <t>ANDE</t>
        </is>
      </c>
      <c r="F8" s="4" t="inlineStr">
        <is>
          <t>year</t>
        </is>
      </c>
      <c r="G8" s="4" t="inlineStr">
        <is>
          <t>Derived</t>
        </is>
      </c>
    </row>
    <row r="9">
      <c r="A9" s="6" t="inlineStr">
        <is>
          <t>CESSION_UNIT_VALUE</t>
        </is>
      </c>
      <c r="B9" s="6" t="inlineStr">
        <is>
          <t>Valor unitario cesion</t>
        </is>
      </c>
      <c r="C9" s="6" t="inlineStr">
        <is>
          <t>USD/MWh</t>
        </is>
      </c>
      <c r="D9" s="6" t="inlineStr">
        <is>
          <t>Compensacion efectiva / volumen cedido.</t>
        </is>
      </c>
      <c r="E9" s="6" t="inlineStr">
        <is>
          <t>ITAIPU/EBY + derived</t>
        </is>
      </c>
      <c r="F9" s="4" t="inlineStr">
        <is>
          <t>period</t>
        </is>
      </c>
      <c r="G9" s="4" t="inlineStr">
        <is>
          <t>Mantener separado de precio de venta</t>
        </is>
      </c>
    </row>
    <row r="10">
      <c r="A10" s="6" t="inlineStr">
        <is>
          <t>STRUCTURAL_UTILIZATION</t>
        </is>
      </c>
      <c r="B10" s="6" t="inlineStr">
        <is>
          <t>Utilizacion estructural PY</t>
        </is>
      </c>
      <c r="C10" s="6" t="inlineStr">
        <is>
          <t>percent</t>
        </is>
      </c>
      <c r="D10" s="6" t="inlineStr">
        <is>
          <t>Demanda anual / referencia de energia estructural disponible * 100.</t>
        </is>
      </c>
      <c r="E10" s="6" t="inlineStr">
        <is>
          <t>ANDE + EnergiaPY</t>
        </is>
      </c>
      <c r="F10" s="4" t="inlineStr">
        <is>
          <t>year</t>
        </is>
      </c>
      <c r="G10" s="4" t="inlineStr">
        <is>
          <t>Scenario metric</t>
        </is>
      </c>
    </row>
    <row r="11">
      <c r="A11" s="6" t="inlineStr">
        <is>
          <t>ENERGY_EXHAUSTION_HORIZON</t>
        </is>
      </c>
      <c r="B11" s="6" t="inlineStr">
        <is>
          <t>Horizonte 100% energia</t>
        </is>
      </c>
      <c r="C11" s="6" t="inlineStr">
        <is>
          <t>year</t>
        </is>
      </c>
      <c r="D11" s="6" t="inlineStr">
        <is>
          <t>Año en que demanda proyectada alcanza energia estructural disponible.</t>
        </is>
      </c>
      <c r="E11" s="6" t="inlineStr">
        <is>
          <t>EnergiaPY derived</t>
        </is>
      </c>
      <c r="F11" s="4" t="inlineStr">
        <is>
          <t>scenario</t>
        </is>
      </c>
      <c r="G11" s="4" t="inlineStr">
        <is>
          <t>No es pronostico deterministico</t>
        </is>
      </c>
    </row>
    <row r="12">
      <c r="A12" s="6" t="inlineStr">
        <is>
          <t>NORMAL_FOR_HOUR</t>
        </is>
      </c>
      <c r="B12" s="6" t="inlineStr">
        <is>
          <t>Normal EnergiaPY para la hora</t>
        </is>
      </c>
      <c r="C12" s="6" t="inlineStr">
        <is>
          <t>MW</t>
        </is>
      </c>
      <c r="D12" s="6" t="inlineStr">
        <is>
          <t>Mediana/promedio por hora, dia semana y mes sobre historico horario.</t>
        </is>
      </c>
      <c r="E12" s="6" t="inlineStr">
        <is>
          <t>ONS/CAMMESA/ANDE</t>
        </is>
      </c>
      <c r="F12" s="4" t="inlineStr">
        <is>
          <t>hour</t>
        </is>
      </c>
      <c r="G12" s="4" t="inlineStr">
        <is>
          <t>Disponible tras backfill horario</t>
        </is>
      </c>
    </row>
    <row r="13">
      <c r="A13" s="6" t="inlineStr">
        <is>
          <t>PRICE_GAP_CESSION_MARKET</t>
        </is>
      </c>
      <c r="B13" s="6" t="inlineStr">
        <is>
          <t>Brecha cesion vs mercado</t>
        </is>
      </c>
      <c r="C13" s="6" t="inlineStr">
        <is>
          <t>USD/MWh</t>
        </is>
      </c>
      <c r="D13" s="6" t="inlineStr">
        <is>
          <t>Referencia mercado - compensacion unitaria de cesion.</t>
        </is>
      </c>
      <c r="E13" s="6" t="inlineStr">
        <is>
          <t>Official + press reference</t>
        </is>
      </c>
      <c r="F13" s="4" t="inlineStr">
        <is>
          <t>period</t>
        </is>
      </c>
      <c r="G13" s="4" t="inlineStr">
        <is>
          <t>Contextual; no mezclar mercados/condiciones contractuales</t>
        </is>
      </c>
    </row>
    <row r="14">
      <c r="A14" t="inlineStr">
        <is>
          <t>RESIDENTIAL_AVG_TARIFF</t>
        </is>
      </c>
      <c r="B14" t="inlineStr">
        <is>
          <t>Tarifa media residencial ANDE</t>
        </is>
      </c>
      <c r="C14" t="inlineStr">
        <is>
          <t>Gs/kWh</t>
        </is>
      </c>
      <c r="D14" t="inlineStr">
        <is>
          <t>Precio medio anual efectivamente abonado por clientes residenciales, según ANDE.</t>
        </is>
      </c>
      <c r="E14" t="inlineStr">
        <is>
          <t>ANDE</t>
        </is>
      </c>
      <c r="F14" t="inlineStr">
        <is>
          <t>year</t>
        </is>
      </c>
      <c r="G14" t="inlineStr">
        <is>
          <t>Primary economic KPI</t>
        </is>
      </c>
    </row>
    <row r="15">
      <c r="A15" t="inlineStr">
        <is>
          <t>NATIONAL_AVG_TARIFF</t>
        </is>
      </c>
      <c r="B15" t="inlineStr">
        <is>
          <t>Tarifa media nacional ANDE</t>
        </is>
      </c>
      <c r="C15" t="inlineStr">
        <is>
          <t>Gs/kWh</t>
        </is>
      </c>
      <c r="D15" t="inlineStr">
        <is>
          <t>Precio medio anual del mercado nacional.</t>
        </is>
      </c>
      <c r="E15" t="inlineStr">
        <is>
          <t>ANDE</t>
        </is>
      </c>
      <c r="F15" t="inlineStr">
        <is>
          <t>year</t>
        </is>
      </c>
      <c r="G15" t="inlineStr">
        <is>
          <t>Primary economic KPI</t>
        </is>
      </c>
    </row>
    <row r="16">
      <c r="A16" t="inlineStr">
        <is>
          <t>DOMESTIC_EXPORT_PRICE_RATIO</t>
        </is>
      </c>
      <c r="B16" t="inlineStr">
        <is>
          <t>Relación tarifa residencial / exportación ANDE</t>
        </is>
      </c>
      <c r="C16" t="inlineStr">
        <is>
          <t>percent</t>
        </is>
      </c>
      <c r="D16" t="inlineStr">
        <is>
          <t>Tarifa media residencial / tarifa media de exportación ANDE del mismo periodo * 100.</t>
        </is>
      </c>
      <c r="E16" t="inlineStr">
        <is>
          <t>ANDE + EnergiaPY</t>
        </is>
      </c>
      <c r="F16" t="inlineStr">
        <is>
          <t>year</t>
        </is>
      </c>
      <c r="G16" t="inlineStr">
        <is>
          <t>Derived; no comparar con cesión binacional</t>
        </is>
      </c>
    </row>
    <row r="17">
      <c r="A17" t="inlineStr">
        <is>
          <t>REAL_RESIDENTIAL_TARIFF</t>
        </is>
      </c>
      <c r="B17" t="inlineStr">
        <is>
          <t>Tarifa residencial real</t>
        </is>
      </c>
      <c r="C17" t="inlineStr">
        <is>
          <t>PYG constant/kWh</t>
        </is>
      </c>
      <c r="D17" t="inlineStr">
        <is>
          <t>Tarifa media residencial deflactada por IPC BCP a año base definido.</t>
        </is>
      </c>
      <c r="E17" t="inlineStr">
        <is>
          <t>ANDE + BCP</t>
        </is>
      </c>
      <c r="F17" t="inlineStr">
        <is>
          <t>year</t>
        </is>
      </c>
      <c r="G17" t="inlineStr">
        <is>
          <t>Derived; pendiente backfill IPC</t>
        </is>
      </c>
    </row>
    <row r="18">
      <c r="A18" t="inlineStr">
        <is>
          <t>RESIDENTIAL_TARIFF_USD</t>
        </is>
      </c>
      <c r="B18" t="inlineStr">
        <is>
          <t>Tarifa residencial equivalente</t>
        </is>
      </c>
      <c r="C18" t="inlineStr">
        <is>
          <t>USD/MWh</t>
        </is>
      </c>
      <c r="D18" t="inlineStr">
        <is>
          <t>Tarifa residencial Gs/kWh convertida con tipo de cambio BCP consistente del periodo.</t>
        </is>
      </c>
      <c r="E18" t="inlineStr">
        <is>
          <t>ANDE + BCP</t>
        </is>
      </c>
      <c r="F18" t="inlineStr">
        <is>
          <t>month/year</t>
        </is>
      </c>
      <c r="G18" t="inlineStr">
        <is>
          <t>Derived; pendiente backfill FX</t>
        </is>
      </c>
    </row>
    <row r="19">
      <c r="A19" t="inlineStr">
        <is>
          <t>FX_PYG_USD</t>
        </is>
      </c>
      <c r="B19" t="inlineStr">
        <is>
          <t>Tipo de cambio USD/PYG</t>
        </is>
      </c>
      <c r="C19" t="inlineStr">
        <is>
          <t>PYG/USD</t>
        </is>
      </c>
      <c r="D19" t="inlineStr">
        <is>
          <t>Promedio anual para historicos; snapshot BCP para calculadoras actuales.</t>
        </is>
      </c>
      <c r="E19" t="inlineStr">
        <is>
          <t>BCP + WDI/IMF</t>
        </is>
      </c>
      <c r="F19" t="inlineStr">
        <is>
          <t>day/year</t>
        </is>
      </c>
      <c r="G19" t="inlineStr">
        <is>
          <t>Macro</t>
        </is>
      </c>
    </row>
    <row r="20">
      <c r="A20" t="inlineStr">
        <is>
          <t>INFLATION_YOY</t>
        </is>
      </c>
      <c r="B20" t="inlineStr">
        <is>
          <t>Inflacion IPC</t>
        </is>
      </c>
      <c r="C20" t="inlineStr">
        <is>
          <t>percent</t>
        </is>
      </c>
      <c r="D20" t="inlineStr">
        <is>
          <t>Variacion porcentual del IPC.</t>
        </is>
      </c>
      <c r="E20" t="inlineStr">
        <is>
          <t>BCP + WDI/IMF</t>
        </is>
      </c>
      <c r="F20" t="inlineStr">
        <is>
          <t>month/year</t>
        </is>
      </c>
      <c r="G20" t="inlineStr">
        <is>
          <t>Macro</t>
        </is>
      </c>
    </row>
    <row r="21">
      <c r="A21" t="inlineStr">
        <is>
          <t>TARIFF_REAL_2025</t>
        </is>
      </c>
      <c r="B21" t="inlineStr">
        <is>
          <t>Tarifa ANDE real 2025</t>
        </is>
      </c>
      <c r="C21" t="inlineStr">
        <is>
          <t>Gs 2025/kWh</t>
        </is>
      </c>
      <c r="D21" t="inlineStr">
        <is>
          <t>Tarifa nominal * IPC_2025 / IPC_periodo.</t>
        </is>
      </c>
      <c r="E21" t="inlineStr">
        <is>
          <t>ANDE + BCP/WDI</t>
        </is>
      </c>
      <c r="F21" t="inlineStr">
        <is>
          <t>year</t>
        </is>
      </c>
      <c r="G21" t="inlineStr">
        <is>
          <t>Derived</t>
        </is>
      </c>
    </row>
    <row r="22">
      <c r="A22" t="inlineStr">
        <is>
          <t>TARIFF_USD_MWH</t>
        </is>
      </c>
      <c r="B22" t="inlineStr">
        <is>
          <t>Tarifa ANDE equivalente USD/MWh</t>
        </is>
      </c>
      <c r="C22" t="inlineStr">
        <is>
          <t>USD/MWh</t>
        </is>
      </c>
      <c r="D22" t="inlineStr">
        <is>
          <t>Tarifa nominal Gs/kWh * 1000 / FX promedio anual.</t>
        </is>
      </c>
      <c r="E22" t="inlineStr">
        <is>
          <t>ANDE + BCP/WDI</t>
        </is>
      </c>
      <c r="F22" t="inlineStr">
        <is>
          <t>year</t>
        </is>
      </c>
      <c r="G22" t="inlineStr">
        <is>
          <t>Derived</t>
        </is>
      </c>
    </row>
    <row r="23">
      <c r="A23" t="inlineStr">
        <is>
          <t>ENERGY_PRICE_AFFORDABILITY</t>
        </is>
      </c>
      <c r="B23" t="inlineStr">
        <is>
          <t>Asequibilidad electrica</t>
        </is>
      </c>
      <c r="C23" t="inlineStr">
        <is>
          <t>index</t>
        </is>
      </c>
      <c r="D23" t="inlineStr">
        <is>
          <t>Tarifa residencial respecto a ingreso/PIB per capita o salario, cuando esas series esten incorporadas.</t>
        </is>
      </c>
      <c r="E23" t="inlineStr">
        <is>
          <t>ANDE + BCP/INE</t>
        </is>
      </c>
      <c r="F23" t="inlineStr">
        <is>
          <t>year</t>
        </is>
      </c>
      <c r="G23" t="inlineStr">
        <is>
          <t>Future derived</t>
        </is>
      </c>
    </row>
    <row r="24">
      <c r="A24" s="40" t="inlineStr">
        <is>
          <t>RESIDENTIAL_KWH_PER_CUSTOMER</t>
        </is>
      </c>
      <c r="B24" s="40" t="inlineStr">
        <is>
          <t>Residential billed use per customer</t>
        </is>
      </c>
      <c r="C24" s="40" t="inlineStr">
        <is>
          <t>kWh/customer/month</t>
        </is>
      </c>
      <c r="D24" s="40" t="inlineStr">
        <is>
          <t>Residential billed kWh / residential customers / 12.</t>
        </is>
      </c>
      <c r="E24" s="40" t="inlineStr">
        <is>
          <t>ANDE</t>
        </is>
      </c>
      <c r="F24" s="40" t="inlineStr">
        <is>
          <t>year</t>
        </is>
      </c>
      <c r="G24" s="40" t="inlineStr">
        <is>
          <t>Citizenship/driver</t>
        </is>
      </c>
    </row>
    <row r="25">
      <c r="A25" s="40" t="inlineStr">
        <is>
          <t>CUSTOMER_CATEGORY_ENERGY_SHARE</t>
        </is>
      </c>
      <c r="B25" s="40" t="inlineStr">
        <is>
          <t>Energy share by customer category</t>
        </is>
      </c>
      <c r="C25" s="40" t="inlineStr">
        <is>
          <t>percent</t>
        </is>
      </c>
      <c r="D25" s="40" t="inlineStr">
        <is>
          <t>Category billed kWh / national billed subtotal.</t>
        </is>
      </c>
      <c r="E25" s="40" t="inlineStr">
        <is>
          <t>ANDE</t>
        </is>
      </c>
      <c r="F25" s="40" t="inlineStr">
        <is>
          <t>year</t>
        </is>
      </c>
      <c r="G25" s="40" t="inlineStr">
        <is>
          <t>Demand composition</t>
        </is>
      </c>
    </row>
    <row r="26">
      <c r="A26" s="40" t="inlineStr">
        <is>
          <t>GCIE_ENERGY_SHARE</t>
        </is>
      </c>
      <c r="B26" s="40" t="inlineStr">
        <is>
          <t>Special intensive consumer energy share</t>
        </is>
      </c>
      <c r="C26" s="40" t="inlineStr">
        <is>
          <t>percent</t>
        </is>
      </c>
      <c r="D26" s="40" t="inlineStr">
        <is>
          <t>GCIE billed kWh / national billed subtotal.</t>
        </is>
      </c>
      <c r="E26" s="40" t="inlineStr">
        <is>
          <t>ANDE</t>
        </is>
      </c>
      <c r="F26" s="40" t="inlineStr">
        <is>
          <t>year</t>
        </is>
      </c>
      <c r="G26" s="40" t="inlineStr">
        <is>
          <t>Demand driver</t>
        </is>
      </c>
    </row>
    <row r="27">
      <c r="A27" s="40" t="inlineStr">
        <is>
          <t>ELECTRICITY_AFFORDABILITY_PROXY</t>
        </is>
      </c>
      <c r="B27" s="40" t="inlineStr">
        <is>
          <t>Electricity affordability proxy</t>
        </is>
      </c>
      <c r="C27" s="40" t="inlineStr">
        <is>
          <t>percent</t>
        </is>
      </c>
      <c r="D27" s="40" t="inlineStr">
        <is>
          <t>Estimated representative electricity bill / household income; clearly label assumptions.</t>
        </is>
      </c>
      <c r="E27" s="40" t="inlineStr">
        <is>
          <t>ANDE + INE</t>
        </is>
      </c>
      <c r="F27" s="40" t="inlineStr">
        <is>
          <t>year</t>
        </is>
      </c>
      <c r="G27" s="40" t="inlineStr">
        <is>
          <t>Citizenship derived</t>
        </is>
      </c>
    </row>
    <row r="28">
      <c r="A28" s="40" t="inlineStr">
        <is>
          <t>HYDRO_ENERGY_CONTEXT</t>
        </is>
      </c>
      <c r="B28" s="40" t="inlineStr">
        <is>
          <t>Hydro-energy context</t>
        </is>
      </c>
      <c r="C28" s="40" t="inlineStr">
        <is>
          <t>index</t>
        </is>
      </c>
      <c r="D28" s="40" t="inlineStr">
        <is>
          <t>Hydrology/reservoir/flow features linked to generation; model definition pending historical backfill.</t>
        </is>
      </c>
      <c r="E28" s="40" t="inlineStr">
        <is>
          <t>EBY/ITAIPU/ONS</t>
        </is>
      </c>
      <c r="F28" s="40" t="inlineStr">
        <is>
          <t>hour/day</t>
        </is>
      </c>
      <c r="G28" s="40" t="inlineStr">
        <is>
          <t>Predictive driver</t>
        </is>
      </c>
    </row>
    <row r="29">
      <c r="A29" s="40" t="inlineStr">
        <is>
          <t>ENSO_STATE</t>
        </is>
      </c>
      <c r="B29" s="40" t="inlineStr">
        <is>
          <t>ENSO state/probability</t>
        </is>
      </c>
      <c r="C29" s="40" t="inlineStr">
        <is>
          <t>percent / index</t>
        </is>
      </c>
      <c r="D29" s="40" t="inlineStr">
        <is>
          <t>NOAA CPC RONI probability and strength context.</t>
        </is>
      </c>
      <c r="E29" s="40" t="inlineStr">
        <is>
          <t>NOAA CPC</t>
        </is>
      </c>
      <c r="F29" s="40" t="inlineStr">
        <is>
          <t>month/season</t>
        </is>
      </c>
      <c r="G29" s="40" t="inlineStr">
        <is>
          <t>Climate driver</t>
        </is>
      </c>
    </row>
    <row r="30">
      <c r="A30" s="40" t="inlineStr">
        <is>
          <t>DEMAND_MACRO_CONTEXT</t>
        </is>
      </c>
      <c r="B30" s="40" t="inlineStr">
        <is>
          <t>Demand macro context</t>
        </is>
      </c>
      <c r="C30" s="40" t="inlineStr">
        <is>
          <t>percent</t>
        </is>
      </c>
      <c r="D30" s="40" t="inlineStr">
        <is>
          <t>IMAEP and sector growth used as exogenous demand features.</t>
        </is>
      </c>
      <c r="E30" s="40" t="inlineStr">
        <is>
          <t>BCP</t>
        </is>
      </c>
      <c r="F30" s="40" t="inlineStr">
        <is>
          <t>month</t>
        </is>
      </c>
      <c r="G30" s="40" t="inlineStr">
        <is>
          <t>Demand driver</t>
        </is>
      </c>
    </row>
    <row r="31">
      <c r="A31" s="40" t="inlineStr">
        <is>
          <t>GRID_CONTINUITY_DEP</t>
        </is>
      </c>
      <c r="B31" s="40" t="inlineStr">
        <is>
          <t>DEP quality indicator</t>
        </is>
      </c>
      <c r="C31" s="40" t="inlineStr">
        <is>
          <t>hours</t>
        </is>
      </c>
      <c r="D31" s="40" t="inlineStr">
        <is>
          <t>Equivalent interruption duration weighted by affected power.</t>
        </is>
      </c>
      <c r="E31" s="40" t="inlineStr">
        <is>
          <t>ANDE</t>
        </is>
      </c>
      <c r="F31" s="40" t="inlineStr">
        <is>
          <t>season/year</t>
        </is>
      </c>
      <c r="G31" s="40" t="inlineStr">
        <is>
          <t>Grid quality</t>
        </is>
      </c>
    </row>
    <row r="32">
      <c r="A32" s="40" t="inlineStr">
        <is>
          <t>GRID_CONTINUITY_FEP</t>
        </is>
      </c>
      <c r="B32" s="40" t="inlineStr">
        <is>
          <t>FEP quality indicator</t>
        </is>
      </c>
      <c r="C32" s="40" t="inlineStr">
        <is>
          <t>interruptions_equivalent</t>
        </is>
      </c>
      <c r="D32" s="40" t="inlineStr">
        <is>
          <t>Equivalent interruption frequency weighted by affected power.</t>
        </is>
      </c>
      <c r="E32" s="40" t="inlineStr">
        <is>
          <t>ANDE</t>
        </is>
      </c>
      <c r="F32" s="40" t="inlineStr">
        <is>
          <t>season/year</t>
        </is>
      </c>
      <c r="G32" s="40" t="inlineStr">
        <is>
          <t>Grid quality</t>
        </is>
      </c>
    </row>
    <row r="33">
      <c r="A33" s="40" t="inlineStr">
        <is>
          <t>DISTRIBUTION_LOSS_RATE</t>
        </is>
      </c>
      <c r="B33" s="40" t="inlineStr">
        <is>
          <t>Distribution loss rate</t>
        </is>
      </c>
      <c r="C33" s="40" t="inlineStr">
        <is>
          <t>percent</t>
        </is>
      </c>
      <c r="D33" s="40" t="inlineStr">
        <is>
          <t>ANDE distribution losses.</t>
        </is>
      </c>
      <c r="E33" s="40" t="inlineStr">
        <is>
          <t>ANDE</t>
        </is>
      </c>
      <c r="F33" s="40" t="inlineStr">
        <is>
          <t>year/month</t>
        </is>
      </c>
      <c r="G33" s="40" t="inlineStr">
        <is>
          <t>Grid efficiency</t>
        </is>
      </c>
    </row>
    <row r="34">
      <c r="A34" s="40" t="inlineStr">
        <is>
          <t>AC_PENETRATION</t>
        </is>
      </c>
      <c r="B34" s="40" t="inlineStr">
        <is>
          <t>Air conditioner penetration</t>
        </is>
      </c>
      <c r="C34" s="40" t="inlineStr">
        <is>
          <t>percent</t>
        </is>
      </c>
      <c r="D34" s="40" t="inlineStr">
        <is>
          <t>Dwellings with AC / occupied dwellings.</t>
        </is>
      </c>
      <c r="E34" s="40" t="inlineStr">
        <is>
          <t>INE</t>
        </is>
      </c>
      <c r="F34" s="40" t="inlineStr">
        <is>
          <t>census/year</t>
        </is>
      </c>
      <c r="G34" s="40" t="inlineStr">
        <is>
          <t>Demand structural driver</t>
        </is>
      </c>
    </row>
  </sheetData>
  <autoFilter ref="A1:G2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 ht="32" customHeight="1">
      <c r="A1" s="5" t="inlineStr">
        <is>
          <t>scenario</t>
        </is>
      </c>
      <c r="B1" s="5" t="inlineStr">
        <is>
          <t>base_year</t>
        </is>
      </c>
      <c r="C1" s="5" t="inlineStr">
        <is>
          <t>base_consumption_mwh</t>
        </is>
      </c>
      <c r="D1" s="5" t="inlineStr">
        <is>
          <t>structural_available_mwh</t>
        </is>
      </c>
      <c r="E1" s="5" t="inlineStr">
        <is>
          <t>annual_growth_rate</t>
        </is>
      </c>
      <c r="F1" s="5" t="inlineStr">
        <is>
          <t>utilization_base</t>
        </is>
      </c>
      <c r="G1" s="5" t="inlineStr">
        <is>
          <t>cross_year_100pct</t>
        </is>
      </c>
      <c r="H1" s="5" t="inlineStr">
        <is>
          <t>method</t>
        </is>
      </c>
      <c r="I1" s="5" t="inlineStr">
        <is>
          <t>notes</t>
        </is>
      </c>
    </row>
    <row r="2">
      <c r="A2" s="6" t="inlineStr">
        <is>
          <t>Conservador_ANDE_aprox</t>
        </is>
      </c>
      <c r="B2" s="6" t="n">
        <v>2025</v>
      </c>
      <c r="C2" s="6" t="n">
        <v>29418538</v>
      </c>
      <c r="D2" s="6" t="n">
        <v>58854000</v>
      </c>
      <c r="E2" s="6" t="n">
        <v>0.042</v>
      </c>
      <c r="F2" s="6" t="n">
        <v>0.4998562204777925</v>
      </c>
      <c r="G2" s="6" t="n">
        <v>2042</v>
      </c>
      <c r="H2" s="4" t="inlineStr">
        <is>
          <t>compound growth</t>
        </is>
      </c>
      <c r="I2" s="4" t="inlineStr">
        <is>
          <t>Escenario EnergiaPY; capacidad/energia estructural de referencia debe recalibrarse con hidrologia, derechos y nueva generacion.</t>
        </is>
      </c>
    </row>
    <row r="3">
      <c r="A3" s="6" t="inlineStr">
        <is>
          <t>Moderado</t>
        </is>
      </c>
      <c r="B3" s="6" t="n">
        <v>2025</v>
      </c>
      <c r="C3" s="6" t="n">
        <v>29418538</v>
      </c>
      <c r="D3" s="6" t="n">
        <v>58854000</v>
      </c>
      <c r="E3" s="6" t="n">
        <v>0.05</v>
      </c>
      <c r="F3" s="6" t="n">
        <v>0.4998562204777925</v>
      </c>
      <c r="G3" s="6" t="n">
        <v>2040</v>
      </c>
      <c r="H3" s="4" t="inlineStr">
        <is>
          <t>compound growth</t>
        </is>
      </c>
      <c r="I3" s="4" t="inlineStr">
        <is>
          <t>Escenario EnergiaPY; capacidad/energia estructural de referencia debe recalibrarse con hidrologia, derechos y nueva generacion.</t>
        </is>
      </c>
    </row>
    <row r="4">
      <c r="A4" s="6" t="inlineStr">
        <is>
          <t>Tendencia_2003_2025</t>
        </is>
      </c>
      <c r="B4" s="6" t="n">
        <v>2025</v>
      </c>
      <c r="C4" s="6" t="n">
        <v>29418538</v>
      </c>
      <c r="D4" s="6" t="n">
        <v>58854000</v>
      </c>
      <c r="E4" s="6" t="n">
        <v>0.07347491873984091</v>
      </c>
      <c r="F4" s="6" t="n">
        <v>0.4998562204777925</v>
      </c>
      <c r="G4" s="6" t="n">
        <v>2035</v>
      </c>
      <c r="H4" s="4" t="inlineStr">
        <is>
          <t>compound growth</t>
        </is>
      </c>
      <c r="I4" s="4" t="inlineStr">
        <is>
          <t>Escenario EnergiaPY; capacidad/energia estructural de referencia debe recalibrarse con hidrologia, derechos y nueva generacion.</t>
        </is>
      </c>
    </row>
    <row r="5">
      <c r="A5" s="6" t="inlineStr">
        <is>
          <t>Tendencia_2020_2025</t>
        </is>
      </c>
      <c r="B5" s="6" t="n">
        <v>2025</v>
      </c>
      <c r="C5" s="6" t="n">
        <v>29418538</v>
      </c>
      <c r="D5" s="6" t="n">
        <v>58854000</v>
      </c>
      <c r="E5" s="6" t="n">
        <v>0.1037846590671565</v>
      </c>
      <c r="F5" s="6" t="n">
        <v>0.4998562204777925</v>
      </c>
      <c r="G5" s="6" t="n">
        <v>2033</v>
      </c>
      <c r="H5" s="4" t="inlineStr">
        <is>
          <t>compound growth</t>
        </is>
      </c>
      <c r="I5" s="4" t="inlineStr">
        <is>
          <t>Escenario EnergiaPY; capacidad/energia estructural de referencia debe recalibrarse con hidrologia, derechos y nueva generacion.</t>
        </is>
      </c>
    </row>
    <row r="6">
      <c r="A6" s="6" t="inlineStr">
        <is>
          <t>Alto_2025</t>
        </is>
      </c>
      <c r="B6" s="6" t="n">
        <v>2025</v>
      </c>
      <c r="C6" s="6" t="n">
        <v>29418538</v>
      </c>
      <c r="D6" s="6" t="n">
        <v>58854000</v>
      </c>
      <c r="E6" s="6" t="n">
        <v>0.125</v>
      </c>
      <c r="F6" s="6" t="n">
        <v>0.4998562204777925</v>
      </c>
      <c r="G6" s="6" t="n">
        <v>2031</v>
      </c>
      <c r="H6" s="4" t="inlineStr">
        <is>
          <t>compound growth</t>
        </is>
      </c>
      <c r="I6" s="4" t="inlineStr">
        <is>
          <t>Escenario EnergiaPY; capacidad/energia estructural de referencia debe recalibrarse con hidrologia, derechos y nueva generacion.</t>
        </is>
      </c>
    </row>
    <row r="7">
      <c r="A7" s="6" t="inlineStr">
        <is>
          <t>Planificacion_ANDE_2043_anchor</t>
        </is>
      </c>
      <c r="B7" s="6" t="n">
        <v>2043</v>
      </c>
      <c r="C7" s="6" t="n">
        <v>57561000</v>
      </c>
      <c r="D7" s="6" t="n">
        <v>58854000</v>
      </c>
      <c r="E7" s="6" t="inlineStr"/>
      <c r="F7" s="6" t="n">
        <v>0.9780303802630238</v>
      </c>
      <c r="G7" s="6" t="inlineStr">
        <is>
          <t>2043~</t>
        </is>
      </c>
      <c r="H7" s="4" t="inlineStr">
        <is>
          <t>planning anchor</t>
        </is>
      </c>
      <c r="I7" s="4" t="inlineStr">
        <is>
          <t>Demanda 2043 de referencia del Plan Maestro; no es una tasa constante.</t>
        </is>
      </c>
    </row>
  </sheetData>
  <autoFilter ref="A1:I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  <col width="48" customWidth="1" min="7" max="7"/>
    <col width="48" customWidth="1" min="8" max="8"/>
  </cols>
  <sheetData>
    <row r="1" ht="32" customHeight="1">
      <c r="A1" s="5" t="inlineStr">
        <is>
          <t>issue_id</t>
        </is>
      </c>
      <c r="B1" s="5" t="inlineStr">
        <is>
          <t>severity</t>
        </is>
      </c>
      <c r="C1" s="5" t="inlineStr">
        <is>
          <t>area</t>
        </is>
      </c>
      <c r="D1" s="5" t="inlineStr">
        <is>
          <t>period</t>
        </is>
      </c>
      <c r="E1" s="5" t="inlineStr">
        <is>
          <t>issue</t>
        </is>
      </c>
      <c r="F1" s="5" t="inlineStr">
        <is>
          <t>evidence</t>
        </is>
      </c>
      <c r="G1" s="5" t="inlineStr">
        <is>
          <t>risk</t>
        </is>
      </c>
      <c r="H1" s="5" t="inlineStr">
        <is>
          <t>recommended_action</t>
        </is>
      </c>
    </row>
    <row r="2">
      <c r="A2" s="6" t="inlineStr">
        <is>
          <t>Q0001</t>
        </is>
      </c>
      <c r="B2" s="6" t="inlineStr">
        <is>
          <t>MEDIUM</t>
        </is>
      </c>
      <c r="C2" s="6" t="inlineStr">
        <is>
          <t>ANDE</t>
        </is>
      </c>
      <c r="D2" s="6" t="inlineStr">
        <is>
          <t>overlaps</t>
        </is>
      </c>
      <c r="E2" s="6" t="inlineStr">
        <is>
          <t>Historical revision overlap</t>
        </is>
      </c>
      <c r="F2" s="6" t="inlineStr">
        <is>
          <t>Compilaciones antiguas y posteriores presentan pequeñas diferencias en años solapados.</t>
        </is>
      </c>
      <c r="G2" s="4" t="inlineStr">
        <is>
          <t>Doble conteo o series inconsistentes.</t>
        </is>
      </c>
      <c r="H2" s="4" t="inlineStr">
        <is>
          <t>Usar canonical_flag y revision_priority; conservar fuente original para auditoria.</t>
        </is>
      </c>
    </row>
    <row r="3">
      <c r="A3" s="6" t="inlineStr">
        <is>
          <t>Q0002</t>
        </is>
      </c>
      <c r="B3" s="6" t="inlineStr">
        <is>
          <t>MEDIUM</t>
        </is>
      </c>
      <c r="C3" s="6" t="inlineStr">
        <is>
          <t>ANDE</t>
        </is>
      </c>
      <c r="D3" s="6" t="inlineStr">
        <is>
          <t>2026 Jan-May</t>
        </is>
      </c>
      <c r="E3" s="6" t="inlineStr">
        <is>
          <t>Published cumulative mismatch</t>
        </is>
      </c>
      <c r="F3" s="6" t="inlineStr">
        <is>
          <t>Acumulados ANDE 2026 no siempre igualan suma de meses publicados.</t>
        </is>
      </c>
      <c r="G3" s="4" t="inlineStr">
        <is>
          <t>YTD puede diferir segun fuente.</t>
        </is>
      </c>
      <c r="H3" s="4" t="inlineStr">
        <is>
          <t>No recalcular sobre el publicado; guardar ambos y mostrar metodologia.</t>
        </is>
      </c>
    </row>
    <row r="4">
      <c r="A4" s="6" t="inlineStr">
        <is>
          <t>Q0003</t>
        </is>
      </c>
      <c r="B4" s="6" t="inlineStr">
        <is>
          <t>HIGH</t>
        </is>
      </c>
      <c r="C4" s="6" t="inlineStr">
        <is>
          <t>ONS/CAMMESA</t>
        </is>
      </c>
      <c r="D4" s="6" t="inlineStr">
        <is>
          <t>hourly history</t>
        </is>
      </c>
      <c r="E4" s="6" t="inlineStr">
        <is>
          <t>Bulk data not yet imported</t>
        </is>
      </c>
      <c r="F4" s="6" t="inlineStr">
        <is>
          <t>Datasets oficiales fueron identificados pero sus binarios no estan incorporados en este paquete.</t>
        </is>
      </c>
      <c r="G4" s="4" t="inlineStr">
        <is>
          <t>No hay aun curva horaria completa de Itaipu/intercambios.</t>
        </is>
      </c>
      <c r="H4" s="4" t="inlineStr">
        <is>
          <t>Ejecutar collectors/backfill en Hostinger y validar checksums/filas.</t>
        </is>
      </c>
    </row>
    <row r="5">
      <c r="A5" s="6" t="inlineStr">
        <is>
          <t>Q0004</t>
        </is>
      </c>
      <c r="B5" s="6" t="inlineStr">
        <is>
          <t>MEDIUM</t>
        </is>
      </c>
      <c r="C5" s="6" t="inlineStr">
        <is>
          <t>Economic</t>
        </is>
      </c>
      <c r="D5" s="6" t="inlineStr">
        <is>
          <t>Itaipu cession</t>
        </is>
      </c>
      <c r="E5" s="6" t="inlineStr">
        <is>
          <t>Cession is not a spot sale</t>
        </is>
      </c>
      <c r="F5" s="6" t="inlineStr">
        <is>
          <t>Compensacion contractual por cesion no es precio de mercado.</t>
        </is>
      </c>
      <c r="G5" s="4" t="inlineStr">
        <is>
          <t>Comparaciones de precio pueden ser engañosas.</t>
        </is>
      </c>
      <c r="H5" s="4" t="inlineStr">
        <is>
          <t>Etiquetar cession_compensation separado de market_sale_price.</t>
        </is>
      </c>
    </row>
    <row r="6">
      <c r="A6" s="6" t="inlineStr">
        <is>
          <t>Q0005</t>
        </is>
      </c>
      <c r="B6" s="6" t="inlineStr">
        <is>
          <t>MEDIUM</t>
        </is>
      </c>
      <c r="C6" s="6" t="inlineStr">
        <is>
          <t>Economic</t>
        </is>
      </c>
      <c r="D6" s="6" t="inlineStr">
        <is>
          <t>Acaray Brazil 2024</t>
        </is>
      </c>
      <c r="E6" s="6" t="inlineStr">
        <is>
          <t>Tender offers are not executed sales</t>
        </is>
      </c>
      <c r="F6" s="6" t="inlineStr">
        <is>
          <t>Precios 7.73-21.03 USD/MWh son ofertas del concurso.</t>
        </is>
      </c>
      <c r="G6" s="4" t="inlineStr">
        <is>
          <t>Podrian confundirse con ingreso realizado.</t>
        </is>
      </c>
      <c r="H6" s="4" t="inlineStr">
        <is>
          <t>Mantener quality PRESS_SECONDARY/MARKET_OFFER hasta contrato/ejecucion verificable.</t>
        </is>
      </c>
    </row>
    <row r="7">
      <c r="A7" s="6" t="inlineStr">
        <is>
          <t>Q0006</t>
        </is>
      </c>
      <c r="B7" s="6" t="inlineStr">
        <is>
          <t>LOW</t>
        </is>
      </c>
      <c r="C7" s="6" t="inlineStr">
        <is>
          <t>Infrastructure</t>
        </is>
      </c>
      <c r="D7" s="6" t="inlineStr">
        <is>
          <t>2014+</t>
        </is>
      </c>
      <c r="E7" s="6" t="inlineStr">
        <is>
          <t>Methodology break distribution assets</t>
        </is>
      </c>
      <c r="F7" s="6" t="inlineStr">
        <is>
          <t>Serie ANDE incorpora autoconstruccion/uso exclusivo desde 2014.</t>
        </is>
      </c>
      <c r="G7" s="4" t="inlineStr">
        <is>
          <t>Saltos pueden no ser crecimiento organico.</t>
        </is>
      </c>
      <c r="H7" s="4" t="inlineStr">
        <is>
          <t>Mostrar nota de ruptura al graficar series.</t>
        </is>
      </c>
    </row>
    <row r="8">
      <c r="A8" s="6" t="inlineStr">
        <is>
          <t>Q0007</t>
        </is>
      </c>
      <c r="B8" s="6" t="inlineStr">
        <is>
          <t>MEDIUM</t>
        </is>
      </c>
      <c r="C8" s="6" t="inlineStr">
        <is>
          <t>GIS</t>
        </is>
      </c>
      <c r="D8" s="6" t="inlineStr">
        <is>
          <t>plant coordinates</t>
        </is>
      </c>
      <c r="E8" s="6" t="inlineStr">
        <is>
          <t>Reference coordinates</t>
        </is>
      </c>
      <c r="F8" s="6" t="inlineStr">
        <is>
          <t>Coordenadas actuales son de referencia, no capa GIS oficial validada.</t>
        </is>
      </c>
      <c r="G8" s="4" t="inlineStr">
        <is>
          <t>Desplazamiento visual del mapa.</t>
        </is>
      </c>
      <c r="H8" s="4" t="inlineStr">
        <is>
          <t>Sustituir por capa GIS oficial antes de produccion.</t>
        </is>
      </c>
    </row>
    <row r="9">
      <c r="A9" t="inlineStr">
        <is>
          <t>Q0008</t>
        </is>
      </c>
      <c r="B9" t="inlineStr">
        <is>
          <t>MEDIUM</t>
        </is>
      </c>
      <c r="C9" t="inlineStr">
        <is>
          <t>Macro/BCP</t>
        </is>
      </c>
      <c r="D9" t="inlineStr">
        <is>
          <t>1990-2025</t>
        </is>
      </c>
      <c r="E9" t="inlineStr">
        <is>
          <t>BCP raw historical series not directly ingested in current runtime</t>
        </is>
      </c>
      <c r="F9" t="inlineStr">
        <is>
          <t>BCP official historical IPC/FX sources identified, but binary/export retrieval was not programmatically available; WDI/IMF annual backfill used.</t>
        </is>
      </c>
      <c r="G9" t="inlineStr">
        <is>
          <t>Small methodological differences may exist and can alter historical USD/MWh or real-PYG conversions.</t>
        </is>
      </c>
      <c r="H9" t="inlineStr">
        <is>
          <t>Production collector must ingest BCP raw series, compare deltas, then promote BCP rows to canonical without deleting WDI audit trail.</t>
        </is>
      </c>
    </row>
    <row r="10">
      <c r="A10" t="inlineStr">
        <is>
          <t>Q0009</t>
        </is>
      </c>
      <c r="B10" t="inlineStr">
        <is>
          <t>LOW</t>
        </is>
      </c>
      <c r="C10" t="inlineStr">
        <is>
          <t>Macro/2026</t>
        </is>
      </c>
      <c r="D10" t="inlineStr">
        <is>
          <t>2026</t>
        </is>
      </c>
      <c r="E10" t="inlineStr">
        <is>
          <t>Point FX is not annual average</t>
        </is>
      </c>
      <c r="F10" t="inlineStr">
        <is>
          <t>BCP 10-09-2026 USD/PYG=5933.25 is a dated reference observation.</t>
        </is>
      </c>
      <c r="G10" t="inlineStr">
        <is>
          <t>Using it for annual historical conversions would bias comparisons.</t>
        </is>
      </c>
      <c r="H10" t="inlineStr">
        <is>
          <t>Use only for current calculator/snapshot; wait for period average for annual metrics.</t>
        </is>
      </c>
    </row>
  </sheetData>
  <autoFilter ref="A1:H1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16" customWidth="1" min="5" max="5"/>
    <col width="16" customWidth="1" min="6" max="6"/>
    <col width="48" customWidth="1" min="7" max="7"/>
  </cols>
  <sheetData>
    <row r="1" ht="32" customHeight="1">
      <c r="A1" s="5" t="inlineStr">
        <is>
          <t>job_code</t>
        </is>
      </c>
      <c r="B1" s="5" t="inlineStr">
        <is>
          <t>source_code</t>
        </is>
      </c>
      <c r="C1" s="5" t="inlineStr">
        <is>
          <t>grain</t>
        </is>
      </c>
      <c r="D1" s="5" t="inlineStr">
        <is>
          <t>url</t>
        </is>
      </c>
      <c r="E1" s="5" t="inlineStr">
        <is>
          <t>priority</t>
        </is>
      </c>
      <c r="F1" s="5" t="inlineStr">
        <is>
          <t>status</t>
        </is>
      </c>
      <c r="G1" s="5" t="inlineStr">
        <is>
          <t>notes</t>
        </is>
      </c>
    </row>
    <row r="2">
      <c r="A2" s="6" t="inlineStr">
        <is>
          <t>ONS_ITAIPU_HOURLY</t>
        </is>
      </c>
      <c r="B2" s="6" t="inlineStr">
        <is>
          <t>ONS</t>
        </is>
      </c>
      <c r="C2" s="6" t="inlineStr">
        <is>
          <t>hour</t>
        </is>
      </c>
      <c r="D2" s="7" t="inlineStr">
        <is>
          <t>https://dados.ons.org.br/dataset/geracao_itaipu</t>
        </is>
      </c>
      <c r="E2" s="6" t="inlineStr">
        <is>
          <t>HIGH</t>
        </is>
      </c>
      <c r="F2" s="4" t="inlineStr">
        <is>
          <t>QUEUED</t>
        </is>
      </c>
      <c r="G2" s="4" t="inlineStr">
        <is>
          <t>Backfill total/50Hz/60Hz/Paraguay/Brasil; key for live map.</t>
        </is>
      </c>
    </row>
    <row r="3">
      <c r="A3" s="6" t="inlineStr">
        <is>
          <t>ONS_INTL_EXCHANGE</t>
        </is>
      </c>
      <c r="B3" s="6" t="inlineStr">
        <is>
          <t>ONS</t>
        </is>
      </c>
      <c r="C3" s="6" t="inlineStr">
        <is>
          <t>hour</t>
        </is>
      </c>
      <c r="D3" s="7" t="inlineStr">
        <is>
          <t>https://dados.ons.org.br/dataset/intercambio-internacional</t>
        </is>
      </c>
      <c r="E3" s="6" t="inlineStr">
        <is>
          <t>HIGH</t>
        </is>
      </c>
      <c r="F3" s="4" t="inlineStr">
        <is>
          <t>QUEUED</t>
        </is>
      </c>
      <c r="G3" s="4" t="inlineStr">
        <is>
          <t>International flows incl. Paraguay-Brasil/Acaray where published.</t>
        </is>
      </c>
    </row>
    <row r="4">
      <c r="A4" s="6" t="inlineStr">
        <is>
          <t>CAMMESA_API</t>
        </is>
      </c>
      <c r="B4" s="6" t="inlineStr">
        <is>
          <t>CAMMESA</t>
        </is>
      </c>
      <c r="C4" s="6" t="inlineStr">
        <is>
          <t>variable</t>
        </is>
      </c>
      <c r="D4" s="7" t="inlineStr">
        <is>
          <t>https://cammesaweb.cammesa.com/apiweb/</t>
        </is>
      </c>
      <c r="E4" s="6" t="inlineStr">
        <is>
          <t>HIGH</t>
        </is>
      </c>
      <c r="F4" s="4" t="inlineStr">
        <is>
          <t>QUEUED</t>
        </is>
      </c>
      <c r="G4" s="4" t="inlineStr">
        <is>
          <t>Map API endpoints for SADI/Yacyreta/interconnection.</t>
        </is>
      </c>
    </row>
    <row r="5">
      <c r="A5" s="6" t="inlineStr">
        <is>
          <t>CAMMESA_VARIABLES</t>
        </is>
      </c>
      <c r="B5" s="6" t="inlineStr">
        <is>
          <t>CAMMESA</t>
        </is>
      </c>
      <c r="C5" s="6" t="inlineStr">
        <is>
          <t>month/files</t>
        </is>
      </c>
      <c r="D5" s="7" t="inlineStr">
        <is>
          <t>https://cammesaweb.cammesa.com/variables-relevantes-mem/</t>
        </is>
      </c>
      <c r="E5" s="6" t="inlineStr">
        <is>
          <t>HIGH</t>
        </is>
      </c>
      <c r="F5" s="4" t="inlineStr">
        <is>
          <t>QUEUED</t>
        </is>
      </c>
      <c r="G5" s="4" t="inlineStr">
        <is>
          <t>Backfill historical files.</t>
        </is>
      </c>
    </row>
    <row r="6">
      <c r="A6" s="6" t="inlineStr">
        <is>
          <t>ANDE_CURRENT_TARIFF</t>
        </is>
      </c>
      <c r="B6" s="6" t="inlineStr">
        <is>
          <t>ANDE</t>
        </is>
      </c>
      <c r="C6" s="6" t="inlineStr">
        <is>
          <t>tariff line</t>
        </is>
      </c>
      <c r="D6" s="7" t="inlineStr">
        <is>
          <t>https://www.ande.gov.py/tarifas_vigentes.php</t>
        </is>
      </c>
      <c r="E6" s="6" t="inlineStr">
        <is>
          <t>MEDIUM</t>
        </is>
      </c>
      <c r="F6" s="4" t="inlineStr">
        <is>
          <t>QUEUED</t>
        </is>
      </c>
      <c r="G6" s="4" t="inlineStr">
        <is>
          <t>Parse Pliego N21 and amendments.</t>
        </is>
      </c>
    </row>
    <row r="7">
      <c r="A7" s="6" t="inlineStr">
        <is>
          <t>ANDE_GIS_TX</t>
        </is>
      </c>
      <c r="B7" s="6" t="inlineStr">
        <is>
          <t>ANDE</t>
        </is>
      </c>
      <c r="C7" s="6" t="inlineStr">
        <is>
          <t>GIS</t>
        </is>
      </c>
      <c r="D7" s="7" t="inlineStr">
        <is>
          <t>https://www.ande.gov.py/</t>
        </is>
      </c>
      <c r="E7" s="6" t="inlineStr">
        <is>
          <t>HIGH</t>
        </is>
      </c>
      <c r="F7" s="4" t="inlineStr">
        <is>
          <t>QUEUED</t>
        </is>
      </c>
      <c r="G7" s="4" t="inlineStr">
        <is>
          <t>Official geometry 500/220/66kV and substations.</t>
        </is>
      </c>
    </row>
    <row r="8">
      <c r="A8" s="6" t="inlineStr">
        <is>
          <t>INE_GIS_BOUNDARIES</t>
        </is>
      </c>
      <c r="B8" s="6" t="inlineStr">
        <is>
          <t>INE</t>
        </is>
      </c>
      <c r="C8" s="6" t="inlineStr">
        <is>
          <t>GIS</t>
        </is>
      </c>
      <c r="D8" s="7" t="inlineStr">
        <is>
          <t>https://geonode.ine.gov.py/</t>
        </is>
      </c>
      <c r="E8" s="6" t="inlineStr">
        <is>
          <t>HIGH</t>
        </is>
      </c>
      <c r="F8" s="4" t="inlineStr">
        <is>
          <t>QUEUED</t>
        </is>
      </c>
      <c r="G8" s="4" t="inlineStr">
        <is>
          <t>Official Paraguay/departments geometry.</t>
        </is>
      </c>
    </row>
    <row r="9">
      <c r="A9" s="6" t="inlineStr">
        <is>
          <t>ITAIPU_2003_2023_GENERATION</t>
        </is>
      </c>
      <c r="B9" s="6" t="inlineStr">
        <is>
          <t>ITAIPU</t>
        </is>
      </c>
      <c r="C9" s="6" t="inlineStr">
        <is>
          <t>year/month</t>
        </is>
      </c>
      <c r="D9" s="7" t="inlineStr">
        <is>
          <t>https://www.itaipu.gov.py/</t>
        </is>
      </c>
      <c r="E9" s="6" t="inlineStr">
        <is>
          <t>MEDIUM</t>
        </is>
      </c>
      <c r="F9" s="4" t="inlineStr">
        <is>
          <t>QUEUED</t>
        </is>
      </c>
      <c r="G9" s="4" t="inlineStr">
        <is>
          <t>Fill annual generation gap 2003-2023 from memories/open data.</t>
        </is>
      </c>
    </row>
    <row r="10">
      <c r="A10" s="6" t="inlineStr">
        <is>
          <t>EBY_2012_CURRENT_MONTHLY</t>
        </is>
      </c>
      <c r="B10" s="6" t="inlineStr">
        <is>
          <t>EBY</t>
        </is>
      </c>
      <c r="C10" s="6" t="inlineStr">
        <is>
          <t>month</t>
        </is>
      </c>
      <c r="D10" s="7" t="inlineStr">
        <is>
          <t>https://www.eby.gov.py/generacion-de-energia/</t>
        </is>
      </c>
      <c r="E10" s="6" t="inlineStr">
        <is>
          <t>HIGH</t>
        </is>
      </c>
      <c r="F10" s="4" t="inlineStr">
        <is>
          <t>QUEUED</t>
        </is>
      </c>
      <c r="G10" s="4" t="inlineStr">
        <is>
          <t>Fill Yacyreta generation/destination after Jun-2012.</t>
        </is>
      </c>
    </row>
    <row r="11">
      <c r="A11" s="6" t="inlineStr">
        <is>
          <t>ANDE_2019_CURRENT_BILLED_SECTOR</t>
        </is>
      </c>
      <c r="B11" s="6" t="inlineStr">
        <is>
          <t>ANDE</t>
        </is>
      </c>
      <c r="C11" s="6" t="inlineStr">
        <is>
          <t>year</t>
        </is>
      </c>
      <c r="D11" s="7" t="inlineStr">
        <is>
          <t>https://www.ande.gov.py/finanzas.php</t>
        </is>
      </c>
      <c r="E11" s="6" t="inlineStr">
        <is>
          <t>MEDIUM</t>
        </is>
      </c>
      <c r="F11" s="4" t="inlineStr">
        <is>
          <t>QUEUED</t>
        </is>
      </c>
      <c r="G11" s="4" t="inlineStr">
        <is>
          <t>Continue customer/sector billed energy series.</t>
        </is>
      </c>
    </row>
    <row r="12">
      <c r="A12" s="6" t="inlineStr">
        <is>
          <t>HYDROLOGY_ITAIPU_EBY</t>
        </is>
      </c>
      <c r="B12" s="6" t="inlineStr">
        <is>
          <t>ITAIPU/EBY</t>
        </is>
      </c>
      <c r="C12" s="6" t="inlineStr">
        <is>
          <t>day/hour</t>
        </is>
      </c>
      <c r="D12" s="6" t="inlineStr">
        <is>
          <t>official sites</t>
        </is>
      </c>
      <c r="E12" s="6" t="inlineStr">
        <is>
          <t>LOW</t>
        </is>
      </c>
      <c r="F12" s="4" t="inlineStr">
        <is>
          <t>QUEUED</t>
        </is>
      </c>
      <c r="G12" s="4" t="inlineStr">
        <is>
          <t>Affluence/reservoir/head for context/prediction, without mixing with energy actual.</t>
        </is>
      </c>
    </row>
    <row r="13">
      <c r="A13" t="inlineStr">
        <is>
          <t>BCP_FX_HISTORICAL</t>
        </is>
      </c>
      <c r="B13" t="inlineStr">
        <is>
          <t>BCP</t>
        </is>
      </c>
      <c r="C13" t="inlineStr">
        <is>
          <t>day/month/year</t>
        </is>
      </c>
      <c r="D13" t="inlineStr">
        <is>
          <t>https://www.bcp.gov.py/webapps/web/cotizacion/referencial-fluctuante/anual</t>
        </is>
      </c>
      <c r="E13" t="inlineStr">
        <is>
          <t>HIGH</t>
        </is>
      </c>
      <c r="F13" t="inlineStr">
        <is>
          <t>PARTIAL_LOADED_RECONCILE</t>
        </is>
      </c>
      <c r="G13" t="inlineStr">
        <is>
          <t>Backfill WDI/IMF 1990-2025 ya cargado; falta reconciliar/replace con bruto BCP cuando el collector pueda ingerirlo.</t>
        </is>
      </c>
    </row>
    <row r="14">
      <c r="A14" t="inlineStr">
        <is>
          <t>BCP_IPC_HISTORICAL</t>
        </is>
      </c>
      <c r="B14" t="inlineStr">
        <is>
          <t>BCP</t>
        </is>
      </c>
      <c r="C14" t="inlineStr">
        <is>
          <t>month/year</t>
        </is>
      </c>
      <c r="D14" t="inlineStr">
        <is>
          <t>https://www.bcp.gov.py/es/web/institucional/indice-precios-al-consumidor-ipc</t>
        </is>
      </c>
      <c r="E14" t="inlineStr">
        <is>
          <t>HIGH</t>
        </is>
      </c>
      <c r="F14" t="inlineStr">
        <is>
          <t>PARTIAL_LOADED_RECONCILE</t>
        </is>
      </c>
      <c r="G14" t="inlineStr">
        <is>
          <t>Backfill WDI/IMF 1990-2025 ya cargado; falta reconciliar/replace con bruto BCP cuando el collector pueda ingerirlo.</t>
        </is>
      </c>
    </row>
    <row r="15">
      <c r="A15" t="inlineStr">
        <is>
          <t>BCP_GDP_HISTORICAL</t>
        </is>
      </c>
      <c r="B15" t="inlineStr">
        <is>
          <t>BCP</t>
        </is>
      </c>
      <c r="C15" t="inlineStr">
        <is>
          <t>year</t>
        </is>
      </c>
      <c r="D15" t="inlineStr">
        <is>
          <t>https://www.bcp.gov.py/es/web/institucional/estadisticas1</t>
        </is>
      </c>
      <c r="E15" t="inlineStr">
        <is>
          <t>MEDIUM</t>
        </is>
      </c>
      <c r="F15" t="inlineStr">
        <is>
          <t>QUEUED</t>
        </is>
      </c>
      <c r="G15" t="inlineStr">
        <is>
          <t>PIB total y por actividad para elasticidad demanda electrica-PIB.</t>
        </is>
      </c>
    </row>
    <row r="16">
      <c r="A16" t="inlineStr">
        <is>
          <t>BCP_IMAEP_MONTHLY</t>
        </is>
      </c>
      <c r="B16" t="inlineStr">
        <is>
          <t>BCP</t>
        </is>
      </c>
      <c r="C16" t="inlineStr">
        <is>
          <t>month</t>
        </is>
      </c>
      <c r="D16" t="inlineStr">
        <is>
          <t>https://www.bcp.gov.py/</t>
        </is>
      </c>
      <c r="E16" t="inlineStr">
        <is>
          <t>MEDIUM</t>
        </is>
      </c>
      <c r="F16" t="inlineStr">
        <is>
          <t>QUEUED</t>
        </is>
      </c>
      <c r="G16" t="inlineStr">
        <is>
          <t>Actividad economica mensual para modelos de demanda de corto/mediano plazo.</t>
        </is>
      </c>
    </row>
    <row r="17">
      <c r="A17" t="inlineStr">
        <is>
          <t>BCP_REER</t>
        </is>
      </c>
      <c r="B17" t="inlineStr">
        <is>
          <t>BCP</t>
        </is>
      </c>
      <c r="C17" t="inlineStr">
        <is>
          <t>month</t>
        </is>
      </c>
      <c r="D17" t="inlineStr">
        <is>
          <t>https://www.bcp.gov.py/es/web/institucional/w/indice-de-precios-externos-e-indice-de-tipo-de-cambio-real-multilateral-1</t>
        </is>
      </c>
      <c r="E17" t="inlineStr">
        <is>
          <t>LOW</t>
        </is>
      </c>
      <c r="F17" t="inlineStr">
        <is>
          <t>QUEUED</t>
        </is>
      </c>
      <c r="G17" t="inlineStr">
        <is>
          <t>Tipo de cambio real multilateral para analisis de competitividad/precio energia.</t>
        </is>
      </c>
    </row>
    <row r="18">
      <c r="A18" t="inlineStr">
        <is>
          <t>BCP_IPP</t>
        </is>
      </c>
      <c r="B18" t="inlineStr">
        <is>
          <t>BCP</t>
        </is>
      </c>
      <c r="C18" t="inlineStr">
        <is>
          <t>month</t>
        </is>
      </c>
      <c r="D18" t="inlineStr">
        <is>
          <t>https://www.bcp.gov.py/</t>
        </is>
      </c>
      <c r="E18" t="inlineStr">
        <is>
          <t>LOW</t>
        </is>
      </c>
      <c r="F18" t="inlineStr">
        <is>
          <t>QUEUED</t>
        </is>
      </c>
      <c r="G18" t="inlineStr">
        <is>
          <t>Indice de precios del productor como contexto de costos industriales.</t>
        </is>
      </c>
    </row>
    <row r="19">
      <c r="A19" s="40" t="inlineStr">
        <is>
          <t>V5-ONS-ITAIPU</t>
        </is>
      </c>
      <c r="B19" s="40" t="inlineStr">
        <is>
          <t>ONS</t>
        </is>
      </c>
      <c r="C19" s="40" t="inlineStr">
        <is>
          <t>hour</t>
        </is>
      </c>
      <c r="D19" s="40" t="inlineStr">
        <is>
          <t>https://ons-aws-prod-opendata.s3.amazonaws.com/dataset/geracao_itaipu/GERACAO_ITAIPU.csv</t>
        </is>
      </c>
      <c r="E19" s="40" t="inlineStr">
        <is>
          <t>P0</t>
        </is>
      </c>
      <c r="F19" s="40" t="inlineStr">
        <is>
          <t>READY_PROD</t>
        </is>
      </c>
      <c r="G19" s="40" t="inlineStr">
        <is>
          <t>Bulk binary direct URL verified but runtime blocked; Hostinger collector must ingest full historical file and deduplicate revisions.</t>
        </is>
      </c>
    </row>
    <row r="20">
      <c r="A20" s="40" t="inlineStr">
        <is>
          <t>V5-ONS-INTL</t>
        </is>
      </c>
      <c r="B20" s="40" t="inlineStr">
        <is>
          <t>ONS</t>
        </is>
      </c>
      <c r="C20" s="40" t="inlineStr">
        <is>
          <t>hour</t>
        </is>
      </c>
      <c r="D20" s="40" t="inlineStr">
        <is>
          <t>https://ons-aws-prod-opendata.s3.amazonaws.com/dataset/intercambio_internacional_ho/INTERCAMBIO_INTERNACIONAL_2026.csv</t>
        </is>
      </c>
      <c r="E20" s="40" t="inlineStr">
        <is>
          <t>P0</t>
        </is>
      </c>
      <c r="F20" s="40" t="inlineStr">
        <is>
          <t>READY_PROD</t>
        </is>
      </c>
      <c r="G20" s="40" t="inlineStr">
        <is>
          <t>2026 direct CSV URL verified; discover and backfill annual 2000-current resources in production.</t>
        </is>
      </c>
    </row>
    <row r="21">
      <c r="A21" s="40" t="inlineStr">
        <is>
          <t>V5-DMH-10MIN</t>
        </is>
      </c>
      <c r="B21" s="40" t="inlineStr">
        <is>
          <t>DMH</t>
        </is>
      </c>
      <c r="C21" s="40" t="inlineStr">
        <is>
          <t>10min</t>
        </is>
      </c>
      <c r="D21" s="40" t="inlineStr">
        <is>
          <t>https://www.meteorologia.gov.py/temperatura-maxima/index.php</t>
        </is>
      </c>
      <c r="E21" s="40" t="inlineStr">
        <is>
          <t>P1</t>
        </is>
      </c>
      <c r="F21" s="40" t="inlineStr">
        <is>
          <t>COLLECTOR_NEEDED</t>
        </is>
      </c>
      <c r="G21" s="40" t="inlineStr">
        <is>
          <t>Capture full automatic station temperature/precip; tag orientative.</t>
        </is>
      </c>
    </row>
    <row r="22">
      <c r="A22" s="40" t="inlineStr">
        <is>
          <t>V5-NOAA-RONI-HIST</t>
        </is>
      </c>
      <c r="B22" s="40" t="inlineStr">
        <is>
          <t>NOAA_CPC</t>
        </is>
      </c>
      <c r="C22" s="40" t="inlineStr">
        <is>
          <t>month/season</t>
        </is>
      </c>
      <c r="D22" s="40" t="inlineStr">
        <is>
          <t>https://www.cpc.ncep.noaa.gov/products/analysis_monitoring/enso/roni/probabilities/</t>
        </is>
      </c>
      <c r="E22" s="40" t="inlineStr">
        <is>
          <t>P1</t>
        </is>
      </c>
      <c r="F22" s="40" t="inlineStr">
        <is>
          <t>BACKFILL_NEEDED</t>
        </is>
      </c>
      <c r="G22" s="40" t="inlineStr">
        <is>
          <t>Backfill full ONI/RONI 1950-current, current outlook already loaded.</t>
        </is>
      </c>
    </row>
    <row r="23">
      <c r="A23" s="40" t="inlineStr">
        <is>
          <t>V5-BCP-IMAEP-HIST</t>
        </is>
      </c>
      <c r="B23" s="40" t="inlineStr">
        <is>
          <t>BCP</t>
        </is>
      </c>
      <c r="C23" s="40" t="inlineStr">
        <is>
          <t>month</t>
        </is>
      </c>
      <c r="D23" s="40" t="inlineStr">
        <is>
          <t>https://www.bcp.gov.py/es/web/institucional/indicador-mensual-de-actividad-economica-del-paraguay-imaep</t>
        </is>
      </c>
      <c r="E23" s="40" t="inlineStr">
        <is>
          <t>P1</t>
        </is>
      </c>
      <c r="F23" s="40" t="inlineStr">
        <is>
          <t>BACKFILL_NEEDED</t>
        </is>
      </c>
      <c r="G23" s="40" t="inlineStr">
        <is>
          <t>Latest June 2026 loaded; historical reports listed back to prior years.</t>
        </is>
      </c>
    </row>
    <row r="24">
      <c r="A24" s="40" t="inlineStr">
        <is>
          <t>V5-INE-EPHC</t>
        </is>
      </c>
      <c r="B24" s="40" t="inlineStr">
        <is>
          <t>INE</t>
        </is>
      </c>
      <c r="C24" s="40" t="inlineStr">
        <is>
          <t>year/microdata</t>
        </is>
      </c>
      <c r="D24" s="40" t="inlineStr">
        <is>
          <t>https://www.ine.gov.py/Publicaciones/Biblioteca/documento/308/Pobreza%20Monetaria_%20EPHC_2025_INE.pdf</t>
        </is>
      </c>
      <c r="E24" s="40" t="inlineStr">
        <is>
          <t>P2</t>
        </is>
      </c>
      <c r="F24" s="40" t="inlineStr">
        <is>
          <t>MICRODATA_BACKFILL</t>
        </is>
      </c>
      <c r="G24" s="40" t="inlineStr">
        <is>
          <t>Use EPHC microdata for median income, department and urban/rural affordability.</t>
        </is>
      </c>
    </row>
    <row r="25">
      <c r="A25" s="40" t="inlineStr">
        <is>
          <t>V5-ANDE-DG</t>
        </is>
      </c>
      <c r="B25" s="40" t="inlineStr">
        <is>
          <t>ANDE</t>
        </is>
      </c>
      <c r="C25" s="40" t="inlineStr">
        <is>
          <t>month/year</t>
        </is>
      </c>
      <c r="D25" s="40" t="inlineStr">
        <is>
          <t>https://www.ande.gov.py/interna.php?id=15312</t>
        </is>
      </c>
      <c r="E25" s="40" t="inlineStr">
        <is>
          <t>P1</t>
        </is>
      </c>
      <c r="F25" s="40" t="inlineStr">
        <is>
          <t>WATCH</t>
        </is>
      </c>
      <c r="G25" s="40" t="inlineStr">
        <is>
          <t>Start series as soon as installed MW/users/injected MWh are published.</t>
        </is>
      </c>
    </row>
    <row r="26">
      <c r="A26" s="40" t="inlineStr">
        <is>
          <t>V5-CAMMESA</t>
        </is>
      </c>
      <c r="B26" s="40" t="inlineStr">
        <is>
          <t>CAMMESA</t>
        </is>
      </c>
      <c r="C26" s="40" t="inlineStr">
        <is>
          <t>hour</t>
        </is>
      </c>
      <c r="D26" s="40" t="inlineStr">
        <is>
          <t>https://cammesaweb.cammesa.com/</t>
        </is>
      </c>
      <c r="E26" s="40" t="inlineStr">
        <is>
          <t>P0</t>
        </is>
      </c>
      <c r="F26" s="40" t="inlineStr">
        <is>
          <t>ENDPOINT_DISCOVERY</t>
        </is>
      </c>
      <c r="G26" s="40" t="inlineStr">
        <is>
          <t>Inspect official API/iframe datasource in production for Argentina/Yacyreta-relevant flows.</t>
        </is>
      </c>
    </row>
    <row r="27">
      <c r="A27" s="40" t="inlineStr">
        <is>
          <t>V5-YRATO</t>
        </is>
      </c>
      <c r="B27" s="40" t="inlineStr">
        <is>
          <t>ITAIPU</t>
        </is>
      </c>
      <c r="C27" s="40" t="inlineStr">
        <is>
          <t>multi</t>
        </is>
      </c>
      <c r="D27" s="40" t="inlineStr">
        <is>
          <t>https://hidroinformatica.itaipu.gov.py/yrato/</t>
        </is>
      </c>
      <c r="E27" s="40" t="inlineStr">
        <is>
          <t>P1</t>
        </is>
      </c>
      <c r="F27" s="40" t="inlineStr">
        <is>
          <t>API_DISCOVERY</t>
        </is>
      </c>
      <c r="G27" s="40" t="inlineStr">
        <is>
          <t>Automate hydrology/meteorology upstream of Itaipu.</t>
        </is>
      </c>
    </row>
  </sheetData>
  <autoFilter ref="A1:G18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2" customWidth="1" min="6" max="6"/>
    <col width="16" customWidth="1" min="7" max="7"/>
    <col width="48" customWidth="1" min="8" max="8"/>
  </cols>
  <sheetData>
    <row r="1" ht="32" customHeight="1">
      <c r="A1" s="5" t="inlineStr">
        <is>
          <t>reference_id</t>
        </is>
      </c>
      <c r="B1" s="5" t="inlineStr">
        <is>
          <t>source_code</t>
        </is>
      </c>
      <c r="C1" s="5" t="inlineStr">
        <is>
          <t>date</t>
        </is>
      </c>
      <c r="D1" s="5" t="inlineStr">
        <is>
          <t>topic</t>
        </is>
      </c>
      <c r="E1" s="5" t="inlineStr">
        <is>
          <t>key_values</t>
        </is>
      </c>
      <c r="F1" s="5" t="inlineStr">
        <is>
          <t>url</t>
        </is>
      </c>
      <c r="G1" s="5" t="inlineStr">
        <is>
          <t>authority_class</t>
        </is>
      </c>
      <c r="H1" s="5" t="inlineStr">
        <is>
          <t>notes</t>
        </is>
      </c>
    </row>
    <row r="2">
      <c r="A2" s="6" t="inlineStr">
        <is>
          <t>ABC-ITA-2025</t>
        </is>
      </c>
      <c r="B2" s="6" t="inlineStr">
        <is>
          <t>ABC</t>
        </is>
      </c>
      <c r="C2" s="6" t="inlineStr">
        <is>
          <t>2026-01-20</t>
        </is>
      </c>
      <c r="D2" s="6" t="inlineStr">
        <is>
          <t>Itaipu cession 2025 derived unit value</t>
        </is>
      </c>
      <c r="E2" s="6" t="inlineStr">
        <is>
          <t>15.5 USD/MWh 2025; 17.5 USD/MWh 2024; approx 4.5 historical average</t>
        </is>
      </c>
      <c r="F2" s="7" t="inlineStr">
        <is>
          <t>https://www.abc.com.py/economia/2026/01/20/en-2025-pagaron-al-paraguay-us-15-por-cada-1000-kwh-que-cedio-al-brasil/</t>
        </is>
      </c>
      <c r="G2" s="4" t="inlineStr">
        <is>
          <t>PRESS_SECONDARY</t>
        </is>
      </c>
      <c r="H2" s="4" t="inlineStr">
        <is>
          <t>Use only as derived/contextual, not official spot price.</t>
        </is>
      </c>
    </row>
    <row r="3">
      <c r="A3" s="6" t="inlineStr">
        <is>
          <t>ABC-ACARAY-2024</t>
        </is>
      </c>
      <c r="B3" s="6" t="inlineStr">
        <is>
          <t>ABC</t>
        </is>
      </c>
      <c r="C3" s="6" t="inlineStr">
        <is>
          <t>2024-09-07</t>
        </is>
      </c>
      <c r="D3" s="6" t="inlineStr">
        <is>
          <t>Acaray market reference Argentina/Brazil</t>
        </is>
      </c>
      <c r="E3" s="6" t="inlineStr">
        <is>
          <t>Argentina ~100 USD/MWh; Brazil tender max 21.03; cost ref 9.02</t>
        </is>
      </c>
      <c r="F3" s="7" t="inlineStr">
        <is>
          <t>https://www.abc.com.py/economia/2024/09/07/ande-exporta-energia-a-la-argentina-a-us-100-mwh-pero-brasil-ofrece-maximo-us-2103mwh/</t>
        </is>
      </c>
      <c r="G3" s="4" t="inlineStr">
        <is>
          <t>PRESS_SECONDARY</t>
        </is>
      </c>
      <c r="H3" s="4" t="inlineStr">
        <is>
          <t>Quotes ANDE president; tender offers are not executed sales.</t>
        </is>
      </c>
    </row>
    <row r="4">
      <c r="A4" s="6" t="inlineStr">
        <is>
          <t>ABC-ACARAY-OFFERS</t>
        </is>
      </c>
      <c r="B4" s="6" t="inlineStr">
        <is>
          <t>ABC</t>
        </is>
      </c>
      <c r="C4" s="6" t="inlineStr">
        <is>
          <t>2024-09-06</t>
        </is>
      </c>
      <c r="D4" s="6" t="inlineStr">
        <is>
          <t>Brazil ACL tender offers</t>
        </is>
      </c>
      <c r="E4" s="6" t="inlineStr">
        <is>
          <t>7 offers from 7.73 to 21.03 USD/MWh</t>
        </is>
      </c>
      <c r="F4" s="7" t="inlineStr">
        <is>
          <t>https://www.abc.com.py/economia/2024/09/06/ande-abrio-sobres-sepa-cuanto-ofertaron-los-brasilenos-por-nuestra-energia/</t>
        </is>
      </c>
      <c r="G4" s="4" t="inlineStr">
        <is>
          <t>PRESS_SECONDARY</t>
        </is>
      </c>
      <c r="H4" s="4" t="inlineStr">
        <is>
          <t>Market offers only.</t>
        </is>
      </c>
    </row>
    <row r="5">
      <c r="A5" s="6" t="inlineStr">
        <is>
          <t>ABC-YACYRETA-HIST</t>
        </is>
      </c>
      <c r="B5" s="6" t="inlineStr">
        <is>
          <t>ABC</t>
        </is>
      </c>
      <c r="C5" s="6" t="inlineStr">
        <is>
          <t>2025-01-05</t>
        </is>
      </c>
      <c r="D5" s="6" t="inlineStr">
        <is>
          <t>Yacyreta historical cession context</t>
        </is>
      </c>
      <c r="E5" s="6" t="inlineStr">
        <is>
          <t>190,304 GWh ceded 1994-Jul2024 cited; 84.59% of Paraguay half historically ceded</t>
        </is>
      </c>
      <c r="F5" s="7" t="inlineStr">
        <is>
          <t>https://www.abc.com.py/edicion-impresa/suplementos/economico/2025/01/05/usar-la-energia-en-forma-planificada/</t>
        </is>
      </c>
      <c r="G5" s="4" t="inlineStr">
        <is>
          <t>PRESS_SECONDARY</t>
        </is>
      </c>
      <c r="H5" s="4" t="inlineStr">
        <is>
          <t>Contextual secondary reference; seek primary monthly series for canonical volume.</t>
        </is>
      </c>
    </row>
  </sheetData>
  <autoFilter ref="A1:H5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0" customWidth="1" min="3" max="3"/>
    <col width="30" customWidth="1" min="4" max="4"/>
  </cols>
  <sheetData>
    <row r="1">
      <c r="A1" s="13" t="inlineStr">
        <is>
          <t>EnergiaPY — Métricas derivadas de referencia</t>
        </is>
      </c>
    </row>
    <row r="3">
      <c r="A3" s="3" t="inlineStr">
        <is>
          <t>Consumo SIN 2003</t>
        </is>
      </c>
      <c r="B3" t="n">
        <v>6183000</v>
      </c>
      <c r="C3" t="inlineStr">
        <is>
          <t>MWh</t>
        </is>
      </c>
      <c r="D3" t="inlineStr">
        <is>
          <t>Canonical ANDE</t>
        </is>
      </c>
    </row>
    <row r="4">
      <c r="A4" s="3" t="inlineStr">
        <is>
          <t>Consumo SIN 2025</t>
        </is>
      </c>
      <c r="B4" t="n">
        <v>29418538</v>
      </c>
      <c r="C4" t="inlineStr">
        <is>
          <t>MWh</t>
        </is>
      </c>
      <c r="D4" t="inlineStr">
        <is>
          <t>Canonical ANDE</t>
        </is>
      </c>
    </row>
    <row r="5">
      <c r="A5" s="3" t="inlineStr">
        <is>
          <t>CAGR consumo 2003-2025</t>
        </is>
      </c>
      <c r="B5" s="14">
        <f>POWER(B4/B3,1/(2025-2003))-1</f>
        <v/>
      </c>
      <c r="C5" t="inlineStr">
        <is>
          <t>percent</t>
        </is>
      </c>
      <c r="D5" t="inlineStr">
        <is>
          <t>EnergiaPY derived</t>
        </is>
      </c>
    </row>
    <row r="6">
      <c r="A6" s="3" t="inlineStr">
        <is>
          <t>Demanda maxima 2003</t>
        </is>
      </c>
      <c r="B6" t="n">
        <v>1191</v>
      </c>
      <c r="C6" t="inlineStr">
        <is>
          <t>MW</t>
        </is>
      </c>
      <c r="D6" t="inlineStr">
        <is>
          <t>ANDE</t>
        </is>
      </c>
    </row>
    <row r="7">
      <c r="A7" s="3" t="inlineStr">
        <is>
          <t>Demanda maxima 2025</t>
        </is>
      </c>
      <c r="B7" t="n">
        <v>5280</v>
      </c>
      <c r="C7" t="inlineStr">
        <is>
          <t>MW</t>
        </is>
      </c>
      <c r="D7" t="inlineStr">
        <is>
          <t>ANDE</t>
        </is>
      </c>
    </row>
    <row r="8">
      <c r="A8" s="3" t="inlineStr">
        <is>
          <t>CAGR demanda maxima</t>
        </is>
      </c>
      <c r="B8" s="14">
        <f>POWER(B7/B6,1/(2025-2003))-1</f>
        <v/>
      </c>
      <c r="C8" t="inlineStr">
        <is>
          <t>percent</t>
        </is>
      </c>
      <c r="D8" t="inlineStr">
        <is>
          <t>EnergiaPY derived</t>
        </is>
      </c>
    </row>
    <row r="9">
      <c r="A9" s="3" t="inlineStr">
        <is>
          <t>Referencia energia estructural</t>
        </is>
      </c>
      <c r="B9" t="n">
        <v>58854000</v>
      </c>
      <c r="C9" t="inlineStr">
        <is>
          <t>MWh/year</t>
        </is>
      </c>
      <c r="D9" t="inlineStr">
        <is>
          <t>Scenario input</t>
        </is>
      </c>
    </row>
    <row r="10">
      <c r="A10" s="3" t="inlineStr">
        <is>
          <t>Utilizacion estructural 2025</t>
        </is>
      </c>
      <c r="B10" s="14">
        <f>B4/B9</f>
        <v/>
      </c>
      <c r="C10" t="inlineStr">
        <is>
          <t>percent</t>
        </is>
      </c>
      <c r="D10" t="inlineStr">
        <is>
          <t>EnergiaPY scenario</t>
        </is>
      </c>
    </row>
    <row r="11">
      <c r="A11" s="3" t="inlineStr">
        <is>
          <t>Horizonte 100% con CAGR historico</t>
        </is>
      </c>
      <c r="B11" s="15">
        <f>2025+LN(B9/B4)/LN(1+B5)</f>
        <v/>
      </c>
      <c r="C11" t="inlineStr">
        <is>
          <t>year</t>
        </is>
      </c>
      <c r="D11" t="inlineStr">
        <is>
          <t>EnergiaPY scenario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Consumption_MWh</t>
        </is>
      </c>
      <c r="C1" t="inlineStr">
        <is>
          <t>Max_Demand_MW</t>
        </is>
      </c>
    </row>
    <row r="2">
      <c r="A2" t="n">
        <v>2003</v>
      </c>
      <c r="B2" t="n">
        <v>6183000</v>
      </c>
      <c r="C2" t="n">
        <v>1191</v>
      </c>
    </row>
    <row r="3">
      <c r="A3" t="n">
        <v>2004</v>
      </c>
      <c r="B3" t="n">
        <v>6580000</v>
      </c>
      <c r="C3" t="n">
        <v>1241</v>
      </c>
    </row>
    <row r="4">
      <c r="A4" t="n">
        <v>2005</v>
      </c>
      <c r="B4" t="n">
        <v>6944000</v>
      </c>
      <c r="C4" t="n">
        <v>1354</v>
      </c>
    </row>
    <row r="5">
      <c r="A5" t="n">
        <v>2006</v>
      </c>
      <c r="B5" t="n">
        <v>7701000</v>
      </c>
      <c r="C5" t="n">
        <v>1450</v>
      </c>
    </row>
    <row r="6">
      <c r="A6" t="n">
        <v>2007</v>
      </c>
      <c r="B6" t="n">
        <v>8299000</v>
      </c>
      <c r="C6" t="n">
        <v>1521</v>
      </c>
    </row>
    <row r="7">
      <c r="A7" t="n">
        <v>2008</v>
      </c>
      <c r="B7" t="n">
        <v>8888000</v>
      </c>
      <c r="C7" t="n">
        <v>1648</v>
      </c>
    </row>
    <row r="8">
      <c r="A8" t="n">
        <v>2009</v>
      </c>
      <c r="B8" t="n">
        <v>9531000</v>
      </c>
      <c r="C8" t="n">
        <v>1810</v>
      </c>
    </row>
    <row r="9">
      <c r="A9" t="n">
        <v>2010</v>
      </c>
      <c r="B9" t="n">
        <v>10198000</v>
      </c>
      <c r="C9" t="n">
        <v>1892</v>
      </c>
    </row>
    <row r="10">
      <c r="A10" t="n">
        <v>2011</v>
      </c>
      <c r="B10" t="n">
        <v>11020000</v>
      </c>
      <c r="C10" t="n">
        <v>2137</v>
      </c>
    </row>
    <row r="11">
      <c r="A11" t="n">
        <v>2012</v>
      </c>
      <c r="B11" t="n">
        <v>12077000</v>
      </c>
      <c r="C11" t="n">
        <v>2384</v>
      </c>
    </row>
    <row r="12">
      <c r="A12" t="n">
        <v>2013</v>
      </c>
      <c r="B12" t="n">
        <v>12524000</v>
      </c>
      <c r="C12" t="n">
        <v>2425</v>
      </c>
    </row>
    <row r="13">
      <c r="A13" t="n">
        <v>2014</v>
      </c>
      <c r="B13" t="n">
        <v>13450000</v>
      </c>
      <c r="C13" t="n">
        <v>2619</v>
      </c>
    </row>
    <row r="14">
      <c r="A14" t="n">
        <v>2015</v>
      </c>
      <c r="B14" t="n">
        <v>14187000</v>
      </c>
      <c r="C14" t="n">
        <v>2656</v>
      </c>
    </row>
    <row r="15">
      <c r="A15" t="n">
        <v>2016</v>
      </c>
      <c r="B15" t="n">
        <v>14848000</v>
      </c>
      <c r="C15" t="n">
        <v>2917</v>
      </c>
    </row>
    <row r="16">
      <c r="A16" t="n">
        <v>2017</v>
      </c>
      <c r="B16" t="n">
        <v>15575000</v>
      </c>
      <c r="C16" t="n">
        <v>3135</v>
      </c>
    </row>
    <row r="17">
      <c r="A17" t="n">
        <v>2018</v>
      </c>
      <c r="B17" t="n">
        <v>16577000</v>
      </c>
      <c r="C17" t="n">
        <v>3226</v>
      </c>
    </row>
    <row r="18">
      <c r="A18" t="n">
        <v>2019</v>
      </c>
      <c r="B18" t="n">
        <v>17319000</v>
      </c>
      <c r="C18" t="n">
        <v>3553</v>
      </c>
    </row>
    <row r="19">
      <c r="A19" t="n">
        <v>2020</v>
      </c>
      <c r="B19" t="n">
        <v>17955575</v>
      </c>
      <c r="C19" t="n">
        <v>3563</v>
      </c>
    </row>
    <row r="20">
      <c r="A20" t="n">
        <v>2021</v>
      </c>
      <c r="B20" t="n">
        <v>18583322</v>
      </c>
      <c r="C20" t="n">
        <v>3777</v>
      </c>
    </row>
    <row r="21">
      <c r="A21" t="n">
        <v>2022</v>
      </c>
      <c r="B21" t="n">
        <v>19634614</v>
      </c>
      <c r="C21" t="n">
        <v>4270</v>
      </c>
    </row>
    <row r="22">
      <c r="A22" t="n">
        <v>2023</v>
      </c>
      <c r="B22" t="n">
        <v>22078726</v>
      </c>
      <c r="C22" t="n">
        <v>4744</v>
      </c>
    </row>
    <row r="23">
      <c r="A23" t="n">
        <v>2024</v>
      </c>
      <c r="B23" t="n">
        <v>26154488</v>
      </c>
      <c r="C23" t="n">
        <v>5027</v>
      </c>
    </row>
    <row r="24">
      <c r="A24" t="n">
        <v>2025</v>
      </c>
      <c r="B24" t="n">
        <v>29418538</v>
      </c>
      <c r="C24" t="n">
        <v>5280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4" customWidth="1" min="4" max="4"/>
    <col width="15" customWidth="1" min="5" max="5"/>
    <col width="30" customWidth="1" min="6" max="6"/>
    <col width="18" customWidth="1" min="7" max="7"/>
    <col width="15" customWidth="1" min="8" max="8"/>
    <col width="18" customWidth="1" min="9" max="9"/>
    <col width="12" customWidth="1" min="10" max="10"/>
    <col width="18" customWidth="1" min="11" max="11"/>
    <col width="22" customWidth="1" min="12" max="12"/>
    <col width="24" customWidth="1" min="13" max="13"/>
    <col width="54" customWidth="1" min="14" max="14"/>
    <col width="24" customWidth="1" min="15" max="15"/>
    <col width="60" customWidth="1" min="16" max="16"/>
  </cols>
  <sheetData>
    <row r="1" ht="24" customHeight="1">
      <c r="A1" s="41" t="inlineStr">
        <is>
          <t>EnergiaPY.live — Current and latest structural baselines (V5)</t>
        </is>
      </c>
    </row>
    <row r="2" ht="34" customHeight="1">
      <c r="A2" s="42" t="inlineStr">
        <is>
          <t>ID</t>
        </is>
      </c>
      <c r="B2" s="42" t="inlineStr">
        <is>
          <t>Period start</t>
        </is>
      </c>
      <c r="C2" s="42" t="inlineStr">
        <is>
          <t>Period end</t>
        </is>
      </c>
      <c r="D2" s="42" t="inlineStr">
        <is>
          <t>Grain</t>
        </is>
      </c>
      <c r="E2" s="42" t="inlineStr">
        <is>
          <t>Domain</t>
        </is>
      </c>
      <c r="F2" s="42" t="inlineStr">
        <is>
          <t>Metric</t>
        </is>
      </c>
      <c r="G2" s="42" t="inlineStr">
        <is>
          <t>Asset</t>
        </is>
      </c>
      <c r="H2" s="42" t="inlineStr">
        <is>
          <t>Value</t>
        </is>
      </c>
      <c r="I2" s="42" t="inlineStr">
        <is>
          <t>Unit</t>
        </is>
      </c>
      <c r="J2" s="42" t="inlineStr">
        <is>
          <t>Source</t>
        </is>
      </c>
      <c r="K2" s="42" t="inlineStr">
        <is>
          <t>Authority</t>
        </is>
      </c>
      <c r="L2" s="42" t="inlineStr">
        <is>
          <t>Quality</t>
        </is>
      </c>
      <c r="M2" s="42" t="inlineStr">
        <is>
          <t>Baseline type</t>
        </is>
      </c>
      <c r="N2" s="42" t="inlineStr">
        <is>
          <t>Source URL</t>
        </is>
      </c>
      <c r="O2" s="42" t="inlineStr">
        <is>
          <t>Collected at</t>
        </is>
      </c>
      <c r="P2" s="42" t="inlineStr">
        <is>
          <t>Notes</t>
        </is>
      </c>
    </row>
    <row r="3">
      <c r="A3" s="40" t="inlineStr">
        <is>
          <t>B0001</t>
        </is>
      </c>
      <c r="B3" s="40" t="inlineStr">
        <is>
          <t>2026-01-01</t>
        </is>
      </c>
      <c r="C3" s="40" t="inlineStr">
        <is>
          <t>2026-08-31</t>
        </is>
      </c>
      <c r="D3" s="40" t="inlineStr">
        <is>
          <t>YTD</t>
        </is>
      </c>
      <c r="E3" s="40" t="inlineStr">
        <is>
          <t>generation</t>
        </is>
      </c>
      <c r="F3" s="40" t="inlineStr">
        <is>
          <t>ITAIPU_SUPPLY_TO_PY</t>
        </is>
      </c>
      <c r="G3" s="40" t="inlineStr">
        <is>
          <t>ITAIPU</t>
        </is>
      </c>
      <c r="H3" s="43" t="n">
        <v>19276</v>
      </c>
      <c r="I3" s="40" t="inlineStr">
        <is>
          <t>GWh</t>
        </is>
      </c>
      <c r="J3" s="40" t="inlineStr">
        <is>
          <t>ITAIPU</t>
        </is>
      </c>
      <c r="K3" s="40" t="inlineStr">
        <is>
          <t>OFFICIAL_PRIMARY</t>
        </is>
      </c>
      <c r="L3" s="40" t="inlineStr">
        <is>
          <t>OFFICIAL_AGGREGATE</t>
        </is>
      </c>
      <c r="M3" s="40" t="inlineStr">
        <is>
          <t>current_year_actual</t>
        </is>
      </c>
      <c r="N3" s="40" t="inlineStr">
        <is>
          <t>https://www.itaipu.gov.py/noticias/energia/itaipu-suministro-19-276-gwh-de-energia-electrica-a-la-ande-de-enero-a-agosto-de-2026</t>
        </is>
      </c>
      <c r="O3" s="40" t="inlineStr">
        <is>
          <t>2026-09-11T01:00:00-03:00</t>
        </is>
      </c>
      <c r="P3" s="40" t="inlineStr">
        <is>
          <t>Supplied to Paraguay through ANDE Jan-Aug 2026.</t>
        </is>
      </c>
    </row>
    <row r="4">
      <c r="A4" s="40" t="inlineStr">
        <is>
          <t>B0002</t>
        </is>
      </c>
      <c r="B4" s="40" t="inlineStr">
        <is>
          <t>2026-01-01</t>
        </is>
      </c>
      <c r="C4" s="40" t="inlineStr">
        <is>
          <t>2026-08-31</t>
        </is>
      </c>
      <c r="D4" s="40" t="inlineStr">
        <is>
          <t>YTD</t>
        </is>
      </c>
      <c r="E4" s="40" t="inlineStr">
        <is>
          <t>generation</t>
        </is>
      </c>
      <c r="F4" s="40" t="inlineStr">
        <is>
          <t>ITAIPU_TOTAL_GENERATION</t>
        </is>
      </c>
      <c r="G4" s="40" t="inlineStr">
        <is>
          <t>ITAIPU</t>
        </is>
      </c>
      <c r="H4" s="43" t="n">
        <v>51144</v>
      </c>
      <c r="I4" s="40" t="inlineStr">
        <is>
          <t>GWh</t>
        </is>
      </c>
      <c r="J4" s="40" t="inlineStr">
        <is>
          <t>ITAIPU</t>
        </is>
      </c>
      <c r="K4" s="40" t="inlineStr">
        <is>
          <t>OFFICIAL_PRIMARY</t>
        </is>
      </c>
      <c r="L4" s="40" t="inlineStr">
        <is>
          <t>OFFICIAL_AGGREGATE</t>
        </is>
      </c>
      <c r="M4" s="40" t="inlineStr">
        <is>
          <t>current_year_actual</t>
        </is>
      </c>
      <c r="N4" s="40" t="inlineStr">
        <is>
          <t>https://www.itaipu.gov.py/noticias/energia/itaipu-suministro-19-276-gwh-de-energia-electrica-a-la-ande-de-enero-a-agosto-de-2026</t>
        </is>
      </c>
      <c r="O4" s="40" t="inlineStr">
        <is>
          <t>2026-09-11T01:00:00-03:00</t>
        </is>
      </c>
      <c r="P4" s="40" t="inlineStr">
        <is>
          <t>Total generation Jan-Aug 2026.</t>
        </is>
      </c>
    </row>
    <row r="5">
      <c r="A5" s="40" t="inlineStr">
        <is>
          <t>B0003</t>
        </is>
      </c>
      <c r="B5" s="40" t="inlineStr">
        <is>
          <t>2026-01-01</t>
        </is>
      </c>
      <c r="C5" s="40" t="inlineStr">
        <is>
          <t>2026-08-31</t>
        </is>
      </c>
      <c r="D5" s="40" t="inlineStr">
        <is>
          <t>YTD</t>
        </is>
      </c>
      <c r="E5" s="40" t="inlineStr">
        <is>
          <t>operations</t>
        </is>
      </c>
      <c r="F5" s="40" t="inlineStr">
        <is>
          <t>ITAIPU_UNIT_AVAILABILITY</t>
        </is>
      </c>
      <c r="G5" s="40" t="inlineStr">
        <is>
          <t>ITAIPU</t>
        </is>
      </c>
      <c r="H5" s="43" t="n">
        <v>96.34999999999999</v>
      </c>
      <c r="I5" s="40" t="inlineStr">
        <is>
          <t>percent</t>
        </is>
      </c>
      <c r="J5" s="40" t="inlineStr">
        <is>
          <t>ITAIPU</t>
        </is>
      </c>
      <c r="K5" s="40" t="inlineStr">
        <is>
          <t>OFFICIAL_PRIMARY</t>
        </is>
      </c>
      <c r="L5" s="40" t="inlineStr">
        <is>
          <t>OFFICIAL_AGGREGATE</t>
        </is>
      </c>
      <c r="M5" s="40" t="inlineStr">
        <is>
          <t>current_year_actual</t>
        </is>
      </c>
      <c r="N5" s="40" t="inlineStr">
        <is>
          <t>https://www.itaipu.gov.py/noticias/energia/itaipu-suministro-19-276-gwh-de-energia-electrica-a-la-ande-de-enero-a-agosto-de-2026</t>
        </is>
      </c>
      <c r="O5" s="40" t="inlineStr">
        <is>
          <t>2026-09-11T01:00:00-03:00</t>
        </is>
      </c>
      <c r="P5" s="40" t="inlineStr">
        <is>
          <t>Availability through August 2026.</t>
        </is>
      </c>
    </row>
    <row r="6">
      <c r="A6" s="40" t="inlineStr">
        <is>
          <t>B0004</t>
        </is>
      </c>
      <c r="B6" s="40" t="inlineStr">
        <is>
          <t>2026-08-01</t>
        </is>
      </c>
      <c r="C6" s="40" t="inlineStr">
        <is>
          <t>2026-08-31</t>
        </is>
      </c>
      <c r="D6" s="40" t="inlineStr">
        <is>
          <t>month</t>
        </is>
      </c>
      <c r="E6" s="40" t="inlineStr">
        <is>
          <t>generation</t>
        </is>
      </c>
      <c r="F6" s="40" t="inlineStr">
        <is>
          <t>ITAIPU_AUG_TOTAL_GENERATION</t>
        </is>
      </c>
      <c r="G6" s="40" t="inlineStr">
        <is>
          <t>ITAIPU</t>
        </is>
      </c>
      <c r="H6" s="43" t="n">
        <v>6796</v>
      </c>
      <c r="I6" s="40" t="inlineStr">
        <is>
          <t>GWh</t>
        </is>
      </c>
      <c r="J6" s="40" t="inlineStr">
        <is>
          <t>ITAIPU</t>
        </is>
      </c>
      <c r="K6" s="40" t="inlineStr">
        <is>
          <t>OFFICIAL_PRIMARY</t>
        </is>
      </c>
      <c r="L6" s="40" t="inlineStr">
        <is>
          <t>OFFICIAL_AGGREGATE</t>
        </is>
      </c>
      <c r="M6" s="40" t="inlineStr">
        <is>
          <t>latest_month_actual</t>
        </is>
      </c>
      <c r="N6" s="40" t="inlineStr">
        <is>
          <t>https://www.itaipu.gov.py/noticias/energia/itaipu-suministro-19-276-gwh-de-energia-electrica-a-la-ande-de-enero-a-agosto-de-2026</t>
        </is>
      </c>
      <c r="O6" s="40" t="inlineStr">
        <is>
          <t>2026-09-11T01:00:00-03:00</t>
        </is>
      </c>
      <c r="P6" s="40" t="inlineStr"/>
    </row>
    <row r="7">
      <c r="A7" s="40" t="inlineStr">
        <is>
          <t>B0005</t>
        </is>
      </c>
      <c r="B7" s="40" t="inlineStr">
        <is>
          <t>2026-08-01</t>
        </is>
      </c>
      <c r="C7" s="40" t="inlineStr">
        <is>
          <t>2026-08-31</t>
        </is>
      </c>
      <c r="D7" s="40" t="inlineStr">
        <is>
          <t>month</t>
        </is>
      </c>
      <c r="E7" s="40" t="inlineStr">
        <is>
          <t>generation</t>
        </is>
      </c>
      <c r="F7" s="40" t="inlineStr">
        <is>
          <t>ITAIPU_AUG_50HZ_GENERATION</t>
        </is>
      </c>
      <c r="G7" s="40" t="inlineStr">
        <is>
          <t>ITAIPU</t>
        </is>
      </c>
      <c r="H7" s="43" t="n">
        <v>3428</v>
      </c>
      <c r="I7" s="40" t="inlineStr">
        <is>
          <t>GWh</t>
        </is>
      </c>
      <c r="J7" s="40" t="inlineStr">
        <is>
          <t>ITAIPU</t>
        </is>
      </c>
      <c r="K7" s="40" t="inlineStr">
        <is>
          <t>OFFICIAL_PRIMARY</t>
        </is>
      </c>
      <c r="L7" s="40" t="inlineStr">
        <is>
          <t>OFFICIAL_AGGREGATE</t>
        </is>
      </c>
      <c r="M7" s="40" t="inlineStr">
        <is>
          <t>latest_month_actual</t>
        </is>
      </c>
      <c r="N7" s="40" t="inlineStr">
        <is>
          <t>https://www.itaipu.gov.py/noticias/energia/itaipu-suministro-19-276-gwh-de-energia-electrica-a-la-ande-de-enero-a-agosto-de-2026</t>
        </is>
      </c>
      <c r="O7" s="40" t="inlineStr">
        <is>
          <t>2026-09-11T01:00:00-03:00</t>
        </is>
      </c>
      <c r="P7" s="40" t="inlineStr"/>
    </row>
    <row r="8">
      <c r="A8" s="40" t="inlineStr">
        <is>
          <t>B0006</t>
        </is>
      </c>
      <c r="B8" s="40" t="inlineStr">
        <is>
          <t>2026-08-01</t>
        </is>
      </c>
      <c r="C8" s="40" t="inlineStr">
        <is>
          <t>2026-08-31</t>
        </is>
      </c>
      <c r="D8" s="40" t="inlineStr">
        <is>
          <t>month</t>
        </is>
      </c>
      <c r="E8" s="40" t="inlineStr">
        <is>
          <t>generation</t>
        </is>
      </c>
      <c r="F8" s="40" t="inlineStr">
        <is>
          <t>ITAIPU_AUG_SUPPLY_TO_ANDE</t>
        </is>
      </c>
      <c r="G8" s="40" t="inlineStr">
        <is>
          <t>ITAIPU</t>
        </is>
      </c>
      <c r="H8" s="43" t="n">
        <v>2401</v>
      </c>
      <c r="I8" s="40" t="inlineStr">
        <is>
          <t>GWh</t>
        </is>
      </c>
      <c r="J8" s="40" t="inlineStr">
        <is>
          <t>ITAIPU</t>
        </is>
      </c>
      <c r="K8" s="40" t="inlineStr">
        <is>
          <t>OFFICIAL_PRIMARY</t>
        </is>
      </c>
      <c r="L8" s="40" t="inlineStr">
        <is>
          <t>OFFICIAL_AGGREGATE</t>
        </is>
      </c>
      <c r="M8" s="40" t="inlineStr">
        <is>
          <t>latest_month_actual</t>
        </is>
      </c>
      <c r="N8" s="40" t="inlineStr">
        <is>
          <t>https://www.itaipu.gov.py/noticias/energia/itaipu-suministro-19-276-gwh-de-energia-electrica-a-la-ande-de-enero-a-agosto-de-2026</t>
        </is>
      </c>
      <c r="O8" s="40" t="inlineStr">
        <is>
          <t>2026-09-11T01:00:00-03:00</t>
        </is>
      </c>
      <c r="P8" s="40" t="inlineStr"/>
    </row>
    <row r="9">
      <c r="A9" s="40" t="inlineStr">
        <is>
          <t>B0007</t>
        </is>
      </c>
      <c r="B9" s="40" t="inlineStr">
        <is>
          <t>2026-01-01</t>
        </is>
      </c>
      <c r="C9" s="40" t="inlineStr">
        <is>
          <t>2026-08-31</t>
        </is>
      </c>
      <c r="D9" s="40" t="inlineStr">
        <is>
          <t>YTD_avg</t>
        </is>
      </c>
      <c r="E9" s="40" t="inlineStr">
        <is>
          <t>generation</t>
        </is>
      </c>
      <c r="F9" s="40" t="inlineStr">
        <is>
          <t>ITAIPU_AVG_POWER_TO_PY_EQUIV</t>
        </is>
      </c>
      <c r="G9" s="40" t="inlineStr">
        <is>
          <t>ITAIPU</t>
        </is>
      </c>
      <c r="H9" s="43" t="n">
        <v>3305.213</v>
      </c>
      <c r="I9" s="40" t="inlineStr">
        <is>
          <t>MW</t>
        </is>
      </c>
      <c r="J9" s="40" t="inlineStr">
        <is>
          <t>ENERGIAPY</t>
        </is>
      </c>
      <c r="K9" s="40" t="inlineStr">
        <is>
          <t>DERIVED</t>
        </is>
      </c>
      <c r="L9" s="40" t="inlineStr">
        <is>
          <t>DERIVED_FROM_OFFICIAL</t>
        </is>
      </c>
      <c r="M9" s="40" t="inlineStr">
        <is>
          <t>derived_reference_average</t>
        </is>
      </c>
      <c r="N9" s="40" t="inlineStr">
        <is>
          <t>https://www.itaipu.gov.py/noticias/energia/itaipu-suministro-19-276-gwh-de-energia-electrica-a-la-ande-de-enero-a-agosto-de-2026</t>
        </is>
      </c>
      <c r="O9" s="40" t="inlineStr">
        <is>
          <t>2026-09-11T01:00:00-03:00</t>
        </is>
      </c>
      <c r="P9" s="40" t="inlineStr">
        <is>
          <t>Energy/time equivalent average; not an instantaneous measurement.</t>
        </is>
      </c>
    </row>
    <row r="10">
      <c r="A10" s="40" t="inlineStr">
        <is>
          <t>B0008</t>
        </is>
      </c>
      <c r="B10" s="40" t="inlineStr">
        <is>
          <t>2026-01-01</t>
        </is>
      </c>
      <c r="C10" s="40" t="inlineStr">
        <is>
          <t>2026-08-31</t>
        </is>
      </c>
      <c r="D10" s="40" t="inlineStr">
        <is>
          <t>YTD_avg</t>
        </is>
      </c>
      <c r="E10" s="40" t="inlineStr">
        <is>
          <t>generation</t>
        </is>
      </c>
      <c r="F10" s="40" t="inlineStr">
        <is>
          <t>ITAIPU_AVG_TOTAL_POWER_EQUIV</t>
        </is>
      </c>
      <c r="G10" s="40" t="inlineStr">
        <is>
          <t>ITAIPU</t>
        </is>
      </c>
      <c r="H10" s="43" t="n">
        <v>8769.547</v>
      </c>
      <c r="I10" s="40" t="inlineStr">
        <is>
          <t>MW</t>
        </is>
      </c>
      <c r="J10" s="40" t="inlineStr">
        <is>
          <t>ENERGIAPY</t>
        </is>
      </c>
      <c r="K10" s="40" t="inlineStr">
        <is>
          <t>DERIVED</t>
        </is>
      </c>
      <c r="L10" s="40" t="inlineStr">
        <is>
          <t>DERIVED_FROM_OFFICIAL</t>
        </is>
      </c>
      <c r="M10" s="40" t="inlineStr">
        <is>
          <t>derived_reference_average</t>
        </is>
      </c>
      <c r="N10" s="40" t="inlineStr">
        <is>
          <t>https://www.itaipu.gov.py/noticias/energia/itaipu-suministro-19-276-gwh-de-energia-electrica-a-la-ande-de-enero-a-agosto-de-2026</t>
        </is>
      </c>
      <c r="O10" s="40" t="inlineStr">
        <is>
          <t>2026-09-11T01:00:00-03:00</t>
        </is>
      </c>
      <c r="P10" s="40" t="inlineStr">
        <is>
          <t>Energy/time equivalent average; not an instantaneous measurement.</t>
        </is>
      </c>
    </row>
    <row r="11">
      <c r="A11" s="40" t="inlineStr">
        <is>
          <t>B0009</t>
        </is>
      </c>
      <c r="B11" s="40" t="inlineStr">
        <is>
          <t>2026-08-01</t>
        </is>
      </c>
      <c r="C11" s="40" t="inlineStr">
        <is>
          <t>2026-08-31</t>
        </is>
      </c>
      <c r="D11" s="40" t="inlineStr">
        <is>
          <t>month_avg</t>
        </is>
      </c>
      <c r="E11" s="40" t="inlineStr">
        <is>
          <t>generation</t>
        </is>
      </c>
      <c r="F11" s="40" t="inlineStr">
        <is>
          <t>ITAIPU_AUG_AVG_POWER_EQUIV</t>
        </is>
      </c>
      <c r="G11" s="40" t="inlineStr">
        <is>
          <t>ITAIPU</t>
        </is>
      </c>
      <c r="H11" s="43" t="n">
        <v>9134.409</v>
      </c>
      <c r="I11" s="40" t="inlineStr">
        <is>
          <t>MW</t>
        </is>
      </c>
      <c r="J11" s="40" t="inlineStr">
        <is>
          <t>ENERGIAPY</t>
        </is>
      </c>
      <c r="K11" s="40" t="inlineStr">
        <is>
          <t>DERIVED</t>
        </is>
      </c>
      <c r="L11" s="40" t="inlineStr">
        <is>
          <t>DERIVED_FROM_OFFICIAL</t>
        </is>
      </c>
      <c r="M11" s="40" t="inlineStr">
        <is>
          <t>derived_reference_average</t>
        </is>
      </c>
      <c r="N11" s="40" t="inlineStr">
        <is>
          <t>https://www.itaipu.gov.py/noticias/energia/itaipu-suministro-19-276-gwh-de-energia-electrica-a-la-ande-de-enero-a-agosto-de-2026</t>
        </is>
      </c>
      <c r="O11" s="40" t="inlineStr">
        <is>
          <t>2026-09-11T01:00:00-03:00</t>
        </is>
      </c>
      <c r="P11" s="40" t="inlineStr"/>
    </row>
    <row r="12">
      <c r="A12" s="40" t="inlineStr">
        <is>
          <t>B0010</t>
        </is>
      </c>
      <c r="B12" s="40" t="inlineStr">
        <is>
          <t>2026-08-01</t>
        </is>
      </c>
      <c r="C12" s="40" t="inlineStr">
        <is>
          <t>2026-08-31</t>
        </is>
      </c>
      <c r="D12" s="40" t="inlineStr">
        <is>
          <t>month_avg</t>
        </is>
      </c>
      <c r="E12" s="40" t="inlineStr">
        <is>
          <t>generation</t>
        </is>
      </c>
      <c r="F12" s="40" t="inlineStr">
        <is>
          <t>ITAIPU_AUG_AVG_TO_ANDE_EQUIV</t>
        </is>
      </c>
      <c r="G12" s="40" t="inlineStr">
        <is>
          <t>ITAIPU</t>
        </is>
      </c>
      <c r="H12" s="43" t="n">
        <v>3227.151</v>
      </c>
      <c r="I12" s="40" t="inlineStr">
        <is>
          <t>MW</t>
        </is>
      </c>
      <c r="J12" s="40" t="inlineStr">
        <is>
          <t>ENERGIAPY</t>
        </is>
      </c>
      <c r="K12" s="40" t="inlineStr">
        <is>
          <t>DERIVED</t>
        </is>
      </c>
      <c r="L12" s="40" t="inlineStr">
        <is>
          <t>DERIVED_FROM_OFFICIAL</t>
        </is>
      </c>
      <c r="M12" s="40" t="inlineStr">
        <is>
          <t>derived_reference_average</t>
        </is>
      </c>
      <c r="N12" s="40" t="inlineStr">
        <is>
          <t>https://www.itaipu.gov.py/noticias/energia/itaipu-suministro-19-276-gwh-de-energia-electrica-a-la-ande-de-enero-a-agosto-de-2026</t>
        </is>
      </c>
      <c r="O12" s="40" t="inlineStr">
        <is>
          <t>2026-09-11T01:00:00-03:00</t>
        </is>
      </c>
      <c r="P12" s="40" t="inlineStr"/>
    </row>
    <row r="13">
      <c r="A13" s="40" t="inlineStr">
        <is>
          <t>B0011</t>
        </is>
      </c>
      <c r="B13" s="40" t="inlineStr">
        <is>
          <t>2026-09-11</t>
        </is>
      </c>
      <c r="C13" s="40" t="inlineStr">
        <is>
          <t>2026-09-11</t>
        </is>
      </c>
      <c r="D13" s="40" t="inlineStr">
        <is>
          <t>latest_hour_label</t>
        </is>
      </c>
      <c r="E13" s="40" t="inlineStr">
        <is>
          <t>generation</t>
        </is>
      </c>
      <c r="F13" s="40" t="inlineStr">
        <is>
          <t>YACYRETA_POWER_LAST_HOUR</t>
        </is>
      </c>
      <c r="G13" s="40" t="inlineStr">
        <is>
          <t>YACYRETA</t>
        </is>
      </c>
      <c r="H13" s="43" t="n">
        <v>2034</v>
      </c>
      <c r="I13" s="40" t="inlineStr">
        <is>
          <t>MW</t>
        </is>
      </c>
      <c r="J13" s="40" t="inlineStr">
        <is>
          <t>EBY</t>
        </is>
      </c>
      <c r="K13" s="40" t="inlineStr">
        <is>
          <t>OFFICIAL_PRIMARY</t>
        </is>
      </c>
      <c r="L13" s="40" t="inlineStr">
        <is>
          <t>OFFICIAL_WEB_CURRENT</t>
        </is>
      </c>
      <c r="M13" s="40" t="inlineStr">
        <is>
          <t>current_snapshot</t>
        </is>
      </c>
      <c r="N13" s="40" t="inlineStr">
        <is>
          <t>https://eby.gov.py/</t>
        </is>
      </c>
      <c r="O13" s="40" t="inlineStr">
        <is>
          <t>2026-09-11T01:00:00-03:00</t>
        </is>
      </c>
      <c r="P13" s="40" t="inlineStr">
        <is>
          <t>EBY homepage says power generated in the last hour; exact measurement timestamp is not exposed.</t>
        </is>
      </c>
    </row>
    <row r="14">
      <c r="A14" s="40" t="inlineStr">
        <is>
          <t>B0012</t>
        </is>
      </c>
      <c r="B14" s="40" t="inlineStr">
        <is>
          <t>2026-09-10</t>
        </is>
      </c>
      <c r="C14" s="40" t="inlineStr">
        <is>
          <t>2026-09-10</t>
        </is>
      </c>
      <c r="D14" s="40" t="inlineStr">
        <is>
          <t>06:00</t>
        </is>
      </c>
      <c r="E14" s="40" t="inlineStr">
        <is>
          <t>hydrology</t>
        </is>
      </c>
      <c r="F14" s="40" t="inlineStr">
        <is>
          <t>YACYRETA_RESERVOIR_LEVEL</t>
        </is>
      </c>
      <c r="G14" s="40" t="inlineStr">
        <is>
          <t>YACYRETA</t>
        </is>
      </c>
      <c r="H14" s="43" t="n">
        <v>82.81999999999999</v>
      </c>
      <c r="I14" s="40" t="inlineStr">
        <is>
          <t>mSNM</t>
        </is>
      </c>
      <c r="J14" s="40" t="inlineStr">
        <is>
          <t>EBY</t>
        </is>
      </c>
      <c r="K14" s="40" t="inlineStr">
        <is>
          <t>OFFICIAL_PRIMARY</t>
        </is>
      </c>
      <c r="L14" s="40" t="inlineStr">
        <is>
          <t>OFFICIAL_MEASURED</t>
        </is>
      </c>
      <c r="M14" s="40" t="inlineStr">
        <is>
          <t>current_snapshot</t>
        </is>
      </c>
      <c r="N14" s="40" t="inlineStr">
        <is>
          <t>https://eby.gov.py/cota-82-82-msnm-resumen-ejecutivo-n-6077-10-09-2026/</t>
        </is>
      </c>
      <c r="O14" s="40" t="inlineStr">
        <is>
          <t>2026-09-11T01:00:00-03:00</t>
        </is>
      </c>
      <c r="P14" s="40" t="inlineStr"/>
    </row>
    <row r="15">
      <c r="A15" s="40" t="inlineStr">
        <is>
          <t>B0013</t>
        </is>
      </c>
      <c r="B15" s="40" t="inlineStr">
        <is>
          <t>2026-09-10</t>
        </is>
      </c>
      <c r="C15" s="40" t="inlineStr">
        <is>
          <t>2026-09-10</t>
        </is>
      </c>
      <c r="D15" s="40" t="inlineStr">
        <is>
          <t>day</t>
        </is>
      </c>
      <c r="E15" s="40" t="inlineStr">
        <is>
          <t>hydrology</t>
        </is>
      </c>
      <c r="F15" s="40" t="inlineStr">
        <is>
          <t>YACYRETA_INFLOW_FORECAST</t>
        </is>
      </c>
      <c r="G15" s="40" t="inlineStr">
        <is>
          <t>YACYRETA</t>
        </is>
      </c>
      <c r="H15" s="43" t="n">
        <v>13400</v>
      </c>
      <c r="I15" s="40" t="inlineStr">
        <is>
          <t>m3/s</t>
        </is>
      </c>
      <c r="J15" s="40" t="inlineStr">
        <is>
          <t>EBY</t>
        </is>
      </c>
      <c r="K15" s="40" t="inlineStr">
        <is>
          <t>OFFICIAL_PRIMARY</t>
        </is>
      </c>
      <c r="L15" s="40" t="inlineStr">
        <is>
          <t>OFFICIAL_FORECAST</t>
        </is>
      </c>
      <c r="M15" s="40" t="inlineStr">
        <is>
          <t>current_forecast</t>
        </is>
      </c>
      <c r="N15" s="40" t="inlineStr">
        <is>
          <t>https://eby.gov.py/cota-82-82-msnm-resumen-ejecutivo-n-6077-10-09-2026/</t>
        </is>
      </c>
      <c r="O15" s="40" t="inlineStr">
        <is>
          <t>2026-09-11T01:00:00-03:00</t>
        </is>
      </c>
      <c r="P15" s="40" t="inlineStr"/>
    </row>
    <row r="16">
      <c r="A16" s="40" t="inlineStr">
        <is>
          <t>B0014</t>
        </is>
      </c>
      <c r="B16" s="40" t="inlineStr">
        <is>
          <t>2026-09-11</t>
        </is>
      </c>
      <c r="C16" s="40" t="inlineStr">
        <is>
          <t>2026-09-11</t>
        </is>
      </c>
      <c r="D16" s="40" t="inlineStr">
        <is>
          <t>day</t>
        </is>
      </c>
      <c r="E16" s="40" t="inlineStr">
        <is>
          <t>hydrology</t>
        </is>
      </c>
      <c r="F16" s="40" t="inlineStr">
        <is>
          <t>YACYRETA_INFLOW_FORECAST_NEXT_DAY</t>
        </is>
      </c>
      <c r="G16" s="40" t="inlineStr">
        <is>
          <t>YACYRETA</t>
        </is>
      </c>
      <c r="H16" s="43" t="n">
        <v>14500</v>
      </c>
      <c r="I16" s="40" t="inlineStr">
        <is>
          <t>m3/s</t>
        </is>
      </c>
      <c r="J16" s="40" t="inlineStr">
        <is>
          <t>EBY</t>
        </is>
      </c>
      <c r="K16" s="40" t="inlineStr">
        <is>
          <t>OFFICIAL_PRIMARY</t>
        </is>
      </c>
      <c r="L16" s="40" t="inlineStr">
        <is>
          <t>OFFICIAL_FORECAST</t>
        </is>
      </c>
      <c r="M16" s="40" t="inlineStr">
        <is>
          <t>current_forecast</t>
        </is>
      </c>
      <c r="N16" s="40" t="inlineStr">
        <is>
          <t>https://eby.gov.py/cota-82-82-msnm-resumen-ejecutivo-n-6077-10-09-2026/</t>
        </is>
      </c>
      <c r="O16" s="40" t="inlineStr">
        <is>
          <t>2026-09-11T01:00:00-03:00</t>
        </is>
      </c>
      <c r="P16" s="40" t="inlineStr"/>
    </row>
    <row r="17">
      <c r="A17" s="40" t="inlineStr">
        <is>
          <t>B0015</t>
        </is>
      </c>
      <c r="B17" s="40" t="inlineStr">
        <is>
          <t>2026-09-10</t>
        </is>
      </c>
      <c r="C17" s="40" t="inlineStr">
        <is>
          <t>2026-09-10</t>
        </is>
      </c>
      <c r="D17" s="40" t="inlineStr">
        <is>
          <t>day</t>
        </is>
      </c>
      <c r="E17" s="40" t="inlineStr">
        <is>
          <t>hydrology</t>
        </is>
      </c>
      <c r="F17" s="40" t="inlineStr">
        <is>
          <t>YACYRETA_ANACUA_FLOW</t>
        </is>
      </c>
      <c r="G17" s="40" t="inlineStr">
        <is>
          <t>YACYRETA</t>
        </is>
      </c>
      <c r="H17" s="43" t="n">
        <v>1000</v>
      </c>
      <c r="I17" s="40" t="inlineStr">
        <is>
          <t>m3/s</t>
        </is>
      </c>
      <c r="J17" s="40" t="inlineStr">
        <is>
          <t>EBY</t>
        </is>
      </c>
      <c r="K17" s="40" t="inlineStr">
        <is>
          <t>OFFICIAL_PRIMARY</t>
        </is>
      </c>
      <c r="L17" s="40" t="inlineStr">
        <is>
          <t>OFFICIAL_OPERATIONAL</t>
        </is>
      </c>
      <c r="M17" s="40" t="inlineStr">
        <is>
          <t>current_snapshot</t>
        </is>
      </c>
      <c r="N17" s="40" t="inlineStr">
        <is>
          <t>https://eby.gov.py/cota-82-82-msnm-resumen-ejecutivo-n-6077-10-09-2026/</t>
        </is>
      </c>
      <c r="O17" s="40" t="inlineStr">
        <is>
          <t>2026-09-11T01:00:00-03:00</t>
        </is>
      </c>
      <c r="P17" s="40" t="inlineStr">
        <is>
          <t>Brazo Ana Cua spillway.</t>
        </is>
      </c>
    </row>
    <row r="18">
      <c r="A18" s="40" t="inlineStr">
        <is>
          <t>B0016</t>
        </is>
      </c>
      <c r="B18" s="40" t="inlineStr">
        <is>
          <t>2026-09-10</t>
        </is>
      </c>
      <c r="C18" s="40" t="inlineStr">
        <is>
          <t>2026-09-10</t>
        </is>
      </c>
      <c r="D18" s="40" t="inlineStr">
        <is>
          <t>day</t>
        </is>
      </c>
      <c r="E18" s="40" t="inlineStr">
        <is>
          <t>hydrology</t>
        </is>
      </c>
      <c r="F18" s="40" t="inlineStr">
        <is>
          <t>AYOLAS_RIVER_LEVEL</t>
        </is>
      </c>
      <c r="G18" s="40" t="inlineStr">
        <is>
          <t>AYOLAS</t>
        </is>
      </c>
      <c r="H18" s="43" t="n">
        <v>1.8</v>
      </c>
      <c r="I18" s="40" t="inlineStr">
        <is>
          <t>m</t>
        </is>
      </c>
      <c r="J18" s="40" t="inlineStr">
        <is>
          <t>EBY</t>
        </is>
      </c>
      <c r="K18" s="40" t="inlineStr">
        <is>
          <t>OFFICIAL_PRIMARY</t>
        </is>
      </c>
      <c r="L18" s="40" t="inlineStr">
        <is>
          <t>OFFICIAL_MEASURED</t>
        </is>
      </c>
      <c r="M18" s="40" t="inlineStr">
        <is>
          <t>current_snapshot</t>
        </is>
      </c>
      <c r="N18" s="40" t="inlineStr">
        <is>
          <t>https://eby.gov.py/cota-82-82-msnm-resumen-ejecutivo-n-6077-10-09-2026/</t>
        </is>
      </c>
      <c r="O18" s="40" t="inlineStr">
        <is>
          <t>2026-09-11T01:00:00-03:00</t>
        </is>
      </c>
      <c r="P18" s="40" t="inlineStr"/>
    </row>
    <row r="19">
      <c r="A19" s="40" t="inlineStr">
        <is>
          <t>B0017</t>
        </is>
      </c>
      <c r="B19" s="40" t="inlineStr">
        <is>
          <t>2026-09-10</t>
        </is>
      </c>
      <c r="C19" s="40" t="inlineStr">
        <is>
          <t>2026-09-10</t>
        </is>
      </c>
      <c r="D19" s="40" t="inlineStr">
        <is>
          <t>02:00</t>
        </is>
      </c>
      <c r="E19" s="40" t="inlineStr">
        <is>
          <t>hydrology</t>
        </is>
      </c>
      <c r="F19" s="40" t="inlineStr">
        <is>
          <t>ITUZAINGO_RIVER_LEVEL</t>
        </is>
      </c>
      <c r="G19" s="40" t="inlineStr">
        <is>
          <t>ITUZAINGO</t>
        </is>
      </c>
      <c r="H19" s="43" t="n">
        <v>1.6</v>
      </c>
      <c r="I19" s="40" t="inlineStr">
        <is>
          <t>m</t>
        </is>
      </c>
      <c r="J19" s="40" t="inlineStr">
        <is>
          <t>EBY</t>
        </is>
      </c>
      <c r="K19" s="40" t="inlineStr">
        <is>
          <t>OFFICIAL_PRIMARY</t>
        </is>
      </c>
      <c r="L19" s="40" t="inlineStr">
        <is>
          <t>OFFICIAL_MEASURED</t>
        </is>
      </c>
      <c r="M19" s="40" t="inlineStr">
        <is>
          <t>current_snapshot</t>
        </is>
      </c>
      <c r="N19" s="40" t="inlineStr">
        <is>
          <t>https://eby.gov.py/cota-82-82-msnm-resumen-ejecutivo-n-6077-10-09-2026/</t>
        </is>
      </c>
      <c r="O19" s="40" t="inlineStr">
        <is>
          <t>2026-09-11T01:00:00-03:00</t>
        </is>
      </c>
      <c r="P19" s="40" t="inlineStr"/>
    </row>
    <row r="20">
      <c r="A20" s="40" t="inlineStr">
        <is>
          <t>B0018</t>
        </is>
      </c>
      <c r="B20" s="40" t="inlineStr">
        <is>
          <t>2025-01-01</t>
        </is>
      </c>
      <c r="C20" s="40" t="inlineStr">
        <is>
          <t>2025-12-31</t>
        </is>
      </c>
      <c r="D20" s="40" t="inlineStr">
        <is>
          <t>year</t>
        </is>
      </c>
      <c r="E20" s="40" t="inlineStr">
        <is>
          <t>system</t>
        </is>
      </c>
      <c r="F20" s="40" t="inlineStr">
        <is>
          <t>PY_SIN_ENERGY_CONSUMPTION</t>
        </is>
      </c>
      <c r="G20" s="40" t="inlineStr">
        <is>
          <t>PY_SIN</t>
        </is>
      </c>
      <c r="H20" s="43" t="n">
        <v>29418538</v>
      </c>
      <c r="I20" s="40" t="inlineStr">
        <is>
          <t>MWh</t>
        </is>
      </c>
      <c r="J20" s="40" t="inlineStr">
        <is>
          <t>ANDE</t>
        </is>
      </c>
      <c r="K20" s="40" t="inlineStr">
        <is>
          <t>OFFICIAL_PRIMARY</t>
        </is>
      </c>
      <c r="L20" s="40" t="inlineStr">
        <is>
          <t>OFFICIAL_AGGREGATE</t>
        </is>
      </c>
      <c r="M20" s="40" t="inlineStr">
        <is>
          <t>latest_full_year_actual</t>
        </is>
      </c>
      <c r="N20" s="40" t="inlineStr">
        <is>
          <t>https://www.ande.gov.py/finanzas/BAGP%202025%20ANDE.pdf</t>
        </is>
      </c>
      <c r="O20" s="40" t="inlineStr">
        <is>
          <t>2026-09-11T01:00:00-03:00</t>
        </is>
      </c>
      <c r="P20" s="40" t="inlineStr"/>
    </row>
    <row r="21">
      <c r="A21" s="40" t="inlineStr">
        <is>
          <t>B0019</t>
        </is>
      </c>
      <c r="B21" s="40" t="inlineStr">
        <is>
          <t>2025-01-01</t>
        </is>
      </c>
      <c r="C21" s="40" t="inlineStr">
        <is>
          <t>2025-12-31</t>
        </is>
      </c>
      <c r="D21" s="40" t="inlineStr">
        <is>
          <t>year</t>
        </is>
      </c>
      <c r="E21" s="40" t="inlineStr">
        <is>
          <t>system</t>
        </is>
      </c>
      <c r="F21" s="40" t="inlineStr">
        <is>
          <t>PY_SIN_MAX_DEMAND</t>
        </is>
      </c>
      <c r="G21" s="40" t="inlineStr">
        <is>
          <t>PY_SIN</t>
        </is>
      </c>
      <c r="H21" s="43" t="n">
        <v>5280</v>
      </c>
      <c r="I21" s="40" t="inlineStr">
        <is>
          <t>MW</t>
        </is>
      </c>
      <c r="J21" s="40" t="inlineStr">
        <is>
          <t>ANDE</t>
        </is>
      </c>
      <c r="K21" s="40" t="inlineStr">
        <is>
          <t>OFFICIAL_PRIMARY</t>
        </is>
      </c>
      <c r="L21" s="40" t="inlineStr">
        <is>
          <t>OFFICIAL_AGGREGATE</t>
        </is>
      </c>
      <c r="M21" s="40" t="inlineStr">
        <is>
          <t>latest_full_year_actual</t>
        </is>
      </c>
      <c r="N21" s="40" t="inlineStr">
        <is>
          <t>https://www.ande.gov.py/finanzas/BAGP%202025%20ANDE.pdf</t>
        </is>
      </c>
      <c r="O21" s="40" t="inlineStr">
        <is>
          <t>2026-09-11T01:00:00-03:00</t>
        </is>
      </c>
      <c r="P21" s="40" t="inlineStr"/>
    </row>
    <row r="22">
      <c r="A22" s="40" t="inlineStr">
        <is>
          <t>B0020</t>
        </is>
      </c>
      <c r="B22" s="40" t="inlineStr">
        <is>
          <t>2025-01-01</t>
        </is>
      </c>
      <c r="C22" s="40" t="inlineStr">
        <is>
          <t>2025-12-31</t>
        </is>
      </c>
      <c r="D22" s="40" t="inlineStr">
        <is>
          <t>year</t>
        </is>
      </c>
      <c r="E22" s="40" t="inlineStr">
        <is>
          <t>system</t>
        </is>
      </c>
      <c r="F22" s="40" t="inlineStr">
        <is>
          <t>PY_SIN_LOAD_FACTOR</t>
        </is>
      </c>
      <c r="G22" s="40" t="inlineStr">
        <is>
          <t>PY_SIN</t>
        </is>
      </c>
      <c r="H22" s="43" t="n">
        <v>63.6</v>
      </c>
      <c r="I22" s="40" t="inlineStr">
        <is>
          <t>percent</t>
        </is>
      </c>
      <c r="J22" s="40" t="inlineStr">
        <is>
          <t>ANDE</t>
        </is>
      </c>
      <c r="K22" s="40" t="inlineStr">
        <is>
          <t>OFFICIAL_PRIMARY</t>
        </is>
      </c>
      <c r="L22" s="40" t="inlineStr">
        <is>
          <t>OFFICIAL_AGGREGATE</t>
        </is>
      </c>
      <c r="M22" s="40" t="inlineStr">
        <is>
          <t>latest_full_year_actual</t>
        </is>
      </c>
      <c r="N22" s="40" t="inlineStr">
        <is>
          <t>https://www.ande.gov.py/finanzas/BAGP%202025%20ANDE.pdf</t>
        </is>
      </c>
      <c r="O22" s="40" t="inlineStr">
        <is>
          <t>2026-09-11T01:00:00-03:00</t>
        </is>
      </c>
      <c r="P22" s="40" t="inlineStr"/>
    </row>
    <row r="23">
      <c r="A23" s="40" t="inlineStr">
        <is>
          <t>B0021</t>
        </is>
      </c>
      <c r="B23" s="40" t="inlineStr">
        <is>
          <t>2025-01-01</t>
        </is>
      </c>
      <c r="C23" s="40" t="inlineStr">
        <is>
          <t>2025-12-31</t>
        </is>
      </c>
      <c r="D23" s="40" t="inlineStr">
        <is>
          <t>year</t>
        </is>
      </c>
      <c r="E23" s="40" t="inlineStr">
        <is>
          <t>grid_quality</t>
        </is>
      </c>
      <c r="F23" s="40" t="inlineStr">
        <is>
          <t>ANDE_TOTAL_LOSS_RATE</t>
        </is>
      </c>
      <c r="G23" s="40" t="inlineStr">
        <is>
          <t>PY_GRID</t>
        </is>
      </c>
      <c r="H23" s="43" t="n">
        <v>24.4</v>
      </c>
      <c r="I23" s="40" t="inlineStr">
        <is>
          <t>percent</t>
        </is>
      </c>
      <c r="J23" s="40" t="inlineStr">
        <is>
          <t>ANDE</t>
        </is>
      </c>
      <c r="K23" s="40" t="inlineStr">
        <is>
          <t>OFFICIAL_PRIMARY</t>
        </is>
      </c>
      <c r="L23" s="40" t="inlineStr">
        <is>
          <t>OFFICIAL_AGGREGATE</t>
        </is>
      </c>
      <c r="M23" s="40" t="inlineStr">
        <is>
          <t>latest_full_year_actual</t>
        </is>
      </c>
      <c r="N23" s="40" t="inlineStr">
        <is>
          <t>https://www.ande.gov.py/finanzas/BAGP%202025%20ANDE.pdf</t>
        </is>
      </c>
      <c r="O23" s="40" t="inlineStr">
        <is>
          <t>2026-09-11T01:00:00-03:00</t>
        </is>
      </c>
      <c r="P23" s="40" t="inlineStr">
        <is>
          <t>BAGP annual canonical figure. ANDE news rounds this to 24.5%.</t>
        </is>
      </c>
    </row>
    <row r="24">
      <c r="A24" s="40" t="inlineStr">
        <is>
          <t>B0022</t>
        </is>
      </c>
      <c r="B24" s="40" t="inlineStr">
        <is>
          <t>2025-01-01</t>
        </is>
      </c>
      <c r="C24" s="40" t="inlineStr">
        <is>
          <t>2025-12-31</t>
        </is>
      </c>
      <c r="D24" s="40" t="inlineStr">
        <is>
          <t>year</t>
        </is>
      </c>
      <c r="E24" s="40" t="inlineStr">
        <is>
          <t>grid_quality</t>
        </is>
      </c>
      <c r="F24" s="40" t="inlineStr">
        <is>
          <t>ANDE_DISTRIBUTION_LOSS_RATE</t>
        </is>
      </c>
      <c r="G24" s="40" t="inlineStr">
        <is>
          <t>PY_GRID</t>
        </is>
      </c>
      <c r="H24" s="43" t="n">
        <v>20.03</v>
      </c>
      <c r="I24" s="40" t="inlineStr">
        <is>
          <t>percent</t>
        </is>
      </c>
      <c r="J24" s="40" t="inlineStr">
        <is>
          <t>ANDE</t>
        </is>
      </c>
      <c r="K24" s="40" t="inlineStr">
        <is>
          <t>OFFICIAL_PRIMARY</t>
        </is>
      </c>
      <c r="L24" s="40" t="inlineStr">
        <is>
          <t>OFFICIAL_RELEASE</t>
        </is>
      </c>
      <c r="M24" s="40" t="inlineStr">
        <is>
          <t>latest_full_year_actual</t>
        </is>
      </c>
      <c r="N24" s="40" t="inlineStr">
        <is>
          <t>https://www.ande.gov.py/interna.php?id=15116</t>
        </is>
      </c>
      <c r="O24" s="40" t="inlineStr">
        <is>
          <t>2026-09-11T01:00:00-03:00</t>
        </is>
      </c>
      <c r="P24" s="40" t="inlineStr"/>
    </row>
    <row r="25">
      <c r="A25" s="40" t="inlineStr">
        <is>
          <t>B0023</t>
        </is>
      </c>
      <c r="B25" s="40" t="inlineStr">
        <is>
          <t>2024-12-01</t>
        </is>
      </c>
      <c r="C25" s="40" t="inlineStr">
        <is>
          <t>2025-03-31</t>
        </is>
      </c>
      <c r="D25" s="40" t="inlineStr">
        <is>
          <t>season</t>
        </is>
      </c>
      <c r="E25" s="40" t="inlineStr">
        <is>
          <t>grid_quality</t>
        </is>
      </c>
      <c r="F25" s="40" t="inlineStr">
        <is>
          <t>DEP_METROPOLITAN_SUMMER</t>
        </is>
      </c>
      <c r="G25" s="40" t="inlineStr">
        <is>
          <t>PY_GRID_METRO</t>
        </is>
      </c>
      <c r="H25" s="43" t="n">
        <v>2.44</v>
      </c>
      <c r="I25" s="40" t="inlineStr">
        <is>
          <t>hours</t>
        </is>
      </c>
      <c r="J25" s="40" t="inlineStr">
        <is>
          <t>ANDE</t>
        </is>
      </c>
      <c r="K25" s="40" t="inlineStr">
        <is>
          <t>OFFICIAL_PRIMARY</t>
        </is>
      </c>
      <c r="L25" s="40" t="inlineStr">
        <is>
          <t>OFFICIAL_RELEASE</t>
        </is>
      </c>
      <c r="M25" s="40" t="inlineStr">
        <is>
          <t>recent_quality_baseline</t>
        </is>
      </c>
      <c r="N25" s="40" t="inlineStr">
        <is>
          <t>https://www.ande.gov.py/interna.php?id=13680</t>
        </is>
      </c>
      <c r="O25" s="40" t="inlineStr">
        <is>
          <t>2026-09-11T01:00:00-03:00</t>
        </is>
      </c>
      <c r="P25" s="40" t="inlineStr"/>
    </row>
    <row r="26">
      <c r="A26" s="40" t="inlineStr">
        <is>
          <t>B0024</t>
        </is>
      </c>
      <c r="B26" s="40" t="inlineStr">
        <is>
          <t>2024-12-01</t>
        </is>
      </c>
      <c r="C26" s="40" t="inlineStr">
        <is>
          <t>2025-03-31</t>
        </is>
      </c>
      <c r="D26" s="40" t="inlineStr">
        <is>
          <t>season</t>
        </is>
      </c>
      <c r="E26" s="40" t="inlineStr">
        <is>
          <t>grid_quality</t>
        </is>
      </c>
      <c r="F26" s="40" t="inlineStr">
        <is>
          <t>FEP_METROPOLITAN_SUMMER</t>
        </is>
      </c>
      <c r="G26" s="40" t="inlineStr">
        <is>
          <t>PY_GRID_METRO</t>
        </is>
      </c>
      <c r="H26" s="43" t="n">
        <v>3.79</v>
      </c>
      <c r="I26" s="40" t="inlineStr">
        <is>
          <t>interruptions_equivalent</t>
        </is>
      </c>
      <c r="J26" s="40" t="inlineStr">
        <is>
          <t>ANDE</t>
        </is>
      </c>
      <c r="K26" s="40" t="inlineStr">
        <is>
          <t>OFFICIAL_PRIMARY</t>
        </is>
      </c>
      <c r="L26" s="40" t="inlineStr">
        <is>
          <t>OFFICIAL_RELEASE</t>
        </is>
      </c>
      <c r="M26" s="40" t="inlineStr">
        <is>
          <t>recent_quality_baseline</t>
        </is>
      </c>
      <c r="N26" s="40" t="inlineStr">
        <is>
          <t>https://www.ande.gov.py/interna.php?id=13680</t>
        </is>
      </c>
      <c r="O26" s="40" t="inlineStr">
        <is>
          <t>2026-09-11T01:00:00-03:00</t>
        </is>
      </c>
      <c r="P26" s="40" t="inlineStr"/>
    </row>
    <row r="27">
      <c r="A27" s="40" t="inlineStr">
        <is>
          <t>B0025</t>
        </is>
      </c>
      <c r="B27" s="40" t="inlineStr">
        <is>
          <t>2025-01-01</t>
        </is>
      </c>
      <c r="C27" s="40" t="inlineStr">
        <is>
          <t>2025-12-31</t>
        </is>
      </c>
      <c r="D27" s="40" t="inlineStr">
        <is>
          <t>year</t>
        </is>
      </c>
      <c r="E27" s="40" t="inlineStr">
        <is>
          <t>citizenship</t>
        </is>
      </c>
      <c r="F27" s="40" t="inlineStr">
        <is>
          <t>TARIFA_SOCIAL_SUBSIDY_TOTAL</t>
        </is>
      </c>
      <c r="G27" s="40" t="inlineStr">
        <is>
          <t>PY_HOUSEHOLDS</t>
        </is>
      </c>
      <c r="H27" s="43" t="n">
        <v>50185</v>
      </c>
      <c r="I27" s="40" t="inlineStr">
        <is>
          <t>million_PYG</t>
        </is>
      </c>
      <c r="J27" s="40" t="inlineStr">
        <is>
          <t>ANDE</t>
        </is>
      </c>
      <c r="K27" s="40" t="inlineStr">
        <is>
          <t>OFFICIAL_PRIMARY</t>
        </is>
      </c>
      <c r="L27" s="40" t="inlineStr">
        <is>
          <t>OFFICIAL_AGGREGATE</t>
        </is>
      </c>
      <c r="M27" s="40" t="inlineStr">
        <is>
          <t>latest_full_year_actual</t>
        </is>
      </c>
      <c r="N27" s="40" t="inlineStr">
        <is>
          <t>https://www.ande.gov.py/finanzas/BAGP%202025%20ANDE.pdf</t>
        </is>
      </c>
      <c r="O27" s="40" t="inlineStr">
        <is>
          <t>2026-09-11T01:00:00-03:00</t>
        </is>
      </c>
      <c r="P27" s="40" t="inlineStr"/>
    </row>
    <row r="28">
      <c r="A28" s="40" t="inlineStr">
        <is>
          <t>B0026</t>
        </is>
      </c>
      <c r="B28" s="40" t="inlineStr">
        <is>
          <t>2025-01-01</t>
        </is>
      </c>
      <c r="C28" s="40" t="inlineStr">
        <is>
          <t>2025-12-31</t>
        </is>
      </c>
      <c r="D28" s="40" t="inlineStr">
        <is>
          <t>year_avg</t>
        </is>
      </c>
      <c r="E28" s="40" t="inlineStr">
        <is>
          <t>citizenship</t>
        </is>
      </c>
      <c r="F28" s="40" t="inlineStr">
        <is>
          <t>TARIFA_SOCIAL_SUBSIDY_MONTHLY_AVG</t>
        </is>
      </c>
      <c r="G28" s="40" t="inlineStr">
        <is>
          <t>PY_HOUSEHOLDS</t>
        </is>
      </c>
      <c r="H28" s="43" t="n">
        <v>4182</v>
      </c>
      <c r="I28" s="40" t="inlineStr">
        <is>
          <t>million_PYG/month</t>
        </is>
      </c>
      <c r="J28" s="40" t="inlineStr">
        <is>
          <t>ANDE</t>
        </is>
      </c>
      <c r="K28" s="40" t="inlineStr">
        <is>
          <t>OFFICIAL_PRIMARY</t>
        </is>
      </c>
      <c r="L28" s="40" t="inlineStr">
        <is>
          <t>OFFICIAL_AGGREGATE</t>
        </is>
      </c>
      <c r="M28" s="40" t="inlineStr">
        <is>
          <t>derived_or_published_average</t>
        </is>
      </c>
      <c r="N28" s="40" t="inlineStr">
        <is>
          <t>https://www.ande.gov.py/finanzas/BAGP%202025%20ANDE.pdf</t>
        </is>
      </c>
      <c r="O28" s="40" t="inlineStr">
        <is>
          <t>2026-09-11T01:00:00-03:00</t>
        </is>
      </c>
      <c r="P28" s="40" t="inlineStr">
        <is>
          <t>Published average in BAGP.</t>
        </is>
      </c>
    </row>
    <row r="29">
      <c r="A29" s="40" t="inlineStr">
        <is>
          <t>B0027</t>
        </is>
      </c>
      <c r="B29" s="40" t="inlineStr">
        <is>
          <t>2024-01-01</t>
        </is>
      </c>
      <c r="C29" s="40" t="inlineStr">
        <is>
          <t>2025-12-31</t>
        </is>
      </c>
      <c r="D29" s="40" t="inlineStr">
        <is>
          <t>2y</t>
        </is>
      </c>
      <c r="E29" s="40" t="inlineStr">
        <is>
          <t>grid_quality</t>
        </is>
      </c>
      <c r="F29" s="40" t="inlineStr">
        <is>
          <t>ILLEGAL_CRYPTO_POWER_INTERVENED</t>
        </is>
      </c>
      <c r="G29" s="40" t="inlineStr">
        <is>
          <t>PY_GRID</t>
        </is>
      </c>
      <c r="H29" s="43" t="n">
        <v>91.8</v>
      </c>
      <c r="I29" s="40" t="inlineStr">
        <is>
          <t>MW</t>
        </is>
      </c>
      <c r="J29" s="40" t="inlineStr">
        <is>
          <t>ANDE</t>
        </is>
      </c>
      <c r="K29" s="40" t="inlineStr">
        <is>
          <t>OFFICIAL_PRIMARY</t>
        </is>
      </c>
      <c r="L29" s="40" t="inlineStr">
        <is>
          <t>OFFICIAL_RELEASE</t>
        </is>
      </c>
      <c r="M29" s="40" t="inlineStr">
        <is>
          <t>recent_2y_context</t>
        </is>
      </c>
      <c r="N29" s="40" t="inlineStr">
        <is>
          <t>https://www.ande.gov.py/interna.php?id=15116</t>
        </is>
      </c>
      <c r="O29" s="40" t="inlineStr">
        <is>
          <t>2026-09-11T01:00:00-03:00</t>
        </is>
      </c>
      <c r="P29" s="40" t="inlineStr">
        <is>
          <t>37 illegal crypto farms intervened in 2024-2025.</t>
        </is>
      </c>
    </row>
    <row r="30">
      <c r="A30" s="40" t="inlineStr">
        <is>
          <t>B0028</t>
        </is>
      </c>
      <c r="B30" s="40" t="inlineStr">
        <is>
          <t>2024-01-01</t>
        </is>
      </c>
      <c r="C30" s="40" t="inlineStr">
        <is>
          <t>2025-12-31</t>
        </is>
      </c>
      <c r="D30" s="40" t="inlineStr">
        <is>
          <t>2y_context</t>
        </is>
      </c>
      <c r="E30" s="40" t="inlineStr">
        <is>
          <t>economics</t>
        </is>
      </c>
      <c r="F30" s="40" t="inlineStr">
        <is>
          <t>ILLEGAL_CRYPTO_AVOIDED_LOSS_MONTHLY</t>
        </is>
      </c>
      <c r="G30" s="40" t="inlineStr">
        <is>
          <t>PY_GRID</t>
        </is>
      </c>
      <c r="H30" s="43" t="n">
        <v>18600</v>
      </c>
      <c r="I30" s="40" t="inlineStr">
        <is>
          <t>million_PYG/month</t>
        </is>
      </c>
      <c r="J30" s="40" t="inlineStr">
        <is>
          <t>ANDE</t>
        </is>
      </c>
      <c r="K30" s="40" t="inlineStr">
        <is>
          <t>OFFICIAL_PRIMARY</t>
        </is>
      </c>
      <c r="L30" s="40" t="inlineStr">
        <is>
          <t>OFFICIAL_RELEASE</t>
        </is>
      </c>
      <c r="M30" s="40" t="inlineStr">
        <is>
          <t>recent_2y_context</t>
        </is>
      </c>
      <c r="N30" s="40" t="inlineStr">
        <is>
          <t>https://www.ande.gov.py/interna.php?id=15116</t>
        </is>
      </c>
      <c r="O30" s="40" t="inlineStr">
        <is>
          <t>2026-09-11T01:00:00-03:00</t>
        </is>
      </c>
      <c r="P30" s="40" t="inlineStr">
        <is>
          <t>ANDE says monthly economic harm avoided exceeds this amount.</t>
        </is>
      </c>
    </row>
    <row r="31">
      <c r="A31" s="40" t="inlineStr">
        <is>
          <t>B0029</t>
        </is>
      </c>
      <c r="B31" s="40" t="inlineStr">
        <is>
          <t>2026-06-01</t>
        </is>
      </c>
      <c r="C31" s="40" t="inlineStr">
        <is>
          <t>2026-06-30</t>
        </is>
      </c>
      <c r="D31" s="40" t="inlineStr">
        <is>
          <t>month_or_YTD</t>
        </is>
      </c>
      <c r="E31" s="40" t="inlineStr">
        <is>
          <t>macro</t>
        </is>
      </c>
      <c r="F31" s="40" t="inlineStr">
        <is>
          <t>IMAEP_YOY</t>
        </is>
      </c>
      <c r="G31" s="40" t="inlineStr">
        <is>
          <t>PY_ECONOMY</t>
        </is>
      </c>
      <c r="H31" s="43" t="n">
        <v>5.6</v>
      </c>
      <c r="I31" s="40" t="inlineStr">
        <is>
          <t>percent</t>
        </is>
      </c>
      <c r="J31" s="40" t="inlineStr">
        <is>
          <t>BCP</t>
        </is>
      </c>
      <c r="K31" s="40" t="inlineStr">
        <is>
          <t>OFFICIAL_PRIMARY</t>
        </is>
      </c>
      <c r="L31" s="40" t="inlineStr">
        <is>
          <t>OFFICIAL_PRELIMINARY</t>
        </is>
      </c>
      <c r="M31" s="40" t="inlineStr">
        <is>
          <t>latest_verified_macro</t>
        </is>
      </c>
      <c r="N31" s="40" t="inlineStr">
        <is>
          <t>https://www.bcp.gov.py/documents/20117/2588253/Informe%2BIMAEP-Sectores-Junio_2026.pdf/1b25c6bf-e43c-1c91-9a58-037d4cee0653</t>
        </is>
      </c>
      <c r="O31" s="40" t="inlineStr">
        <is>
          <t>2026-09-11T01:00:00-03:00</t>
        </is>
      </c>
      <c r="P31" s="40" t="inlineStr">
        <is>
          <t>IMAEP total interannual growth</t>
        </is>
      </c>
    </row>
    <row r="32">
      <c r="A32" s="40" t="inlineStr">
        <is>
          <t>B0030</t>
        </is>
      </c>
      <c r="B32" s="40" t="inlineStr">
        <is>
          <t>2026-01-01</t>
        </is>
      </c>
      <c r="C32" s="40" t="inlineStr">
        <is>
          <t>2026-06-30</t>
        </is>
      </c>
      <c r="D32" s="40" t="inlineStr">
        <is>
          <t>month_or_YTD</t>
        </is>
      </c>
      <c r="E32" s="40" t="inlineStr">
        <is>
          <t>macro</t>
        </is>
      </c>
      <c r="F32" s="40" t="inlineStr">
        <is>
          <t>IMAEP_YTD</t>
        </is>
      </c>
      <c r="G32" s="40" t="inlineStr">
        <is>
          <t>PY_ECONOMY</t>
        </is>
      </c>
      <c r="H32" s="43" t="n">
        <v>5.6</v>
      </c>
      <c r="I32" s="40" t="inlineStr">
        <is>
          <t>percent</t>
        </is>
      </c>
      <c r="J32" s="40" t="inlineStr">
        <is>
          <t>BCP</t>
        </is>
      </c>
      <c r="K32" s="40" t="inlineStr">
        <is>
          <t>OFFICIAL_PRIMARY</t>
        </is>
      </c>
      <c r="L32" s="40" t="inlineStr">
        <is>
          <t>OFFICIAL_PRELIMINARY</t>
        </is>
      </c>
      <c r="M32" s="40" t="inlineStr">
        <is>
          <t>latest_verified_macro</t>
        </is>
      </c>
      <c r="N32" s="40" t="inlineStr">
        <is>
          <t>https://www.bcp.gov.py/documents/20117/2588253/Informe%2BIMAEP-Sectores-Junio_2026.pdf/1b25c6bf-e43c-1c91-9a58-037d4cee0653</t>
        </is>
      </c>
      <c r="O32" s="40" t="inlineStr">
        <is>
          <t>2026-09-11T01:00:00-03:00</t>
        </is>
      </c>
      <c r="P32" s="40" t="inlineStr">
        <is>
          <t>IMAEP accumulated Jan-Jun 2026</t>
        </is>
      </c>
    </row>
    <row r="33">
      <c r="A33" s="40" t="inlineStr">
        <is>
          <t>B0031</t>
        </is>
      </c>
      <c r="B33" s="40" t="inlineStr">
        <is>
          <t>2026-06-01</t>
        </is>
      </c>
      <c r="C33" s="40" t="inlineStr">
        <is>
          <t>2026-06-30</t>
        </is>
      </c>
      <c r="D33" s="40" t="inlineStr">
        <is>
          <t>month_or_YTD</t>
        </is>
      </c>
      <c r="E33" s="40" t="inlineStr">
        <is>
          <t>macro</t>
        </is>
      </c>
      <c r="F33" s="40" t="inlineStr">
        <is>
          <t>IMAEP_PRIMARY_YOY</t>
        </is>
      </c>
      <c r="G33" s="40" t="inlineStr">
        <is>
          <t>PY_ECONOMY</t>
        </is>
      </c>
      <c r="H33" s="43" t="n">
        <v>9.4</v>
      </c>
      <c r="I33" s="40" t="inlineStr">
        <is>
          <t>percent</t>
        </is>
      </c>
      <c r="J33" s="40" t="inlineStr">
        <is>
          <t>BCP</t>
        </is>
      </c>
      <c r="K33" s="40" t="inlineStr">
        <is>
          <t>OFFICIAL_PRIMARY</t>
        </is>
      </c>
      <c r="L33" s="40" t="inlineStr">
        <is>
          <t>OFFICIAL_PRELIMINARY</t>
        </is>
      </c>
      <c r="M33" s="40" t="inlineStr">
        <is>
          <t>latest_verified_macro</t>
        </is>
      </c>
      <c r="N33" s="40" t="inlineStr">
        <is>
          <t>https://www.bcp.gov.py/documents/20117/2588253/Informe%2BIMAEP-Sectores-Junio_2026.pdf/1b25c6bf-e43c-1c91-9a58-037d4cee0653</t>
        </is>
      </c>
      <c r="O33" s="40" t="inlineStr">
        <is>
          <t>2026-09-11T01:00:00-03:00</t>
        </is>
      </c>
      <c r="P33" s="40" t="inlineStr">
        <is>
          <t>Primary sector interannual</t>
        </is>
      </c>
    </row>
    <row r="34">
      <c r="A34" s="40" t="inlineStr">
        <is>
          <t>B0032</t>
        </is>
      </c>
      <c r="B34" s="40" t="inlineStr">
        <is>
          <t>2026-01-01</t>
        </is>
      </c>
      <c r="C34" s="40" t="inlineStr">
        <is>
          <t>2026-06-30</t>
        </is>
      </c>
      <c r="D34" s="40" t="inlineStr">
        <is>
          <t>month_or_YTD</t>
        </is>
      </c>
      <c r="E34" s="40" t="inlineStr">
        <is>
          <t>macro</t>
        </is>
      </c>
      <c r="F34" s="40" t="inlineStr">
        <is>
          <t>IMAEP_PRIMARY_YTD</t>
        </is>
      </c>
      <c r="G34" s="40" t="inlineStr">
        <is>
          <t>PY_ECONOMY</t>
        </is>
      </c>
      <c r="H34" s="43" t="n">
        <v>9.800000000000001</v>
      </c>
      <c r="I34" s="40" t="inlineStr">
        <is>
          <t>percent</t>
        </is>
      </c>
      <c r="J34" s="40" t="inlineStr">
        <is>
          <t>BCP</t>
        </is>
      </c>
      <c r="K34" s="40" t="inlineStr">
        <is>
          <t>OFFICIAL_PRIMARY</t>
        </is>
      </c>
      <c r="L34" s="40" t="inlineStr">
        <is>
          <t>OFFICIAL_PRELIMINARY</t>
        </is>
      </c>
      <c r="M34" s="40" t="inlineStr">
        <is>
          <t>latest_verified_macro</t>
        </is>
      </c>
      <c r="N34" s="40" t="inlineStr">
        <is>
          <t>https://www.bcp.gov.py/documents/20117/2588253/Informe%2BIMAEP-Sectores-Junio_2026.pdf/1b25c6bf-e43c-1c91-9a58-037d4cee0653</t>
        </is>
      </c>
      <c r="O34" s="40" t="inlineStr">
        <is>
          <t>2026-09-11T01:00:00-03:00</t>
        </is>
      </c>
      <c r="P34" s="40" t="inlineStr">
        <is>
          <t>Primary sector accumulated</t>
        </is>
      </c>
    </row>
    <row r="35">
      <c r="A35" s="40" t="inlineStr">
        <is>
          <t>B0033</t>
        </is>
      </c>
      <c r="B35" s="40" t="inlineStr">
        <is>
          <t>2026-06-01</t>
        </is>
      </c>
      <c r="C35" s="40" t="inlineStr">
        <is>
          <t>2026-06-30</t>
        </is>
      </c>
      <c r="D35" s="40" t="inlineStr">
        <is>
          <t>month_or_YTD</t>
        </is>
      </c>
      <c r="E35" s="40" t="inlineStr">
        <is>
          <t>macro</t>
        </is>
      </c>
      <c r="F35" s="40" t="inlineStr">
        <is>
          <t>IMAEP_SECONDARY_YOY</t>
        </is>
      </c>
      <c r="G35" s="40" t="inlineStr">
        <is>
          <t>PY_ECONOMY</t>
        </is>
      </c>
      <c r="H35" s="43" t="n">
        <v>5.6</v>
      </c>
      <c r="I35" s="40" t="inlineStr">
        <is>
          <t>percent</t>
        </is>
      </c>
      <c r="J35" s="40" t="inlineStr">
        <is>
          <t>BCP</t>
        </is>
      </c>
      <c r="K35" s="40" t="inlineStr">
        <is>
          <t>OFFICIAL_PRIMARY</t>
        </is>
      </c>
      <c r="L35" s="40" t="inlineStr">
        <is>
          <t>OFFICIAL_PRELIMINARY</t>
        </is>
      </c>
      <c r="M35" s="40" t="inlineStr">
        <is>
          <t>latest_verified_macro</t>
        </is>
      </c>
      <c r="N35" s="40" t="inlineStr">
        <is>
          <t>https://www.bcp.gov.py/documents/20117/2588253/Informe%2BIMAEP-Sectores-Junio_2026.pdf/1b25c6bf-e43c-1c91-9a58-037d4cee0653</t>
        </is>
      </c>
      <c r="O35" s="40" t="inlineStr">
        <is>
          <t>2026-09-11T01:00:00-03:00</t>
        </is>
      </c>
      <c r="P35" s="40" t="inlineStr">
        <is>
          <t>Secondary sector interannual</t>
        </is>
      </c>
    </row>
    <row r="36">
      <c r="A36" s="40" t="inlineStr">
        <is>
          <t>B0034</t>
        </is>
      </c>
      <c r="B36" s="40" t="inlineStr">
        <is>
          <t>2026-01-01</t>
        </is>
      </c>
      <c r="C36" s="40" t="inlineStr">
        <is>
          <t>2026-06-30</t>
        </is>
      </c>
      <c r="D36" s="40" t="inlineStr">
        <is>
          <t>month_or_YTD</t>
        </is>
      </c>
      <c r="E36" s="40" t="inlineStr">
        <is>
          <t>macro</t>
        </is>
      </c>
      <c r="F36" s="40" t="inlineStr">
        <is>
          <t>IMAEP_SECONDARY_YTD</t>
        </is>
      </c>
      <c r="G36" s="40" t="inlineStr">
        <is>
          <t>PY_ECONOMY</t>
        </is>
      </c>
      <c r="H36" s="43" t="n">
        <v>4.7</v>
      </c>
      <c r="I36" s="40" t="inlineStr">
        <is>
          <t>percent</t>
        </is>
      </c>
      <c r="J36" s="40" t="inlineStr">
        <is>
          <t>BCP</t>
        </is>
      </c>
      <c r="K36" s="40" t="inlineStr">
        <is>
          <t>OFFICIAL_PRIMARY</t>
        </is>
      </c>
      <c r="L36" s="40" t="inlineStr">
        <is>
          <t>OFFICIAL_PRELIMINARY</t>
        </is>
      </c>
      <c r="M36" s="40" t="inlineStr">
        <is>
          <t>latest_verified_macro</t>
        </is>
      </c>
      <c r="N36" s="40" t="inlineStr">
        <is>
          <t>https://www.bcp.gov.py/documents/20117/2588253/Informe%2BIMAEP-Sectores-Junio_2026.pdf/1b25c6bf-e43c-1c91-9a58-037d4cee0653</t>
        </is>
      </c>
      <c r="O36" s="40" t="inlineStr">
        <is>
          <t>2026-09-11T01:00:00-03:00</t>
        </is>
      </c>
      <c r="P36" s="40" t="inlineStr">
        <is>
          <t>Secondary sector accumulated</t>
        </is>
      </c>
    </row>
    <row r="37">
      <c r="A37" s="40" t="inlineStr">
        <is>
          <t>B0035</t>
        </is>
      </c>
      <c r="B37" s="40" t="inlineStr">
        <is>
          <t>2026-06-01</t>
        </is>
      </c>
      <c r="C37" s="40" t="inlineStr">
        <is>
          <t>2026-06-30</t>
        </is>
      </c>
      <c r="D37" s="40" t="inlineStr">
        <is>
          <t>month_or_YTD</t>
        </is>
      </c>
      <c r="E37" s="40" t="inlineStr">
        <is>
          <t>macro</t>
        </is>
      </c>
      <c r="F37" s="40" t="inlineStr">
        <is>
          <t>IMAEP_MANUFACTURING_YOY</t>
        </is>
      </c>
      <c r="G37" s="40" t="inlineStr">
        <is>
          <t>PY_ECONOMY</t>
        </is>
      </c>
      <c r="H37" s="43" t="n">
        <v>2.8</v>
      </c>
      <c r="I37" s="40" t="inlineStr">
        <is>
          <t>percent</t>
        </is>
      </c>
      <c r="J37" s="40" t="inlineStr">
        <is>
          <t>BCP</t>
        </is>
      </c>
      <c r="K37" s="40" t="inlineStr">
        <is>
          <t>OFFICIAL_PRIMARY</t>
        </is>
      </c>
      <c r="L37" s="40" t="inlineStr">
        <is>
          <t>OFFICIAL_PRELIMINARY</t>
        </is>
      </c>
      <c r="M37" s="40" t="inlineStr">
        <is>
          <t>latest_verified_macro</t>
        </is>
      </c>
      <c r="N37" s="40" t="inlineStr">
        <is>
          <t>https://www.bcp.gov.py/documents/20117/2588253/Informe%2BIMAEP-Sectores-Junio_2026.pdf/1b25c6bf-e43c-1c91-9a58-037d4cee0653</t>
        </is>
      </c>
      <c r="O37" s="40" t="inlineStr">
        <is>
          <t>2026-09-11T01:00:00-03:00</t>
        </is>
      </c>
      <c r="P37" s="40" t="inlineStr">
        <is>
          <t>Manufacturing interannual</t>
        </is>
      </c>
    </row>
    <row r="38">
      <c r="A38" s="40" t="inlineStr">
        <is>
          <t>B0036</t>
        </is>
      </c>
      <c r="B38" s="40" t="inlineStr">
        <is>
          <t>2026-01-01</t>
        </is>
      </c>
      <c r="C38" s="40" t="inlineStr">
        <is>
          <t>2026-06-30</t>
        </is>
      </c>
      <c r="D38" s="40" t="inlineStr">
        <is>
          <t>month_or_YTD</t>
        </is>
      </c>
      <c r="E38" s="40" t="inlineStr">
        <is>
          <t>macro</t>
        </is>
      </c>
      <c r="F38" s="40" t="inlineStr">
        <is>
          <t>IMAEP_MANUFACTURING_YTD</t>
        </is>
      </c>
      <c r="G38" s="40" t="inlineStr">
        <is>
          <t>PY_ECONOMY</t>
        </is>
      </c>
      <c r="H38" s="43" t="n">
        <v>3.1</v>
      </c>
      <c r="I38" s="40" t="inlineStr">
        <is>
          <t>percent</t>
        </is>
      </c>
      <c r="J38" s="40" t="inlineStr">
        <is>
          <t>BCP</t>
        </is>
      </c>
      <c r="K38" s="40" t="inlineStr">
        <is>
          <t>OFFICIAL_PRIMARY</t>
        </is>
      </c>
      <c r="L38" s="40" t="inlineStr">
        <is>
          <t>OFFICIAL_PRELIMINARY</t>
        </is>
      </c>
      <c r="M38" s="40" t="inlineStr">
        <is>
          <t>latest_verified_macro</t>
        </is>
      </c>
      <c r="N38" s="40" t="inlineStr">
        <is>
          <t>https://www.bcp.gov.py/documents/20117/2588253/Informe%2BIMAEP-Sectores-Junio_2026.pdf/1b25c6bf-e43c-1c91-9a58-037d4cee0653</t>
        </is>
      </c>
      <c r="O38" s="40" t="inlineStr">
        <is>
          <t>2026-09-11T01:00:00-03:00</t>
        </is>
      </c>
      <c r="P38" s="40" t="inlineStr">
        <is>
          <t>Manufacturing accumulated</t>
        </is>
      </c>
    </row>
    <row r="39">
      <c r="A39" s="40" t="inlineStr">
        <is>
          <t>B0037</t>
        </is>
      </c>
      <c r="B39" s="40" t="inlineStr">
        <is>
          <t>2026-06-01</t>
        </is>
      </c>
      <c r="C39" s="40" t="inlineStr">
        <is>
          <t>2026-06-30</t>
        </is>
      </c>
      <c r="D39" s="40" t="inlineStr">
        <is>
          <t>month_or_YTD</t>
        </is>
      </c>
      <c r="E39" s="40" t="inlineStr">
        <is>
          <t>macro</t>
        </is>
      </c>
      <c r="F39" s="40" t="inlineStr">
        <is>
          <t>IMAEP_SERVICES_YOY</t>
        </is>
      </c>
      <c r="G39" s="40" t="inlineStr">
        <is>
          <t>PY_ECONOMY</t>
        </is>
      </c>
      <c r="H39" s="43" t="n">
        <v>4.9</v>
      </c>
      <c r="I39" s="40" t="inlineStr">
        <is>
          <t>percent</t>
        </is>
      </c>
      <c r="J39" s="40" t="inlineStr">
        <is>
          <t>BCP</t>
        </is>
      </c>
      <c r="K39" s="40" t="inlineStr">
        <is>
          <t>OFFICIAL_PRIMARY</t>
        </is>
      </c>
      <c r="L39" s="40" t="inlineStr">
        <is>
          <t>OFFICIAL_PRELIMINARY</t>
        </is>
      </c>
      <c r="M39" s="40" t="inlineStr">
        <is>
          <t>latest_verified_macro</t>
        </is>
      </c>
      <c r="N39" s="40" t="inlineStr">
        <is>
          <t>https://www.bcp.gov.py/documents/20117/2588253/Informe%2BIMAEP-Sectores-Junio_2026.pdf/1b25c6bf-e43c-1c91-9a58-037d4cee0653</t>
        </is>
      </c>
      <c r="O39" s="40" t="inlineStr">
        <is>
          <t>2026-09-11T01:00:00-03:00</t>
        </is>
      </c>
      <c r="P39" s="40" t="inlineStr">
        <is>
          <t>Services interannual</t>
        </is>
      </c>
    </row>
    <row r="40">
      <c r="A40" s="40" t="inlineStr">
        <is>
          <t>B0038</t>
        </is>
      </c>
      <c r="B40" s="40" t="inlineStr">
        <is>
          <t>2026-01-01</t>
        </is>
      </c>
      <c r="C40" s="40" t="inlineStr">
        <is>
          <t>2026-06-30</t>
        </is>
      </c>
      <c r="D40" s="40" t="inlineStr">
        <is>
          <t>month_or_YTD</t>
        </is>
      </c>
      <c r="E40" s="40" t="inlineStr">
        <is>
          <t>macro</t>
        </is>
      </c>
      <c r="F40" s="40" t="inlineStr">
        <is>
          <t>IMAEP_SERVICES_YTD</t>
        </is>
      </c>
      <c r="G40" s="40" t="inlineStr">
        <is>
          <t>PY_ECONOMY</t>
        </is>
      </c>
      <c r="H40" s="43" t="n">
        <v>5.1</v>
      </c>
      <c r="I40" s="40" t="inlineStr">
        <is>
          <t>percent</t>
        </is>
      </c>
      <c r="J40" s="40" t="inlineStr">
        <is>
          <t>BCP</t>
        </is>
      </c>
      <c r="K40" s="40" t="inlineStr">
        <is>
          <t>OFFICIAL_PRIMARY</t>
        </is>
      </c>
      <c r="L40" s="40" t="inlineStr">
        <is>
          <t>OFFICIAL_PRELIMINARY</t>
        </is>
      </c>
      <c r="M40" s="40" t="inlineStr">
        <is>
          <t>latest_verified_macro</t>
        </is>
      </c>
      <c r="N40" s="40" t="inlineStr">
        <is>
          <t>https://www.bcp.gov.py/documents/20117/2588253/Informe%2BIMAEP-Sectores-Junio_2026.pdf/1b25c6bf-e43c-1c91-9a58-037d4cee0653</t>
        </is>
      </c>
      <c r="O40" s="40" t="inlineStr">
        <is>
          <t>2026-09-11T01:00:00-03:00</t>
        </is>
      </c>
      <c r="P40" s="40" t="inlineStr">
        <is>
          <t>Services accumulated</t>
        </is>
      </c>
    </row>
    <row r="41">
      <c r="A41" s="40" t="inlineStr">
        <is>
          <t>B0039</t>
        </is>
      </c>
      <c r="B41" s="40" t="inlineStr">
        <is>
          <t>2026-06-01</t>
        </is>
      </c>
      <c r="C41" s="40" t="inlineStr">
        <is>
          <t>2026-06-30</t>
        </is>
      </c>
      <c r="D41" s="40" t="inlineStr">
        <is>
          <t>month_or_YTD</t>
        </is>
      </c>
      <c r="E41" s="40" t="inlineStr">
        <is>
          <t>macro</t>
        </is>
      </c>
      <c r="F41" s="40" t="inlineStr">
        <is>
          <t>IMAEP_EX_AGRI_BINATIONAL_YOY</t>
        </is>
      </c>
      <c r="G41" s="40" t="inlineStr">
        <is>
          <t>PY_ECONOMY</t>
        </is>
      </c>
      <c r="H41" s="43" t="n">
        <v>5</v>
      </c>
      <c r="I41" s="40" t="inlineStr">
        <is>
          <t>percent</t>
        </is>
      </c>
      <c r="J41" s="40" t="inlineStr">
        <is>
          <t>BCP</t>
        </is>
      </c>
      <c r="K41" s="40" t="inlineStr">
        <is>
          <t>OFFICIAL_PRIMARY</t>
        </is>
      </c>
      <c r="L41" s="40" t="inlineStr">
        <is>
          <t>OFFICIAL_PRELIMINARY</t>
        </is>
      </c>
      <c r="M41" s="40" t="inlineStr">
        <is>
          <t>latest_verified_macro</t>
        </is>
      </c>
      <c r="N41" s="40" t="inlineStr">
        <is>
          <t>https://www.bcp.gov.py/documents/20117/2588253/Informe%2BIMAEP-Sectores-Junio_2026.pdf/1b25c6bf-e43c-1c91-9a58-037d4cee0653</t>
        </is>
      </c>
      <c r="O41" s="40" t="inlineStr">
        <is>
          <t>2026-09-11T01:00:00-03:00</t>
        </is>
      </c>
      <c r="P41" s="40" t="inlineStr">
        <is>
          <t>IMAEP excluding agriculture and binational entities interannual</t>
        </is>
      </c>
    </row>
    <row r="42">
      <c r="A42" s="40" t="inlineStr">
        <is>
          <t>B0040</t>
        </is>
      </c>
      <c r="B42" s="40" t="inlineStr">
        <is>
          <t>2026-01-01</t>
        </is>
      </c>
      <c r="C42" s="40" t="inlineStr">
        <is>
          <t>2026-06-30</t>
        </is>
      </c>
      <c r="D42" s="40" t="inlineStr">
        <is>
          <t>month_or_YTD</t>
        </is>
      </c>
      <c r="E42" s="40" t="inlineStr">
        <is>
          <t>macro</t>
        </is>
      </c>
      <c r="F42" s="40" t="inlineStr">
        <is>
          <t>IMAEP_EX_AGRI_BINATIONAL_YTD</t>
        </is>
      </c>
      <c r="G42" s="40" t="inlineStr">
        <is>
          <t>PY_ECONOMY</t>
        </is>
      </c>
      <c r="H42" s="43" t="n">
        <v>5</v>
      </c>
      <c r="I42" s="40" t="inlineStr">
        <is>
          <t>percent</t>
        </is>
      </c>
      <c r="J42" s="40" t="inlineStr">
        <is>
          <t>BCP</t>
        </is>
      </c>
      <c r="K42" s="40" t="inlineStr">
        <is>
          <t>OFFICIAL_PRIMARY</t>
        </is>
      </c>
      <c r="L42" s="40" t="inlineStr">
        <is>
          <t>OFFICIAL_PRELIMINARY</t>
        </is>
      </c>
      <c r="M42" s="40" t="inlineStr">
        <is>
          <t>latest_verified_macro</t>
        </is>
      </c>
      <c r="N42" s="40" t="inlineStr">
        <is>
          <t>https://www.bcp.gov.py/documents/20117/2588253/Informe%2BIMAEP-Sectores-Junio_2026.pdf/1b25c6bf-e43c-1c91-9a58-037d4cee0653</t>
        </is>
      </c>
      <c r="O42" s="40" t="inlineStr">
        <is>
          <t>2026-09-11T01:00:00-03:00</t>
        </is>
      </c>
      <c r="P42" s="40" t="inlineStr">
        <is>
          <t>IMAEP excluding agriculture and binational entities accumulated</t>
        </is>
      </c>
    </row>
    <row r="43">
      <c r="A43" s="40" t="inlineStr">
        <is>
          <t>B0041</t>
        </is>
      </c>
      <c r="B43" s="40" t="inlineStr">
        <is>
          <t>2025-01-01</t>
        </is>
      </c>
      <c r="C43" s="40" t="inlineStr">
        <is>
          <t>2025-12-31</t>
        </is>
      </c>
      <c r="D43" s="40" t="inlineStr">
        <is>
          <t>year</t>
        </is>
      </c>
      <c r="E43" s="40" t="inlineStr">
        <is>
          <t>citizenship</t>
        </is>
      </c>
      <c r="F43" s="40" t="inlineStr">
        <is>
          <t>HOUSEHOLD_AVAILABLE_INCOME_AVG</t>
        </is>
      </c>
      <c r="G43" s="40" t="inlineStr">
        <is>
          <t>PY_HOUSEHOLDS</t>
        </is>
      </c>
      <c r="H43" s="43" t="n">
        <v>6864000</v>
      </c>
      <c r="I43" s="40" t="inlineStr">
        <is>
          <t>PYG/month</t>
        </is>
      </c>
      <c r="J43" s="40" t="inlineStr">
        <is>
          <t>INE</t>
        </is>
      </c>
      <c r="K43" s="40" t="inlineStr">
        <is>
          <t>OFFICIAL_PRIMARY</t>
        </is>
      </c>
      <c r="L43" s="40" t="inlineStr">
        <is>
          <t>OFFICIAL_SURVEY</t>
        </is>
      </c>
      <c r="M43" s="40" t="inlineStr">
        <is>
          <t>latest_available_structural_baseline</t>
        </is>
      </c>
      <c r="N43" s="40" t="inlineStr">
        <is>
          <t>https://www.ine.gov.py/Publicaciones/Biblioteca/documento/308/Pobreza%20Monetaria_%20EPHC_2025_INE.pdf</t>
        </is>
      </c>
      <c r="O43" s="40" t="inlineStr">
        <is>
          <t>2026-09-11T01:00:00-03:00</t>
        </is>
      </c>
      <c r="P43" s="40" t="inlineStr">
        <is>
          <t>Average monthly disposable household income</t>
        </is>
      </c>
    </row>
    <row r="44">
      <c r="A44" s="40" t="inlineStr">
        <is>
          <t>B0042</t>
        </is>
      </c>
      <c r="B44" s="40" t="inlineStr">
        <is>
          <t>2025-01-01</t>
        </is>
      </c>
      <c r="C44" s="40" t="inlineStr">
        <is>
          <t>2025-12-31</t>
        </is>
      </c>
      <c r="D44" s="40" t="inlineStr">
        <is>
          <t>year</t>
        </is>
      </c>
      <c r="E44" s="40" t="inlineStr">
        <is>
          <t>citizenship</t>
        </is>
      </c>
      <c r="F44" s="40" t="inlineStr">
        <is>
          <t>HOUSEHOLD_LABOR_INCOME_AVG</t>
        </is>
      </c>
      <c r="G44" s="40" t="inlineStr">
        <is>
          <t>PY_HOUSEHOLDS</t>
        </is>
      </c>
      <c r="H44" s="43" t="n">
        <v>6394000</v>
      </c>
      <c r="I44" s="40" t="inlineStr">
        <is>
          <t>PYG/month</t>
        </is>
      </c>
      <c r="J44" s="40" t="inlineStr">
        <is>
          <t>INE</t>
        </is>
      </c>
      <c r="K44" s="40" t="inlineStr">
        <is>
          <t>OFFICIAL_PRIMARY</t>
        </is>
      </c>
      <c r="L44" s="40" t="inlineStr">
        <is>
          <t>OFFICIAL_SURVEY</t>
        </is>
      </c>
      <c r="M44" s="40" t="inlineStr">
        <is>
          <t>latest_available_structural_baseline</t>
        </is>
      </c>
      <c r="N44" s="40" t="inlineStr">
        <is>
          <t>https://www.ine.gov.py/Publicaciones/Biblioteca/documento/308/Pobreza%20Monetaria_%20EPHC_2025_INE.pdf</t>
        </is>
      </c>
      <c r="O44" s="40" t="inlineStr">
        <is>
          <t>2026-09-11T01:00:00-03:00</t>
        </is>
      </c>
      <c r="P44" s="40" t="inlineStr">
        <is>
          <t>Average monthly household labor income</t>
        </is>
      </c>
    </row>
    <row r="45">
      <c r="A45" s="40" t="inlineStr">
        <is>
          <t>B0043</t>
        </is>
      </c>
      <c r="B45" s="40" t="inlineStr">
        <is>
          <t>2025-01-01</t>
        </is>
      </c>
      <c r="C45" s="40" t="inlineStr">
        <is>
          <t>2025-12-31</t>
        </is>
      </c>
      <c r="D45" s="40" t="inlineStr">
        <is>
          <t>year</t>
        </is>
      </c>
      <c r="E45" s="40" t="inlineStr">
        <is>
          <t>citizenship</t>
        </is>
      </c>
      <c r="F45" s="40" t="inlineStr">
        <is>
          <t>HOUSEHOLD_AVAILABLE_INCOME_Q1</t>
        </is>
      </c>
      <c r="G45" s="40" t="inlineStr">
        <is>
          <t>PY_HOUSEHOLDS</t>
        </is>
      </c>
      <c r="H45" s="43" t="n">
        <v>2296000</v>
      </c>
      <c r="I45" s="40" t="inlineStr">
        <is>
          <t>PYG/month</t>
        </is>
      </c>
      <c r="J45" s="40" t="inlineStr">
        <is>
          <t>INE</t>
        </is>
      </c>
      <c r="K45" s="40" t="inlineStr">
        <is>
          <t>OFFICIAL_PRIMARY</t>
        </is>
      </c>
      <c r="L45" s="40" t="inlineStr">
        <is>
          <t>OFFICIAL_SURVEY</t>
        </is>
      </c>
      <c r="M45" s="40" t="inlineStr">
        <is>
          <t>latest_available_structural_baseline</t>
        </is>
      </c>
      <c r="N45" s="40" t="inlineStr">
        <is>
          <t>https://www.ine.gov.py/Publicaciones/Biblioteca/documento/308/Pobreza%20Monetaria_%20EPHC_2025_INE.pdf</t>
        </is>
      </c>
      <c r="O45" s="40" t="inlineStr">
        <is>
          <t>2026-09-11T01:00:00-03:00</t>
        </is>
      </c>
      <c r="P45" s="40" t="inlineStr">
        <is>
          <t>Lowest income quintile household disposable income</t>
        </is>
      </c>
    </row>
    <row r="46">
      <c r="A46" s="40" t="inlineStr">
        <is>
          <t>B0044</t>
        </is>
      </c>
      <c r="B46" s="40" t="inlineStr">
        <is>
          <t>2025-01-01</t>
        </is>
      </c>
      <c r="C46" s="40" t="inlineStr">
        <is>
          <t>2025-12-31</t>
        </is>
      </c>
      <c r="D46" s="40" t="inlineStr">
        <is>
          <t>year</t>
        </is>
      </c>
      <c r="E46" s="40" t="inlineStr">
        <is>
          <t>citizenship</t>
        </is>
      </c>
      <c r="F46" s="40" t="inlineStr">
        <is>
          <t>HOUSEHOLD_AVAILABLE_INCOME_Q2</t>
        </is>
      </c>
      <c r="G46" s="40" t="inlineStr">
        <is>
          <t>PY_HOUSEHOLDS</t>
        </is>
      </c>
      <c r="H46" s="43" t="n">
        <v>3680000</v>
      </c>
      <c r="I46" s="40" t="inlineStr">
        <is>
          <t>PYG/month</t>
        </is>
      </c>
      <c r="J46" s="40" t="inlineStr">
        <is>
          <t>INE</t>
        </is>
      </c>
      <c r="K46" s="40" t="inlineStr">
        <is>
          <t>OFFICIAL_PRIMARY</t>
        </is>
      </c>
      <c r="L46" s="40" t="inlineStr">
        <is>
          <t>OFFICIAL_SURVEY</t>
        </is>
      </c>
      <c r="M46" s="40" t="inlineStr">
        <is>
          <t>latest_available_structural_baseline</t>
        </is>
      </c>
      <c r="N46" s="40" t="inlineStr">
        <is>
          <t>https://www.ine.gov.py/Publicaciones/Biblioteca/documento/308/Pobreza%20Monetaria_%20EPHC_2025_INE.pdf</t>
        </is>
      </c>
      <c r="O46" s="40" t="inlineStr">
        <is>
          <t>2026-09-11T01:00:00-03:00</t>
        </is>
      </c>
      <c r="P46" s="40" t="inlineStr">
        <is>
          <t>Second quintile</t>
        </is>
      </c>
    </row>
    <row r="47">
      <c r="A47" s="40" t="inlineStr">
        <is>
          <t>B0045</t>
        </is>
      </c>
      <c r="B47" s="40" t="inlineStr">
        <is>
          <t>2025-01-01</t>
        </is>
      </c>
      <c r="C47" s="40" t="inlineStr">
        <is>
          <t>2025-12-31</t>
        </is>
      </c>
      <c r="D47" s="40" t="inlineStr">
        <is>
          <t>year</t>
        </is>
      </c>
      <c r="E47" s="40" t="inlineStr">
        <is>
          <t>citizenship</t>
        </is>
      </c>
      <c r="F47" s="40" t="inlineStr">
        <is>
          <t>HOUSEHOLD_AVAILABLE_INCOME_Q3</t>
        </is>
      </c>
      <c r="G47" s="40" t="inlineStr">
        <is>
          <t>PY_HOUSEHOLDS</t>
        </is>
      </c>
      <c r="H47" s="43" t="n">
        <v>5032000</v>
      </c>
      <c r="I47" s="40" t="inlineStr">
        <is>
          <t>PYG/month</t>
        </is>
      </c>
      <c r="J47" s="40" t="inlineStr">
        <is>
          <t>INE</t>
        </is>
      </c>
      <c r="K47" s="40" t="inlineStr">
        <is>
          <t>OFFICIAL_PRIMARY</t>
        </is>
      </c>
      <c r="L47" s="40" t="inlineStr">
        <is>
          <t>OFFICIAL_SURVEY</t>
        </is>
      </c>
      <c r="M47" s="40" t="inlineStr">
        <is>
          <t>latest_available_structural_baseline</t>
        </is>
      </c>
      <c r="N47" s="40" t="inlineStr">
        <is>
          <t>https://www.ine.gov.py/Publicaciones/Biblioteca/documento/308/Pobreza%20Monetaria_%20EPHC_2025_INE.pdf</t>
        </is>
      </c>
      <c r="O47" s="40" t="inlineStr">
        <is>
          <t>2026-09-11T01:00:00-03:00</t>
        </is>
      </c>
      <c r="P47" s="40" t="inlineStr">
        <is>
          <t>Third quintile</t>
        </is>
      </c>
    </row>
    <row r="48">
      <c r="A48" s="40" t="inlineStr">
        <is>
          <t>B0046</t>
        </is>
      </c>
      <c r="B48" s="40" t="inlineStr">
        <is>
          <t>2025-01-01</t>
        </is>
      </c>
      <c r="C48" s="40" t="inlineStr">
        <is>
          <t>2025-12-31</t>
        </is>
      </c>
      <c r="D48" s="40" t="inlineStr">
        <is>
          <t>year</t>
        </is>
      </c>
      <c r="E48" s="40" t="inlineStr">
        <is>
          <t>citizenship</t>
        </is>
      </c>
      <c r="F48" s="40" t="inlineStr">
        <is>
          <t>HOUSEHOLD_AVAILABLE_INCOME_Q4</t>
        </is>
      </c>
      <c r="G48" s="40" t="inlineStr">
        <is>
          <t>PY_HOUSEHOLDS</t>
        </is>
      </c>
      <c r="H48" s="43" t="n">
        <v>6724000</v>
      </c>
      <c r="I48" s="40" t="inlineStr">
        <is>
          <t>PYG/month</t>
        </is>
      </c>
      <c r="J48" s="40" t="inlineStr">
        <is>
          <t>INE</t>
        </is>
      </c>
      <c r="K48" s="40" t="inlineStr">
        <is>
          <t>OFFICIAL_PRIMARY</t>
        </is>
      </c>
      <c r="L48" s="40" t="inlineStr">
        <is>
          <t>OFFICIAL_SURVEY</t>
        </is>
      </c>
      <c r="M48" s="40" t="inlineStr">
        <is>
          <t>latest_available_structural_baseline</t>
        </is>
      </c>
      <c r="N48" s="40" t="inlineStr">
        <is>
          <t>https://www.ine.gov.py/Publicaciones/Biblioteca/documento/308/Pobreza%20Monetaria_%20EPHC_2025_INE.pdf</t>
        </is>
      </c>
      <c r="O48" s="40" t="inlineStr">
        <is>
          <t>2026-09-11T01:00:00-03:00</t>
        </is>
      </c>
      <c r="P48" s="40" t="inlineStr">
        <is>
          <t>Fourth quintile</t>
        </is>
      </c>
    </row>
    <row r="49">
      <c r="A49" s="40" t="inlineStr">
        <is>
          <t>B0047</t>
        </is>
      </c>
      <c r="B49" s="40" t="inlineStr">
        <is>
          <t>2025-01-01</t>
        </is>
      </c>
      <c r="C49" s="40" t="inlineStr">
        <is>
          <t>2025-12-31</t>
        </is>
      </c>
      <c r="D49" s="40" t="inlineStr">
        <is>
          <t>year</t>
        </is>
      </c>
      <c r="E49" s="40" t="inlineStr">
        <is>
          <t>citizenship</t>
        </is>
      </c>
      <c r="F49" s="40" t="inlineStr">
        <is>
          <t>HOUSEHOLD_AVAILABLE_INCOME_Q5</t>
        </is>
      </c>
      <c r="G49" s="40" t="inlineStr">
        <is>
          <t>PY_HOUSEHOLDS</t>
        </is>
      </c>
      <c r="H49" s="43" t="n">
        <v>13155000</v>
      </c>
      <c r="I49" s="40" t="inlineStr">
        <is>
          <t>PYG/month</t>
        </is>
      </c>
      <c r="J49" s="40" t="inlineStr">
        <is>
          <t>INE</t>
        </is>
      </c>
      <c r="K49" s="40" t="inlineStr">
        <is>
          <t>OFFICIAL_PRIMARY</t>
        </is>
      </c>
      <c r="L49" s="40" t="inlineStr">
        <is>
          <t>OFFICIAL_SURVEY</t>
        </is>
      </c>
      <c r="M49" s="40" t="inlineStr">
        <is>
          <t>latest_available_structural_baseline</t>
        </is>
      </c>
      <c r="N49" s="40" t="inlineStr">
        <is>
          <t>https://www.ine.gov.py/Publicaciones/Biblioteca/documento/308/Pobreza%20Monetaria_%20EPHC_2025_INE.pdf</t>
        </is>
      </c>
      <c r="O49" s="40" t="inlineStr">
        <is>
          <t>2026-09-11T01:00:00-03:00</t>
        </is>
      </c>
      <c r="P49" s="40" t="inlineStr">
        <is>
          <t>Highest quintile</t>
        </is>
      </c>
    </row>
    <row r="50">
      <c r="A50" s="40" t="inlineStr">
        <is>
          <t>B0048</t>
        </is>
      </c>
      <c r="B50" s="40" t="inlineStr">
        <is>
          <t>2022-01-01</t>
        </is>
      </c>
      <c r="C50" s="40" t="inlineStr">
        <is>
          <t>2022-12-31</t>
        </is>
      </c>
      <c r="D50" s="40" t="inlineStr">
        <is>
          <t>year</t>
        </is>
      </c>
      <c r="E50" s="40" t="inlineStr">
        <is>
          <t>citizenship</t>
        </is>
      </c>
      <c r="F50" s="40" t="inlineStr">
        <is>
          <t>POPULATION_CENSUS</t>
        </is>
      </c>
      <c r="G50" s="40" t="inlineStr">
        <is>
          <t>PY_HOUSEHOLDS</t>
        </is>
      </c>
      <c r="H50" s="43" t="n">
        <v>6109903</v>
      </c>
      <c r="I50" s="40" t="inlineStr">
        <is>
          <t>persons</t>
        </is>
      </c>
      <c r="J50" s="40" t="inlineStr">
        <is>
          <t>INE</t>
        </is>
      </c>
      <c r="K50" s="40" t="inlineStr">
        <is>
          <t>OFFICIAL_PRIMARY</t>
        </is>
      </c>
      <c r="L50" s="40" t="inlineStr">
        <is>
          <t>OFFICIAL_CENSUS</t>
        </is>
      </c>
      <c r="M50" s="40" t="inlineStr">
        <is>
          <t>latest_available_structural_baseline</t>
        </is>
      </c>
      <c r="N50" s="40" t="inlineStr">
        <is>
          <t>https://www.ine.gov.py/censo2022/documentos/Tr%C3%ADptico%20Resultados%20Finales_web.pdf</t>
        </is>
      </c>
      <c r="O50" s="40" t="inlineStr">
        <is>
          <t>2026-09-11T01:00:00-03:00</t>
        </is>
      </c>
      <c r="P50" s="40" t="inlineStr">
        <is>
          <t>Census population</t>
        </is>
      </c>
    </row>
    <row r="51">
      <c r="A51" s="40" t="inlineStr">
        <is>
          <t>B0049</t>
        </is>
      </c>
      <c r="B51" s="40" t="inlineStr">
        <is>
          <t>2022-01-01</t>
        </is>
      </c>
      <c r="C51" s="40" t="inlineStr">
        <is>
          <t>2022-12-31</t>
        </is>
      </c>
      <c r="D51" s="40" t="inlineStr">
        <is>
          <t>year</t>
        </is>
      </c>
      <c r="E51" s="40" t="inlineStr">
        <is>
          <t>citizenship</t>
        </is>
      </c>
      <c r="F51" s="40" t="inlineStr">
        <is>
          <t>OCCUPIED_PRIVATE_DWELLINGS</t>
        </is>
      </c>
      <c r="G51" s="40" t="inlineStr">
        <is>
          <t>PY_HOUSEHOLDS</t>
        </is>
      </c>
      <c r="H51" s="43" t="n">
        <v>1749336</v>
      </c>
      <c r="I51" s="40" t="inlineStr">
        <is>
          <t>dwellings</t>
        </is>
      </c>
      <c r="J51" s="40" t="inlineStr">
        <is>
          <t>INE</t>
        </is>
      </c>
      <c r="K51" s="40" t="inlineStr">
        <is>
          <t>OFFICIAL_PRIMARY</t>
        </is>
      </c>
      <c r="L51" s="40" t="inlineStr">
        <is>
          <t>OFFICIAL_CENSUS</t>
        </is>
      </c>
      <c r="M51" s="40" t="inlineStr">
        <is>
          <t>latest_available_structural_baseline</t>
        </is>
      </c>
      <c r="N51" s="40" t="inlineStr">
        <is>
          <t>https://www.ine.gov.py/censo2022/documentos/Tr%C3%ADptico%20Resultados%20Finales_web.pdf</t>
        </is>
      </c>
      <c r="O51" s="40" t="inlineStr">
        <is>
          <t>2026-09-11T01:00:00-03:00</t>
        </is>
      </c>
      <c r="P51" s="40" t="inlineStr">
        <is>
          <t>Occupied private dwellings</t>
        </is>
      </c>
    </row>
    <row r="52">
      <c r="A52" s="40" t="inlineStr">
        <is>
          <t>B0050</t>
        </is>
      </c>
      <c r="B52" s="40" t="inlineStr">
        <is>
          <t>2022-01-01</t>
        </is>
      </c>
      <c r="C52" s="40" t="inlineStr">
        <is>
          <t>2022-12-31</t>
        </is>
      </c>
      <c r="D52" s="40" t="inlineStr">
        <is>
          <t>year</t>
        </is>
      </c>
      <c r="E52" s="40" t="inlineStr">
        <is>
          <t>citizenship</t>
        </is>
      </c>
      <c r="F52" s="40" t="inlineStr">
        <is>
          <t>DWELLINGS_ELECTRICITY_ACCESS</t>
        </is>
      </c>
      <c r="G52" s="40" t="inlineStr">
        <is>
          <t>PY_HOUSEHOLDS</t>
        </is>
      </c>
      <c r="H52" s="43" t="n">
        <v>1725111</v>
      </c>
      <c r="I52" s="40" t="inlineStr">
        <is>
          <t>dwellings</t>
        </is>
      </c>
      <c r="J52" s="40" t="inlineStr">
        <is>
          <t>INE</t>
        </is>
      </c>
      <c r="K52" s="40" t="inlineStr">
        <is>
          <t>OFFICIAL_PRIMARY</t>
        </is>
      </c>
      <c r="L52" s="40" t="inlineStr">
        <is>
          <t>OFFICIAL_CENSUS</t>
        </is>
      </c>
      <c r="M52" s="40" t="inlineStr">
        <is>
          <t>latest_available_structural_baseline</t>
        </is>
      </c>
      <c r="N52" s="40" t="inlineStr">
        <is>
          <t>https://www.ine.gov.py/censo2022/documentos/Tr%C3%ADptico%20Resultados%20Finales_web.pdf</t>
        </is>
      </c>
      <c r="O52" s="40" t="inlineStr">
        <is>
          <t>2026-09-11T01:00:00-03:00</t>
        </is>
      </c>
      <c r="P52" s="40" t="inlineStr">
        <is>
          <t>Dwellings with electric power access</t>
        </is>
      </c>
    </row>
    <row r="53">
      <c r="A53" s="40" t="inlineStr">
        <is>
          <t>B0051</t>
        </is>
      </c>
      <c r="B53" s="40" t="inlineStr">
        <is>
          <t>2022-01-01</t>
        </is>
      </c>
      <c r="C53" s="40" t="inlineStr">
        <is>
          <t>2022-12-31</t>
        </is>
      </c>
      <c r="D53" s="40" t="inlineStr">
        <is>
          <t>year</t>
        </is>
      </c>
      <c r="E53" s="40" t="inlineStr">
        <is>
          <t>citizenship</t>
        </is>
      </c>
      <c r="F53" s="40" t="inlineStr">
        <is>
          <t>DWELLINGS_ELECTRICITY_ACCESS_RATE</t>
        </is>
      </c>
      <c r="G53" s="40" t="inlineStr">
        <is>
          <t>PY_HOUSEHOLDS</t>
        </is>
      </c>
      <c r="H53" s="43" t="n">
        <v>98.59999999999999</v>
      </c>
      <c r="I53" s="40" t="inlineStr">
        <is>
          <t>percent</t>
        </is>
      </c>
      <c r="J53" s="40" t="inlineStr">
        <is>
          <t>INE</t>
        </is>
      </c>
      <c r="K53" s="40" t="inlineStr">
        <is>
          <t>OFFICIAL_PRIMARY</t>
        </is>
      </c>
      <c r="L53" s="40" t="inlineStr">
        <is>
          <t>OFFICIAL_CENSUS</t>
        </is>
      </c>
      <c r="M53" s="40" t="inlineStr">
        <is>
          <t>latest_available_structural_baseline</t>
        </is>
      </c>
      <c r="N53" s="40" t="inlineStr">
        <is>
          <t>https://www.ine.gov.py/censo2022/documentos/Tr%C3%ADptico%20Resultados%20Finales_web.pdf</t>
        </is>
      </c>
      <c r="O53" s="40" t="inlineStr">
        <is>
          <t>2026-09-11T01:00:00-03:00</t>
        </is>
      </c>
      <c r="P53" s="40" t="inlineStr">
        <is>
          <t>Share of occupied private dwellings with electricity</t>
        </is>
      </c>
    </row>
    <row r="54">
      <c r="A54" s="40" t="inlineStr">
        <is>
          <t>B0052</t>
        </is>
      </c>
      <c r="B54" s="40" t="inlineStr">
        <is>
          <t>2022-01-01</t>
        </is>
      </c>
      <c r="C54" s="40" t="inlineStr">
        <is>
          <t>2022-12-31</t>
        </is>
      </c>
      <c r="D54" s="40" t="inlineStr">
        <is>
          <t>year</t>
        </is>
      </c>
      <c r="E54" s="40" t="inlineStr">
        <is>
          <t>citizenship</t>
        </is>
      </c>
      <c r="F54" s="40" t="inlineStr">
        <is>
          <t>DWELLINGS_AUTOMATIC_WASHER</t>
        </is>
      </c>
      <c r="G54" s="40" t="inlineStr">
        <is>
          <t>PY_HOUSEHOLDS</t>
        </is>
      </c>
      <c r="H54" s="43" t="n">
        <v>1106542</v>
      </c>
      <c r="I54" s="40" t="inlineStr">
        <is>
          <t>dwellings</t>
        </is>
      </c>
      <c r="J54" s="40" t="inlineStr">
        <is>
          <t>INE</t>
        </is>
      </c>
      <c r="K54" s="40" t="inlineStr">
        <is>
          <t>OFFICIAL_PRIMARY</t>
        </is>
      </c>
      <c r="L54" s="40" t="inlineStr">
        <is>
          <t>OFFICIAL_CENSUS</t>
        </is>
      </c>
      <c r="M54" s="40" t="inlineStr">
        <is>
          <t>latest_available_structural_baseline</t>
        </is>
      </c>
      <c r="N54" s="40" t="inlineStr">
        <is>
          <t>https://www.ine.gov.py/censo2022/documentos/Tr%C3%ADptico%20Resultados%20Finales_web.pdf</t>
        </is>
      </c>
      <c r="O54" s="40" t="inlineStr">
        <is>
          <t>2026-09-11T01:00:00-03:00</t>
        </is>
      </c>
      <c r="P54" s="40" t="inlineStr">
        <is>
          <t>Automatic washing machine</t>
        </is>
      </c>
    </row>
    <row r="55">
      <c r="A55" s="40" t="inlineStr">
        <is>
          <t>B0053</t>
        </is>
      </c>
      <c r="B55" s="40" t="inlineStr">
        <is>
          <t>2022-01-01</t>
        </is>
      </c>
      <c r="C55" s="40" t="inlineStr">
        <is>
          <t>2022-12-31</t>
        </is>
      </c>
      <c r="D55" s="40" t="inlineStr">
        <is>
          <t>year</t>
        </is>
      </c>
      <c r="E55" s="40" t="inlineStr">
        <is>
          <t>citizenship</t>
        </is>
      </c>
      <c r="F55" s="40" t="inlineStr">
        <is>
          <t>DWELLINGS_AUTOMATIC_WASHER_RATE</t>
        </is>
      </c>
      <c r="G55" s="40" t="inlineStr">
        <is>
          <t>PY_HOUSEHOLDS</t>
        </is>
      </c>
      <c r="H55" s="43" t="n">
        <v>63.3</v>
      </c>
      <c r="I55" s="40" t="inlineStr">
        <is>
          <t>percent</t>
        </is>
      </c>
      <c r="J55" s="40" t="inlineStr">
        <is>
          <t>INE</t>
        </is>
      </c>
      <c r="K55" s="40" t="inlineStr">
        <is>
          <t>OFFICIAL_PRIMARY</t>
        </is>
      </c>
      <c r="L55" s="40" t="inlineStr">
        <is>
          <t>OFFICIAL_CENSUS</t>
        </is>
      </c>
      <c r="M55" s="40" t="inlineStr">
        <is>
          <t>latest_available_structural_baseline</t>
        </is>
      </c>
      <c r="N55" s="40" t="inlineStr">
        <is>
          <t>https://www.ine.gov.py/censo2022/documentos/Tr%C3%ADptico%20Resultados%20Finales_web.pdf</t>
        </is>
      </c>
      <c r="O55" s="40" t="inlineStr">
        <is>
          <t>2026-09-11T01:00:00-03:00</t>
        </is>
      </c>
      <c r="P55" s="40" t="inlineStr">
        <is>
          <t>Automatic washing machine penetration</t>
        </is>
      </c>
    </row>
    <row r="56">
      <c r="A56" s="40" t="inlineStr">
        <is>
          <t>B0054</t>
        </is>
      </c>
      <c r="B56" s="40" t="inlineStr">
        <is>
          <t>2022-01-01</t>
        </is>
      </c>
      <c r="C56" s="40" t="inlineStr">
        <is>
          <t>2022-12-31</t>
        </is>
      </c>
      <c r="D56" s="40" t="inlineStr">
        <is>
          <t>year</t>
        </is>
      </c>
      <c r="E56" s="40" t="inlineStr">
        <is>
          <t>citizenship</t>
        </is>
      </c>
      <c r="F56" s="40" t="inlineStr">
        <is>
          <t>DWELLINGS_DRYER</t>
        </is>
      </c>
      <c r="G56" s="40" t="inlineStr">
        <is>
          <t>PY_HOUSEHOLDS</t>
        </is>
      </c>
      <c r="H56" s="43" t="n">
        <v>611264</v>
      </c>
      <c r="I56" s="40" t="inlineStr">
        <is>
          <t>dwellings</t>
        </is>
      </c>
      <c r="J56" s="40" t="inlineStr">
        <is>
          <t>INE</t>
        </is>
      </c>
      <c r="K56" s="40" t="inlineStr">
        <is>
          <t>OFFICIAL_PRIMARY</t>
        </is>
      </c>
      <c r="L56" s="40" t="inlineStr">
        <is>
          <t>OFFICIAL_CENSUS</t>
        </is>
      </c>
      <c r="M56" s="40" t="inlineStr">
        <is>
          <t>latest_available_structural_baseline</t>
        </is>
      </c>
      <c r="N56" s="40" t="inlineStr">
        <is>
          <t>https://www.ine.gov.py/censo2022/documentos/Tr%C3%ADptico%20Resultados%20Finales_web.pdf</t>
        </is>
      </c>
      <c r="O56" s="40" t="inlineStr">
        <is>
          <t>2026-09-11T01:00:00-03:00</t>
        </is>
      </c>
      <c r="P56" s="40" t="inlineStr">
        <is>
          <t>Clothes dryer</t>
        </is>
      </c>
    </row>
    <row r="57">
      <c r="A57" s="40" t="inlineStr">
        <is>
          <t>B0055</t>
        </is>
      </c>
      <c r="B57" s="40" t="inlineStr">
        <is>
          <t>2022-01-01</t>
        </is>
      </c>
      <c r="C57" s="40" t="inlineStr">
        <is>
          <t>2022-12-31</t>
        </is>
      </c>
      <c r="D57" s="40" t="inlineStr">
        <is>
          <t>year</t>
        </is>
      </c>
      <c r="E57" s="40" t="inlineStr">
        <is>
          <t>citizenship</t>
        </is>
      </c>
      <c r="F57" s="40" t="inlineStr">
        <is>
          <t>DWELLINGS_DRYER_RATE</t>
        </is>
      </c>
      <c r="G57" s="40" t="inlineStr">
        <is>
          <t>PY_HOUSEHOLDS</t>
        </is>
      </c>
      <c r="H57" s="43" t="n">
        <v>34.9</v>
      </c>
      <c r="I57" s="40" t="inlineStr">
        <is>
          <t>percent</t>
        </is>
      </c>
      <c r="J57" s="40" t="inlineStr">
        <is>
          <t>INE</t>
        </is>
      </c>
      <c r="K57" s="40" t="inlineStr">
        <is>
          <t>OFFICIAL_PRIMARY</t>
        </is>
      </c>
      <c r="L57" s="40" t="inlineStr">
        <is>
          <t>OFFICIAL_CENSUS</t>
        </is>
      </c>
      <c r="M57" s="40" t="inlineStr">
        <is>
          <t>latest_available_structural_baseline</t>
        </is>
      </c>
      <c r="N57" s="40" t="inlineStr">
        <is>
          <t>https://www.ine.gov.py/censo2022/documentos/Tr%C3%ADptico%20Resultados%20Finales_web.pdf</t>
        </is>
      </c>
      <c r="O57" s="40" t="inlineStr">
        <is>
          <t>2026-09-11T01:00:00-03:00</t>
        </is>
      </c>
      <c r="P57" s="40" t="inlineStr">
        <is>
          <t>Clothes dryer penetration</t>
        </is>
      </c>
    </row>
    <row r="58">
      <c r="A58" s="40" t="inlineStr">
        <is>
          <t>B0056</t>
        </is>
      </c>
      <c r="B58" s="40" t="inlineStr">
        <is>
          <t>2022-01-01</t>
        </is>
      </c>
      <c r="C58" s="40" t="inlineStr">
        <is>
          <t>2022-12-31</t>
        </is>
      </c>
      <c r="D58" s="40" t="inlineStr">
        <is>
          <t>year</t>
        </is>
      </c>
      <c r="E58" s="40" t="inlineStr">
        <is>
          <t>citizenship</t>
        </is>
      </c>
      <c r="F58" s="40" t="inlineStr">
        <is>
          <t>DWELLINGS_ELECTRIC_SHOWER</t>
        </is>
      </c>
      <c r="G58" s="40" t="inlineStr">
        <is>
          <t>PY_HOUSEHOLDS</t>
        </is>
      </c>
      <c r="H58" s="43" t="n">
        <v>1155448</v>
      </c>
      <c r="I58" s="40" t="inlineStr">
        <is>
          <t>dwellings</t>
        </is>
      </c>
      <c r="J58" s="40" t="inlineStr">
        <is>
          <t>INE</t>
        </is>
      </c>
      <c r="K58" s="40" t="inlineStr">
        <is>
          <t>OFFICIAL_PRIMARY</t>
        </is>
      </c>
      <c r="L58" s="40" t="inlineStr">
        <is>
          <t>OFFICIAL_CENSUS</t>
        </is>
      </c>
      <c r="M58" s="40" t="inlineStr">
        <is>
          <t>latest_available_structural_baseline</t>
        </is>
      </c>
      <c r="N58" s="40" t="inlineStr">
        <is>
          <t>https://www.ine.gov.py/censo2022/documentos/Tr%C3%ADptico%20Resultados%20Finales_web.pdf</t>
        </is>
      </c>
      <c r="O58" s="40" t="inlineStr">
        <is>
          <t>2026-09-11T01:00:00-03:00</t>
        </is>
      </c>
      <c r="P58" s="40" t="inlineStr">
        <is>
          <t>Electric shower</t>
        </is>
      </c>
    </row>
    <row r="59">
      <c r="A59" s="40" t="inlineStr">
        <is>
          <t>B0057</t>
        </is>
      </c>
      <c r="B59" s="40" t="inlineStr">
        <is>
          <t>2022-01-01</t>
        </is>
      </c>
      <c r="C59" s="40" t="inlineStr">
        <is>
          <t>2022-12-31</t>
        </is>
      </c>
      <c r="D59" s="40" t="inlineStr">
        <is>
          <t>year</t>
        </is>
      </c>
      <c r="E59" s="40" t="inlineStr">
        <is>
          <t>citizenship</t>
        </is>
      </c>
      <c r="F59" s="40" t="inlineStr">
        <is>
          <t>DWELLINGS_ELECTRIC_SHOWER_RATE</t>
        </is>
      </c>
      <c r="G59" s="40" t="inlineStr">
        <is>
          <t>PY_HOUSEHOLDS</t>
        </is>
      </c>
      <c r="H59" s="43" t="n">
        <v>66.09999999999999</v>
      </c>
      <c r="I59" s="40" t="inlineStr">
        <is>
          <t>percent</t>
        </is>
      </c>
      <c r="J59" s="40" t="inlineStr">
        <is>
          <t>INE</t>
        </is>
      </c>
      <c r="K59" s="40" t="inlineStr">
        <is>
          <t>OFFICIAL_PRIMARY</t>
        </is>
      </c>
      <c r="L59" s="40" t="inlineStr">
        <is>
          <t>OFFICIAL_CENSUS</t>
        </is>
      </c>
      <c r="M59" s="40" t="inlineStr">
        <is>
          <t>latest_available_structural_baseline</t>
        </is>
      </c>
      <c r="N59" s="40" t="inlineStr">
        <is>
          <t>https://www.ine.gov.py/censo2022/documentos/Tr%C3%ADptico%20Resultados%20Finales_web.pdf</t>
        </is>
      </c>
      <c r="O59" s="40" t="inlineStr">
        <is>
          <t>2026-09-11T01:00:00-03:00</t>
        </is>
      </c>
      <c r="P59" s="40" t="inlineStr">
        <is>
          <t>Electric shower penetration</t>
        </is>
      </c>
    </row>
    <row r="60">
      <c r="A60" s="40" t="inlineStr">
        <is>
          <t>B0058</t>
        </is>
      </c>
      <c r="B60" s="40" t="inlineStr">
        <is>
          <t>2022-01-01</t>
        </is>
      </c>
      <c r="C60" s="40" t="inlineStr">
        <is>
          <t>2022-12-31</t>
        </is>
      </c>
      <c r="D60" s="40" t="inlineStr">
        <is>
          <t>year</t>
        </is>
      </c>
      <c r="E60" s="40" t="inlineStr">
        <is>
          <t>citizenship</t>
        </is>
      </c>
      <c r="F60" s="40" t="inlineStr">
        <is>
          <t>DWELLINGS_WATER_HEATER</t>
        </is>
      </c>
      <c r="G60" s="40" t="inlineStr">
        <is>
          <t>PY_HOUSEHOLDS</t>
        </is>
      </c>
      <c r="H60" s="43" t="n">
        <v>354102</v>
      </c>
      <c r="I60" s="40" t="inlineStr">
        <is>
          <t>dwellings</t>
        </is>
      </c>
      <c r="J60" s="40" t="inlineStr">
        <is>
          <t>INE</t>
        </is>
      </c>
      <c r="K60" s="40" t="inlineStr">
        <is>
          <t>OFFICIAL_PRIMARY</t>
        </is>
      </c>
      <c r="L60" s="40" t="inlineStr">
        <is>
          <t>OFFICIAL_CENSUS</t>
        </is>
      </c>
      <c r="M60" s="40" t="inlineStr">
        <is>
          <t>latest_available_structural_baseline</t>
        </is>
      </c>
      <c r="N60" s="40" t="inlineStr">
        <is>
          <t>https://www.ine.gov.py/censo2022/documentos/Tr%C3%ADptico%20Resultados%20Finales_web.pdf</t>
        </is>
      </c>
      <c r="O60" s="40" t="inlineStr">
        <is>
          <t>2026-09-11T01:00:00-03:00</t>
        </is>
      </c>
      <c r="P60" s="40" t="inlineStr">
        <is>
          <t>Electric/other water heater (termocalefon category)</t>
        </is>
      </c>
    </row>
    <row r="61">
      <c r="A61" s="40" t="inlineStr">
        <is>
          <t>B0059</t>
        </is>
      </c>
      <c r="B61" s="40" t="inlineStr">
        <is>
          <t>2022-01-01</t>
        </is>
      </c>
      <c r="C61" s="40" t="inlineStr">
        <is>
          <t>2022-12-31</t>
        </is>
      </c>
      <c r="D61" s="40" t="inlineStr">
        <is>
          <t>year</t>
        </is>
      </c>
      <c r="E61" s="40" t="inlineStr">
        <is>
          <t>citizenship</t>
        </is>
      </c>
      <c r="F61" s="40" t="inlineStr">
        <is>
          <t>DWELLINGS_WATER_HEATER_RATE</t>
        </is>
      </c>
      <c r="G61" s="40" t="inlineStr">
        <is>
          <t>PY_HOUSEHOLDS</t>
        </is>
      </c>
      <c r="H61" s="43" t="n">
        <v>20.2</v>
      </c>
      <c r="I61" s="40" t="inlineStr">
        <is>
          <t>percent</t>
        </is>
      </c>
      <c r="J61" s="40" t="inlineStr">
        <is>
          <t>INE</t>
        </is>
      </c>
      <c r="K61" s="40" t="inlineStr">
        <is>
          <t>OFFICIAL_PRIMARY</t>
        </is>
      </c>
      <c r="L61" s="40" t="inlineStr">
        <is>
          <t>OFFICIAL_CENSUS</t>
        </is>
      </c>
      <c r="M61" s="40" t="inlineStr">
        <is>
          <t>latest_available_structural_baseline</t>
        </is>
      </c>
      <c r="N61" s="40" t="inlineStr">
        <is>
          <t>https://www.ine.gov.py/censo2022/documentos/Tr%C3%ADptico%20Resultados%20Finales_web.pdf</t>
        </is>
      </c>
      <c r="O61" s="40" t="inlineStr">
        <is>
          <t>2026-09-11T01:00:00-03:00</t>
        </is>
      </c>
      <c r="P61" s="40" t="inlineStr">
        <is>
          <t>Water heater penetration</t>
        </is>
      </c>
    </row>
    <row r="62">
      <c r="A62" s="40" t="inlineStr">
        <is>
          <t>B0060</t>
        </is>
      </c>
      <c r="B62" s="40" t="inlineStr">
        <is>
          <t>2022-01-01</t>
        </is>
      </c>
      <c r="C62" s="40" t="inlineStr">
        <is>
          <t>2022-12-31</t>
        </is>
      </c>
      <c r="D62" s="40" t="inlineStr">
        <is>
          <t>year</t>
        </is>
      </c>
      <c r="E62" s="40" t="inlineStr">
        <is>
          <t>citizenship</t>
        </is>
      </c>
      <c r="F62" s="40" t="inlineStr">
        <is>
          <t>DWELLINGS_MICROWAVE</t>
        </is>
      </c>
      <c r="G62" s="40" t="inlineStr">
        <is>
          <t>PY_HOUSEHOLDS</t>
        </is>
      </c>
      <c r="H62" s="43" t="n">
        <v>625998</v>
      </c>
      <c r="I62" s="40" t="inlineStr">
        <is>
          <t>dwellings</t>
        </is>
      </c>
      <c r="J62" s="40" t="inlineStr">
        <is>
          <t>INE</t>
        </is>
      </c>
      <c r="K62" s="40" t="inlineStr">
        <is>
          <t>OFFICIAL_PRIMARY</t>
        </is>
      </c>
      <c r="L62" s="40" t="inlineStr">
        <is>
          <t>OFFICIAL_CENSUS</t>
        </is>
      </c>
      <c r="M62" s="40" t="inlineStr">
        <is>
          <t>latest_available_structural_baseline</t>
        </is>
      </c>
      <c r="N62" s="40" t="inlineStr">
        <is>
          <t>https://www.ine.gov.py/censo2022/documentos/Tr%C3%ADptico%20Resultados%20Finales_web.pdf</t>
        </is>
      </c>
      <c r="O62" s="40" t="inlineStr">
        <is>
          <t>2026-09-11T01:00:00-03:00</t>
        </is>
      </c>
      <c r="P62" s="40" t="inlineStr">
        <is>
          <t>Microwave</t>
        </is>
      </c>
    </row>
    <row r="63">
      <c r="A63" s="40" t="inlineStr">
        <is>
          <t>B0061</t>
        </is>
      </c>
      <c r="B63" s="40" t="inlineStr">
        <is>
          <t>2022-01-01</t>
        </is>
      </c>
      <c r="C63" s="40" t="inlineStr">
        <is>
          <t>2022-12-31</t>
        </is>
      </c>
      <c r="D63" s="40" t="inlineStr">
        <is>
          <t>year</t>
        </is>
      </c>
      <c r="E63" s="40" t="inlineStr">
        <is>
          <t>citizenship</t>
        </is>
      </c>
      <c r="F63" s="40" t="inlineStr">
        <is>
          <t>DWELLINGS_MICROWAVE_RATE</t>
        </is>
      </c>
      <c r="G63" s="40" t="inlineStr">
        <is>
          <t>PY_HOUSEHOLDS</t>
        </is>
      </c>
      <c r="H63" s="43" t="n">
        <v>35.8</v>
      </c>
      <c r="I63" s="40" t="inlineStr">
        <is>
          <t>percent</t>
        </is>
      </c>
      <c r="J63" s="40" t="inlineStr">
        <is>
          <t>INE</t>
        </is>
      </c>
      <c r="K63" s="40" t="inlineStr">
        <is>
          <t>OFFICIAL_PRIMARY</t>
        </is>
      </c>
      <c r="L63" s="40" t="inlineStr">
        <is>
          <t>OFFICIAL_CENSUS</t>
        </is>
      </c>
      <c r="M63" s="40" t="inlineStr">
        <is>
          <t>latest_available_structural_baseline</t>
        </is>
      </c>
      <c r="N63" s="40" t="inlineStr">
        <is>
          <t>https://www.ine.gov.py/censo2022/documentos/Tr%C3%ADptico%20Resultados%20Finales_web.pdf</t>
        </is>
      </c>
      <c r="O63" s="40" t="inlineStr">
        <is>
          <t>2026-09-11T01:00:00-03:00</t>
        </is>
      </c>
      <c r="P63" s="40" t="inlineStr">
        <is>
          <t>Microwave penetration</t>
        </is>
      </c>
    </row>
    <row r="64">
      <c r="A64" s="40" t="inlineStr">
        <is>
          <t>B0062</t>
        </is>
      </c>
      <c r="B64" s="40" t="inlineStr">
        <is>
          <t>2022-01-01</t>
        </is>
      </c>
      <c r="C64" s="40" t="inlineStr">
        <is>
          <t>2022-12-31</t>
        </is>
      </c>
      <c r="D64" s="40" t="inlineStr">
        <is>
          <t>year</t>
        </is>
      </c>
      <c r="E64" s="40" t="inlineStr">
        <is>
          <t>citizenship</t>
        </is>
      </c>
      <c r="F64" s="40" t="inlineStr">
        <is>
          <t>DWELLINGS_AIR_CONDITIONER</t>
        </is>
      </c>
      <c r="G64" s="40" t="inlineStr">
        <is>
          <t>PY_HOUSEHOLDS</t>
        </is>
      </c>
      <c r="H64" s="43" t="n">
        <v>930301</v>
      </c>
      <c r="I64" s="40" t="inlineStr">
        <is>
          <t>dwellings</t>
        </is>
      </c>
      <c r="J64" s="40" t="inlineStr">
        <is>
          <t>INE</t>
        </is>
      </c>
      <c r="K64" s="40" t="inlineStr">
        <is>
          <t>OFFICIAL_PRIMARY</t>
        </is>
      </c>
      <c r="L64" s="40" t="inlineStr">
        <is>
          <t>OFFICIAL_CENSUS</t>
        </is>
      </c>
      <c r="M64" s="40" t="inlineStr">
        <is>
          <t>latest_available_structural_baseline</t>
        </is>
      </c>
      <c r="N64" s="40" t="inlineStr">
        <is>
          <t>https://www.ine.gov.py/censo2022/documentos/Tr%C3%ADptico%20Resultados%20Finales_web.pdf</t>
        </is>
      </c>
      <c r="O64" s="40" t="inlineStr">
        <is>
          <t>2026-09-11T01:00:00-03:00</t>
        </is>
      </c>
      <c r="P64" s="40" t="inlineStr">
        <is>
          <t>Air conditioner</t>
        </is>
      </c>
    </row>
    <row r="65">
      <c r="A65" s="40" t="inlineStr">
        <is>
          <t>B0063</t>
        </is>
      </c>
      <c r="B65" s="40" t="inlineStr">
        <is>
          <t>2022-01-01</t>
        </is>
      </c>
      <c r="C65" s="40" t="inlineStr">
        <is>
          <t>2022-12-31</t>
        </is>
      </c>
      <c r="D65" s="40" t="inlineStr">
        <is>
          <t>year</t>
        </is>
      </c>
      <c r="E65" s="40" t="inlineStr">
        <is>
          <t>citizenship</t>
        </is>
      </c>
      <c r="F65" s="40" t="inlineStr">
        <is>
          <t>DWELLINGS_AIR_CONDITIONER_RATE</t>
        </is>
      </c>
      <c r="G65" s="40" t="inlineStr">
        <is>
          <t>PY_HOUSEHOLDS</t>
        </is>
      </c>
      <c r="H65" s="43" t="n">
        <v>53.2</v>
      </c>
      <c r="I65" s="40" t="inlineStr">
        <is>
          <t>percent</t>
        </is>
      </c>
      <c r="J65" s="40" t="inlineStr">
        <is>
          <t>INE</t>
        </is>
      </c>
      <c r="K65" s="40" t="inlineStr">
        <is>
          <t>OFFICIAL_PRIMARY</t>
        </is>
      </c>
      <c r="L65" s="40" t="inlineStr">
        <is>
          <t>OFFICIAL_CENSUS</t>
        </is>
      </c>
      <c r="M65" s="40" t="inlineStr">
        <is>
          <t>latest_available_structural_baseline</t>
        </is>
      </c>
      <c r="N65" s="40" t="inlineStr">
        <is>
          <t>https://www.ine.gov.py/censo2022/documentos/Tr%C3%ADptico%20Resultados%20Finales_web.pdf</t>
        </is>
      </c>
      <c r="O65" s="40" t="inlineStr">
        <is>
          <t>2026-09-11T01:00:00-03:00</t>
        </is>
      </c>
      <c r="P65" s="40" t="inlineStr">
        <is>
          <t>Air-conditioner penetration</t>
        </is>
      </c>
    </row>
    <row r="66">
      <c r="A66" s="40" t="inlineStr">
        <is>
          <t>B0064</t>
        </is>
      </c>
      <c r="B66" s="40" t="inlineStr">
        <is>
          <t>2026-01-01</t>
        </is>
      </c>
      <c r="C66" s="40" t="inlineStr">
        <is>
          <t>2030-12-31</t>
        </is>
      </c>
      <c r="D66" s="40" t="inlineStr">
        <is>
          <t>plan</t>
        </is>
      </c>
      <c r="E66" s="40" t="inlineStr">
        <is>
          <t>planning</t>
        </is>
      </c>
      <c r="F66" s="40" t="inlineStr">
        <is>
          <t>NEW_USERS_PLANNED_TO_2030</t>
        </is>
      </c>
      <c r="G66" s="40" t="inlineStr">
        <is>
          <t>PY_SIN</t>
        </is>
      </c>
      <c r="H66" s="43" t="n">
        <v>383000</v>
      </c>
      <c r="I66" s="40" t="inlineStr">
        <is>
          <t>users</t>
        </is>
      </c>
      <c r="J66" s="40" t="inlineStr">
        <is>
          <t>ANDE</t>
        </is>
      </c>
      <c r="K66" s="40" t="inlineStr">
        <is>
          <t>OFFICIAL_PRIMARY</t>
        </is>
      </c>
      <c r="L66" s="40" t="inlineStr">
        <is>
          <t>OFFICIAL_PLAN</t>
        </is>
      </c>
      <c r="M66" s="40" t="inlineStr">
        <is>
          <t>planning_baseline</t>
        </is>
      </c>
      <c r="N66" s="40" t="inlineStr">
        <is>
          <t>https://www.ande.gov.py/finanzas/BAGP%202025%20ANDE.pdf</t>
        </is>
      </c>
      <c r="O66" s="40" t="inlineStr">
        <is>
          <t>2026-09-11T01:00:00-03:00</t>
        </is>
      </c>
      <c r="P66" s="40" t="inlineStr">
        <is>
          <t>BAGP 2025 states projected connection of 383,000 new users by 2030.</t>
        </is>
      </c>
    </row>
    <row r="67">
      <c r="A67" s="40" t="inlineStr">
        <is>
          <t>B0065</t>
        </is>
      </c>
      <c r="B67" s="40" t="inlineStr">
        <is>
          <t>2026-01-01</t>
        </is>
      </c>
      <c r="C67" s="40" t="inlineStr">
        <is>
          <t>2028-12-31</t>
        </is>
      </c>
      <c r="D67" s="40" t="inlineStr">
        <is>
          <t>plan</t>
        </is>
      </c>
      <c r="E67" s="40" t="inlineStr">
        <is>
          <t>planning</t>
        </is>
      </c>
      <c r="F67" s="40" t="inlineStr">
        <is>
          <t>NATIONAL_ELECTRIFICATION_TARGET</t>
        </is>
      </c>
      <c r="G67" s="40" t="inlineStr">
        <is>
          <t>PY_SIN</t>
        </is>
      </c>
      <c r="H67" s="43" t="n">
        <v>100</v>
      </c>
      <c r="I67" s="40" t="inlineStr">
        <is>
          <t>percent</t>
        </is>
      </c>
      <c r="J67" s="40" t="inlineStr">
        <is>
          <t>ANDE</t>
        </is>
      </c>
      <c r="K67" s="40" t="inlineStr">
        <is>
          <t>OFFICIAL_PRIMARY</t>
        </is>
      </c>
      <c r="L67" s="40" t="inlineStr">
        <is>
          <t>OFFICIAL_PLAN</t>
        </is>
      </c>
      <c r="M67" s="40" t="inlineStr">
        <is>
          <t>planning_target</t>
        </is>
      </c>
      <c r="N67" s="40" t="inlineStr">
        <is>
          <t>https://www.ande.gov.py/finanzas/BAGP%202025%20ANDE.pdf</t>
        </is>
      </c>
      <c r="O67" s="40" t="inlineStr">
        <is>
          <t>2026-09-11T01:00:00-03:00</t>
        </is>
      </c>
      <c r="P67" s="40" t="inlineStr">
        <is>
          <t>Target of 100% national electricity coverage by 2028.</t>
        </is>
      </c>
    </row>
    <row r="68">
      <c r="A68" s="40" t="inlineStr">
        <is>
          <t>B0066</t>
        </is>
      </c>
      <c r="B68" s="40" t="inlineStr">
        <is>
          <t>2025-01-01</t>
        </is>
      </c>
      <c r="C68" s="40" t="inlineStr">
        <is>
          <t>2028-12-31</t>
        </is>
      </c>
      <c r="D68" s="40" t="inlineStr">
        <is>
          <t>plan</t>
        </is>
      </c>
      <c r="E68" s="40" t="inlineStr">
        <is>
          <t>planning</t>
        </is>
      </c>
      <c r="F68" s="40" t="inlineStr">
        <is>
          <t>DISTRIBUTION_LOSS_TARGET_2028</t>
        </is>
      </c>
      <c r="G68" s="40" t="inlineStr">
        <is>
          <t>PY_GRID</t>
        </is>
      </c>
      <c r="H68" s="43" t="n">
        <v>15</v>
      </c>
      <c r="I68" s="40" t="inlineStr">
        <is>
          <t>percent</t>
        </is>
      </c>
      <c r="J68" s="40" t="inlineStr">
        <is>
          <t>ANDE</t>
        </is>
      </c>
      <c r="K68" s="40" t="inlineStr">
        <is>
          <t>OFFICIAL_PRIMARY</t>
        </is>
      </c>
      <c r="L68" s="40" t="inlineStr">
        <is>
          <t>OFFICIAL_PLAN</t>
        </is>
      </c>
      <c r="M68" s="40" t="inlineStr">
        <is>
          <t>planning_target</t>
        </is>
      </c>
      <c r="N68" s="40" t="inlineStr">
        <is>
          <t>https://www.ande.gov.py/interna.php?id=15116</t>
        </is>
      </c>
      <c r="O68" s="40" t="inlineStr">
        <is>
          <t>2026-09-11T01:00:00-03:00</t>
        </is>
      </c>
      <c r="P68" s="40" t="inlineStr">
        <is>
          <t>ANDE target for total distribution losses by end-2028.</t>
        </is>
      </c>
    </row>
  </sheetData>
  <autoFilter ref="A2:P2"/>
  <mergeCells count="1">
    <mergeCell ref="A1:P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5" customWidth="1" min="4" max="4"/>
    <col width="18" customWidth="1" min="5" max="5"/>
    <col width="20" customWidth="1" min="6" max="6"/>
    <col width="22" customWidth="1" min="7" max="7"/>
    <col width="54" customWidth="1" min="8" max="8"/>
    <col width="22" customWidth="1" min="9" max="9"/>
  </cols>
  <sheetData>
    <row r="1" ht="24" customHeight="1">
      <c r="A1" s="41" t="inlineStr">
        <is>
          <t>ANDE — 2025 billed energy and customer categories</t>
        </is>
      </c>
    </row>
    <row r="2" ht="34" customHeight="1">
      <c r="A2" s="42" t="inlineStr">
        <is>
          <t>Year</t>
        </is>
      </c>
      <c r="B2" s="42" t="inlineStr">
        <is>
          <t>Category</t>
        </is>
      </c>
      <c r="C2" s="42" t="inlineStr">
        <is>
          <t>Billed kWh</t>
        </is>
      </c>
      <c r="D2" s="42" t="inlineStr">
        <is>
          <t>Users</t>
        </is>
      </c>
      <c r="E2" s="42" t="inlineStr">
        <is>
          <t>kWh/user/year</t>
        </is>
      </c>
      <c r="F2" s="42" t="inlineStr">
        <is>
          <t>kWh/user/month</t>
        </is>
      </c>
      <c r="G2" s="42" t="inlineStr">
        <is>
          <t>Share of national subtotal</t>
        </is>
      </c>
      <c r="H2" s="42" t="inlineStr">
        <is>
          <t>Source URL</t>
        </is>
      </c>
      <c r="I2" s="42" t="inlineStr">
        <is>
          <t>Quality</t>
        </is>
      </c>
    </row>
    <row r="3">
      <c r="A3" s="40" t="n">
        <v>2025</v>
      </c>
      <c r="B3" s="40" t="inlineStr">
        <is>
          <t>Residential</t>
        </is>
      </c>
      <c r="C3" s="44" t="n">
        <v>7425632545</v>
      </c>
      <c r="D3" s="44" t="n">
        <v>1482966</v>
      </c>
      <c r="E3" s="45">
        <f>C3/D3</f>
        <v/>
      </c>
      <c r="F3" s="45">
        <f>E3/12</f>
        <v/>
      </c>
      <c r="G3" s="46">
        <f>C3/$C$11</f>
        <v/>
      </c>
      <c r="H3" s="40" t="inlineStr">
        <is>
          <t>https://www.ande.gov.py/finanzas/BAGP%202025%20ANDE.pdf</t>
        </is>
      </c>
      <c r="I3" s="40" t="inlineStr">
        <is>
          <t>OFFICIAL_AGGREGATE</t>
        </is>
      </c>
    </row>
    <row r="4">
      <c r="A4" s="40" t="n">
        <v>2025</v>
      </c>
      <c r="B4" s="40" t="inlineStr">
        <is>
          <t>Industrial</t>
        </is>
      </c>
      <c r="C4" s="44" t="n">
        <v>266595986</v>
      </c>
      <c r="D4" s="44" t="n">
        <v>121</v>
      </c>
      <c r="E4" s="45">
        <f>C4/D4</f>
        <v/>
      </c>
      <c r="F4" s="45">
        <f>E4/12</f>
        <v/>
      </c>
      <c r="G4" s="46">
        <f>C4/$C$11</f>
        <v/>
      </c>
      <c r="H4" s="40" t="inlineStr">
        <is>
          <t>https://www.ande.gov.py/finanzas/BAGP%202025%20ANDE.pdf</t>
        </is>
      </c>
      <c r="I4" s="40" t="inlineStr">
        <is>
          <t>OFFICIAL_AGGREGATE</t>
        </is>
      </c>
    </row>
    <row r="5">
      <c r="A5" s="40" t="n">
        <v>2025</v>
      </c>
      <c r="B5" s="40" t="inlineStr">
        <is>
          <t>Other</t>
        </is>
      </c>
      <c r="C5" s="44" t="n">
        <v>6842117693</v>
      </c>
      <c r="D5" s="44" t="n">
        <v>189767</v>
      </c>
      <c r="E5" s="45">
        <f>C5/D5</f>
        <v/>
      </c>
      <c r="F5" s="45">
        <f>E5/12</f>
        <v/>
      </c>
      <c r="G5" s="46">
        <f>C5/$C$11</f>
        <v/>
      </c>
      <c r="H5" s="40" t="inlineStr">
        <is>
          <t>https://www.ande.gov.py/finanzas/BAGP%202025%20ANDE.pdf</t>
        </is>
      </c>
      <c r="I5" s="40" t="inlineStr">
        <is>
          <t>OFFICIAL_AGGREGATE</t>
        </is>
      </c>
    </row>
    <row r="6">
      <c r="A6" s="40" t="n">
        <v>2025</v>
      </c>
      <c r="B6" s="40" t="inlineStr">
        <is>
          <t>Government</t>
        </is>
      </c>
      <c r="C6" s="44" t="n">
        <v>442721865</v>
      </c>
      <c r="D6" s="44" t="n">
        <v>7919</v>
      </c>
      <c r="E6" s="45">
        <f>C6/D6</f>
        <v/>
      </c>
      <c r="F6" s="45">
        <f>E6/12</f>
        <v/>
      </c>
      <c r="G6" s="46">
        <f>C6/$C$11</f>
        <v/>
      </c>
      <c r="H6" s="40" t="inlineStr">
        <is>
          <t>https://www.ande.gov.py/finanzas/BAGP%202025%20ANDE.pdf</t>
        </is>
      </c>
      <c r="I6" s="40" t="inlineStr">
        <is>
          <t>OFFICIAL_AGGREGATE</t>
        </is>
      </c>
    </row>
    <row r="7">
      <c r="A7" s="40" t="n">
        <v>2025</v>
      </c>
      <c r="B7" s="40" t="inlineStr">
        <is>
          <t>Differential</t>
        </is>
      </c>
      <c r="C7" s="44" t="n">
        <v>101215024</v>
      </c>
      <c r="D7" s="44" t="n">
        <v>107</v>
      </c>
      <c r="E7" s="45">
        <f>C7/D7</f>
        <v/>
      </c>
      <c r="F7" s="45">
        <f>E7/12</f>
        <v/>
      </c>
      <c r="G7" s="46">
        <f>C7/$C$11</f>
        <v/>
      </c>
      <c r="H7" s="40" t="inlineStr">
        <is>
          <t>https://www.ande.gov.py/finanzas/BAGP%202025%20ANDE.pdf</t>
        </is>
      </c>
      <c r="I7" s="40" t="inlineStr">
        <is>
          <t>OFFICIAL_AGGREGATE</t>
        </is>
      </c>
    </row>
    <row r="8">
      <c r="A8" s="40" t="n">
        <v>2025</v>
      </c>
      <c r="B8" s="40" t="inlineStr">
        <is>
          <t>High Voltage</t>
        </is>
      </c>
      <c r="C8" s="44" t="n">
        <v>886324372</v>
      </c>
      <c r="D8" s="44" t="n">
        <v>14</v>
      </c>
      <c r="E8" s="45">
        <f>C8/D8</f>
        <v/>
      </c>
      <c r="F8" s="45">
        <f>E8/12</f>
        <v/>
      </c>
      <c r="G8" s="46">
        <f>C8/$C$11</f>
        <v/>
      </c>
      <c r="H8" s="40" t="inlineStr">
        <is>
          <t>https://www.ande.gov.py/finanzas/BAGP%202025%20ANDE.pdf</t>
        </is>
      </c>
      <c r="I8" s="40" t="inlineStr">
        <is>
          <t>OFFICIAL_AGGREGATE</t>
        </is>
      </c>
    </row>
    <row r="9">
      <c r="A9" s="40" t="n">
        <v>2025</v>
      </c>
      <c r="B9" s="40" t="inlineStr">
        <is>
          <t>Very High Voltage</t>
        </is>
      </c>
      <c r="C9" s="44" t="n">
        <v>253382351</v>
      </c>
      <c r="D9" s="44" t="n">
        <v>4</v>
      </c>
      <c r="E9" s="45">
        <f>C9/D9</f>
        <v/>
      </c>
      <c r="F9" s="45">
        <f>E9/12</f>
        <v/>
      </c>
      <c r="G9" s="46">
        <f>C9/$C$11</f>
        <v/>
      </c>
      <c r="H9" s="40" t="inlineStr">
        <is>
          <t>https://www.ande.gov.py/finanzas/BAGP%202025%20ANDE.pdf</t>
        </is>
      </c>
      <c r="I9" s="40" t="inlineStr">
        <is>
          <t>OFFICIAL_AGGREGATE</t>
        </is>
      </c>
    </row>
    <row r="10">
      <c r="A10" s="40" t="n">
        <v>2025</v>
      </c>
      <c r="B10" s="40" t="inlineStr">
        <is>
          <t>Special Intensive Consumers</t>
        </is>
      </c>
      <c r="C10" s="44" t="n">
        <v>5464852192</v>
      </c>
      <c r="D10" s="44" t="n">
        <v>47</v>
      </c>
      <c r="E10" s="45">
        <f>C10/D10</f>
        <v/>
      </c>
      <c r="F10" s="45">
        <f>E10/12</f>
        <v/>
      </c>
      <c r="G10" s="46">
        <f>C10/$C$11</f>
        <v/>
      </c>
      <c r="H10" s="40" t="inlineStr">
        <is>
          <t>https://www.ande.gov.py/finanzas/BAGP%202025%20ANDE.pdf</t>
        </is>
      </c>
      <c r="I10" s="40" t="inlineStr">
        <is>
          <t>OFFICIAL_AGGREGATE</t>
        </is>
      </c>
    </row>
    <row r="11">
      <c r="A11" s="40" t="n">
        <v>2025</v>
      </c>
      <c r="B11" s="40" t="inlineStr">
        <is>
          <t>National subtotal</t>
        </is>
      </c>
      <c r="C11" s="44" t="n">
        <v>21682842028</v>
      </c>
      <c r="D11" s="44" t="n">
        <v>1680945</v>
      </c>
      <c r="E11" s="45">
        <f>C11/D11</f>
        <v/>
      </c>
      <c r="F11" s="45">
        <f>E11/12</f>
        <v/>
      </c>
      <c r="G11" s="46">
        <f>C11/$C$11</f>
        <v/>
      </c>
      <c r="H11" s="40" t="inlineStr">
        <is>
          <t>https://www.ande.gov.py/finanzas/BAGP%202025%20ANDE.pdf</t>
        </is>
      </c>
      <c r="I11" s="40" t="inlineStr">
        <is>
          <t>OFFICIAL_AGGREGATE</t>
        </is>
      </c>
    </row>
    <row r="12">
      <c r="A12" s="40" t="n">
        <v>2025</v>
      </c>
      <c r="B12" s="40" t="inlineStr">
        <is>
          <t>Export - ENARSA</t>
        </is>
      </c>
      <c r="C12" s="44" t="n">
        <v>113360874</v>
      </c>
      <c r="D12" s="44" t="n">
        <v>1</v>
      </c>
      <c r="E12" s="45">
        <f>C12/D12</f>
        <v/>
      </c>
      <c r="F12" s="45">
        <f>E12/12</f>
        <v/>
      </c>
      <c r="G12" s="46">
        <f>C12/$C$11</f>
        <v/>
      </c>
      <c r="H12" s="40" t="inlineStr">
        <is>
          <t>https://www.ande.gov.py/finanzas/BAGP%202025%20ANDE.pdf</t>
        </is>
      </c>
      <c r="I12" s="40" t="inlineStr">
        <is>
          <t>OFFICIAL_AGGREGATE</t>
        </is>
      </c>
    </row>
    <row r="13">
      <c r="A13" s="40" t="n">
        <v>2025</v>
      </c>
      <c r="B13" s="40" t="inlineStr">
        <is>
          <t>National + export subtotal</t>
        </is>
      </c>
      <c r="C13" s="44" t="n">
        <v>21796202902</v>
      </c>
      <c r="D13" s="44" t="n">
        <v>1680946</v>
      </c>
      <c r="E13" s="45">
        <f>C13/D13</f>
        <v/>
      </c>
      <c r="F13" s="45">
        <f>E13/12</f>
        <v/>
      </c>
      <c r="G13" s="47" t="n"/>
      <c r="H13" s="40" t="inlineStr">
        <is>
          <t>https://www.ande.gov.py/finanzas/BAGP%202025%20ANDE.pdf</t>
        </is>
      </c>
      <c r="I13" s="40" t="inlineStr">
        <is>
          <t>OFFICIAL_AGGREGATE</t>
        </is>
      </c>
    </row>
    <row r="14">
      <c r="A14" s="40" t="n">
        <v>2025</v>
      </c>
      <c r="B14" s="40" t="inlineStr">
        <is>
          <t>Public lighting</t>
        </is>
      </c>
      <c r="C14" s="44" t="n">
        <v>236466394</v>
      </c>
      <c r="D14" s="44" t="n"/>
      <c r="E14" s="45" t="n"/>
      <c r="F14" s="45" t="n"/>
      <c r="G14" s="47" t="n"/>
      <c r="H14" s="40" t="inlineStr">
        <is>
          <t>https://www.ande.gov.py/finanzas/BAGP%202025%20ANDE.pdf</t>
        </is>
      </c>
      <c r="I14" s="40" t="inlineStr">
        <is>
          <t>OFFICIAL_AGGREGATE</t>
        </is>
      </c>
    </row>
    <row r="15">
      <c r="A15" s="40" t="n">
        <v>2025</v>
      </c>
      <c r="B15" s="40" t="inlineStr">
        <is>
          <t>Total invoiced</t>
        </is>
      </c>
      <c r="C15" s="44" t="n">
        <v>22032669296</v>
      </c>
      <c r="D15" s="44" t="n">
        <v>1680946</v>
      </c>
      <c r="E15" s="45">
        <f>C15/D15</f>
        <v/>
      </c>
      <c r="F15" s="45">
        <f>E15/12</f>
        <v/>
      </c>
      <c r="G15" s="47" t="n"/>
      <c r="H15" s="40" t="inlineStr">
        <is>
          <t>https://www.ande.gov.py/finanzas/BAGP%202025%20ANDE.pdf</t>
        </is>
      </c>
      <c r="I15" s="40" t="inlineStr">
        <is>
          <t>OFFICIAL_AGGREGATE</t>
        </is>
      </c>
    </row>
  </sheetData>
  <autoFilter ref="A2:I2"/>
  <mergeCells count="1">
    <mergeCell ref="A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4" customWidth="1" min="3" max="3"/>
    <col width="16" customWidth="1" min="4" max="4"/>
    <col width="12" customWidth="1" min="5" max="5"/>
    <col width="10" customWidth="1" min="6" max="6"/>
    <col width="22" customWidth="1" min="7" max="7"/>
    <col width="54" customWidth="1" min="8" max="8"/>
    <col width="58" customWidth="1" min="9" max="9"/>
  </cols>
  <sheetData>
    <row r="1" ht="24" customHeight="1">
      <c r="A1" s="41" t="inlineStr">
        <is>
          <t>Hydrology and Yacyreta current reference — 10/11 Sep 2026</t>
        </is>
      </c>
    </row>
    <row r="2" ht="34" customHeight="1">
      <c r="A2" s="42" t="inlineStr">
        <is>
          <t>Observed at</t>
        </is>
      </c>
      <c r="B2" s="42" t="inlineStr">
        <is>
          <t>Asset</t>
        </is>
      </c>
      <c r="C2" s="42" t="inlineStr">
        <is>
          <t>Variable</t>
        </is>
      </c>
      <c r="D2" s="42" t="inlineStr">
        <is>
          <t>Value</t>
        </is>
      </c>
      <c r="E2" s="42" t="inlineStr">
        <is>
          <t>Unit</t>
        </is>
      </c>
      <c r="F2" s="42" t="inlineStr">
        <is>
          <t>Source</t>
        </is>
      </c>
      <c r="G2" s="42" t="inlineStr">
        <is>
          <t>Quality</t>
        </is>
      </c>
      <c r="H2" s="42" t="inlineStr">
        <is>
          <t>Source URL</t>
        </is>
      </c>
      <c r="I2" s="42" t="inlineStr">
        <is>
          <t>Notes</t>
        </is>
      </c>
    </row>
    <row r="3">
      <c r="A3" s="40" t="inlineStr">
        <is>
          <t>2026-09-11</t>
        </is>
      </c>
      <c r="B3" s="40" t="inlineStr">
        <is>
          <t>YACYRETA</t>
        </is>
      </c>
      <c r="C3" s="40" t="inlineStr">
        <is>
          <t>POWER_LAST_HOUR</t>
        </is>
      </c>
      <c r="D3" s="43" t="n">
        <v>2034</v>
      </c>
      <c r="E3" s="40" t="inlineStr">
        <is>
          <t>MW</t>
        </is>
      </c>
      <c r="F3" s="40" t="inlineStr">
        <is>
          <t>EBY</t>
        </is>
      </c>
      <c r="G3" s="40" t="inlineStr">
        <is>
          <t>OFFICIAL_WEB_CURRENT</t>
        </is>
      </c>
      <c r="H3" s="40" t="inlineStr">
        <is>
          <t>https://eby.gov.py/</t>
        </is>
      </c>
      <c r="I3" s="40" t="inlineStr">
        <is>
          <t>Exact measurement timestamp not exposed by homepage.</t>
        </is>
      </c>
    </row>
    <row r="4">
      <c r="A4" s="40" t="inlineStr">
        <is>
          <t>2026-09-10 06:00</t>
        </is>
      </c>
      <c r="B4" s="40" t="inlineStr">
        <is>
          <t>YACYRETA</t>
        </is>
      </c>
      <c r="C4" s="40" t="inlineStr">
        <is>
          <t>RESERVOIR_LEVEL</t>
        </is>
      </c>
      <c r="D4" s="43" t="n">
        <v>82.81999999999999</v>
      </c>
      <c r="E4" s="40" t="inlineStr">
        <is>
          <t>mSNM</t>
        </is>
      </c>
      <c r="F4" s="40" t="inlineStr">
        <is>
          <t>EBY</t>
        </is>
      </c>
      <c r="G4" s="40" t="inlineStr">
        <is>
          <t>OFFICIAL_MEASURED</t>
        </is>
      </c>
      <c r="H4" s="40" t="inlineStr">
        <is>
          <t>https://eby.gov.py/cota-82-82-msnm-resumen-ejecutivo-n-6077-10-09-2026/</t>
        </is>
      </c>
      <c r="I4" s="40" t="inlineStr"/>
    </row>
    <row r="5">
      <c r="A5" s="40" t="inlineStr">
        <is>
          <t>2026-09-10</t>
        </is>
      </c>
      <c r="B5" s="40" t="inlineStr">
        <is>
          <t>YACYRETA</t>
        </is>
      </c>
      <c r="C5" s="40" t="inlineStr">
        <is>
          <t>INFLOW_FORECAST_TODAY</t>
        </is>
      </c>
      <c r="D5" s="43" t="n">
        <v>13400</v>
      </c>
      <c r="E5" s="40" t="inlineStr">
        <is>
          <t>m3/s</t>
        </is>
      </c>
      <c r="F5" s="40" t="inlineStr">
        <is>
          <t>EBY</t>
        </is>
      </c>
      <c r="G5" s="40" t="inlineStr">
        <is>
          <t>OFFICIAL_FORECAST</t>
        </is>
      </c>
      <c r="H5" s="40" t="inlineStr">
        <is>
          <t>https://eby.gov.py/cota-82-82-msnm-resumen-ejecutivo-n-6077-10-09-2026/</t>
        </is>
      </c>
      <c r="I5" s="40" t="inlineStr"/>
    </row>
    <row r="6">
      <c r="A6" s="40" t="inlineStr">
        <is>
          <t>2026-09-11</t>
        </is>
      </c>
      <c r="B6" s="40" t="inlineStr">
        <is>
          <t>YACYRETA</t>
        </is>
      </c>
      <c r="C6" s="40" t="inlineStr">
        <is>
          <t>INFLOW_FORECAST_NEXT_DAY</t>
        </is>
      </c>
      <c r="D6" s="43" t="n">
        <v>14500</v>
      </c>
      <c r="E6" s="40" t="inlineStr">
        <is>
          <t>m3/s</t>
        </is>
      </c>
      <c r="F6" s="40" t="inlineStr">
        <is>
          <t>EBY</t>
        </is>
      </c>
      <c r="G6" s="40" t="inlineStr">
        <is>
          <t>OFFICIAL_FORECAST</t>
        </is>
      </c>
      <c r="H6" s="40" t="inlineStr">
        <is>
          <t>https://eby.gov.py/cota-82-82-msnm-resumen-ejecutivo-n-6077-10-09-2026/</t>
        </is>
      </c>
      <c r="I6" s="40" t="inlineStr"/>
    </row>
    <row r="7">
      <c r="A7" s="40" t="inlineStr">
        <is>
          <t>2026-09-10</t>
        </is>
      </c>
      <c r="B7" s="40" t="inlineStr">
        <is>
          <t>YACYRETA</t>
        </is>
      </c>
      <c r="C7" s="40" t="inlineStr">
        <is>
          <t>ANACUA_FLOW</t>
        </is>
      </c>
      <c r="D7" s="43" t="n">
        <v>1000</v>
      </c>
      <c r="E7" s="40" t="inlineStr">
        <is>
          <t>m3/s</t>
        </is>
      </c>
      <c r="F7" s="40" t="inlineStr">
        <is>
          <t>EBY</t>
        </is>
      </c>
      <c r="G7" s="40" t="inlineStr">
        <is>
          <t>OFFICIAL_OPERATIONAL</t>
        </is>
      </c>
      <c r="H7" s="40" t="inlineStr">
        <is>
          <t>https://eby.gov.py/cota-82-82-msnm-resumen-ejecutivo-n-6077-10-09-2026/</t>
        </is>
      </c>
      <c r="I7" s="40" t="inlineStr"/>
    </row>
    <row r="8">
      <c r="A8" s="40" t="inlineStr">
        <is>
          <t>2026-09-10</t>
        </is>
      </c>
      <c r="B8" s="40" t="inlineStr">
        <is>
          <t>AYOLAS</t>
        </is>
      </c>
      <c r="C8" s="40" t="inlineStr">
        <is>
          <t>RIVER_LEVEL</t>
        </is>
      </c>
      <c r="D8" s="43" t="n">
        <v>1.8</v>
      </c>
      <c r="E8" s="40" t="inlineStr">
        <is>
          <t>m</t>
        </is>
      </c>
      <c r="F8" s="40" t="inlineStr">
        <is>
          <t>EBY</t>
        </is>
      </c>
      <c r="G8" s="40" t="inlineStr">
        <is>
          <t>OFFICIAL_MEASURED</t>
        </is>
      </c>
      <c r="H8" s="40" t="inlineStr">
        <is>
          <t>https://eby.gov.py/cota-82-82-msnm-resumen-ejecutivo-n-6077-10-09-2026/</t>
        </is>
      </c>
      <c r="I8" s="40" t="inlineStr"/>
    </row>
    <row r="9">
      <c r="A9" s="40" t="inlineStr">
        <is>
          <t>2026-09-10 02:00</t>
        </is>
      </c>
      <c r="B9" s="40" t="inlineStr">
        <is>
          <t>ITUZAINGO</t>
        </is>
      </c>
      <c r="C9" s="40" t="inlineStr">
        <is>
          <t>RIVER_LEVEL</t>
        </is>
      </c>
      <c r="D9" s="43" t="n">
        <v>1.6</v>
      </c>
      <c r="E9" s="40" t="inlineStr">
        <is>
          <t>m</t>
        </is>
      </c>
      <c r="F9" s="40" t="inlineStr">
        <is>
          <t>EBY</t>
        </is>
      </c>
      <c r="G9" s="40" t="inlineStr">
        <is>
          <t>OFFICIAL_MEASURED</t>
        </is>
      </c>
      <c r="H9" s="40" t="inlineStr">
        <is>
          <t>https://eby.gov.py/cota-82-82-msnm-resumen-ejecutivo-n-6077-10-09-2026/</t>
        </is>
      </c>
      <c r="I9" s="40" t="inlineStr"/>
    </row>
  </sheetData>
  <autoFilter ref="A2:I2"/>
  <mergeCells count="1">
    <mergeCell ref="A1:I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  <col width="20" customWidth="1" min="9" max="9"/>
    <col width="50" customWidth="1" min="10" max="10"/>
    <col width="50" customWidth="1" min="11" max="11"/>
    <col width="56" customWidth="1" min="12" max="12"/>
  </cols>
  <sheetData>
    <row r="1" ht="24" customHeight="1">
      <c r="A1" s="41" t="inlineStr">
        <is>
          <t>NOAA CPC — September 2026 ENSO outlook</t>
        </is>
      </c>
    </row>
    <row r="2" ht="34" customHeight="1">
      <c r="A2" s="42" t="inlineStr">
        <is>
          <t>Issued</t>
        </is>
      </c>
      <c r="B2" s="42" t="inlineStr">
        <is>
          <t>Season</t>
        </is>
      </c>
      <c r="C2" s="42" t="inlineStr">
        <is>
          <t>Season label</t>
        </is>
      </c>
      <c r="D2" s="42" t="inlineStr">
        <is>
          <t>La Nina %</t>
        </is>
      </c>
      <c r="E2" s="42" t="inlineStr">
        <is>
          <t>Neutral %</t>
        </is>
      </c>
      <c r="F2" s="42" t="inlineStr">
        <is>
          <t>El Nino %</t>
        </is>
      </c>
      <c r="G2" s="42" t="inlineStr">
        <is>
          <t>RONI median C</t>
        </is>
      </c>
      <c r="H2" s="42" t="inlineStr">
        <is>
          <t>Source</t>
        </is>
      </c>
      <c r="I2" s="42" t="inlineStr">
        <is>
          <t>Quality</t>
        </is>
      </c>
      <c r="J2" s="42" t="inlineStr">
        <is>
          <t>Probability URL</t>
        </is>
      </c>
      <c r="K2" s="42" t="inlineStr">
        <is>
          <t>Strength URL</t>
        </is>
      </c>
      <c r="L2" s="42" t="inlineStr">
        <is>
          <t>Notes</t>
        </is>
      </c>
    </row>
    <row r="3">
      <c r="A3" s="40" t="inlineStr">
        <is>
          <t>2026-09 probabilities / 2026-08 strength</t>
        </is>
      </c>
      <c r="B3" s="40" t="inlineStr">
        <is>
          <t>ASO</t>
        </is>
      </c>
      <c r="C3" s="40" t="inlineStr">
        <is>
          <t>Aug-Sep-Oct</t>
        </is>
      </c>
      <c r="D3" s="48" t="n">
        <v>0</v>
      </c>
      <c r="E3" s="48" t="n">
        <v>0</v>
      </c>
      <c r="F3" s="48" t="n">
        <v>1</v>
      </c>
      <c r="G3" s="43" t="n">
        <v>2.14</v>
      </c>
      <c r="H3" s="40" t="inlineStr">
        <is>
          <t>NOAA_CPC</t>
        </is>
      </c>
      <c r="I3" s="40" t="inlineStr">
        <is>
          <t>OFFICIAL_FORECAST</t>
        </is>
      </c>
      <c r="J3" s="40" t="inlineStr">
        <is>
          <t>https://www.cpc.ncep.noaa.gov/products/analysis_monitoring/enso/roni/probabilities/</t>
        </is>
      </c>
      <c r="K3" s="40" t="inlineStr">
        <is>
          <t>https://www.cpc.ncep.noaa.gov/products/analysis_monitoring/enso/roni/outlook/</t>
        </is>
      </c>
      <c r="L3" s="40" t="inlineStr">
        <is>
          <t>ENSO probabilities issued September 2026; RONI median strength values come from the latest strength outlook exposed as August 2026. Both are revisable forecasts.</t>
        </is>
      </c>
    </row>
    <row r="4">
      <c r="A4" s="40" t="inlineStr">
        <is>
          <t>2026-09 probabilities / 2026-08 strength</t>
        </is>
      </c>
      <c r="B4" s="40" t="inlineStr">
        <is>
          <t>SON</t>
        </is>
      </c>
      <c r="C4" s="40" t="inlineStr">
        <is>
          <t>Sep-Oct-Nov</t>
        </is>
      </c>
      <c r="D4" s="48" t="n">
        <v>0</v>
      </c>
      <c r="E4" s="48" t="n">
        <v>0</v>
      </c>
      <c r="F4" s="48" t="n">
        <v>1</v>
      </c>
      <c r="G4" s="43" t="n">
        <v>2.47</v>
      </c>
      <c r="H4" s="40" t="inlineStr">
        <is>
          <t>NOAA_CPC</t>
        </is>
      </c>
      <c r="I4" s="40" t="inlineStr">
        <is>
          <t>OFFICIAL_FORECAST</t>
        </is>
      </c>
      <c r="J4" s="40" t="inlineStr">
        <is>
          <t>https://www.cpc.ncep.noaa.gov/products/analysis_monitoring/enso/roni/probabilities/</t>
        </is>
      </c>
      <c r="K4" s="40" t="inlineStr">
        <is>
          <t>https://www.cpc.ncep.noaa.gov/products/analysis_monitoring/enso/roni/outlook/</t>
        </is>
      </c>
      <c r="L4" s="40" t="inlineStr">
        <is>
          <t>ENSO probabilities issued September 2026; RONI median strength values come from the latest strength outlook exposed as August 2026. Both are revisable forecasts.</t>
        </is>
      </c>
    </row>
    <row r="5">
      <c r="A5" s="40" t="inlineStr">
        <is>
          <t>2026-09 probabilities / 2026-08 strength</t>
        </is>
      </c>
      <c r="B5" s="40" t="inlineStr">
        <is>
          <t>OND</t>
        </is>
      </c>
      <c r="C5" s="40" t="inlineStr">
        <is>
          <t>Oct-Nov-Dec</t>
        </is>
      </c>
      <c r="D5" s="48" t="n">
        <v>0</v>
      </c>
      <c r="E5" s="48" t="n">
        <v>0</v>
      </c>
      <c r="F5" s="48" t="n">
        <v>1</v>
      </c>
      <c r="G5" s="43" t="n">
        <v>2.66</v>
      </c>
      <c r="H5" s="40" t="inlineStr">
        <is>
          <t>NOAA_CPC</t>
        </is>
      </c>
      <c r="I5" s="40" t="inlineStr">
        <is>
          <t>OFFICIAL_FORECAST</t>
        </is>
      </c>
      <c r="J5" s="40" t="inlineStr">
        <is>
          <t>https://www.cpc.ncep.noaa.gov/products/analysis_monitoring/enso/roni/probabilities/</t>
        </is>
      </c>
      <c r="K5" s="40" t="inlineStr">
        <is>
          <t>https://www.cpc.ncep.noaa.gov/products/analysis_monitoring/enso/roni/outlook/</t>
        </is>
      </c>
      <c r="L5" s="40" t="inlineStr">
        <is>
          <t>ENSO probabilities issued September 2026; RONI median strength values come from the latest strength outlook exposed as August 2026. Both are revisable forecasts.</t>
        </is>
      </c>
    </row>
    <row r="6">
      <c r="A6" s="40" t="inlineStr">
        <is>
          <t>2026-09 probabilities / 2026-08 strength</t>
        </is>
      </c>
      <c r="B6" s="40" t="inlineStr">
        <is>
          <t>NDJ</t>
        </is>
      </c>
      <c r="C6" s="40" t="inlineStr">
        <is>
          <t>Nov-Dec-Jan</t>
        </is>
      </c>
      <c r="D6" s="48" t="n">
        <v>0</v>
      </c>
      <c r="E6" s="48" t="n">
        <v>0</v>
      </c>
      <c r="F6" s="48" t="n">
        <v>1</v>
      </c>
      <c r="G6" s="43" t="n">
        <v>2.58</v>
      </c>
      <c r="H6" s="40" t="inlineStr">
        <is>
          <t>NOAA_CPC</t>
        </is>
      </c>
      <c r="I6" s="40" t="inlineStr">
        <is>
          <t>OFFICIAL_FORECAST</t>
        </is>
      </c>
      <c r="J6" s="40" t="inlineStr">
        <is>
          <t>https://www.cpc.ncep.noaa.gov/products/analysis_monitoring/enso/roni/probabilities/</t>
        </is>
      </c>
      <c r="K6" s="40" t="inlineStr">
        <is>
          <t>https://www.cpc.ncep.noaa.gov/products/analysis_monitoring/enso/roni/outlook/</t>
        </is>
      </c>
      <c r="L6" s="40" t="inlineStr">
        <is>
          <t>ENSO probabilities issued September 2026; RONI median strength values come from the latest strength outlook exposed as August 2026. Both are revisable forecasts.</t>
        </is>
      </c>
    </row>
    <row r="7">
      <c r="A7" s="40" t="inlineStr">
        <is>
          <t>2026-09 probabilities / 2026-08 strength</t>
        </is>
      </c>
      <c r="B7" s="40" t="inlineStr">
        <is>
          <t>DJF</t>
        </is>
      </c>
      <c r="C7" s="40" t="inlineStr">
        <is>
          <t>Dec-Jan-Feb</t>
        </is>
      </c>
      <c r="D7" s="48" t="n">
        <v>0</v>
      </c>
      <c r="E7" s="48" t="n">
        <v>0</v>
      </c>
      <c r="F7" s="48" t="n">
        <v>1</v>
      </c>
      <c r="G7" s="43" t="n">
        <v>2.23</v>
      </c>
      <c r="H7" s="40" t="inlineStr">
        <is>
          <t>NOAA_CPC</t>
        </is>
      </c>
      <c r="I7" s="40" t="inlineStr">
        <is>
          <t>OFFICIAL_FORECAST</t>
        </is>
      </c>
      <c r="J7" s="40" t="inlineStr">
        <is>
          <t>https://www.cpc.ncep.noaa.gov/products/analysis_monitoring/enso/roni/probabilities/</t>
        </is>
      </c>
      <c r="K7" s="40" t="inlineStr">
        <is>
          <t>https://www.cpc.ncep.noaa.gov/products/analysis_monitoring/enso/roni/outlook/</t>
        </is>
      </c>
      <c r="L7" s="40" t="inlineStr">
        <is>
          <t>ENSO probabilities issued September 2026; RONI median strength values come from the latest strength outlook exposed as August 2026. Both are revisable forecasts.</t>
        </is>
      </c>
    </row>
    <row r="8">
      <c r="A8" s="40" t="inlineStr">
        <is>
          <t>2026-09 probabilities / 2026-08 strength</t>
        </is>
      </c>
      <c r="B8" s="40" t="inlineStr">
        <is>
          <t>JFM</t>
        </is>
      </c>
      <c r="C8" s="40" t="inlineStr">
        <is>
          <t>Jan-Feb-Mar</t>
        </is>
      </c>
      <c r="D8" s="48" t="n">
        <v>0</v>
      </c>
      <c r="E8" s="48" t="n">
        <v>0</v>
      </c>
      <c r="F8" s="48" t="n">
        <v>1</v>
      </c>
      <c r="G8" s="43" t="n">
        <v>1.75</v>
      </c>
      <c r="H8" s="40" t="inlineStr">
        <is>
          <t>NOAA_CPC</t>
        </is>
      </c>
      <c r="I8" s="40" t="inlineStr">
        <is>
          <t>OFFICIAL_FORECAST</t>
        </is>
      </c>
      <c r="J8" s="40" t="inlineStr">
        <is>
          <t>https://www.cpc.ncep.noaa.gov/products/analysis_monitoring/enso/roni/probabilities/</t>
        </is>
      </c>
      <c r="K8" s="40" t="inlineStr">
        <is>
          <t>https://www.cpc.ncep.noaa.gov/products/analysis_monitoring/enso/roni/outlook/</t>
        </is>
      </c>
      <c r="L8" s="40" t="inlineStr">
        <is>
          <t>ENSO probabilities issued September 2026; RONI median strength values come from the latest strength outlook exposed as August 2026. Both are revisable forecasts.</t>
        </is>
      </c>
    </row>
    <row r="9">
      <c r="A9" s="40" t="inlineStr">
        <is>
          <t>2026-09 probabilities / 2026-08 strength</t>
        </is>
      </c>
      <c r="B9" s="40" t="inlineStr">
        <is>
          <t>FMA</t>
        </is>
      </c>
      <c r="C9" s="40" t="inlineStr">
        <is>
          <t>Feb-Mar-Apr</t>
        </is>
      </c>
      <c r="D9" s="48" t="n">
        <v>0</v>
      </c>
      <c r="E9" s="48" t="n">
        <v>0.03</v>
      </c>
      <c r="F9" s="48" t="n">
        <v>0.97</v>
      </c>
      <c r="G9" s="43" t="n">
        <v>1.27</v>
      </c>
      <c r="H9" s="40" t="inlineStr">
        <is>
          <t>NOAA_CPC</t>
        </is>
      </c>
      <c r="I9" s="40" t="inlineStr">
        <is>
          <t>OFFICIAL_FORECAST</t>
        </is>
      </c>
      <c r="J9" s="40" t="inlineStr">
        <is>
          <t>https://www.cpc.ncep.noaa.gov/products/analysis_monitoring/enso/roni/probabilities/</t>
        </is>
      </c>
      <c r="K9" s="40" t="inlineStr">
        <is>
          <t>https://www.cpc.ncep.noaa.gov/products/analysis_monitoring/enso/roni/outlook/</t>
        </is>
      </c>
      <c r="L9" s="40" t="inlineStr">
        <is>
          <t>ENSO probabilities issued September 2026; RONI median strength values come from the latest strength outlook exposed as August 2026. Both are revisable forecasts.</t>
        </is>
      </c>
    </row>
    <row r="10">
      <c r="A10" s="40" t="inlineStr">
        <is>
          <t>2026-09 probabilities / 2026-08 strength</t>
        </is>
      </c>
      <c r="B10" s="40" t="inlineStr">
        <is>
          <t>MAM</t>
        </is>
      </c>
      <c r="C10" s="40" t="inlineStr">
        <is>
          <t>Mar-Apr-May</t>
        </is>
      </c>
      <c r="D10" s="48" t="n">
        <v>0</v>
      </c>
      <c r="E10" s="48" t="n">
        <v>0.18</v>
      </c>
      <c r="F10" s="48" t="n">
        <v>0.82</v>
      </c>
      <c r="G10" s="43" t="n">
        <v>0.83</v>
      </c>
      <c r="H10" s="40" t="inlineStr">
        <is>
          <t>NOAA_CPC</t>
        </is>
      </c>
      <c r="I10" s="40" t="inlineStr">
        <is>
          <t>OFFICIAL_FORECAST</t>
        </is>
      </c>
      <c r="J10" s="40" t="inlineStr">
        <is>
          <t>https://www.cpc.ncep.noaa.gov/products/analysis_monitoring/enso/roni/probabilities/</t>
        </is>
      </c>
      <c r="K10" s="40" t="inlineStr">
        <is>
          <t>https://www.cpc.ncep.noaa.gov/products/analysis_monitoring/enso/roni/outlook/</t>
        </is>
      </c>
      <c r="L10" s="40" t="inlineStr">
        <is>
          <t>ENSO probabilities issued September 2026; RONI median strength values come from the latest strength outlook exposed as August 2026. Both are revisable forecasts.</t>
        </is>
      </c>
    </row>
    <row r="11">
      <c r="A11" s="40" t="inlineStr">
        <is>
          <t>2026-09 probabilities / 2026-08 strength</t>
        </is>
      </c>
      <c r="B11" s="40" t="inlineStr">
        <is>
          <t>AMJ</t>
        </is>
      </c>
      <c r="C11" s="40" t="inlineStr">
        <is>
          <t>Apr-May-Jun</t>
        </is>
      </c>
      <c r="D11" s="48" t="n">
        <v>0.02</v>
      </c>
      <c r="E11" s="48" t="n">
        <v>0.55</v>
      </c>
      <c r="F11" s="48" t="n">
        <v>0.43</v>
      </c>
      <c r="G11" s="40" t="inlineStr"/>
      <c r="H11" s="40" t="inlineStr">
        <is>
          <t>NOAA_CPC</t>
        </is>
      </c>
      <c r="I11" s="40" t="inlineStr">
        <is>
          <t>OFFICIAL_FORECAST</t>
        </is>
      </c>
      <c r="J11" s="40" t="inlineStr">
        <is>
          <t>https://www.cpc.ncep.noaa.gov/products/analysis_monitoring/enso/roni/probabilities/</t>
        </is>
      </c>
      <c r="K11" s="40" t="inlineStr">
        <is>
          <t>https://www.cpc.ncep.noaa.gov/products/analysis_monitoring/enso/roni/outlook/</t>
        </is>
      </c>
      <c r="L11" s="40" t="inlineStr">
        <is>
          <t>ENSO probabilities issued September 2026; RONI median strength values come from the latest strength outlook exposed as August 2026. Both are revisable forecasts.</t>
        </is>
      </c>
    </row>
  </sheetData>
  <autoFilter ref="A2:L2"/>
  <mergeCells count="1">
    <mergeCell ref="A1:L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20" customWidth="1" min="3" max="3"/>
    <col width="22" customWidth="1" min="4" max="4"/>
    <col width="10" customWidth="1" min="5" max="5"/>
    <col width="10" customWidth="1" min="6" max="6"/>
    <col width="22" customWidth="1" min="7" max="7"/>
    <col width="52" customWidth="1" min="8" max="8"/>
    <col width="62" customWidth="1" min="9" max="9"/>
  </cols>
  <sheetData>
    <row r="1" ht="24" customHeight="1">
      <c r="A1" s="41" t="inlineStr">
        <is>
          <t>DMH — automatic station temperature snapshot 10 Sep 2026</t>
        </is>
      </c>
    </row>
    <row r="2" ht="34" customHeight="1">
      <c r="A2" s="42" t="inlineStr">
        <is>
          <t>Station</t>
        </is>
      </c>
      <c r="B2" s="42" t="inlineStr">
        <is>
          <t>Department</t>
        </is>
      </c>
      <c r="C2" s="42" t="inlineStr">
        <is>
          <t>Observed local</t>
        </is>
      </c>
      <c r="D2" s="42" t="inlineStr">
        <is>
          <t>Temperature max so far</t>
        </is>
      </c>
      <c r="E2" s="42" t="inlineStr">
        <is>
          <t>Unit</t>
        </is>
      </c>
      <c r="F2" s="42" t="inlineStr">
        <is>
          <t>Source</t>
        </is>
      </c>
      <c r="G2" s="42" t="inlineStr">
        <is>
          <t>Quality</t>
        </is>
      </c>
      <c r="H2" s="42" t="inlineStr">
        <is>
          <t>Source URL</t>
        </is>
      </c>
      <c r="I2" s="42" t="inlineStr">
        <is>
          <t>Notes</t>
        </is>
      </c>
    </row>
    <row r="3">
      <c r="A3" s="40" t="inlineStr">
        <is>
          <t>Aerodromo Tte 1 Inocencio Herebia</t>
        </is>
      </c>
      <c r="B3" s="40" t="inlineStr">
        <is>
          <t>Alto Paraguay</t>
        </is>
      </c>
      <c r="C3" s="40" t="inlineStr">
        <is>
          <t>2026-09-10 04:00</t>
        </is>
      </c>
      <c r="D3" s="43" t="n">
        <v>28.9</v>
      </c>
      <c r="E3" s="40" t="inlineStr">
        <is>
          <t>C</t>
        </is>
      </c>
      <c r="F3" s="40" t="inlineStr">
        <is>
          <t>DMH</t>
        </is>
      </c>
      <c r="G3" s="40" t="inlineStr">
        <is>
          <t>ORIENTATIVE_WEB</t>
        </is>
      </c>
      <c r="H3" s="40" t="inlineStr">
        <is>
          <t>https://www.meteorologia.gov.py/temperatura-maxima/index.php</t>
        </is>
      </c>
      <c r="I3" s="40" t="inlineStr">
        <is>
          <t>Public web information explicitly marked orientative, not certified documentation.</t>
        </is>
      </c>
    </row>
    <row r="4">
      <c r="A4" s="40" t="inlineStr">
        <is>
          <t>Establecimiento Santa Teresa</t>
        </is>
      </c>
      <c r="B4" s="40" t="inlineStr">
        <is>
          <t>Amambay</t>
        </is>
      </c>
      <c r="C4" s="40" t="inlineStr">
        <is>
          <t>2026-09-10 04:20</t>
        </is>
      </c>
      <c r="D4" s="43" t="n">
        <v>27.5</v>
      </c>
      <c r="E4" s="40" t="inlineStr">
        <is>
          <t>C</t>
        </is>
      </c>
      <c r="F4" s="40" t="inlineStr">
        <is>
          <t>DMH</t>
        </is>
      </c>
      <c r="G4" s="40" t="inlineStr">
        <is>
          <t>ORIENTATIVE_WEB</t>
        </is>
      </c>
      <c r="H4" s="40" t="inlineStr">
        <is>
          <t>https://www.meteorologia.gov.py/temperatura-maxima/index.php</t>
        </is>
      </c>
      <c r="I4" s="40" t="inlineStr">
        <is>
          <t>Public web information explicitly marked orientative, not certified documentation.</t>
        </is>
      </c>
    </row>
    <row r="5">
      <c r="A5" s="40" t="inlineStr">
        <is>
          <t>Mayor Infante Rivarola</t>
        </is>
      </c>
      <c r="B5" s="40" t="inlineStr">
        <is>
          <t>Boqueron</t>
        </is>
      </c>
      <c r="C5" s="40" t="inlineStr">
        <is>
          <t>2026-09-10 04:00</t>
        </is>
      </c>
      <c r="D5" s="43" t="n">
        <v>26.7</v>
      </c>
      <c r="E5" s="40" t="inlineStr">
        <is>
          <t>C</t>
        </is>
      </c>
      <c r="F5" s="40" t="inlineStr">
        <is>
          <t>DMH</t>
        </is>
      </c>
      <c r="G5" s="40" t="inlineStr">
        <is>
          <t>ORIENTATIVE_WEB</t>
        </is>
      </c>
      <c r="H5" s="40" t="inlineStr">
        <is>
          <t>https://www.meteorologia.gov.py/temperatura-maxima/index.php</t>
        </is>
      </c>
      <c r="I5" s="40" t="inlineStr">
        <is>
          <t>Public web information explicitly marked orientative, not certified documentation.</t>
        </is>
      </c>
    </row>
    <row r="6">
      <c r="A6" s="40" t="inlineStr">
        <is>
          <t>Aeropuerto Municipal Vallemi</t>
        </is>
      </c>
      <c r="B6" s="40" t="inlineStr">
        <is>
          <t>Concepcion</t>
        </is>
      </c>
      <c r="C6" s="40" t="inlineStr">
        <is>
          <t>2026-09-10 04:10</t>
        </is>
      </c>
      <c r="D6" s="43" t="n">
        <v>26.2</v>
      </c>
      <c r="E6" s="40" t="inlineStr">
        <is>
          <t>C</t>
        </is>
      </c>
      <c r="F6" s="40" t="inlineStr">
        <is>
          <t>DMH</t>
        </is>
      </c>
      <c r="G6" s="40" t="inlineStr">
        <is>
          <t>ORIENTATIVE_WEB</t>
        </is>
      </c>
      <c r="H6" s="40" t="inlineStr">
        <is>
          <t>https://www.meteorologia.gov.py/temperatura-maxima/index.php</t>
        </is>
      </c>
      <c r="I6" s="40" t="inlineStr">
        <is>
          <t>Public web information explicitly marked orientative, not certified documentation.</t>
        </is>
      </c>
    </row>
    <row r="7">
      <c r="A7" s="40" t="inlineStr">
        <is>
          <t>Aeropuerto Tte. PAM Carmelo Peralta</t>
        </is>
      </c>
      <c r="B7" s="40" t="inlineStr">
        <is>
          <t>Concepcion</t>
        </is>
      </c>
      <c r="C7" s="40" t="inlineStr">
        <is>
          <t>2026-09-10 04:00</t>
        </is>
      </c>
      <c r="D7" s="43" t="n">
        <v>25</v>
      </c>
      <c r="E7" s="40" t="inlineStr">
        <is>
          <t>C</t>
        </is>
      </c>
      <c r="F7" s="40" t="inlineStr">
        <is>
          <t>DMH</t>
        </is>
      </c>
      <c r="G7" s="40" t="inlineStr">
        <is>
          <t>ORIENTATIVE_WEB</t>
        </is>
      </c>
      <c r="H7" s="40" t="inlineStr">
        <is>
          <t>https://www.meteorologia.gov.py/temperatura-maxima/index.php</t>
        </is>
      </c>
      <c r="I7" s="40" t="inlineStr">
        <is>
          <t>Public web information explicitly marked orientative, not certified documentation.</t>
        </is>
      </c>
    </row>
    <row r="8">
      <c r="A8" s="40" t="inlineStr">
        <is>
          <t>Aeropuerto Mayor PAM Job Von Zastrow</t>
        </is>
      </c>
      <c r="B8" s="40" t="inlineStr">
        <is>
          <t>San Pedro</t>
        </is>
      </c>
      <c r="C8" s="40" t="inlineStr">
        <is>
          <t>2026-09-10 04:00</t>
        </is>
      </c>
      <c r="D8" s="43" t="n">
        <v>24.3</v>
      </c>
      <c r="E8" s="40" t="inlineStr">
        <is>
          <t>C</t>
        </is>
      </c>
      <c r="F8" s="40" t="inlineStr">
        <is>
          <t>DMH</t>
        </is>
      </c>
      <c r="G8" s="40" t="inlineStr">
        <is>
          <t>ORIENTATIVE_WEB</t>
        </is>
      </c>
      <c r="H8" s="40" t="inlineStr">
        <is>
          <t>https://www.meteorologia.gov.py/temperatura-maxima/index.php</t>
        </is>
      </c>
      <c r="I8" s="40" t="inlineStr">
        <is>
          <t>Public web information explicitly marked orientative, not certified documentation.</t>
        </is>
      </c>
    </row>
    <row r="9">
      <c r="A9" s="40" t="inlineStr">
        <is>
          <t>Aeropuerto Cap. Bernardino Caballero</t>
        </is>
      </c>
      <c r="B9" s="40" t="inlineStr">
        <is>
          <t>Canindeyu</t>
        </is>
      </c>
      <c r="C9" s="40" t="inlineStr">
        <is>
          <t>2026-09-10 04:00</t>
        </is>
      </c>
      <c r="D9" s="43" t="n">
        <v>24.2</v>
      </c>
      <c r="E9" s="40" t="inlineStr">
        <is>
          <t>C</t>
        </is>
      </c>
      <c r="F9" s="40" t="inlineStr">
        <is>
          <t>DMH</t>
        </is>
      </c>
      <c r="G9" s="40" t="inlineStr">
        <is>
          <t>ORIENTATIVE_WEB</t>
        </is>
      </c>
      <c r="H9" s="40" t="inlineStr">
        <is>
          <t>https://www.meteorologia.gov.py/temperatura-maxima/index.php</t>
        </is>
      </c>
      <c r="I9" s="40" t="inlineStr">
        <is>
          <t>Public web information explicitly marked orientative, not certified documentation.</t>
        </is>
      </c>
    </row>
    <row r="10">
      <c r="A10" s="40" t="inlineStr">
        <is>
          <t>Col. Nac. EMD Sebastian De Yegros</t>
        </is>
      </c>
      <c r="B10" s="40" t="inlineStr">
        <is>
          <t>San Pedro</t>
        </is>
      </c>
      <c r="C10" s="40" t="inlineStr">
        <is>
          <t>2026-09-10 04:00</t>
        </is>
      </c>
      <c r="D10" s="43" t="n">
        <v>23.2</v>
      </c>
      <c r="E10" s="40" t="inlineStr">
        <is>
          <t>C</t>
        </is>
      </c>
      <c r="F10" s="40" t="inlineStr">
        <is>
          <t>DMH</t>
        </is>
      </c>
      <c r="G10" s="40" t="inlineStr">
        <is>
          <t>ORIENTATIVE_WEB</t>
        </is>
      </c>
      <c r="H10" s="40" t="inlineStr">
        <is>
          <t>https://www.meteorologia.gov.py/temperatura-maxima/index.php</t>
        </is>
      </c>
      <c r="I10" s="40" t="inlineStr">
        <is>
          <t>Public web information explicitly marked orientative, not certified documentation.</t>
        </is>
      </c>
    </row>
    <row r="11">
      <c r="A11" s="40" t="inlineStr">
        <is>
          <t>Reserva Biologica Limoy (Itaipu)</t>
        </is>
      </c>
      <c r="B11" s="40" t="inlineStr">
        <is>
          <t>Alto Parana</t>
        </is>
      </c>
      <c r="C11" s="40" t="inlineStr">
        <is>
          <t>2026-09-10 04:00</t>
        </is>
      </c>
      <c r="D11" s="43" t="n">
        <v>22.9</v>
      </c>
      <c r="E11" s="40" t="inlineStr">
        <is>
          <t>C</t>
        </is>
      </c>
      <c r="F11" s="40" t="inlineStr">
        <is>
          <t>DMH</t>
        </is>
      </c>
      <c r="G11" s="40" t="inlineStr">
        <is>
          <t>ORIENTATIVE_WEB</t>
        </is>
      </c>
      <c r="H11" s="40" t="inlineStr">
        <is>
          <t>https://www.meteorologia.gov.py/temperatura-maxima/index.php</t>
        </is>
      </c>
      <c r="I11" s="40" t="inlineStr">
        <is>
          <t>Public web information explicitly marked orientative, not certified documentation.</t>
        </is>
      </c>
    </row>
    <row r="12">
      <c r="A12" s="40" t="inlineStr">
        <is>
          <t>3ra. Division de Caballeria</t>
        </is>
      </c>
      <c r="B12" s="40" t="inlineStr">
        <is>
          <t>Canindeyu</t>
        </is>
      </c>
      <c r="C12" s="40" t="inlineStr">
        <is>
          <t>2026-09-10 04:00</t>
        </is>
      </c>
      <c r="D12" s="43" t="n">
        <v>22.6</v>
      </c>
      <c r="E12" s="40" t="inlineStr">
        <is>
          <t>C</t>
        </is>
      </c>
      <c r="F12" s="40" t="inlineStr">
        <is>
          <t>DMH</t>
        </is>
      </c>
      <c r="G12" s="40" t="inlineStr">
        <is>
          <t>ORIENTATIVE_WEB</t>
        </is>
      </c>
      <c r="H12" s="40" t="inlineStr">
        <is>
          <t>https://www.meteorologia.gov.py/temperatura-maxima/index.php</t>
        </is>
      </c>
      <c r="I12" s="40" t="inlineStr">
        <is>
          <t>Public web information explicitly marked orientative, not certified documentation.</t>
        </is>
      </c>
    </row>
    <row r="13">
      <c r="A13" s="40" t="inlineStr">
        <is>
          <t>RC1 Cnel Valois Rivarola</t>
        </is>
      </c>
      <c r="B13" s="40" t="inlineStr">
        <is>
          <t>Presidente Hayes</t>
        </is>
      </c>
      <c r="C13" s="40" t="inlineStr">
        <is>
          <t>2026-09-10 04:00</t>
        </is>
      </c>
      <c r="D13" s="43" t="n">
        <v>22.5</v>
      </c>
      <c r="E13" s="40" t="inlineStr">
        <is>
          <t>C</t>
        </is>
      </c>
      <c r="F13" s="40" t="inlineStr">
        <is>
          <t>DMH</t>
        </is>
      </c>
      <c r="G13" s="40" t="inlineStr">
        <is>
          <t>ORIENTATIVE_WEB</t>
        </is>
      </c>
      <c r="H13" s="40" t="inlineStr">
        <is>
          <t>https://www.meteorologia.gov.py/temperatura-maxima/index.php</t>
        </is>
      </c>
      <c r="I13" s="40" t="inlineStr">
        <is>
          <t>Public web information explicitly marked orientative, not certified documentation.</t>
        </is>
      </c>
    </row>
    <row r="14">
      <c r="A14" s="40" t="inlineStr">
        <is>
          <t>Aeropuerto Prof. Dr. Luis Maria Argana</t>
        </is>
      </c>
      <c r="B14" s="40" t="inlineStr">
        <is>
          <t>Boqueron</t>
        </is>
      </c>
      <c r="C14" s="40" t="inlineStr">
        <is>
          <t>2026-09-10 04:00</t>
        </is>
      </c>
      <c r="D14" s="43" t="n">
        <v>22.2</v>
      </c>
      <c r="E14" s="40" t="inlineStr">
        <is>
          <t>C</t>
        </is>
      </c>
      <c r="F14" s="40" t="inlineStr">
        <is>
          <t>DMH</t>
        </is>
      </c>
      <c r="G14" s="40" t="inlineStr">
        <is>
          <t>ORIENTATIVE_WEB</t>
        </is>
      </c>
      <c r="H14" s="40" t="inlineStr">
        <is>
          <t>https://www.meteorologia.gov.py/temperatura-maxima/index.php</t>
        </is>
      </c>
      <c r="I14" s="40" t="inlineStr">
        <is>
          <t>Public web information explicitly marked orientative, not certified documentation.</t>
        </is>
      </c>
    </row>
    <row r="15">
      <c r="A15" s="40" t="inlineStr">
        <is>
          <t>Centro de Investigacion del Chaco Americano</t>
        </is>
      </c>
      <c r="B15" s="40" t="inlineStr">
        <is>
          <t>Presidente Hayes</t>
        </is>
      </c>
      <c r="C15" s="40" t="inlineStr">
        <is>
          <t>2026-09-10 04:00</t>
        </is>
      </c>
      <c r="D15" s="43" t="n">
        <v>21.7</v>
      </c>
      <c r="E15" s="40" t="inlineStr">
        <is>
          <t>C</t>
        </is>
      </c>
      <c r="F15" s="40" t="inlineStr">
        <is>
          <t>DMH</t>
        </is>
      </c>
      <c r="G15" s="40" t="inlineStr">
        <is>
          <t>ORIENTATIVE_WEB</t>
        </is>
      </c>
      <c r="H15" s="40" t="inlineStr">
        <is>
          <t>https://www.meteorologia.gov.py/temperatura-maxima/index.php</t>
        </is>
      </c>
      <c r="I15" s="40" t="inlineStr">
        <is>
          <t>Public web information explicitly marked orientative, not certified documentation.</t>
        </is>
      </c>
    </row>
    <row r="16">
      <c r="A16" s="40" t="inlineStr">
        <is>
          <t>Campo Experimental Chaco Central Km 412 - IPTA</t>
        </is>
      </c>
      <c r="B16" s="40" t="inlineStr">
        <is>
          <t>Presidente Hayes</t>
        </is>
      </c>
      <c r="C16" s="40" t="inlineStr">
        <is>
          <t>2026-09-10 04:00</t>
        </is>
      </c>
      <c r="D16" s="43" t="n">
        <v>21.2</v>
      </c>
      <c r="E16" s="40" t="inlineStr">
        <is>
          <t>C</t>
        </is>
      </c>
      <c r="F16" s="40" t="inlineStr">
        <is>
          <t>DMH</t>
        </is>
      </c>
      <c r="G16" s="40" t="inlineStr">
        <is>
          <t>ORIENTATIVE_WEB</t>
        </is>
      </c>
      <c r="H16" s="40" t="inlineStr">
        <is>
          <t>https://www.meteorologia.gov.py/temperatura-maxima/index.php</t>
        </is>
      </c>
      <c r="I16" s="40" t="inlineStr">
        <is>
          <t>Public web information explicitly marked orientative, not certified documentation.</t>
        </is>
      </c>
    </row>
    <row r="17">
      <c r="A17" s="40" t="inlineStr">
        <is>
          <t>Aeropuerto Internacional Silvio Pettirossi</t>
        </is>
      </c>
      <c r="B17" s="40" t="inlineStr">
        <is>
          <t>Central</t>
        </is>
      </c>
      <c r="C17" s="40" t="inlineStr">
        <is>
          <t>2026-09-10 04:00</t>
        </is>
      </c>
      <c r="D17" s="43" t="n">
        <v>20.8</v>
      </c>
      <c r="E17" s="40" t="inlineStr">
        <is>
          <t>C</t>
        </is>
      </c>
      <c r="F17" s="40" t="inlineStr">
        <is>
          <t>DMH</t>
        </is>
      </c>
      <c r="G17" s="40" t="inlineStr">
        <is>
          <t>ORIENTATIVE_WEB</t>
        </is>
      </c>
      <c r="H17" s="40" t="inlineStr">
        <is>
          <t>https://www.meteorologia.gov.py/temperatura-maxima/index.php</t>
        </is>
      </c>
      <c r="I17" s="40" t="inlineStr">
        <is>
          <t>Public web information explicitly marked orientative, not certified documentation.</t>
        </is>
      </c>
    </row>
    <row r="18">
      <c r="A18" s="40" t="inlineStr">
        <is>
          <t>CNSB - San Bernardino</t>
        </is>
      </c>
      <c r="B18" s="40" t="inlineStr">
        <is>
          <t>Cordillera</t>
        </is>
      </c>
      <c r="C18" s="40" t="inlineStr">
        <is>
          <t>2026-09-10 04:00</t>
        </is>
      </c>
      <c r="D18" s="43" t="n">
        <v>20.8</v>
      </c>
      <c r="E18" s="40" t="inlineStr">
        <is>
          <t>C</t>
        </is>
      </c>
      <c r="F18" s="40" t="inlineStr">
        <is>
          <t>DMH</t>
        </is>
      </c>
      <c r="G18" s="40" t="inlineStr">
        <is>
          <t>ORIENTATIVE_WEB</t>
        </is>
      </c>
      <c r="H18" s="40" t="inlineStr">
        <is>
          <t>https://www.meteorologia.gov.py/temperatura-maxima/index.php</t>
        </is>
      </c>
      <c r="I18" s="40" t="inlineStr">
        <is>
          <t>Public web information explicitly marked orientative, not certified documentation.</t>
        </is>
      </c>
    </row>
    <row r="19">
      <c r="A19" s="40" t="inlineStr">
        <is>
          <t>Centro Meteorologico Nacional</t>
        </is>
      </c>
      <c r="B19" s="40" t="inlineStr">
        <is>
          <t>Central</t>
        </is>
      </c>
      <c r="C19" s="40" t="inlineStr">
        <is>
          <t>2026-09-10 04:00</t>
        </is>
      </c>
      <c r="D19" s="43" t="n">
        <v>20.7</v>
      </c>
      <c r="E19" s="40" t="inlineStr">
        <is>
          <t>C</t>
        </is>
      </c>
      <c r="F19" s="40" t="inlineStr">
        <is>
          <t>DMH</t>
        </is>
      </c>
      <c r="G19" s="40" t="inlineStr">
        <is>
          <t>ORIENTATIVE_WEB</t>
        </is>
      </c>
      <c r="H19" s="40" t="inlineStr">
        <is>
          <t>https://www.meteorologia.gov.py/temperatura-maxima/index.php</t>
        </is>
      </c>
      <c r="I19" s="40" t="inlineStr">
        <is>
          <t>Public web information explicitly marked orientative, not certified documentation.</t>
        </is>
      </c>
    </row>
    <row r="20">
      <c r="A20" s="40" t="inlineStr">
        <is>
          <t>Aeropuerto Cap. Walter Gwynn</t>
        </is>
      </c>
      <c r="B20" s="40" t="inlineStr">
        <is>
          <t>Caaguazu</t>
        </is>
      </c>
      <c r="C20" s="40" t="inlineStr">
        <is>
          <t>2026-09-10 04:00</t>
        </is>
      </c>
      <c r="D20" s="43" t="n">
        <v>20.3</v>
      </c>
      <c r="E20" s="40" t="inlineStr">
        <is>
          <t>C</t>
        </is>
      </c>
      <c r="F20" s="40" t="inlineStr">
        <is>
          <t>DMH</t>
        </is>
      </c>
      <c r="G20" s="40" t="inlineStr">
        <is>
          <t>ORIENTATIVE_WEB</t>
        </is>
      </c>
      <c r="H20" s="40" t="inlineStr">
        <is>
          <t>https://www.meteorologia.gov.py/temperatura-maxima/index.php</t>
        </is>
      </c>
      <c r="I20" s="40" t="inlineStr">
        <is>
          <t>Public web information explicitly marked orientative, not certified documentation.</t>
        </is>
      </c>
    </row>
    <row r="21">
      <c r="A21" s="40" t="inlineStr">
        <is>
          <t>Biblioteca Municipal de Ciudad del Este</t>
        </is>
      </c>
      <c r="B21" s="40" t="inlineStr">
        <is>
          <t>Alto Parana</t>
        </is>
      </c>
      <c r="C21" s="40" t="inlineStr">
        <is>
          <t>2026-09-10 04:00</t>
        </is>
      </c>
      <c r="D21" s="43" t="n">
        <v>20.3</v>
      </c>
      <c r="E21" s="40" t="inlineStr">
        <is>
          <t>C</t>
        </is>
      </c>
      <c r="F21" s="40" t="inlineStr">
        <is>
          <t>DMH</t>
        </is>
      </c>
      <c r="G21" s="40" t="inlineStr">
        <is>
          <t>ORIENTATIVE_WEB</t>
        </is>
      </c>
      <c r="H21" s="40" t="inlineStr">
        <is>
          <t>https://www.meteorologia.gov.py/temperatura-maxima/index.php</t>
        </is>
      </c>
      <c r="I21" s="40" t="inlineStr">
        <is>
          <t>Public web information explicitly marked orientative, not certified documentation.</t>
        </is>
      </c>
    </row>
    <row r="22">
      <c r="A22" s="40" t="inlineStr">
        <is>
          <t>Aeropuerto Internacional Guarani</t>
        </is>
      </c>
      <c r="B22" s="40" t="inlineStr">
        <is>
          <t>Alto Parana</t>
        </is>
      </c>
      <c r="C22" s="40" t="inlineStr">
        <is>
          <t>2026-09-10 04:00</t>
        </is>
      </c>
      <c r="D22" s="43" t="n">
        <v>20.2</v>
      </c>
      <c r="E22" s="40" t="inlineStr">
        <is>
          <t>C</t>
        </is>
      </c>
      <c r="F22" s="40" t="inlineStr">
        <is>
          <t>DMH</t>
        </is>
      </c>
      <c r="G22" s="40" t="inlineStr">
        <is>
          <t>ORIENTATIVE_WEB</t>
        </is>
      </c>
      <c r="H22" s="40" t="inlineStr">
        <is>
          <t>https://www.meteorologia.gov.py/temperatura-maxima/index.php</t>
        </is>
      </c>
      <c r="I22" s="40" t="inlineStr">
        <is>
          <t>Public web information explicitly marked orientative, not certified documentation.</t>
        </is>
      </c>
    </row>
    <row r="23">
      <c r="A23" s="40" t="inlineStr">
        <is>
          <t>Juan Manuel Frutos</t>
        </is>
      </c>
      <c r="B23" s="40" t="inlineStr">
        <is>
          <t>Caaguazu</t>
        </is>
      </c>
      <c r="C23" s="40" t="inlineStr">
        <is>
          <t>2026-09-10 04:00</t>
        </is>
      </c>
      <c r="D23" s="43" t="n">
        <v>20</v>
      </c>
      <c r="E23" s="40" t="inlineStr">
        <is>
          <t>C</t>
        </is>
      </c>
      <c r="F23" s="40" t="inlineStr">
        <is>
          <t>DMH</t>
        </is>
      </c>
      <c r="G23" s="40" t="inlineStr">
        <is>
          <t>ORIENTATIVE_WEB</t>
        </is>
      </c>
      <c r="H23" s="40" t="inlineStr">
        <is>
          <t>https://www.meteorologia.gov.py/temperatura-maxima/index.php</t>
        </is>
      </c>
      <c r="I23" s="40" t="inlineStr">
        <is>
          <t>Public web information explicitly marked orientative, not certified documentation.</t>
        </is>
      </c>
    </row>
    <row r="24">
      <c r="A24" s="40" t="inlineStr">
        <is>
          <t>UNA - Facultad de Ciencias Agrarias Campus San Lorenzo</t>
        </is>
      </c>
      <c r="B24" s="40" t="inlineStr">
        <is>
          <t>Central</t>
        </is>
      </c>
      <c r="C24" s="40" t="inlineStr">
        <is>
          <t>2026-09-10 04:00</t>
        </is>
      </c>
      <c r="D24" s="43" t="n">
        <v>19.9</v>
      </c>
      <c r="E24" s="40" t="inlineStr">
        <is>
          <t>C</t>
        </is>
      </c>
      <c r="F24" s="40" t="inlineStr">
        <is>
          <t>DMH</t>
        </is>
      </c>
      <c r="G24" s="40" t="inlineStr">
        <is>
          <t>ORIENTATIVE_WEB</t>
        </is>
      </c>
      <c r="H24" s="40" t="inlineStr">
        <is>
          <t>https://www.meteorologia.gov.py/temperatura-maxima/index.php</t>
        </is>
      </c>
      <c r="I24" s="40" t="inlineStr">
        <is>
          <t>Public web information explicitly marked orientative, not certified documentation.</t>
        </is>
      </c>
    </row>
    <row r="25">
      <c r="A25" s="40" t="inlineStr">
        <is>
          <t>UCA - Facultad de Ciencias y Tecnologia Campus Sta. Librada</t>
        </is>
      </c>
      <c r="B25" s="40" t="inlineStr">
        <is>
          <t>Central</t>
        </is>
      </c>
      <c r="C25" s="40" t="inlineStr">
        <is>
          <t>2026-09-10 04:00</t>
        </is>
      </c>
      <c r="D25" s="43" t="n">
        <v>19.9</v>
      </c>
      <c r="E25" s="40" t="inlineStr">
        <is>
          <t>C</t>
        </is>
      </c>
      <c r="F25" s="40" t="inlineStr">
        <is>
          <t>DMH</t>
        </is>
      </c>
      <c r="G25" s="40" t="inlineStr">
        <is>
          <t>ORIENTATIVE_WEB</t>
        </is>
      </c>
      <c r="H25" s="40" t="inlineStr">
        <is>
          <t>https://www.meteorologia.gov.py/temperatura-maxima/index.php</t>
        </is>
      </c>
      <c r="I25" s="40" t="inlineStr">
        <is>
          <t>Public web information explicitly marked orientative, not certified documentation.</t>
        </is>
      </c>
    </row>
    <row r="26">
      <c r="A26" s="40" t="inlineStr">
        <is>
          <t>Paranambu</t>
        </is>
      </c>
      <c r="B26" s="40" t="inlineStr">
        <is>
          <t>Alto Parana</t>
        </is>
      </c>
      <c r="C26" s="40" t="inlineStr">
        <is>
          <t>2026-09-10 04:00</t>
        </is>
      </c>
      <c r="D26" s="43" t="n">
        <v>19.8</v>
      </c>
      <c r="E26" s="40" t="inlineStr">
        <is>
          <t>C</t>
        </is>
      </c>
      <c r="F26" s="40" t="inlineStr">
        <is>
          <t>DMH</t>
        </is>
      </c>
      <c r="G26" s="40" t="inlineStr">
        <is>
          <t>ORIENTATIVE_WEB</t>
        </is>
      </c>
      <c r="H26" s="40" t="inlineStr">
        <is>
          <t>https://www.meteorologia.gov.py/temperatura-maxima/index.php</t>
        </is>
      </c>
      <c r="I26" s="40" t="inlineStr">
        <is>
          <t>Public web information explicitly marked orientative, not certified documentation.</t>
        </is>
      </c>
    </row>
    <row r="27">
      <c r="A27" s="40" t="inlineStr">
        <is>
          <t>UCA - Facultad de Ciencias Agropecuarias Sede Hohenau</t>
        </is>
      </c>
      <c r="B27" s="40" t="inlineStr">
        <is>
          <t>Itapua</t>
        </is>
      </c>
      <c r="C27" s="40" t="inlineStr">
        <is>
          <t>2026-09-10 04:00</t>
        </is>
      </c>
      <c r="D27" s="43" t="n">
        <v>19.8</v>
      </c>
      <c r="E27" s="40" t="inlineStr">
        <is>
          <t>C</t>
        </is>
      </c>
      <c r="F27" s="40" t="inlineStr">
        <is>
          <t>DMH</t>
        </is>
      </c>
      <c r="G27" s="40" t="inlineStr">
        <is>
          <t>ORIENTATIVE_WEB</t>
        </is>
      </c>
      <c r="H27" s="40" t="inlineStr">
        <is>
          <t>https://www.meteorologia.gov.py/temperatura-maxima/index.php</t>
        </is>
      </c>
      <c r="I27" s="40" t="inlineStr">
        <is>
          <t>Public web information explicitly marked orientative, not certified documentation.</t>
        </is>
      </c>
    </row>
    <row r="28">
      <c r="A28" s="40" t="inlineStr">
        <is>
          <t>San Jose de los Arroyos</t>
        </is>
      </c>
      <c r="B28" s="40" t="inlineStr">
        <is>
          <t>Caaguazu</t>
        </is>
      </c>
      <c r="C28" s="40" t="inlineStr">
        <is>
          <t>2026-09-10 04:00</t>
        </is>
      </c>
      <c r="D28" s="43" t="n">
        <v>19.6</v>
      </c>
      <c r="E28" s="40" t="inlineStr">
        <is>
          <t>C</t>
        </is>
      </c>
      <c r="F28" s="40" t="inlineStr">
        <is>
          <t>DMH</t>
        </is>
      </c>
      <c r="G28" s="40" t="inlineStr">
        <is>
          <t>ORIENTATIVE_WEB</t>
        </is>
      </c>
      <c r="H28" s="40" t="inlineStr">
        <is>
          <t>https://www.meteorologia.gov.py/temperatura-maxima/index.php</t>
        </is>
      </c>
      <c r="I28" s="40" t="inlineStr">
        <is>
          <t>Public web information explicitly marked orientative, not certified documentation.</t>
        </is>
      </c>
    </row>
    <row r="29">
      <c r="A29" s="40" t="inlineStr">
        <is>
          <t>2a Division de Caballeria Gral. Alfredo Patricio Ramos</t>
        </is>
      </c>
      <c r="B29" s="40" t="inlineStr">
        <is>
          <t>Misiones</t>
        </is>
      </c>
      <c r="C29" s="40" t="inlineStr">
        <is>
          <t>2026-09-10 04:20</t>
        </is>
      </c>
      <c r="D29" s="43" t="n">
        <v>19.4</v>
      </c>
      <c r="E29" s="40" t="inlineStr">
        <is>
          <t>C</t>
        </is>
      </c>
      <c r="F29" s="40" t="inlineStr">
        <is>
          <t>DMH</t>
        </is>
      </c>
      <c r="G29" s="40" t="inlineStr">
        <is>
          <t>ORIENTATIVE_WEB</t>
        </is>
      </c>
      <c r="H29" s="40" t="inlineStr">
        <is>
          <t>https://www.meteorologia.gov.py/temperatura-maxima/index.php</t>
        </is>
      </c>
      <c r="I29" s="40" t="inlineStr">
        <is>
          <t>Public web information explicitly marked orientative, not certified documentation.</t>
        </is>
      </c>
    </row>
    <row r="30">
      <c r="A30" s="40" t="inlineStr">
        <is>
          <t>San Luis (Itaipu) - San Juan Nepomuceno</t>
        </is>
      </c>
      <c r="B30" s="40" t="inlineStr">
        <is>
          <t>Caazapa</t>
        </is>
      </c>
      <c r="C30" s="40" t="inlineStr">
        <is>
          <t>2026-09-10 04:00</t>
        </is>
      </c>
      <c r="D30" s="43" t="n">
        <v>19.4</v>
      </c>
      <c r="E30" s="40" t="inlineStr">
        <is>
          <t>C</t>
        </is>
      </c>
      <c r="F30" s="40" t="inlineStr">
        <is>
          <t>DMH</t>
        </is>
      </c>
      <c r="G30" s="40" t="inlineStr">
        <is>
          <t>ORIENTATIVE_WEB</t>
        </is>
      </c>
      <c r="H30" s="40" t="inlineStr">
        <is>
          <t>https://www.meteorologia.gov.py/temperatura-maxima/index.php</t>
        </is>
      </c>
      <c r="I30" s="40" t="inlineStr">
        <is>
          <t>Public web information explicitly marked orientative, not certified documentation.</t>
        </is>
      </c>
    </row>
    <row r="31">
      <c r="A31" s="40" t="inlineStr">
        <is>
          <t>Cooperativa Union Curupayty Ltda</t>
        </is>
      </c>
      <c r="B31" s="40" t="inlineStr">
        <is>
          <t>Alto Parana</t>
        </is>
      </c>
      <c r="C31" s="40" t="inlineStr">
        <is>
          <t>2026-09-10 04:00</t>
        </is>
      </c>
      <c r="D31" s="43" t="n">
        <v>19.4</v>
      </c>
      <c r="E31" s="40" t="inlineStr">
        <is>
          <t>C</t>
        </is>
      </c>
      <c r="F31" s="40" t="inlineStr">
        <is>
          <t>DMH</t>
        </is>
      </c>
      <c r="G31" s="40" t="inlineStr">
        <is>
          <t>ORIENTATIVE_WEB</t>
        </is>
      </c>
      <c r="H31" s="40" t="inlineStr">
        <is>
          <t>https://www.meteorologia.gov.py/temperatura-maxima/index.php</t>
        </is>
      </c>
      <c r="I31" s="40" t="inlineStr">
        <is>
          <t>Public web information explicitly marked orientative, not certified documentation.</t>
        </is>
      </c>
    </row>
    <row r="32">
      <c r="A32" s="40" t="inlineStr">
        <is>
          <t>Aeropuerto Internacional Tte. Amin Ayub - Cabecera Sur</t>
        </is>
      </c>
      <c r="B32" s="40" t="inlineStr">
        <is>
          <t>Itapua</t>
        </is>
      </c>
      <c r="C32" s="40" t="inlineStr">
        <is>
          <t>2026-09-10 04:00</t>
        </is>
      </c>
      <c r="D32" s="43" t="n">
        <v>19.2</v>
      </c>
      <c r="E32" s="40" t="inlineStr">
        <is>
          <t>C</t>
        </is>
      </c>
      <c r="F32" s="40" t="inlineStr">
        <is>
          <t>DMH</t>
        </is>
      </c>
      <c r="G32" s="40" t="inlineStr">
        <is>
          <t>ORIENTATIVE_WEB</t>
        </is>
      </c>
      <c r="H32" s="40" t="inlineStr">
        <is>
          <t>https://www.meteorologia.gov.py/temperatura-maxima/index.php</t>
        </is>
      </c>
      <c r="I32" s="40" t="inlineStr">
        <is>
          <t>Public web information explicitly marked orientative, not certified documentation.</t>
        </is>
      </c>
    </row>
    <row r="33">
      <c r="A33" s="40" t="inlineStr">
        <is>
          <t>2a Division de Infanteria El Carmen</t>
        </is>
      </c>
      <c r="B33" s="40" t="inlineStr">
        <is>
          <t>Guaira</t>
        </is>
      </c>
      <c r="C33" s="40" t="inlineStr">
        <is>
          <t>2026-09-10 04:00</t>
        </is>
      </c>
      <c r="D33" s="43" t="n">
        <v>19.1</v>
      </c>
      <c r="E33" s="40" t="inlineStr">
        <is>
          <t>C</t>
        </is>
      </c>
      <c r="F33" s="40" t="inlineStr">
        <is>
          <t>DMH</t>
        </is>
      </c>
      <c r="G33" s="40" t="inlineStr">
        <is>
          <t>ORIENTATIVE_WEB</t>
        </is>
      </c>
      <c r="H33" s="40" t="inlineStr">
        <is>
          <t>https://www.meteorologia.gov.py/temperatura-maxima/index.php</t>
        </is>
      </c>
      <c r="I33" s="40" t="inlineStr">
        <is>
          <t>Public web information explicitly marked orientative, not certified documentation.</t>
        </is>
      </c>
    </row>
    <row r="34">
      <c r="A34" s="40" t="inlineStr">
        <is>
          <t>Facultad de Ingenieria Agronomica - UNE</t>
        </is>
      </c>
      <c r="B34" s="40" t="inlineStr">
        <is>
          <t>Alto Parana</t>
        </is>
      </c>
      <c r="C34" s="40" t="inlineStr">
        <is>
          <t>2026-09-10 04:00</t>
        </is>
      </c>
      <c r="D34" s="43" t="n">
        <v>19.1</v>
      </c>
      <c r="E34" s="40" t="inlineStr">
        <is>
          <t>C</t>
        </is>
      </c>
      <c r="F34" s="40" t="inlineStr">
        <is>
          <t>DMH</t>
        </is>
      </c>
      <c r="G34" s="40" t="inlineStr">
        <is>
          <t>ORIENTATIVE_WEB</t>
        </is>
      </c>
      <c r="H34" s="40" t="inlineStr">
        <is>
          <t>https://www.meteorologia.gov.py/temperatura-maxima/index.php</t>
        </is>
      </c>
      <c r="I34" s="40" t="inlineStr">
        <is>
          <t>Public web information explicitly marked orientative, not certified documentation.</t>
        </is>
      </c>
    </row>
    <row r="35">
      <c r="A35" s="40" t="inlineStr">
        <is>
          <t>Aerodromo Don Eduardo Schaerer Vera y Aragon</t>
        </is>
      </c>
      <c r="B35" s="40" t="inlineStr">
        <is>
          <t>Caazapa</t>
        </is>
      </c>
      <c r="C35" s="40" t="inlineStr">
        <is>
          <t>2026-09-10 04:00</t>
        </is>
      </c>
      <c r="D35" s="43" t="n">
        <v>18.7</v>
      </c>
      <c r="E35" s="40" t="inlineStr">
        <is>
          <t>C</t>
        </is>
      </c>
      <c r="F35" s="40" t="inlineStr">
        <is>
          <t>DMH</t>
        </is>
      </c>
      <c r="G35" s="40" t="inlineStr">
        <is>
          <t>ORIENTATIVE_WEB</t>
        </is>
      </c>
      <c r="H35" s="40" t="inlineStr">
        <is>
          <t>https://www.meteorologia.gov.py/temperatura-maxima/index.php</t>
        </is>
      </c>
      <c r="I35" s="40" t="inlineStr">
        <is>
          <t>Public web information explicitly marked orientative, not certified documentation.</t>
        </is>
      </c>
    </row>
    <row r="36">
      <c r="A36" s="40" t="inlineStr">
        <is>
          <t>Costanera Encarnacion</t>
        </is>
      </c>
      <c r="B36" s="40" t="inlineStr">
        <is>
          <t>Itapua</t>
        </is>
      </c>
      <c r="C36" s="40" t="inlineStr">
        <is>
          <t>2026-09-10 04:20</t>
        </is>
      </c>
      <c r="D36" s="43" t="n">
        <v>18.4</v>
      </c>
      <c r="E36" s="40" t="inlineStr">
        <is>
          <t>C</t>
        </is>
      </c>
      <c r="F36" s="40" t="inlineStr">
        <is>
          <t>DMH</t>
        </is>
      </c>
      <c r="G36" s="40" t="inlineStr">
        <is>
          <t>ORIENTATIVE_WEB</t>
        </is>
      </c>
      <c r="H36" s="40" t="inlineStr">
        <is>
          <t>https://www.meteorologia.gov.py/temperatura-maxima/index.php</t>
        </is>
      </c>
      <c r="I36" s="40" t="inlineStr">
        <is>
          <t>Public web information explicitly marked orientative, not certified documentation.</t>
        </is>
      </c>
    </row>
    <row r="37">
      <c r="A37" s="40" t="inlineStr">
        <is>
          <t>Establecimiento Miguel y Jesus</t>
        </is>
      </c>
      <c r="B37" s="40" t="inlineStr">
        <is>
          <t>Paraguari</t>
        </is>
      </c>
      <c r="C37" s="40" t="inlineStr">
        <is>
          <t>2026-09-10 04:00</t>
        </is>
      </c>
      <c r="D37" s="43" t="n">
        <v>18</v>
      </c>
      <c r="E37" s="40" t="inlineStr">
        <is>
          <t>C</t>
        </is>
      </c>
      <c r="F37" s="40" t="inlineStr">
        <is>
          <t>DMH</t>
        </is>
      </c>
      <c r="G37" s="40" t="inlineStr">
        <is>
          <t>ORIENTATIVE_WEB</t>
        </is>
      </c>
      <c r="H37" s="40" t="inlineStr">
        <is>
          <t>https://www.meteorologia.gov.py/temperatura-maxima/index.php</t>
        </is>
      </c>
      <c r="I37" s="40" t="inlineStr">
        <is>
          <t>Public web information explicitly marked orientative, not certified documentation.</t>
        </is>
      </c>
    </row>
    <row r="38">
      <c r="A38" s="40" t="inlineStr">
        <is>
          <t>Aeropuerto Carlos Miguel Gimenez</t>
        </is>
      </c>
      <c r="B38" s="40" t="inlineStr">
        <is>
          <t>Neembucu</t>
        </is>
      </c>
      <c r="C38" s="40" t="inlineStr">
        <is>
          <t>2026-09-10 04:20</t>
        </is>
      </c>
      <c r="D38" s="43" t="n">
        <v>17.9</v>
      </c>
      <c r="E38" s="40" t="inlineStr">
        <is>
          <t>C</t>
        </is>
      </c>
      <c r="F38" s="40" t="inlineStr">
        <is>
          <t>DMH</t>
        </is>
      </c>
      <c r="G38" s="40" t="inlineStr">
        <is>
          <t>ORIENTATIVE_WEB</t>
        </is>
      </c>
      <c r="H38" s="40" t="inlineStr">
        <is>
          <t>https://www.meteorologia.gov.py/temperatura-maxima/index.php</t>
        </is>
      </c>
      <c r="I38" s="40" t="inlineStr">
        <is>
          <t>Public web information explicitly marked orientative, not certified documentation.</t>
        </is>
      </c>
    </row>
    <row r="39">
      <c r="A39" s="40" t="inlineStr">
        <is>
          <t>Aeropuerto Tte. Amin Ayub Gonzalez</t>
        </is>
      </c>
      <c r="B39" s="40" t="inlineStr">
        <is>
          <t>Itapua</t>
        </is>
      </c>
      <c r="C39" s="40" t="inlineStr">
        <is>
          <t>2026-09-10 04:00</t>
        </is>
      </c>
      <c r="D39" s="43" t="n">
        <v>17.8</v>
      </c>
      <c r="E39" s="40" t="inlineStr">
        <is>
          <t>C</t>
        </is>
      </c>
      <c r="F39" s="40" t="inlineStr">
        <is>
          <t>DMH</t>
        </is>
      </c>
      <c r="G39" s="40" t="inlineStr">
        <is>
          <t>ORIENTATIVE_WEB</t>
        </is>
      </c>
      <c r="H39" s="40" t="inlineStr">
        <is>
          <t>https://www.meteorologia.gov.py/temperatura-maxima/index.php</t>
        </is>
      </c>
      <c r="I39" s="40" t="inlineStr">
        <is>
          <t>Public web information explicitly marked orientative, not certified documentation.</t>
        </is>
      </c>
    </row>
    <row r="40">
      <c r="A40" s="40" t="inlineStr">
        <is>
          <t>Cabana Don Zeno</t>
        </is>
      </c>
      <c r="B40" s="40" t="inlineStr">
        <is>
          <t>Itapua</t>
        </is>
      </c>
      <c r="C40" s="40" t="inlineStr">
        <is>
          <t>2026-09-10 04:00</t>
        </is>
      </c>
      <c r="D40" s="43" t="n">
        <v>17</v>
      </c>
      <c r="E40" s="40" t="inlineStr">
        <is>
          <t>C</t>
        </is>
      </c>
      <c r="F40" s="40" t="inlineStr">
        <is>
          <t>DMH</t>
        </is>
      </c>
      <c r="G40" s="40" t="inlineStr">
        <is>
          <t>ORIENTATIVE_WEB</t>
        </is>
      </c>
      <c r="H40" s="40" t="inlineStr">
        <is>
          <t>https://www.meteorologia.gov.py/temperatura-maxima/index.php</t>
        </is>
      </c>
      <c r="I40" s="40" t="inlineStr">
        <is>
          <t>Public web information explicitly marked orientative, not certified documentation.</t>
        </is>
      </c>
    </row>
    <row r="42">
      <c r="A42" s="49" t="inlineStr">
        <is>
          <t>Cross-sectional mean of reporting stations</t>
        </is>
      </c>
      <c r="B42" s="49" t="n"/>
      <c r="C42" s="49" t="n"/>
      <c r="D42" s="50">
        <f>AVERAGE(D3:D40)</f>
        <v/>
      </c>
      <c r="E42" s="49" t="inlineStr">
        <is>
          <t>C</t>
        </is>
      </c>
      <c r="F42" s="49" t="n"/>
      <c r="G42" s="49" t="inlineStr">
        <is>
          <t>DERIVED_ORIENTATIVE</t>
        </is>
      </c>
      <c r="H42" s="49" t="n"/>
      <c r="I42" s="49" t="inlineStr">
        <is>
          <t>Not a national climatological daily average; stations are not demand/population weighted and values are maximum-so-far at capture time.</t>
        </is>
      </c>
    </row>
  </sheetData>
  <autoFilter ref="A2:I2"/>
  <mergeCells count="1">
    <mergeCell ref="A1:I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2" customWidth="1" min="3" max="3"/>
    <col width="1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2" customWidth="1" min="15" max="15"/>
    <col width="8" customWidth="1" min="16" max="16"/>
    <col width="10" customWidth="1" min="17" max="17"/>
    <col width="24" customWidth="1" min="18" max="18"/>
    <col width="50" customWidth="1" min="19" max="19"/>
    <col width="60" customWidth="1" min="20" max="20"/>
  </cols>
  <sheetData>
    <row r="1" ht="24" customHeight="1">
      <c r="A1" s="41" t="inlineStr">
        <is>
          <t>DMH — precipitation indexed snapshot 1–10 Sep 2026 (partial stations)</t>
        </is>
      </c>
    </row>
    <row r="2" ht="34" customHeight="1">
      <c r="A2" s="42" t="inlineStr">
        <is>
          <t>Station</t>
        </is>
      </c>
      <c r="B2" s="42" t="inlineStr">
        <is>
          <t>Department</t>
        </is>
      </c>
      <c r="C2" s="42" t="inlineStr">
        <is>
          <t>Start</t>
        </is>
      </c>
      <c r="D2" s="42" t="inlineStr">
        <is>
          <t>End</t>
        </is>
      </c>
      <c r="E2" s="42" t="inlineStr">
        <is>
          <t>Day 1</t>
        </is>
      </c>
      <c r="F2" s="42" t="inlineStr">
        <is>
          <t>Day 2</t>
        </is>
      </c>
      <c r="G2" s="42" t="inlineStr">
        <is>
          <t>Day 3</t>
        </is>
      </c>
      <c r="H2" s="42" t="inlineStr">
        <is>
          <t>Day 4</t>
        </is>
      </c>
      <c r="I2" s="42" t="inlineStr">
        <is>
          <t>Day 5</t>
        </is>
      </c>
      <c r="J2" s="42" t="inlineStr">
        <is>
          <t>Day 6</t>
        </is>
      </c>
      <c r="K2" s="42" t="inlineStr">
        <is>
          <t>Day 7</t>
        </is>
      </c>
      <c r="L2" s="42" t="inlineStr">
        <is>
          <t>Day 8</t>
        </is>
      </c>
      <c r="M2" s="42" t="inlineStr">
        <is>
          <t>Day 9</t>
        </is>
      </c>
      <c r="N2" s="42" t="inlineStr">
        <is>
          <t>Day 10</t>
        </is>
      </c>
      <c r="O2" s="42" t="inlineStr">
        <is>
          <t>Total mm</t>
        </is>
      </c>
      <c r="P2" s="42" t="inlineStr">
        <is>
          <t>Unit</t>
        </is>
      </c>
      <c r="Q2" s="42" t="inlineStr">
        <is>
          <t>Source</t>
        </is>
      </c>
      <c r="R2" s="42" t="inlineStr">
        <is>
          <t>Quality</t>
        </is>
      </c>
      <c r="S2" s="42" t="inlineStr">
        <is>
          <t>Source URL</t>
        </is>
      </c>
      <c r="T2" s="42" t="inlineStr">
        <is>
          <t>Notes</t>
        </is>
      </c>
    </row>
    <row r="3">
      <c r="A3" s="40" t="inlineStr">
        <is>
          <t>San Juan Bautista - 2a Div. Caballeria</t>
        </is>
      </c>
      <c r="B3" s="40" t="inlineStr">
        <is>
          <t>Misiones</t>
        </is>
      </c>
      <c r="C3" s="40" t="inlineStr">
        <is>
          <t>2026-09-01</t>
        </is>
      </c>
      <c r="D3" s="40" t="inlineStr">
        <is>
          <t>2026-09-10</t>
        </is>
      </c>
      <c r="E3" s="43" t="n">
        <v>0.3</v>
      </c>
      <c r="F3" s="43" t="n">
        <v>0.1</v>
      </c>
      <c r="G3" s="43" t="n">
        <v>0</v>
      </c>
      <c r="H3" s="43" t="n">
        <v>0</v>
      </c>
      <c r="I3" s="43" t="n">
        <v>0</v>
      </c>
      <c r="J3" s="43" t="n">
        <v>0</v>
      </c>
      <c r="K3" s="43" t="n">
        <v>0</v>
      </c>
      <c r="L3" s="43" t="n">
        <v>0</v>
      </c>
      <c r="M3" s="43" t="n">
        <v>0</v>
      </c>
      <c r="N3" s="43" t="n">
        <v>0</v>
      </c>
      <c r="O3" s="43" t="n">
        <v>0.4</v>
      </c>
      <c r="P3" s="40" t="inlineStr">
        <is>
          <t>mm</t>
        </is>
      </c>
      <c r="Q3" s="40" t="inlineStr">
        <is>
          <t>DMH</t>
        </is>
      </c>
      <c r="R3" s="40" t="inlineStr">
        <is>
          <t>ORIENTATIVE_WEB_PARTIAL</t>
        </is>
      </c>
      <c r="S3" s="40" t="inlineStr">
        <is>
          <t>https://www.meteorologia.gov.py/precipitacion-automatica/acumulada.php</t>
        </is>
      </c>
      <c r="T3" s="40" t="inlineStr">
        <is>
          <t>Only stations exposed in indexed snapshot were captured; production collector should ingest full table.</t>
        </is>
      </c>
    </row>
    <row r="4">
      <c r="A4" s="40" t="inlineStr">
        <is>
          <t>Villarrica - 2a Div. Infanteria El Carmen</t>
        </is>
      </c>
      <c r="B4" s="40" t="inlineStr">
        <is>
          <t>Guaira</t>
        </is>
      </c>
      <c r="C4" s="40" t="inlineStr">
        <is>
          <t>2026-09-01</t>
        </is>
      </c>
      <c r="D4" s="40" t="inlineStr">
        <is>
          <t>2026-09-10</t>
        </is>
      </c>
      <c r="E4" s="43" t="n">
        <v>0</v>
      </c>
      <c r="F4" s="43" t="n">
        <v>0.1</v>
      </c>
      <c r="G4" s="43" t="n">
        <v>0</v>
      </c>
      <c r="H4" s="43" t="n">
        <v>0.3</v>
      </c>
      <c r="I4" s="43" t="n">
        <v>0</v>
      </c>
      <c r="J4" s="43" t="n">
        <v>0</v>
      </c>
      <c r="K4" s="43" t="n">
        <v>0</v>
      </c>
      <c r="L4" s="43" t="n">
        <v>0</v>
      </c>
      <c r="M4" s="43" t="n">
        <v>1.4</v>
      </c>
      <c r="N4" s="43" t="n">
        <v>13.2</v>
      </c>
      <c r="O4" s="43" t="n">
        <v>15</v>
      </c>
      <c r="P4" s="40" t="inlineStr">
        <is>
          <t>mm</t>
        </is>
      </c>
      <c r="Q4" s="40" t="inlineStr">
        <is>
          <t>DMH</t>
        </is>
      </c>
      <c r="R4" s="40" t="inlineStr">
        <is>
          <t>ORIENTATIVE_WEB_PARTIAL</t>
        </is>
      </c>
      <c r="S4" s="40" t="inlineStr">
        <is>
          <t>https://www.meteorologia.gov.py/precipitacion-automatica/acumulada.php</t>
        </is>
      </c>
      <c r="T4" s="40" t="inlineStr">
        <is>
          <t>Only stations exposed in indexed snapshot were captured; production collector should ingest full table.</t>
        </is>
      </c>
    </row>
    <row r="5">
      <c r="A5" s="40" t="inlineStr">
        <is>
          <t>Curuguaty - 3ra Div. Caballeria</t>
        </is>
      </c>
      <c r="B5" s="40" t="inlineStr">
        <is>
          <t>Canindeyu</t>
        </is>
      </c>
      <c r="C5" s="40" t="inlineStr">
        <is>
          <t>2026-09-01</t>
        </is>
      </c>
      <c r="D5" s="40" t="inlineStr">
        <is>
          <t>2026-09-10</t>
        </is>
      </c>
      <c r="E5" s="43" t="n">
        <v>0</v>
      </c>
      <c r="F5" s="43" t="n">
        <v>0</v>
      </c>
      <c r="G5" s="43" t="n">
        <v>0</v>
      </c>
      <c r="H5" s="43" t="n">
        <v>0</v>
      </c>
      <c r="I5" s="43" t="n">
        <v>0.5</v>
      </c>
      <c r="J5" s="43" t="n">
        <v>0.1</v>
      </c>
      <c r="K5" s="43" t="n">
        <v>0</v>
      </c>
      <c r="L5" s="43" t="n">
        <v>0</v>
      </c>
      <c r="M5" s="43" t="n">
        <v>0</v>
      </c>
      <c r="N5" s="43" t="n">
        <v>24.6</v>
      </c>
      <c r="O5" s="43" t="n">
        <v>25.2</v>
      </c>
      <c r="P5" s="40" t="inlineStr">
        <is>
          <t>mm</t>
        </is>
      </c>
      <c r="Q5" s="40" t="inlineStr">
        <is>
          <t>DMH</t>
        </is>
      </c>
      <c r="R5" s="40" t="inlineStr">
        <is>
          <t>ORIENTATIVE_WEB_PARTIAL</t>
        </is>
      </c>
      <c r="S5" s="40" t="inlineStr">
        <is>
          <t>https://www.meteorologia.gov.py/precipitacion-automatica/acumulada.php</t>
        </is>
      </c>
      <c r="T5" s="40" t="inlineStr">
        <is>
          <t>Only stations exposed in indexed snapshot were captured; production collector should ingest full table.</t>
        </is>
      </c>
    </row>
    <row r="6">
      <c r="A6" s="40" t="inlineStr">
        <is>
          <t>Acuicultura Itaipu - Hernandarias</t>
        </is>
      </c>
      <c r="B6" s="40" t="inlineStr">
        <is>
          <t>Alto Parana</t>
        </is>
      </c>
      <c r="C6" s="40" t="inlineStr">
        <is>
          <t>2026-09-01</t>
        </is>
      </c>
      <c r="D6" s="40" t="inlineStr">
        <is>
          <t>2026-09-10</t>
        </is>
      </c>
      <c r="E6" s="43" t="n">
        <v>0</v>
      </c>
      <c r="F6" s="43" t="n">
        <v>0</v>
      </c>
      <c r="G6" s="43" t="n">
        <v>0</v>
      </c>
      <c r="H6" s="43" t="n">
        <v>0</v>
      </c>
      <c r="I6" s="43" t="n">
        <v>0</v>
      </c>
      <c r="J6" s="43" t="n">
        <v>0</v>
      </c>
      <c r="K6" s="43" t="n">
        <v>0</v>
      </c>
      <c r="L6" s="43" t="n">
        <v>0</v>
      </c>
      <c r="M6" s="43" t="n">
        <v>0</v>
      </c>
      <c r="N6" s="43" t="n">
        <v>0</v>
      </c>
      <c r="O6" s="43" t="n">
        <v>0</v>
      </c>
      <c r="P6" s="40" t="inlineStr">
        <is>
          <t>mm</t>
        </is>
      </c>
      <c r="Q6" s="40" t="inlineStr">
        <is>
          <t>DMH</t>
        </is>
      </c>
      <c r="R6" s="40" t="inlineStr">
        <is>
          <t>ORIENTATIVE_WEB_PARTIAL</t>
        </is>
      </c>
      <c r="S6" s="40" t="inlineStr">
        <is>
          <t>https://www.meteorologia.gov.py/precipitacion-automatica/acumulada.php</t>
        </is>
      </c>
      <c r="T6" s="40" t="inlineStr">
        <is>
          <t>Only stations exposed in indexed snapshot were captured; production collector should ingest full table.</t>
        </is>
      </c>
    </row>
    <row r="7">
      <c r="A7" s="40" t="inlineStr">
        <is>
          <t>Aerodromo Don Eduardo Schaerer Vera y Aragon</t>
        </is>
      </c>
      <c r="B7" s="40" t="inlineStr">
        <is>
          <t>Caazapa</t>
        </is>
      </c>
      <c r="C7" s="40" t="inlineStr">
        <is>
          <t>2026-09-01</t>
        </is>
      </c>
      <c r="D7" s="40" t="inlineStr">
        <is>
          <t>2026-09-10</t>
        </is>
      </c>
      <c r="E7" s="43" t="n">
        <v>0</v>
      </c>
      <c r="F7" s="43" t="n">
        <v>0</v>
      </c>
      <c r="G7" s="43" t="n">
        <v>0</v>
      </c>
      <c r="H7" s="43" t="n">
        <v>0</v>
      </c>
      <c r="I7" s="43" t="n">
        <v>0</v>
      </c>
      <c r="J7" s="43" t="n">
        <v>0</v>
      </c>
      <c r="K7" s="43" t="n">
        <v>0</v>
      </c>
      <c r="L7" s="43" t="n">
        <v>0</v>
      </c>
      <c r="M7" s="43" t="n">
        <v>0</v>
      </c>
      <c r="N7" s="43" t="n">
        <v>0</v>
      </c>
      <c r="O7" s="43" t="n">
        <v>0</v>
      </c>
      <c r="P7" s="40" t="inlineStr">
        <is>
          <t>mm</t>
        </is>
      </c>
      <c r="Q7" s="40" t="inlineStr">
        <is>
          <t>DMH</t>
        </is>
      </c>
      <c r="R7" s="40" t="inlineStr">
        <is>
          <t>ORIENTATIVE_WEB_PARTIAL</t>
        </is>
      </c>
      <c r="S7" s="40" t="inlineStr">
        <is>
          <t>https://www.meteorologia.gov.py/precipitacion-automatica/acumulada.php</t>
        </is>
      </c>
      <c r="T7" s="40" t="inlineStr">
        <is>
          <t>Only stations exposed in indexed snapshot were captured; production collector should ingest full table.</t>
        </is>
      </c>
    </row>
  </sheetData>
  <autoFilter ref="A2:T2"/>
  <mergeCells count="1">
    <mergeCell ref="A1:T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8" customWidth="1" min="3" max="3"/>
    <col width="18" customWidth="1" min="4" max="4"/>
    <col width="48" customWidth="1" min="5" max="5"/>
    <col width="10" customWidth="1" min="6" max="6"/>
    <col width="22" customWidth="1" min="7" max="7"/>
    <col width="54" customWidth="1" min="8" max="8"/>
  </cols>
  <sheetData>
    <row r="1" ht="24" customHeight="1">
      <c r="A1" s="41" t="inlineStr">
        <is>
          <t>INE — household income, electrification and electric-appliance context</t>
        </is>
      </c>
    </row>
    <row r="2" ht="34" customHeight="1">
      <c r="A2" s="42" t="inlineStr">
        <is>
          <t>Metric</t>
        </is>
      </c>
      <c r="B2" s="42" t="inlineStr">
        <is>
          <t>Year</t>
        </is>
      </c>
      <c r="C2" s="42" t="inlineStr">
        <is>
          <t>Value</t>
        </is>
      </c>
      <c r="D2" s="42" t="inlineStr">
        <is>
          <t>Unit</t>
        </is>
      </c>
      <c r="E2" s="42" t="inlineStr">
        <is>
          <t>Description</t>
        </is>
      </c>
      <c r="F2" s="42" t="inlineStr">
        <is>
          <t>Source</t>
        </is>
      </c>
      <c r="G2" s="42" t="inlineStr">
        <is>
          <t>Quality</t>
        </is>
      </c>
      <c r="H2" s="42" t="inlineStr">
        <is>
          <t>Source URL</t>
        </is>
      </c>
    </row>
    <row r="3">
      <c r="A3" s="40" t="inlineStr">
        <is>
          <t>HOUSEHOLD_AVAILABLE_INCOME_AVG</t>
        </is>
      </c>
      <c r="B3" s="43" t="n">
        <v>2025</v>
      </c>
      <c r="C3" s="43" t="n">
        <v>6864000</v>
      </c>
      <c r="D3" s="40" t="inlineStr">
        <is>
          <t>PYG/month</t>
        </is>
      </c>
      <c r="E3" s="40" t="inlineStr">
        <is>
          <t>Average monthly disposable household income</t>
        </is>
      </c>
      <c r="F3" s="40" t="inlineStr">
        <is>
          <t>INE</t>
        </is>
      </c>
      <c r="G3" s="40" t="inlineStr">
        <is>
          <t>OFFICIAL_SURVEY</t>
        </is>
      </c>
      <c r="H3" s="40" t="inlineStr">
        <is>
          <t>https://www.ine.gov.py/Publicaciones/Biblioteca/documento/308/Pobreza%20Monetaria_%20EPHC_2025_INE.pdf</t>
        </is>
      </c>
    </row>
    <row r="4">
      <c r="A4" s="40" t="inlineStr">
        <is>
          <t>HOUSEHOLD_LABOR_INCOME_AVG</t>
        </is>
      </c>
      <c r="B4" s="43" t="n">
        <v>2025</v>
      </c>
      <c r="C4" s="43" t="n">
        <v>6394000</v>
      </c>
      <c r="D4" s="40" t="inlineStr">
        <is>
          <t>PYG/month</t>
        </is>
      </c>
      <c r="E4" s="40" t="inlineStr">
        <is>
          <t>Average monthly household labor income</t>
        </is>
      </c>
      <c r="F4" s="40" t="inlineStr">
        <is>
          <t>INE</t>
        </is>
      </c>
      <c r="G4" s="40" t="inlineStr">
        <is>
          <t>OFFICIAL_SURVEY</t>
        </is>
      </c>
      <c r="H4" s="40" t="inlineStr">
        <is>
          <t>https://www.ine.gov.py/Publicaciones/Biblioteca/documento/308/Pobreza%20Monetaria_%20EPHC_2025_INE.pdf</t>
        </is>
      </c>
    </row>
    <row r="5">
      <c r="A5" s="40" t="inlineStr">
        <is>
          <t>HOUSEHOLD_AVAILABLE_INCOME_Q1</t>
        </is>
      </c>
      <c r="B5" s="43" t="n">
        <v>2025</v>
      </c>
      <c r="C5" s="43" t="n">
        <v>2296000</v>
      </c>
      <c r="D5" s="40" t="inlineStr">
        <is>
          <t>PYG/month</t>
        </is>
      </c>
      <c r="E5" s="40" t="inlineStr">
        <is>
          <t>Lowest income quintile household disposable income</t>
        </is>
      </c>
      <c r="F5" s="40" t="inlineStr">
        <is>
          <t>INE</t>
        </is>
      </c>
      <c r="G5" s="40" t="inlineStr">
        <is>
          <t>OFFICIAL_SURVEY</t>
        </is>
      </c>
      <c r="H5" s="40" t="inlineStr">
        <is>
          <t>https://www.ine.gov.py/Publicaciones/Biblioteca/documento/308/Pobreza%20Monetaria_%20EPHC_2025_INE.pdf</t>
        </is>
      </c>
    </row>
    <row r="6">
      <c r="A6" s="40" t="inlineStr">
        <is>
          <t>HOUSEHOLD_AVAILABLE_INCOME_Q2</t>
        </is>
      </c>
      <c r="B6" s="43" t="n">
        <v>2025</v>
      </c>
      <c r="C6" s="43" t="n">
        <v>3680000</v>
      </c>
      <c r="D6" s="40" t="inlineStr">
        <is>
          <t>PYG/month</t>
        </is>
      </c>
      <c r="E6" s="40" t="inlineStr">
        <is>
          <t>Second quintile</t>
        </is>
      </c>
      <c r="F6" s="40" t="inlineStr">
        <is>
          <t>INE</t>
        </is>
      </c>
      <c r="G6" s="40" t="inlineStr">
        <is>
          <t>OFFICIAL_SURVEY</t>
        </is>
      </c>
      <c r="H6" s="40" t="inlineStr">
        <is>
          <t>https://www.ine.gov.py/Publicaciones/Biblioteca/documento/308/Pobreza%20Monetaria_%20EPHC_2025_INE.pdf</t>
        </is>
      </c>
    </row>
    <row r="7">
      <c r="A7" s="40" t="inlineStr">
        <is>
          <t>HOUSEHOLD_AVAILABLE_INCOME_Q3</t>
        </is>
      </c>
      <c r="B7" s="43" t="n">
        <v>2025</v>
      </c>
      <c r="C7" s="43" t="n">
        <v>5032000</v>
      </c>
      <c r="D7" s="40" t="inlineStr">
        <is>
          <t>PYG/month</t>
        </is>
      </c>
      <c r="E7" s="40" t="inlineStr">
        <is>
          <t>Third quintile</t>
        </is>
      </c>
      <c r="F7" s="40" t="inlineStr">
        <is>
          <t>INE</t>
        </is>
      </c>
      <c r="G7" s="40" t="inlineStr">
        <is>
          <t>OFFICIAL_SURVEY</t>
        </is>
      </c>
      <c r="H7" s="40" t="inlineStr">
        <is>
          <t>https://www.ine.gov.py/Publicaciones/Biblioteca/documento/308/Pobreza%20Monetaria_%20EPHC_2025_INE.pdf</t>
        </is>
      </c>
    </row>
    <row r="8">
      <c r="A8" s="40" t="inlineStr">
        <is>
          <t>HOUSEHOLD_AVAILABLE_INCOME_Q4</t>
        </is>
      </c>
      <c r="B8" s="43" t="n">
        <v>2025</v>
      </c>
      <c r="C8" s="43" t="n">
        <v>6724000</v>
      </c>
      <c r="D8" s="40" t="inlineStr">
        <is>
          <t>PYG/month</t>
        </is>
      </c>
      <c r="E8" s="40" t="inlineStr">
        <is>
          <t>Fourth quintile</t>
        </is>
      </c>
      <c r="F8" s="40" t="inlineStr">
        <is>
          <t>INE</t>
        </is>
      </c>
      <c r="G8" s="40" t="inlineStr">
        <is>
          <t>OFFICIAL_SURVEY</t>
        </is>
      </c>
      <c r="H8" s="40" t="inlineStr">
        <is>
          <t>https://www.ine.gov.py/Publicaciones/Biblioteca/documento/308/Pobreza%20Monetaria_%20EPHC_2025_INE.pdf</t>
        </is>
      </c>
    </row>
    <row r="9">
      <c r="A9" s="40" t="inlineStr">
        <is>
          <t>HOUSEHOLD_AVAILABLE_INCOME_Q5</t>
        </is>
      </c>
      <c r="B9" s="43" t="n">
        <v>2025</v>
      </c>
      <c r="C9" s="43" t="n">
        <v>13155000</v>
      </c>
      <c r="D9" s="40" t="inlineStr">
        <is>
          <t>PYG/month</t>
        </is>
      </c>
      <c r="E9" s="40" t="inlineStr">
        <is>
          <t>Highest quintile</t>
        </is>
      </c>
      <c r="F9" s="40" t="inlineStr">
        <is>
          <t>INE</t>
        </is>
      </c>
      <c r="G9" s="40" t="inlineStr">
        <is>
          <t>OFFICIAL_SURVEY</t>
        </is>
      </c>
      <c r="H9" s="40" t="inlineStr">
        <is>
          <t>https://www.ine.gov.py/Publicaciones/Biblioteca/documento/308/Pobreza%20Monetaria_%20EPHC_2025_INE.pdf</t>
        </is>
      </c>
    </row>
    <row r="10">
      <c r="A10" s="40" t="inlineStr">
        <is>
          <t>POPULATION_CENSUS</t>
        </is>
      </c>
      <c r="B10" s="43" t="n">
        <v>2022</v>
      </c>
      <c r="C10" s="43" t="n">
        <v>6109903</v>
      </c>
      <c r="D10" s="40" t="inlineStr">
        <is>
          <t>persons</t>
        </is>
      </c>
      <c r="E10" s="40" t="inlineStr">
        <is>
          <t>Census population</t>
        </is>
      </c>
      <c r="F10" s="40" t="inlineStr">
        <is>
          <t>INE</t>
        </is>
      </c>
      <c r="G10" s="40" t="inlineStr">
        <is>
          <t>OFFICIAL_CENSUS</t>
        </is>
      </c>
      <c r="H10" s="40" t="inlineStr">
        <is>
          <t>https://www.ine.gov.py/censo2022/documentos/Tr%C3%ADptico%20Resultados%20Finales_web.pdf</t>
        </is>
      </c>
    </row>
    <row r="11">
      <c r="A11" s="40" t="inlineStr">
        <is>
          <t>OCCUPIED_PRIVATE_DWELLINGS</t>
        </is>
      </c>
      <c r="B11" s="43" t="n">
        <v>2022</v>
      </c>
      <c r="C11" s="43" t="n">
        <v>1749336</v>
      </c>
      <c r="D11" s="40" t="inlineStr">
        <is>
          <t>dwellings</t>
        </is>
      </c>
      <c r="E11" s="40" t="inlineStr">
        <is>
          <t>Occupied private dwellings</t>
        </is>
      </c>
      <c r="F11" s="40" t="inlineStr">
        <is>
          <t>INE</t>
        </is>
      </c>
      <c r="G11" s="40" t="inlineStr">
        <is>
          <t>OFFICIAL_CENSUS</t>
        </is>
      </c>
      <c r="H11" s="40" t="inlineStr">
        <is>
          <t>https://www.ine.gov.py/censo2022/documentos/Tr%C3%ADptico%20Resultados%20Finales_web.pdf</t>
        </is>
      </c>
    </row>
    <row r="12">
      <c r="A12" s="40" t="inlineStr">
        <is>
          <t>DWELLINGS_ELECTRICITY_ACCESS</t>
        </is>
      </c>
      <c r="B12" s="43" t="n">
        <v>2022</v>
      </c>
      <c r="C12" s="43" t="n">
        <v>1725111</v>
      </c>
      <c r="D12" s="40" t="inlineStr">
        <is>
          <t>dwellings</t>
        </is>
      </c>
      <c r="E12" s="40" t="inlineStr">
        <is>
          <t>Dwellings with electric power access</t>
        </is>
      </c>
      <c r="F12" s="40" t="inlineStr">
        <is>
          <t>INE</t>
        </is>
      </c>
      <c r="G12" s="40" t="inlineStr">
        <is>
          <t>OFFICIAL_CENSUS</t>
        </is>
      </c>
      <c r="H12" s="40" t="inlineStr">
        <is>
          <t>https://www.ine.gov.py/censo2022/documentos/Tr%C3%ADptico%20Resultados%20Finales_web.pdf</t>
        </is>
      </c>
    </row>
    <row r="13">
      <c r="A13" s="40" t="inlineStr">
        <is>
          <t>DWELLINGS_ELECTRICITY_ACCESS_RATE</t>
        </is>
      </c>
      <c r="B13" s="43" t="n">
        <v>2022</v>
      </c>
      <c r="C13" s="43" t="n">
        <v>98.59999999999999</v>
      </c>
      <c r="D13" s="40" t="inlineStr">
        <is>
          <t>percent</t>
        </is>
      </c>
      <c r="E13" s="40" t="inlineStr">
        <is>
          <t>Share of occupied private dwellings with electricity</t>
        </is>
      </c>
      <c r="F13" s="40" t="inlineStr">
        <is>
          <t>INE</t>
        </is>
      </c>
      <c r="G13" s="40" t="inlineStr">
        <is>
          <t>OFFICIAL_CENSUS</t>
        </is>
      </c>
      <c r="H13" s="40" t="inlineStr">
        <is>
          <t>https://www.ine.gov.py/censo2022/documentos/Tr%C3%ADptico%20Resultados%20Finales_web.pdf</t>
        </is>
      </c>
    </row>
    <row r="14">
      <c r="A14" s="40" t="inlineStr">
        <is>
          <t>DWELLINGS_AUTOMATIC_WASHER</t>
        </is>
      </c>
      <c r="B14" s="43" t="n">
        <v>2022</v>
      </c>
      <c r="C14" s="43" t="n">
        <v>1106542</v>
      </c>
      <c r="D14" s="40" t="inlineStr">
        <is>
          <t>dwellings</t>
        </is>
      </c>
      <c r="E14" s="40" t="inlineStr">
        <is>
          <t>Automatic washing machine</t>
        </is>
      </c>
      <c r="F14" s="40" t="inlineStr">
        <is>
          <t>INE</t>
        </is>
      </c>
      <c r="G14" s="40" t="inlineStr">
        <is>
          <t>OFFICIAL_CENSUS</t>
        </is>
      </c>
      <c r="H14" s="40" t="inlineStr">
        <is>
          <t>https://www.ine.gov.py/censo2022/documentos/Tr%C3%ADptico%20Resultados%20Finales_web.pdf</t>
        </is>
      </c>
    </row>
    <row r="15">
      <c r="A15" s="40" t="inlineStr">
        <is>
          <t>DWELLINGS_AUTOMATIC_WASHER_RATE</t>
        </is>
      </c>
      <c r="B15" s="43" t="n">
        <v>2022</v>
      </c>
      <c r="C15" s="43" t="n">
        <v>63.3</v>
      </c>
      <c r="D15" s="40" t="inlineStr">
        <is>
          <t>percent</t>
        </is>
      </c>
      <c r="E15" s="40" t="inlineStr">
        <is>
          <t>Automatic washing machine penetration</t>
        </is>
      </c>
      <c r="F15" s="40" t="inlineStr">
        <is>
          <t>INE</t>
        </is>
      </c>
      <c r="G15" s="40" t="inlineStr">
        <is>
          <t>OFFICIAL_CENSUS</t>
        </is>
      </c>
      <c r="H15" s="40" t="inlineStr">
        <is>
          <t>https://www.ine.gov.py/censo2022/documentos/Tr%C3%ADptico%20Resultados%20Finales_web.pdf</t>
        </is>
      </c>
    </row>
    <row r="16">
      <c r="A16" s="40" t="inlineStr">
        <is>
          <t>DWELLINGS_DRYER</t>
        </is>
      </c>
      <c r="B16" s="43" t="n">
        <v>2022</v>
      </c>
      <c r="C16" s="43" t="n">
        <v>611264</v>
      </c>
      <c r="D16" s="40" t="inlineStr">
        <is>
          <t>dwellings</t>
        </is>
      </c>
      <c r="E16" s="40" t="inlineStr">
        <is>
          <t>Clothes dryer</t>
        </is>
      </c>
      <c r="F16" s="40" t="inlineStr">
        <is>
          <t>INE</t>
        </is>
      </c>
      <c r="G16" s="40" t="inlineStr">
        <is>
          <t>OFFICIAL_CENSUS</t>
        </is>
      </c>
      <c r="H16" s="40" t="inlineStr">
        <is>
          <t>https://www.ine.gov.py/censo2022/documentos/Tr%C3%ADptico%20Resultados%20Finales_web.pdf</t>
        </is>
      </c>
    </row>
    <row r="17">
      <c r="A17" s="40" t="inlineStr">
        <is>
          <t>DWELLINGS_DRYER_RATE</t>
        </is>
      </c>
      <c r="B17" s="43" t="n">
        <v>2022</v>
      </c>
      <c r="C17" s="43" t="n">
        <v>34.9</v>
      </c>
      <c r="D17" s="40" t="inlineStr">
        <is>
          <t>percent</t>
        </is>
      </c>
      <c r="E17" s="40" t="inlineStr">
        <is>
          <t>Clothes dryer penetration</t>
        </is>
      </c>
      <c r="F17" s="40" t="inlineStr">
        <is>
          <t>INE</t>
        </is>
      </c>
      <c r="G17" s="40" t="inlineStr">
        <is>
          <t>OFFICIAL_CENSUS</t>
        </is>
      </c>
      <c r="H17" s="40" t="inlineStr">
        <is>
          <t>https://www.ine.gov.py/censo2022/documentos/Tr%C3%ADptico%20Resultados%20Finales_web.pdf</t>
        </is>
      </c>
    </row>
    <row r="18">
      <c r="A18" s="40" t="inlineStr">
        <is>
          <t>DWELLINGS_ELECTRIC_SHOWER</t>
        </is>
      </c>
      <c r="B18" s="43" t="n">
        <v>2022</v>
      </c>
      <c r="C18" s="43" t="n">
        <v>1155448</v>
      </c>
      <c r="D18" s="40" t="inlineStr">
        <is>
          <t>dwellings</t>
        </is>
      </c>
      <c r="E18" s="40" t="inlineStr">
        <is>
          <t>Electric shower</t>
        </is>
      </c>
      <c r="F18" s="40" t="inlineStr">
        <is>
          <t>INE</t>
        </is>
      </c>
      <c r="G18" s="40" t="inlineStr">
        <is>
          <t>OFFICIAL_CENSUS</t>
        </is>
      </c>
      <c r="H18" s="40" t="inlineStr">
        <is>
          <t>https://www.ine.gov.py/censo2022/documentos/Tr%C3%ADptico%20Resultados%20Finales_web.pdf</t>
        </is>
      </c>
    </row>
    <row r="19">
      <c r="A19" s="40" t="inlineStr">
        <is>
          <t>DWELLINGS_ELECTRIC_SHOWER_RATE</t>
        </is>
      </c>
      <c r="B19" s="43" t="n">
        <v>2022</v>
      </c>
      <c r="C19" s="43" t="n">
        <v>66.09999999999999</v>
      </c>
      <c r="D19" s="40" t="inlineStr">
        <is>
          <t>percent</t>
        </is>
      </c>
      <c r="E19" s="40" t="inlineStr">
        <is>
          <t>Electric shower penetration</t>
        </is>
      </c>
      <c r="F19" s="40" t="inlineStr">
        <is>
          <t>INE</t>
        </is>
      </c>
      <c r="G19" s="40" t="inlineStr">
        <is>
          <t>OFFICIAL_CENSUS</t>
        </is>
      </c>
      <c r="H19" s="40" t="inlineStr">
        <is>
          <t>https://www.ine.gov.py/censo2022/documentos/Tr%C3%ADptico%20Resultados%20Finales_web.pdf</t>
        </is>
      </c>
    </row>
    <row r="20">
      <c r="A20" s="40" t="inlineStr">
        <is>
          <t>DWELLINGS_WATER_HEATER</t>
        </is>
      </c>
      <c r="B20" s="43" t="n">
        <v>2022</v>
      </c>
      <c r="C20" s="43" t="n">
        <v>354102</v>
      </c>
      <c r="D20" s="40" t="inlineStr">
        <is>
          <t>dwellings</t>
        </is>
      </c>
      <c r="E20" s="40" t="inlineStr">
        <is>
          <t>Electric/other water heater (termocalefon category)</t>
        </is>
      </c>
      <c r="F20" s="40" t="inlineStr">
        <is>
          <t>INE</t>
        </is>
      </c>
      <c r="G20" s="40" t="inlineStr">
        <is>
          <t>OFFICIAL_CENSUS</t>
        </is>
      </c>
      <c r="H20" s="40" t="inlineStr">
        <is>
          <t>https://www.ine.gov.py/censo2022/documentos/Tr%C3%ADptico%20Resultados%20Finales_web.pdf</t>
        </is>
      </c>
    </row>
    <row r="21">
      <c r="A21" s="40" t="inlineStr">
        <is>
          <t>DWELLINGS_WATER_HEATER_RATE</t>
        </is>
      </c>
      <c r="B21" s="43" t="n">
        <v>2022</v>
      </c>
      <c r="C21" s="43" t="n">
        <v>20.2</v>
      </c>
      <c r="D21" s="40" t="inlineStr">
        <is>
          <t>percent</t>
        </is>
      </c>
      <c r="E21" s="40" t="inlineStr">
        <is>
          <t>Water heater penetration</t>
        </is>
      </c>
      <c r="F21" s="40" t="inlineStr">
        <is>
          <t>INE</t>
        </is>
      </c>
      <c r="G21" s="40" t="inlineStr">
        <is>
          <t>OFFICIAL_CENSUS</t>
        </is>
      </c>
      <c r="H21" s="40" t="inlineStr">
        <is>
          <t>https://www.ine.gov.py/censo2022/documentos/Tr%C3%ADptico%20Resultados%20Finales_web.pdf</t>
        </is>
      </c>
    </row>
    <row r="22">
      <c r="A22" s="40" t="inlineStr">
        <is>
          <t>DWELLINGS_MICROWAVE</t>
        </is>
      </c>
      <c r="B22" s="43" t="n">
        <v>2022</v>
      </c>
      <c r="C22" s="43" t="n">
        <v>625998</v>
      </c>
      <c r="D22" s="40" t="inlineStr">
        <is>
          <t>dwellings</t>
        </is>
      </c>
      <c r="E22" s="40" t="inlineStr">
        <is>
          <t>Microwave</t>
        </is>
      </c>
      <c r="F22" s="40" t="inlineStr">
        <is>
          <t>INE</t>
        </is>
      </c>
      <c r="G22" s="40" t="inlineStr">
        <is>
          <t>OFFICIAL_CENSUS</t>
        </is>
      </c>
      <c r="H22" s="40" t="inlineStr">
        <is>
          <t>https://www.ine.gov.py/censo2022/documentos/Tr%C3%ADptico%20Resultados%20Finales_web.pdf</t>
        </is>
      </c>
    </row>
    <row r="23">
      <c r="A23" s="40" t="inlineStr">
        <is>
          <t>DWELLINGS_MICROWAVE_RATE</t>
        </is>
      </c>
      <c r="B23" s="43" t="n">
        <v>2022</v>
      </c>
      <c r="C23" s="43" t="n">
        <v>35.8</v>
      </c>
      <c r="D23" s="40" t="inlineStr">
        <is>
          <t>percent</t>
        </is>
      </c>
      <c r="E23" s="40" t="inlineStr">
        <is>
          <t>Microwave penetration</t>
        </is>
      </c>
      <c r="F23" s="40" t="inlineStr">
        <is>
          <t>INE</t>
        </is>
      </c>
      <c r="G23" s="40" t="inlineStr">
        <is>
          <t>OFFICIAL_CENSUS</t>
        </is>
      </c>
      <c r="H23" s="40" t="inlineStr">
        <is>
          <t>https://www.ine.gov.py/censo2022/documentos/Tr%C3%ADptico%20Resultados%20Finales_web.pdf</t>
        </is>
      </c>
    </row>
    <row r="24">
      <c r="A24" s="40" t="inlineStr">
        <is>
          <t>DWELLINGS_AIR_CONDITIONER</t>
        </is>
      </c>
      <c r="B24" s="43" t="n">
        <v>2022</v>
      </c>
      <c r="C24" s="43" t="n">
        <v>930301</v>
      </c>
      <c r="D24" s="40" t="inlineStr">
        <is>
          <t>dwellings</t>
        </is>
      </c>
      <c r="E24" s="40" t="inlineStr">
        <is>
          <t>Air conditioner</t>
        </is>
      </c>
      <c r="F24" s="40" t="inlineStr">
        <is>
          <t>INE</t>
        </is>
      </c>
      <c r="G24" s="40" t="inlineStr">
        <is>
          <t>OFFICIAL_CENSUS</t>
        </is>
      </c>
      <c r="H24" s="40" t="inlineStr">
        <is>
          <t>https://www.ine.gov.py/censo2022/documentos/Tr%C3%ADptico%20Resultados%20Finales_web.pdf</t>
        </is>
      </c>
    </row>
    <row r="25">
      <c r="A25" s="40" t="inlineStr">
        <is>
          <t>DWELLINGS_AIR_CONDITIONER_RATE</t>
        </is>
      </c>
      <c r="B25" s="43" t="n">
        <v>2022</v>
      </c>
      <c r="C25" s="43" t="n">
        <v>53.2</v>
      </c>
      <c r="D25" s="40" t="inlineStr">
        <is>
          <t>percent</t>
        </is>
      </c>
      <c r="E25" s="40" t="inlineStr">
        <is>
          <t>Air-conditioner penetration</t>
        </is>
      </c>
      <c r="F25" s="40" t="inlineStr">
        <is>
          <t>INE</t>
        </is>
      </c>
      <c r="G25" s="40" t="inlineStr">
        <is>
          <t>OFFICIAL_CENSUS</t>
        </is>
      </c>
      <c r="H25" s="40" t="inlineStr">
        <is>
          <t>https://www.ine.gov.py/censo2022/documentos/Tr%C3%ADptico%20Resultados%20Finales_web.pdf</t>
        </is>
      </c>
    </row>
  </sheetData>
  <autoFilter ref="A2:H2"/>
  <mergeCells count="1">
    <mergeCell ref="A1:H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20" customWidth="1" min="4" max="4"/>
    <col width="24" customWidth="1" min="5" max="5"/>
    <col width="10" customWidth="1" min="6" max="6"/>
    <col width="24" customWidth="1" min="7" max="7"/>
    <col width="54" customWidth="1" min="8" max="8"/>
    <col width="58" customWidth="1" min="9" max="9"/>
  </cols>
  <sheetData>
    <row r="1" ht="24" customHeight="1">
      <c r="A1" s="41" t="inlineStr">
        <is>
          <t>ANDE — losses and continuity baselines</t>
        </is>
      </c>
    </row>
    <row r="2" ht="34" customHeight="1">
      <c r="A2" s="42" t="inlineStr">
        <is>
          <t>Period</t>
        </is>
      </c>
      <c r="B2" s="42" t="inlineStr">
        <is>
          <t>Metric</t>
        </is>
      </c>
      <c r="C2" s="42" t="inlineStr">
        <is>
          <t>Value</t>
        </is>
      </c>
      <c r="D2" s="42" t="inlineStr">
        <is>
          <t>Unit</t>
        </is>
      </c>
      <c r="E2" s="42" t="inlineStr">
        <is>
          <t>Scope</t>
        </is>
      </c>
      <c r="F2" s="42" t="inlineStr">
        <is>
          <t>Source</t>
        </is>
      </c>
      <c r="G2" s="42" t="inlineStr">
        <is>
          <t>Quality</t>
        </is>
      </c>
      <c r="H2" s="42" t="inlineStr">
        <is>
          <t>Source URL</t>
        </is>
      </c>
      <c r="I2" s="42" t="inlineStr">
        <is>
          <t>Notes</t>
        </is>
      </c>
    </row>
    <row r="3">
      <c r="A3" s="43" t="n">
        <v>2025</v>
      </c>
      <c r="B3" s="40" t="inlineStr">
        <is>
          <t>TOTAL_LOSS_RATE</t>
        </is>
      </c>
      <c r="C3" s="43" t="n">
        <v>24.4</v>
      </c>
      <c r="D3" s="40" t="inlineStr">
        <is>
          <t>percent</t>
        </is>
      </c>
      <c r="E3" s="40" t="inlineStr">
        <is>
          <t>National</t>
        </is>
      </c>
      <c r="F3" s="40" t="inlineStr">
        <is>
          <t>ANDE</t>
        </is>
      </c>
      <c r="G3" s="40" t="inlineStr">
        <is>
          <t>OFFICIAL_AGGREGATE</t>
        </is>
      </c>
      <c r="H3" s="40" t="inlineStr">
        <is>
          <t>https://www.ande.gov.py/finanzas/BAGP%202025%20ANDE.pdf</t>
        </is>
      </c>
      <c r="I3" s="40" t="inlineStr">
        <is>
          <t>Canonical annual BAGP; separate news release rounds it to 24.5%.</t>
        </is>
      </c>
    </row>
    <row r="4">
      <c r="A4" s="43" t="n">
        <v>2025</v>
      </c>
      <c r="B4" s="40" t="inlineStr">
        <is>
          <t>TOTAL_LOSS_RATE_ROUNDED_RELEASE</t>
        </is>
      </c>
      <c r="C4" s="43" t="n">
        <v>24.5</v>
      </c>
      <c r="D4" s="40" t="inlineStr">
        <is>
          <t>percent</t>
        </is>
      </c>
      <c r="E4" s="40" t="inlineStr">
        <is>
          <t>National</t>
        </is>
      </c>
      <c r="F4" s="40" t="inlineStr">
        <is>
          <t>ANDE</t>
        </is>
      </c>
      <c r="G4" s="40" t="inlineStr">
        <is>
          <t>OFFICIAL_RELEASE_ROUNDED</t>
        </is>
      </c>
      <c r="H4" s="40" t="inlineStr">
        <is>
          <t>https://www.ande.gov.py/interna.php?id=15116</t>
        </is>
      </c>
      <c r="I4" s="40" t="inlineStr">
        <is>
          <t>Rounded release; do not supersede BAGP 24.40%.</t>
        </is>
      </c>
    </row>
    <row r="5">
      <c r="A5" s="43" t="n">
        <v>2025</v>
      </c>
      <c r="B5" s="40" t="inlineStr">
        <is>
          <t>DISTRIBUTION_LOSS_RATE</t>
        </is>
      </c>
      <c r="C5" s="43" t="n">
        <v>20.03</v>
      </c>
      <c r="D5" s="40" t="inlineStr">
        <is>
          <t>percent</t>
        </is>
      </c>
      <c r="E5" s="40" t="inlineStr">
        <is>
          <t>National distribution</t>
        </is>
      </c>
      <c r="F5" s="40" t="inlineStr">
        <is>
          <t>ANDE</t>
        </is>
      </c>
      <c r="G5" s="40" t="inlineStr">
        <is>
          <t>OFFICIAL_RELEASE</t>
        </is>
      </c>
      <c r="H5" s="40" t="inlineStr">
        <is>
          <t>https://www.ande.gov.py/interna.php?id=15116</t>
        </is>
      </c>
      <c r="I5" s="40" t="inlineStr"/>
    </row>
    <row r="6">
      <c r="A6" s="40" t="inlineStr">
        <is>
          <t>2024/25 summer</t>
        </is>
      </c>
      <c r="B6" s="40" t="inlineStr">
        <is>
          <t>DEP</t>
        </is>
      </c>
      <c r="C6" s="43" t="n">
        <v>2.44</v>
      </c>
      <c r="D6" s="40" t="inlineStr">
        <is>
          <t>hours</t>
        </is>
      </c>
      <c r="E6" s="40" t="inlineStr">
        <is>
          <t>Metropolitan system</t>
        </is>
      </c>
      <c r="F6" s="40" t="inlineStr">
        <is>
          <t>ANDE</t>
        </is>
      </c>
      <c r="G6" s="40" t="inlineStr">
        <is>
          <t>OFFICIAL_RELEASE</t>
        </is>
      </c>
      <c r="H6" s="40" t="inlineStr">
        <is>
          <t>https://www.ande.gov.py/interna.php?id=13680</t>
        </is>
      </c>
      <c r="I6" s="40" t="inlineStr">
        <is>
          <t>Down from 5.44 h previous summer.</t>
        </is>
      </c>
    </row>
    <row r="7">
      <c r="A7" s="40" t="inlineStr">
        <is>
          <t>2024/25 summer</t>
        </is>
      </c>
      <c r="B7" s="40" t="inlineStr">
        <is>
          <t>FEP</t>
        </is>
      </c>
      <c r="C7" s="43" t="n">
        <v>3.79</v>
      </c>
      <c r="D7" s="40" t="inlineStr">
        <is>
          <t>interruptions_equivalent</t>
        </is>
      </c>
      <c r="E7" s="40" t="inlineStr">
        <is>
          <t>Metropolitan system</t>
        </is>
      </c>
      <c r="F7" s="40" t="inlineStr">
        <is>
          <t>ANDE</t>
        </is>
      </c>
      <c r="G7" s="40" t="inlineStr">
        <is>
          <t>OFFICIAL_RELEASE</t>
        </is>
      </c>
      <c r="H7" s="40" t="inlineStr">
        <is>
          <t>https://www.ande.gov.py/interna.php?id=13680</t>
        </is>
      </c>
      <c r="I7" s="40" t="inlineStr">
        <is>
          <t>Down from 6.33 previous summer.</t>
        </is>
      </c>
    </row>
    <row r="8">
      <c r="A8" s="43" t="n">
        <v>2028</v>
      </c>
      <c r="B8" s="40" t="inlineStr">
        <is>
          <t>DISTRIBUTION_LOSS_TARGET</t>
        </is>
      </c>
      <c r="C8" s="43" t="n">
        <v>15</v>
      </c>
      <c r="D8" s="40" t="inlineStr">
        <is>
          <t>percent</t>
        </is>
      </c>
      <c r="E8" s="40" t="inlineStr">
        <is>
          <t>National distribution</t>
        </is>
      </c>
      <c r="F8" s="40" t="inlineStr">
        <is>
          <t>ANDE</t>
        </is>
      </c>
      <c r="G8" s="40" t="inlineStr">
        <is>
          <t>OFFICIAL_PLAN</t>
        </is>
      </c>
      <c r="H8" s="40" t="inlineStr">
        <is>
          <t>https://www.ande.gov.py/interna.php?id=15116</t>
        </is>
      </c>
      <c r="I8" s="40" t="inlineStr">
        <is>
          <t>Target, not actual.</t>
        </is>
      </c>
    </row>
  </sheetData>
  <autoFilter ref="A2:I2"/>
  <mergeCells count="1">
    <mergeCell ref="A1:I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6" customWidth="1" min="4" max="4"/>
    <col width="18" customWidth="1" min="5" max="5"/>
    <col width="60" customWidth="1" min="6" max="6"/>
    <col width="10" customWidth="1" min="7" max="7"/>
    <col width="22" customWidth="1" min="8" max="8"/>
    <col width="54" customWidth="1" min="9" max="9"/>
  </cols>
  <sheetData>
    <row r="1" ht="24" customHeight="1">
      <c r="A1" s="41" t="inlineStr">
        <is>
          <t>Planning and emerging-system baselines</t>
        </is>
      </c>
    </row>
    <row r="2" ht="34" customHeight="1">
      <c r="A2" s="42" t="inlineStr">
        <is>
          <t>Metric</t>
        </is>
      </c>
      <c r="B2" s="42" t="inlineStr">
        <is>
          <t>From year</t>
        </is>
      </c>
      <c r="C2" s="42" t="inlineStr">
        <is>
          <t>To year</t>
        </is>
      </c>
      <c r="D2" s="42" t="inlineStr">
        <is>
          <t>Value</t>
        </is>
      </c>
      <c r="E2" s="42" t="inlineStr">
        <is>
          <t>Unit</t>
        </is>
      </c>
      <c r="F2" s="42" t="inlineStr">
        <is>
          <t>Description</t>
        </is>
      </c>
      <c r="G2" s="42" t="inlineStr">
        <is>
          <t>Source</t>
        </is>
      </c>
      <c r="H2" s="42" t="inlineStr">
        <is>
          <t>Quality</t>
        </is>
      </c>
      <c r="I2" s="42" t="inlineStr">
        <is>
          <t>Source URL</t>
        </is>
      </c>
    </row>
    <row r="3">
      <c r="A3" s="40" t="inlineStr">
        <is>
          <t>NEW_USERS_TO_2030</t>
        </is>
      </c>
      <c r="B3" s="43" t="n">
        <v>2026</v>
      </c>
      <c r="C3" s="43" t="n">
        <v>2030</v>
      </c>
      <c r="D3" s="43" t="n">
        <v>383000</v>
      </c>
      <c r="E3" s="40" t="inlineStr">
        <is>
          <t>users</t>
        </is>
      </c>
      <c r="F3" s="40" t="inlineStr">
        <is>
          <t>Projected new connections by 2030</t>
        </is>
      </c>
      <c r="G3" s="40" t="inlineStr">
        <is>
          <t>ANDE</t>
        </is>
      </c>
      <c r="H3" s="40" t="inlineStr">
        <is>
          <t>OFFICIAL_PLAN</t>
        </is>
      </c>
      <c r="I3" s="40" t="inlineStr">
        <is>
          <t>https://www.ande.gov.py/finanzas/BAGP%202025%20ANDE.pdf</t>
        </is>
      </c>
    </row>
    <row r="4">
      <c r="A4" s="40" t="inlineStr">
        <is>
          <t>ELECTRIFICATION_TARGET_2028</t>
        </is>
      </c>
      <c r="B4" s="43" t="n">
        <v>2026</v>
      </c>
      <c r="C4" s="43" t="n">
        <v>2028</v>
      </c>
      <c r="D4" s="43" t="n">
        <v>100</v>
      </c>
      <c r="E4" s="40" t="inlineStr">
        <is>
          <t>percent</t>
        </is>
      </c>
      <c r="F4" s="40" t="inlineStr">
        <is>
          <t>National electricity coverage target</t>
        </is>
      </c>
      <c r="G4" s="40" t="inlineStr">
        <is>
          <t>ANDE</t>
        </is>
      </c>
      <c r="H4" s="40" t="inlineStr">
        <is>
          <t>OFFICIAL_PLAN</t>
        </is>
      </c>
      <c r="I4" s="40" t="inlineStr">
        <is>
          <t>https://www.ande.gov.py/finanzas/BAGP%202025%20ANDE.pdf</t>
        </is>
      </c>
    </row>
    <row r="5">
      <c r="A5" s="40" t="inlineStr">
        <is>
          <t>DISTRIBUTION_LOSS_TARGET_2028</t>
        </is>
      </c>
      <c r="B5" s="43" t="n">
        <v>2025</v>
      </c>
      <c r="C5" s="43" t="n">
        <v>2028</v>
      </c>
      <c r="D5" s="43" t="n">
        <v>15</v>
      </c>
      <c r="E5" s="40" t="inlineStr">
        <is>
          <t>percent</t>
        </is>
      </c>
      <c r="F5" s="40" t="inlineStr">
        <is>
          <t>Distribution loss target</t>
        </is>
      </c>
      <c r="G5" s="40" t="inlineStr">
        <is>
          <t>ANDE</t>
        </is>
      </c>
      <c r="H5" s="40" t="inlineStr">
        <is>
          <t>OFFICIAL_PLAN</t>
        </is>
      </c>
      <c r="I5" s="40" t="inlineStr">
        <is>
          <t>https://www.ande.gov.py/interna.php?id=15116</t>
        </is>
      </c>
    </row>
    <row r="6">
      <c r="A6" s="40" t="inlineStr">
        <is>
          <t>DISTRIBUTED_GENERATION_REGULATION_ACTIVE</t>
        </is>
      </c>
      <c r="B6" s="43" t="n">
        <v>2026</v>
      </c>
      <c r="C6" s="43" t="n">
        <v>2026</v>
      </c>
      <c r="D6" s="43" t="n">
        <v>1</v>
      </c>
      <c r="E6" s="40" t="inlineStr">
        <is>
          <t>boolean</t>
        </is>
      </c>
      <c r="F6" s="40" t="inlineStr">
        <is>
          <t>Law 7599/2025 regulated by Decree 6034 on 2026-05-19; quantitative public series not yet found</t>
        </is>
      </c>
      <c r="G6" s="40" t="inlineStr">
        <is>
          <t>ANDE</t>
        </is>
      </c>
      <c r="H6" s="40" t="inlineStr">
        <is>
          <t>OFFICIAL_LEGAL</t>
        </is>
      </c>
      <c r="I6" s="40" t="inlineStr">
        <is>
          <t>https://www.ande.gov.py/interna.php?id=15312</t>
        </is>
      </c>
    </row>
  </sheetData>
  <autoFilter ref="A2:I2"/>
  <mergeCells count="1">
    <mergeCell ref="A1:I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2" customWidth="1" min="3" max="3"/>
    <col width="18" customWidth="1" min="4" max="4"/>
    <col width="30" customWidth="1" min="5" max="5"/>
    <col width="30" customWidth="1" min="6" max="6"/>
    <col width="54" customWidth="1" min="7" max="7"/>
    <col width="64" customWidth="1" min="8" max="8"/>
    <col width="70" customWidth="1" min="9" max="9"/>
  </cols>
  <sheetData>
    <row r="1" ht="24" customHeight="1">
      <c r="A1" s="41" t="inlineStr">
        <is>
          <t>EnergiaPY — production ingestion readiness</t>
        </is>
      </c>
    </row>
    <row r="2" ht="34" customHeight="1">
      <c r="A2" s="42" t="inlineStr">
        <is>
          <t>Dataset code</t>
        </is>
      </c>
      <c r="B2" s="42" t="inlineStr">
        <is>
          <t>Source</t>
        </is>
      </c>
      <c r="C2" s="42" t="inlineStr">
        <is>
          <t>Dataset</t>
        </is>
      </c>
      <c r="D2" s="42" t="inlineStr">
        <is>
          <t>Grain</t>
        </is>
      </c>
      <c r="E2" s="42" t="inlineStr">
        <is>
          <t>Delivery</t>
        </is>
      </c>
      <c r="F2" s="42" t="inlineStr">
        <is>
          <t>Status</t>
        </is>
      </c>
      <c r="G2" s="42" t="inlineStr">
        <is>
          <t>Catalog URL</t>
        </is>
      </c>
      <c r="H2" s="42" t="inlineStr">
        <is>
          <t>Direct URL</t>
        </is>
      </c>
      <c r="I2" s="42" t="inlineStr">
        <is>
          <t>Notes</t>
        </is>
      </c>
    </row>
    <row r="3">
      <c r="A3" s="40" t="inlineStr">
        <is>
          <t>ONS_ITAIPU_HOURLY</t>
        </is>
      </c>
      <c r="B3" s="40" t="inlineStr">
        <is>
          <t>ONS</t>
        </is>
      </c>
      <c r="C3" s="40" t="inlineStr">
        <is>
          <t>Itaipu hourly generation</t>
        </is>
      </c>
      <c r="D3" s="40" t="inlineStr">
        <is>
          <t>hour</t>
        </is>
      </c>
      <c r="E3" s="40" t="inlineStr">
        <is>
          <t>public bulk CSV/XLSX/Parquet</t>
        </is>
      </c>
      <c r="F3" s="40" t="inlineStr">
        <is>
          <t>READY_FOR_PROD_COLLECTOR</t>
        </is>
      </c>
      <c r="G3" s="40" t="inlineStr">
        <is>
          <t>https://dados.ons.org.br/dataset/geracao_itaipu</t>
        </is>
      </c>
      <c r="H3" s="40" t="inlineStr">
        <is>
          <t>https://ons-aws-prod-opendata.s3.amazonaws.com/dataset/geracao_itaipu/GERACAO_ITAIPU.csv</t>
        </is>
      </c>
      <c r="I3" s="40" t="inlineStr">
        <is>
          <t>Direct bulk URL identified; binary download blocked in this execution environment. Hostinger collector should ingest and backfill.</t>
        </is>
      </c>
    </row>
    <row r="4">
      <c r="A4" s="40" t="inlineStr">
        <is>
          <t>ONS_INTERNATIONAL_EXCHANGE</t>
        </is>
      </c>
      <c r="B4" s="40" t="inlineStr">
        <is>
          <t>ONS</t>
        </is>
      </c>
      <c r="C4" s="40" t="inlineStr">
        <is>
          <t>International interchange incl. Paraguay via Acaray converter</t>
        </is>
      </c>
      <c r="D4" s="40" t="inlineStr">
        <is>
          <t>hour</t>
        </is>
      </c>
      <c r="E4" s="40" t="inlineStr">
        <is>
          <t>public annual CSV/XLSX/Parquet</t>
        </is>
      </c>
      <c r="F4" s="40" t="inlineStr">
        <is>
          <t>READY_FOR_PROD_COLLECTOR</t>
        </is>
      </c>
      <c r="G4" s="40" t="inlineStr">
        <is>
          <t>https://dados.ons.org.br/dataset/intercambio-internacional</t>
        </is>
      </c>
      <c r="H4" s="40" t="inlineStr">
        <is>
          <t>https://ons-aws-prod-opendata.s3.amazonaws.com/dataset/intercambio_internacional_ho/INTERCAMBIO_INTERNACIONAL_2026.csv</t>
        </is>
      </c>
      <c r="I4" s="40" t="inlineStr">
        <is>
          <t>Direct 2026 bulk URL identified; annual files available historically.</t>
        </is>
      </c>
    </row>
    <row r="5">
      <c r="A5" s="40" t="inlineStr">
        <is>
          <t>EBY_CURRENT_POWER</t>
        </is>
      </c>
      <c r="B5" s="40" t="inlineStr">
        <is>
          <t>EBY</t>
        </is>
      </c>
      <c r="C5" s="40" t="inlineStr">
        <is>
          <t>Yacyreta last-hour power</t>
        </is>
      </c>
      <c r="D5" s="40" t="inlineStr">
        <is>
          <t>hour_label</t>
        </is>
      </c>
      <c r="E5" s="40" t="inlineStr">
        <is>
          <t>HTML</t>
        </is>
      </c>
      <c r="F5" s="40" t="inlineStr">
        <is>
          <t>ACTIVE_WEB_SCRAPE</t>
        </is>
      </c>
      <c r="G5" s="40" t="inlineStr">
        <is>
          <t>https://eby.gov.py/</t>
        </is>
      </c>
      <c r="H5" s="40" t="inlineStr"/>
      <c r="I5" s="40" t="inlineStr">
        <is>
          <t>Exact measurement timestamp not exposed.</t>
        </is>
      </c>
    </row>
    <row r="6">
      <c r="A6" s="40" t="inlineStr">
        <is>
          <t>EBY_HYDRO_DAILY</t>
        </is>
      </c>
      <c r="B6" s="40" t="inlineStr">
        <is>
          <t>EBY</t>
        </is>
      </c>
      <c r="C6" s="40" t="inlineStr">
        <is>
          <t>Yacyreta reservoir/hydrology</t>
        </is>
      </c>
      <c r="D6" s="40" t="inlineStr">
        <is>
          <t>daily</t>
        </is>
      </c>
      <c r="E6" s="40" t="inlineStr">
        <is>
          <t>HTML posts</t>
        </is>
      </c>
      <c r="F6" s="40" t="inlineStr">
        <is>
          <t>ACTIVE_WEB_SCRAPE</t>
        </is>
      </c>
      <c r="G6" s="40" t="inlineStr">
        <is>
          <t>https://eby.gov.py/cota-82-82-msnm-resumen-ejecutivo-n-6077-10-09-2026/</t>
        </is>
      </c>
      <c r="H6" s="40" t="inlineStr"/>
      <c r="I6" s="40" t="inlineStr">
        <is>
          <t>Daily operational context.</t>
        </is>
      </c>
    </row>
    <row r="7">
      <c r="A7" s="40" t="inlineStr">
        <is>
          <t>ITAIPU_MONTHLY</t>
        </is>
      </c>
      <c r="B7" s="40" t="inlineStr">
        <is>
          <t>ITAIPU</t>
        </is>
      </c>
      <c r="C7" s="40" t="inlineStr">
        <is>
          <t>Monthly/YTD production and supply</t>
        </is>
      </c>
      <c r="D7" s="40" t="inlineStr">
        <is>
          <t>month/YTD</t>
        </is>
      </c>
      <c r="E7" s="40" t="inlineStr">
        <is>
          <t>news/technical reports</t>
        </is>
      </c>
      <c r="F7" s="40" t="inlineStr">
        <is>
          <t>ACTIVE_PUBLIC</t>
        </is>
      </c>
      <c r="G7" s="40" t="inlineStr">
        <is>
          <t>https://www.itaipu.gov.py/noticias/energia/itaipu-suministro-19-276-gwh-de-energia-electrica-a-la-ande-de-enero-a-agosto-de-2026</t>
        </is>
      </c>
      <c r="H7" s="40" t="inlineStr"/>
      <c r="I7" s="40" t="inlineStr">
        <is>
          <t>Latest Jan-Aug 2026 loaded.</t>
        </is>
      </c>
    </row>
    <row r="8">
      <c r="A8" s="40" t="inlineStr">
        <is>
          <t>BCP_IMAEP</t>
        </is>
      </c>
      <c r="B8" s="40" t="inlineStr">
        <is>
          <t>BCP</t>
        </is>
      </c>
      <c r="C8" s="40" t="inlineStr">
        <is>
          <t>Economic activity</t>
        </is>
      </c>
      <c r="D8" s="40" t="inlineStr">
        <is>
          <t>month</t>
        </is>
      </c>
      <c r="E8" s="40" t="inlineStr">
        <is>
          <t>PDF/public page</t>
        </is>
      </c>
      <c r="F8" s="40" t="inlineStr">
        <is>
          <t>ACTIVE_PUBLIC</t>
        </is>
      </c>
      <c r="G8" s="40" t="inlineStr">
        <is>
          <t>https://www.bcp.gov.py/es/web/institucional/indicador-mensual-de-actividad-economica-del-paraguay-imaep</t>
        </is>
      </c>
      <c r="H8" s="40" t="inlineStr">
        <is>
          <t>https://www.bcp.gov.py/documents/20117/2588253/Informe%2BIMAEP-Sectores-Junio_2026.pdf/1b25c6bf-e43c-1c91-9a58-037d4cee0653</t>
        </is>
      </c>
      <c r="I8" s="40" t="inlineStr">
        <is>
          <t>Latest numeric report loaded: June 2026.</t>
        </is>
      </c>
    </row>
    <row r="9">
      <c r="A9" s="40" t="inlineStr">
        <is>
          <t>INE_EPHC_INCOME</t>
        </is>
      </c>
      <c r="B9" s="40" t="inlineStr">
        <is>
          <t>INE</t>
        </is>
      </c>
      <c r="C9" s="40" t="inlineStr">
        <is>
          <t>Household income</t>
        </is>
      </c>
      <c r="D9" s="40" t="inlineStr">
        <is>
          <t>year</t>
        </is>
      </c>
      <c r="E9" s="40" t="inlineStr">
        <is>
          <t>PDF/microdata</t>
        </is>
      </c>
      <c r="F9" s="40" t="inlineStr">
        <is>
          <t>ACTIVE_PUBLIC</t>
        </is>
      </c>
      <c r="G9" s="40" t="inlineStr">
        <is>
          <t>https://www.ine.gov.py/Publicaciones/Biblioteca/documento/308/Pobreza%20Monetaria_%20EPHC_2025_INE.pdf</t>
        </is>
      </c>
      <c r="H9" s="40" t="inlineStr"/>
      <c r="I9" s="40" t="inlineStr">
        <is>
          <t>2025 aggregate baselines loaded; microdata can extend regional distributions.</t>
        </is>
      </c>
    </row>
    <row r="10">
      <c r="A10" s="40" t="inlineStr">
        <is>
          <t>INE_CENSUS_HOUSEHOLDS</t>
        </is>
      </c>
      <c r="B10" s="40" t="inlineStr">
        <is>
          <t>INE</t>
        </is>
      </c>
      <c r="C10" s="40" t="inlineStr">
        <is>
          <t>Population/dwelling/equipment</t>
        </is>
      </c>
      <c r="D10" s="40" t="inlineStr">
        <is>
          <t>census</t>
        </is>
      </c>
      <c r="E10" s="40" t="inlineStr">
        <is>
          <t>PDF/data tables</t>
        </is>
      </c>
      <c r="F10" s="40" t="inlineStr">
        <is>
          <t>ACTIVE_PUBLIC</t>
        </is>
      </c>
      <c r="G10" s="40" t="inlineStr">
        <is>
          <t>https://www.ine.gov.py/censo2022/documentos/Tr%C3%ADptico%20Resultados%20Finales_web.pdf</t>
        </is>
      </c>
      <c r="H10" s="40" t="inlineStr"/>
      <c r="I10" s="40" t="inlineStr">
        <is>
          <t>2022 structural baseline loaded.</t>
        </is>
      </c>
    </row>
    <row r="11">
      <c r="A11" s="40" t="inlineStr">
        <is>
          <t>DMH_AUTO_STATIONS</t>
        </is>
      </c>
      <c r="B11" s="40" t="inlineStr">
        <is>
          <t>DMH</t>
        </is>
      </c>
      <c r="C11" s="40" t="inlineStr">
        <is>
          <t>Weather automatic stations</t>
        </is>
      </c>
      <c r="D11" s="40" t="inlineStr">
        <is>
          <t>10min</t>
        </is>
      </c>
      <c r="E11" s="40" t="inlineStr">
        <is>
          <t>web tables</t>
        </is>
      </c>
      <c r="F11" s="40" t="inlineStr">
        <is>
          <t>ACTIVE_ORIENTATIVE</t>
        </is>
      </c>
      <c r="G11" s="40" t="inlineStr">
        <is>
          <t>https://www.meteorologia.gov.py/temperatura-maxima/index.php</t>
        </is>
      </c>
      <c r="H11" s="40" t="inlineStr"/>
      <c r="I11" s="40" t="inlineStr">
        <is>
          <t>Public site explicitly says orientative; use for predictive features, not certified reporting.</t>
        </is>
      </c>
    </row>
    <row r="12">
      <c r="A12" s="40" t="inlineStr">
        <is>
          <t>NOAA_RONI</t>
        </is>
      </c>
      <c r="B12" s="40" t="inlineStr">
        <is>
          <t>NOAA_CPC</t>
        </is>
      </c>
      <c r="C12" s="40" t="inlineStr">
        <is>
          <t>ENSO probabilities/strength</t>
        </is>
      </c>
      <c r="D12" s="40" t="inlineStr">
        <is>
          <t>monthly issuance</t>
        </is>
      </c>
      <c r="E12" s="40" t="inlineStr">
        <is>
          <t>HTML tables</t>
        </is>
      </c>
      <c r="F12" s="40" t="inlineStr">
        <is>
          <t>ACTIVE_PUBLIC</t>
        </is>
      </c>
      <c r="G12" s="40" t="inlineStr">
        <is>
          <t>https://www.cpc.ncep.noaa.gov/products/analysis_monitoring/enso/roni/probabilities/</t>
        </is>
      </c>
      <c r="H12" s="40" t="inlineStr">
        <is>
          <t>https://www.cpc.ncep.noaa.gov/products/analysis_monitoring/enso/roni/outlook/</t>
        </is>
      </c>
      <c r="I12" s="40" t="inlineStr">
        <is>
          <t>September 2026 outlook loaded.</t>
        </is>
      </c>
    </row>
    <row r="13">
      <c r="A13" s="40" t="inlineStr">
        <is>
          <t>ANDE_DISTRIBUTED_GEN</t>
        </is>
      </c>
      <c r="B13" s="40" t="inlineStr">
        <is>
          <t>ANDE</t>
        </is>
      </c>
      <c r="C13" s="40" t="inlineStr">
        <is>
          <t>Distributed generation</t>
        </is>
      </c>
      <c r="D13" s="40" t="inlineStr">
        <is>
          <t>regulatory/current</t>
        </is>
      </c>
      <c r="E13" s="40" t="inlineStr">
        <is>
          <t>legal/public</t>
        </is>
      </c>
      <c r="F13" s="40" t="inlineStr">
        <is>
          <t>QUANT_SERIES_PENDING</t>
        </is>
      </c>
      <c r="G13" s="40" t="inlineStr">
        <is>
          <t>https://www.ande.gov.py/interna.php?id=15312</t>
        </is>
      </c>
      <c r="H13" s="40" t="inlineStr"/>
      <c r="I13" s="40" t="inlineStr">
        <is>
          <t>Regulatory framework active; no public installed-MW/user-count series located in this pass.</t>
        </is>
      </c>
    </row>
    <row r="14">
      <c r="A14" s="40" t="inlineStr">
        <is>
          <t>CAMMESA</t>
        </is>
      </c>
      <c r="B14" s="40" t="inlineStr">
        <is>
          <t>CAMMESA</t>
        </is>
      </c>
      <c r="C14" s="40" t="inlineStr">
        <is>
          <t>SADI demand/generation/flows</t>
        </is>
      </c>
      <c r="D14" s="40" t="inlineStr">
        <is>
          <t>current/historical</t>
        </is>
      </c>
      <c r="E14" s="40" t="inlineStr">
        <is>
          <t>widgets/API/files</t>
        </is>
      </c>
      <c r="F14" s="40" t="inlineStr">
        <is>
          <t>ENDPOINT_BACKFILL_PENDING</t>
        </is>
      </c>
      <c r="G14" s="40" t="inlineStr">
        <is>
          <t>https://cammesaweb.cammesa.com/</t>
        </is>
      </c>
      <c r="H14" s="40" t="inlineStr"/>
      <c r="I14" s="40" t="inlineStr">
        <is>
          <t>Public widgets exist; structured Paraguay-relevant endpoint still needs production inspection.</t>
        </is>
      </c>
    </row>
    <row r="15">
      <c r="A15" s="40" t="inlineStr">
        <is>
          <t>ITAIPU_YRATO</t>
        </is>
      </c>
      <c r="B15" s="40" t="inlineStr">
        <is>
          <t>ITAIPU</t>
        </is>
      </c>
      <c r="C15" s="40" t="inlineStr">
        <is>
          <t>Hydrology/meteorology</t>
        </is>
      </c>
      <c r="D15" s="40" t="inlineStr">
        <is>
          <t>multi-frequency</t>
        </is>
      </c>
      <c r="E15" s="40" t="inlineStr">
        <is>
          <t>YRATO web/services</t>
        </is>
      </c>
      <c r="F15" s="40" t="inlineStr">
        <is>
          <t>PROD_API_DISCOVERY</t>
        </is>
      </c>
      <c r="G15" s="40" t="inlineStr">
        <is>
          <t>https://hidroinformatica.itaipu.gov.py/yrato/</t>
        </is>
      </c>
      <c r="H15" s="40" t="inlineStr"/>
      <c r="I15" s="40" t="inlineStr">
        <is>
          <t>Integrate for upstream hydrology and forecasts.</t>
        </is>
      </c>
    </row>
  </sheetData>
  <autoFilter ref="A2:I2"/>
  <mergeCells count="1">
    <mergeCell ref="A1:I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8" customWidth="1" min="3" max="3"/>
    <col width="62" customWidth="1" min="4" max="4"/>
    <col width="60" customWidth="1" min="5" max="5"/>
    <col width="24" customWidth="1" min="6" max="6"/>
  </cols>
  <sheetData>
    <row r="1" ht="24" customHeight="1">
      <c r="A1" s="41" t="inlineStr">
        <is>
          <t>EnergiaPY V5 — decision-ready baseline KPIs</t>
        </is>
      </c>
    </row>
    <row r="2" ht="34" customHeight="1">
      <c r="A2" s="42" t="inlineStr">
        <is>
          <t>Metric</t>
        </is>
      </c>
      <c r="B2" s="42" t="inlineStr">
        <is>
          <t>Value</t>
        </is>
      </c>
      <c r="C2" s="42" t="inlineStr">
        <is>
          <t>Unit</t>
        </is>
      </c>
      <c r="D2" s="42" t="inlineStr">
        <is>
          <t>Interpretation</t>
        </is>
      </c>
      <c r="E2" s="42" t="inlineStr">
        <is>
          <t>Source / method</t>
        </is>
      </c>
      <c r="F2" s="42" t="inlineStr">
        <is>
          <t>Quality</t>
        </is>
      </c>
    </row>
    <row r="3">
      <c r="A3" s="51" t="inlineStr">
        <is>
          <t>Residential average billed use 2025</t>
        </is>
      </c>
      <c r="B3" s="45">
        <f>ANDE_Customers_2025!F3</f>
        <v/>
      </c>
      <c r="C3" s="4" t="inlineStr">
        <is>
          <t>kWh/customer/month</t>
        </is>
      </c>
      <c r="D3" s="4" t="inlineStr">
        <is>
          <t>Average billed residential energy per residential customer. Not a median household.</t>
        </is>
      </c>
      <c r="E3" s="4" t="inlineStr">
        <is>
          <t>ANDE BAGP / derived</t>
        </is>
      </c>
      <c r="F3" s="4" t="inlineStr">
        <is>
          <t>DERIVED_FROM_OFFICIAL</t>
        </is>
      </c>
    </row>
    <row r="4">
      <c r="A4" s="51" t="inlineStr">
        <is>
          <t>Residential share of billed national energy 2025</t>
        </is>
      </c>
      <c r="B4" s="46">
        <f>ANDE_Customers_2025!G3</f>
        <v/>
      </c>
      <c r="C4" s="4" t="inlineStr">
        <is>
          <t>percent</t>
        </is>
      </c>
      <c r="D4" s="4" t="inlineStr">
        <is>
          <t>Share of national subtotal billed to residential category.</t>
        </is>
      </c>
      <c r="E4" s="4" t="inlineStr">
        <is>
          <t>ANDE BAGP / derived</t>
        </is>
      </c>
      <c r="F4" s="4" t="inlineStr">
        <is>
          <t>DERIVED_FROM_OFFICIAL</t>
        </is>
      </c>
    </row>
    <row r="5">
      <c r="A5" s="51" t="inlineStr">
        <is>
          <t>Special intensive consumer share 2025</t>
        </is>
      </c>
      <c r="B5" s="46">
        <f>ANDE_Customers_2025!G10</f>
        <v/>
      </c>
      <c r="C5" s="4" t="inlineStr">
        <is>
          <t>percent</t>
        </is>
      </c>
      <c r="D5" s="4" t="inlineStr">
        <is>
          <t>Share of national subtotal billed to Special Intensive Consumers.</t>
        </is>
      </c>
      <c r="E5" s="4" t="inlineStr">
        <is>
          <t>ANDE BAGP / derived</t>
        </is>
      </c>
      <c r="F5" s="4" t="inlineStr">
        <is>
          <t>DERIVED_FROM_OFFICIAL</t>
        </is>
      </c>
    </row>
    <row r="6">
      <c r="A6" s="51" t="inlineStr">
        <is>
          <t>Itaipu equivalent average power to PY Jan-Aug 2026</t>
        </is>
      </c>
      <c r="B6" s="45">
        <f>Current_Baselines!H9</f>
        <v/>
      </c>
      <c r="C6" s="4" t="inlineStr">
        <is>
          <t>MW</t>
        </is>
      </c>
      <c r="D6" s="4" t="inlineStr">
        <is>
          <t>Energy/time equivalent, not instantaneous power.</t>
        </is>
      </c>
      <c r="E6" s="4" t="inlineStr">
        <is>
          <t>Itaipu official / EnergiaPY</t>
        </is>
      </c>
      <c r="F6" s="4" t="inlineStr">
        <is>
          <t>DERIVED_FROM_OFFICIAL</t>
        </is>
      </c>
    </row>
    <row r="7">
      <c r="A7" s="51" t="inlineStr">
        <is>
          <t>Itaipu equivalent average total power Jan-Aug 2026</t>
        </is>
      </c>
      <c r="B7" s="45">
        <f>Current_Baselines!H10</f>
        <v/>
      </c>
      <c r="C7" s="4" t="inlineStr">
        <is>
          <t>MW</t>
        </is>
      </c>
      <c r="D7" s="4" t="inlineStr">
        <is>
          <t>Energy/time equivalent, not instantaneous power.</t>
        </is>
      </c>
      <c r="E7" s="4" t="inlineStr">
        <is>
          <t>Itaipu official / EnergiaPY</t>
        </is>
      </c>
      <c r="F7" s="4" t="inlineStr">
        <is>
          <t>DERIVED_FROM_OFFICIAL</t>
        </is>
      </c>
    </row>
    <row r="8">
      <c r="A8" s="51" t="inlineStr">
        <is>
          <t>Yacyreta latest published power</t>
        </is>
      </c>
      <c r="B8" s="45">
        <f>Current_Baselines!H13</f>
        <v/>
      </c>
      <c r="C8" s="4" t="inlineStr">
        <is>
          <t>MW</t>
        </is>
      </c>
      <c r="D8" s="4" t="inlineStr">
        <is>
          <t>Homepage states last-hour generation; exact measurement timestamp not exposed.</t>
        </is>
      </c>
      <c r="E8" s="4" t="inlineStr">
        <is>
          <t>EBY</t>
        </is>
      </c>
      <c r="F8" s="4" t="inlineStr">
        <is>
          <t>OFFICIAL_WEB_CURRENT</t>
        </is>
      </c>
    </row>
    <row r="9">
      <c r="A9" s="51" t="inlineStr">
        <is>
          <t>ANDE total losses 2025</t>
        </is>
      </c>
      <c r="B9" s="46">
        <f>Current_Baselines!H23</f>
        <v/>
      </c>
      <c r="C9" s="4" t="inlineStr">
        <is>
          <t>percent</t>
        </is>
      </c>
      <c r="D9" s="4" t="inlineStr">
        <is>
          <t>Canonical annual BAGP value.</t>
        </is>
      </c>
      <c r="E9" s="4" t="inlineStr">
        <is>
          <t>ANDE BAGP</t>
        </is>
      </c>
      <c r="F9" s="4" t="inlineStr">
        <is>
          <t>OFFICIAL_AGGREGATE</t>
        </is>
      </c>
    </row>
    <row r="10">
      <c r="A10" s="51" t="inlineStr">
        <is>
          <t>Metropolitan DEP summer 2024/25</t>
        </is>
      </c>
      <c r="B10" s="45">
        <f>Current_Baselines!H25</f>
        <v/>
      </c>
      <c r="C10" s="4" t="inlineStr">
        <is>
          <t>hours</t>
        </is>
      </c>
      <c r="D10" s="4" t="inlineStr">
        <is>
          <t>Continuity baseline for Metropolitan system, not national.</t>
        </is>
      </c>
      <c r="E10" s="4" t="inlineStr">
        <is>
          <t>ANDE</t>
        </is>
      </c>
      <c r="F10" s="4" t="inlineStr">
        <is>
          <t>OFFICIAL_RELEASE</t>
        </is>
      </c>
    </row>
    <row r="11">
      <c r="A11" s="51" t="inlineStr">
        <is>
          <t>IMAEP Jun-2026 YoY</t>
        </is>
      </c>
      <c r="B11" s="46">
        <f>Current_Baselines!H31</f>
        <v/>
      </c>
      <c r="C11" s="4" t="inlineStr">
        <is>
          <t>percent</t>
        </is>
      </c>
      <c r="D11" s="4" t="inlineStr">
        <is>
          <t>Economic activity context for demand modeling.</t>
        </is>
      </c>
      <c r="E11" s="4" t="inlineStr">
        <is>
          <t>BCP</t>
        </is>
      </c>
      <c r="F11" s="4" t="inlineStr">
        <is>
          <t>OFFICIAL_PRELIMINARY</t>
        </is>
      </c>
    </row>
    <row r="12">
      <c r="A12" s="51" t="inlineStr">
        <is>
          <t>Household available income avg 2025</t>
        </is>
      </c>
      <c r="B12" s="52">
        <f>Current_Baselines!H43</f>
        <v/>
      </c>
      <c r="C12" s="4" t="inlineStr">
        <is>
          <t>PYG/month</t>
        </is>
      </c>
      <c r="D12" s="4" t="inlineStr">
        <is>
          <t>Average, not median; coverage caveats apply.</t>
        </is>
      </c>
      <c r="E12" s="4" t="inlineStr">
        <is>
          <t>INE EPHC</t>
        </is>
      </c>
      <c r="F12" s="4" t="inlineStr">
        <is>
          <t>OFFICIAL_SURVEY</t>
        </is>
      </c>
    </row>
    <row r="13">
      <c r="A13" s="51" t="inlineStr">
        <is>
          <t>Electricity access in occupied dwellings 2022</t>
        </is>
      </c>
      <c r="B13" s="46">
        <f>Current_Baselines!H53</f>
        <v/>
      </c>
      <c r="C13" s="4" t="inlineStr">
        <is>
          <t>percent</t>
        </is>
      </c>
      <c r="D13" s="4" t="inlineStr">
        <is>
          <t>Structural census baseline.</t>
        </is>
      </c>
      <c r="E13" s="4" t="inlineStr">
        <is>
          <t>INE Census 2022</t>
        </is>
      </c>
      <c r="F13" s="4" t="inlineStr">
        <is>
          <t>OFFICIAL_CENSUS</t>
        </is>
      </c>
    </row>
    <row r="14">
      <c r="A14" s="51" t="inlineStr">
        <is>
          <t>Air conditioner penetration 2022</t>
        </is>
      </c>
      <c r="B14" s="46">
        <f>Current_Baselines!H65</f>
        <v/>
      </c>
      <c r="C14" s="4" t="inlineStr">
        <is>
          <t>percent</t>
        </is>
      </c>
      <c r="D14" s="4" t="inlineStr">
        <is>
          <t>Share of occupied private dwellings with AC.</t>
        </is>
      </c>
      <c r="E14" s="4" t="inlineStr">
        <is>
          <t>INE Census 2022</t>
        </is>
      </c>
      <c r="F14" s="4" t="inlineStr">
        <is>
          <t>OFFICIAL_CENSUS</t>
        </is>
      </c>
    </row>
  </sheetData>
  <autoFilter ref="A2:F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EnergiaPY.live</dc:creator>
  <dc:title xmlns:dc="http://purl.org/dc/elements/1.1/">EnergiaPY.live Base Histórica Maestra v2</dc:title>
  <dc:subject xmlns:dc="http://purl.org/dc/elements/1.1/">Energy data warehouse seed for Paraguay</dc:subject>
  <dcterms:created xmlns:dcterms="http://purl.org/dc/terms/" xmlns:xsi="http://www.w3.org/2001/XMLSchema-instance" xsi:type="dcterms:W3CDTF">2026-09-11T03:24:56Z</dcterms:created>
  <dcterms:modified xmlns:dcterms="http://purl.org/dc/terms/" xmlns:xsi="http://www.w3.org/2001/XMLSchema-instance" xsi:type="dcterms:W3CDTF">2026-09-11T04:41:14Z</dcterms:modified>
</cp:coreProperties>
</file>