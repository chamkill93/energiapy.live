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Informes Mensuales/Bases Mensuales/"/>
    </mc:Choice>
  </mc:AlternateContent>
  <xr:revisionPtr revIDLastSave="180" documentId="13_ncr:1_{8E1CC2C4-3BEC-438F-9357-C234C6DFBB9D}" xr6:coauthVersionLast="47" xr6:coauthVersionMax="47" xr10:uidLastSave="{0FB47B7B-13F1-405A-980C-B1D58710ECDC}"/>
  <bookViews>
    <workbookView xWindow="-108" yWindow="-108" windowWidth="23256" windowHeight="12456" xr2:uid="{00000000-000D-0000-FFFF-FFFF00000000}"/>
  </bookViews>
  <sheets>
    <sheet name="CENTRALES HI BINACIONALES" sheetId="1" r:id="rId1"/>
  </sheets>
  <definedNames>
    <definedName name="_xlnm._FilterDatabase" localSheetId="0" hidden="1">'CENTRALES HI BINACIONALES'!$A$21:$C$135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8" i="1" l="1"/>
  <c r="Z138" i="1" s="1"/>
  <c r="M138" i="1"/>
  <c r="N138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G120" i="1"/>
  <c r="H120" i="1"/>
  <c r="G122" i="1"/>
  <c r="H122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T127" i="1" l="1"/>
  <c r="S127" i="1"/>
  <c r="T128" i="1"/>
  <c r="S128" i="1"/>
  <c r="T129" i="1"/>
  <c r="S129" i="1"/>
  <c r="T130" i="1"/>
  <c r="S130" i="1"/>
  <c r="S131" i="1"/>
  <c r="Y131" i="1"/>
  <c r="Z131" i="1" s="1"/>
  <c r="T131" i="1"/>
  <c r="Y132" i="1"/>
  <c r="Z132" i="1" s="1"/>
  <c r="S132" i="1"/>
  <c r="T132" i="1"/>
  <c r="Y133" i="1"/>
  <c r="Z133" i="1" s="1"/>
  <c r="S133" i="1"/>
  <c r="T133" i="1"/>
  <c r="Y134" i="1"/>
  <c r="Z134" i="1" s="1"/>
  <c r="S134" i="1"/>
  <c r="T134" i="1"/>
  <c r="S135" i="1"/>
  <c r="Y135" i="1"/>
  <c r="Z135" i="1" s="1"/>
  <c r="T135" i="1"/>
  <c r="Y136" i="1"/>
  <c r="Z136" i="1" s="1"/>
  <c r="S136" i="1"/>
  <c r="T136" i="1"/>
  <c r="Y137" i="1"/>
  <c r="Z137" i="1" s="1"/>
  <c r="S137" i="1"/>
  <c r="T137" i="1"/>
  <c r="N137" i="1"/>
  <c r="G121" i="1"/>
  <c r="H121" i="1"/>
  <c r="H123" i="1"/>
  <c r="G123" i="1"/>
  <c r="H124" i="1"/>
  <c r="G124" i="1"/>
  <c r="B130" i="1"/>
  <c r="M130" i="1" l="1"/>
  <c r="N130" i="1" s="1"/>
  <c r="Y130" i="1"/>
  <c r="Z130" i="1" s="1"/>
  <c r="P24" i="1"/>
  <c r="S24" i="1" s="1"/>
  <c r="P25" i="1"/>
  <c r="P26" i="1"/>
  <c r="S26" i="1" s="1"/>
  <c r="P27" i="1"/>
  <c r="P28" i="1"/>
  <c r="P29" i="1"/>
  <c r="P30" i="1"/>
  <c r="P31" i="1"/>
  <c r="S31" i="1" s="1"/>
  <c r="P32" i="1"/>
  <c r="S32" i="1" s="1"/>
  <c r="P33" i="1"/>
  <c r="P34" i="1"/>
  <c r="S34" i="1" s="1"/>
  <c r="P35" i="1"/>
  <c r="P36" i="1"/>
  <c r="P37" i="1"/>
  <c r="P38" i="1"/>
  <c r="P39" i="1"/>
  <c r="S39" i="1" s="1"/>
  <c r="P40" i="1"/>
  <c r="S40" i="1" s="1"/>
  <c r="P41" i="1"/>
  <c r="P42" i="1"/>
  <c r="S42" i="1" s="1"/>
  <c r="P43" i="1"/>
  <c r="P44" i="1"/>
  <c r="S44" i="1" s="1"/>
  <c r="P45" i="1"/>
  <c r="P46" i="1"/>
  <c r="P47" i="1"/>
  <c r="S47" i="1" s="1"/>
  <c r="P48" i="1"/>
  <c r="S48" i="1" s="1"/>
  <c r="P49" i="1"/>
  <c r="P50" i="1"/>
  <c r="S50" i="1" s="1"/>
  <c r="P51" i="1"/>
  <c r="P52" i="1"/>
  <c r="P53" i="1"/>
  <c r="P54" i="1"/>
  <c r="P55" i="1"/>
  <c r="S55" i="1" s="1"/>
  <c r="P56" i="1"/>
  <c r="S56" i="1" s="1"/>
  <c r="P57" i="1"/>
  <c r="P58" i="1"/>
  <c r="S58" i="1" s="1"/>
  <c r="P59" i="1"/>
  <c r="P60" i="1"/>
  <c r="P61" i="1"/>
  <c r="P62" i="1"/>
  <c r="P63" i="1"/>
  <c r="S63" i="1" s="1"/>
  <c r="P64" i="1"/>
  <c r="S64" i="1" s="1"/>
  <c r="P65" i="1"/>
  <c r="P66" i="1"/>
  <c r="S66" i="1" s="1"/>
  <c r="P67" i="1"/>
  <c r="P68" i="1"/>
  <c r="P69" i="1"/>
  <c r="P70" i="1"/>
  <c r="P71" i="1"/>
  <c r="S71" i="1" s="1"/>
  <c r="P72" i="1"/>
  <c r="T72" i="1" s="1"/>
  <c r="P73" i="1"/>
  <c r="P74" i="1"/>
  <c r="S74" i="1" s="1"/>
  <c r="P75" i="1"/>
  <c r="P76" i="1"/>
  <c r="P77" i="1"/>
  <c r="P78" i="1"/>
  <c r="P79" i="1"/>
  <c r="S79" i="1" s="1"/>
  <c r="P80" i="1"/>
  <c r="S80" i="1" s="1"/>
  <c r="P81" i="1"/>
  <c r="P82" i="1"/>
  <c r="S82" i="1" s="1"/>
  <c r="P83" i="1"/>
  <c r="P84" i="1"/>
  <c r="P85" i="1"/>
  <c r="P86" i="1"/>
  <c r="P87" i="1"/>
  <c r="S87" i="1" s="1"/>
  <c r="P88" i="1"/>
  <c r="P89" i="1"/>
  <c r="P90" i="1"/>
  <c r="S90" i="1" s="1"/>
  <c r="P91" i="1"/>
  <c r="P92" i="1"/>
  <c r="P93" i="1"/>
  <c r="P94" i="1"/>
  <c r="P95" i="1"/>
  <c r="S95" i="1" s="1"/>
  <c r="P96" i="1"/>
  <c r="S96" i="1" s="1"/>
  <c r="P97" i="1"/>
  <c r="P98" i="1"/>
  <c r="S98" i="1" s="1"/>
  <c r="P99" i="1"/>
  <c r="P100" i="1"/>
  <c r="P101" i="1"/>
  <c r="P102" i="1"/>
  <c r="P103" i="1"/>
  <c r="S103" i="1" s="1"/>
  <c r="P104" i="1"/>
  <c r="T104" i="1" s="1"/>
  <c r="P105" i="1"/>
  <c r="P106" i="1"/>
  <c r="S106" i="1" s="1"/>
  <c r="P107" i="1"/>
  <c r="P108" i="1"/>
  <c r="P109" i="1"/>
  <c r="P110" i="1"/>
  <c r="P111" i="1"/>
  <c r="S111" i="1" s="1"/>
  <c r="P112" i="1"/>
  <c r="S112" i="1" s="1"/>
  <c r="P113" i="1"/>
  <c r="P114" i="1"/>
  <c r="S114" i="1" s="1"/>
  <c r="P115" i="1"/>
  <c r="P116" i="1"/>
  <c r="P117" i="1"/>
  <c r="S119" i="1"/>
  <c r="T121" i="1"/>
  <c r="S122" i="1"/>
  <c r="B24" i="1"/>
  <c r="Y24" i="1" s="1"/>
  <c r="Z24" i="1" s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Y72" i="1" s="1"/>
  <c r="Z72" i="1" s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M120" i="1" s="1"/>
  <c r="N120" i="1" s="1"/>
  <c r="B121" i="1"/>
  <c r="M121" i="1" s="1"/>
  <c r="N121" i="1" s="1"/>
  <c r="B122" i="1"/>
  <c r="M122" i="1" s="1"/>
  <c r="N122" i="1" s="1"/>
  <c r="B123" i="1"/>
  <c r="M123" i="1" s="1"/>
  <c r="N123" i="1" s="1"/>
  <c r="B124" i="1"/>
  <c r="B125" i="1"/>
  <c r="B126" i="1"/>
  <c r="B127" i="1"/>
  <c r="B128" i="1"/>
  <c r="B129" i="1"/>
  <c r="D24" i="1"/>
  <c r="H24" i="1" s="1"/>
  <c r="D25" i="1"/>
  <c r="H25" i="1" s="1"/>
  <c r="D26" i="1"/>
  <c r="G26" i="1" s="1"/>
  <c r="D27" i="1"/>
  <c r="D28" i="1"/>
  <c r="D29" i="1"/>
  <c r="H29" i="1" s="1"/>
  <c r="D30" i="1"/>
  <c r="H30" i="1" s="1"/>
  <c r="D31" i="1"/>
  <c r="D32" i="1"/>
  <c r="H32" i="1" s="1"/>
  <c r="D33" i="1"/>
  <c r="H33" i="1" s="1"/>
  <c r="D34" i="1"/>
  <c r="H34" i="1" s="1"/>
  <c r="D35" i="1"/>
  <c r="D36" i="1"/>
  <c r="H36" i="1" s="1"/>
  <c r="D37" i="1"/>
  <c r="H37" i="1" s="1"/>
  <c r="D38" i="1"/>
  <c r="H38" i="1" s="1"/>
  <c r="D39" i="1"/>
  <c r="H39" i="1" s="1"/>
  <c r="D40" i="1"/>
  <c r="H40" i="1" s="1"/>
  <c r="D41" i="1"/>
  <c r="H41" i="1" s="1"/>
  <c r="D42" i="1"/>
  <c r="G42" i="1" s="1"/>
  <c r="D43" i="1"/>
  <c r="D44" i="1"/>
  <c r="D45" i="1"/>
  <c r="H45" i="1" s="1"/>
  <c r="D46" i="1"/>
  <c r="H46" i="1" s="1"/>
  <c r="D47" i="1"/>
  <c r="D48" i="1"/>
  <c r="H48" i="1" s="1"/>
  <c r="D49" i="1"/>
  <c r="H49" i="1" s="1"/>
  <c r="D50" i="1"/>
  <c r="G50" i="1" s="1"/>
  <c r="D51" i="1"/>
  <c r="D52" i="1"/>
  <c r="D53" i="1"/>
  <c r="H53" i="1" s="1"/>
  <c r="D54" i="1"/>
  <c r="H54" i="1" s="1"/>
  <c r="D55" i="1"/>
  <c r="D56" i="1"/>
  <c r="H56" i="1" s="1"/>
  <c r="D57" i="1"/>
  <c r="H57" i="1" s="1"/>
  <c r="D58" i="1"/>
  <c r="G58" i="1" s="1"/>
  <c r="D59" i="1"/>
  <c r="D60" i="1"/>
  <c r="H60" i="1" s="1"/>
  <c r="D61" i="1"/>
  <c r="H61" i="1" s="1"/>
  <c r="D62" i="1"/>
  <c r="D63" i="1"/>
  <c r="D64" i="1"/>
  <c r="H64" i="1" s="1"/>
  <c r="D65" i="1"/>
  <c r="D66" i="1"/>
  <c r="H66" i="1" s="1"/>
  <c r="D67" i="1"/>
  <c r="D68" i="1"/>
  <c r="H68" i="1" s="1"/>
  <c r="D69" i="1"/>
  <c r="H69" i="1" s="1"/>
  <c r="D70" i="1"/>
  <c r="G70" i="1" s="1"/>
  <c r="D71" i="1"/>
  <c r="D72" i="1"/>
  <c r="H72" i="1" s="1"/>
  <c r="D73" i="1"/>
  <c r="H73" i="1" s="1"/>
  <c r="D74" i="1"/>
  <c r="H74" i="1" s="1"/>
  <c r="D75" i="1"/>
  <c r="D76" i="1"/>
  <c r="D77" i="1"/>
  <c r="G77" i="1" s="1"/>
  <c r="D78" i="1"/>
  <c r="G78" i="1" s="1"/>
  <c r="D79" i="1"/>
  <c r="D80" i="1"/>
  <c r="H80" i="1" s="1"/>
  <c r="D81" i="1"/>
  <c r="D82" i="1"/>
  <c r="G82" i="1" s="1"/>
  <c r="D83" i="1"/>
  <c r="D84" i="1"/>
  <c r="H84" i="1" s="1"/>
  <c r="D85" i="1"/>
  <c r="H85" i="1" s="1"/>
  <c r="D86" i="1"/>
  <c r="G86" i="1" s="1"/>
  <c r="D87" i="1"/>
  <c r="D88" i="1"/>
  <c r="H88" i="1" s="1"/>
  <c r="D89" i="1"/>
  <c r="D90" i="1"/>
  <c r="G90" i="1" s="1"/>
  <c r="D91" i="1"/>
  <c r="D92" i="1"/>
  <c r="H92" i="1" s="1"/>
  <c r="D93" i="1"/>
  <c r="H93" i="1" s="1"/>
  <c r="D94" i="1"/>
  <c r="G94" i="1" s="1"/>
  <c r="D95" i="1"/>
  <c r="D96" i="1"/>
  <c r="H96" i="1" s="1"/>
  <c r="D97" i="1"/>
  <c r="G97" i="1" s="1"/>
  <c r="D98" i="1"/>
  <c r="H98" i="1" s="1"/>
  <c r="D99" i="1"/>
  <c r="D100" i="1"/>
  <c r="H100" i="1" s="1"/>
  <c r="D101" i="1"/>
  <c r="G101" i="1" s="1"/>
  <c r="D102" i="1"/>
  <c r="D103" i="1"/>
  <c r="D104" i="1"/>
  <c r="H104" i="1" s="1"/>
  <c r="D105" i="1"/>
  <c r="G105" i="1" s="1"/>
  <c r="D106" i="1"/>
  <c r="G106" i="1" s="1"/>
  <c r="D107" i="1"/>
  <c r="M107" i="1" s="1"/>
  <c r="N107" i="1" s="1"/>
  <c r="D108" i="1"/>
  <c r="D109" i="1"/>
  <c r="D110" i="1"/>
  <c r="D111" i="1"/>
  <c r="M111" i="1" s="1"/>
  <c r="N111" i="1" s="1"/>
  <c r="D112" i="1"/>
  <c r="D113" i="1"/>
  <c r="D114" i="1"/>
  <c r="D115" i="1"/>
  <c r="M115" i="1" s="1"/>
  <c r="N115" i="1" s="1"/>
  <c r="D116" i="1"/>
  <c r="D117" i="1"/>
  <c r="D118" i="1"/>
  <c r="D119" i="1"/>
  <c r="G64" i="1"/>
  <c r="G65" i="1"/>
  <c r="G75" i="1"/>
  <c r="G76" i="1"/>
  <c r="G98" i="1"/>
  <c r="B23" i="1"/>
  <c r="D23" i="1"/>
  <c r="G23" i="1" s="1"/>
  <c r="P23" i="1"/>
  <c r="S23" i="1" s="1"/>
  <c r="M124" i="1" l="1"/>
  <c r="N124" i="1" s="1"/>
  <c r="Y124" i="1"/>
  <c r="Z124" i="1" s="1"/>
  <c r="M125" i="1"/>
  <c r="N125" i="1" s="1"/>
  <c r="Y125" i="1"/>
  <c r="Z125" i="1" s="1"/>
  <c r="M126" i="1"/>
  <c r="N126" i="1" s="1"/>
  <c r="Y126" i="1"/>
  <c r="Z126" i="1" s="1"/>
  <c r="Y127" i="1"/>
  <c r="Z127" i="1" s="1"/>
  <c r="M127" i="1"/>
  <c r="N127" i="1" s="1"/>
  <c r="Y128" i="1"/>
  <c r="Z128" i="1" s="1"/>
  <c r="M128" i="1"/>
  <c r="N128" i="1" s="1"/>
  <c r="Y129" i="1"/>
  <c r="Z129" i="1" s="1"/>
  <c r="M129" i="1"/>
  <c r="N129" i="1" s="1"/>
  <c r="H108" i="1"/>
  <c r="M108" i="1"/>
  <c r="N108" i="1" s="1"/>
  <c r="H109" i="1"/>
  <c r="M109" i="1"/>
  <c r="N109" i="1" s="1"/>
  <c r="G110" i="1"/>
  <c r="M110" i="1"/>
  <c r="N110" i="1" s="1"/>
  <c r="H112" i="1"/>
  <c r="M112" i="1"/>
  <c r="N112" i="1" s="1"/>
  <c r="H113" i="1"/>
  <c r="M113" i="1"/>
  <c r="N113" i="1" s="1"/>
  <c r="G114" i="1"/>
  <c r="M114" i="1"/>
  <c r="N114" i="1" s="1"/>
  <c r="H116" i="1"/>
  <c r="M116" i="1"/>
  <c r="N116" i="1" s="1"/>
  <c r="G117" i="1"/>
  <c r="H117" i="1"/>
  <c r="M117" i="1"/>
  <c r="N117" i="1" s="1"/>
  <c r="M118" i="1"/>
  <c r="N118" i="1" s="1"/>
  <c r="G118" i="1"/>
  <c r="H118" i="1"/>
  <c r="M119" i="1"/>
  <c r="N119" i="1" s="1"/>
  <c r="H119" i="1"/>
  <c r="G119" i="1"/>
  <c r="Y40" i="1"/>
  <c r="Z40" i="1" s="1"/>
  <c r="G93" i="1"/>
  <c r="G24" i="1"/>
  <c r="Y104" i="1"/>
  <c r="Z104" i="1" s="1"/>
  <c r="Y32" i="1"/>
  <c r="Z32" i="1" s="1"/>
  <c r="G66" i="1"/>
  <c r="M52" i="1"/>
  <c r="N52" i="1" s="1"/>
  <c r="M99" i="1"/>
  <c r="N99" i="1" s="1"/>
  <c r="M27" i="1"/>
  <c r="N27" i="1" s="1"/>
  <c r="G40" i="1"/>
  <c r="M65" i="1"/>
  <c r="N65" i="1" s="1"/>
  <c r="M51" i="1"/>
  <c r="N51" i="1" s="1"/>
  <c r="G92" i="1"/>
  <c r="G32" i="1"/>
  <c r="T90" i="1"/>
  <c r="M89" i="1"/>
  <c r="N89" i="1" s="1"/>
  <c r="M75" i="1"/>
  <c r="N75" i="1" s="1"/>
  <c r="G41" i="1"/>
  <c r="M97" i="1"/>
  <c r="N97" i="1" s="1"/>
  <c r="M76" i="1"/>
  <c r="N76" i="1" s="1"/>
  <c r="M28" i="1"/>
  <c r="N28" i="1" s="1"/>
  <c r="M59" i="1"/>
  <c r="N59" i="1" s="1"/>
  <c r="M44" i="1"/>
  <c r="N44" i="1" s="1"/>
  <c r="M91" i="1"/>
  <c r="N91" i="1" s="1"/>
  <c r="M67" i="1"/>
  <c r="N67" i="1" s="1"/>
  <c r="M43" i="1"/>
  <c r="N43" i="1" s="1"/>
  <c r="G109" i="1"/>
  <c r="M83" i="1"/>
  <c r="N83" i="1" s="1"/>
  <c r="G74" i="1"/>
  <c r="G73" i="1"/>
  <c r="G34" i="1"/>
  <c r="M35" i="1"/>
  <c r="N35" i="1" s="1"/>
  <c r="G48" i="1"/>
  <c r="M105" i="1"/>
  <c r="N105" i="1" s="1"/>
  <c r="M81" i="1"/>
  <c r="N81" i="1" s="1"/>
  <c r="G37" i="1"/>
  <c r="G104" i="1"/>
  <c r="G72" i="1"/>
  <c r="G33" i="1"/>
  <c r="G36" i="1"/>
  <c r="M85" i="1"/>
  <c r="N85" i="1" s="1"/>
  <c r="M61" i="1"/>
  <c r="N61" i="1" s="1"/>
  <c r="G112" i="1"/>
  <c r="G100" i="1"/>
  <c r="G85" i="1"/>
  <c r="G60" i="1"/>
  <c r="G44" i="1"/>
  <c r="T50" i="1"/>
  <c r="G116" i="1"/>
  <c r="G84" i="1"/>
  <c r="M100" i="1"/>
  <c r="N100" i="1" s="1"/>
  <c r="T34" i="1"/>
  <c r="G108" i="1"/>
  <c r="G69" i="1"/>
  <c r="G56" i="1"/>
  <c r="G29" i="1"/>
  <c r="M103" i="1"/>
  <c r="N103" i="1" s="1"/>
  <c r="M95" i="1"/>
  <c r="N95" i="1" s="1"/>
  <c r="M87" i="1"/>
  <c r="N87" i="1" s="1"/>
  <c r="M79" i="1"/>
  <c r="N79" i="1" s="1"/>
  <c r="M71" i="1"/>
  <c r="N71" i="1" s="1"/>
  <c r="M63" i="1"/>
  <c r="N63" i="1" s="1"/>
  <c r="M55" i="1"/>
  <c r="N55" i="1" s="1"/>
  <c r="M47" i="1"/>
  <c r="N47" i="1" s="1"/>
  <c r="M31" i="1"/>
  <c r="N31" i="1" s="1"/>
  <c r="M36" i="1"/>
  <c r="N36" i="1" s="1"/>
  <c r="Y118" i="1"/>
  <c r="Z118" i="1" s="1"/>
  <c r="Y110" i="1"/>
  <c r="Z110" i="1" s="1"/>
  <c r="Y102" i="1"/>
  <c r="Z102" i="1" s="1"/>
  <c r="Y94" i="1"/>
  <c r="Z94" i="1" s="1"/>
  <c r="Y86" i="1"/>
  <c r="Z86" i="1" s="1"/>
  <c r="Y78" i="1"/>
  <c r="Z78" i="1" s="1"/>
  <c r="Y70" i="1"/>
  <c r="Z70" i="1" s="1"/>
  <c r="Y62" i="1"/>
  <c r="Z62" i="1" s="1"/>
  <c r="Y54" i="1"/>
  <c r="Z54" i="1" s="1"/>
  <c r="Y46" i="1"/>
  <c r="Z46" i="1" s="1"/>
  <c r="Y38" i="1"/>
  <c r="Z38" i="1" s="1"/>
  <c r="Y30" i="1"/>
  <c r="Z30" i="1" s="1"/>
  <c r="T26" i="1"/>
  <c r="G43" i="1"/>
  <c r="G107" i="1"/>
  <c r="G96" i="1"/>
  <c r="G80" i="1"/>
  <c r="G68" i="1"/>
  <c r="G53" i="1"/>
  <c r="G28" i="1"/>
  <c r="M102" i="1"/>
  <c r="N102" i="1" s="1"/>
  <c r="M62" i="1"/>
  <c r="N62" i="1" s="1"/>
  <c r="M34" i="1"/>
  <c r="N34" i="1" s="1"/>
  <c r="Y98" i="1"/>
  <c r="Z98" i="1" s="1"/>
  <c r="H23" i="1"/>
  <c r="G52" i="1"/>
  <c r="H44" i="1"/>
  <c r="T82" i="1"/>
  <c r="G88" i="1"/>
  <c r="G61" i="1"/>
  <c r="G45" i="1"/>
  <c r="M106" i="1"/>
  <c r="N106" i="1" s="1"/>
  <c r="M98" i="1"/>
  <c r="N98" i="1" s="1"/>
  <c r="M90" i="1"/>
  <c r="N90" i="1" s="1"/>
  <c r="M82" i="1"/>
  <c r="N82" i="1" s="1"/>
  <c r="M66" i="1"/>
  <c r="N66" i="1" s="1"/>
  <c r="M58" i="1"/>
  <c r="N58" i="1" s="1"/>
  <c r="M50" i="1"/>
  <c r="N50" i="1" s="1"/>
  <c r="M42" i="1"/>
  <c r="N42" i="1" s="1"/>
  <c r="M26" i="1"/>
  <c r="N26" i="1" s="1"/>
  <c r="T74" i="1"/>
  <c r="H115" i="1"/>
  <c r="H83" i="1"/>
  <c r="S126" i="1"/>
  <c r="S94" i="1"/>
  <c r="S62" i="1"/>
  <c r="T110" i="1"/>
  <c r="H114" i="1"/>
  <c r="H82" i="1"/>
  <c r="H43" i="1"/>
  <c r="M74" i="1"/>
  <c r="N74" i="1" s="1"/>
  <c r="S30" i="1"/>
  <c r="T106" i="1"/>
  <c r="T78" i="1"/>
  <c r="T48" i="1"/>
  <c r="T24" i="1"/>
  <c r="G83" i="1"/>
  <c r="G51" i="1"/>
  <c r="H107" i="1"/>
  <c r="H75" i="1"/>
  <c r="S118" i="1"/>
  <c r="S86" i="1"/>
  <c r="S54" i="1"/>
  <c r="T102" i="1"/>
  <c r="T46" i="1"/>
  <c r="Y122" i="1"/>
  <c r="Z122" i="1" s="1"/>
  <c r="Y114" i="1"/>
  <c r="Z114" i="1" s="1"/>
  <c r="Y106" i="1"/>
  <c r="Z106" i="1" s="1"/>
  <c r="Y90" i="1"/>
  <c r="Z90" i="1" s="1"/>
  <c r="Y82" i="1"/>
  <c r="Z82" i="1" s="1"/>
  <c r="Y74" i="1"/>
  <c r="Z74" i="1" s="1"/>
  <c r="Y58" i="1"/>
  <c r="Z58" i="1" s="1"/>
  <c r="Y50" i="1"/>
  <c r="Z50" i="1" s="1"/>
  <c r="Y42" i="1"/>
  <c r="Z42" i="1" s="1"/>
  <c r="Y26" i="1"/>
  <c r="Z26" i="1" s="1"/>
  <c r="H106" i="1"/>
  <c r="M60" i="1"/>
  <c r="N60" i="1" s="1"/>
  <c r="T126" i="1"/>
  <c r="T98" i="1"/>
  <c r="T70" i="1"/>
  <c r="T42" i="1"/>
  <c r="Y66" i="1"/>
  <c r="Z66" i="1" s="1"/>
  <c r="G113" i="1"/>
  <c r="G91" i="1"/>
  <c r="G81" i="1"/>
  <c r="G59" i="1"/>
  <c r="G49" i="1"/>
  <c r="G27" i="1"/>
  <c r="M73" i="1"/>
  <c r="N73" i="1" s="1"/>
  <c r="M49" i="1"/>
  <c r="N49" i="1" s="1"/>
  <c r="H99" i="1"/>
  <c r="H67" i="1"/>
  <c r="S110" i="1"/>
  <c r="S78" i="1"/>
  <c r="S46" i="1"/>
  <c r="T122" i="1"/>
  <c r="T94" i="1"/>
  <c r="T66" i="1"/>
  <c r="T38" i="1"/>
  <c r="Y34" i="1"/>
  <c r="Z34" i="1" s="1"/>
  <c r="G99" i="1"/>
  <c r="G89" i="1"/>
  <c r="G67" i="1"/>
  <c r="G57" i="1"/>
  <c r="G35" i="1"/>
  <c r="G25" i="1"/>
  <c r="M101" i="1"/>
  <c r="N101" i="1" s="1"/>
  <c r="M77" i="1"/>
  <c r="N77" i="1" s="1"/>
  <c r="H91" i="1"/>
  <c r="H58" i="1"/>
  <c r="Y120" i="1"/>
  <c r="Z120" i="1" s="1"/>
  <c r="Y88" i="1"/>
  <c r="Z88" i="1" s="1"/>
  <c r="S102" i="1"/>
  <c r="S70" i="1"/>
  <c r="T114" i="1"/>
  <c r="T88" i="1"/>
  <c r="T58" i="1"/>
  <c r="T32" i="1"/>
  <c r="G115" i="1"/>
  <c r="T118" i="1"/>
  <c r="T62" i="1"/>
  <c r="H90" i="1"/>
  <c r="M86" i="1"/>
  <c r="N86" i="1" s="1"/>
  <c r="S38" i="1"/>
  <c r="T112" i="1"/>
  <c r="T86" i="1"/>
  <c r="T54" i="1"/>
  <c r="T30" i="1"/>
  <c r="M46" i="1"/>
  <c r="N46" i="1" s="1"/>
  <c r="Y109" i="1"/>
  <c r="Z109" i="1" s="1"/>
  <c r="T109" i="1"/>
  <c r="S109" i="1"/>
  <c r="Y69" i="1"/>
  <c r="Z69" i="1" s="1"/>
  <c r="T69" i="1"/>
  <c r="S69" i="1"/>
  <c r="Y53" i="1"/>
  <c r="Z53" i="1" s="1"/>
  <c r="T53" i="1"/>
  <c r="S53" i="1"/>
  <c r="H105" i="1"/>
  <c r="H97" i="1"/>
  <c r="H89" i="1"/>
  <c r="H81" i="1"/>
  <c r="H65" i="1"/>
  <c r="H55" i="1"/>
  <c r="H42" i="1"/>
  <c r="H28" i="1"/>
  <c r="M84" i="1"/>
  <c r="N84" i="1" s="1"/>
  <c r="M70" i="1"/>
  <c r="N70" i="1" s="1"/>
  <c r="M45" i="1"/>
  <c r="N45" i="1" s="1"/>
  <c r="M33" i="1"/>
  <c r="N33" i="1" s="1"/>
  <c r="T124" i="1"/>
  <c r="Y116" i="1"/>
  <c r="Z116" i="1" s="1"/>
  <c r="T116" i="1"/>
  <c r="Y108" i="1"/>
  <c r="Z108" i="1" s="1"/>
  <c r="T108" i="1"/>
  <c r="Y100" i="1"/>
  <c r="Z100" i="1" s="1"/>
  <c r="T100" i="1"/>
  <c r="Y92" i="1"/>
  <c r="Z92" i="1" s="1"/>
  <c r="T92" i="1"/>
  <c r="Y84" i="1"/>
  <c r="Z84" i="1" s="1"/>
  <c r="T84" i="1"/>
  <c r="Y76" i="1"/>
  <c r="Z76" i="1" s="1"/>
  <c r="T76" i="1"/>
  <c r="Y68" i="1"/>
  <c r="Z68" i="1" s="1"/>
  <c r="T68" i="1"/>
  <c r="Y60" i="1"/>
  <c r="Z60" i="1" s="1"/>
  <c r="T60" i="1"/>
  <c r="Y52" i="1"/>
  <c r="Z52" i="1" s="1"/>
  <c r="T52" i="1"/>
  <c r="Y44" i="1"/>
  <c r="Z44" i="1" s="1"/>
  <c r="T44" i="1"/>
  <c r="Y36" i="1"/>
  <c r="Z36" i="1" s="1"/>
  <c r="T36" i="1"/>
  <c r="Y28" i="1"/>
  <c r="Z28" i="1" s="1"/>
  <c r="T28" i="1"/>
  <c r="S124" i="1"/>
  <c r="S108" i="1"/>
  <c r="S92" i="1"/>
  <c r="S76" i="1"/>
  <c r="S60" i="1"/>
  <c r="T64" i="1"/>
  <c r="Y96" i="1"/>
  <c r="Z96" i="1" s="1"/>
  <c r="Y64" i="1"/>
  <c r="Z64" i="1" s="1"/>
  <c r="T125" i="1"/>
  <c r="S125" i="1"/>
  <c r="Y77" i="1"/>
  <c r="Z77" i="1" s="1"/>
  <c r="T77" i="1"/>
  <c r="S77" i="1"/>
  <c r="Y45" i="1"/>
  <c r="Z45" i="1" s="1"/>
  <c r="T45" i="1"/>
  <c r="S45" i="1"/>
  <c r="H52" i="1"/>
  <c r="H27" i="1"/>
  <c r="M94" i="1"/>
  <c r="N94" i="1" s="1"/>
  <c r="M69" i="1"/>
  <c r="N69" i="1" s="1"/>
  <c r="M57" i="1"/>
  <c r="N57" i="1" s="1"/>
  <c r="M30" i="1"/>
  <c r="N30" i="1" s="1"/>
  <c r="T123" i="1"/>
  <c r="S123" i="1"/>
  <c r="Y123" i="1"/>
  <c r="Z123" i="1" s="1"/>
  <c r="T115" i="1"/>
  <c r="S115" i="1"/>
  <c r="Y115" i="1"/>
  <c r="Z115" i="1" s="1"/>
  <c r="T107" i="1"/>
  <c r="S107" i="1"/>
  <c r="Y107" i="1"/>
  <c r="Z107" i="1" s="1"/>
  <c r="T99" i="1"/>
  <c r="S99" i="1"/>
  <c r="Y99" i="1"/>
  <c r="Z99" i="1" s="1"/>
  <c r="T91" i="1"/>
  <c r="S91" i="1"/>
  <c r="Y91" i="1"/>
  <c r="Z91" i="1" s="1"/>
  <c r="T83" i="1"/>
  <c r="S83" i="1"/>
  <c r="Y83" i="1"/>
  <c r="Z83" i="1" s="1"/>
  <c r="T75" i="1"/>
  <c r="S75" i="1"/>
  <c r="Y75" i="1"/>
  <c r="Z75" i="1" s="1"/>
  <c r="T67" i="1"/>
  <c r="S67" i="1"/>
  <c r="Y67" i="1"/>
  <c r="Z67" i="1" s="1"/>
  <c r="T59" i="1"/>
  <c r="S59" i="1"/>
  <c r="Y59" i="1"/>
  <c r="Z59" i="1" s="1"/>
  <c r="T51" i="1"/>
  <c r="S51" i="1"/>
  <c r="Y51" i="1"/>
  <c r="Z51" i="1" s="1"/>
  <c r="T43" i="1"/>
  <c r="S43" i="1"/>
  <c r="Y43" i="1"/>
  <c r="Z43" i="1" s="1"/>
  <c r="T35" i="1"/>
  <c r="S35" i="1"/>
  <c r="Y35" i="1"/>
  <c r="Z35" i="1" s="1"/>
  <c r="T27" i="1"/>
  <c r="S27" i="1"/>
  <c r="Y27" i="1"/>
  <c r="Z27" i="1" s="1"/>
  <c r="S120" i="1"/>
  <c r="S104" i="1"/>
  <c r="S88" i="1"/>
  <c r="S72" i="1"/>
  <c r="S36" i="1"/>
  <c r="T40" i="1"/>
  <c r="Y117" i="1"/>
  <c r="Z117" i="1" s="1"/>
  <c r="T117" i="1"/>
  <c r="S117" i="1"/>
  <c r="Y37" i="1"/>
  <c r="Z37" i="1" s="1"/>
  <c r="T37" i="1"/>
  <c r="S37" i="1"/>
  <c r="H111" i="1"/>
  <c r="H103" i="1"/>
  <c r="H95" i="1"/>
  <c r="H87" i="1"/>
  <c r="H79" i="1"/>
  <c r="H71" i="1"/>
  <c r="H63" i="1"/>
  <c r="H51" i="1"/>
  <c r="H26" i="1"/>
  <c r="M93" i="1"/>
  <c r="N93" i="1" s="1"/>
  <c r="M68" i="1"/>
  <c r="N68" i="1" s="1"/>
  <c r="M54" i="1"/>
  <c r="N54" i="1" s="1"/>
  <c r="M29" i="1"/>
  <c r="N29" i="1" s="1"/>
  <c r="T120" i="1"/>
  <c r="T80" i="1"/>
  <c r="Y56" i="1"/>
  <c r="Z56" i="1" s="1"/>
  <c r="Y93" i="1"/>
  <c r="Z93" i="1" s="1"/>
  <c r="T93" i="1"/>
  <c r="S93" i="1"/>
  <c r="Y61" i="1"/>
  <c r="Z61" i="1" s="1"/>
  <c r="T61" i="1"/>
  <c r="S61" i="1"/>
  <c r="T23" i="1"/>
  <c r="G111" i="1"/>
  <c r="G103" i="1"/>
  <c r="G95" i="1"/>
  <c r="G87" i="1"/>
  <c r="G79" i="1"/>
  <c r="G71" i="1"/>
  <c r="G63" i="1"/>
  <c r="G55" i="1"/>
  <c r="G47" i="1"/>
  <c r="G38" i="1"/>
  <c r="G30" i="1"/>
  <c r="H110" i="1"/>
  <c r="H102" i="1"/>
  <c r="H94" i="1"/>
  <c r="H86" i="1"/>
  <c r="H78" i="1"/>
  <c r="H70" i="1"/>
  <c r="H62" i="1"/>
  <c r="H50" i="1"/>
  <c r="M92" i="1"/>
  <c r="N92" i="1" s="1"/>
  <c r="M78" i="1"/>
  <c r="N78" i="1" s="1"/>
  <c r="M53" i="1"/>
  <c r="N53" i="1" s="1"/>
  <c r="M41" i="1"/>
  <c r="N41" i="1" s="1"/>
  <c r="S121" i="1"/>
  <c r="Y121" i="1"/>
  <c r="Z121" i="1" s="1"/>
  <c r="S113" i="1"/>
  <c r="Y113" i="1"/>
  <c r="Z113" i="1" s="1"/>
  <c r="S105" i="1"/>
  <c r="Y105" i="1"/>
  <c r="Z105" i="1" s="1"/>
  <c r="T105" i="1"/>
  <c r="S97" i="1"/>
  <c r="Y97" i="1"/>
  <c r="Z97" i="1" s="1"/>
  <c r="T97" i="1"/>
  <c r="S89" i="1"/>
  <c r="Y89" i="1"/>
  <c r="Z89" i="1" s="1"/>
  <c r="T89" i="1"/>
  <c r="S81" i="1"/>
  <c r="Y81" i="1"/>
  <c r="Z81" i="1" s="1"/>
  <c r="T81" i="1"/>
  <c r="S73" i="1"/>
  <c r="Y73" i="1"/>
  <c r="Z73" i="1" s="1"/>
  <c r="T73" i="1"/>
  <c r="S65" i="1"/>
  <c r="Y65" i="1"/>
  <c r="Z65" i="1" s="1"/>
  <c r="T65" i="1"/>
  <c r="S57" i="1"/>
  <c r="Y57" i="1"/>
  <c r="Z57" i="1" s="1"/>
  <c r="T57" i="1"/>
  <c r="S49" i="1"/>
  <c r="Y49" i="1"/>
  <c r="Z49" i="1" s="1"/>
  <c r="T49" i="1"/>
  <c r="S41" i="1"/>
  <c r="Y41" i="1"/>
  <c r="Z41" i="1" s="1"/>
  <c r="T41" i="1"/>
  <c r="S33" i="1"/>
  <c r="Y33" i="1"/>
  <c r="Z33" i="1" s="1"/>
  <c r="T33" i="1"/>
  <c r="S25" i="1"/>
  <c r="Y25" i="1"/>
  <c r="Z25" i="1" s="1"/>
  <c r="T25" i="1"/>
  <c r="S52" i="1"/>
  <c r="T56" i="1"/>
  <c r="G39" i="1"/>
  <c r="M39" i="1"/>
  <c r="N39" i="1" s="1"/>
  <c r="Y85" i="1"/>
  <c r="Z85" i="1" s="1"/>
  <c r="T85" i="1"/>
  <c r="S85" i="1"/>
  <c r="G31" i="1"/>
  <c r="G102" i="1"/>
  <c r="G62" i="1"/>
  <c r="G54" i="1"/>
  <c r="G46" i="1"/>
  <c r="H101" i="1"/>
  <c r="H77" i="1"/>
  <c r="H35" i="1"/>
  <c r="M38" i="1"/>
  <c r="N38" i="1" s="1"/>
  <c r="S116" i="1"/>
  <c r="S100" i="1"/>
  <c r="S84" i="1"/>
  <c r="S68" i="1"/>
  <c r="S28" i="1"/>
  <c r="T96" i="1"/>
  <c r="Y112" i="1"/>
  <c r="Z112" i="1" s="1"/>
  <c r="Y80" i="1"/>
  <c r="Z80" i="1" s="1"/>
  <c r="Y48" i="1"/>
  <c r="Z48" i="1" s="1"/>
  <c r="H31" i="1"/>
  <c r="Y101" i="1"/>
  <c r="Z101" i="1" s="1"/>
  <c r="T101" i="1"/>
  <c r="S101" i="1"/>
  <c r="Y29" i="1"/>
  <c r="Z29" i="1" s="1"/>
  <c r="T29" i="1"/>
  <c r="S29" i="1"/>
  <c r="M104" i="1"/>
  <c r="N104" i="1" s="1"/>
  <c r="M96" i="1"/>
  <c r="N96" i="1" s="1"/>
  <c r="M88" i="1"/>
  <c r="N88" i="1" s="1"/>
  <c r="M80" i="1"/>
  <c r="N80" i="1" s="1"/>
  <c r="M72" i="1"/>
  <c r="N72" i="1" s="1"/>
  <c r="M64" i="1"/>
  <c r="N64" i="1" s="1"/>
  <c r="M56" i="1"/>
  <c r="N56" i="1" s="1"/>
  <c r="M48" i="1"/>
  <c r="N48" i="1" s="1"/>
  <c r="M40" i="1"/>
  <c r="N40" i="1" s="1"/>
  <c r="M32" i="1"/>
  <c r="N32" i="1" s="1"/>
  <c r="M24" i="1"/>
  <c r="N24" i="1" s="1"/>
  <c r="H76" i="1"/>
  <c r="H59" i="1"/>
  <c r="H47" i="1"/>
  <c r="M37" i="1"/>
  <c r="N37" i="1" s="1"/>
  <c r="M25" i="1"/>
  <c r="N25" i="1" s="1"/>
  <c r="Y119" i="1"/>
  <c r="Z119" i="1" s="1"/>
  <c r="Y111" i="1"/>
  <c r="Z111" i="1" s="1"/>
  <c r="Y103" i="1"/>
  <c r="Z103" i="1" s="1"/>
  <c r="Y95" i="1"/>
  <c r="Z95" i="1" s="1"/>
  <c r="Y87" i="1"/>
  <c r="Z87" i="1" s="1"/>
  <c r="Y79" i="1"/>
  <c r="Z79" i="1" s="1"/>
  <c r="Y71" i="1"/>
  <c r="Z71" i="1" s="1"/>
  <c r="Y63" i="1"/>
  <c r="Z63" i="1" s="1"/>
  <c r="Y55" i="1"/>
  <c r="Z55" i="1" s="1"/>
  <c r="Y47" i="1"/>
  <c r="Z47" i="1" s="1"/>
  <c r="Y39" i="1"/>
  <c r="Z39" i="1" s="1"/>
  <c r="Y31" i="1"/>
  <c r="Z31" i="1" s="1"/>
  <c r="T113" i="1"/>
  <c r="T119" i="1"/>
  <c r="T111" i="1"/>
  <c r="T103" i="1"/>
  <c r="T95" i="1"/>
  <c r="T87" i="1"/>
  <c r="T79" i="1"/>
  <c r="T71" i="1"/>
  <c r="T63" i="1"/>
  <c r="T55" i="1"/>
  <c r="T47" i="1"/>
  <c r="T39" i="1"/>
  <c r="T31" i="1"/>
  <c r="M23" i="1"/>
  <c r="N23" i="1" s="1"/>
  <c r="Y23" i="1"/>
  <c r="Z23" i="1" s="1"/>
  <c r="D22" i="1" l="1"/>
  <c r="G22" i="1" l="1"/>
  <c r="H22" i="1"/>
  <c r="P22" i="1" l="1"/>
  <c r="X7" i="1" l="1" a="1"/>
  <c r="X7" i="1" s="1"/>
  <c r="W7" i="1" a="1"/>
  <c r="W7" i="1" s="1"/>
  <c r="V7" i="1" a="1"/>
  <c r="V7" i="1" s="1"/>
  <c r="U7" i="1" a="1"/>
  <c r="U7" i="1" s="1"/>
  <c r="L7" i="1" a="1"/>
  <c r="L7" i="1" s="1"/>
  <c r="K7" i="1" a="1"/>
  <c r="K7" i="1" s="1"/>
  <c r="J7" i="1" a="1"/>
  <c r="J7" i="1" s="1"/>
  <c r="I7" i="1" a="1"/>
  <c r="I7" i="1" s="1"/>
  <c r="R7" i="1" a="1"/>
  <c r="R7" i="1" s="1"/>
  <c r="Q7" i="1" a="1"/>
  <c r="Q7" i="1" s="1"/>
  <c r="P7" i="1" a="1"/>
  <c r="P7" i="1" s="1"/>
  <c r="F7" i="1" a="1"/>
  <c r="F7" i="1" s="1"/>
  <c r="E7" i="1" a="1"/>
  <c r="E7" i="1" s="1"/>
  <c r="D7" i="1" l="1" a="1"/>
  <c r="D7" i="1" s="1"/>
  <c r="B22" i="1"/>
  <c r="C8" i="1"/>
  <c r="T22" i="1"/>
  <c r="C9" i="1" l="1"/>
  <c r="B9" i="1" s="1" a="1"/>
  <c r="B9" i="1" s="1"/>
  <c r="W8" i="1" a="1"/>
  <c r="W8" i="1" s="1"/>
  <c r="R8" i="1" a="1"/>
  <c r="R8" i="1" s="1"/>
  <c r="P8" i="1" a="1"/>
  <c r="P8" i="1" s="1"/>
  <c r="J8" i="1" a="1"/>
  <c r="J8" i="1" s="1"/>
  <c r="X8" i="1" a="1"/>
  <c r="X8" i="1" s="1"/>
  <c r="Q8" i="1" a="1"/>
  <c r="Q8" i="1" s="1"/>
  <c r="I8" i="1" a="1"/>
  <c r="I8" i="1" s="1"/>
  <c r="F8" i="1" a="1"/>
  <c r="F8" i="1" s="1"/>
  <c r="K8" i="1" a="1"/>
  <c r="K8" i="1" s="1"/>
  <c r="U8" i="1" a="1"/>
  <c r="U8" i="1" s="1"/>
  <c r="V8" i="1" a="1"/>
  <c r="V8" i="1" s="1"/>
  <c r="E8" i="1" a="1"/>
  <c r="E8" i="1" s="1"/>
  <c r="L8" i="1" a="1"/>
  <c r="L8" i="1" s="1"/>
  <c r="D8" i="1" a="1"/>
  <c r="D8" i="1" s="1"/>
  <c r="B7" i="1" a="1"/>
  <c r="B7" i="1" s="1"/>
  <c r="Y7" i="1" s="1"/>
  <c r="Z7" i="1" s="1"/>
  <c r="Y22" i="1"/>
  <c r="Z22" i="1" s="1"/>
  <c r="M22" i="1"/>
  <c r="N22" i="1" s="1"/>
  <c r="B8" i="1" a="1"/>
  <c r="B8" i="1" s="1"/>
  <c r="S22" i="1"/>
  <c r="C10" i="1" l="1"/>
  <c r="F9" i="1" a="1"/>
  <c r="F9" i="1" s="1"/>
  <c r="E9" i="1" a="1"/>
  <c r="E9" i="1" s="1"/>
  <c r="W9" i="1" a="1"/>
  <c r="W9" i="1" s="1"/>
  <c r="K9" i="1" a="1"/>
  <c r="K9" i="1" s="1"/>
  <c r="L9" i="1" a="1"/>
  <c r="L9" i="1" s="1"/>
  <c r="U9" i="1" a="1"/>
  <c r="U9" i="1" s="1"/>
  <c r="V9" i="1" a="1"/>
  <c r="V9" i="1" s="1"/>
  <c r="R9" i="1" a="1"/>
  <c r="R9" i="1" s="1"/>
  <c r="X9" i="1" a="1"/>
  <c r="X9" i="1" s="1"/>
  <c r="I9" i="1" a="1"/>
  <c r="I9" i="1" s="1"/>
  <c r="Q9" i="1" a="1"/>
  <c r="Q9" i="1" s="1"/>
  <c r="D9" i="1" a="1"/>
  <c r="D9" i="1" s="1"/>
  <c r="J9" i="1" a="1"/>
  <c r="J9" i="1" s="1"/>
  <c r="P9" i="1" a="1"/>
  <c r="P9" i="1" s="1"/>
  <c r="S7" i="1"/>
  <c r="T7" i="1"/>
  <c r="T8" i="1"/>
  <c r="M8" i="1"/>
  <c r="N8" i="1" s="1"/>
  <c r="Y8" i="1"/>
  <c r="Z8" i="1" s="1"/>
  <c r="H8" i="1"/>
  <c r="G7" i="1"/>
  <c r="M7" i="1"/>
  <c r="N7" i="1" s="1"/>
  <c r="S8" i="1"/>
  <c r="H7" i="1"/>
  <c r="G8" i="1"/>
  <c r="H9" i="1" l="1"/>
  <c r="S9" i="1"/>
  <c r="T9" i="1"/>
  <c r="M9" i="1"/>
  <c r="N9" i="1" s="1"/>
  <c r="G9" i="1"/>
  <c r="Y9" i="1"/>
  <c r="Z9" i="1" s="1"/>
  <c r="C11" i="1"/>
  <c r="P10" i="1" a="1"/>
  <c r="P10" i="1" s="1"/>
  <c r="W10" i="1" a="1"/>
  <c r="W10" i="1" s="1"/>
  <c r="I10" i="1" a="1"/>
  <c r="I10" i="1" s="1"/>
  <c r="R10" i="1" a="1"/>
  <c r="R10" i="1" s="1"/>
  <c r="F10" i="1" a="1"/>
  <c r="F10" i="1" s="1"/>
  <c r="E10" i="1" a="1"/>
  <c r="E10" i="1" s="1"/>
  <c r="J10" i="1" a="1"/>
  <c r="J10" i="1" s="1"/>
  <c r="X10" i="1" a="1"/>
  <c r="X10" i="1" s="1"/>
  <c r="K10" i="1" a="1"/>
  <c r="K10" i="1" s="1"/>
  <c r="U10" i="1" a="1"/>
  <c r="U10" i="1" s="1"/>
  <c r="V10" i="1" a="1"/>
  <c r="V10" i="1" s="1"/>
  <c r="D10" i="1" a="1"/>
  <c r="D10" i="1" s="1"/>
  <c r="Q10" i="1" a="1"/>
  <c r="Q10" i="1" s="1"/>
  <c r="L10" i="1" a="1"/>
  <c r="L10" i="1" s="1"/>
  <c r="B10" i="1" a="1"/>
  <c r="B10" i="1" s="1"/>
  <c r="G10" i="1" l="1"/>
  <c r="S10" i="1"/>
  <c r="H10" i="1"/>
  <c r="M10" i="1"/>
  <c r="N10" i="1" s="1"/>
  <c r="T10" i="1"/>
  <c r="Y10" i="1"/>
  <c r="Z10" i="1" s="1"/>
  <c r="C12" i="1"/>
  <c r="K11" i="1" a="1"/>
  <c r="K11" i="1" s="1"/>
  <c r="Q11" i="1" a="1"/>
  <c r="Q11" i="1" s="1"/>
  <c r="L11" i="1" a="1"/>
  <c r="L11" i="1" s="1"/>
  <c r="P11" i="1" a="1"/>
  <c r="P11" i="1" s="1"/>
  <c r="F11" i="1" a="1"/>
  <c r="F11" i="1" s="1"/>
  <c r="E11" i="1" a="1"/>
  <c r="E11" i="1" s="1"/>
  <c r="U11" i="1" a="1"/>
  <c r="U11" i="1" s="1"/>
  <c r="V11" i="1" a="1"/>
  <c r="V11" i="1" s="1"/>
  <c r="W11" i="1" a="1"/>
  <c r="W11" i="1" s="1"/>
  <c r="X11" i="1" a="1"/>
  <c r="X11" i="1" s="1"/>
  <c r="I11" i="1" a="1"/>
  <c r="I11" i="1" s="1"/>
  <c r="J11" i="1" a="1"/>
  <c r="J11" i="1" s="1"/>
  <c r="R11" i="1" a="1"/>
  <c r="R11" i="1" s="1"/>
  <c r="D11" i="1" a="1"/>
  <c r="D11" i="1" s="1"/>
  <c r="B11" i="1" a="1"/>
  <c r="B11" i="1" s="1"/>
  <c r="T11" i="1" l="1"/>
  <c r="H11" i="1"/>
  <c r="S11" i="1"/>
  <c r="C13" i="1"/>
  <c r="W12" i="1" a="1"/>
  <c r="W12" i="1" s="1"/>
  <c r="F12" i="1" a="1"/>
  <c r="F12" i="1" s="1"/>
  <c r="E12" i="1" a="1"/>
  <c r="E12" i="1" s="1"/>
  <c r="J12" i="1" a="1"/>
  <c r="J12" i="1" s="1"/>
  <c r="R12" i="1" a="1"/>
  <c r="R12" i="1" s="1"/>
  <c r="X12" i="1" a="1"/>
  <c r="X12" i="1" s="1"/>
  <c r="I12" i="1" a="1"/>
  <c r="I12" i="1" s="1"/>
  <c r="Q12" i="1" a="1"/>
  <c r="Q12" i="1" s="1"/>
  <c r="K12" i="1" a="1"/>
  <c r="K12" i="1" s="1"/>
  <c r="U12" i="1" a="1"/>
  <c r="U12" i="1" s="1"/>
  <c r="P12" i="1" a="1"/>
  <c r="P12" i="1" s="1"/>
  <c r="V12" i="1" a="1"/>
  <c r="V12" i="1" s="1"/>
  <c r="L12" i="1" a="1"/>
  <c r="L12" i="1" s="1"/>
  <c r="D12" i="1" a="1"/>
  <c r="D12" i="1" s="1"/>
  <c r="B12" i="1" a="1"/>
  <c r="B12" i="1" s="1"/>
  <c r="M11" i="1"/>
  <c r="N11" i="1" s="1"/>
  <c r="G11" i="1"/>
  <c r="Y11" i="1"/>
  <c r="Z11" i="1" s="1"/>
  <c r="H12" i="1" l="1"/>
  <c r="S12" i="1"/>
  <c r="M12" i="1"/>
  <c r="N12" i="1" s="1"/>
  <c r="T12" i="1"/>
  <c r="Y12" i="1"/>
  <c r="Z12" i="1" s="1"/>
  <c r="G12" i="1"/>
  <c r="K13" i="1" a="1"/>
  <c r="K13" i="1" s="1"/>
  <c r="D13" i="1" a="1"/>
  <c r="D13" i="1" s="1"/>
  <c r="Q13" i="1" a="1"/>
  <c r="Q13" i="1" s="1"/>
  <c r="L13" i="1" a="1"/>
  <c r="L13" i="1" s="1"/>
  <c r="R13" i="1" a="1"/>
  <c r="R13" i="1" s="1"/>
  <c r="U13" i="1" a="1"/>
  <c r="U13" i="1" s="1"/>
  <c r="V13" i="1" a="1"/>
  <c r="V13" i="1" s="1"/>
  <c r="X13" i="1" a="1"/>
  <c r="X13" i="1" s="1"/>
  <c r="I13" i="1" a="1"/>
  <c r="I13" i="1" s="1"/>
  <c r="J13" i="1" a="1"/>
  <c r="J13" i="1" s="1"/>
  <c r="F13" i="1" a="1"/>
  <c r="F13" i="1" s="1"/>
  <c r="E13" i="1" a="1"/>
  <c r="E13" i="1" s="1"/>
  <c r="P13" i="1" a="1"/>
  <c r="P13" i="1" s="1"/>
  <c r="W13" i="1" a="1"/>
  <c r="W13" i="1" s="1"/>
  <c r="C14" i="1"/>
  <c r="C15" i="1" s="1"/>
  <c r="C16" i="1" s="1"/>
  <c r="B13" i="1" a="1"/>
  <c r="B13" i="1" s="1"/>
  <c r="B16" i="1" l="1" a="1"/>
  <c r="D16" i="1" a="1"/>
  <c r="Q16" i="1" a="1"/>
  <c r="Q16" i="1" s="1"/>
  <c r="R16" i="1" a="1"/>
  <c r="R16" i="1" s="1"/>
  <c r="U16" i="1" a="1"/>
  <c r="U16" i="1" s="1"/>
  <c r="V16" i="1" a="1"/>
  <c r="V16" i="1" s="1"/>
  <c r="W16" i="1" a="1"/>
  <c r="W16" i="1" s="1"/>
  <c r="E16" i="1" a="1"/>
  <c r="E16" i="1" s="1"/>
  <c r="F16" i="1" a="1"/>
  <c r="F16" i="1" s="1"/>
  <c r="I16" i="1" a="1"/>
  <c r="I16" i="1" s="1"/>
  <c r="J16" i="1" a="1"/>
  <c r="J16" i="1" s="1"/>
  <c r="K16" i="1" a="1"/>
  <c r="K16" i="1" s="1"/>
  <c r="L16" i="1" a="1"/>
  <c r="L16" i="1" s="1"/>
  <c r="X16" i="1" a="1"/>
  <c r="X16" i="1" s="1"/>
  <c r="P16" i="1" a="1"/>
  <c r="P16" i="1" s="1"/>
  <c r="F15" i="1" a="1"/>
  <c r="F15" i="1" s="1"/>
  <c r="R15" i="1" a="1"/>
  <c r="R15" i="1" s="1"/>
  <c r="U15" i="1" a="1"/>
  <c r="U15" i="1" s="1"/>
  <c r="V15" i="1" a="1"/>
  <c r="V15" i="1" s="1"/>
  <c r="E15" i="1" a="1"/>
  <c r="E15" i="1" s="1"/>
  <c r="L15" i="1" a="1"/>
  <c r="L15" i="1" s="1"/>
  <c r="I15" i="1" a="1"/>
  <c r="I15" i="1" s="1"/>
  <c r="W15" i="1" a="1"/>
  <c r="W15" i="1" s="1"/>
  <c r="Q15" i="1" a="1"/>
  <c r="Q15" i="1" s="1"/>
  <c r="K15" i="1" a="1"/>
  <c r="K15" i="1" s="1"/>
  <c r="X15" i="1" a="1"/>
  <c r="X15" i="1" s="1"/>
  <c r="J15" i="1" a="1"/>
  <c r="J15" i="1" s="1"/>
  <c r="D15" i="1" a="1"/>
  <c r="P15" i="1" a="1"/>
  <c r="P15" i="1" s="1"/>
  <c r="B15" i="1" a="1"/>
  <c r="B15" i="1" s="1"/>
  <c r="Y13" i="1"/>
  <c r="Z13" i="1" s="1"/>
  <c r="H13" i="1"/>
  <c r="G13" i="1"/>
  <c r="T13" i="1"/>
  <c r="S13" i="1"/>
  <c r="M13" i="1"/>
  <c r="N13" i="1" s="1"/>
  <c r="W14" i="1" a="1"/>
  <c r="W14" i="1" s="1"/>
  <c r="K14" i="1" a="1"/>
  <c r="K14" i="1" s="1"/>
  <c r="P14" i="1" a="1"/>
  <c r="P14" i="1" s="1"/>
  <c r="X14" i="1" a="1"/>
  <c r="X14" i="1" s="1"/>
  <c r="L14" i="1" a="1"/>
  <c r="L14" i="1" s="1"/>
  <c r="B14" i="1" a="1"/>
  <c r="B14" i="1" s="1"/>
  <c r="U14" i="1" a="1"/>
  <c r="U14" i="1" s="1"/>
  <c r="I14" i="1" a="1"/>
  <c r="I14" i="1" s="1"/>
  <c r="R14" i="1" a="1"/>
  <c r="R14" i="1" s="1"/>
  <c r="F14" i="1" a="1"/>
  <c r="F14" i="1" s="1"/>
  <c r="E14" i="1" a="1"/>
  <c r="E14" i="1" s="1"/>
  <c r="V14" i="1" a="1"/>
  <c r="V14" i="1" s="1"/>
  <c r="J14" i="1" a="1"/>
  <c r="J14" i="1" s="1"/>
  <c r="Q14" i="1" a="1"/>
  <c r="Q14" i="1" s="1"/>
  <c r="D14" i="1" a="1"/>
  <c r="D14" i="1" s="1"/>
  <c r="Y16" i="1" l="1"/>
  <c r="Z16" i="1" s="1"/>
  <c r="T16" i="1"/>
  <c r="S16" i="1"/>
  <c r="T15" i="1"/>
  <c r="Y15" i="1"/>
  <c r="Z15" i="1" s="1"/>
  <c r="G15" i="1"/>
  <c r="S15" i="1"/>
  <c r="H15" i="1"/>
  <c r="G14" i="1"/>
  <c r="S14" i="1"/>
  <c r="T14" i="1"/>
  <c r="Y14" i="1"/>
  <c r="Z14" i="1" s="1"/>
  <c r="H14" i="1"/>
  <c r="M14" i="1"/>
  <c r="N14" i="1" s="1"/>
  <c r="M15" i="1" s="1"/>
  <c r="N15" i="1" s="1"/>
  <c r="G16" i="1" l="1"/>
  <c r="H16" i="1"/>
  <c r="M16" i="1"/>
  <c r="N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<sst xmlns="http://schemas.openxmlformats.org/spreadsheetml/2006/main" count="141" uniqueCount="39">
  <si>
    <t>MWh</t>
  </si>
  <si>
    <t>YACYHI TOTAL</t>
  </si>
  <si>
    <t>YACYHI ARG</t>
  </si>
  <si>
    <t>YACYHI PAR</t>
  </si>
  <si>
    <t>SGDEHI ARG</t>
  </si>
  <si>
    <t>SGDEHI URU</t>
  </si>
  <si>
    <t>SGDEHI TOTAL</t>
  </si>
  <si>
    <t>%</t>
  </si>
  <si>
    <t>MES</t>
  </si>
  <si>
    <t>m3/s</t>
  </si>
  <si>
    <t>msnm</t>
  </si>
  <si>
    <t>AÑO</t>
  </si>
  <si>
    <t>MWh/Hm3</t>
  </si>
  <si>
    <t>Cantidad días</t>
  </si>
  <si>
    <t>RENDIMIENTO</t>
  </si>
  <si>
    <t>REND YAC</t>
  </si>
  <si>
    <t>Participación YAC AR</t>
  </si>
  <si>
    <t>Participación YAC PY</t>
  </si>
  <si>
    <t>Participación SG AR</t>
  </si>
  <si>
    <t>Participación SG UY</t>
  </si>
  <si>
    <t>REND SG</t>
  </si>
  <si>
    <t>MW/(m3/s)</t>
  </si>
  <si>
    <t>DETALLE CENTRALES HI BINACIONALES</t>
  </si>
  <si>
    <t>Energía Generada NETA YACY</t>
  </si>
  <si>
    <t>Energía recibida YAC AR</t>
  </si>
  <si>
    <t>Energía recibida YAC PY</t>
  </si>
  <si>
    <t>Energía Generada NETA SGDE</t>
  </si>
  <si>
    <t>Energía recibida SG AR</t>
  </si>
  <si>
    <t>Energía recibida SG UY</t>
  </si>
  <si>
    <t>(*) Los vertidos estan sujetos a las condiciones operativas de ambos países</t>
  </si>
  <si>
    <t>Datos físicos según condiciones operativas entra ambos sistema</t>
  </si>
  <si>
    <t>TURBINADO YAC (promedio día)</t>
  </si>
  <si>
    <t>VERTIDO YAC (promedio día)</t>
  </si>
  <si>
    <t>COTA YAC (promedio día)</t>
  </si>
  <si>
    <t>ENTRANTE YAC  (promedio día)</t>
  </si>
  <si>
    <t>ENTRANTE SG  (promedio día)</t>
  </si>
  <si>
    <t>TURBINADO SG  (promedio día)</t>
  </si>
  <si>
    <t>VERTIDO SG (*)  (promedio día)</t>
  </si>
  <si>
    <t>COTA SG  (promedio día)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</si>
</sst>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0.0"/>
    <numFmt numFmtId="165" formatCode="_ * #,##0.00_ ;_ * \-#,##0.00_ ;_ * &quot;-&quot;??_ ;_ @_ "/>
    <numFmt numFmtId="166" formatCode="#,##0_ ;\-#,##0\ "/>
    <numFmt numFmtId="167" formatCode="#,##0.0"/>
  </numFmts>
  <fonts count="9" x14ac:knownFonts="1">
    <font>
      <sz val="11"/>
      <color theme="1"/>
      <name val="Proxima Nova Rg"/>
      <family val="2"/>
      <scheme val="minor"/>
    </font>
    <font>
      <sz val="11"/>
      <color theme="1"/>
      <name val="Proxima Nova Rg"/>
      <family val="2"/>
      <scheme val="minor"/>
    </font>
    <font>
      <b/>
      <sz val="11"/>
      <color theme="0"/>
      <name val="Proxima Nova Rg"/>
      <family val="3"/>
    </font>
    <font>
      <b/>
      <sz val="11"/>
      <color theme="1"/>
      <name val="Proxima Nova Rg"/>
      <family val="3"/>
    </font>
    <font>
      <sz val="10"/>
      <color theme="1"/>
      <name val="Proxima Nova Rg"/>
      <family val="3"/>
    </font>
    <font>
      <b/>
      <sz val="14"/>
      <color theme="0"/>
      <name val="Proxima Nova Rg"/>
      <family val="3"/>
    </font>
    <font>
      <b/>
      <sz val="11"/>
      <color indexed="18"/>
      <name val="Proxima Nova Rg"/>
      <family val="3"/>
    </font>
    <font>
      <sz val="11"/>
      <color theme="1"/>
      <name val="Proxima Nova Rg"/>
      <family val="3"/>
    </font>
    <font>
      <b/>
      <sz val="10"/>
      <color theme="1"/>
      <name val="Proxima Nova Rg"/>
      <family val="3"/>
    </font>
  </fonts>
  <fills count="6">
    <fill>
      <patternFill patternType="none"/>
    </fill>
    <fill>
      <patternFill patternType="gray125"/>
    </fill>
    <fill>
      <patternFill patternType="solid">
        <fgColor rgb="FFE23348"/>
        <bgColor theme="4"/>
      </patternFill>
    </fill>
    <fill>
      <patternFill patternType="solid">
        <fgColor rgb="FFF9D7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C7A"/>
        <bgColor theme="4"/>
      </patternFill>
    </fill>
  </fills>
  <borders count="3">
    <border>
      <left/>
      <right/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9" fontId="7" fillId="0" borderId="0" xfId="1" applyFont="1" applyAlignment="1">
      <alignment horizont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165" fontId="7" fillId="0" borderId="0" xfId="3" applyFont="1" applyAlignment="1">
      <alignment horizontal="center"/>
    </xf>
    <xf numFmtId="0" fontId="7" fillId="0" borderId="0" xfId="0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left"/>
    </xf>
    <xf numFmtId="166" fontId="7" fillId="0" borderId="0" xfId="2" applyNumberFormat="1" applyFont="1" applyAlignment="1">
      <alignment horizontal="center" vertical="center"/>
    </xf>
    <xf numFmtId="43" fontId="7" fillId="0" borderId="0" xfId="2" applyFont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7" fontId="7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 vertical="center"/>
    </xf>
  </cellXfs>
  <cellStyles count="4">
    <cellStyle name="Millares" xfId="2" builtinId="3"/>
    <cellStyle name="Millares 2" xfId="3" xr:uid="{00000000-0005-0000-0000-000001000000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AMMESA">
  <a:themeElements>
    <a:clrScheme name="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8"/>
  <sheetViews>
    <sheetView tabSelected="1" zoomScale="70" zoomScaleNormal="70" workbookViewId="0"/>
  </sheetViews>
  <sheetFormatPr baseColWidth="10" defaultColWidth="11.453125" defaultRowHeight="14.4" x14ac:dyDescent="0.3"/>
  <cols>
    <col min="1" max="3" width="11.453125" style="5"/>
    <col min="4" max="4" width="23.90625" style="5" customWidth="1"/>
    <col min="5" max="5" width="24.90625" style="5" customWidth="1"/>
    <col min="6" max="6" width="25.08984375" style="5" customWidth="1"/>
    <col min="7" max="7" width="23.81640625" style="5" customWidth="1"/>
    <col min="8" max="8" width="24.6328125" style="5" customWidth="1"/>
    <col min="9" max="9" width="18.08984375" style="5" customWidth="1"/>
    <col min="10" max="10" width="19.453125" style="5" customWidth="1"/>
    <col min="11" max="11" width="16.6328125" style="5" customWidth="1"/>
    <col min="12" max="12" width="17.6328125" style="5" customWidth="1"/>
    <col min="13" max="13" width="16.6328125" style="5" customWidth="1"/>
    <col min="14" max="14" width="17.36328125" style="5" customWidth="1"/>
    <col min="15" max="15" width="4.36328125" style="5" customWidth="1"/>
    <col min="16" max="16" width="26.453125" style="5" customWidth="1"/>
    <col min="17" max="17" width="27.81640625" style="5" customWidth="1"/>
    <col min="18" max="18" width="26.6328125" style="5" customWidth="1"/>
    <col min="19" max="19" width="23.81640625" style="5" customWidth="1"/>
    <col min="20" max="20" width="23.453125" style="5" customWidth="1"/>
    <col min="21" max="21" width="21.6328125" style="5" customWidth="1"/>
    <col min="22" max="22" width="16.90625" style="5" customWidth="1"/>
    <col min="23" max="23" width="20.90625" style="5" customWidth="1"/>
    <col min="24" max="24" width="16.453125" style="5" customWidth="1"/>
    <col min="25" max="25" width="16.90625" style="5" customWidth="1"/>
    <col min="26" max="26" width="20.1796875" style="5" customWidth="1"/>
    <col min="27" max="16384" width="11.453125" style="5"/>
  </cols>
  <sheetData>
    <row r="1" spans="1:26" ht="18.600000000000001" x14ac:dyDescent="0.3">
      <c r="A1" s="4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6" t="s">
        <v>30</v>
      </c>
      <c r="K2" s="13"/>
    </row>
    <row r="3" spans="1:26" x14ac:dyDescent="0.3">
      <c r="W3" s="20" t="s">
        <v>29</v>
      </c>
    </row>
    <row r="4" spans="1:26" ht="21" customHeight="1" x14ac:dyDescent="0.3">
      <c r="D4" s="1" t="s">
        <v>1</v>
      </c>
      <c r="E4" s="1" t="s">
        <v>2</v>
      </c>
      <c r="F4" s="1" t="s">
        <v>3</v>
      </c>
      <c r="G4" s="1" t="s">
        <v>2</v>
      </c>
      <c r="H4" s="1" t="s">
        <v>3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14</v>
      </c>
      <c r="N4" s="1" t="s">
        <v>14</v>
      </c>
      <c r="O4" s="1"/>
      <c r="P4" s="1" t="s">
        <v>6</v>
      </c>
      <c r="Q4" s="1" t="s">
        <v>4</v>
      </c>
      <c r="R4" s="1" t="s">
        <v>5</v>
      </c>
      <c r="S4" s="1" t="s">
        <v>4</v>
      </c>
      <c r="T4" s="1" t="s">
        <v>5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14</v>
      </c>
      <c r="Z4" s="1" t="s">
        <v>14</v>
      </c>
    </row>
    <row r="5" spans="1:26" x14ac:dyDescent="0.3">
      <c r="D5" s="3" t="s">
        <v>0</v>
      </c>
      <c r="E5" s="3" t="s">
        <v>0</v>
      </c>
      <c r="F5" s="3" t="s">
        <v>0</v>
      </c>
      <c r="G5" s="3" t="s">
        <v>7</v>
      </c>
      <c r="H5" s="3" t="s">
        <v>7</v>
      </c>
      <c r="I5" s="3" t="s">
        <v>9</v>
      </c>
      <c r="J5" s="3" t="s">
        <v>9</v>
      </c>
      <c r="K5" s="3" t="s">
        <v>9</v>
      </c>
      <c r="L5" s="3" t="s">
        <v>10</v>
      </c>
      <c r="M5" s="3" t="s">
        <v>12</v>
      </c>
      <c r="N5" s="3" t="s">
        <v>21</v>
      </c>
      <c r="O5" s="1"/>
      <c r="P5" s="3" t="s">
        <v>0</v>
      </c>
      <c r="Q5" s="3" t="s">
        <v>0</v>
      </c>
      <c r="R5" s="3" t="s">
        <v>0</v>
      </c>
      <c r="S5" s="3" t="s">
        <v>7</v>
      </c>
      <c r="T5" s="3" t="s">
        <v>7</v>
      </c>
      <c r="U5" s="3" t="s">
        <v>9</v>
      </c>
      <c r="V5" s="3" t="s">
        <v>9</v>
      </c>
      <c r="W5" s="3" t="s">
        <v>9</v>
      </c>
      <c r="X5" s="3" t="s">
        <v>10</v>
      </c>
      <c r="Y5" s="3" t="s">
        <v>12</v>
      </c>
      <c r="Z5" s="3" t="s">
        <v>21</v>
      </c>
    </row>
    <row r="6" spans="1:26" ht="28.8" x14ac:dyDescent="0.3">
      <c r="B6" s="2" t="s">
        <v>13</v>
      </c>
      <c r="C6" s="2" t="s">
        <v>11</v>
      </c>
      <c r="D6" s="2" t="s">
        <v>23</v>
      </c>
      <c r="E6" s="2" t="s">
        <v>24</v>
      </c>
      <c r="F6" s="2" t="s">
        <v>25</v>
      </c>
      <c r="G6" s="2" t="s">
        <v>16</v>
      </c>
      <c r="H6" s="2" t="s">
        <v>17</v>
      </c>
      <c r="I6" s="2" t="s">
        <v>34</v>
      </c>
      <c r="J6" s="2" t="s">
        <v>31</v>
      </c>
      <c r="K6" s="2" t="s">
        <v>32</v>
      </c>
      <c r="L6" s="2" t="s">
        <v>33</v>
      </c>
      <c r="M6" s="2" t="s">
        <v>15</v>
      </c>
      <c r="N6" s="2" t="s">
        <v>15</v>
      </c>
      <c r="O6" s="1"/>
      <c r="P6" s="2" t="s">
        <v>26</v>
      </c>
      <c r="Q6" s="2" t="s">
        <v>27</v>
      </c>
      <c r="R6" s="2" t="s">
        <v>28</v>
      </c>
      <c r="S6" s="2" t="s">
        <v>18</v>
      </c>
      <c r="T6" s="2" t="s">
        <v>19</v>
      </c>
      <c r="U6" s="2" t="s">
        <v>35</v>
      </c>
      <c r="V6" s="2" t="s">
        <v>36</v>
      </c>
      <c r="W6" s="2" t="s">
        <v>37</v>
      </c>
      <c r="X6" s="2" t="s">
        <v>38</v>
      </c>
      <c r="Y6" s="2" t="s">
        <v>20</v>
      </c>
      <c r="Z6" s="2" t="s">
        <v>20</v>
      </c>
    </row>
    <row r="7" spans="1:26" x14ac:dyDescent="0.3">
      <c r="B7" s="6">
        <f t="array" ref="B7">SUM(IF($C7=$A$22:$A$109,B$22:B$109))</f>
        <v>365</v>
      </c>
      <c r="C7" s="5">
        <v>2017</v>
      </c>
      <c r="D7" s="7">
        <f t="array" ref="D7">SUM(IF($C7=$A$22:$A$149,D$22:D$149))</f>
        <v>20827677.943</v>
      </c>
      <c r="E7" s="8">
        <f t="array" ref="E7">SUM(IF($C7=$A$22:$A$149,E$22:E$149))</f>
        <v>19591122.042999998</v>
      </c>
      <c r="F7" s="8">
        <f t="array" ref="F7">SUM(IF($C7=$A$22:$A$149,F$22:F$149))</f>
        <v>1236555.9000000001</v>
      </c>
      <c r="G7" s="9">
        <f t="shared" ref="G7:G14" si="0">+E7/D7</f>
        <v>0.94062920007769768</v>
      </c>
      <c r="H7" s="9">
        <f t="shared" ref="H7:H14" si="1">+F7/D7</f>
        <v>5.9370799922302223E-2</v>
      </c>
      <c r="I7" s="7">
        <f t="array" ref="I7">AVERAGE(IF($C7=$A$22:$A$149,I$22:I$149))</f>
        <v>14517.157930107531</v>
      </c>
      <c r="J7" s="7">
        <f t="array" ref="J7">AVERAGE(IF($C7=$A$22:$A$149,J$22:J$149))</f>
        <v>11970.249138504863</v>
      </c>
      <c r="K7" s="7">
        <f t="array" ref="K7">AVERAGE(IF($C7=$A$22:$A$149,K$22:K$149))</f>
        <v>2551.3747759856633</v>
      </c>
      <c r="L7" s="10">
        <f t="array" ref="L7">AVERAGE(IF($C7=$A$22:$A$149,L$22:L$149))</f>
        <v>82.935296594982091</v>
      </c>
      <c r="M7" s="10">
        <f t="shared" ref="M7:M14" si="2">+D7/B7/0.0864/J7</f>
        <v>55.173566350671955</v>
      </c>
      <c r="N7" s="11">
        <f>+M7*3600/1000000</f>
        <v>0.19862483886241905</v>
      </c>
      <c r="O7" s="1"/>
      <c r="P7" s="7">
        <f t="array" ref="P7">SUM(IF($C7=$A$22:$A$149,P$22:P$149))</f>
        <v>9850420.7449999992</v>
      </c>
      <c r="Q7" s="7">
        <f t="array" ref="Q7">SUM(IF($C7=$A$22:$A$149,Q$22:Q$149))</f>
        <v>5160321.9960000003</v>
      </c>
      <c r="R7" s="7">
        <f t="array" ref="R7">SUM(IF($C7=$A$22:$A$149,R$22:R$149))</f>
        <v>4690098.7489999998</v>
      </c>
      <c r="S7" s="9">
        <f t="shared" ref="S7:S14" si="3">+Q7/P7</f>
        <v>0.5238681808205341</v>
      </c>
      <c r="T7" s="9">
        <f t="shared" ref="T7:T14" si="4">+R7/P7</f>
        <v>0.47613181917946595</v>
      </c>
      <c r="U7" s="6">
        <f t="array" ref="U7">AVERAGE(IF($C7=$A$22:$A$149,U$22:U$149))</f>
        <v>7616.3422619047624</v>
      </c>
      <c r="V7" s="7">
        <f t="array" ref="V7">AVERAGE(IF($C7=$A$22:$A$149,V$22:V$149))</f>
        <v>5419.5648335893493</v>
      </c>
      <c r="W7" s="7">
        <f t="array" ref="W7">AVERAGE(IF($C7=$A$22:$A$149,W$22:W$149))</f>
        <v>2186.4506093189966</v>
      </c>
      <c r="X7" s="10">
        <f t="array" ref="X7">AVERAGE(IF($C7=$A$22:$A$149,X$22:X$149))</f>
        <v>34.797133320532517</v>
      </c>
      <c r="Y7" s="10">
        <f t="shared" ref="Y7:Y14" si="5">+P7/B7/0.0864/V7</f>
        <v>57.634662997404973</v>
      </c>
      <c r="Z7" s="11">
        <f>+Y7*3600/1000000</f>
        <v>0.2074847867906579</v>
      </c>
    </row>
    <row r="8" spans="1:26" x14ac:dyDescent="0.3">
      <c r="B8" s="6">
        <f t="array" ref="B8">SUM(IF($C8=$A$22:$A$109,B$22:B$109))</f>
        <v>365</v>
      </c>
      <c r="C8" s="5">
        <f t="shared" ref="C8:C16" si="6">+C7+1</f>
        <v>2018</v>
      </c>
      <c r="D8" s="7">
        <f t="array" ref="D8">SUM(IF($C8=$A$22:$A$149,D$22:D$149))</f>
        <v>19469989.938000001</v>
      </c>
      <c r="E8" s="8">
        <f t="array" ref="E8">SUM(IF($C8=$A$22:$A$149,E$22:E$149))</f>
        <v>18993338.188999999</v>
      </c>
      <c r="F8" s="8">
        <f t="array" ref="F8">SUM(IF($C8=$A$22:$A$149,F$22:F$149))</f>
        <v>476651.74899999995</v>
      </c>
      <c r="G8" s="9">
        <f t="shared" si="0"/>
        <v>0.97551864430758073</v>
      </c>
      <c r="H8" s="9">
        <f t="shared" si="1"/>
        <v>2.4481355692419153E-2</v>
      </c>
      <c r="I8" s="7">
        <f t="array" ref="I8">AVERAGE(IF($C8=$A$22:$A$149,I$22:I$149))</f>
        <v>13674.05975422427</v>
      </c>
      <c r="J8" s="7">
        <f t="array" ref="J8">AVERAGE(IF($C8=$A$22:$A$149,J$22:J$149))</f>
        <v>11252.149193548385</v>
      </c>
      <c r="K8" s="7">
        <f t="array" ref="K8">AVERAGE(IF($C8=$A$22:$A$149,K$22:K$149))</f>
        <v>2480.0623271889403</v>
      </c>
      <c r="L8" s="10">
        <f t="array" ref="L8">AVERAGE(IF($C8=$A$22:$A$149,L$22:L$149))</f>
        <v>82.896131912442385</v>
      </c>
      <c r="M8" s="10">
        <f t="shared" si="2"/>
        <v>54.868569571932127</v>
      </c>
      <c r="N8" s="11">
        <f t="shared" ref="N8:N14" si="7">+M8*3600/1000000</f>
        <v>0.19752685045895566</v>
      </c>
      <c r="O8" s="1"/>
      <c r="P8" s="7">
        <f t="array" ref="P8">SUM(IF($C8=$A$22:$A$149,P$22:P$149))</f>
        <v>8208114.9479999999</v>
      </c>
      <c r="Q8" s="7">
        <f t="array" ref="Q8">SUM(IF($C8=$A$22:$A$149,Q$22:Q$149))</f>
        <v>4379191.4369999999</v>
      </c>
      <c r="R8" s="7">
        <f t="array" ref="R8">SUM(IF($C8=$A$22:$A$149,R$22:R$149))</f>
        <v>3828923.5109999999</v>
      </c>
      <c r="S8" s="9">
        <f t="shared" si="3"/>
        <v>0.53351975024022291</v>
      </c>
      <c r="T8" s="9">
        <f t="shared" si="4"/>
        <v>0.46648024975977714</v>
      </c>
      <c r="U8" s="6">
        <f t="array" ref="U8">AVERAGE(IF($C8=$A$22:$A$149,U$22:U$149))</f>
        <v>4602.6231502816181</v>
      </c>
      <c r="V8" s="7">
        <f t="array" ref="V8">AVERAGE(IF($C8=$A$22:$A$149,V$22:V$149))</f>
        <v>4294.234418842806</v>
      </c>
      <c r="W8" s="7">
        <f t="array" ref="W8">AVERAGE(IF($C8=$A$22:$A$149,W$22:W$149))</f>
        <v>219.22867383512542</v>
      </c>
      <c r="X8" s="10">
        <f t="array" ref="X8">AVERAGE(IF($C8=$A$22:$A$149,X$22:X$149))</f>
        <v>33.861295890937015</v>
      </c>
      <c r="Y8" s="10">
        <f t="shared" si="5"/>
        <v>60.610947655262677</v>
      </c>
      <c r="Z8" s="11">
        <f t="shared" ref="Z8:Z14" si="8">+Y8*3600/1000000</f>
        <v>0.21819941155894562</v>
      </c>
    </row>
    <row r="9" spans="1:26" x14ac:dyDescent="0.3">
      <c r="B9" s="6">
        <f t="array" ref="B9">SUM(IF($C9=$A$22:$A$109,B$22:B$109))</f>
        <v>365</v>
      </c>
      <c r="C9" s="5">
        <f t="shared" si="6"/>
        <v>2019</v>
      </c>
      <c r="D9" s="7">
        <f t="array" ref="D9">SUM(IF($C9=$A$22:$A$149,D$22:D$149))</f>
        <v>17280554.907999996</v>
      </c>
      <c r="E9" s="8">
        <f t="array" ref="E9">SUM(IF($C9=$A$22:$A$149,E$22:E$149))</f>
        <v>16077788.655000001</v>
      </c>
      <c r="F9" s="8">
        <f t="array" ref="F9">SUM(IF($C9=$A$22:$A$149,F$22:F$149))</f>
        <v>1202766.253</v>
      </c>
      <c r="G9" s="9">
        <f t="shared" si="0"/>
        <v>0.93039770658966647</v>
      </c>
      <c r="H9" s="9">
        <f t="shared" si="1"/>
        <v>6.9602293410333832E-2</v>
      </c>
      <c r="I9" s="7">
        <f t="array" ref="I9">AVERAGE(IF($C9=$A$22:$A$149,I$22:I$149))</f>
        <v>10896.535106246798</v>
      </c>
      <c r="J9" s="7">
        <f t="array" ref="J9">AVERAGE(IF($C9=$A$22:$A$149,J$22:J$149))</f>
        <v>9797.2110983102921</v>
      </c>
      <c r="K9" s="7">
        <f t="array" ref="K9">AVERAGE(IF($C9=$A$22:$A$149,K$22:K$149))</f>
        <v>1095.806112391193</v>
      </c>
      <c r="L9" s="10">
        <f t="array" ref="L9">AVERAGE(IF($C9=$A$22:$A$149,L$22:L$149))</f>
        <v>82.885241103430616</v>
      </c>
      <c r="M9" s="10">
        <f t="shared" si="2"/>
        <v>55.93048838063806</v>
      </c>
      <c r="N9" s="11">
        <f t="shared" si="7"/>
        <v>0.20134975817029702</v>
      </c>
      <c r="O9" s="1"/>
      <c r="P9" s="7">
        <f t="array" ref="P9">SUM(IF($C9=$A$22:$A$149,P$22:P$149))</f>
        <v>9219197.8140000012</v>
      </c>
      <c r="Q9" s="7">
        <f t="array" ref="Q9">SUM(IF($C9=$A$22:$A$149,Q$22:Q$149))</f>
        <v>4709296.2979999995</v>
      </c>
      <c r="R9" s="7">
        <f t="array" ref="R9">SUM(IF($C9=$A$22:$A$149,R$22:R$149))</f>
        <v>4509901.5159999998</v>
      </c>
      <c r="S9" s="9">
        <f t="shared" si="3"/>
        <v>0.51081410693331708</v>
      </c>
      <c r="T9" s="9">
        <f t="shared" si="4"/>
        <v>0.48918589306668275</v>
      </c>
      <c r="U9" s="6">
        <f t="array" ref="U9">AVERAGE(IF($C9=$A$22:$A$149,U$22:U$149))</f>
        <v>6214.642069892474</v>
      </c>
      <c r="V9" s="7">
        <f t="array" ref="V9">AVERAGE(IF($C9=$A$22:$A$149,V$22:V$149))</f>
        <v>4947.8771057347676</v>
      </c>
      <c r="W9" s="7">
        <f t="array" ref="W9">AVERAGE(IF($C9=$A$22:$A$149,W$22:W$149))</f>
        <v>1250.82379672299</v>
      </c>
      <c r="X9" s="10">
        <f t="array" ref="X9">AVERAGE(IF($C9=$A$22:$A$149,X$22:X$149))</f>
        <v>34.354667562724018</v>
      </c>
      <c r="Y9" s="10">
        <f t="shared" si="5"/>
        <v>59.083691589729654</v>
      </c>
      <c r="Z9" s="11">
        <f t="shared" si="8"/>
        <v>0.21270128972302674</v>
      </c>
    </row>
    <row r="10" spans="1:26" x14ac:dyDescent="0.3">
      <c r="B10" s="6">
        <f t="array" ref="B10">SUM(IF($C10=$A$22:$A$109,B$22:B$109))</f>
        <v>366</v>
      </c>
      <c r="C10" s="5">
        <f t="shared" si="6"/>
        <v>2020</v>
      </c>
      <c r="D10" s="7">
        <f t="array" ref="D10">SUM(IF($C10=$A$22:$A$149,D$22:D$149))</f>
        <v>14855011.246000001</v>
      </c>
      <c r="E10" s="8">
        <f t="array" ref="E10">SUM(IF($C10=$A$22:$A$149,E$22:E$149))</f>
        <v>13193000.198000001</v>
      </c>
      <c r="F10" s="8">
        <f t="array" ref="F10">SUM(IF($C10=$A$22:$A$149,F$22:F$149))</f>
        <v>1662011.0480000002</v>
      </c>
      <c r="G10" s="9">
        <f t="shared" si="0"/>
        <v>0.88811781960464498</v>
      </c>
      <c r="H10" s="9">
        <f t="shared" si="1"/>
        <v>0.11188218039535505</v>
      </c>
      <c r="I10" s="7">
        <f t="array" ref="I10">AVERAGE(IF($C10=$A$22:$A$149,I$22:I$149))</f>
        <v>9289.4164163885798</v>
      </c>
      <c r="J10" s="7">
        <f t="array" ref="J10">AVERAGE(IF($C10=$A$22:$A$149,J$22:J$149))</f>
        <v>8264.0012668396976</v>
      </c>
      <c r="K10" s="7">
        <f t="array" ref="K10">AVERAGE(IF($C10=$A$22:$A$149,K$22:K$149))</f>
        <v>1018.4567667779015</v>
      </c>
      <c r="L10" s="10">
        <f t="array" ref="L10">AVERAGE(IF($C10=$A$22:$A$149,L$22:L$149))</f>
        <v>82.832220862686924</v>
      </c>
      <c r="M10" s="10">
        <f t="shared" si="2"/>
        <v>56.844412454486204</v>
      </c>
      <c r="N10" s="11">
        <f t="shared" si="7"/>
        <v>0.20463988483615034</v>
      </c>
      <c r="O10" s="1"/>
      <c r="P10" s="7">
        <f t="array" ref="P10">SUM(IF($C10=$A$22:$A$149,P$22:P$149))</f>
        <v>4993462.5630000001</v>
      </c>
      <c r="Q10" s="7">
        <f t="array" ref="Q10">SUM(IF($C10=$A$22:$A$149,Q$22:Q$149))</f>
        <v>2534411.0330000008</v>
      </c>
      <c r="R10" s="7">
        <f t="array" ref="R10">SUM(IF($C10=$A$22:$A$149,R$22:R$149))</f>
        <v>2459051.5299999998</v>
      </c>
      <c r="S10" s="9">
        <f t="shared" si="3"/>
        <v>0.50754581635981333</v>
      </c>
      <c r="T10" s="9">
        <f t="shared" si="4"/>
        <v>0.49245418364018678</v>
      </c>
      <c r="U10" s="6">
        <f t="array" ref="U10">AVERAGE(IF($C10=$A$22:$A$149,U$22:U$149))</f>
        <v>2592.8233098504516</v>
      </c>
      <c r="V10" s="7">
        <f t="array" ref="V10">AVERAGE(IF($C10=$A$22:$A$149,V$22:V$149))</f>
        <v>2507.7035570386847</v>
      </c>
      <c r="W10" s="7">
        <f t="array" ref="W10">AVERAGE(IF($C10=$A$22:$A$149,W$22:W$149))</f>
        <v>41.133333333333333</v>
      </c>
      <c r="X10" s="10">
        <f t="array" ref="X10">AVERAGE(IF($C10=$A$22:$A$149,X$22:X$149))</f>
        <v>33.462967062167849</v>
      </c>
      <c r="Y10" s="10">
        <f t="shared" si="5"/>
        <v>62.969576776410683</v>
      </c>
      <c r="Z10" s="11">
        <f t="shared" si="8"/>
        <v>0.22669047639507847</v>
      </c>
    </row>
    <row r="11" spans="1:26" x14ac:dyDescent="0.3">
      <c r="B11" s="6">
        <f t="array" ref="B11">SUM(IF($C11=$A$22:$A$109,B$22:B$109))</f>
        <v>365</v>
      </c>
      <c r="C11" s="5">
        <f t="shared" si="6"/>
        <v>2021</v>
      </c>
      <c r="D11" s="7">
        <f t="array" ref="D11">SUM(IF($C11=$A$22:$A$149,D$22:D$149))</f>
        <v>13371850.976</v>
      </c>
      <c r="E11" s="8">
        <f t="array" ref="E11">SUM(IF($C11=$A$22:$A$149,E$22:E$149))</f>
        <v>11058583.978</v>
      </c>
      <c r="F11" s="8">
        <f t="array" ref="F11">SUM(IF($C11=$A$22:$A$149,F$22:F$149))</f>
        <v>2313266.9980000006</v>
      </c>
      <c r="G11" s="9">
        <f t="shared" si="0"/>
        <v>0.82700472790551682</v>
      </c>
      <c r="H11" s="9">
        <f t="shared" si="1"/>
        <v>0.1729952720944832</v>
      </c>
      <c r="I11" s="7">
        <f t="array" ref="I11">AVERAGE(IF($C11=$A$22:$A$149,I$22:I$149))</f>
        <v>8516.2802483358937</v>
      </c>
      <c r="J11" s="7">
        <f t="array" ref="J11">AVERAGE(IF($C11=$A$22:$A$149,J$22:J$149))</f>
        <v>7338.6145993343571</v>
      </c>
      <c r="K11" s="7">
        <f t="array" ref="K11">AVERAGE(IF($C11=$A$22:$A$149,K$22:K$149))</f>
        <v>1025.081061187916</v>
      </c>
      <c r="L11" s="10">
        <f t="array" ref="L11">AVERAGE(IF($C11=$A$22:$A$149,L$22:L$149))</f>
        <v>82.818489183307733</v>
      </c>
      <c r="M11" s="10">
        <f t="shared" si="2"/>
        <v>57.779109005849641</v>
      </c>
      <c r="N11" s="11">
        <f t="shared" si="7"/>
        <v>0.20800479242105868</v>
      </c>
      <c r="O11" s="1"/>
      <c r="P11" s="7">
        <f t="array" ref="P11">SUM(IF($C11=$A$22:$A$149,P$22:P$149))</f>
        <v>5573618.4350000005</v>
      </c>
      <c r="Q11" s="7">
        <f t="array" ref="Q11">SUM(IF($C11=$A$22:$A$149,Q$22:Q$149))</f>
        <v>2780629.6640000003</v>
      </c>
      <c r="R11" s="7">
        <f t="array" ref="R11">SUM(IF($C11=$A$22:$A$149,R$22:R$149))</f>
        <v>2792988.7710000002</v>
      </c>
      <c r="S11" s="9">
        <f t="shared" si="3"/>
        <v>0.49889128515486547</v>
      </c>
      <c r="T11" s="9">
        <f t="shared" si="4"/>
        <v>0.50110871484513453</v>
      </c>
      <c r="U11" s="6">
        <f t="array" ref="U11">AVERAGE(IF($C11=$A$22:$A$149,U$22:U$149))</f>
        <v>2894.5198348694321</v>
      </c>
      <c r="V11" s="7">
        <f t="array" ref="V11">AVERAGE(IF($C11=$A$22:$A$149,V$22:V$149))</f>
        <v>2830.6340866615465</v>
      </c>
      <c r="W11" s="7">
        <f t="array" ref="W11">AVERAGE(IF($C11=$A$22:$A$149,W$22:W$149))</f>
        <v>2.5188172043010755</v>
      </c>
      <c r="X11" s="10">
        <f t="array" ref="X11">AVERAGE(IF($C11=$A$22:$A$149,X$22:X$149))</f>
        <v>33.348625256016383</v>
      </c>
      <c r="Y11" s="10">
        <f t="shared" si="5"/>
        <v>62.437699737860108</v>
      </c>
      <c r="Z11" s="11">
        <f t="shared" si="8"/>
        <v>0.2247757190562964</v>
      </c>
    </row>
    <row r="12" spans="1:26" x14ac:dyDescent="0.3">
      <c r="B12" s="6">
        <f t="array" ref="B12">SUM(IF($C12=$A$22:$A$109,B$22:B$109))</f>
        <v>365</v>
      </c>
      <c r="C12" s="5">
        <f t="shared" si="6"/>
        <v>2022</v>
      </c>
      <c r="D12" s="7">
        <f t="array" ref="D12">SUM(IF($C12=$A$22:$A$149,D$22:D$149))</f>
        <v>16130887.384</v>
      </c>
      <c r="E12" s="8">
        <f t="array" ref="E12">SUM(IF($C12=$A$22:$A$149,E$22:E$149))</f>
        <v>14132681.004999999</v>
      </c>
      <c r="F12" s="8">
        <f t="array" ref="F12">SUM(IF($C12=$A$22:$A$149,F$22:F$149))</f>
        <v>1998206.379</v>
      </c>
      <c r="G12" s="9">
        <f t="shared" si="0"/>
        <v>0.87612545228094563</v>
      </c>
      <c r="H12" s="9">
        <f t="shared" si="1"/>
        <v>0.12387454771905436</v>
      </c>
      <c r="I12" s="7">
        <f t="array" ref="I12">AVERAGE(IF($C12=$A$22:$A$149,I$22:I$149))</f>
        <v>10361.761367127496</v>
      </c>
      <c r="J12" s="7">
        <f t="array" ref="J12">AVERAGE(IF($C12=$A$22:$A$149,J$22:J$149))</f>
        <v>9057.8514528929863</v>
      </c>
      <c r="K12" s="7">
        <f t="array" ref="K12">AVERAGE(IF($C12=$A$22:$A$149,K$22:K$149))</f>
        <v>1236.5487455197131</v>
      </c>
      <c r="L12" s="10">
        <f t="array" ref="L12">AVERAGE(IF($C12=$A$22:$A$149,L$22:L$149))</f>
        <v>82.85449270353304</v>
      </c>
      <c r="M12" s="10">
        <f t="shared" si="2"/>
        <v>56.471127410331093</v>
      </c>
      <c r="N12" s="11">
        <f t="shared" si="7"/>
        <v>0.20329605867719194</v>
      </c>
      <c r="O12" s="1"/>
      <c r="P12" s="7">
        <f t="array" ref="P12">SUM(IF($C12=$A$22:$A$149,P$22:P$149))</f>
        <v>7357501.1090000011</v>
      </c>
      <c r="Q12" s="7">
        <f t="array" ref="Q12">SUM(IF($C12=$A$22:$A$149,Q$22:Q$149))</f>
        <v>3798345.7210000008</v>
      </c>
      <c r="R12" s="7">
        <f t="array" ref="R12">SUM(IF($C12=$A$22:$A$149,R$22:R$149))</f>
        <v>3559155.3880000003</v>
      </c>
      <c r="S12" s="9">
        <f t="shared" si="3"/>
        <v>0.51625486217782646</v>
      </c>
      <c r="T12" s="9">
        <f t="shared" si="4"/>
        <v>0.48374513782217354</v>
      </c>
      <c r="U12" s="6">
        <f t="array" ref="U12">AVERAGE(IF($C12=$A$22:$A$149,U$22:U$149))</f>
        <v>4625.1989759344597</v>
      </c>
      <c r="V12" s="7">
        <f t="array" ref="V12">AVERAGE(IF($C12=$A$22:$A$149,V$22:V$149))</f>
        <v>3882.88491999488</v>
      </c>
      <c r="W12" s="7">
        <f t="array" ref="W12">AVERAGE(IF($C12=$A$22:$A$149,W$22:W$149))</f>
        <v>538.38575268817203</v>
      </c>
      <c r="X12" s="10">
        <f t="array" ref="X12">AVERAGE(IF($C12=$A$22:$A$149,X$22:X$149))</f>
        <v>33.681464285714284</v>
      </c>
      <c r="Y12" s="10">
        <f t="shared" si="5"/>
        <v>60.08543505508139</v>
      </c>
      <c r="Z12" s="11">
        <f t="shared" si="8"/>
        <v>0.216307566198293</v>
      </c>
    </row>
    <row r="13" spans="1:26" x14ac:dyDescent="0.3">
      <c r="B13" s="6">
        <f t="array" ref="B13">SUM(IF($C13=$A$22:$A$109,B$22:B$109))</f>
        <v>365</v>
      </c>
      <c r="C13" s="5">
        <f t="shared" si="6"/>
        <v>2023</v>
      </c>
      <c r="D13" s="7">
        <f t="array" ref="D13">SUM(IF($C13=$A$22:$A$149,D$22:D$149))</f>
        <v>19918052.893000003</v>
      </c>
      <c r="E13" s="8">
        <f t="array" ref="E13">SUM(IF($C13=$A$22:$A$149,E$22:E$149))</f>
        <v>18033434.218000002</v>
      </c>
      <c r="F13" s="8">
        <f t="array" ref="F13">SUM(IF($C13=$A$22:$A$149,F$22:F$149))</f>
        <v>1884618.6750000003</v>
      </c>
      <c r="G13" s="9">
        <f t="shared" si="0"/>
        <v>0.90538138014171399</v>
      </c>
      <c r="H13" s="9">
        <f t="shared" si="1"/>
        <v>9.4618619858285971E-2</v>
      </c>
      <c r="I13" s="7">
        <f t="array" ref="I13">AVERAGE(IF($C13=$A$22:$A$149,I$22:I$149))</f>
        <v>14624.524404761905</v>
      </c>
      <c r="J13" s="7">
        <f t="array" ref="J13">AVERAGE(IF($C13=$A$22:$A$149,J$22:J$149))</f>
        <v>11587.120686123913</v>
      </c>
      <c r="K13" s="7">
        <f t="array" ref="K13">AVERAGE(IF($C13=$A$22:$A$149,K$22:K$149))</f>
        <v>3076.3843061955963</v>
      </c>
      <c r="L13" s="10">
        <f t="array" ref="L13">AVERAGE(IF($C13=$A$22:$A$149,L$22:L$149))</f>
        <v>82.843496735791078</v>
      </c>
      <c r="M13" s="10">
        <f t="shared" si="2"/>
        <v>54.508564385198476</v>
      </c>
      <c r="N13" s="11">
        <f t="shared" si="7"/>
        <v>0.19623083178671452</v>
      </c>
      <c r="O13" s="1"/>
      <c r="P13" s="7">
        <f t="array" ref="P13">SUM(IF($C13=$A$22:$A$149,P$22:P$149))</f>
        <v>5425160.7580000004</v>
      </c>
      <c r="Q13" s="7">
        <f t="array" ref="Q13">SUM(IF($C13=$A$22:$A$149,Q$22:Q$149))</f>
        <v>3189576.8999999994</v>
      </c>
      <c r="R13" s="7">
        <f t="array" ref="R13">SUM(IF($C13=$A$22:$A$149,R$22:R$149))</f>
        <v>2235583.858</v>
      </c>
      <c r="S13" s="9">
        <f t="shared" si="3"/>
        <v>0.5879230205845265</v>
      </c>
      <c r="T13" s="9">
        <f t="shared" si="4"/>
        <v>0.41207697941547333</v>
      </c>
      <c r="U13" s="6">
        <f t="array" ref="U13">AVERAGE(IF($C13=$A$22:$A$149,U$22:U$149))</f>
        <v>7148.8019713261665</v>
      </c>
      <c r="V13" s="7">
        <f t="array" ref="V13">AVERAGE(IF($C13=$A$22:$A$149,V$22:V$149))</f>
        <v>3199.7381803635435</v>
      </c>
      <c r="W13" s="7">
        <f t="array" ref="W13">AVERAGE(IF($C13=$A$22:$A$149,W$22:W$149))</f>
        <v>3738.4647849462363</v>
      </c>
      <c r="X13" s="10">
        <f t="array" ref="X13">AVERAGE(IF($C13=$A$22:$A$149,X$22:X$149))</f>
        <v>33.169316564260114</v>
      </c>
      <c r="Y13" s="10">
        <f t="shared" si="5"/>
        <v>53.763998620386204</v>
      </c>
      <c r="Z13" s="11">
        <f t="shared" si="8"/>
        <v>0.19355039503339033</v>
      </c>
    </row>
    <row r="14" spans="1:26" x14ac:dyDescent="0.3">
      <c r="B14" s="6">
        <f t="array" ref="B14">SUM(IF($C14=$A$22:$A$149,B$22:B$149))</f>
        <v>366</v>
      </c>
      <c r="C14" s="5">
        <f t="shared" si="6"/>
        <v>2024</v>
      </c>
      <c r="D14" s="7">
        <f t="array" ref="D14">SUM(IF($C14=$A$22:$A$149,D$22:D$149))</f>
        <v>16071744.362</v>
      </c>
      <c r="E14" s="8">
        <f t="array" ref="E14">SUM(IF($C14=$A$22:$A$149,E$22:E$149))</f>
        <v>10964503.947999999</v>
      </c>
      <c r="F14" s="8">
        <f t="array" ref="F14">SUM(IF($C14=$A$22:$A$149,F$22:F$149))</f>
        <v>5107240.4139999999</v>
      </c>
      <c r="G14" s="9">
        <f t="shared" si="0"/>
        <v>0.68222239609064772</v>
      </c>
      <c r="H14" s="9">
        <f t="shared" si="1"/>
        <v>0.31777760390935217</v>
      </c>
      <c r="I14" s="7">
        <f t="array" ref="I14">AVERAGE(IF($C14=$A$22:$A$149,I$22:I$149))</f>
        <v>9352.1221975034005</v>
      </c>
      <c r="J14" s="7">
        <f t="array" ref="J14">AVERAGE(IF($C14=$A$22:$A$149,J$22:J$149))</f>
        <v>8298.1933629959203</v>
      </c>
      <c r="K14" s="7">
        <f t="array" ref="K14">AVERAGE(IF($C14=$A$22:$A$149,K$22:K$149))</f>
        <v>983.4519342479299</v>
      </c>
      <c r="L14" s="10">
        <f t="array" ref="L14">AVERAGE(IF($C14=$A$22:$A$149,L$22:L$149))</f>
        <v>80.033189191694476</v>
      </c>
      <c r="M14" s="10">
        <f t="shared" si="2"/>
        <v>61.246974135762621</v>
      </c>
      <c r="N14" s="11">
        <f t="shared" si="7"/>
        <v>0.22048910688874546</v>
      </c>
      <c r="O14" s="1"/>
      <c r="P14" s="7">
        <f t="array" ref="P14">SUM(IF($C14=$A$22:$A$149,P$22:P$149))</f>
        <v>9599469.2200000007</v>
      </c>
      <c r="Q14" s="7">
        <f t="array" ref="Q14">SUM(IF($C14=$A$22:$A$149,Q$22:Q$149))</f>
        <v>5346268.5440000007</v>
      </c>
      <c r="R14" s="7">
        <f t="array" ref="R14">SUM(IF($C14=$A$22:$A$149,R$22:R$149))</f>
        <v>4253200.676</v>
      </c>
      <c r="S14" s="9">
        <f t="shared" si="3"/>
        <v>0.55693376596919808</v>
      </c>
      <c r="T14" s="9">
        <f t="shared" si="4"/>
        <v>0.44306623403080192</v>
      </c>
      <c r="U14" s="6">
        <f t="array" ref="U14">AVERAGE(IF($C14=$A$22:$A$149,U$22:U$149))</f>
        <v>7448.9601656161176</v>
      </c>
      <c r="V14" s="7">
        <f t="array" ref="V14">AVERAGE(IF($C14=$A$22:$A$149,V$22:V$149))</f>
        <v>5209.3846502286478</v>
      </c>
      <c r="W14" s="7">
        <f t="array" ref="W14">AVERAGE(IF($C14=$A$22:$A$149,W$22:W$149))</f>
        <v>2131.1356352737607</v>
      </c>
      <c r="X14" s="10">
        <f t="array" ref="X14">AVERAGE(IF($C14=$A$22:$A$149,X$22:X$149))</f>
        <v>34.564122389074278</v>
      </c>
      <c r="Y14" s="10">
        <f t="shared" si="5"/>
        <v>58.272810752187773</v>
      </c>
      <c r="Z14" s="11">
        <f t="shared" si="8"/>
        <v>0.20978211870787597</v>
      </c>
    </row>
    <row r="15" spans="1:26" x14ac:dyDescent="0.3">
      <c r="B15" s="6">
        <f t="array" ref="B15">SUM(IF($C15=$A$22:$A$149,B$22:B$149))</f>
        <v>365</v>
      </c>
      <c r="C15" s="5">
        <f t="shared" si="6"/>
        <v>2025</v>
      </c>
      <c r="D15" s="7" cm="1">
        <f t="array" ref="D15">SUM(IF($C15=$A$22:$A$149,D$22:D$149))</f>
        <v>16101470.252000002</v>
      </c>
      <c r="E15" s="8">
        <f t="array" ref="E15">SUM(IF($C15=$A$22:$A$149,E$22:E$149))</f>
        <v>13022151.137</v>
      </c>
      <c r="F15" s="8">
        <f t="array" ref="F15">SUM(IF($C15=$A$22:$A$149,F$22:F$149))</f>
        <v>3079319.1150000002</v>
      </c>
      <c r="G15" s="9">
        <f t="shared" ref="G15" si="9">+E15/D15</f>
        <v>0.80875540762387754</v>
      </c>
      <c r="H15" s="9">
        <f t="shared" ref="H15" si="10">+F15/D15</f>
        <v>0.19124459237612235</v>
      </c>
      <c r="I15" s="7">
        <f t="array" ref="I15">AVERAGE(IF($C15=$A$22:$A$149,I$22:I$149))</f>
        <v>10297.733755760368</v>
      </c>
      <c r="J15" s="7">
        <f t="array" ref="J15">AVERAGE(IF($C15=$A$22:$A$149,J$22:J$149))</f>
        <v>9167.2661418330772</v>
      </c>
      <c r="K15" s="7">
        <f t="array" ref="K15">AVERAGE(IF($C15=$A$22:$A$149,K$22:K$149))</f>
        <v>1109.2835253456219</v>
      </c>
      <c r="L15" s="10">
        <f t="array" ref="L15">AVERAGE(IF($C15=$A$22:$A$149,L$22:L$149))</f>
        <v>82.834123335893494</v>
      </c>
      <c r="M15" s="10">
        <f t="shared" ref="M15" si="11">+D15/B15/0.0864/J15</f>
        <v>55.695369199960815</v>
      </c>
      <c r="N15" s="11">
        <f t="shared" ref="N15" si="12">+M15*3600/1000000</f>
        <v>0.20050332911985894</v>
      </c>
      <c r="O15" s="1"/>
      <c r="P15" s="7">
        <f t="array" ref="P15">SUM(IF($C15=$A$22:$A$149,P$22:P$149))</f>
        <v>7974661.1620000005</v>
      </c>
      <c r="Q15" s="7">
        <f t="array" ref="Q15">SUM(IF($C15=$A$22:$A$149,Q$22:Q$149))</f>
        <v>4180175.8869999996</v>
      </c>
      <c r="R15" s="7">
        <f t="array" ref="R15">SUM(IF($C15=$A$22:$A$149,R$22:R$149))</f>
        <v>3794485.2750000004</v>
      </c>
      <c r="S15" s="9">
        <f t="shared" ref="S15" si="13">+Q15/P15</f>
        <v>0.52418225703669086</v>
      </c>
      <c r="T15" s="9">
        <f t="shared" ref="T15" si="14">+R15/P15</f>
        <v>0.47581774296330914</v>
      </c>
      <c r="U15" s="6">
        <f t="array" ref="U15">AVERAGE(IF($C15=$A$22:$A$149,U$22:U$149))</f>
        <v>5691.5467933947766</v>
      </c>
      <c r="V15" s="7">
        <f t="array" ref="V15">AVERAGE(IF($C15=$A$22:$A$149,V$22:V$149))</f>
        <v>4347.3151574500771</v>
      </c>
      <c r="W15" s="7">
        <f t="array" ref="W15">AVERAGE(IF($C15=$A$22:$A$149,W$22:W$149))</f>
        <v>1282.0487455197133</v>
      </c>
      <c r="X15" s="10">
        <f t="array" ref="X15">AVERAGE(IF($C15=$A$22:$A$149,X$22:X$149))</f>
        <v>34.354794994879676</v>
      </c>
      <c r="Y15" s="10">
        <f t="shared" ref="Y15" si="15">+P15/B15/0.0864/V15</f>
        <v>58.168050263084773</v>
      </c>
      <c r="Z15" s="11">
        <f t="shared" ref="Z15" si="16">+Y15*3600/1000000</f>
        <v>0.20940498094710519</v>
      </c>
    </row>
    <row r="16" spans="1:26" x14ac:dyDescent="0.3">
      <c r="B16" s="6" cm="1">
        <f t="array" ref="B16">SUM(IF($C16=$A$22:$A$149,B$22:B$149))</f>
        <v>273</v>
      </c>
      <c r="C16" s="5">
        <f t="shared" si="6"/>
        <v>2026</v>
      </c>
      <c r="D16" s="7" cm="1">
        <f t="array" ref="D16">SUM(IF($C16=$A$22:$A$149,D$22:D$149))</f>
        <v>12989187.210000001</v>
      </c>
      <c r="E16" s="8">
        <f t="array" ref="E16">SUM(IF($C16=$A$22:$A$149,E$22:E$149))</f>
        <v>10454261.059999999</v>
      </c>
      <c r="F16" s="8">
        <f t="array" ref="F16">SUM(IF($C16=$A$22:$A$149,F$22:F$149))</f>
        <v>2534926.15</v>
      </c>
      <c r="G16" s="9">
        <f t="shared" ref="G16" si="17">+E16/D16</f>
        <v>0.80484335863229106</v>
      </c>
      <c r="H16" s="9">
        <f t="shared" ref="H16" si="18">+F16/D16</f>
        <v>0.19515664136770877</v>
      </c>
      <c r="I16" s="7">
        <f t="array" ref="I16">AVERAGE(IF($C16=$A$22:$A$149,I$22:I$149))</f>
        <v>11136.87266994888</v>
      </c>
      <c r="J16" s="7">
        <f t="array" ref="J16">AVERAGE(IF($C16=$A$22:$A$149,J$22:J$149))</f>
        <v>9680.400101396739</v>
      </c>
      <c r="K16" s="7">
        <f t="array" ref="K16">AVERAGE(IF($C16=$A$22:$A$149,K$22:K$149))</f>
        <v>1404.14936179901</v>
      </c>
      <c r="L16" s="10">
        <f t="array" ref="L16">AVERAGE(IF($C16=$A$22:$A$149,L$22:L$149))</f>
        <v>82.564008437884965</v>
      </c>
      <c r="M16" s="10">
        <f t="shared" ref="M16" si="19">+D16/B16/0.0864/J16</f>
        <v>56.886901472092624</v>
      </c>
      <c r="N16" s="11">
        <f t="shared" ref="N16" si="20">+M16*3600/1000000</f>
        <v>0.20479284529953345</v>
      </c>
      <c r="O16" s="1"/>
      <c r="P16" s="7">
        <f t="array" ref="P16">SUM(IF($C16=$A$22:$A$149,P$22:P$149))</f>
        <v>6301447.0099999998</v>
      </c>
      <c r="Q16" s="7">
        <f t="array" ref="Q16">SUM(IF($C16=$A$22:$A$149,Q$22:Q$149))</f>
        <v>3275563.46</v>
      </c>
      <c r="R16" s="7">
        <f t="array" ref="R16">SUM(IF($C16=$A$22:$A$149,R$22:R$149))</f>
        <v>3025883.55</v>
      </c>
      <c r="S16" s="9">
        <f t="shared" ref="S16" si="21">+Q16/P16</f>
        <v>0.5198113155283044</v>
      </c>
      <c r="T16" s="9">
        <f t="shared" ref="T16" si="22">+R16/P16</f>
        <v>0.48018868447169566</v>
      </c>
      <c r="U16" s="6">
        <f t="array" ref="U16">AVERAGE(IF($C16=$A$22:$A$149,U$22:U$149))</f>
        <v>5404.5851364197169</v>
      </c>
      <c r="V16" s="7">
        <f t="array" ref="V16">AVERAGE(IF($C16=$A$22:$A$149,V$22:V$149))</f>
        <v>4509.5379064225253</v>
      </c>
      <c r="W16" s="7">
        <f t="array" ref="W16">AVERAGE(IF($C16=$A$22:$A$149,W$22:W$149))</f>
        <v>811.91913789850969</v>
      </c>
      <c r="X16" s="10">
        <f t="array" ref="X16">AVERAGE(IF($C16=$A$22:$A$149,X$22:X$149))</f>
        <v>34.03813519356418</v>
      </c>
      <c r="Y16" s="10">
        <f t="shared" ref="Y16" si="23">+P16/B16/0.0864/V16</f>
        <v>59.242292645920742</v>
      </c>
      <c r="Z16" s="11">
        <f t="shared" ref="Z16" si="24">+Y16*3600/1000000</f>
        <v>0.21327225352531468</v>
      </c>
    </row>
    <row r="18" spans="1:66" x14ac:dyDescent="0.3">
      <c r="W18" s="20" t="s">
        <v>29</v>
      </c>
    </row>
    <row r="19" spans="1:66" x14ac:dyDescent="0.3">
      <c r="D19" s="1" t="s">
        <v>1</v>
      </c>
      <c r="E19" s="1" t="s">
        <v>2</v>
      </c>
      <c r="F19" s="1" t="s">
        <v>3</v>
      </c>
      <c r="G19" s="1" t="s">
        <v>2</v>
      </c>
      <c r="H19" s="1" t="s">
        <v>3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14</v>
      </c>
      <c r="N19" s="1" t="s">
        <v>14</v>
      </c>
      <c r="O19" s="1"/>
      <c r="P19" s="1" t="s">
        <v>6</v>
      </c>
      <c r="Q19" s="1" t="s">
        <v>4</v>
      </c>
      <c r="R19" s="1" t="s">
        <v>5</v>
      </c>
      <c r="S19" s="1" t="s">
        <v>4</v>
      </c>
      <c r="T19" s="1" t="s">
        <v>5</v>
      </c>
      <c r="U19" s="1" t="s">
        <v>6</v>
      </c>
      <c r="V19" s="1" t="s">
        <v>6</v>
      </c>
      <c r="W19" s="1" t="s">
        <v>6</v>
      </c>
      <c r="X19" s="1" t="s">
        <v>6</v>
      </c>
      <c r="Y19" s="1" t="s">
        <v>14</v>
      </c>
      <c r="Z19" s="1" t="s">
        <v>14</v>
      </c>
    </row>
    <row r="20" spans="1:66" x14ac:dyDescent="0.3">
      <c r="D20" s="3" t="s">
        <v>0</v>
      </c>
      <c r="E20" s="3" t="s">
        <v>0</v>
      </c>
      <c r="F20" s="3" t="s">
        <v>0</v>
      </c>
      <c r="G20" s="3" t="s">
        <v>7</v>
      </c>
      <c r="H20" s="3" t="s">
        <v>7</v>
      </c>
      <c r="I20" s="3" t="s">
        <v>9</v>
      </c>
      <c r="J20" s="3" t="s">
        <v>9</v>
      </c>
      <c r="K20" s="3" t="s">
        <v>9</v>
      </c>
      <c r="L20" s="3" t="s">
        <v>10</v>
      </c>
      <c r="M20" s="3" t="s">
        <v>12</v>
      </c>
      <c r="N20" s="3" t="s">
        <v>21</v>
      </c>
      <c r="O20" s="1"/>
      <c r="P20" s="3" t="s">
        <v>0</v>
      </c>
      <c r="Q20" s="3" t="s">
        <v>0</v>
      </c>
      <c r="R20" s="3" t="s">
        <v>0</v>
      </c>
      <c r="S20" s="3" t="s">
        <v>7</v>
      </c>
      <c r="T20" s="3" t="s">
        <v>7</v>
      </c>
      <c r="U20" s="3" t="s">
        <v>9</v>
      </c>
      <c r="V20" s="3" t="s">
        <v>9</v>
      </c>
      <c r="W20" s="3" t="s">
        <v>9</v>
      </c>
      <c r="X20" s="3" t="s">
        <v>10</v>
      </c>
      <c r="Y20" s="3" t="s">
        <v>12</v>
      </c>
      <c r="Z20" s="3" t="s">
        <v>21</v>
      </c>
    </row>
    <row r="21" spans="1:66" ht="28.8" x14ac:dyDescent="0.3">
      <c r="A21" s="2" t="s">
        <v>11</v>
      </c>
      <c r="B21" s="2" t="s">
        <v>13</v>
      </c>
      <c r="C21" s="2" t="s">
        <v>8</v>
      </c>
      <c r="D21" s="2" t="s">
        <v>23</v>
      </c>
      <c r="E21" s="2" t="s">
        <v>24</v>
      </c>
      <c r="F21" s="2" t="s">
        <v>25</v>
      </c>
      <c r="G21" s="2" t="s">
        <v>16</v>
      </c>
      <c r="H21" s="2" t="s">
        <v>17</v>
      </c>
      <c r="I21" s="2" t="s">
        <v>34</v>
      </c>
      <c r="J21" s="2" t="s">
        <v>31</v>
      </c>
      <c r="K21" s="2" t="s">
        <v>32</v>
      </c>
      <c r="L21" s="2" t="s">
        <v>33</v>
      </c>
      <c r="M21" s="2" t="s">
        <v>15</v>
      </c>
      <c r="N21" s="2" t="s">
        <v>15</v>
      </c>
      <c r="O21" s="1"/>
      <c r="P21" s="2" t="s">
        <v>26</v>
      </c>
      <c r="Q21" s="2" t="s">
        <v>27</v>
      </c>
      <c r="R21" s="2" t="s">
        <v>28</v>
      </c>
      <c r="S21" s="2" t="s">
        <v>18</v>
      </c>
      <c r="T21" s="2" t="s">
        <v>19</v>
      </c>
      <c r="U21" s="2" t="s">
        <v>35</v>
      </c>
      <c r="V21" s="2" t="s">
        <v>36</v>
      </c>
      <c r="W21" s="2" t="s">
        <v>37</v>
      </c>
      <c r="X21" s="2" t="s">
        <v>38</v>
      </c>
      <c r="Y21" s="2" t="s">
        <v>20</v>
      </c>
      <c r="Z21" s="2" t="s">
        <v>20</v>
      </c>
    </row>
    <row r="22" spans="1:66" x14ac:dyDescent="0.3">
      <c r="A22" s="14">
        <v>2017</v>
      </c>
      <c r="B22" s="17">
        <f>+C23-C22</f>
        <v>31</v>
      </c>
      <c r="C22" s="15">
        <v>42736</v>
      </c>
      <c r="D22" s="7">
        <f>SUM(E22:F22)</f>
        <v>1874300.06</v>
      </c>
      <c r="E22" s="8">
        <v>1611995.76</v>
      </c>
      <c r="F22" s="8">
        <v>262304.30000000005</v>
      </c>
      <c r="G22" s="9">
        <f>+E22/D22</f>
        <v>0.86005213060709174</v>
      </c>
      <c r="H22" s="9">
        <f>+F22/D22</f>
        <v>0.13994786939290821</v>
      </c>
      <c r="I22" s="7">
        <v>14219.064516129032</v>
      </c>
      <c r="J22" s="7">
        <v>12565.935483870968</v>
      </c>
      <c r="K22" s="7">
        <v>1676.9677419354839</v>
      </c>
      <c r="L22" s="10">
        <v>83.223870967741902</v>
      </c>
      <c r="M22" s="10">
        <f>+D22/B22/0.0864/J22</f>
        <v>55.688927904117328</v>
      </c>
      <c r="N22" s="11">
        <f t="shared" ref="N22:N85" si="25">+M22*3600/1000000</f>
        <v>0.2004801404548224</v>
      </c>
      <c r="O22" s="1"/>
      <c r="P22" s="7">
        <f>+SUM(Q22:R22)</f>
        <v>868278.42999999993</v>
      </c>
      <c r="Q22" s="7">
        <v>443729.18099999998</v>
      </c>
      <c r="R22" s="7">
        <v>424549.24900000001</v>
      </c>
      <c r="S22" s="9">
        <f>+Q22/P22</f>
        <v>0.5110448050632791</v>
      </c>
      <c r="T22" s="9">
        <f>+R22/P22</f>
        <v>0.48895519493672096</v>
      </c>
      <c r="U22" s="7">
        <v>6230.5483870967746</v>
      </c>
      <c r="V22" s="7">
        <v>5262.9096774193549</v>
      </c>
      <c r="W22" s="7">
        <v>438.35483870967744</v>
      </c>
      <c r="X22" s="10">
        <v>34.448387096774205</v>
      </c>
      <c r="Y22" s="10">
        <f t="shared" ref="Y22:Y85" si="26">+P22/B22/0.0864/V22</f>
        <v>61.596730287432926</v>
      </c>
      <c r="Z22" s="11">
        <f t="shared" ref="Z22:Z85" si="27">+Y22*3600/1000000</f>
        <v>0.22174822903475852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 spans="1:66" x14ac:dyDescent="0.3">
      <c r="A23" s="14">
        <v>2017</v>
      </c>
      <c r="B23" s="17">
        <f t="shared" ref="B23:B86" si="28">+C24-C23</f>
        <v>28</v>
      </c>
      <c r="C23" s="15">
        <v>42767</v>
      </c>
      <c r="D23" s="7">
        <f t="shared" ref="D23:D86" si="29">SUM(E23:F23)</f>
        <v>1695068.11</v>
      </c>
      <c r="E23" s="8">
        <v>1465603.21</v>
      </c>
      <c r="F23" s="8">
        <v>229464.90000000014</v>
      </c>
      <c r="G23" s="9">
        <f t="shared" ref="G23:G86" si="30">+E23/D23</f>
        <v>0.86462791751772139</v>
      </c>
      <c r="H23" s="9">
        <f t="shared" ref="H23:H86" si="31">+F23/D23</f>
        <v>0.13537208248227861</v>
      </c>
      <c r="I23" s="7">
        <v>15079.25</v>
      </c>
      <c r="J23" s="7">
        <v>12553.214285714286</v>
      </c>
      <c r="K23" s="7">
        <v>2601.75</v>
      </c>
      <c r="L23" s="10">
        <v>83.264999999999986</v>
      </c>
      <c r="M23" s="10">
        <f t="shared" ref="M23:M86" si="32">+D23/B23/0.0864/J23</f>
        <v>55.816221985663148</v>
      </c>
      <c r="N23" s="11">
        <f t="shared" si="25"/>
        <v>0.20093839914838735</v>
      </c>
      <c r="O23" s="1"/>
      <c r="P23" s="7">
        <f t="shared" ref="P23:P86" si="33">+SUM(Q23:R23)</f>
        <v>733912.29399999999</v>
      </c>
      <c r="Q23" s="7">
        <v>383370.13299999997</v>
      </c>
      <c r="R23" s="7">
        <v>350542.16100000002</v>
      </c>
      <c r="S23" s="9">
        <f t="shared" ref="S23:S86" si="34">+Q23/P23</f>
        <v>0.52236505115691656</v>
      </c>
      <c r="T23" s="9">
        <f t="shared" ref="T23:T86" si="35">+R23/P23</f>
        <v>0.47763494884308344</v>
      </c>
      <c r="U23" s="7">
        <v>4885.1071428571431</v>
      </c>
      <c r="V23" s="7">
        <v>4921.9571428571426</v>
      </c>
      <c r="W23" s="7">
        <v>0</v>
      </c>
      <c r="X23" s="10">
        <v>34.31964285714286</v>
      </c>
      <c r="Y23" s="10">
        <f t="shared" si="26"/>
        <v>61.63601626697298</v>
      </c>
      <c r="Z23" s="11">
        <f t="shared" si="27"/>
        <v>0.22188965856110274</v>
      </c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</row>
    <row r="24" spans="1:66" x14ac:dyDescent="0.3">
      <c r="A24" s="14">
        <v>2017</v>
      </c>
      <c r="B24" s="17">
        <f t="shared" si="28"/>
        <v>31</v>
      </c>
      <c r="C24" s="15">
        <v>42795</v>
      </c>
      <c r="D24" s="7">
        <f t="shared" si="29"/>
        <v>1843918.1360000002</v>
      </c>
      <c r="E24" s="8">
        <v>1632388.236</v>
      </c>
      <c r="F24" s="8">
        <v>211529.90000000014</v>
      </c>
      <c r="G24" s="9">
        <f t="shared" si="30"/>
        <v>0.88528238001993376</v>
      </c>
      <c r="H24" s="9">
        <f t="shared" si="31"/>
        <v>0.11471761998006626</v>
      </c>
      <c r="I24" s="7">
        <v>14183.677419354839</v>
      </c>
      <c r="J24" s="7">
        <v>12333.548387096775</v>
      </c>
      <c r="K24" s="7">
        <v>1879.6129032258063</v>
      </c>
      <c r="L24" s="10">
        <v>83.211935483870974</v>
      </c>
      <c r="M24" s="10">
        <f t="shared" si="32"/>
        <v>55.818499483686232</v>
      </c>
      <c r="N24" s="11">
        <f t="shared" si="25"/>
        <v>0.20094659814127042</v>
      </c>
      <c r="O24" s="1"/>
      <c r="P24" s="7">
        <f t="shared" si="33"/>
        <v>875809.06499999994</v>
      </c>
      <c r="Q24" s="7">
        <v>477559.18599999999</v>
      </c>
      <c r="R24" s="7">
        <v>398249.87900000002</v>
      </c>
      <c r="S24" s="9">
        <f t="shared" si="34"/>
        <v>0.54527773813348235</v>
      </c>
      <c r="T24" s="9">
        <f t="shared" si="35"/>
        <v>0.45472226186651771</v>
      </c>
      <c r="U24" s="7">
        <v>5679.5483870967746</v>
      </c>
      <c r="V24" s="7">
        <v>5260.6935483870966</v>
      </c>
      <c r="W24" s="7">
        <v>529.80645161290317</v>
      </c>
      <c r="X24" s="10">
        <v>34.95129032258064</v>
      </c>
      <c r="Y24" s="10">
        <f t="shared" si="26"/>
        <v>62.157136113265778</v>
      </c>
      <c r="Z24" s="11">
        <f t="shared" si="27"/>
        <v>0.22376569000775681</v>
      </c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  <row r="25" spans="1:66" x14ac:dyDescent="0.3">
      <c r="A25" s="14">
        <v>2017</v>
      </c>
      <c r="B25" s="17">
        <f t="shared" si="28"/>
        <v>30</v>
      </c>
      <c r="C25" s="15">
        <v>42826</v>
      </c>
      <c r="D25" s="7">
        <f t="shared" si="29"/>
        <v>1694060.0419999999</v>
      </c>
      <c r="E25" s="8">
        <v>1604904.5419999999</v>
      </c>
      <c r="F25" s="8">
        <v>89155.5</v>
      </c>
      <c r="G25" s="9">
        <f t="shared" si="30"/>
        <v>0.94737170006398153</v>
      </c>
      <c r="H25" s="9">
        <f t="shared" si="31"/>
        <v>5.2628299936018447E-2</v>
      </c>
      <c r="I25" s="7">
        <v>13722.266666666666</v>
      </c>
      <c r="J25" s="7">
        <v>11724.536666666665</v>
      </c>
      <c r="K25" s="7">
        <v>2347.1999999999998</v>
      </c>
      <c r="L25" s="10">
        <v>83.183333333333337</v>
      </c>
      <c r="M25" s="10">
        <f t="shared" si="32"/>
        <v>55.74399787805983</v>
      </c>
      <c r="N25" s="11">
        <f t="shared" si="25"/>
        <v>0.20067839236101537</v>
      </c>
      <c r="O25" s="1"/>
      <c r="P25" s="7">
        <f t="shared" si="33"/>
        <v>769694.196</v>
      </c>
      <c r="Q25" s="7">
        <v>425707.04100000003</v>
      </c>
      <c r="R25" s="7">
        <v>343987.15500000003</v>
      </c>
      <c r="S25" s="9">
        <f t="shared" si="34"/>
        <v>0.55308594401821376</v>
      </c>
      <c r="T25" s="9">
        <f t="shared" si="35"/>
        <v>0.44691405598178635</v>
      </c>
      <c r="U25" s="7">
        <v>8711.9</v>
      </c>
      <c r="V25" s="7">
        <v>5251.7666666666664</v>
      </c>
      <c r="W25" s="7">
        <v>3526.9666666666667</v>
      </c>
      <c r="X25" s="10">
        <v>34.666333333333334</v>
      </c>
      <c r="Y25" s="10">
        <f t="shared" si="26"/>
        <v>56.542862648688946</v>
      </c>
      <c r="Z25" s="11">
        <f t="shared" si="27"/>
        <v>0.2035543055352802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</row>
    <row r="26" spans="1:66" x14ac:dyDescent="0.3">
      <c r="A26" s="14">
        <v>2017</v>
      </c>
      <c r="B26" s="17">
        <f t="shared" si="28"/>
        <v>31</v>
      </c>
      <c r="C26" s="15">
        <v>42856</v>
      </c>
      <c r="D26" s="7">
        <f t="shared" si="29"/>
        <v>1754241.44</v>
      </c>
      <c r="E26" s="8">
        <v>1665608.54</v>
      </c>
      <c r="F26" s="8">
        <v>88632.899999999907</v>
      </c>
      <c r="G26" s="9">
        <f t="shared" si="30"/>
        <v>0.94947508479790566</v>
      </c>
      <c r="H26" s="9">
        <f t="shared" si="31"/>
        <v>5.0524915202094366E-2</v>
      </c>
      <c r="I26" s="7">
        <v>15089.612903225807</v>
      </c>
      <c r="J26" s="7">
        <v>12099.064516129032</v>
      </c>
      <c r="K26" s="7">
        <v>3168.8387096774195</v>
      </c>
      <c r="L26" s="10">
        <v>82.490322580645156</v>
      </c>
      <c r="M26" s="10">
        <f t="shared" si="32"/>
        <v>54.133005138681398</v>
      </c>
      <c r="N26" s="11">
        <f t="shared" si="25"/>
        <v>0.19487881849925304</v>
      </c>
      <c r="O26" s="1"/>
      <c r="P26" s="7">
        <f t="shared" si="33"/>
        <v>1065338.693</v>
      </c>
      <c r="Q26" s="7">
        <v>559058.12100000004</v>
      </c>
      <c r="R26" s="7">
        <v>506280.57199999999</v>
      </c>
      <c r="S26" s="9">
        <f t="shared" si="34"/>
        <v>0.52477031452381506</v>
      </c>
      <c r="T26" s="9">
        <f t="shared" si="35"/>
        <v>0.47522968547618499</v>
      </c>
      <c r="U26" s="7">
        <v>13748.483870967742</v>
      </c>
      <c r="V26" s="7">
        <v>7637.7741935483873</v>
      </c>
      <c r="W26" s="7">
        <v>6075</v>
      </c>
      <c r="X26" s="10">
        <v>34.86999999999999</v>
      </c>
      <c r="Y26" s="10">
        <f t="shared" si="26"/>
        <v>52.076939096254428</v>
      </c>
      <c r="Z26" s="11">
        <f t="shared" si="27"/>
        <v>0.18747698074651595</v>
      </c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</row>
    <row r="27" spans="1:66" x14ac:dyDescent="0.3">
      <c r="A27" s="14">
        <v>2017</v>
      </c>
      <c r="B27" s="17">
        <f t="shared" si="28"/>
        <v>30</v>
      </c>
      <c r="C27" s="15">
        <v>42887</v>
      </c>
      <c r="D27" s="7">
        <f t="shared" si="29"/>
        <v>1740980.7279999999</v>
      </c>
      <c r="E27" s="8">
        <v>1654073.128</v>
      </c>
      <c r="F27" s="8">
        <v>86907.59999999986</v>
      </c>
      <c r="G27" s="9">
        <f t="shared" si="30"/>
        <v>0.95008123949778733</v>
      </c>
      <c r="H27" s="9">
        <f t="shared" si="31"/>
        <v>4.9918760502212674E-2</v>
      </c>
      <c r="I27" s="7">
        <v>17772.3</v>
      </c>
      <c r="J27" s="7">
        <v>12399.366666666667</v>
      </c>
      <c r="K27" s="7">
        <v>5105.3</v>
      </c>
      <c r="L27" s="10">
        <v>82.73899999999999</v>
      </c>
      <c r="M27" s="10">
        <f t="shared" si="32"/>
        <v>54.170078330364738</v>
      </c>
      <c r="N27" s="11">
        <f t="shared" si="25"/>
        <v>0.19501228198931306</v>
      </c>
      <c r="O27" s="1"/>
      <c r="P27" s="7">
        <f t="shared" si="33"/>
        <v>842348.81700000004</v>
      </c>
      <c r="Q27" s="7">
        <v>442728.12099999998</v>
      </c>
      <c r="R27" s="7">
        <v>399620.696</v>
      </c>
      <c r="S27" s="9">
        <f t="shared" si="34"/>
        <v>0.52558763313369739</v>
      </c>
      <c r="T27" s="9">
        <f t="shared" si="35"/>
        <v>0.47441236686630256</v>
      </c>
      <c r="U27" s="7">
        <v>21135.833333333332</v>
      </c>
      <c r="V27" s="7">
        <v>7563.8766666666661</v>
      </c>
      <c r="W27" s="7">
        <v>13339.093333333334</v>
      </c>
      <c r="X27" s="10">
        <v>34.588666666666668</v>
      </c>
      <c r="Y27" s="10">
        <f t="shared" si="26"/>
        <v>42.964774254501179</v>
      </c>
      <c r="Z27" s="11">
        <f t="shared" si="27"/>
        <v>0.15467318731620425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</row>
    <row r="28" spans="1:66" x14ac:dyDescent="0.3">
      <c r="A28" s="14">
        <v>2017</v>
      </c>
      <c r="B28" s="17">
        <f t="shared" si="28"/>
        <v>31</v>
      </c>
      <c r="C28" s="15">
        <v>42917</v>
      </c>
      <c r="D28" s="7">
        <f t="shared" si="29"/>
        <v>1613733.49</v>
      </c>
      <c r="E28" s="8">
        <v>1525492.99</v>
      </c>
      <c r="F28" s="8">
        <v>88240.5</v>
      </c>
      <c r="G28" s="9">
        <f t="shared" si="30"/>
        <v>0.94531903777990012</v>
      </c>
      <c r="H28" s="9">
        <f t="shared" si="31"/>
        <v>5.4680962220099924E-2</v>
      </c>
      <c r="I28" s="7">
        <v>11806.387096774193</v>
      </c>
      <c r="J28" s="7">
        <v>10798</v>
      </c>
      <c r="K28" s="7">
        <v>1017.258064516129</v>
      </c>
      <c r="L28" s="10">
        <v>82.817096774193544</v>
      </c>
      <c r="M28" s="10">
        <f t="shared" si="32"/>
        <v>55.797283096254603</v>
      </c>
      <c r="N28" s="11">
        <f t="shared" si="25"/>
        <v>0.20087021914651659</v>
      </c>
      <c r="O28" s="1"/>
      <c r="P28" s="7">
        <f t="shared" si="33"/>
        <v>632879.51399999997</v>
      </c>
      <c r="Q28" s="7">
        <v>311006.761</v>
      </c>
      <c r="R28" s="7">
        <v>321872.75300000003</v>
      </c>
      <c r="S28" s="9">
        <f t="shared" si="34"/>
        <v>0.49141543393360654</v>
      </c>
      <c r="T28" s="9">
        <f t="shared" si="35"/>
        <v>0.50858456606639357</v>
      </c>
      <c r="U28" s="7">
        <v>3633.9677419354839</v>
      </c>
      <c r="V28" s="7">
        <v>3693.206451612903</v>
      </c>
      <c r="W28" s="7">
        <v>0.83870967741935487</v>
      </c>
      <c r="X28" s="10">
        <v>35.239032258064519</v>
      </c>
      <c r="Y28" s="10">
        <f t="shared" si="26"/>
        <v>63.979673009029653</v>
      </c>
      <c r="Z28" s="11">
        <f t="shared" si="27"/>
        <v>0.23032682283250677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</row>
    <row r="29" spans="1:66" x14ac:dyDescent="0.3">
      <c r="A29" s="14">
        <v>2017</v>
      </c>
      <c r="B29" s="17">
        <f t="shared" si="28"/>
        <v>31</v>
      </c>
      <c r="C29" s="15">
        <v>42948</v>
      </c>
      <c r="D29" s="7">
        <f t="shared" si="29"/>
        <v>1587764.1580000001</v>
      </c>
      <c r="E29" s="8">
        <v>1534107.358</v>
      </c>
      <c r="F29" s="8">
        <v>53656.800000000003</v>
      </c>
      <c r="G29" s="9">
        <f t="shared" si="30"/>
        <v>0.96620606421322175</v>
      </c>
      <c r="H29" s="9">
        <f t="shared" si="31"/>
        <v>3.379393578677823E-2</v>
      </c>
      <c r="I29" s="7">
        <v>11633.290322580646</v>
      </c>
      <c r="J29" s="7">
        <v>10608.258064516129</v>
      </c>
      <c r="K29" s="7">
        <v>1018.0967741935484</v>
      </c>
      <c r="L29" s="10">
        <v>82.827419354838725</v>
      </c>
      <c r="M29" s="10">
        <f t="shared" si="32"/>
        <v>55.881297518828454</v>
      </c>
      <c r="N29" s="11">
        <f t="shared" si="25"/>
        <v>0.20117267106778244</v>
      </c>
      <c r="O29" s="1"/>
      <c r="P29" s="7">
        <f t="shared" si="33"/>
        <v>915485.33899999992</v>
      </c>
      <c r="Q29" s="7">
        <v>492110.38699999999</v>
      </c>
      <c r="R29" s="7">
        <v>423374.95199999999</v>
      </c>
      <c r="S29" s="9">
        <f t="shared" si="34"/>
        <v>0.53754043460438206</v>
      </c>
      <c r="T29" s="9">
        <f t="shared" si="35"/>
        <v>0.462459565395618</v>
      </c>
      <c r="U29" s="7">
        <v>5864.5483870967746</v>
      </c>
      <c r="V29" s="7">
        <v>5582.2903225806449</v>
      </c>
      <c r="W29" s="7">
        <v>215.06451612903226</v>
      </c>
      <c r="X29" s="10">
        <v>35.103225806451611</v>
      </c>
      <c r="Y29" s="10">
        <f t="shared" si="26"/>
        <v>61.229898280361361</v>
      </c>
      <c r="Z29" s="11">
        <f t="shared" si="27"/>
        <v>0.22042763380930089</v>
      </c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</row>
    <row r="30" spans="1:66" x14ac:dyDescent="0.3">
      <c r="A30" s="14">
        <v>2017</v>
      </c>
      <c r="B30" s="17">
        <f t="shared" si="28"/>
        <v>30</v>
      </c>
      <c r="C30" s="15">
        <v>42979</v>
      </c>
      <c r="D30" s="7">
        <f t="shared" si="29"/>
        <v>1482018.56</v>
      </c>
      <c r="E30" s="8">
        <v>1431771.46</v>
      </c>
      <c r="F30" s="8">
        <v>50247.100000000093</v>
      </c>
      <c r="G30" s="9">
        <f t="shared" si="30"/>
        <v>0.96609549883099977</v>
      </c>
      <c r="H30" s="9">
        <f t="shared" si="31"/>
        <v>3.3904501169000269E-2</v>
      </c>
      <c r="I30" s="7">
        <v>11234.833333333334</v>
      </c>
      <c r="J30" s="7">
        <v>10185.133333333333</v>
      </c>
      <c r="K30" s="7">
        <v>1018.9666666666667</v>
      </c>
      <c r="L30" s="10">
        <v>82.853999999999999</v>
      </c>
      <c r="M30" s="10">
        <f t="shared" si="32"/>
        <v>56.13735245682463</v>
      </c>
      <c r="N30" s="11">
        <f t="shared" si="25"/>
        <v>0.20209446884456866</v>
      </c>
      <c r="O30" s="1"/>
      <c r="P30" s="7">
        <f t="shared" si="33"/>
        <v>871972.0959999999</v>
      </c>
      <c r="Q30" s="7">
        <v>462805.33299999998</v>
      </c>
      <c r="R30" s="7">
        <v>409166.76299999998</v>
      </c>
      <c r="S30" s="9">
        <f t="shared" si="34"/>
        <v>0.53075704500525678</v>
      </c>
      <c r="T30" s="9">
        <f t="shared" si="35"/>
        <v>0.46924295499474333</v>
      </c>
      <c r="U30" s="7">
        <v>5801.2333333333336</v>
      </c>
      <c r="V30" s="7">
        <v>5481.3666666666668</v>
      </c>
      <c r="W30" s="7">
        <v>302.2</v>
      </c>
      <c r="X30" s="10">
        <v>35.172000000000004</v>
      </c>
      <c r="Y30" s="10">
        <f t="shared" si="26"/>
        <v>61.373195429543891</v>
      </c>
      <c r="Z30" s="11">
        <f t="shared" si="27"/>
        <v>0.220943503546358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</row>
    <row r="31" spans="1:66" x14ac:dyDescent="0.3">
      <c r="A31" s="14">
        <v>2017</v>
      </c>
      <c r="B31" s="17">
        <f t="shared" si="28"/>
        <v>31</v>
      </c>
      <c r="C31" s="15">
        <v>43009</v>
      </c>
      <c r="D31" s="7">
        <f t="shared" si="29"/>
        <v>1817390.378</v>
      </c>
      <c r="E31" s="8">
        <v>1776188.878</v>
      </c>
      <c r="F31" s="8">
        <v>41201.5</v>
      </c>
      <c r="G31" s="9">
        <f t="shared" si="30"/>
        <v>0.97732930662627293</v>
      </c>
      <c r="H31" s="9">
        <f t="shared" si="31"/>
        <v>2.2670693373727107E-2</v>
      </c>
      <c r="I31" s="7">
        <v>15369.096774193549</v>
      </c>
      <c r="J31" s="7">
        <v>12401.548387096775</v>
      </c>
      <c r="K31" s="7">
        <v>2832.7419354838707</v>
      </c>
      <c r="L31" s="10">
        <v>82.839032258064506</v>
      </c>
      <c r="M31" s="10">
        <f t="shared" si="32"/>
        <v>54.7137996724693</v>
      </c>
      <c r="N31" s="11">
        <f t="shared" si="25"/>
        <v>0.19696967882088948</v>
      </c>
      <c r="O31" s="1"/>
      <c r="P31" s="7">
        <f t="shared" si="33"/>
        <v>968172.402</v>
      </c>
      <c r="Q31" s="7">
        <v>505620.59600000002</v>
      </c>
      <c r="R31" s="7">
        <v>462551.80599999998</v>
      </c>
      <c r="S31" s="9">
        <f t="shared" si="34"/>
        <v>0.522242314442671</v>
      </c>
      <c r="T31" s="9">
        <f t="shared" si="35"/>
        <v>0.47775768555732906</v>
      </c>
      <c r="U31" s="7">
        <v>7537.1612903225805</v>
      </c>
      <c r="V31" s="7">
        <v>6292.8387096774195</v>
      </c>
      <c r="W31" s="7">
        <v>1241.3548387096773</v>
      </c>
      <c r="X31" s="10">
        <v>34.849354838709665</v>
      </c>
      <c r="Y31" s="10">
        <f t="shared" si="26"/>
        <v>57.442146716811841</v>
      </c>
      <c r="Z31" s="11">
        <f t="shared" si="27"/>
        <v>0.20679172818052263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</row>
    <row r="32" spans="1:66" x14ac:dyDescent="0.3">
      <c r="A32" s="14">
        <v>2017</v>
      </c>
      <c r="B32" s="17">
        <f t="shared" si="28"/>
        <v>30</v>
      </c>
      <c r="C32" s="15">
        <v>43040</v>
      </c>
      <c r="D32" s="7">
        <f t="shared" si="29"/>
        <v>1825970.3940000001</v>
      </c>
      <c r="E32" s="8">
        <v>1811166.8940000001</v>
      </c>
      <c r="F32" s="8">
        <v>14803.5</v>
      </c>
      <c r="G32" s="9">
        <f t="shared" si="30"/>
        <v>0.99189280393119017</v>
      </c>
      <c r="H32" s="9">
        <f t="shared" si="31"/>
        <v>8.1071960688098646E-3</v>
      </c>
      <c r="I32" s="7">
        <v>18303.599999999999</v>
      </c>
      <c r="J32" s="7">
        <v>12957.9</v>
      </c>
      <c r="K32" s="7">
        <v>5155.7</v>
      </c>
      <c r="L32" s="10">
        <v>82.90900000000002</v>
      </c>
      <c r="M32" s="10">
        <f t="shared" si="32"/>
        <v>54.365590610675653</v>
      </c>
      <c r="N32" s="11">
        <f t="shared" si="25"/>
        <v>0.19571612619843234</v>
      </c>
      <c r="O32" s="1"/>
      <c r="P32" s="7">
        <f t="shared" si="33"/>
        <v>876502.571</v>
      </c>
      <c r="Q32" s="7">
        <v>470074.13799999998</v>
      </c>
      <c r="R32" s="7">
        <v>406428.43300000002</v>
      </c>
      <c r="S32" s="9">
        <f t="shared" si="34"/>
        <v>0.53630662767331461</v>
      </c>
      <c r="T32" s="9">
        <f t="shared" si="35"/>
        <v>0.46369337232668539</v>
      </c>
      <c r="U32" s="7">
        <v>6197.0333333333338</v>
      </c>
      <c r="V32" s="7">
        <v>5589.9366666666665</v>
      </c>
      <c r="W32" s="7">
        <v>553.56666666666672</v>
      </c>
      <c r="X32" s="10">
        <v>35.167666666666669</v>
      </c>
      <c r="Y32" s="10">
        <f t="shared" si="26"/>
        <v>60.493861784184617</v>
      </c>
      <c r="Z32" s="11">
        <f t="shared" si="27"/>
        <v>0.21777790242306463</v>
      </c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</row>
    <row r="33" spans="1:45" x14ac:dyDescent="0.3">
      <c r="A33" s="14">
        <v>2017</v>
      </c>
      <c r="B33" s="17">
        <f t="shared" si="28"/>
        <v>31</v>
      </c>
      <c r="C33" s="15">
        <v>43070</v>
      </c>
      <c r="D33" s="7">
        <f t="shared" si="29"/>
        <v>1898232.4469999999</v>
      </c>
      <c r="E33" s="8">
        <v>1877821.047</v>
      </c>
      <c r="F33" s="8">
        <v>20411.399999999907</v>
      </c>
      <c r="G33" s="9">
        <f t="shared" si="30"/>
        <v>0.98924715461888846</v>
      </c>
      <c r="H33" s="9">
        <f t="shared" si="31"/>
        <v>1.0752845381111488E-2</v>
      </c>
      <c r="I33" s="7">
        <v>15792.516129032258</v>
      </c>
      <c r="J33" s="7">
        <v>13016.483870967742</v>
      </c>
      <c r="K33" s="7">
        <v>2794.0645161290322</v>
      </c>
      <c r="L33" s="10">
        <v>82.863548387096785</v>
      </c>
      <c r="M33" s="10">
        <f t="shared" si="32"/>
        <v>54.447791885199877</v>
      </c>
      <c r="N33" s="11">
        <f t="shared" si="25"/>
        <v>0.19601205078671954</v>
      </c>
      <c r="O33" s="1"/>
      <c r="P33" s="7">
        <f t="shared" si="33"/>
        <v>430027.32799999998</v>
      </c>
      <c r="Q33" s="7">
        <v>186552.99799999999</v>
      </c>
      <c r="R33" s="7">
        <v>243474.33</v>
      </c>
      <c r="S33" s="9">
        <f t="shared" si="34"/>
        <v>0.43381661083641643</v>
      </c>
      <c r="T33" s="9">
        <f t="shared" si="35"/>
        <v>0.56618338916358357</v>
      </c>
      <c r="U33" s="7">
        <v>1970.741935483871</v>
      </c>
      <c r="V33" s="7">
        <v>2496.1612903225805</v>
      </c>
      <c r="W33" s="7">
        <v>15.161290322580646</v>
      </c>
      <c r="X33" s="10">
        <v>34.190000000000012</v>
      </c>
      <c r="Y33" s="10">
        <f t="shared" si="26"/>
        <v>64.3202872558916</v>
      </c>
      <c r="Z33" s="11">
        <f t="shared" si="27"/>
        <v>0.23155303412120976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</row>
    <row r="34" spans="1:45" x14ac:dyDescent="0.3">
      <c r="A34" s="14">
        <v>2018</v>
      </c>
      <c r="B34" s="17">
        <f t="shared" si="28"/>
        <v>31</v>
      </c>
      <c r="C34" s="15">
        <v>43101</v>
      </c>
      <c r="D34" s="7">
        <f t="shared" si="29"/>
        <v>1885214.7880000002</v>
      </c>
      <c r="E34" s="8">
        <v>1780835.1880000001</v>
      </c>
      <c r="F34" s="8">
        <v>104379.60000000009</v>
      </c>
      <c r="G34" s="9">
        <f t="shared" si="30"/>
        <v>0.94463251579373875</v>
      </c>
      <c r="H34" s="9">
        <f t="shared" si="31"/>
        <v>5.5367484206261211E-2</v>
      </c>
      <c r="I34" s="7">
        <v>21032.870967741936</v>
      </c>
      <c r="J34" s="7">
        <v>13113.483870967742</v>
      </c>
      <c r="K34" s="7">
        <v>8005.0967741935483</v>
      </c>
      <c r="L34" s="10">
        <v>82.881612903225829</v>
      </c>
      <c r="M34" s="10">
        <f t="shared" si="32"/>
        <v>53.67441442162918</v>
      </c>
      <c r="N34" s="11">
        <f t="shared" si="25"/>
        <v>0.19322789191786505</v>
      </c>
      <c r="O34" s="1"/>
      <c r="P34" s="7">
        <f t="shared" si="33"/>
        <v>447531.913</v>
      </c>
      <c r="Q34" s="7">
        <v>243579.28700000001</v>
      </c>
      <c r="R34" s="7">
        <v>203952.62599999999</v>
      </c>
      <c r="S34" s="9">
        <f t="shared" si="34"/>
        <v>0.54427244163926247</v>
      </c>
      <c r="T34" s="9">
        <f t="shared" si="35"/>
        <v>0.45572755836073747</v>
      </c>
      <c r="U34" s="7">
        <v>3086.2258064516127</v>
      </c>
      <c r="V34" s="7">
        <v>2687.7870967741933</v>
      </c>
      <c r="W34" s="7">
        <v>3.2258064516129031E-2</v>
      </c>
      <c r="X34" s="10">
        <v>32.995161290322571</v>
      </c>
      <c r="Y34" s="10">
        <f t="shared" si="26"/>
        <v>62.166112326174002</v>
      </c>
      <c r="Z34" s="11">
        <f t="shared" si="27"/>
        <v>0.22379800437422642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</row>
    <row r="35" spans="1:45" x14ac:dyDescent="0.3">
      <c r="A35" s="14">
        <v>2018</v>
      </c>
      <c r="B35" s="17">
        <f t="shared" si="28"/>
        <v>28</v>
      </c>
      <c r="C35" s="15">
        <v>43132</v>
      </c>
      <c r="D35" s="7">
        <f t="shared" si="29"/>
        <v>1696286.4739999999</v>
      </c>
      <c r="E35" s="8">
        <v>1643797.4739999999</v>
      </c>
      <c r="F35" s="8">
        <v>52489</v>
      </c>
      <c r="G35" s="9">
        <f t="shared" si="30"/>
        <v>0.96905652388052943</v>
      </c>
      <c r="H35" s="9">
        <f t="shared" si="31"/>
        <v>3.0943476119470608E-2</v>
      </c>
      <c r="I35" s="7">
        <v>15235.642857142857</v>
      </c>
      <c r="J35" s="7">
        <v>12771</v>
      </c>
      <c r="K35" s="7">
        <v>2328.4285714285716</v>
      </c>
      <c r="L35" s="10">
        <v>83.000357142857169</v>
      </c>
      <c r="M35" s="10">
        <f t="shared" si="32"/>
        <v>54.903814727915716</v>
      </c>
      <c r="N35" s="11">
        <f t="shared" si="25"/>
        <v>0.19765373302049657</v>
      </c>
      <c r="O35" s="1"/>
      <c r="P35" s="7">
        <f t="shared" si="33"/>
        <v>467981.30799999996</v>
      </c>
      <c r="Q35" s="7">
        <v>212767.75099999999</v>
      </c>
      <c r="R35" s="7">
        <v>255213.557</v>
      </c>
      <c r="S35" s="9">
        <f t="shared" si="34"/>
        <v>0.45465010538412359</v>
      </c>
      <c r="T35" s="9">
        <f t="shared" si="35"/>
        <v>0.54534989461587646</v>
      </c>
      <c r="U35" s="7">
        <v>2901.8928571428573</v>
      </c>
      <c r="V35" s="7">
        <v>3147.2857142857142</v>
      </c>
      <c r="W35" s="7">
        <v>0</v>
      </c>
      <c r="X35" s="10">
        <v>33.685357142857143</v>
      </c>
      <c r="Y35" s="10">
        <f t="shared" si="26"/>
        <v>61.463963552199999</v>
      </c>
      <c r="Z35" s="11">
        <f t="shared" si="27"/>
        <v>0.22127026878792</v>
      </c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</row>
    <row r="36" spans="1:45" x14ac:dyDescent="0.3">
      <c r="A36" s="14">
        <v>2018</v>
      </c>
      <c r="B36" s="17">
        <f t="shared" si="28"/>
        <v>31</v>
      </c>
      <c r="C36" s="15">
        <v>43160</v>
      </c>
      <c r="D36" s="7">
        <f t="shared" si="29"/>
        <v>1921735.527</v>
      </c>
      <c r="E36" s="8">
        <v>1900712.1270000001</v>
      </c>
      <c r="F36" s="8">
        <v>21023.399999999907</v>
      </c>
      <c r="G36" s="9">
        <f t="shared" si="30"/>
        <v>0.9890602012063443</v>
      </c>
      <c r="H36" s="9">
        <f t="shared" si="31"/>
        <v>1.0939798793655702E-2</v>
      </c>
      <c r="I36" s="7">
        <v>16810.290322580644</v>
      </c>
      <c r="J36" s="7">
        <v>13144.129032258064</v>
      </c>
      <c r="K36" s="7">
        <v>3746.5806451612902</v>
      </c>
      <c r="L36" s="10">
        <v>82.965483870967731</v>
      </c>
      <c r="M36" s="10">
        <f t="shared" si="32"/>
        <v>54.58664076756402</v>
      </c>
      <c r="N36" s="11">
        <f t="shared" si="25"/>
        <v>0.19651190676323049</v>
      </c>
      <c r="O36" s="1"/>
      <c r="P36" s="7">
        <f t="shared" si="33"/>
        <v>405963.01899999997</v>
      </c>
      <c r="Q36" s="7">
        <v>224324.78</v>
      </c>
      <c r="R36" s="7">
        <v>181638.239</v>
      </c>
      <c r="S36" s="9">
        <f t="shared" si="34"/>
        <v>0.55257442057794925</v>
      </c>
      <c r="T36" s="9">
        <f t="shared" si="35"/>
        <v>0.4474255794220508</v>
      </c>
      <c r="U36" s="7">
        <v>2396.5483870967741</v>
      </c>
      <c r="V36" s="7">
        <v>2584.9806451612903</v>
      </c>
      <c r="W36" s="7">
        <v>0</v>
      </c>
      <c r="X36" s="10">
        <v>32.33806451612903</v>
      </c>
      <c r="Y36" s="10">
        <f t="shared" si="26"/>
        <v>58.634569588600414</v>
      </c>
      <c r="Z36" s="11">
        <f t="shared" si="27"/>
        <v>0.21108445051896149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</row>
    <row r="37" spans="1:45" x14ac:dyDescent="0.3">
      <c r="A37" s="14">
        <v>2018</v>
      </c>
      <c r="B37" s="17">
        <f t="shared" si="28"/>
        <v>30</v>
      </c>
      <c r="C37" s="15">
        <v>43191</v>
      </c>
      <c r="D37" s="7">
        <f t="shared" si="29"/>
        <v>1745368.1470000001</v>
      </c>
      <c r="E37" s="8">
        <v>1724792.3470000001</v>
      </c>
      <c r="F37" s="8">
        <v>20575.800000000047</v>
      </c>
      <c r="G37" s="9">
        <f t="shared" si="30"/>
        <v>0.98821119771472488</v>
      </c>
      <c r="H37" s="9">
        <f t="shared" si="31"/>
        <v>1.1788802285275145E-2</v>
      </c>
      <c r="I37" s="7">
        <v>14307.5</v>
      </c>
      <c r="J37" s="7">
        <v>12323.766666666666</v>
      </c>
      <c r="K37" s="7">
        <v>2033.4666666666667</v>
      </c>
      <c r="L37" s="10">
        <v>82.942333333333323</v>
      </c>
      <c r="M37" s="10">
        <f t="shared" si="32"/>
        <v>54.639734658795895</v>
      </c>
      <c r="N37" s="11">
        <f t="shared" si="25"/>
        <v>0.19670304477166523</v>
      </c>
      <c r="O37" s="1"/>
      <c r="P37" s="7">
        <f t="shared" si="33"/>
        <v>489863.43900000001</v>
      </c>
      <c r="Q37" s="7">
        <v>236248.742</v>
      </c>
      <c r="R37" s="7">
        <v>253614.69699999999</v>
      </c>
      <c r="S37" s="9">
        <f t="shared" si="34"/>
        <v>0.48227469778572307</v>
      </c>
      <c r="T37" s="9">
        <f t="shared" si="35"/>
        <v>0.51772530221427682</v>
      </c>
      <c r="U37" s="7">
        <v>3136.9333333333334</v>
      </c>
      <c r="V37" s="7">
        <v>3138.5066666666667</v>
      </c>
      <c r="W37" s="7">
        <v>0</v>
      </c>
      <c r="X37" s="10">
        <v>33.282666666666657</v>
      </c>
      <c r="Y37" s="10">
        <f t="shared" si="26"/>
        <v>60.216703157835859</v>
      </c>
      <c r="Z37" s="11">
        <f t="shared" si="27"/>
        <v>0.21678013136820909</v>
      </c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spans="1:45" x14ac:dyDescent="0.3">
      <c r="A38" s="14">
        <v>2018</v>
      </c>
      <c r="B38" s="17">
        <f t="shared" si="28"/>
        <v>31</v>
      </c>
      <c r="C38" s="15">
        <v>43221</v>
      </c>
      <c r="D38" s="7">
        <f t="shared" si="29"/>
        <v>1523174.196</v>
      </c>
      <c r="E38" s="8">
        <v>1508547.8959999999</v>
      </c>
      <c r="F38" s="8">
        <v>14626.300000000047</v>
      </c>
      <c r="G38" s="9">
        <f t="shared" si="30"/>
        <v>0.99039748701205021</v>
      </c>
      <c r="H38" s="9">
        <f t="shared" si="31"/>
        <v>9.6025129879498336E-3</v>
      </c>
      <c r="I38" s="7">
        <v>10946.322580645161</v>
      </c>
      <c r="J38" s="7">
        <v>10289.354838709678</v>
      </c>
      <c r="K38" s="7">
        <v>1106.516129032258</v>
      </c>
      <c r="L38" s="10">
        <v>82.891935483870967</v>
      </c>
      <c r="M38" s="10">
        <f t="shared" si="32"/>
        <v>55.269558178581754</v>
      </c>
      <c r="N38" s="11">
        <f t="shared" si="25"/>
        <v>0.19897040944289432</v>
      </c>
      <c r="O38" s="1"/>
      <c r="P38" s="7">
        <f t="shared" si="33"/>
        <v>733534.42500000005</v>
      </c>
      <c r="Q38" s="7">
        <v>381301.82500000001</v>
      </c>
      <c r="R38" s="7">
        <v>352232.6</v>
      </c>
      <c r="S38" s="9">
        <f t="shared" si="34"/>
        <v>0.51981449268723823</v>
      </c>
      <c r="T38" s="9">
        <f t="shared" si="35"/>
        <v>0.48018550731276172</v>
      </c>
      <c r="U38" s="7">
        <v>5355.2580645161288</v>
      </c>
      <c r="V38" s="7">
        <v>4511.9032258064517</v>
      </c>
      <c r="W38" s="7">
        <v>135.38709677419354</v>
      </c>
      <c r="X38" s="10">
        <v>34.478064516129031</v>
      </c>
      <c r="Y38" s="10">
        <f t="shared" si="26"/>
        <v>60.699524346590977</v>
      </c>
      <c r="Z38" s="11">
        <f t="shared" si="27"/>
        <v>0.21851828764772752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</row>
    <row r="39" spans="1:45" x14ac:dyDescent="0.3">
      <c r="A39" s="14">
        <v>2018</v>
      </c>
      <c r="B39" s="17">
        <f t="shared" si="28"/>
        <v>30</v>
      </c>
      <c r="C39" s="15">
        <v>43252</v>
      </c>
      <c r="D39" s="7">
        <f t="shared" si="29"/>
        <v>1282059.2069999999</v>
      </c>
      <c r="E39" s="8">
        <v>1268837.2069999999</v>
      </c>
      <c r="F39" s="8">
        <v>13222</v>
      </c>
      <c r="G39" s="9">
        <f t="shared" si="30"/>
        <v>0.98968690374999191</v>
      </c>
      <c r="H39" s="9">
        <f t="shared" si="31"/>
        <v>1.0313096250008055E-2</v>
      </c>
      <c r="I39" s="7">
        <v>9882.1666666666661</v>
      </c>
      <c r="J39" s="7">
        <v>8797.7000000000007</v>
      </c>
      <c r="K39" s="7">
        <v>1017.9</v>
      </c>
      <c r="L39" s="10">
        <v>82.81566666666663</v>
      </c>
      <c r="M39" s="10">
        <f t="shared" si="32"/>
        <v>56.221695174748945</v>
      </c>
      <c r="N39" s="11">
        <f t="shared" si="25"/>
        <v>0.20239810262909619</v>
      </c>
      <c r="O39" s="1"/>
      <c r="P39" s="7">
        <f t="shared" si="33"/>
        <v>521901.79200000002</v>
      </c>
      <c r="Q39" s="7">
        <v>256023.67199999999</v>
      </c>
      <c r="R39" s="7">
        <v>265878.12</v>
      </c>
      <c r="S39" s="9">
        <f t="shared" si="34"/>
        <v>0.49055909737133069</v>
      </c>
      <c r="T39" s="9">
        <f t="shared" si="35"/>
        <v>0.50944090262866926</v>
      </c>
      <c r="U39" s="7">
        <v>2783.9</v>
      </c>
      <c r="V39" s="7">
        <v>3226.2666666666669</v>
      </c>
      <c r="W39" s="7">
        <v>0</v>
      </c>
      <c r="X39" s="10">
        <v>33.723666666666659</v>
      </c>
      <c r="Y39" s="10">
        <f t="shared" si="26"/>
        <v>62.40990618671735</v>
      </c>
      <c r="Z39" s="11">
        <f t="shared" si="27"/>
        <v>0.22467566227218247</v>
      </c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</row>
    <row r="40" spans="1:45" x14ac:dyDescent="0.3">
      <c r="A40" s="14">
        <v>2018</v>
      </c>
      <c r="B40" s="17">
        <f t="shared" si="28"/>
        <v>31</v>
      </c>
      <c r="C40" s="15">
        <v>43282</v>
      </c>
      <c r="D40" s="7">
        <f t="shared" si="29"/>
        <v>1264472.889</v>
      </c>
      <c r="E40" s="8">
        <v>1250797.2890000001</v>
      </c>
      <c r="F40" s="8">
        <v>13675.59999999986</v>
      </c>
      <c r="G40" s="9">
        <f t="shared" si="30"/>
        <v>0.9891847424179927</v>
      </c>
      <c r="H40" s="9">
        <f t="shared" si="31"/>
        <v>1.081525758200725E-2</v>
      </c>
      <c r="I40" s="7">
        <v>9587.1935483870966</v>
      </c>
      <c r="J40" s="7">
        <v>8534.645161290322</v>
      </c>
      <c r="K40" s="7">
        <v>984.77419354838707</v>
      </c>
      <c r="L40" s="10">
        <v>82.836451612903232</v>
      </c>
      <c r="M40" s="10">
        <f t="shared" si="32"/>
        <v>55.31572596681626</v>
      </c>
      <c r="N40" s="11">
        <f t="shared" si="25"/>
        <v>0.19913661348053854</v>
      </c>
      <c r="O40" s="1"/>
      <c r="P40" s="7">
        <f t="shared" si="33"/>
        <v>591069.83700000006</v>
      </c>
      <c r="Q40" s="7">
        <v>285254.69799999997</v>
      </c>
      <c r="R40" s="7">
        <v>305815.13900000002</v>
      </c>
      <c r="S40" s="9">
        <f t="shared" si="34"/>
        <v>0.48260743510076959</v>
      </c>
      <c r="T40" s="9">
        <f t="shared" si="35"/>
        <v>0.51739256489923036</v>
      </c>
      <c r="U40" s="7">
        <v>4056.6451612903224</v>
      </c>
      <c r="V40" s="7">
        <v>3678.5709677419354</v>
      </c>
      <c r="W40" s="7">
        <v>0</v>
      </c>
      <c r="X40" s="10">
        <v>34.000645161290315</v>
      </c>
      <c r="Y40" s="10">
        <f t="shared" si="26"/>
        <v>59.990740411896361</v>
      </c>
      <c r="Z40" s="11">
        <f t="shared" si="27"/>
        <v>0.21596666548282692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</row>
    <row r="41" spans="1:45" x14ac:dyDescent="0.3">
      <c r="A41" s="14">
        <v>2018</v>
      </c>
      <c r="B41" s="17">
        <f t="shared" si="28"/>
        <v>31</v>
      </c>
      <c r="C41" s="15">
        <v>43313</v>
      </c>
      <c r="D41" s="7">
        <f t="shared" si="29"/>
        <v>1462535.6440000001</v>
      </c>
      <c r="E41" s="8">
        <v>1447843.7690000001</v>
      </c>
      <c r="F41" s="8">
        <v>14691.875</v>
      </c>
      <c r="G41" s="9">
        <f t="shared" si="30"/>
        <v>0.98995451833240922</v>
      </c>
      <c r="H41" s="9">
        <f t="shared" si="31"/>
        <v>1.0045481667590728E-2</v>
      </c>
      <c r="I41" s="7">
        <v>10748.290322580646</v>
      </c>
      <c r="J41" s="7">
        <v>9773.2258064516136</v>
      </c>
      <c r="K41" s="7">
        <v>1018.5806451612904</v>
      </c>
      <c r="L41" s="10">
        <v>82.893548387096772</v>
      </c>
      <c r="M41" s="10">
        <f t="shared" si="32"/>
        <v>55.871854901903255</v>
      </c>
      <c r="N41" s="11">
        <f t="shared" si="25"/>
        <v>0.20113867764685173</v>
      </c>
      <c r="O41" s="1"/>
      <c r="P41" s="7">
        <f t="shared" si="33"/>
        <v>458813.85699999996</v>
      </c>
      <c r="Q41" s="7">
        <v>263610.54499999998</v>
      </c>
      <c r="R41" s="7">
        <v>195203.31200000001</v>
      </c>
      <c r="S41" s="9">
        <f t="shared" si="34"/>
        <v>0.5745479151908004</v>
      </c>
      <c r="T41" s="9">
        <f t="shared" si="35"/>
        <v>0.42545208480919972</v>
      </c>
      <c r="U41" s="7">
        <v>2477.6774193548385</v>
      </c>
      <c r="V41" s="7">
        <v>2860.7419354838707</v>
      </c>
      <c r="W41" s="7">
        <v>0</v>
      </c>
      <c r="X41" s="10">
        <v>32.480322580645151</v>
      </c>
      <c r="Y41" s="10">
        <f t="shared" si="26"/>
        <v>59.880084876804226</v>
      </c>
      <c r="Z41" s="11">
        <f t="shared" si="27"/>
        <v>0.2155683055564952</v>
      </c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</row>
    <row r="42" spans="1:45" x14ac:dyDescent="0.3">
      <c r="A42" s="14">
        <v>2018</v>
      </c>
      <c r="B42" s="17">
        <f t="shared" si="28"/>
        <v>30</v>
      </c>
      <c r="C42" s="15">
        <v>43344</v>
      </c>
      <c r="D42" s="7">
        <f t="shared" si="29"/>
        <v>1260842.8490000002</v>
      </c>
      <c r="E42" s="8">
        <v>1244863.2960000001</v>
      </c>
      <c r="F42" s="8">
        <v>15979.553</v>
      </c>
      <c r="G42" s="9">
        <f t="shared" si="30"/>
        <v>0.987326292874109</v>
      </c>
      <c r="H42" s="9">
        <f t="shared" si="31"/>
        <v>1.267370712589099E-2</v>
      </c>
      <c r="I42" s="7">
        <v>10280.6</v>
      </c>
      <c r="J42" s="7">
        <v>8661.5</v>
      </c>
      <c r="K42" s="7">
        <v>1754</v>
      </c>
      <c r="L42" s="10">
        <v>82.912333333333336</v>
      </c>
      <c r="M42" s="10">
        <f t="shared" si="32"/>
        <v>56.160744020830087</v>
      </c>
      <c r="N42" s="11">
        <f t="shared" si="25"/>
        <v>0.20217867847498833</v>
      </c>
      <c r="O42" s="1"/>
      <c r="P42" s="7">
        <f t="shared" si="33"/>
        <v>888065.42200000002</v>
      </c>
      <c r="Q42" s="7">
        <v>523085.951</v>
      </c>
      <c r="R42" s="7">
        <v>364979.47100000002</v>
      </c>
      <c r="S42" s="9">
        <f t="shared" si="34"/>
        <v>0.5890173607052116</v>
      </c>
      <c r="T42" s="9">
        <f t="shared" si="35"/>
        <v>0.41098263929478834</v>
      </c>
      <c r="U42" s="7">
        <v>6070.6</v>
      </c>
      <c r="V42" s="7">
        <v>5612.9066666666668</v>
      </c>
      <c r="W42" s="7">
        <v>268.63333333333333</v>
      </c>
      <c r="X42" s="10">
        <v>34.223666666666659</v>
      </c>
      <c r="Y42" s="10">
        <f t="shared" si="26"/>
        <v>61.041070680264596</v>
      </c>
      <c r="Z42" s="11">
        <f t="shared" si="27"/>
        <v>0.21974785444895253</v>
      </c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</row>
    <row r="43" spans="1:45" x14ac:dyDescent="0.3">
      <c r="A43" s="14">
        <v>2018</v>
      </c>
      <c r="B43" s="17">
        <f t="shared" si="28"/>
        <v>31</v>
      </c>
      <c r="C43" s="15">
        <v>43374</v>
      </c>
      <c r="D43" s="7">
        <f t="shared" si="29"/>
        <v>1787008.8859999999</v>
      </c>
      <c r="E43" s="8">
        <v>1771495.142</v>
      </c>
      <c r="F43" s="8">
        <v>15513.744000000001</v>
      </c>
      <c r="G43" s="9">
        <f t="shared" si="30"/>
        <v>0.99131859717008708</v>
      </c>
      <c r="H43" s="9">
        <f t="shared" si="31"/>
        <v>8.6814028299129573E-3</v>
      </c>
      <c r="I43" s="7">
        <v>15327.548387096775</v>
      </c>
      <c r="J43" s="7">
        <v>12224</v>
      </c>
      <c r="K43" s="7">
        <v>2984.1612903225805</v>
      </c>
      <c r="L43" s="10">
        <v>82.812903225806437</v>
      </c>
      <c r="M43" s="10">
        <f t="shared" si="32"/>
        <v>54.580553373565991</v>
      </c>
      <c r="N43" s="11">
        <f t="shared" si="25"/>
        <v>0.19648999214483756</v>
      </c>
      <c r="O43" s="1"/>
      <c r="P43" s="7">
        <f t="shared" si="33"/>
        <v>1111184.94</v>
      </c>
      <c r="Q43" s="7">
        <v>583455.93500000006</v>
      </c>
      <c r="R43" s="7">
        <v>527729.005</v>
      </c>
      <c r="S43" s="9">
        <f t="shared" si="34"/>
        <v>0.52507545233649411</v>
      </c>
      <c r="T43" s="9">
        <f t="shared" si="35"/>
        <v>0.474924547663506</v>
      </c>
      <c r="U43" s="7">
        <v>8207.6129032258068</v>
      </c>
      <c r="V43" s="7">
        <v>6919.1612903225805</v>
      </c>
      <c r="W43" s="7">
        <v>856.80645161290317</v>
      </c>
      <c r="X43" s="10">
        <v>35.007096774193549</v>
      </c>
      <c r="Y43" s="10">
        <f t="shared" si="26"/>
        <v>59.959424531947533</v>
      </c>
      <c r="Z43" s="11">
        <f t="shared" si="27"/>
        <v>0.21585392831501113</v>
      </c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</row>
    <row r="44" spans="1:45" x14ac:dyDescent="0.3">
      <c r="A44" s="14">
        <v>2018</v>
      </c>
      <c r="B44" s="17">
        <f t="shared" si="28"/>
        <v>30</v>
      </c>
      <c r="C44" s="15">
        <v>43405</v>
      </c>
      <c r="D44" s="7">
        <f t="shared" si="29"/>
        <v>1882584.757</v>
      </c>
      <c r="E44" s="8">
        <v>1857344.7649999999</v>
      </c>
      <c r="F44" s="8">
        <v>25239.991999999998</v>
      </c>
      <c r="G44" s="9">
        <f t="shared" si="30"/>
        <v>0.98659290536261357</v>
      </c>
      <c r="H44" s="9">
        <f t="shared" si="31"/>
        <v>1.3407094637386357E-2</v>
      </c>
      <c r="I44" s="7">
        <v>17073.033333333333</v>
      </c>
      <c r="J44" s="7">
        <v>13383.533333333333</v>
      </c>
      <c r="K44" s="7">
        <v>3740.5333333333333</v>
      </c>
      <c r="L44" s="10">
        <v>82.889666666666656</v>
      </c>
      <c r="M44" s="10">
        <f t="shared" si="32"/>
        <v>54.26861722674316</v>
      </c>
      <c r="N44" s="11">
        <f t="shared" si="25"/>
        <v>0.19536702201627537</v>
      </c>
      <c r="O44" s="1"/>
      <c r="P44" s="7">
        <f t="shared" si="33"/>
        <v>1067365.9280000001</v>
      </c>
      <c r="Q44" s="7">
        <v>573043.33600000001</v>
      </c>
      <c r="R44" s="7">
        <v>494322.592</v>
      </c>
      <c r="S44" s="9">
        <f t="shared" si="34"/>
        <v>0.536876174297368</v>
      </c>
      <c r="T44" s="9">
        <f t="shared" si="35"/>
        <v>0.46312382570263194</v>
      </c>
      <c r="U44" s="7">
        <v>8043.7</v>
      </c>
      <c r="V44" s="7">
        <v>6934.7666666666664</v>
      </c>
      <c r="W44" s="7">
        <v>946.43333333333328</v>
      </c>
      <c r="X44" s="10">
        <v>35.046000000000006</v>
      </c>
      <c r="Y44" s="10">
        <f t="shared" si="26"/>
        <v>59.380860277994529</v>
      </c>
      <c r="Z44" s="11">
        <f t="shared" si="27"/>
        <v>0.21377109700078031</v>
      </c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</row>
    <row r="45" spans="1:45" x14ac:dyDescent="0.3">
      <c r="A45" s="14">
        <v>2018</v>
      </c>
      <c r="B45" s="17">
        <f t="shared" si="28"/>
        <v>31</v>
      </c>
      <c r="C45" s="15">
        <v>43435</v>
      </c>
      <c r="D45" s="7">
        <f t="shared" si="29"/>
        <v>1758706.574</v>
      </c>
      <c r="E45" s="8">
        <v>1593471.689</v>
      </c>
      <c r="F45" s="8">
        <v>165234.88500000001</v>
      </c>
      <c r="G45" s="9">
        <f t="shared" si="30"/>
        <v>0.90604749681227947</v>
      </c>
      <c r="H45" s="9">
        <f t="shared" si="31"/>
        <v>9.3952503187720499E-2</v>
      </c>
      <c r="I45" s="7">
        <v>12857.258064516129</v>
      </c>
      <c r="J45" s="7">
        <v>12009.451612903225</v>
      </c>
      <c r="K45" s="7">
        <v>1040.7096774193549</v>
      </c>
      <c r="L45" s="10">
        <v>82.911290322580641</v>
      </c>
      <c r="M45" s="10">
        <f t="shared" si="32"/>
        <v>54.675753135398828</v>
      </c>
      <c r="N45" s="11">
        <f t="shared" si="25"/>
        <v>0.19683271128743579</v>
      </c>
      <c r="O45" s="1"/>
      <c r="P45" s="7">
        <f t="shared" si="33"/>
        <v>1024839.068</v>
      </c>
      <c r="Q45" s="7">
        <v>596494.91500000004</v>
      </c>
      <c r="R45" s="7">
        <v>428344.15299999999</v>
      </c>
      <c r="S45" s="9">
        <f t="shared" si="34"/>
        <v>0.58203764242133682</v>
      </c>
      <c r="T45" s="9">
        <f t="shared" si="35"/>
        <v>0.41796235757866329</v>
      </c>
      <c r="U45" s="7">
        <v>6714.4838709677415</v>
      </c>
      <c r="V45" s="7">
        <v>6227.9354838709678</v>
      </c>
      <c r="W45" s="7">
        <v>423.45161290322579</v>
      </c>
      <c r="X45" s="10">
        <v>35.074838709677422</v>
      </c>
      <c r="Y45" s="10">
        <f t="shared" si="26"/>
        <v>61.437867294277787</v>
      </c>
      <c r="Z45" s="11">
        <f t="shared" si="27"/>
        <v>0.22117632225940004</v>
      </c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</row>
    <row r="46" spans="1:45" x14ac:dyDescent="0.3">
      <c r="A46" s="14">
        <v>2019</v>
      </c>
      <c r="B46" s="17">
        <f t="shared" si="28"/>
        <v>31</v>
      </c>
      <c r="C46" s="15">
        <v>43466</v>
      </c>
      <c r="D46" s="7">
        <f t="shared" si="29"/>
        <v>1688122.172</v>
      </c>
      <c r="E46" s="8">
        <v>1558350.5279999999</v>
      </c>
      <c r="F46" s="8">
        <v>129771.644</v>
      </c>
      <c r="G46" s="9">
        <f t="shared" si="30"/>
        <v>0.92312662782797683</v>
      </c>
      <c r="H46" s="9">
        <f t="shared" si="31"/>
        <v>7.6873372172023099E-2</v>
      </c>
      <c r="I46" s="7">
        <v>12653.161290322581</v>
      </c>
      <c r="J46" s="7">
        <v>11334.612903225807</v>
      </c>
      <c r="K46" s="7">
        <v>1249.0967741935483</v>
      </c>
      <c r="L46" s="10">
        <v>82.90935483870966</v>
      </c>
      <c r="M46" s="10">
        <f t="shared" si="32"/>
        <v>55.606011460228345</v>
      </c>
      <c r="N46" s="11">
        <f t="shared" si="25"/>
        <v>0.20018164125682203</v>
      </c>
      <c r="O46" s="1"/>
      <c r="P46" s="7">
        <f t="shared" si="33"/>
        <v>966996.88800000004</v>
      </c>
      <c r="Q46" s="7">
        <v>499931.36700000003</v>
      </c>
      <c r="R46" s="7">
        <v>467065.52100000001</v>
      </c>
      <c r="S46" s="9">
        <f t="shared" si="34"/>
        <v>0.5169937703046672</v>
      </c>
      <c r="T46" s="9">
        <f t="shared" si="35"/>
        <v>0.4830062296953328</v>
      </c>
      <c r="U46" s="7">
        <v>16384.225806451614</v>
      </c>
      <c r="V46" s="7">
        <v>7219.177419354839</v>
      </c>
      <c r="W46" s="7">
        <v>9241.1612903225814</v>
      </c>
      <c r="X46" s="10">
        <v>35.054838709677419</v>
      </c>
      <c r="Y46" s="10">
        <f t="shared" si="26"/>
        <v>50.01058386649855</v>
      </c>
      <c r="Z46" s="11">
        <f t="shared" si="27"/>
        <v>0.18003810191939476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</row>
    <row r="47" spans="1:45" x14ac:dyDescent="0.3">
      <c r="A47" s="14">
        <v>2019</v>
      </c>
      <c r="B47" s="17">
        <f t="shared" si="28"/>
        <v>28</v>
      </c>
      <c r="C47" s="15">
        <v>43497</v>
      </c>
      <c r="D47" s="7">
        <f t="shared" si="29"/>
        <v>1345832.7720000001</v>
      </c>
      <c r="E47" s="8">
        <v>1184781.4280000001</v>
      </c>
      <c r="F47" s="8">
        <v>161051.34400000001</v>
      </c>
      <c r="G47" s="9">
        <f t="shared" si="30"/>
        <v>0.88033331677555549</v>
      </c>
      <c r="H47" s="9">
        <f t="shared" si="31"/>
        <v>0.11966668322444447</v>
      </c>
      <c r="I47" s="7">
        <v>10917.464285714286</v>
      </c>
      <c r="J47" s="7">
        <v>9969.6428571428569</v>
      </c>
      <c r="K47" s="7">
        <v>1017.0357142857143</v>
      </c>
      <c r="L47" s="10">
        <v>82.846785714285701</v>
      </c>
      <c r="M47" s="10">
        <f t="shared" si="32"/>
        <v>55.800709992636378</v>
      </c>
      <c r="N47" s="11">
        <f t="shared" si="25"/>
        <v>0.20088255597349097</v>
      </c>
      <c r="O47" s="1"/>
      <c r="P47" s="7">
        <f t="shared" si="33"/>
        <v>648412.05700000003</v>
      </c>
      <c r="Q47" s="7">
        <v>337025.66499999998</v>
      </c>
      <c r="R47" s="7">
        <v>311386.39199999999</v>
      </c>
      <c r="S47" s="9">
        <f t="shared" si="34"/>
        <v>0.51977081758675558</v>
      </c>
      <c r="T47" s="9">
        <f t="shared" si="35"/>
        <v>0.4802291824132443</v>
      </c>
      <c r="U47" s="7">
        <v>4849.75</v>
      </c>
      <c r="V47" s="7">
        <v>4454.75</v>
      </c>
      <c r="W47" s="7">
        <v>548.42857142857144</v>
      </c>
      <c r="X47" s="10">
        <v>34.464999999999996</v>
      </c>
      <c r="Y47" s="10">
        <f t="shared" si="26"/>
        <v>60.166669431832325</v>
      </c>
      <c r="Z47" s="11">
        <f t="shared" si="27"/>
        <v>0.21660000995459638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</row>
    <row r="48" spans="1:45" x14ac:dyDescent="0.3">
      <c r="A48" s="14">
        <v>2019</v>
      </c>
      <c r="B48" s="17">
        <f t="shared" si="28"/>
        <v>31</v>
      </c>
      <c r="C48" s="15">
        <v>43525</v>
      </c>
      <c r="D48" s="7">
        <f t="shared" si="29"/>
        <v>1654757.699</v>
      </c>
      <c r="E48" s="8">
        <v>1579780.6340000001</v>
      </c>
      <c r="F48" s="8">
        <v>74977.065000000002</v>
      </c>
      <c r="G48" s="9">
        <f t="shared" si="30"/>
        <v>0.95469000383239799</v>
      </c>
      <c r="H48" s="9">
        <f t="shared" si="31"/>
        <v>4.5309996167602055E-2</v>
      </c>
      <c r="I48" s="7">
        <v>12746.967741935483</v>
      </c>
      <c r="J48" s="7">
        <v>11189.709677419354</v>
      </c>
      <c r="K48" s="7">
        <v>1176</v>
      </c>
      <c r="L48" s="10">
        <v>82.826129032258081</v>
      </c>
      <c r="M48" s="10">
        <f t="shared" si="32"/>
        <v>55.212848737377854</v>
      </c>
      <c r="N48" s="11">
        <f t="shared" si="25"/>
        <v>0.19876625545456028</v>
      </c>
      <c r="O48" s="1"/>
      <c r="P48" s="7">
        <f t="shared" si="33"/>
        <v>843403.17800000007</v>
      </c>
      <c r="Q48" s="7">
        <v>399838.17499999999</v>
      </c>
      <c r="R48" s="7">
        <v>443565.00300000003</v>
      </c>
      <c r="S48" s="9">
        <f t="shared" si="34"/>
        <v>0.47407715008633744</v>
      </c>
      <c r="T48" s="9">
        <f t="shared" si="35"/>
        <v>0.52592284991366256</v>
      </c>
      <c r="U48" s="7">
        <v>5264.4838709677415</v>
      </c>
      <c r="V48" s="7">
        <v>5198.0612903225801</v>
      </c>
      <c r="W48" s="7">
        <v>0</v>
      </c>
      <c r="X48" s="10">
        <v>34.18741935483871</v>
      </c>
      <c r="Y48" s="10">
        <f t="shared" si="26"/>
        <v>60.578484015948149</v>
      </c>
      <c r="Z48" s="11">
        <f t="shared" si="27"/>
        <v>0.21808254245741335</v>
      </c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</row>
    <row r="49" spans="1:45" x14ac:dyDescent="0.3">
      <c r="A49" s="14">
        <v>2019</v>
      </c>
      <c r="B49" s="17">
        <f t="shared" si="28"/>
        <v>30</v>
      </c>
      <c r="C49" s="15">
        <v>43556</v>
      </c>
      <c r="D49" s="7">
        <f t="shared" si="29"/>
        <v>1575051.432</v>
      </c>
      <c r="E49" s="8">
        <v>1559947.595</v>
      </c>
      <c r="F49" s="8">
        <v>15103.837</v>
      </c>
      <c r="G49" s="9">
        <f t="shared" si="30"/>
        <v>0.99041057536716681</v>
      </c>
      <c r="H49" s="9">
        <f t="shared" si="31"/>
        <v>9.5894246328331965E-3</v>
      </c>
      <c r="I49" s="7">
        <v>11796.133333333333</v>
      </c>
      <c r="J49" s="7">
        <v>11009.766666666666</v>
      </c>
      <c r="K49" s="7">
        <v>1017.1333333333333</v>
      </c>
      <c r="L49" s="10">
        <v>82.921666666666624</v>
      </c>
      <c r="M49" s="10">
        <f t="shared" si="32"/>
        <v>55.192698435765955</v>
      </c>
      <c r="N49" s="11">
        <f t="shared" si="25"/>
        <v>0.19869371436875743</v>
      </c>
      <c r="O49" s="1"/>
      <c r="P49" s="7">
        <f t="shared" si="33"/>
        <v>593300.30900000001</v>
      </c>
      <c r="Q49" s="7">
        <v>305046.50300000003</v>
      </c>
      <c r="R49" s="7">
        <v>288253.80599999998</v>
      </c>
      <c r="S49" s="9">
        <f t="shared" si="34"/>
        <v>0.51415193683979699</v>
      </c>
      <c r="T49" s="9">
        <f t="shared" si="35"/>
        <v>0.48584806316020301</v>
      </c>
      <c r="U49" s="7">
        <v>3646.9333333333334</v>
      </c>
      <c r="V49" s="7">
        <v>3778.49</v>
      </c>
      <c r="W49" s="7">
        <v>0</v>
      </c>
      <c r="X49" s="10">
        <v>33.495666666666672</v>
      </c>
      <c r="Y49" s="10">
        <f t="shared" si="26"/>
        <v>60.57888843194889</v>
      </c>
      <c r="Z49" s="11">
        <f t="shared" si="27"/>
        <v>0.21808399835501599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</row>
    <row r="50" spans="1:45" x14ac:dyDescent="0.3">
      <c r="A50" s="14">
        <v>2019</v>
      </c>
      <c r="B50" s="17">
        <f t="shared" si="28"/>
        <v>31</v>
      </c>
      <c r="C50" s="15">
        <v>43586</v>
      </c>
      <c r="D50" s="7">
        <f t="shared" si="29"/>
        <v>1602233.639</v>
      </c>
      <c r="E50" s="8">
        <v>1588201.0109999999</v>
      </c>
      <c r="F50" s="8">
        <v>14032.628000000001</v>
      </c>
      <c r="G50" s="9">
        <f t="shared" si="30"/>
        <v>0.99124183411305844</v>
      </c>
      <c r="H50" s="9">
        <f t="shared" si="31"/>
        <v>8.7581658869415359E-3</v>
      </c>
      <c r="I50" s="7">
        <v>11850.806451612903</v>
      </c>
      <c r="J50" s="7">
        <v>10825.774193548386</v>
      </c>
      <c r="K50" s="7">
        <v>1130.9032258064517</v>
      </c>
      <c r="L50" s="10">
        <v>82.842903225806452</v>
      </c>
      <c r="M50" s="10">
        <f t="shared" si="32"/>
        <v>55.257527053892474</v>
      </c>
      <c r="N50" s="11">
        <f t="shared" si="25"/>
        <v>0.1989270973940129</v>
      </c>
      <c r="O50" s="1"/>
      <c r="P50" s="7">
        <f t="shared" si="33"/>
        <v>1190508.5150000001</v>
      </c>
      <c r="Q50" s="7">
        <v>591862.505</v>
      </c>
      <c r="R50" s="7">
        <v>598646.01</v>
      </c>
      <c r="S50" s="9">
        <f t="shared" si="34"/>
        <v>0.49715100525761458</v>
      </c>
      <c r="T50" s="9">
        <f t="shared" si="35"/>
        <v>0.50284899474238531</v>
      </c>
      <c r="U50" s="7">
        <v>10389.41935483871</v>
      </c>
      <c r="V50" s="7">
        <v>8042.1290322580644</v>
      </c>
      <c r="W50" s="7">
        <v>2079.7096774193546</v>
      </c>
      <c r="X50" s="10">
        <v>34.475806451612897</v>
      </c>
      <c r="Y50" s="10">
        <f t="shared" si="26"/>
        <v>55.269563261317124</v>
      </c>
      <c r="Z50" s="11">
        <f t="shared" si="27"/>
        <v>0.19897042774074164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</row>
    <row r="51" spans="1:45" x14ac:dyDescent="0.3">
      <c r="A51" s="14">
        <v>2019</v>
      </c>
      <c r="B51" s="17">
        <f t="shared" si="28"/>
        <v>30</v>
      </c>
      <c r="C51" s="15">
        <v>43617</v>
      </c>
      <c r="D51" s="7">
        <f t="shared" si="29"/>
        <v>1490418.9680000001</v>
      </c>
      <c r="E51" s="8">
        <v>1477806.78</v>
      </c>
      <c r="F51" s="8">
        <v>12612.188</v>
      </c>
      <c r="G51" s="9">
        <f t="shared" si="30"/>
        <v>0.99153782374567845</v>
      </c>
      <c r="H51" s="9">
        <f t="shared" si="31"/>
        <v>8.4621762543215292E-3</v>
      </c>
      <c r="I51" s="7">
        <v>11823.4</v>
      </c>
      <c r="J51" s="7">
        <v>10646.666666666666</v>
      </c>
      <c r="K51" s="7">
        <v>1017.3</v>
      </c>
      <c r="L51" s="10">
        <v>82.844999999999999</v>
      </c>
      <c r="M51" s="10">
        <f t="shared" si="32"/>
        <v>54.008201430923719</v>
      </c>
      <c r="N51" s="11">
        <f t="shared" si="25"/>
        <v>0.19442952515132539</v>
      </c>
      <c r="O51" s="1"/>
      <c r="P51" s="7">
        <f t="shared" si="33"/>
        <v>770786.31299999997</v>
      </c>
      <c r="Q51" s="7">
        <v>446180.48</v>
      </c>
      <c r="R51" s="7">
        <v>324605.83299999998</v>
      </c>
      <c r="S51" s="9">
        <f t="shared" si="34"/>
        <v>0.57886404114184109</v>
      </c>
      <c r="T51" s="9">
        <f t="shared" si="35"/>
        <v>0.42113595885815891</v>
      </c>
      <c r="U51" s="7">
        <v>6649.5333333333338</v>
      </c>
      <c r="V51" s="7">
        <v>4853.6766666666663</v>
      </c>
      <c r="W51" s="7">
        <v>1577.8</v>
      </c>
      <c r="X51" s="10">
        <v>35.122666666666667</v>
      </c>
      <c r="Y51" s="10">
        <f t="shared" si="26"/>
        <v>61.267217236311197</v>
      </c>
      <c r="Z51" s="11">
        <f t="shared" si="27"/>
        <v>0.22056198205072031</v>
      </c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</row>
    <row r="52" spans="1:45" x14ac:dyDescent="0.3">
      <c r="A52" s="14">
        <v>2019</v>
      </c>
      <c r="B52" s="17">
        <f t="shared" si="28"/>
        <v>31</v>
      </c>
      <c r="C52" s="15">
        <v>43647</v>
      </c>
      <c r="D52" s="7">
        <f t="shared" si="29"/>
        <v>1364863.774</v>
      </c>
      <c r="E52" s="8">
        <v>1354825.767</v>
      </c>
      <c r="F52" s="8">
        <v>10038.007</v>
      </c>
      <c r="G52" s="9">
        <f t="shared" si="30"/>
        <v>0.99264541473572732</v>
      </c>
      <c r="H52" s="9">
        <f t="shared" si="31"/>
        <v>7.3545852642726822E-3</v>
      </c>
      <c r="I52" s="7">
        <v>9911.1935483870966</v>
      </c>
      <c r="J52" s="7">
        <v>9103.9354838709678</v>
      </c>
      <c r="K52" s="7">
        <v>1019.516129032258</v>
      </c>
      <c r="L52" s="10">
        <v>82.98645161290321</v>
      </c>
      <c r="M52" s="10">
        <f t="shared" si="32"/>
        <v>55.97378808631607</v>
      </c>
      <c r="N52" s="11">
        <f t="shared" si="25"/>
        <v>0.20150563711073785</v>
      </c>
      <c r="O52" s="1"/>
      <c r="P52" s="7">
        <f t="shared" si="33"/>
        <v>660096.23499999999</v>
      </c>
      <c r="Q52" s="7">
        <v>337468.93</v>
      </c>
      <c r="R52" s="7">
        <v>322627.30499999999</v>
      </c>
      <c r="S52" s="9">
        <f t="shared" si="34"/>
        <v>0.51124201609784969</v>
      </c>
      <c r="T52" s="9">
        <f t="shared" si="35"/>
        <v>0.48875798390215025</v>
      </c>
      <c r="U52" s="7">
        <v>4065.516129032258</v>
      </c>
      <c r="V52" s="7">
        <v>3927.235483870968</v>
      </c>
      <c r="W52" s="7">
        <v>0</v>
      </c>
      <c r="X52" s="10">
        <v>34.307741935483861</v>
      </c>
      <c r="Y52" s="10">
        <f t="shared" si="26"/>
        <v>62.754500374205655</v>
      </c>
      <c r="Z52" s="11">
        <f t="shared" si="27"/>
        <v>0.22591620134714036</v>
      </c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</row>
    <row r="53" spans="1:45" x14ac:dyDescent="0.3">
      <c r="A53" s="14">
        <v>2019</v>
      </c>
      <c r="B53" s="17">
        <f t="shared" si="28"/>
        <v>31</v>
      </c>
      <c r="C53" s="15">
        <v>43678</v>
      </c>
      <c r="D53" s="7">
        <f t="shared" si="29"/>
        <v>1226856.3359999999</v>
      </c>
      <c r="E53" s="8">
        <v>1172304.1939999999</v>
      </c>
      <c r="F53" s="8">
        <v>54552.142</v>
      </c>
      <c r="G53" s="9">
        <f t="shared" si="30"/>
        <v>0.95553502036117777</v>
      </c>
      <c r="H53" s="9">
        <f t="shared" si="31"/>
        <v>4.4464979638822198E-2</v>
      </c>
      <c r="I53" s="7">
        <v>9130.6129032258068</v>
      </c>
      <c r="J53" s="7">
        <v>7819.1290322580644</v>
      </c>
      <c r="K53" s="7">
        <v>1010.4516129032259</v>
      </c>
      <c r="L53" s="10">
        <v>82.921612903225807</v>
      </c>
      <c r="M53" s="10">
        <f t="shared" si="32"/>
        <v>58.5814198888215</v>
      </c>
      <c r="N53" s="11">
        <f t="shared" si="25"/>
        <v>0.2108931115997574</v>
      </c>
      <c r="O53" s="1"/>
      <c r="P53" s="7">
        <f t="shared" si="33"/>
        <v>782268.08900000004</v>
      </c>
      <c r="Q53" s="7">
        <v>361251.41100000002</v>
      </c>
      <c r="R53" s="7">
        <v>421016.67800000001</v>
      </c>
      <c r="S53" s="9">
        <f t="shared" si="34"/>
        <v>0.46180000958725037</v>
      </c>
      <c r="T53" s="9">
        <f t="shared" si="35"/>
        <v>0.53819999041274968</v>
      </c>
      <c r="U53" s="7">
        <v>4395.4516129032254</v>
      </c>
      <c r="V53" s="7">
        <v>4655.1064516129027</v>
      </c>
      <c r="W53" s="7">
        <v>11.451612903225806</v>
      </c>
      <c r="X53" s="10">
        <v>34.102580645161289</v>
      </c>
      <c r="Y53" s="10">
        <f t="shared" si="26"/>
        <v>62.740873587107409</v>
      </c>
      <c r="Z53" s="11">
        <f t="shared" si="27"/>
        <v>0.22586714491358667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</row>
    <row r="54" spans="1:45" x14ac:dyDescent="0.3">
      <c r="A54" s="14">
        <v>2019</v>
      </c>
      <c r="B54" s="17">
        <f t="shared" si="28"/>
        <v>30</v>
      </c>
      <c r="C54" s="15">
        <v>43709</v>
      </c>
      <c r="D54" s="7">
        <f t="shared" si="29"/>
        <v>1261803.7819999999</v>
      </c>
      <c r="E54" s="8">
        <v>1187982.017</v>
      </c>
      <c r="F54" s="8">
        <v>73821.764999999999</v>
      </c>
      <c r="G54" s="9">
        <f t="shared" si="30"/>
        <v>0.94149505172429426</v>
      </c>
      <c r="H54" s="9">
        <f t="shared" si="31"/>
        <v>5.8504948275705841E-2</v>
      </c>
      <c r="I54" s="7">
        <v>9914.7333333333336</v>
      </c>
      <c r="J54" s="7">
        <v>8502.4333333333325</v>
      </c>
      <c r="K54" s="7">
        <v>1462.7333333333333</v>
      </c>
      <c r="L54" s="10">
        <v>82.966333333333338</v>
      </c>
      <c r="M54" s="10">
        <f t="shared" si="32"/>
        <v>57.25502283587371</v>
      </c>
      <c r="N54" s="11">
        <f t="shared" si="25"/>
        <v>0.20611808220914535</v>
      </c>
      <c r="O54" s="1"/>
      <c r="P54" s="7">
        <f t="shared" si="33"/>
        <v>403789.44400000002</v>
      </c>
      <c r="Q54" s="7">
        <v>219451.932</v>
      </c>
      <c r="R54" s="7">
        <v>184337.51199999999</v>
      </c>
      <c r="S54" s="9">
        <f t="shared" si="34"/>
        <v>0.54348110199730726</v>
      </c>
      <c r="T54" s="9">
        <f t="shared" si="35"/>
        <v>0.45651889800269269</v>
      </c>
      <c r="U54" s="7">
        <v>2549.1333333333332</v>
      </c>
      <c r="V54" s="7">
        <v>2453.8333333333335</v>
      </c>
      <c r="W54" s="7">
        <v>0</v>
      </c>
      <c r="X54" s="10">
        <v>33.776666666666664</v>
      </c>
      <c r="Y54" s="10">
        <f t="shared" si="26"/>
        <v>63.485552335599877</v>
      </c>
      <c r="Z54" s="11">
        <f t="shared" si="27"/>
        <v>0.22854798840815954</v>
      </c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</row>
    <row r="55" spans="1:45" x14ac:dyDescent="0.3">
      <c r="A55" s="14">
        <v>2019</v>
      </c>
      <c r="B55" s="17">
        <f t="shared" si="28"/>
        <v>31</v>
      </c>
      <c r="C55" s="15">
        <v>43739</v>
      </c>
      <c r="D55" s="7">
        <f t="shared" si="29"/>
        <v>1341094.406</v>
      </c>
      <c r="E55" s="8">
        <v>1182720.298</v>
      </c>
      <c r="F55" s="8">
        <v>158374.10800000001</v>
      </c>
      <c r="G55" s="9">
        <f t="shared" si="30"/>
        <v>0.8819068163348972</v>
      </c>
      <c r="H55" s="9">
        <f t="shared" si="31"/>
        <v>0.11809318366510285</v>
      </c>
      <c r="I55" s="7">
        <v>9712.4516129032254</v>
      </c>
      <c r="J55" s="7">
        <v>8801.1612903225814</v>
      </c>
      <c r="K55" s="7">
        <v>1016.7096774193549</v>
      </c>
      <c r="L55" s="10">
        <v>82.856451612903214</v>
      </c>
      <c r="M55" s="10">
        <f t="shared" si="32"/>
        <v>56.891048085188046</v>
      </c>
      <c r="N55" s="11">
        <f t="shared" si="25"/>
        <v>0.20480777310667697</v>
      </c>
      <c r="O55" s="1"/>
      <c r="P55" s="7">
        <f t="shared" si="33"/>
        <v>626883.70400000003</v>
      </c>
      <c r="Q55" s="7">
        <v>349048.505</v>
      </c>
      <c r="R55" s="7">
        <v>277835.19900000002</v>
      </c>
      <c r="S55" s="9">
        <f t="shared" si="34"/>
        <v>0.55679945542179865</v>
      </c>
      <c r="T55" s="9">
        <f t="shared" si="35"/>
        <v>0.44320054457820141</v>
      </c>
      <c r="U55" s="7">
        <v>4066</v>
      </c>
      <c r="V55" s="7">
        <v>3856.9354838709678</v>
      </c>
      <c r="W55" s="7">
        <v>1.967741935483871</v>
      </c>
      <c r="X55" s="10">
        <v>33.614516129032253</v>
      </c>
      <c r="Y55" s="10">
        <f t="shared" si="26"/>
        <v>60.683297168284412</v>
      </c>
      <c r="Z55" s="11">
        <f t="shared" si="27"/>
        <v>0.21845986980582391</v>
      </c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</row>
    <row r="56" spans="1:45" x14ac:dyDescent="0.3">
      <c r="A56" s="14">
        <v>2019</v>
      </c>
      <c r="B56" s="17">
        <f t="shared" si="28"/>
        <v>30</v>
      </c>
      <c r="C56" s="15">
        <v>43770</v>
      </c>
      <c r="D56" s="7">
        <f t="shared" si="29"/>
        <v>1338092.4139999999</v>
      </c>
      <c r="E56" s="8">
        <v>1046920.786</v>
      </c>
      <c r="F56" s="8">
        <v>291171.62800000003</v>
      </c>
      <c r="G56" s="9">
        <f t="shared" si="30"/>
        <v>0.78239796821686491</v>
      </c>
      <c r="H56" s="9">
        <f t="shared" si="31"/>
        <v>0.21760203178313517</v>
      </c>
      <c r="I56" s="7">
        <v>10147.4</v>
      </c>
      <c r="J56" s="7">
        <v>9161.7333333333336</v>
      </c>
      <c r="K56" s="7">
        <v>1017.6</v>
      </c>
      <c r="L56" s="10">
        <v>82.856333333333339</v>
      </c>
      <c r="M56" s="10">
        <f t="shared" si="32"/>
        <v>56.347345908316434</v>
      </c>
      <c r="N56" s="11">
        <f t="shared" si="25"/>
        <v>0.20285044526993917</v>
      </c>
      <c r="O56" s="1"/>
      <c r="P56" s="7">
        <f t="shared" si="33"/>
        <v>1081079.9759999998</v>
      </c>
      <c r="Q56" s="7">
        <v>547597.66799999995</v>
      </c>
      <c r="R56" s="7">
        <v>533482.30799999996</v>
      </c>
      <c r="S56" s="9">
        <f t="shared" si="34"/>
        <v>0.50652836067329032</v>
      </c>
      <c r="T56" s="9">
        <f t="shared" si="35"/>
        <v>0.49347163932670979</v>
      </c>
      <c r="U56" s="7">
        <v>8687</v>
      </c>
      <c r="V56" s="7">
        <v>7246.4333333333334</v>
      </c>
      <c r="W56" s="7">
        <v>1549.3666666666666</v>
      </c>
      <c r="X56" s="10">
        <v>34.986333333333349</v>
      </c>
      <c r="Y56" s="10">
        <f t="shared" si="26"/>
        <v>57.557049777233942</v>
      </c>
      <c r="Z56" s="11">
        <f t="shared" si="27"/>
        <v>0.20720537919804219</v>
      </c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</row>
    <row r="57" spans="1:45" x14ac:dyDescent="0.3">
      <c r="A57" s="14">
        <v>2019</v>
      </c>
      <c r="B57" s="17">
        <f t="shared" si="28"/>
        <v>31</v>
      </c>
      <c r="C57" s="15">
        <v>43800</v>
      </c>
      <c r="D57" s="7">
        <f t="shared" si="29"/>
        <v>1391427.514</v>
      </c>
      <c r="E57" s="8">
        <v>1184167.6170000001</v>
      </c>
      <c r="F57" s="8">
        <v>207259.897</v>
      </c>
      <c r="G57" s="9">
        <f t="shared" si="30"/>
        <v>0.85104513536304849</v>
      </c>
      <c r="H57" s="9">
        <f t="shared" si="31"/>
        <v>0.14895486463695154</v>
      </c>
      <c r="I57" s="7">
        <v>10154.096774193549</v>
      </c>
      <c r="J57" s="7">
        <v>9201.967741935483</v>
      </c>
      <c r="K57" s="7">
        <v>1015.1935483870968</v>
      </c>
      <c r="L57" s="10">
        <v>82.843870967741935</v>
      </c>
      <c r="M57" s="10">
        <f t="shared" si="32"/>
        <v>56.455264181716885</v>
      </c>
      <c r="N57" s="11">
        <f t="shared" si="25"/>
        <v>0.2032389510541808</v>
      </c>
      <c r="O57" s="1"/>
      <c r="P57" s="7">
        <f t="shared" si="33"/>
        <v>651673.10600000003</v>
      </c>
      <c r="Q57" s="7">
        <v>314593.15700000001</v>
      </c>
      <c r="R57" s="7">
        <v>337079.94900000002</v>
      </c>
      <c r="S57" s="9">
        <f t="shared" si="34"/>
        <v>0.48274687738916755</v>
      </c>
      <c r="T57" s="9">
        <f t="shared" si="35"/>
        <v>0.51725312261083245</v>
      </c>
      <c r="U57" s="7">
        <v>3628.2580645161293</v>
      </c>
      <c r="V57" s="7">
        <v>3688.6967741935487</v>
      </c>
      <c r="W57" s="7">
        <v>0</v>
      </c>
      <c r="X57" s="10">
        <v>34.666774193548392</v>
      </c>
      <c r="Y57" s="10">
        <f t="shared" si="26"/>
        <v>65.960115303647115</v>
      </c>
      <c r="Z57" s="11">
        <f t="shared" si="27"/>
        <v>0.23745641509312962</v>
      </c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</row>
    <row r="58" spans="1:45" x14ac:dyDescent="0.3">
      <c r="A58" s="14">
        <v>2020</v>
      </c>
      <c r="B58" s="17">
        <f t="shared" si="28"/>
        <v>31</v>
      </c>
      <c r="C58" s="15">
        <v>43831</v>
      </c>
      <c r="D58" s="7">
        <f t="shared" si="29"/>
        <v>1546013.794</v>
      </c>
      <c r="E58" s="8">
        <v>1436345.496</v>
      </c>
      <c r="F58" s="8">
        <v>109668.298</v>
      </c>
      <c r="G58" s="9">
        <f t="shared" si="30"/>
        <v>0.92906382955597355</v>
      </c>
      <c r="H58" s="9">
        <f t="shared" si="31"/>
        <v>7.0936170444026447E-2</v>
      </c>
      <c r="I58" s="7">
        <v>11573.354838709678</v>
      </c>
      <c r="J58" s="7">
        <v>10460.870967741936</v>
      </c>
      <c r="K58" s="7">
        <v>1041.1290322580646</v>
      </c>
      <c r="L58" s="10">
        <v>82.828387096774193</v>
      </c>
      <c r="M58" s="10">
        <f t="shared" si="32"/>
        <v>55.178524490023641</v>
      </c>
      <c r="N58" s="11">
        <f t="shared" si="25"/>
        <v>0.19864268816408512</v>
      </c>
      <c r="O58" s="1"/>
      <c r="P58" s="7">
        <f t="shared" si="33"/>
        <v>275565.11300000001</v>
      </c>
      <c r="Q58" s="7">
        <v>130280.495</v>
      </c>
      <c r="R58" s="7">
        <v>145284.61799999999</v>
      </c>
      <c r="S58" s="9">
        <f t="shared" si="34"/>
        <v>0.47277572106887128</v>
      </c>
      <c r="T58" s="9">
        <f t="shared" si="35"/>
        <v>0.52722427893112866</v>
      </c>
      <c r="U58" s="7">
        <v>1458.9354838709678</v>
      </c>
      <c r="V58" s="7">
        <v>1619.5806451612902</v>
      </c>
      <c r="W58" s="7">
        <v>0</v>
      </c>
      <c r="X58" s="10">
        <v>33.322903225806449</v>
      </c>
      <c r="Y58" s="10">
        <f t="shared" si="26"/>
        <v>63.525226165526576</v>
      </c>
      <c r="Z58" s="11">
        <f t="shared" si="27"/>
        <v>0.22869081419589568</v>
      </c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</row>
    <row r="59" spans="1:45" x14ac:dyDescent="0.3">
      <c r="A59" s="14">
        <v>2020</v>
      </c>
      <c r="B59" s="17">
        <f t="shared" si="28"/>
        <v>29</v>
      </c>
      <c r="C59" s="15">
        <v>43862</v>
      </c>
      <c r="D59" s="7">
        <f t="shared" si="29"/>
        <v>1440767.1410000001</v>
      </c>
      <c r="E59" s="8">
        <v>1339952.638</v>
      </c>
      <c r="F59" s="8">
        <v>100814.503</v>
      </c>
      <c r="G59" s="9">
        <f t="shared" si="30"/>
        <v>0.93002720555521057</v>
      </c>
      <c r="H59" s="9">
        <f t="shared" si="31"/>
        <v>6.997279444478946E-2</v>
      </c>
      <c r="I59" s="7">
        <v>11227.103448275862</v>
      </c>
      <c r="J59" s="7">
        <v>10324.068965517241</v>
      </c>
      <c r="K59" s="7">
        <v>1018.7586206896551</v>
      </c>
      <c r="L59" s="10">
        <v>82.922413793103431</v>
      </c>
      <c r="M59" s="10">
        <f t="shared" si="32"/>
        <v>55.696917191918196</v>
      </c>
      <c r="N59" s="11">
        <f t="shared" si="25"/>
        <v>0.20050890189090551</v>
      </c>
      <c r="O59" s="1"/>
      <c r="P59" s="7">
        <f t="shared" si="33"/>
        <v>256184.22899999999</v>
      </c>
      <c r="Q59" s="7">
        <v>131554.736</v>
      </c>
      <c r="R59" s="7">
        <v>124629.493</v>
      </c>
      <c r="S59" s="9">
        <f t="shared" si="34"/>
        <v>0.51351613841927801</v>
      </c>
      <c r="T59" s="9">
        <f t="shared" si="35"/>
        <v>0.4864838615807221</v>
      </c>
      <c r="U59" s="7">
        <v>1679.0689655172414</v>
      </c>
      <c r="V59" s="7">
        <v>1682.4482758620691</v>
      </c>
      <c r="W59" s="7">
        <v>0</v>
      </c>
      <c r="X59" s="10">
        <v>32.286206896551732</v>
      </c>
      <c r="Y59" s="10">
        <f t="shared" si="26"/>
        <v>60.771356255365852</v>
      </c>
      <c r="Z59" s="11">
        <f t="shared" si="27"/>
        <v>0.21877688251931707</v>
      </c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</row>
    <row r="60" spans="1:45" x14ac:dyDescent="0.3">
      <c r="A60" s="14">
        <v>2020</v>
      </c>
      <c r="B60" s="17">
        <f t="shared" si="28"/>
        <v>31</v>
      </c>
      <c r="C60" s="15">
        <v>43891</v>
      </c>
      <c r="D60" s="7">
        <f t="shared" si="29"/>
        <v>1298518.8220000002</v>
      </c>
      <c r="E60" s="8">
        <v>1032508.243</v>
      </c>
      <c r="F60" s="8">
        <v>266010.57900000003</v>
      </c>
      <c r="G60" s="9">
        <f t="shared" si="30"/>
        <v>0.79514307032509068</v>
      </c>
      <c r="H60" s="9">
        <f t="shared" si="31"/>
        <v>0.20485692967490923</v>
      </c>
      <c r="I60" s="7">
        <v>9545.7741935483864</v>
      </c>
      <c r="J60" s="7">
        <v>8659.354838709678</v>
      </c>
      <c r="K60" s="7">
        <v>1016</v>
      </c>
      <c r="L60" s="10">
        <v>82.838064516129066</v>
      </c>
      <c r="M60" s="10">
        <f t="shared" si="32"/>
        <v>55.987010253343051</v>
      </c>
      <c r="N60" s="11">
        <f t="shared" si="25"/>
        <v>0.20155323691203497</v>
      </c>
      <c r="O60" s="1"/>
      <c r="P60" s="7">
        <f t="shared" si="33"/>
        <v>156496.304</v>
      </c>
      <c r="Q60" s="7">
        <v>89016.695999999996</v>
      </c>
      <c r="R60" s="7">
        <v>67479.607999999993</v>
      </c>
      <c r="S60" s="9">
        <f t="shared" si="34"/>
        <v>0.56881021292362277</v>
      </c>
      <c r="T60" s="9">
        <f t="shared" si="35"/>
        <v>0.43118978707637717</v>
      </c>
      <c r="U60" s="7">
        <v>831</v>
      </c>
      <c r="V60" s="7">
        <v>932.89677419354837</v>
      </c>
      <c r="W60" s="7">
        <v>0</v>
      </c>
      <c r="X60" s="10">
        <v>32.812258064516129</v>
      </c>
      <c r="Y60" s="10">
        <f t="shared" si="26"/>
        <v>62.631823692239045</v>
      </c>
      <c r="Z60" s="11">
        <f t="shared" si="27"/>
        <v>0.22547456529206056</v>
      </c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</row>
    <row r="61" spans="1:45" x14ac:dyDescent="0.3">
      <c r="A61" s="14">
        <v>2020</v>
      </c>
      <c r="B61" s="17">
        <f t="shared" si="28"/>
        <v>30</v>
      </c>
      <c r="C61" s="15">
        <v>43922</v>
      </c>
      <c r="D61" s="7">
        <f t="shared" si="29"/>
        <v>887761.74599999993</v>
      </c>
      <c r="E61" s="8">
        <v>779198.44799999997</v>
      </c>
      <c r="F61" s="8">
        <v>108563.298</v>
      </c>
      <c r="G61" s="9">
        <f t="shared" si="30"/>
        <v>0.87771122320920558</v>
      </c>
      <c r="H61" s="9">
        <f t="shared" si="31"/>
        <v>0.1222887767907945</v>
      </c>
      <c r="I61" s="7">
        <v>7049.5333333333338</v>
      </c>
      <c r="J61" s="7">
        <v>5986</v>
      </c>
      <c r="K61" s="7">
        <v>1014.3</v>
      </c>
      <c r="L61" s="10">
        <v>82.686666666666682</v>
      </c>
      <c r="M61" s="10">
        <f t="shared" si="32"/>
        <v>57.216951822771648</v>
      </c>
      <c r="N61" s="11">
        <f t="shared" si="25"/>
        <v>0.20598102656197792</v>
      </c>
      <c r="O61" s="1"/>
      <c r="P61" s="7">
        <f t="shared" si="33"/>
        <v>109756.79699999999</v>
      </c>
      <c r="Q61" s="7">
        <v>50930.853999999999</v>
      </c>
      <c r="R61" s="7">
        <v>58825.942999999999</v>
      </c>
      <c r="S61" s="9">
        <f t="shared" si="34"/>
        <v>0.464033712645605</v>
      </c>
      <c r="T61" s="9">
        <f t="shared" si="35"/>
        <v>0.535966287354395</v>
      </c>
      <c r="U61" s="7">
        <v>580.93333333333328</v>
      </c>
      <c r="V61" s="7">
        <v>624.80333333333328</v>
      </c>
      <c r="W61" s="7">
        <v>0</v>
      </c>
      <c r="X61" s="10">
        <v>32.472333333333331</v>
      </c>
      <c r="Y61" s="10">
        <f t="shared" si="26"/>
        <v>67.77243498546801</v>
      </c>
      <c r="Z61" s="11">
        <f t="shared" si="27"/>
        <v>0.24398076594768484</v>
      </c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</row>
    <row r="62" spans="1:45" x14ac:dyDescent="0.3">
      <c r="A62" s="14">
        <v>2020</v>
      </c>
      <c r="B62" s="17">
        <f t="shared" si="28"/>
        <v>31</v>
      </c>
      <c r="C62" s="15">
        <v>43952</v>
      </c>
      <c r="D62" s="7">
        <f t="shared" si="29"/>
        <v>1093817.889</v>
      </c>
      <c r="E62" s="8">
        <v>1032972.08</v>
      </c>
      <c r="F62" s="8">
        <v>60845.809000000001</v>
      </c>
      <c r="G62" s="9">
        <f t="shared" si="30"/>
        <v>0.94437299882192727</v>
      </c>
      <c r="H62" s="9">
        <f t="shared" si="31"/>
        <v>5.5627001178072712E-2</v>
      </c>
      <c r="I62" s="7">
        <v>8170.2580645161288</v>
      </c>
      <c r="J62" s="7">
        <v>7198</v>
      </c>
      <c r="K62" s="7">
        <v>1013.5806451612904</v>
      </c>
      <c r="L62" s="10">
        <v>82.670967741935485</v>
      </c>
      <c r="M62" s="10">
        <f t="shared" si="32"/>
        <v>56.735873185353157</v>
      </c>
      <c r="N62" s="11">
        <f t="shared" si="25"/>
        <v>0.20424914346727135</v>
      </c>
      <c r="O62" s="1"/>
      <c r="P62" s="7">
        <f t="shared" si="33"/>
        <v>281837.99700000003</v>
      </c>
      <c r="Q62" s="7">
        <v>154138.21900000001</v>
      </c>
      <c r="R62" s="7">
        <v>127699.77800000001</v>
      </c>
      <c r="S62" s="9">
        <f t="shared" si="34"/>
        <v>0.54690361356776174</v>
      </c>
      <c r="T62" s="9">
        <f t="shared" si="35"/>
        <v>0.45309638643223821</v>
      </c>
      <c r="U62" s="7">
        <v>2315</v>
      </c>
      <c r="V62" s="7">
        <v>1598.0516129032258</v>
      </c>
      <c r="W62" s="7">
        <v>0</v>
      </c>
      <c r="X62" s="10">
        <v>33.251290322580644</v>
      </c>
      <c r="Y62" s="10">
        <f t="shared" si="26"/>
        <v>65.846592507139079</v>
      </c>
      <c r="Z62" s="11">
        <f t="shared" si="27"/>
        <v>0.23704773302570067</v>
      </c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</row>
    <row r="63" spans="1:45" x14ac:dyDescent="0.3">
      <c r="A63" s="14">
        <v>2020</v>
      </c>
      <c r="B63" s="17">
        <f t="shared" si="28"/>
        <v>30</v>
      </c>
      <c r="C63" s="15">
        <v>43983</v>
      </c>
      <c r="D63" s="7">
        <f t="shared" si="29"/>
        <v>1085204.514</v>
      </c>
      <c r="E63" s="8">
        <v>1034031.423</v>
      </c>
      <c r="F63" s="8">
        <v>51173.091</v>
      </c>
      <c r="G63" s="9">
        <f t="shared" si="30"/>
        <v>0.95284474922484519</v>
      </c>
      <c r="H63" s="9">
        <f t="shared" si="31"/>
        <v>4.7155250775154811E-2</v>
      </c>
      <c r="I63" s="7">
        <v>8422.5666666666675</v>
      </c>
      <c r="J63" s="7">
        <v>7275.7666666666664</v>
      </c>
      <c r="K63" s="7">
        <v>1017.2333333333333</v>
      </c>
      <c r="L63" s="10">
        <v>82.850666666666683</v>
      </c>
      <c r="M63" s="10">
        <f t="shared" si="32"/>
        <v>57.543706416073249</v>
      </c>
      <c r="N63" s="11">
        <f t="shared" si="25"/>
        <v>0.20715734309786368</v>
      </c>
      <c r="O63" s="1"/>
      <c r="P63" s="7">
        <f t="shared" si="33"/>
        <v>821704.03799999994</v>
      </c>
      <c r="Q63" s="7">
        <v>409620.09100000001</v>
      </c>
      <c r="R63" s="7">
        <v>412083.94699999999</v>
      </c>
      <c r="S63" s="9">
        <f t="shared" si="34"/>
        <v>0.49850076433481033</v>
      </c>
      <c r="T63" s="9">
        <f t="shared" si="35"/>
        <v>0.50149923566518972</v>
      </c>
      <c r="U63" s="7">
        <v>5055.5666666666666</v>
      </c>
      <c r="V63" s="7">
        <v>5093.5733333333337</v>
      </c>
      <c r="W63" s="7">
        <v>126.6</v>
      </c>
      <c r="X63" s="10">
        <v>34.782000000000004</v>
      </c>
      <c r="Y63" s="10">
        <f t="shared" si="26"/>
        <v>62.238319940276213</v>
      </c>
      <c r="Z63" s="11">
        <f t="shared" si="27"/>
        <v>0.22405795178499435</v>
      </c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</row>
    <row r="64" spans="1:45" x14ac:dyDescent="0.3">
      <c r="A64" s="14">
        <v>2020</v>
      </c>
      <c r="B64" s="17">
        <f t="shared" si="28"/>
        <v>31</v>
      </c>
      <c r="C64" s="15">
        <v>44013</v>
      </c>
      <c r="D64" s="7">
        <f t="shared" si="29"/>
        <v>1218180.794</v>
      </c>
      <c r="E64" s="8">
        <v>1159065.9040000001</v>
      </c>
      <c r="F64" s="8">
        <v>59114.89</v>
      </c>
      <c r="G64" s="9">
        <f t="shared" si="30"/>
        <v>0.95147281069348411</v>
      </c>
      <c r="H64" s="9">
        <f t="shared" si="31"/>
        <v>4.8527189306516026E-2</v>
      </c>
      <c r="I64" s="7">
        <v>8837.7419354838712</v>
      </c>
      <c r="J64" s="7">
        <v>7960.9677419354839</v>
      </c>
      <c r="K64" s="7">
        <v>1016.1935483870968</v>
      </c>
      <c r="L64" s="10">
        <v>82.826774193548374</v>
      </c>
      <c r="M64" s="10">
        <f t="shared" si="32"/>
        <v>57.1308186935061</v>
      </c>
      <c r="N64" s="11">
        <f t="shared" si="25"/>
        <v>0.20567094729662194</v>
      </c>
      <c r="O64" s="1"/>
      <c r="P64" s="7">
        <f t="shared" si="33"/>
        <v>1129441.3420000002</v>
      </c>
      <c r="Q64" s="7">
        <v>593534.62600000005</v>
      </c>
      <c r="R64" s="7">
        <v>535906.71600000001</v>
      </c>
      <c r="S64" s="9">
        <f t="shared" si="34"/>
        <v>0.52551168788365454</v>
      </c>
      <c r="T64" s="9">
        <f t="shared" si="35"/>
        <v>0.47448831211634535</v>
      </c>
      <c r="U64" s="7">
        <v>7318.3548387096771</v>
      </c>
      <c r="V64" s="7">
        <v>7047.9806451612903</v>
      </c>
      <c r="W64" s="7">
        <v>367</v>
      </c>
      <c r="X64" s="10">
        <v>34.654193548387092</v>
      </c>
      <c r="Y64" s="10">
        <f t="shared" si="26"/>
        <v>59.83062526548273</v>
      </c>
      <c r="Z64" s="11">
        <f t="shared" si="27"/>
        <v>0.21539025095573783</v>
      </c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</row>
    <row r="65" spans="1:45" x14ac:dyDescent="0.3">
      <c r="A65" s="14">
        <v>2020</v>
      </c>
      <c r="B65" s="17">
        <f t="shared" si="28"/>
        <v>31</v>
      </c>
      <c r="C65" s="15">
        <v>44044</v>
      </c>
      <c r="D65" s="7">
        <f t="shared" si="29"/>
        <v>1282166.094</v>
      </c>
      <c r="E65" s="8">
        <v>1228460.213</v>
      </c>
      <c r="F65" s="8">
        <v>53705.881000000001</v>
      </c>
      <c r="G65" s="9">
        <f t="shared" si="30"/>
        <v>0.95811316392523471</v>
      </c>
      <c r="H65" s="9">
        <f t="shared" si="31"/>
        <v>4.1886836074765212E-2</v>
      </c>
      <c r="I65" s="7">
        <v>9569</v>
      </c>
      <c r="J65" s="7">
        <v>8392.8709677419356</v>
      </c>
      <c r="K65" s="7">
        <v>1016.258064516129</v>
      </c>
      <c r="L65" s="10">
        <v>82.915161290322573</v>
      </c>
      <c r="M65" s="10">
        <f t="shared" si="32"/>
        <v>57.037214176479353</v>
      </c>
      <c r="N65" s="11">
        <f t="shared" si="25"/>
        <v>0.20533397103532566</v>
      </c>
      <c r="O65" s="1"/>
      <c r="P65" s="7">
        <f t="shared" si="33"/>
        <v>622701.36100000003</v>
      </c>
      <c r="Q65" s="7">
        <v>279621.66800000001</v>
      </c>
      <c r="R65" s="7">
        <v>343079.69300000003</v>
      </c>
      <c r="S65" s="9">
        <f t="shared" si="34"/>
        <v>0.44904618090275861</v>
      </c>
      <c r="T65" s="9">
        <f t="shared" si="35"/>
        <v>0.55095381909724139</v>
      </c>
      <c r="U65" s="7">
        <v>3892.8709677419356</v>
      </c>
      <c r="V65" s="7">
        <v>3643.6548387096777</v>
      </c>
      <c r="W65" s="7">
        <v>0</v>
      </c>
      <c r="X65" s="10">
        <v>34.474193548387106</v>
      </c>
      <c r="Y65" s="10">
        <f t="shared" si="26"/>
        <v>63.806827053665018</v>
      </c>
      <c r="Z65" s="11">
        <f t="shared" si="27"/>
        <v>0.22970457739319405</v>
      </c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</row>
    <row r="66" spans="1:45" x14ac:dyDescent="0.3">
      <c r="A66" s="14">
        <v>2020</v>
      </c>
      <c r="B66" s="17">
        <f t="shared" si="28"/>
        <v>30</v>
      </c>
      <c r="C66" s="15">
        <v>44075</v>
      </c>
      <c r="D66" s="7">
        <f t="shared" si="29"/>
        <v>1311148.216</v>
      </c>
      <c r="E66" s="8">
        <v>1210528.6170000001</v>
      </c>
      <c r="F66" s="8">
        <v>100619.599</v>
      </c>
      <c r="G66" s="9">
        <f t="shared" si="30"/>
        <v>0.92325840986386243</v>
      </c>
      <c r="H66" s="9">
        <f t="shared" si="31"/>
        <v>7.6741590136137586E-2</v>
      </c>
      <c r="I66" s="7">
        <v>9856.8666666666668</v>
      </c>
      <c r="J66" s="7">
        <v>8891.4333333333325</v>
      </c>
      <c r="K66" s="7">
        <v>1016.6333333333333</v>
      </c>
      <c r="L66" s="10">
        <v>82.873999999999995</v>
      </c>
      <c r="M66" s="10">
        <f t="shared" si="32"/>
        <v>56.891189549769159</v>
      </c>
      <c r="N66" s="11">
        <f t="shared" si="25"/>
        <v>0.20480828237916895</v>
      </c>
      <c r="O66" s="1"/>
      <c r="P66" s="7">
        <f t="shared" si="33"/>
        <v>595677.38500000001</v>
      </c>
      <c r="Q66" s="7">
        <v>316050.00900000002</v>
      </c>
      <c r="R66" s="7">
        <v>279627.37599999999</v>
      </c>
      <c r="S66" s="9">
        <f t="shared" si="34"/>
        <v>0.53057244904471235</v>
      </c>
      <c r="T66" s="9">
        <f t="shared" si="35"/>
        <v>0.46942755095528765</v>
      </c>
      <c r="U66" s="7">
        <v>3418.2</v>
      </c>
      <c r="V66" s="7">
        <v>3517.7799999999997</v>
      </c>
      <c r="W66" s="7">
        <v>0</v>
      </c>
      <c r="X66" s="10">
        <v>34.418666666666674</v>
      </c>
      <c r="Y66" s="10">
        <f t="shared" si="26"/>
        <v>65.329214999618515</v>
      </c>
      <c r="Z66" s="11">
        <f t="shared" si="27"/>
        <v>0.23518517399862665</v>
      </c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</row>
    <row r="67" spans="1:45" x14ac:dyDescent="0.3">
      <c r="A67" s="14">
        <v>2020</v>
      </c>
      <c r="B67" s="17">
        <f t="shared" si="28"/>
        <v>31</v>
      </c>
      <c r="C67" s="15">
        <v>44105</v>
      </c>
      <c r="D67" s="7">
        <f t="shared" si="29"/>
        <v>1321082.331</v>
      </c>
      <c r="E67" s="8">
        <v>1033226.19</v>
      </c>
      <c r="F67" s="8">
        <v>287856.141</v>
      </c>
      <c r="G67" s="9">
        <f t="shared" si="30"/>
        <v>0.78210582774042103</v>
      </c>
      <c r="H67" s="9">
        <f t="shared" si="31"/>
        <v>0.21789417225957888</v>
      </c>
      <c r="I67" s="7">
        <v>9659.1290322580644</v>
      </c>
      <c r="J67" s="7">
        <v>8338.5161290322576</v>
      </c>
      <c r="K67" s="7">
        <v>984.61290322580646</v>
      </c>
      <c r="L67" s="10">
        <v>82.909677419354836</v>
      </c>
      <c r="M67" s="10">
        <f t="shared" si="32"/>
        <v>59.151488069140655</v>
      </c>
      <c r="N67" s="11">
        <f t="shared" si="25"/>
        <v>0.21294535704890635</v>
      </c>
      <c r="O67" s="1"/>
      <c r="P67" s="7">
        <f t="shared" si="33"/>
        <v>332699.424</v>
      </c>
      <c r="Q67" s="7">
        <v>145823.26199999999</v>
      </c>
      <c r="R67" s="7">
        <v>186876.16200000001</v>
      </c>
      <c r="S67" s="9">
        <f t="shared" si="34"/>
        <v>0.43830331969555797</v>
      </c>
      <c r="T67" s="9">
        <f t="shared" si="35"/>
        <v>0.56169668030444209</v>
      </c>
      <c r="U67" s="7">
        <v>1784.7096774193549</v>
      </c>
      <c r="V67" s="7">
        <v>1882.4032258064517</v>
      </c>
      <c r="W67" s="7">
        <v>0</v>
      </c>
      <c r="X67" s="10">
        <v>32.915483870967741</v>
      </c>
      <c r="Y67" s="10">
        <f t="shared" si="26"/>
        <v>65.987846314813382</v>
      </c>
      <c r="Z67" s="11">
        <f t="shared" si="27"/>
        <v>0.23755624673332817</v>
      </c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</row>
    <row r="68" spans="1:45" x14ac:dyDescent="0.3">
      <c r="A68" s="14">
        <v>2020</v>
      </c>
      <c r="B68" s="17">
        <f t="shared" si="28"/>
        <v>30</v>
      </c>
      <c r="C68" s="15">
        <v>44136</v>
      </c>
      <c r="D68" s="7">
        <f t="shared" si="29"/>
        <v>1117028.861</v>
      </c>
      <c r="E68" s="8">
        <v>917343.01699999999</v>
      </c>
      <c r="F68" s="8">
        <v>199685.84400000001</v>
      </c>
      <c r="G68" s="9">
        <f t="shared" si="30"/>
        <v>0.82123483915963025</v>
      </c>
      <c r="H68" s="9">
        <f t="shared" si="31"/>
        <v>0.17876516084036972</v>
      </c>
      <c r="I68" s="7">
        <v>8596.7333333333336</v>
      </c>
      <c r="J68" s="7">
        <v>7472.1333333333332</v>
      </c>
      <c r="K68" s="7">
        <v>1018.2333333333333</v>
      </c>
      <c r="L68" s="10">
        <v>82.92</v>
      </c>
      <c r="M68" s="10">
        <f t="shared" si="32"/>
        <v>57.674625631647324</v>
      </c>
      <c r="N68" s="11">
        <f t="shared" si="25"/>
        <v>0.20762865227393038</v>
      </c>
      <c r="O68" s="1"/>
      <c r="P68" s="7">
        <f t="shared" si="33"/>
        <v>118833.314</v>
      </c>
      <c r="Q68" s="7">
        <v>59931.256999999998</v>
      </c>
      <c r="R68" s="7">
        <v>58902.057000000001</v>
      </c>
      <c r="S68" s="9">
        <f t="shared" si="34"/>
        <v>0.50433043548713952</v>
      </c>
      <c r="T68" s="9">
        <f t="shared" si="35"/>
        <v>0.49566956451286043</v>
      </c>
      <c r="U68" s="7">
        <v>700.43333333333328</v>
      </c>
      <c r="V68" s="7">
        <v>734.27</v>
      </c>
      <c r="W68" s="7">
        <v>0</v>
      </c>
      <c r="X68" s="10">
        <v>32.418333333333337</v>
      </c>
      <c r="Y68" s="10">
        <f t="shared" si="26"/>
        <v>62.437776235976031</v>
      </c>
      <c r="Z68" s="11">
        <f t="shared" si="27"/>
        <v>0.22477599444951371</v>
      </c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</row>
    <row r="69" spans="1:45" x14ac:dyDescent="0.3">
      <c r="A69" s="14">
        <v>2020</v>
      </c>
      <c r="B69" s="17">
        <f t="shared" si="28"/>
        <v>31</v>
      </c>
      <c r="C69" s="15">
        <v>44166</v>
      </c>
      <c r="D69" s="7">
        <f t="shared" si="29"/>
        <v>1253321.044</v>
      </c>
      <c r="E69" s="8">
        <v>989367.929</v>
      </c>
      <c r="F69" s="8">
        <v>263953.11499999999</v>
      </c>
      <c r="G69" s="9">
        <f t="shared" si="30"/>
        <v>0.78939704534315636</v>
      </c>
      <c r="H69" s="9">
        <f t="shared" si="31"/>
        <v>0.2106029546568437</v>
      </c>
      <c r="I69" s="7">
        <v>8964.9354838709678</v>
      </c>
      <c r="J69" s="7">
        <v>8208.032258064517</v>
      </c>
      <c r="K69" s="7">
        <v>1048.5483870967741</v>
      </c>
      <c r="L69" s="10">
        <v>82.743870967741955</v>
      </c>
      <c r="M69" s="10">
        <f t="shared" si="32"/>
        <v>57.009579923095977</v>
      </c>
      <c r="N69" s="11">
        <f t="shared" si="25"/>
        <v>0.20523448772314551</v>
      </c>
      <c r="O69" s="1"/>
      <c r="P69" s="7">
        <f t="shared" si="33"/>
        <v>292565.25899999996</v>
      </c>
      <c r="Q69" s="7">
        <v>173909.12</v>
      </c>
      <c r="R69" s="7">
        <v>118656.139</v>
      </c>
      <c r="S69" s="9">
        <f t="shared" si="34"/>
        <v>0.5944284724523633</v>
      </c>
      <c r="T69" s="9">
        <f t="shared" si="35"/>
        <v>0.40557152754763687</v>
      </c>
      <c r="U69" s="7">
        <v>2078.8064516129034</v>
      </c>
      <c r="V69" s="7">
        <v>1715</v>
      </c>
      <c r="W69" s="7">
        <v>0</v>
      </c>
      <c r="X69" s="10">
        <v>33.747741935483866</v>
      </c>
      <c r="Y69" s="10">
        <f t="shared" si="26"/>
        <v>63.691751700680257</v>
      </c>
      <c r="Z69" s="11">
        <f t="shared" si="27"/>
        <v>0.22929030612244894</v>
      </c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</row>
    <row r="70" spans="1:45" x14ac:dyDescent="0.3">
      <c r="A70" s="14">
        <v>2021</v>
      </c>
      <c r="B70" s="17">
        <f t="shared" si="28"/>
        <v>31</v>
      </c>
      <c r="C70" s="15">
        <v>44197</v>
      </c>
      <c r="D70" s="7">
        <f t="shared" si="29"/>
        <v>1424364.753</v>
      </c>
      <c r="E70" s="8">
        <v>1084994.5730000001</v>
      </c>
      <c r="F70" s="8">
        <v>339370.18</v>
      </c>
      <c r="G70" s="9">
        <f t="shared" si="30"/>
        <v>0.76173927409730002</v>
      </c>
      <c r="H70" s="9">
        <f t="shared" si="31"/>
        <v>0.2382607259027</v>
      </c>
      <c r="I70" s="7">
        <v>10705.483870967742</v>
      </c>
      <c r="J70" s="7">
        <v>9055.677419354839</v>
      </c>
      <c r="K70" s="7">
        <v>983.0322580645161</v>
      </c>
      <c r="L70" s="10">
        <v>82.792258064516133</v>
      </c>
      <c r="M70" s="10">
        <f t="shared" si="32"/>
        <v>58.725245113463735</v>
      </c>
      <c r="N70" s="11">
        <f t="shared" si="25"/>
        <v>0.21141088240846945</v>
      </c>
      <c r="O70" s="1"/>
      <c r="P70" s="7">
        <f t="shared" si="33"/>
        <v>352023.82900000003</v>
      </c>
      <c r="Q70" s="7">
        <v>159719.51999999999</v>
      </c>
      <c r="R70" s="7">
        <v>192304.30900000001</v>
      </c>
      <c r="S70" s="9">
        <f t="shared" si="34"/>
        <v>0.45371792146491302</v>
      </c>
      <c r="T70" s="9">
        <f t="shared" si="35"/>
        <v>0.54628207853508692</v>
      </c>
      <c r="U70" s="7">
        <v>1801.4193548387098</v>
      </c>
      <c r="V70" s="7">
        <v>2051.1387096774192</v>
      </c>
      <c r="W70" s="7">
        <v>0</v>
      </c>
      <c r="X70" s="10">
        <v>33.274516129032257</v>
      </c>
      <c r="Y70" s="10">
        <f t="shared" si="26"/>
        <v>64.076915146821449</v>
      </c>
      <c r="Z70" s="11">
        <f t="shared" si="27"/>
        <v>0.23067689452855722</v>
      </c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</row>
    <row r="71" spans="1:45" x14ac:dyDescent="0.3">
      <c r="A71" s="14">
        <v>2021</v>
      </c>
      <c r="B71" s="17">
        <f t="shared" si="28"/>
        <v>28</v>
      </c>
      <c r="C71" s="15">
        <v>44228</v>
      </c>
      <c r="D71" s="7">
        <f t="shared" si="29"/>
        <v>1607910.041</v>
      </c>
      <c r="E71" s="8">
        <v>1484785.4909999999</v>
      </c>
      <c r="F71" s="8">
        <v>123124.55</v>
      </c>
      <c r="G71" s="9">
        <f t="shared" si="30"/>
        <v>0.923425722297607</v>
      </c>
      <c r="H71" s="9">
        <f t="shared" si="31"/>
        <v>7.6574277702392932E-2</v>
      </c>
      <c r="I71" s="7">
        <v>13373.428571428571</v>
      </c>
      <c r="J71" s="7">
        <v>12068.821428571429</v>
      </c>
      <c r="K71" s="7">
        <v>1290.6071428571429</v>
      </c>
      <c r="L71" s="10">
        <v>82.878214285714293</v>
      </c>
      <c r="M71" s="10">
        <f t="shared" si="32"/>
        <v>55.071272549933802</v>
      </c>
      <c r="N71" s="11">
        <f t="shared" si="25"/>
        <v>0.19825658117976167</v>
      </c>
      <c r="O71" s="1"/>
      <c r="P71" s="7">
        <f t="shared" si="33"/>
        <v>645882.473</v>
      </c>
      <c r="Q71" s="7">
        <v>319583.75300000003</v>
      </c>
      <c r="R71" s="7">
        <v>326298.71999999997</v>
      </c>
      <c r="S71" s="9">
        <f t="shared" si="34"/>
        <v>0.49480171139432672</v>
      </c>
      <c r="T71" s="9">
        <f t="shared" si="35"/>
        <v>0.50519828860567328</v>
      </c>
      <c r="U71" s="7">
        <v>4498.8928571428569</v>
      </c>
      <c r="V71" s="7">
        <v>4288.5678571428571</v>
      </c>
      <c r="W71" s="7">
        <v>0</v>
      </c>
      <c r="X71" s="10">
        <v>33.704642857142858</v>
      </c>
      <c r="Y71" s="10">
        <f t="shared" si="26"/>
        <v>62.254312217516407</v>
      </c>
      <c r="Z71" s="11">
        <f t="shared" si="27"/>
        <v>0.22411552398305906</v>
      </c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</row>
    <row r="72" spans="1:45" x14ac:dyDescent="0.3">
      <c r="A72" s="14">
        <v>2021</v>
      </c>
      <c r="B72" s="17">
        <f t="shared" si="28"/>
        <v>31</v>
      </c>
      <c r="C72" s="15">
        <v>44256</v>
      </c>
      <c r="D72" s="7">
        <f t="shared" si="29"/>
        <v>1282104.5619999999</v>
      </c>
      <c r="E72" s="8">
        <v>1101770.5449999999</v>
      </c>
      <c r="F72" s="8">
        <v>180334.01699999999</v>
      </c>
      <c r="G72" s="9">
        <f t="shared" si="30"/>
        <v>0.85934531211815468</v>
      </c>
      <c r="H72" s="9">
        <f t="shared" si="31"/>
        <v>0.14065468788184532</v>
      </c>
      <c r="I72" s="7">
        <v>9406.354838709678</v>
      </c>
      <c r="J72" s="7">
        <v>8144.5483870967746</v>
      </c>
      <c r="K72" s="7">
        <v>984.25806451612902</v>
      </c>
      <c r="L72" s="10">
        <v>82.796129032258065</v>
      </c>
      <c r="M72" s="10">
        <f t="shared" si="32"/>
        <v>58.773425213367709</v>
      </c>
      <c r="N72" s="11">
        <f t="shared" si="25"/>
        <v>0.21158433076812377</v>
      </c>
      <c r="O72" s="1"/>
      <c r="P72" s="7">
        <f t="shared" si="33"/>
        <v>194125.12300000002</v>
      </c>
      <c r="Q72" s="7">
        <v>101554.072</v>
      </c>
      <c r="R72" s="7">
        <v>92571.051000000007</v>
      </c>
      <c r="S72" s="9">
        <f t="shared" si="34"/>
        <v>0.52313719332453423</v>
      </c>
      <c r="T72" s="9">
        <f t="shared" si="35"/>
        <v>0.47686280667546566</v>
      </c>
      <c r="U72" s="7">
        <v>1229.258064516129</v>
      </c>
      <c r="V72" s="7">
        <v>1078.8096774193548</v>
      </c>
      <c r="W72" s="7">
        <v>0</v>
      </c>
      <c r="X72" s="10">
        <v>32.706774193548391</v>
      </c>
      <c r="Y72" s="10">
        <f t="shared" si="26"/>
        <v>67.183321918145779</v>
      </c>
      <c r="Z72" s="11">
        <f t="shared" si="27"/>
        <v>0.2418599589053248</v>
      </c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</row>
    <row r="73" spans="1:45" x14ac:dyDescent="0.3">
      <c r="A73" s="14">
        <v>2021</v>
      </c>
      <c r="B73" s="17">
        <f t="shared" si="28"/>
        <v>30</v>
      </c>
      <c r="C73" s="15">
        <v>44287</v>
      </c>
      <c r="D73" s="7">
        <f t="shared" si="29"/>
        <v>919048.65399999998</v>
      </c>
      <c r="E73" s="8">
        <v>785055.01599999995</v>
      </c>
      <c r="F73" s="8">
        <v>133993.63800000001</v>
      </c>
      <c r="G73" s="9">
        <f t="shared" si="30"/>
        <v>0.85420397775806978</v>
      </c>
      <c r="H73" s="9">
        <f t="shared" si="31"/>
        <v>0.1457960222419302</v>
      </c>
      <c r="I73" s="7">
        <v>7093.1</v>
      </c>
      <c r="J73" s="7">
        <v>6131.4</v>
      </c>
      <c r="K73" s="7">
        <v>1015.4333333333333</v>
      </c>
      <c r="L73" s="10">
        <v>82.799333333333337</v>
      </c>
      <c r="M73" s="10">
        <f t="shared" si="32"/>
        <v>57.828756885725248</v>
      </c>
      <c r="N73" s="11">
        <f t="shared" si="25"/>
        <v>0.20818352478861091</v>
      </c>
      <c r="O73" s="1"/>
      <c r="P73" s="7">
        <f t="shared" si="33"/>
        <v>218694.68699999998</v>
      </c>
      <c r="Q73" s="7">
        <v>100361.43</v>
      </c>
      <c r="R73" s="7">
        <v>118333.257</v>
      </c>
      <c r="S73" s="9">
        <f t="shared" si="34"/>
        <v>0.45891114858222415</v>
      </c>
      <c r="T73" s="9">
        <f t="shared" si="35"/>
        <v>0.54108885141777596</v>
      </c>
      <c r="U73" s="7">
        <v>1282.7</v>
      </c>
      <c r="V73" s="7">
        <v>1303.3033333333335</v>
      </c>
      <c r="W73" s="7">
        <v>0</v>
      </c>
      <c r="X73" s="10">
        <v>33.012333333333324</v>
      </c>
      <c r="Y73" s="10">
        <f t="shared" si="26"/>
        <v>64.737769077662762</v>
      </c>
      <c r="Z73" s="11">
        <f t="shared" si="27"/>
        <v>0.23305596867958592</v>
      </c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</row>
    <row r="74" spans="1:45" x14ac:dyDescent="0.3">
      <c r="A74" s="14">
        <v>2021</v>
      </c>
      <c r="B74" s="17">
        <f t="shared" si="28"/>
        <v>31</v>
      </c>
      <c r="C74" s="15">
        <v>44317</v>
      </c>
      <c r="D74" s="7">
        <f t="shared" si="29"/>
        <v>926133.58799999999</v>
      </c>
      <c r="E74" s="8">
        <v>811394.22199999995</v>
      </c>
      <c r="F74" s="8">
        <v>114739.36599999999</v>
      </c>
      <c r="G74" s="9">
        <f t="shared" si="30"/>
        <v>0.87610927031835495</v>
      </c>
      <c r="H74" s="9">
        <f t="shared" si="31"/>
        <v>0.12389072968164501</v>
      </c>
      <c r="I74" s="7">
        <v>7036.322580645161</v>
      </c>
      <c r="J74" s="7">
        <v>6010.7096774193551</v>
      </c>
      <c r="K74" s="7">
        <v>1014.3225806451613</v>
      </c>
      <c r="L74" s="10">
        <v>82.757419354838731</v>
      </c>
      <c r="M74" s="10">
        <f t="shared" si="32"/>
        <v>57.527095453276949</v>
      </c>
      <c r="N74" s="11">
        <f t="shared" si="25"/>
        <v>0.20709754363179703</v>
      </c>
      <c r="O74" s="1"/>
      <c r="P74" s="7">
        <f t="shared" si="33"/>
        <v>254548.91499999998</v>
      </c>
      <c r="Q74" s="7">
        <v>137647.606</v>
      </c>
      <c r="R74" s="7">
        <v>116901.30899999999</v>
      </c>
      <c r="S74" s="9">
        <f t="shared" si="34"/>
        <v>0.54075110082476685</v>
      </c>
      <c r="T74" s="9">
        <f t="shared" si="35"/>
        <v>0.45924889917523321</v>
      </c>
      <c r="U74" s="7">
        <v>1723.516129032258</v>
      </c>
      <c r="V74" s="7">
        <v>1437.1774193548385</v>
      </c>
      <c r="W74" s="7">
        <v>0</v>
      </c>
      <c r="X74" s="10">
        <v>32.97129032258065</v>
      </c>
      <c r="Y74" s="10">
        <f t="shared" si="26"/>
        <v>66.128006232763255</v>
      </c>
      <c r="Z74" s="11">
        <f t="shared" si="27"/>
        <v>0.23806082243794774</v>
      </c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</row>
    <row r="75" spans="1:45" x14ac:dyDescent="0.3">
      <c r="A75" s="14">
        <v>2021</v>
      </c>
      <c r="B75" s="17">
        <f t="shared" si="28"/>
        <v>30</v>
      </c>
      <c r="C75" s="15">
        <v>44348</v>
      </c>
      <c r="D75" s="7">
        <f t="shared" si="29"/>
        <v>779454.36800000002</v>
      </c>
      <c r="E75" s="8">
        <v>640741.59</v>
      </c>
      <c r="F75" s="8">
        <v>138712.77799999999</v>
      </c>
      <c r="G75" s="9">
        <f t="shared" si="30"/>
        <v>0.8220386161207579</v>
      </c>
      <c r="H75" s="9">
        <f t="shared" si="31"/>
        <v>0.17796138387924204</v>
      </c>
      <c r="I75" s="7">
        <v>6189.8</v>
      </c>
      <c r="J75" s="7">
        <v>5181.3999999999996</v>
      </c>
      <c r="K75" s="7">
        <v>1015.0333333333333</v>
      </c>
      <c r="L75" s="10">
        <v>82.735333333333372</v>
      </c>
      <c r="M75" s="10">
        <f t="shared" si="32"/>
        <v>58.037484030008571</v>
      </c>
      <c r="N75" s="11">
        <f t="shared" si="25"/>
        <v>0.20893494250803085</v>
      </c>
      <c r="O75" s="1"/>
      <c r="P75" s="7">
        <f t="shared" si="33"/>
        <v>725538.81700000004</v>
      </c>
      <c r="Q75" s="7">
        <v>361546.89899999998</v>
      </c>
      <c r="R75" s="7">
        <v>363991.91800000001</v>
      </c>
      <c r="S75" s="9">
        <f t="shared" si="34"/>
        <v>0.49831503226105123</v>
      </c>
      <c r="T75" s="9">
        <f t="shared" si="35"/>
        <v>0.50168496773894866</v>
      </c>
      <c r="U75" s="7">
        <v>4589.4333333333334</v>
      </c>
      <c r="V75" s="7">
        <v>4624.8099999999995</v>
      </c>
      <c r="W75" s="7">
        <v>0</v>
      </c>
      <c r="X75" s="10">
        <v>33.618000000000002</v>
      </c>
      <c r="Y75" s="10">
        <f t="shared" si="26"/>
        <v>60.524576588545081</v>
      </c>
      <c r="Z75" s="11">
        <f t="shared" si="27"/>
        <v>0.2178884757187623</v>
      </c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</row>
    <row r="76" spans="1:45" x14ac:dyDescent="0.3">
      <c r="A76" s="14">
        <v>2021</v>
      </c>
      <c r="B76" s="17">
        <f t="shared" si="28"/>
        <v>31</v>
      </c>
      <c r="C76" s="15">
        <v>44378</v>
      </c>
      <c r="D76" s="7">
        <f t="shared" si="29"/>
        <v>802376.19000000006</v>
      </c>
      <c r="E76" s="8">
        <v>658913.97900000005</v>
      </c>
      <c r="F76" s="8">
        <v>143462.21100000001</v>
      </c>
      <c r="G76" s="9">
        <f t="shared" si="30"/>
        <v>0.821203304898666</v>
      </c>
      <c r="H76" s="9">
        <f t="shared" si="31"/>
        <v>0.17879669510133395</v>
      </c>
      <c r="I76" s="7">
        <v>6153.6451612903229</v>
      </c>
      <c r="J76" s="7">
        <v>5127.4193548387093</v>
      </c>
      <c r="K76" s="7">
        <v>984.93548387096769</v>
      </c>
      <c r="L76" s="10">
        <v>82.802258064516096</v>
      </c>
      <c r="M76" s="10">
        <f t="shared" si="32"/>
        <v>58.425677623990772</v>
      </c>
      <c r="N76" s="11">
        <f t="shared" si="25"/>
        <v>0.21033243944636676</v>
      </c>
      <c r="O76" s="1"/>
      <c r="P76" s="7">
        <f t="shared" si="33"/>
        <v>719843.52499999991</v>
      </c>
      <c r="Q76" s="7">
        <v>351825.28499999997</v>
      </c>
      <c r="R76" s="7">
        <v>368018.24</v>
      </c>
      <c r="S76" s="9">
        <f t="shared" si="34"/>
        <v>0.4887524479712449</v>
      </c>
      <c r="T76" s="9">
        <f t="shared" si="35"/>
        <v>0.51124755202875516</v>
      </c>
      <c r="U76" s="7">
        <v>4373.4838709677415</v>
      </c>
      <c r="V76" s="7">
        <v>4278.938709677419</v>
      </c>
      <c r="W76" s="7">
        <v>0</v>
      </c>
      <c r="X76" s="10">
        <v>34.308709677419351</v>
      </c>
      <c r="Y76" s="10">
        <f t="shared" si="26"/>
        <v>62.809682835829754</v>
      </c>
      <c r="Z76" s="11">
        <f t="shared" si="27"/>
        <v>0.22611485820898711</v>
      </c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</row>
    <row r="77" spans="1:45" x14ac:dyDescent="0.3">
      <c r="A77" s="14">
        <v>2021</v>
      </c>
      <c r="B77" s="17">
        <f t="shared" si="28"/>
        <v>31</v>
      </c>
      <c r="C77" s="15">
        <v>44409</v>
      </c>
      <c r="D77" s="7">
        <f t="shared" si="29"/>
        <v>867069.90100000007</v>
      </c>
      <c r="E77" s="8">
        <v>721131.71600000001</v>
      </c>
      <c r="F77" s="8">
        <v>145938.185</v>
      </c>
      <c r="G77" s="9">
        <f t="shared" si="30"/>
        <v>0.83168809708226732</v>
      </c>
      <c r="H77" s="9">
        <f t="shared" si="31"/>
        <v>0.16831190291773257</v>
      </c>
      <c r="I77" s="7">
        <v>6671.6129032258068</v>
      </c>
      <c r="J77" s="7">
        <v>5457.5483870967746</v>
      </c>
      <c r="K77" s="7">
        <v>1014.1290322580645</v>
      </c>
      <c r="L77" s="10">
        <v>82.815806451612886</v>
      </c>
      <c r="M77" s="10">
        <f t="shared" si="32"/>
        <v>59.317259679249055</v>
      </c>
      <c r="N77" s="11">
        <f t="shared" si="25"/>
        <v>0.21354213484529658</v>
      </c>
      <c r="O77" s="1"/>
      <c r="P77" s="7">
        <f t="shared" si="33"/>
        <v>309374.73200000002</v>
      </c>
      <c r="Q77" s="7">
        <v>149934.36600000001</v>
      </c>
      <c r="R77" s="7">
        <v>159440.36600000001</v>
      </c>
      <c r="S77" s="9">
        <f t="shared" si="34"/>
        <v>0.48463675436816217</v>
      </c>
      <c r="T77" s="9">
        <f t="shared" si="35"/>
        <v>0.51536324563183789</v>
      </c>
      <c r="U77" s="7">
        <v>1733.6774193548388</v>
      </c>
      <c r="V77" s="7">
        <v>1700.1774193548388</v>
      </c>
      <c r="W77" s="7">
        <v>0</v>
      </c>
      <c r="X77" s="10">
        <v>32.900645161290328</v>
      </c>
      <c r="Y77" s="10">
        <f t="shared" si="26"/>
        <v>67.938375782694678</v>
      </c>
      <c r="Z77" s="11">
        <f t="shared" si="27"/>
        <v>0.24457815281770084</v>
      </c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</row>
    <row r="78" spans="1:45" x14ac:dyDescent="0.3">
      <c r="A78" s="14">
        <v>2021</v>
      </c>
      <c r="B78" s="17">
        <f t="shared" si="28"/>
        <v>30</v>
      </c>
      <c r="C78" s="15">
        <v>44440</v>
      </c>
      <c r="D78" s="7">
        <f t="shared" si="29"/>
        <v>1115110.9909999999</v>
      </c>
      <c r="E78" s="8">
        <v>822555.08499999996</v>
      </c>
      <c r="F78" s="8">
        <v>292555.90600000002</v>
      </c>
      <c r="G78" s="9">
        <f t="shared" si="30"/>
        <v>0.73764413734488965</v>
      </c>
      <c r="H78" s="9">
        <f t="shared" si="31"/>
        <v>0.26235586265511041</v>
      </c>
      <c r="I78" s="7">
        <v>8410.8666666666668</v>
      </c>
      <c r="J78" s="7">
        <v>7492.7</v>
      </c>
      <c r="K78" s="7">
        <v>1016.3333333333334</v>
      </c>
      <c r="L78" s="10">
        <v>82.878000000000014</v>
      </c>
      <c r="M78" s="10">
        <f t="shared" si="32"/>
        <v>57.417562919678026</v>
      </c>
      <c r="N78" s="11">
        <f t="shared" si="25"/>
        <v>0.20670322651084092</v>
      </c>
      <c r="O78" s="1"/>
      <c r="P78" s="7">
        <f t="shared" si="33"/>
        <v>779821.58199999994</v>
      </c>
      <c r="Q78" s="7">
        <v>398685.15100000001</v>
      </c>
      <c r="R78" s="7">
        <v>381136.43099999998</v>
      </c>
      <c r="S78" s="9">
        <f t="shared" si="34"/>
        <v>0.51125175322475247</v>
      </c>
      <c r="T78" s="9">
        <f t="shared" si="35"/>
        <v>0.48874824677524764</v>
      </c>
      <c r="U78" s="7">
        <v>4975.4333333333334</v>
      </c>
      <c r="V78" s="7">
        <v>5078.8433333333342</v>
      </c>
      <c r="W78" s="7">
        <v>0</v>
      </c>
      <c r="X78" s="10">
        <v>33.352333333333341</v>
      </c>
      <c r="Y78" s="10">
        <f t="shared" si="26"/>
        <v>59.237324736207171</v>
      </c>
      <c r="Z78" s="11">
        <f t="shared" si="27"/>
        <v>0.21325436905034581</v>
      </c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</row>
    <row r="79" spans="1:45" x14ac:dyDescent="0.3">
      <c r="A79" s="14">
        <v>2021</v>
      </c>
      <c r="B79" s="17">
        <f t="shared" si="28"/>
        <v>31</v>
      </c>
      <c r="C79" s="15">
        <v>44470</v>
      </c>
      <c r="D79" s="7">
        <f t="shared" si="29"/>
        <v>1420748.4759999998</v>
      </c>
      <c r="E79" s="8">
        <v>1087700.1569999999</v>
      </c>
      <c r="F79" s="8">
        <v>333048.31900000002</v>
      </c>
      <c r="G79" s="9">
        <f t="shared" si="30"/>
        <v>0.76558249076031393</v>
      </c>
      <c r="H79" s="9">
        <f t="shared" si="31"/>
        <v>0.23441750923968618</v>
      </c>
      <c r="I79" s="7">
        <v>10556.161290322581</v>
      </c>
      <c r="J79" s="7">
        <v>9070.2258064516136</v>
      </c>
      <c r="K79" s="7">
        <v>984.29032258064512</v>
      </c>
      <c r="L79" s="10">
        <v>82.917419354838714</v>
      </c>
      <c r="M79" s="10">
        <f t="shared" si="32"/>
        <v>58.482194851825881</v>
      </c>
      <c r="N79" s="11">
        <f t="shared" si="25"/>
        <v>0.21053590146657319</v>
      </c>
      <c r="O79" s="1"/>
      <c r="P79" s="7">
        <f t="shared" si="33"/>
        <v>799666.43299999996</v>
      </c>
      <c r="Q79" s="7">
        <v>404176.39199999999</v>
      </c>
      <c r="R79" s="7">
        <v>395490.04100000003</v>
      </c>
      <c r="S79" s="9">
        <f t="shared" si="34"/>
        <v>0.50543123397552936</v>
      </c>
      <c r="T79" s="9">
        <f t="shared" si="35"/>
        <v>0.49456876602447064</v>
      </c>
      <c r="U79" s="7">
        <v>5570.1612903225805</v>
      </c>
      <c r="V79" s="7">
        <v>4855.2096774193551</v>
      </c>
      <c r="W79" s="7">
        <v>30.225806451612904</v>
      </c>
      <c r="X79" s="10">
        <v>33.627419354838715</v>
      </c>
      <c r="Y79" s="10">
        <f t="shared" si="26"/>
        <v>61.492965853722744</v>
      </c>
      <c r="Z79" s="11">
        <f t="shared" si="27"/>
        <v>0.22137467707340186</v>
      </c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</row>
    <row r="80" spans="1:45" x14ac:dyDescent="0.3">
      <c r="A80" s="14">
        <v>2021</v>
      </c>
      <c r="B80" s="17">
        <f t="shared" si="28"/>
        <v>30</v>
      </c>
      <c r="C80" s="15">
        <v>44501</v>
      </c>
      <c r="D80" s="7">
        <f t="shared" si="29"/>
        <v>1195390.2439999999</v>
      </c>
      <c r="E80" s="8">
        <v>1038315.564</v>
      </c>
      <c r="F80" s="8">
        <v>157074.68</v>
      </c>
      <c r="G80" s="9">
        <f t="shared" si="30"/>
        <v>0.86859966375967856</v>
      </c>
      <c r="H80" s="9">
        <f t="shared" si="31"/>
        <v>0.13140033624032152</v>
      </c>
      <c r="I80" s="7">
        <v>9014.2000000000007</v>
      </c>
      <c r="J80" s="7">
        <v>8062.666666666667</v>
      </c>
      <c r="K80" s="7">
        <v>1016.5333333333333</v>
      </c>
      <c r="L80" s="10">
        <v>82.880666666666656</v>
      </c>
      <c r="M80" s="10">
        <f t="shared" si="32"/>
        <v>57.199996822728124</v>
      </c>
      <c r="N80" s="11">
        <f t="shared" si="25"/>
        <v>0.20591998856182125</v>
      </c>
      <c r="O80" s="1"/>
      <c r="P80" s="7">
        <f t="shared" si="33"/>
        <v>396240.04200000002</v>
      </c>
      <c r="Q80" s="7">
        <v>205085.13</v>
      </c>
      <c r="R80" s="7">
        <v>191154.91200000001</v>
      </c>
      <c r="S80" s="9">
        <f t="shared" si="34"/>
        <v>0.51757800389088393</v>
      </c>
      <c r="T80" s="9">
        <f t="shared" si="35"/>
        <v>0.48242199610911612</v>
      </c>
      <c r="U80" s="7">
        <v>2017.1333333333334</v>
      </c>
      <c r="V80" s="7">
        <v>2310.8200000000002</v>
      </c>
      <c r="W80" s="7">
        <v>0</v>
      </c>
      <c r="X80" s="10">
        <v>33.621999999999993</v>
      </c>
      <c r="Y80" s="10">
        <f t="shared" si="26"/>
        <v>66.154173225986469</v>
      </c>
      <c r="Z80" s="11">
        <f t="shared" si="27"/>
        <v>0.23815502361355129</v>
      </c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</row>
    <row r="81" spans="1:45" x14ac:dyDescent="0.3">
      <c r="A81" s="14">
        <v>2021</v>
      </c>
      <c r="B81" s="17">
        <f t="shared" si="28"/>
        <v>31</v>
      </c>
      <c r="C81" s="15">
        <v>44531</v>
      </c>
      <c r="D81" s="7">
        <f t="shared" si="29"/>
        <v>1032139.2080000001</v>
      </c>
      <c r="E81" s="8">
        <v>821226.04</v>
      </c>
      <c r="F81" s="8">
        <v>210913.16800000001</v>
      </c>
      <c r="G81" s="9">
        <f t="shared" si="30"/>
        <v>0.79565433968089305</v>
      </c>
      <c r="H81" s="9">
        <f t="shared" si="31"/>
        <v>0.20434566031910686</v>
      </c>
      <c r="I81" s="7">
        <v>7584.3870967741932</v>
      </c>
      <c r="J81" s="7">
        <v>6260.2580645161288</v>
      </c>
      <c r="K81" s="7">
        <v>982.06451612903231</v>
      </c>
      <c r="L81" s="10">
        <v>82.769032258064541</v>
      </c>
      <c r="M81" s="10">
        <f t="shared" si="32"/>
        <v>61.556030093308266</v>
      </c>
      <c r="N81" s="11">
        <f t="shared" si="25"/>
        <v>0.22160170833590975</v>
      </c>
      <c r="O81" s="1"/>
      <c r="P81" s="7">
        <f t="shared" si="33"/>
        <v>177858.277</v>
      </c>
      <c r="Q81" s="7">
        <v>90510.06</v>
      </c>
      <c r="R81" s="7">
        <v>87348.217000000004</v>
      </c>
      <c r="S81" s="9">
        <f t="shared" si="34"/>
        <v>0.50888865858067434</v>
      </c>
      <c r="T81" s="9">
        <f t="shared" si="35"/>
        <v>0.49111134141932572</v>
      </c>
      <c r="U81" s="7">
        <v>939.12903225806451</v>
      </c>
      <c r="V81" s="7">
        <v>959.81290322580651</v>
      </c>
      <c r="W81" s="7">
        <v>0</v>
      </c>
      <c r="X81" s="10">
        <v>33.084838709677413</v>
      </c>
      <c r="Y81" s="10">
        <f t="shared" si="26"/>
        <v>69.185018339770011</v>
      </c>
      <c r="Z81" s="11">
        <f t="shared" si="27"/>
        <v>0.24906606602317202</v>
      </c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</row>
    <row r="82" spans="1:45" x14ac:dyDescent="0.3">
      <c r="A82" s="14">
        <v>2022</v>
      </c>
      <c r="B82" s="17">
        <f t="shared" si="28"/>
        <v>31</v>
      </c>
      <c r="C82" s="15">
        <v>44562</v>
      </c>
      <c r="D82" s="7">
        <f t="shared" si="29"/>
        <v>869791.07400000002</v>
      </c>
      <c r="E82" s="8">
        <v>568501.47199999995</v>
      </c>
      <c r="F82" s="8">
        <v>301289.60200000001</v>
      </c>
      <c r="G82" s="9">
        <f t="shared" si="30"/>
        <v>0.65360692813915899</v>
      </c>
      <c r="H82" s="9">
        <f t="shared" si="31"/>
        <v>0.34639307186084095</v>
      </c>
      <c r="I82" s="7">
        <v>6672.3548387096771</v>
      </c>
      <c r="J82" s="7">
        <v>5435.2258064516127</v>
      </c>
      <c r="K82" s="7">
        <v>980.48387096774195</v>
      </c>
      <c r="L82" s="21">
        <v>82.739032258064512</v>
      </c>
      <c r="M82" s="10">
        <f t="shared" si="32"/>
        <v>59.747800010946776</v>
      </c>
      <c r="N82" s="11">
        <f t="shared" si="25"/>
        <v>0.21509208003940841</v>
      </c>
      <c r="O82" s="1"/>
      <c r="P82" s="7">
        <f t="shared" si="33"/>
        <v>113053.618</v>
      </c>
      <c r="Q82" s="7">
        <v>60049.633000000002</v>
      </c>
      <c r="R82" s="7">
        <v>53003.985000000001</v>
      </c>
      <c r="S82" s="9">
        <f t="shared" si="34"/>
        <v>0.53116064803870322</v>
      </c>
      <c r="T82" s="9">
        <f t="shared" si="35"/>
        <v>0.46883935196129678</v>
      </c>
      <c r="U82" s="7">
        <v>482.16129032258067</v>
      </c>
      <c r="V82" s="7">
        <v>674.2838709677419</v>
      </c>
      <c r="W82" s="7">
        <v>0</v>
      </c>
      <c r="X82" s="10">
        <v>32.102903225806443</v>
      </c>
      <c r="Y82" s="10">
        <f t="shared" si="26"/>
        <v>62.5988359968078</v>
      </c>
      <c r="Z82" s="11">
        <f t="shared" si="27"/>
        <v>0.22535580958850807</v>
      </c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</row>
    <row r="83" spans="1:45" x14ac:dyDescent="0.3">
      <c r="A83" s="14">
        <v>2022</v>
      </c>
      <c r="B83" s="17">
        <f t="shared" si="28"/>
        <v>28</v>
      </c>
      <c r="C83" s="15">
        <v>44593</v>
      </c>
      <c r="D83" s="7">
        <f t="shared" si="29"/>
        <v>765544.28700000001</v>
      </c>
      <c r="E83" s="8">
        <v>491639.13500000001</v>
      </c>
      <c r="F83" s="8">
        <v>273905.152</v>
      </c>
      <c r="G83" s="9">
        <f t="shared" si="30"/>
        <v>0.64220861333395329</v>
      </c>
      <c r="H83" s="9">
        <f t="shared" si="31"/>
        <v>0.35779138666604665</v>
      </c>
      <c r="I83" s="7">
        <v>6625.6428571428569</v>
      </c>
      <c r="J83" s="7">
        <v>5459.5357142857147</v>
      </c>
      <c r="K83" s="7">
        <v>1015</v>
      </c>
      <c r="L83" s="21">
        <v>82.731428571428609</v>
      </c>
      <c r="M83" s="10">
        <f t="shared" si="32"/>
        <v>57.961929551323841</v>
      </c>
      <c r="N83" s="11">
        <f t="shared" si="25"/>
        <v>0.20866294638476582</v>
      </c>
      <c r="O83" s="1"/>
      <c r="P83" s="7">
        <f t="shared" si="33"/>
        <v>80621.459000000003</v>
      </c>
      <c r="Q83" s="7">
        <v>37329.394999999997</v>
      </c>
      <c r="R83" s="7">
        <v>43292.063999999998</v>
      </c>
      <c r="S83" s="9">
        <f t="shared" si="34"/>
        <v>0.4630205836389043</v>
      </c>
      <c r="T83" s="9">
        <f t="shared" si="35"/>
        <v>0.53697941636109559</v>
      </c>
      <c r="U83" s="7">
        <v>472.42857142857144</v>
      </c>
      <c r="V83" s="7">
        <v>577.4178571428572</v>
      </c>
      <c r="W83" s="7">
        <v>0</v>
      </c>
      <c r="X83" s="10">
        <v>31.128571428571433</v>
      </c>
      <c r="Y83" s="10">
        <f t="shared" si="26"/>
        <v>57.714995851353365</v>
      </c>
      <c r="Z83" s="11">
        <f t="shared" si="27"/>
        <v>0.2077739850648721</v>
      </c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</row>
    <row r="84" spans="1:45" x14ac:dyDescent="0.3">
      <c r="A84" s="14">
        <v>2022</v>
      </c>
      <c r="B84" s="17">
        <f t="shared" si="28"/>
        <v>31</v>
      </c>
      <c r="C84" s="15">
        <v>44621</v>
      </c>
      <c r="D84" s="7">
        <f t="shared" si="29"/>
        <v>1116875.77</v>
      </c>
      <c r="E84" s="8">
        <v>833083.13500000001</v>
      </c>
      <c r="F84" s="8">
        <v>283792.63500000001</v>
      </c>
      <c r="G84" s="9">
        <f t="shared" si="30"/>
        <v>0.74590492280085907</v>
      </c>
      <c r="H84" s="9">
        <f t="shared" si="31"/>
        <v>0.25409507719914098</v>
      </c>
      <c r="I84" s="7">
        <v>8343.5483870967746</v>
      </c>
      <c r="J84" s="7">
        <v>7247.5483870967746</v>
      </c>
      <c r="K84" s="7">
        <v>1017.1935483870968</v>
      </c>
      <c r="L84" s="21">
        <v>82.807096774193553</v>
      </c>
      <c r="M84" s="10">
        <f t="shared" si="32"/>
        <v>57.535820315294686</v>
      </c>
      <c r="N84" s="11">
        <f t="shared" si="25"/>
        <v>0.20712895313506088</v>
      </c>
      <c r="O84" s="1"/>
      <c r="P84" s="7">
        <f t="shared" si="33"/>
        <v>270003.92599999998</v>
      </c>
      <c r="Q84" s="7">
        <v>122579.774</v>
      </c>
      <c r="R84" s="7">
        <v>147424.152</v>
      </c>
      <c r="S84" s="9">
        <f t="shared" si="34"/>
        <v>0.45399256157482692</v>
      </c>
      <c r="T84" s="9">
        <f t="shared" si="35"/>
        <v>0.54600743842517319</v>
      </c>
      <c r="U84" s="7">
        <v>2034.7741935483871</v>
      </c>
      <c r="V84" s="7">
        <v>1642.4096774193547</v>
      </c>
      <c r="W84" s="7">
        <v>0</v>
      </c>
      <c r="X84" s="10">
        <v>32.586451612903225</v>
      </c>
      <c r="Y84" s="10">
        <f t="shared" si="26"/>
        <v>61.378058592406809</v>
      </c>
      <c r="Z84" s="11">
        <f t="shared" si="27"/>
        <v>0.22096101093266451</v>
      </c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</row>
    <row r="85" spans="1:45" x14ac:dyDescent="0.3">
      <c r="A85" s="14">
        <v>2022</v>
      </c>
      <c r="B85" s="17">
        <f t="shared" si="28"/>
        <v>30</v>
      </c>
      <c r="C85" s="15">
        <v>44652</v>
      </c>
      <c r="D85" s="7">
        <f t="shared" si="29"/>
        <v>1314869.051</v>
      </c>
      <c r="E85" s="8">
        <v>1090916.9450000001</v>
      </c>
      <c r="F85" s="8">
        <v>223952.106</v>
      </c>
      <c r="G85" s="9">
        <f t="shared" si="30"/>
        <v>0.82967725506226098</v>
      </c>
      <c r="H85" s="9">
        <f t="shared" si="31"/>
        <v>0.17032274493773905</v>
      </c>
      <c r="I85" s="7">
        <v>9856.1</v>
      </c>
      <c r="J85" s="7">
        <v>8705.8666666666668</v>
      </c>
      <c r="K85" s="7">
        <v>985.16666666666663</v>
      </c>
      <c r="L85" s="21">
        <v>82.937666666666672</v>
      </c>
      <c r="M85" s="10">
        <f t="shared" si="32"/>
        <v>58.268722217897057</v>
      </c>
      <c r="N85" s="11">
        <f t="shared" si="25"/>
        <v>0.20976739998442942</v>
      </c>
      <c r="O85" s="1"/>
      <c r="P85" s="7">
        <f t="shared" si="33"/>
        <v>942378.93400000024</v>
      </c>
      <c r="Q85" s="7">
        <v>492698.42900000012</v>
      </c>
      <c r="R85" s="7">
        <v>449680.50500000012</v>
      </c>
      <c r="S85" s="9">
        <f t="shared" si="34"/>
        <v>0.52282411164339548</v>
      </c>
      <c r="T85" s="9">
        <f t="shared" si="35"/>
        <v>0.47717588835660457</v>
      </c>
      <c r="U85" s="7">
        <v>7105.333333333333</v>
      </c>
      <c r="V85" s="7">
        <v>5862.1166666666668</v>
      </c>
      <c r="W85" s="7">
        <v>454.4</v>
      </c>
      <c r="X85" s="10">
        <v>33.824666666666673</v>
      </c>
      <c r="Y85" s="10">
        <f t="shared" si="26"/>
        <v>62.020621606888099</v>
      </c>
      <c r="Z85" s="11">
        <f t="shared" si="27"/>
        <v>0.22327423778479716</v>
      </c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</row>
    <row r="86" spans="1:45" x14ac:dyDescent="0.3">
      <c r="A86" s="14">
        <v>2022</v>
      </c>
      <c r="B86" s="17">
        <f t="shared" si="28"/>
        <v>31</v>
      </c>
      <c r="C86" s="15">
        <v>44682</v>
      </c>
      <c r="D86" s="7">
        <f t="shared" si="29"/>
        <v>1227514.5</v>
      </c>
      <c r="E86" s="8">
        <v>1121579.054</v>
      </c>
      <c r="F86" s="8">
        <v>105935.446</v>
      </c>
      <c r="G86" s="9">
        <f t="shared" si="30"/>
        <v>0.91369923043678913</v>
      </c>
      <c r="H86" s="9">
        <f t="shared" si="31"/>
        <v>8.6300769563210852E-2</v>
      </c>
      <c r="I86" s="7">
        <v>9131.4838709677424</v>
      </c>
      <c r="J86" s="7">
        <v>7995.5806451612907</v>
      </c>
      <c r="K86" s="7">
        <v>1018.4516129032259</v>
      </c>
      <c r="L86" s="21">
        <v>82.931612903225826</v>
      </c>
      <c r="M86" s="10">
        <f t="shared" si="32"/>
        <v>57.319340724513133</v>
      </c>
      <c r="N86" s="11">
        <f t="shared" ref="N86:N106" si="36">+M86*3600/1000000</f>
        <v>0.20634962660824729</v>
      </c>
      <c r="O86" s="1"/>
      <c r="P86" s="7">
        <f t="shared" si="33"/>
        <v>982726.14700000035</v>
      </c>
      <c r="Q86" s="7">
        <v>504009.62300000025</v>
      </c>
      <c r="R86" s="7">
        <v>478716.52400000009</v>
      </c>
      <c r="S86" s="9">
        <f t="shared" si="34"/>
        <v>0.51286884401987942</v>
      </c>
      <c r="T86" s="9">
        <f t="shared" si="35"/>
        <v>0.48713115598012058</v>
      </c>
      <c r="U86" s="7">
        <v>9210.8387096774186</v>
      </c>
      <c r="V86" s="7">
        <v>6422.1548387096773</v>
      </c>
      <c r="W86" s="7">
        <v>2423.2903225806454</v>
      </c>
      <c r="X86" s="10">
        <v>34.920645161290324</v>
      </c>
      <c r="Y86" s="10">
        <f t="shared" ref="Y86:Y123" si="37">+P86/B86/0.0864/V86</f>
        <v>57.131588934612488</v>
      </c>
      <c r="Z86" s="11">
        <f t="shared" ref="Z86:Z123" si="38">+Y86*3600/1000000</f>
        <v>0.20567372016460495</v>
      </c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1:45" x14ac:dyDescent="0.3">
      <c r="A87" s="14">
        <v>2022</v>
      </c>
      <c r="B87" s="17">
        <f t="shared" ref="B87:B129" si="39">+C88-C87</f>
        <v>30</v>
      </c>
      <c r="C87" s="15">
        <v>44713</v>
      </c>
      <c r="D87" s="7">
        <f t="shared" ref="D87:D137" si="40">SUM(E87:F87)</f>
        <v>1543025.844</v>
      </c>
      <c r="E87" s="8">
        <v>1431268.753</v>
      </c>
      <c r="F87" s="8">
        <v>111757.091</v>
      </c>
      <c r="G87" s="9">
        <f t="shared" ref="G87:G116" si="41">+E87/D87</f>
        <v>0.92757276786091214</v>
      </c>
      <c r="H87" s="9">
        <f t="shared" ref="H87:H116" si="42">+F87/D87</f>
        <v>7.2427232139087874E-2</v>
      </c>
      <c r="I87" s="7">
        <v>11528.8</v>
      </c>
      <c r="J87" s="7">
        <v>10727.4</v>
      </c>
      <c r="K87" s="7">
        <v>1050.3333333333333</v>
      </c>
      <c r="L87" s="21">
        <v>82.845333333333343</v>
      </c>
      <c r="M87" s="10">
        <f t="shared" ref="M87:M106" si="43">+D87/B87/0.0864/J87</f>
        <v>55.493705889176837</v>
      </c>
      <c r="N87" s="11">
        <f t="shared" si="36"/>
        <v>0.19977734120103663</v>
      </c>
      <c r="O87" s="1"/>
      <c r="P87" s="7">
        <f t="shared" ref="P87:P137" si="44">+SUM(Q87:R87)</f>
        <v>1087091.5050000001</v>
      </c>
      <c r="Q87" s="7">
        <v>552274.57500000007</v>
      </c>
      <c r="R87" s="7">
        <v>534816.93000000005</v>
      </c>
      <c r="S87" s="9">
        <f t="shared" ref="S87:S126" si="45">+Q87/P87</f>
        <v>0.50802951955732556</v>
      </c>
      <c r="T87" s="9">
        <f t="shared" ref="T87:T126" si="46">+R87/P87</f>
        <v>0.49197048044267438</v>
      </c>
      <c r="U87" s="7">
        <v>10098.299999999999</v>
      </c>
      <c r="V87" s="7">
        <v>7500.46</v>
      </c>
      <c r="W87" s="7">
        <v>2052.0333333333333</v>
      </c>
      <c r="X87" s="10">
        <v>34.376666666666665</v>
      </c>
      <c r="Y87" s="10">
        <f t="shared" si="37"/>
        <v>55.916915336600098</v>
      </c>
      <c r="Z87" s="11">
        <f t="shared" si="38"/>
        <v>0.20130089521176037</v>
      </c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</row>
    <row r="88" spans="1:45" x14ac:dyDescent="0.3">
      <c r="A88" s="14">
        <v>2022</v>
      </c>
      <c r="B88" s="17">
        <f t="shared" si="39"/>
        <v>31</v>
      </c>
      <c r="C88" s="15">
        <v>44743</v>
      </c>
      <c r="D88" s="7">
        <f t="shared" si="40"/>
        <v>1152772.1469999999</v>
      </c>
      <c r="E88" s="8">
        <v>1042668.181</v>
      </c>
      <c r="F88" s="8">
        <v>110103.966</v>
      </c>
      <c r="G88" s="9">
        <f t="shared" si="41"/>
        <v>0.90448765934661335</v>
      </c>
      <c r="H88" s="9">
        <f t="shared" si="42"/>
        <v>9.5512340653386735E-2</v>
      </c>
      <c r="I88" s="7">
        <v>8617.7741935483864</v>
      </c>
      <c r="J88" s="7">
        <v>7479.6129032258068</v>
      </c>
      <c r="K88" s="7">
        <v>1018.8387096774194</v>
      </c>
      <c r="L88" s="21">
        <v>82.95225806451613</v>
      </c>
      <c r="M88" s="10">
        <f t="shared" si="43"/>
        <v>57.542525143216857</v>
      </c>
      <c r="N88" s="11">
        <f t="shared" si="36"/>
        <v>0.2071530905155807</v>
      </c>
      <c r="O88" s="1"/>
      <c r="P88" s="7">
        <f t="shared" si="44"/>
        <v>1108173.3740000001</v>
      </c>
      <c r="Q88" s="7">
        <v>556614.63599999994</v>
      </c>
      <c r="R88" s="7">
        <v>551558.73800000013</v>
      </c>
      <c r="S88" s="9">
        <f t="shared" si="45"/>
        <v>0.50228118547089362</v>
      </c>
      <c r="T88" s="9">
        <f t="shared" si="46"/>
        <v>0.49771881452910643</v>
      </c>
      <c r="U88" s="7">
        <v>7671.1612903225805</v>
      </c>
      <c r="V88" s="7">
        <v>7018.0774193548386</v>
      </c>
      <c r="W88" s="7">
        <v>672.87096774193549</v>
      </c>
      <c r="X88" s="10">
        <v>34.884193548387096</v>
      </c>
      <c r="Y88" s="10">
        <f t="shared" si="37"/>
        <v>58.954114432555706</v>
      </c>
      <c r="Z88" s="11">
        <f t="shared" si="38"/>
        <v>0.21223481195720056</v>
      </c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</row>
    <row r="89" spans="1:45" x14ac:dyDescent="0.3">
      <c r="A89" s="14">
        <v>2022</v>
      </c>
      <c r="B89" s="17">
        <f t="shared" si="39"/>
        <v>31</v>
      </c>
      <c r="C89" s="15">
        <v>44774</v>
      </c>
      <c r="D89" s="7">
        <f t="shared" si="40"/>
        <v>1334719.577</v>
      </c>
      <c r="E89" s="8">
        <v>1212777.71</v>
      </c>
      <c r="F89" s="8">
        <v>121941.867</v>
      </c>
      <c r="G89" s="9">
        <f t="shared" si="41"/>
        <v>0.90863858663549069</v>
      </c>
      <c r="H89" s="9">
        <f t="shared" si="42"/>
        <v>9.13614133645093E-2</v>
      </c>
      <c r="I89" s="7">
        <v>9560.645161290322</v>
      </c>
      <c r="J89" s="7">
        <v>8801.5483870967746</v>
      </c>
      <c r="K89" s="7">
        <v>1017.6774193548387</v>
      </c>
      <c r="L89" s="21">
        <v>82.848709677419365</v>
      </c>
      <c r="M89" s="10">
        <f t="shared" si="43"/>
        <v>56.618128966731703</v>
      </c>
      <c r="N89" s="11">
        <f t="shared" si="36"/>
        <v>0.20382526428023415</v>
      </c>
      <c r="O89" s="1"/>
      <c r="P89" s="7">
        <f t="shared" si="44"/>
        <v>1046777.0339999998</v>
      </c>
      <c r="Q89" s="7">
        <v>553130.76</v>
      </c>
      <c r="R89" s="7">
        <v>493646.2739999998</v>
      </c>
      <c r="S89" s="9">
        <f t="shared" si="45"/>
        <v>0.52841315966433411</v>
      </c>
      <c r="T89" s="9">
        <f t="shared" si="46"/>
        <v>0.47158684033566589</v>
      </c>
      <c r="U89" s="7">
        <v>6362.677419354839</v>
      </c>
      <c r="V89" s="7">
        <v>6554.0193548387097</v>
      </c>
      <c r="W89" s="7">
        <v>0</v>
      </c>
      <c r="X89" s="10">
        <v>34.640322580645169</v>
      </c>
      <c r="Y89" s="10">
        <f t="shared" si="37"/>
        <v>59.630854105560196</v>
      </c>
      <c r="Z89" s="11">
        <f t="shared" si="38"/>
        <v>0.21467107478001671</v>
      </c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</row>
    <row r="90" spans="1:45" x14ac:dyDescent="0.3">
      <c r="A90" s="14">
        <v>2022</v>
      </c>
      <c r="B90" s="17">
        <f t="shared" si="39"/>
        <v>30</v>
      </c>
      <c r="C90" s="15">
        <v>44805</v>
      </c>
      <c r="D90" s="7">
        <f t="shared" si="40"/>
        <v>1300550.547</v>
      </c>
      <c r="E90" s="8">
        <v>1224201.3419999999</v>
      </c>
      <c r="F90" s="8">
        <v>76349.205000000002</v>
      </c>
      <c r="G90" s="9">
        <f t="shared" si="41"/>
        <v>0.94129470386513159</v>
      </c>
      <c r="H90" s="9">
        <f t="shared" si="42"/>
        <v>5.8705296134868336E-2</v>
      </c>
      <c r="I90" s="7">
        <v>9994.1333333333332</v>
      </c>
      <c r="J90" s="7">
        <v>8901.2999999999993</v>
      </c>
      <c r="K90" s="7">
        <v>1015</v>
      </c>
      <c r="L90" s="21">
        <v>82.75500000000001</v>
      </c>
      <c r="M90" s="10">
        <f t="shared" si="43"/>
        <v>56.368801441196062</v>
      </c>
      <c r="N90" s="11">
        <f t="shared" si="36"/>
        <v>0.20292768518830584</v>
      </c>
      <c r="O90" s="1"/>
      <c r="P90" s="7">
        <f t="shared" si="44"/>
        <v>448199.39699999994</v>
      </c>
      <c r="Q90" s="7">
        <v>189728.21399999995</v>
      </c>
      <c r="R90" s="7">
        <v>258471.18299999999</v>
      </c>
      <c r="S90" s="9">
        <f t="shared" si="45"/>
        <v>0.4233120688468931</v>
      </c>
      <c r="T90" s="9">
        <f t="shared" si="46"/>
        <v>0.5766879311531069</v>
      </c>
      <c r="U90" s="7">
        <v>2896.1666666666665</v>
      </c>
      <c r="V90" s="7">
        <v>2674.19</v>
      </c>
      <c r="W90" s="7">
        <v>0</v>
      </c>
      <c r="X90" s="10">
        <v>34.164666666666676</v>
      </c>
      <c r="Y90" s="10">
        <f t="shared" si="37"/>
        <v>64.661237244839654</v>
      </c>
      <c r="Z90" s="11">
        <f t="shared" si="38"/>
        <v>0.23278045408142276</v>
      </c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</row>
    <row r="91" spans="1:45" x14ac:dyDescent="0.3">
      <c r="A91" s="14">
        <v>2022</v>
      </c>
      <c r="B91" s="17">
        <f t="shared" si="39"/>
        <v>31</v>
      </c>
      <c r="C91" s="15">
        <v>44835</v>
      </c>
      <c r="D91" s="7">
        <f t="shared" si="40"/>
        <v>2054657.5630000001</v>
      </c>
      <c r="E91" s="8">
        <v>1969078.824</v>
      </c>
      <c r="F91" s="8">
        <v>85578.739000000001</v>
      </c>
      <c r="G91" s="9">
        <f t="shared" si="41"/>
        <v>0.95834890419645069</v>
      </c>
      <c r="H91" s="9">
        <f t="shared" si="42"/>
        <v>4.1651095803549233E-2</v>
      </c>
      <c r="I91" s="7">
        <v>17699.032258064515</v>
      </c>
      <c r="J91" s="7">
        <v>14245.903225806451</v>
      </c>
      <c r="K91" s="7">
        <v>3353.9032258064517</v>
      </c>
      <c r="L91" s="21">
        <v>82.952903225806452</v>
      </c>
      <c r="M91" s="10">
        <f t="shared" si="43"/>
        <v>53.848551436448105</v>
      </c>
      <c r="N91" s="11">
        <f t="shared" si="36"/>
        <v>0.19385478517121318</v>
      </c>
      <c r="O91" s="1"/>
      <c r="P91" s="7">
        <f t="shared" si="44"/>
        <v>665123.12399999995</v>
      </c>
      <c r="Q91" s="7">
        <v>425622.51</v>
      </c>
      <c r="R91" s="7">
        <v>239500.61399999994</v>
      </c>
      <c r="S91" s="9">
        <f t="shared" si="45"/>
        <v>0.63991537001501098</v>
      </c>
      <c r="T91" s="9">
        <f t="shared" si="46"/>
        <v>0.36008462998498902</v>
      </c>
      <c r="U91" s="7">
        <v>5669.5483870967746</v>
      </c>
      <c r="V91" s="7">
        <v>4071.0645161290322</v>
      </c>
      <c r="W91" s="7">
        <v>705.9677419354839</v>
      </c>
      <c r="X91" s="10">
        <v>33.79451612903226</v>
      </c>
      <c r="Y91" s="10">
        <f t="shared" si="37"/>
        <v>60.998425596503687</v>
      </c>
      <c r="Z91" s="11">
        <f t="shared" si="38"/>
        <v>0.21959433214741328</v>
      </c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</row>
    <row r="92" spans="1:45" x14ac:dyDescent="0.3">
      <c r="A92" s="14">
        <v>2022</v>
      </c>
      <c r="B92" s="17">
        <f t="shared" si="39"/>
        <v>30</v>
      </c>
      <c r="C92" s="15">
        <v>44866</v>
      </c>
      <c r="D92" s="7">
        <f t="shared" si="40"/>
        <v>1935070.2619999999</v>
      </c>
      <c r="E92" s="8">
        <v>1853276.362</v>
      </c>
      <c r="F92" s="8">
        <v>81793.899999999994</v>
      </c>
      <c r="G92" s="9">
        <f t="shared" si="41"/>
        <v>0.95773078548813961</v>
      </c>
      <c r="H92" s="9">
        <f t="shared" si="42"/>
        <v>4.2269214511860449E-2</v>
      </c>
      <c r="I92" s="7">
        <v>15233.266666666666</v>
      </c>
      <c r="J92" s="7">
        <v>13810.566666666668</v>
      </c>
      <c r="K92" s="7">
        <v>1382.6333333333334</v>
      </c>
      <c r="L92" s="21">
        <v>82.928999999999988</v>
      </c>
      <c r="M92" s="10">
        <f t="shared" si="43"/>
        <v>54.056788765428216</v>
      </c>
      <c r="N92" s="11">
        <f t="shared" si="36"/>
        <v>0.19460443955554158</v>
      </c>
      <c r="O92" s="1"/>
      <c r="P92" s="7">
        <f t="shared" si="44"/>
        <v>463262.23600000003</v>
      </c>
      <c r="Q92" s="7">
        <v>222755.21599999999</v>
      </c>
      <c r="R92" s="7">
        <v>240507.02000000008</v>
      </c>
      <c r="S92" s="9">
        <f t="shared" si="45"/>
        <v>0.48084043699171708</v>
      </c>
      <c r="T92" s="9">
        <f t="shared" si="46"/>
        <v>0.51915956300828303</v>
      </c>
      <c r="U92" s="7">
        <v>2512.9333333333334</v>
      </c>
      <c r="V92" s="7">
        <v>2731.3700000000003</v>
      </c>
      <c r="W92" s="7">
        <v>152.06666666666666</v>
      </c>
      <c r="X92" s="10">
        <v>34.443000000000012</v>
      </c>
      <c r="Y92" s="10">
        <f t="shared" si="37"/>
        <v>65.435189852042313</v>
      </c>
      <c r="Z92" s="11">
        <f t="shared" si="38"/>
        <v>0.23556668346735232</v>
      </c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</row>
    <row r="93" spans="1:45" x14ac:dyDescent="0.3">
      <c r="A93" s="14">
        <v>2022</v>
      </c>
      <c r="B93" s="17">
        <f t="shared" si="39"/>
        <v>31</v>
      </c>
      <c r="C93" s="15">
        <v>44896</v>
      </c>
      <c r="D93" s="7">
        <f t="shared" si="40"/>
        <v>1515496.7619999999</v>
      </c>
      <c r="E93" s="8">
        <v>1293690.0919999999</v>
      </c>
      <c r="F93" s="8">
        <v>221806.67</v>
      </c>
      <c r="G93" s="9">
        <f t="shared" si="41"/>
        <v>0.85364094760104814</v>
      </c>
      <c r="H93" s="9">
        <f t="shared" si="42"/>
        <v>0.14635905239895197</v>
      </c>
      <c r="I93" s="7">
        <v>11078.354838709678</v>
      </c>
      <c r="J93" s="7">
        <v>9884.1290322580644</v>
      </c>
      <c r="K93" s="7">
        <v>983.90322580645159</v>
      </c>
      <c r="L93" s="21">
        <v>82.823870967741939</v>
      </c>
      <c r="M93" s="10">
        <f t="shared" si="43"/>
        <v>57.245475909269352</v>
      </c>
      <c r="N93" s="11">
        <f t="shared" si="36"/>
        <v>0.20608371327336969</v>
      </c>
      <c r="O93" s="1"/>
      <c r="P93" s="7">
        <f t="shared" si="44"/>
        <v>150090.35499999998</v>
      </c>
      <c r="Q93" s="7">
        <v>81552.956000000006</v>
      </c>
      <c r="R93" s="7">
        <v>68537.398999999976</v>
      </c>
      <c r="S93" s="9">
        <f t="shared" si="45"/>
        <v>0.54335907194036559</v>
      </c>
      <c r="T93" s="9">
        <f t="shared" si="46"/>
        <v>0.45664092805963435</v>
      </c>
      <c r="U93" s="7">
        <v>986.06451612903231</v>
      </c>
      <c r="V93" s="7">
        <v>867.05483870967748</v>
      </c>
      <c r="W93" s="7">
        <v>0</v>
      </c>
      <c r="X93" s="10">
        <v>33.310967741935485</v>
      </c>
      <c r="Y93" s="10">
        <f t="shared" si="37"/>
        <v>64.629497950945307</v>
      </c>
      <c r="Z93" s="11">
        <f t="shared" si="38"/>
        <v>0.2326661926234031</v>
      </c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</row>
    <row r="94" spans="1:45" x14ac:dyDescent="0.3">
      <c r="A94" s="14">
        <v>2023</v>
      </c>
      <c r="B94" s="17">
        <f t="shared" si="39"/>
        <v>31</v>
      </c>
      <c r="C94" s="15">
        <v>44927</v>
      </c>
      <c r="D94" s="7">
        <f t="shared" si="40"/>
        <v>1492620.5180000002</v>
      </c>
      <c r="E94" s="8">
        <v>1367445.2400000002</v>
      </c>
      <c r="F94" s="8">
        <v>125175.27800000003</v>
      </c>
      <c r="G94" s="9">
        <f t="shared" si="41"/>
        <v>0.91613723884237808</v>
      </c>
      <c r="H94" s="9">
        <f t="shared" si="42"/>
        <v>8.3862761157621993E-2</v>
      </c>
      <c r="I94" s="7">
        <v>11153.774193548386</v>
      </c>
      <c r="J94" s="7">
        <v>10075</v>
      </c>
      <c r="K94" s="7">
        <v>1426.258064516129</v>
      </c>
      <c r="L94" s="21">
        <v>82.740967741935492</v>
      </c>
      <c r="M94" s="10">
        <f t="shared" si="43"/>
        <v>55.31321680882035</v>
      </c>
      <c r="N94" s="11">
        <f t="shared" si="36"/>
        <v>0.19912758051175328</v>
      </c>
      <c r="O94" s="1"/>
      <c r="P94" s="7">
        <f t="shared" si="44"/>
        <v>117421.84999999999</v>
      </c>
      <c r="Q94" s="7">
        <v>61612.345999999998</v>
      </c>
      <c r="R94" s="7">
        <v>55809.503999999994</v>
      </c>
      <c r="S94" s="9">
        <f t="shared" si="45"/>
        <v>0.52470937904657444</v>
      </c>
      <c r="T94" s="9">
        <f t="shared" si="46"/>
        <v>0.47529062095342561</v>
      </c>
      <c r="U94" s="7">
        <v>569.32258064516134</v>
      </c>
      <c r="V94" s="7">
        <v>688.10967741935485</v>
      </c>
      <c r="W94" s="7">
        <v>0</v>
      </c>
      <c r="X94" s="10">
        <v>33.243225806451619</v>
      </c>
      <c r="Y94" s="10">
        <f t="shared" si="37"/>
        <v>63.711204600486347</v>
      </c>
      <c r="Z94" s="11">
        <f t="shared" si="38"/>
        <v>0.22936033656175087</v>
      </c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</row>
    <row r="95" spans="1:45" x14ac:dyDescent="0.3">
      <c r="A95" s="14">
        <v>2023</v>
      </c>
      <c r="B95" s="17">
        <f t="shared" si="39"/>
        <v>28</v>
      </c>
      <c r="C95" s="15">
        <v>44958</v>
      </c>
      <c r="D95" s="7">
        <f t="shared" si="40"/>
        <v>1750312.2100000004</v>
      </c>
      <c r="E95" s="8">
        <v>1654817.6130000004</v>
      </c>
      <c r="F95" s="8">
        <v>95494.597000000009</v>
      </c>
      <c r="G95" s="9">
        <f t="shared" si="41"/>
        <v>0.94544139242449776</v>
      </c>
      <c r="H95" s="9">
        <f t="shared" si="42"/>
        <v>5.4558607575502197E-2</v>
      </c>
      <c r="I95" s="7">
        <v>16746.392857142859</v>
      </c>
      <c r="J95" s="7">
        <v>13398.142857142857</v>
      </c>
      <c r="K95" s="7">
        <v>3294.6428571428573</v>
      </c>
      <c r="L95" s="21">
        <v>82.858928571428578</v>
      </c>
      <c r="M95" s="10">
        <f t="shared" si="43"/>
        <v>54.000669525883922</v>
      </c>
      <c r="N95" s="11">
        <f t="shared" si="36"/>
        <v>0.19440241029318212</v>
      </c>
      <c r="O95" s="1"/>
      <c r="P95" s="7">
        <f t="shared" si="44"/>
        <v>110869.36</v>
      </c>
      <c r="Q95" s="7">
        <v>55579.072999999989</v>
      </c>
      <c r="R95" s="7">
        <v>55290.287000000011</v>
      </c>
      <c r="S95" s="9">
        <f t="shared" si="45"/>
        <v>0.50130237064595651</v>
      </c>
      <c r="T95" s="9">
        <f t="shared" si="46"/>
        <v>0.49869762935404344</v>
      </c>
      <c r="U95" s="7">
        <v>676.5</v>
      </c>
      <c r="V95" s="7">
        <v>731.63214285714287</v>
      </c>
      <c r="W95" s="7">
        <v>0</v>
      </c>
      <c r="X95" s="10">
        <v>32.717142857142861</v>
      </c>
      <c r="Y95" s="10">
        <f t="shared" si="37"/>
        <v>62.63931353017886</v>
      </c>
      <c r="Z95" s="11">
        <f t="shared" si="38"/>
        <v>0.2255015287086439</v>
      </c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</row>
    <row r="96" spans="1:45" x14ac:dyDescent="0.3">
      <c r="A96" s="14">
        <v>2023</v>
      </c>
      <c r="B96" s="17">
        <f t="shared" si="39"/>
        <v>31</v>
      </c>
      <c r="C96" s="15">
        <v>44986</v>
      </c>
      <c r="D96" s="7">
        <f t="shared" si="40"/>
        <v>2008221.1970000006</v>
      </c>
      <c r="E96" s="8">
        <v>1833550.9220000007</v>
      </c>
      <c r="F96" s="8">
        <v>174670.27500000002</v>
      </c>
      <c r="G96" s="9">
        <f t="shared" si="41"/>
        <v>0.91302239252282935</v>
      </c>
      <c r="H96" s="9">
        <f t="shared" si="42"/>
        <v>8.6977607477170732E-2</v>
      </c>
      <c r="I96" s="7">
        <v>18975.548387096773</v>
      </c>
      <c r="J96" s="7">
        <v>13963.774193548386</v>
      </c>
      <c r="K96" s="7">
        <v>4903.9354838709678</v>
      </c>
      <c r="L96" s="21">
        <v>82.951612903225836</v>
      </c>
      <c r="M96" s="10">
        <f t="shared" si="43"/>
        <v>53.694931565326208</v>
      </c>
      <c r="N96" s="11">
        <f t="shared" si="36"/>
        <v>0.19330175363517432</v>
      </c>
      <c r="O96" s="1"/>
      <c r="P96" s="7">
        <f t="shared" si="44"/>
        <v>228253.87800000008</v>
      </c>
      <c r="Q96" s="7">
        <v>103108.38100000005</v>
      </c>
      <c r="R96" s="7">
        <v>125145.49700000005</v>
      </c>
      <c r="S96" s="9">
        <f t="shared" si="45"/>
        <v>0.4517267434991839</v>
      </c>
      <c r="T96" s="9">
        <f t="shared" si="46"/>
        <v>0.54827325650081615</v>
      </c>
      <c r="U96" s="7">
        <v>1434.5483870967741</v>
      </c>
      <c r="V96" s="7">
        <v>1413.1967741935484</v>
      </c>
      <c r="W96" s="7">
        <v>0</v>
      </c>
      <c r="X96" s="10">
        <v>32.161290322580633</v>
      </c>
      <c r="Y96" s="10">
        <f t="shared" si="37"/>
        <v>60.30316285124934</v>
      </c>
      <c r="Z96" s="11">
        <f t="shared" si="38"/>
        <v>0.21709138626449762</v>
      </c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</row>
    <row r="97" spans="1:45" x14ac:dyDescent="0.3">
      <c r="A97" s="14">
        <v>2023</v>
      </c>
      <c r="B97" s="17">
        <f t="shared" si="39"/>
        <v>30</v>
      </c>
      <c r="C97" s="15">
        <v>45017</v>
      </c>
      <c r="D97" s="7">
        <f t="shared" si="40"/>
        <v>1647204.9619999998</v>
      </c>
      <c r="E97" s="8">
        <v>1537625.9769999997</v>
      </c>
      <c r="F97" s="8">
        <v>109578.98500000003</v>
      </c>
      <c r="G97" s="9">
        <f t="shared" si="41"/>
        <v>0.93347580445183231</v>
      </c>
      <c r="H97" s="9">
        <f t="shared" si="42"/>
        <v>6.6524195548167631E-2</v>
      </c>
      <c r="I97" s="7">
        <v>13176.533333333333</v>
      </c>
      <c r="J97" s="7">
        <v>11586.566666666668</v>
      </c>
      <c r="K97" s="7">
        <v>1568.3666666666666</v>
      </c>
      <c r="L97" s="21">
        <v>82.830333333333343</v>
      </c>
      <c r="M97" s="10">
        <f t="shared" si="43"/>
        <v>54.847631726885929</v>
      </c>
      <c r="N97" s="11">
        <f t="shared" si="36"/>
        <v>0.19745147421678935</v>
      </c>
      <c r="O97" s="1"/>
      <c r="P97" s="7">
        <f t="shared" si="44"/>
        <v>172685.62199999997</v>
      </c>
      <c r="Q97" s="7">
        <v>90788.231999999989</v>
      </c>
      <c r="R97" s="7">
        <v>81897.38999999997</v>
      </c>
      <c r="S97" s="9">
        <f t="shared" si="45"/>
        <v>0.52574285541850152</v>
      </c>
      <c r="T97" s="9">
        <f t="shared" si="46"/>
        <v>0.47425714458149842</v>
      </c>
      <c r="U97" s="7">
        <v>1081.9000000000001</v>
      </c>
      <c r="V97" s="7">
        <v>1030.0733333333333</v>
      </c>
      <c r="W97" s="7">
        <v>0</v>
      </c>
      <c r="X97" s="10">
        <v>32.544666666666672</v>
      </c>
      <c r="Y97" s="10">
        <f t="shared" si="37"/>
        <v>64.677472172063972</v>
      </c>
      <c r="Z97" s="11">
        <f t="shared" si="38"/>
        <v>0.23283889981943032</v>
      </c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</row>
    <row r="98" spans="1:45" x14ac:dyDescent="0.3">
      <c r="A98" s="14">
        <v>2023</v>
      </c>
      <c r="B98" s="17">
        <f t="shared" si="39"/>
        <v>31</v>
      </c>
      <c r="C98" s="15">
        <v>45047</v>
      </c>
      <c r="D98" s="7">
        <f t="shared" si="40"/>
        <v>1539900.1410000001</v>
      </c>
      <c r="E98" s="8">
        <v>1265661.7080000001</v>
      </c>
      <c r="F98" s="8">
        <v>274238.43300000002</v>
      </c>
      <c r="G98" s="9">
        <f t="shared" si="41"/>
        <v>0.82191154757482421</v>
      </c>
      <c r="H98" s="9">
        <f t="shared" si="42"/>
        <v>0.17808845242517579</v>
      </c>
      <c r="I98" s="7">
        <v>11341.161290322581</v>
      </c>
      <c r="J98" s="7">
        <v>10307.645161290322</v>
      </c>
      <c r="K98" s="7">
        <v>1243.1290322580646</v>
      </c>
      <c r="L98" s="21">
        <v>82.849677419354819</v>
      </c>
      <c r="M98" s="10">
        <f t="shared" si="43"/>
        <v>55.777322496647066</v>
      </c>
      <c r="N98" s="11">
        <f t="shared" si="36"/>
        <v>0.20079836098792944</v>
      </c>
      <c r="O98" s="1"/>
      <c r="P98" s="7">
        <f t="shared" si="44"/>
        <v>416594.56999999995</v>
      </c>
      <c r="Q98" s="7">
        <v>208595.62799999997</v>
      </c>
      <c r="R98" s="7">
        <v>207998.94200000001</v>
      </c>
      <c r="S98" s="9">
        <f t="shared" si="45"/>
        <v>0.5007161471163678</v>
      </c>
      <c r="T98" s="9">
        <f t="shared" si="46"/>
        <v>0.49928385288363225</v>
      </c>
      <c r="U98" s="7">
        <v>2707.2258064516127</v>
      </c>
      <c r="V98" s="7">
        <v>2435.016129032258</v>
      </c>
      <c r="W98" s="7">
        <v>0</v>
      </c>
      <c r="X98" s="10">
        <v>33.352258064516128</v>
      </c>
      <c r="Y98" s="10">
        <f t="shared" si="37"/>
        <v>63.875796173265542</v>
      </c>
      <c r="Z98" s="11">
        <f t="shared" si="38"/>
        <v>0.22995286622375596</v>
      </c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</row>
    <row r="99" spans="1:45" x14ac:dyDescent="0.3">
      <c r="A99" s="14">
        <v>2023</v>
      </c>
      <c r="B99" s="17">
        <f t="shared" si="39"/>
        <v>30</v>
      </c>
      <c r="C99" s="15">
        <v>45078</v>
      </c>
      <c r="D99" s="7">
        <f t="shared" si="40"/>
        <v>1275930.4699999997</v>
      </c>
      <c r="E99" s="8">
        <v>1165304.0989999997</v>
      </c>
      <c r="F99" s="8">
        <v>110626.37099999997</v>
      </c>
      <c r="G99" s="9">
        <f t="shared" si="41"/>
        <v>0.91329749261337101</v>
      </c>
      <c r="H99" s="9">
        <f t="shared" si="42"/>
        <v>8.6702507386628991E-2</v>
      </c>
      <c r="I99" s="7">
        <v>9777.7000000000007</v>
      </c>
      <c r="J99" s="7">
        <v>8690.7666666666664</v>
      </c>
      <c r="K99" s="7">
        <v>1016.5333333333333</v>
      </c>
      <c r="L99" s="21">
        <v>82.85899999999998</v>
      </c>
      <c r="M99" s="10">
        <f t="shared" si="43"/>
        <v>56.641392486079653</v>
      </c>
      <c r="N99" s="11">
        <f t="shared" si="36"/>
        <v>0.20390901294988675</v>
      </c>
      <c r="O99" s="1"/>
      <c r="P99" s="7">
        <f t="shared" si="44"/>
        <v>383742.68999999994</v>
      </c>
      <c r="Q99" s="7">
        <v>178474.45499999996</v>
      </c>
      <c r="R99" s="7">
        <v>205268.23499999999</v>
      </c>
      <c r="S99" s="9">
        <f t="shared" si="45"/>
        <v>0.46508887244210434</v>
      </c>
      <c r="T99" s="9">
        <f t="shared" si="46"/>
        <v>0.53491112755789572</v>
      </c>
      <c r="U99" s="7">
        <v>2248.1</v>
      </c>
      <c r="V99" s="7">
        <v>2395.52</v>
      </c>
      <c r="W99" s="7">
        <v>0</v>
      </c>
      <c r="X99" s="10">
        <v>33.091999999999992</v>
      </c>
      <c r="Y99" s="10">
        <f t="shared" si="37"/>
        <v>61.802396688324372</v>
      </c>
      <c r="Z99" s="11">
        <f t="shared" si="38"/>
        <v>0.22248862807796774</v>
      </c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</row>
    <row r="100" spans="1:45" x14ac:dyDescent="0.3">
      <c r="A100" s="14">
        <v>2023</v>
      </c>
      <c r="B100" s="17">
        <f t="shared" si="39"/>
        <v>31</v>
      </c>
      <c r="C100" s="15">
        <v>45108</v>
      </c>
      <c r="D100" s="7">
        <f t="shared" si="40"/>
        <v>1460519.4160000002</v>
      </c>
      <c r="E100" s="8">
        <v>1388141.4270000001</v>
      </c>
      <c r="F100" s="8">
        <v>72377.988999999972</v>
      </c>
      <c r="G100" s="9">
        <f t="shared" si="41"/>
        <v>0.95044366531036928</v>
      </c>
      <c r="H100" s="9">
        <f t="shared" si="42"/>
        <v>4.9556334689630693E-2</v>
      </c>
      <c r="I100" s="7">
        <v>10814.161290322581</v>
      </c>
      <c r="J100" s="7">
        <v>9735.2580645161288</v>
      </c>
      <c r="K100" s="7">
        <v>1015.4516129032259</v>
      </c>
      <c r="L100" s="21">
        <v>82.849354838709644</v>
      </c>
      <c r="M100" s="10">
        <f t="shared" si="43"/>
        <v>56.01243205577137</v>
      </c>
      <c r="N100" s="11">
        <f t="shared" si="36"/>
        <v>0.20164475540077692</v>
      </c>
      <c r="O100" s="1"/>
      <c r="P100" s="7">
        <f t="shared" si="44"/>
        <v>785246.78</v>
      </c>
      <c r="Q100" s="7">
        <v>455815.30999999994</v>
      </c>
      <c r="R100" s="7">
        <v>329431.47000000015</v>
      </c>
      <c r="S100" s="9">
        <f t="shared" si="45"/>
        <v>0.58047396259300788</v>
      </c>
      <c r="T100" s="9">
        <f t="shared" si="46"/>
        <v>0.41952603740699212</v>
      </c>
      <c r="U100" s="7">
        <v>6388.4516129032254</v>
      </c>
      <c r="V100" s="7">
        <v>4597.5064516129032</v>
      </c>
      <c r="W100" s="7">
        <v>781.25806451612902</v>
      </c>
      <c r="X100" s="10">
        <v>33.666451612903231</v>
      </c>
      <c r="Y100" s="10">
        <f t="shared" si="37"/>
        <v>63.76881997147224</v>
      </c>
      <c r="Z100" s="11">
        <f t="shared" si="38"/>
        <v>0.22956775189730008</v>
      </c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</row>
    <row r="101" spans="1:45" x14ac:dyDescent="0.3">
      <c r="A101" s="14">
        <v>2023</v>
      </c>
      <c r="B101" s="17">
        <f t="shared" si="39"/>
        <v>31</v>
      </c>
      <c r="C101" s="15">
        <v>45139</v>
      </c>
      <c r="D101" s="7">
        <f t="shared" si="40"/>
        <v>1460091.0009999999</v>
      </c>
      <c r="E101" s="8">
        <v>1385936.8489999999</v>
      </c>
      <c r="F101" s="8">
        <v>74154.151999999987</v>
      </c>
      <c r="G101" s="9">
        <f t="shared" si="41"/>
        <v>0.9492126504791738</v>
      </c>
      <c r="H101" s="9">
        <f t="shared" si="42"/>
        <v>5.0787349520826197E-2</v>
      </c>
      <c r="I101" s="7">
        <v>10588.387096774193</v>
      </c>
      <c r="J101" s="7">
        <v>9659.2903225806458</v>
      </c>
      <c r="K101" s="7">
        <v>1017.2903225806451</v>
      </c>
      <c r="L101" s="21">
        <v>82.889999999999986</v>
      </c>
      <c r="M101" s="10">
        <f t="shared" si="43"/>
        <v>56.436395515809487</v>
      </c>
      <c r="N101" s="11">
        <f t="shared" si="36"/>
        <v>0.20317102385691416</v>
      </c>
      <c r="O101" s="1"/>
      <c r="P101" s="7">
        <f t="shared" si="44"/>
        <v>632366.17100000009</v>
      </c>
      <c r="Q101" s="7">
        <v>298503.20500000007</v>
      </c>
      <c r="R101" s="7">
        <v>333862.96600000001</v>
      </c>
      <c r="S101" s="9">
        <f t="shared" si="45"/>
        <v>0.47204170414106489</v>
      </c>
      <c r="T101" s="9">
        <f t="shared" si="46"/>
        <v>0.52795829585893517</v>
      </c>
      <c r="U101" s="7">
        <v>3451.2580645161293</v>
      </c>
      <c r="V101" s="7">
        <v>3692.1967741935487</v>
      </c>
      <c r="W101" s="7">
        <v>0</v>
      </c>
      <c r="X101" s="10">
        <v>34.188387096774193</v>
      </c>
      <c r="Y101" s="10">
        <f t="shared" si="37"/>
        <v>63.945259488778802</v>
      </c>
      <c r="Z101" s="11">
        <f t="shared" si="38"/>
        <v>0.23020293415960369</v>
      </c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</row>
    <row r="102" spans="1:45" x14ac:dyDescent="0.3">
      <c r="A102" s="14">
        <v>2023</v>
      </c>
      <c r="B102" s="17">
        <f t="shared" si="39"/>
        <v>30</v>
      </c>
      <c r="C102" s="15">
        <v>45170</v>
      </c>
      <c r="D102" s="7">
        <f t="shared" si="40"/>
        <v>1677726.4870000002</v>
      </c>
      <c r="E102" s="8">
        <v>1447485.3870000001</v>
      </c>
      <c r="F102" s="8">
        <v>230241.10000000006</v>
      </c>
      <c r="G102" s="9">
        <f t="shared" si="41"/>
        <v>0.86276600996405439</v>
      </c>
      <c r="H102" s="9">
        <f t="shared" si="42"/>
        <v>0.13723399003594561</v>
      </c>
      <c r="I102" s="7">
        <v>13054.833333333334</v>
      </c>
      <c r="J102" s="7">
        <v>11753.733333333334</v>
      </c>
      <c r="K102" s="7">
        <v>1094.3666666666666</v>
      </c>
      <c r="L102" s="21">
        <v>82.815333333333328</v>
      </c>
      <c r="M102" s="10">
        <f t="shared" si="43"/>
        <v>55.069398195677046</v>
      </c>
      <c r="N102" s="11">
        <f t="shared" si="36"/>
        <v>0.19824983350443734</v>
      </c>
      <c r="O102" s="1"/>
      <c r="P102" s="7">
        <f t="shared" si="44"/>
        <v>712007.09700000007</v>
      </c>
      <c r="Q102" s="7">
        <v>460271.93800000014</v>
      </c>
      <c r="R102" s="7">
        <v>251735.15899999999</v>
      </c>
      <c r="S102" s="9">
        <f t="shared" si="45"/>
        <v>0.64644290757680478</v>
      </c>
      <c r="T102" s="9">
        <f t="shared" si="46"/>
        <v>0.35355709242319527</v>
      </c>
      <c r="U102" s="7">
        <v>13701.6</v>
      </c>
      <c r="V102" s="7">
        <v>5618.7066666666669</v>
      </c>
      <c r="W102" s="7">
        <v>6696.166666666667</v>
      </c>
      <c r="X102" s="10">
        <v>33.089333333333336</v>
      </c>
      <c r="Y102" s="10">
        <f t="shared" si="37"/>
        <v>48.889203932722623</v>
      </c>
      <c r="Z102" s="11">
        <f t="shared" si="38"/>
        <v>0.17600113415780144</v>
      </c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</row>
    <row r="103" spans="1:45" x14ac:dyDescent="0.3">
      <c r="A103" s="14">
        <v>2023</v>
      </c>
      <c r="B103" s="17">
        <f t="shared" si="39"/>
        <v>31</v>
      </c>
      <c r="C103" s="15">
        <v>45200</v>
      </c>
      <c r="D103" s="7">
        <f t="shared" si="40"/>
        <v>1890585.2760000001</v>
      </c>
      <c r="E103" s="8">
        <v>1706594.27</v>
      </c>
      <c r="F103" s="8">
        <v>183991.00600000005</v>
      </c>
      <c r="G103" s="9">
        <f t="shared" si="41"/>
        <v>0.90268039832126568</v>
      </c>
      <c r="H103" s="9">
        <f t="shared" si="42"/>
        <v>9.7319601678734352E-2</v>
      </c>
      <c r="I103" s="7">
        <v>17775.064516129034</v>
      </c>
      <c r="J103" s="7">
        <v>13034.290322580646</v>
      </c>
      <c r="K103" s="7">
        <v>4664.1612903225805</v>
      </c>
      <c r="L103" s="21">
        <v>82.801935483870977</v>
      </c>
      <c r="M103" s="10">
        <f t="shared" si="43"/>
        <v>54.154362136047538</v>
      </c>
      <c r="N103" s="11">
        <f t="shared" si="36"/>
        <v>0.19495570368977116</v>
      </c>
      <c r="O103" s="1"/>
      <c r="P103" s="7">
        <f t="shared" si="44"/>
        <v>646437.22999999963</v>
      </c>
      <c r="Q103" s="7">
        <v>445263.90399999963</v>
      </c>
      <c r="R103" s="7">
        <v>201173.326</v>
      </c>
      <c r="S103" s="9">
        <f t="shared" si="45"/>
        <v>0.6887968132652259</v>
      </c>
      <c r="T103" s="9">
        <f t="shared" si="46"/>
        <v>0.3112031867347741</v>
      </c>
      <c r="U103" s="7">
        <v>16536.16129032258</v>
      </c>
      <c r="V103" s="7">
        <v>5513.4935483870968</v>
      </c>
      <c r="W103" s="7">
        <v>11082.612903225807</v>
      </c>
      <c r="X103" s="10">
        <v>32.695483870967749</v>
      </c>
      <c r="Y103" s="10">
        <f t="shared" si="37"/>
        <v>43.774788213194576</v>
      </c>
      <c r="Z103" s="11">
        <f t="shared" si="38"/>
        <v>0.15758923756750048</v>
      </c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</row>
    <row r="104" spans="1:45" x14ac:dyDescent="0.3">
      <c r="A104" s="14">
        <v>2023</v>
      </c>
      <c r="B104" s="17">
        <f t="shared" si="39"/>
        <v>30</v>
      </c>
      <c r="C104" s="15">
        <v>45231</v>
      </c>
      <c r="D104" s="7">
        <f t="shared" si="40"/>
        <v>1783295.6699999997</v>
      </c>
      <c r="E104" s="8">
        <v>1549664.1319999998</v>
      </c>
      <c r="F104" s="8">
        <v>233631.538</v>
      </c>
      <c r="G104" s="9">
        <f t="shared" si="41"/>
        <v>0.86898889402899748</v>
      </c>
      <c r="H104" s="9">
        <f t="shared" si="42"/>
        <v>0.13101110597100257</v>
      </c>
      <c r="I104" s="7">
        <v>25408.833333333332</v>
      </c>
      <c r="J104" s="7">
        <v>13542.4</v>
      </c>
      <c r="K104" s="7">
        <v>12248.766666666666</v>
      </c>
      <c r="L104" s="21">
        <v>82.779333333333327</v>
      </c>
      <c r="M104" s="10">
        <f t="shared" si="43"/>
        <v>50.803393245302537</v>
      </c>
      <c r="N104" s="11">
        <f t="shared" si="36"/>
        <v>0.18289221568308914</v>
      </c>
      <c r="O104" s="1"/>
      <c r="P104" s="7">
        <f t="shared" si="44"/>
        <v>506056.9499999999</v>
      </c>
      <c r="Q104" s="7">
        <v>327447.02799999993</v>
      </c>
      <c r="R104" s="7">
        <v>178609.92199999996</v>
      </c>
      <c r="S104" s="9">
        <f t="shared" si="45"/>
        <v>0.64705568809992631</v>
      </c>
      <c r="T104" s="9">
        <f t="shared" si="46"/>
        <v>0.35294431190007369</v>
      </c>
      <c r="U104" s="7">
        <v>22898.233333333334</v>
      </c>
      <c r="V104" s="7">
        <v>5210.4066666666668</v>
      </c>
      <c r="W104" s="7">
        <v>17751.733333333334</v>
      </c>
      <c r="X104" s="10">
        <v>32.43833333333334</v>
      </c>
      <c r="Y104" s="10">
        <f t="shared" si="37"/>
        <v>37.470783630452374</v>
      </c>
      <c r="Z104" s="11">
        <f t="shared" si="38"/>
        <v>0.13489482106962855</v>
      </c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</row>
    <row r="105" spans="1:45" x14ac:dyDescent="0.3">
      <c r="A105" s="14">
        <v>2023</v>
      </c>
      <c r="B105" s="17">
        <f t="shared" si="39"/>
        <v>31</v>
      </c>
      <c r="C105" s="15">
        <v>45261</v>
      </c>
      <c r="D105" s="7">
        <f t="shared" si="40"/>
        <v>1931645.5450000006</v>
      </c>
      <c r="E105" s="8">
        <v>1731206.5940000005</v>
      </c>
      <c r="F105" s="8">
        <v>200438.95100000003</v>
      </c>
      <c r="G105" s="9">
        <f t="shared" si="41"/>
        <v>0.89623409350704653</v>
      </c>
      <c r="H105" s="9">
        <f t="shared" si="42"/>
        <v>0.10376590649295338</v>
      </c>
      <c r="I105" s="7">
        <v>16681.903225806451</v>
      </c>
      <c r="J105" s="7">
        <v>13298.58064516129</v>
      </c>
      <c r="K105" s="7">
        <v>3423.7096774193546</v>
      </c>
      <c r="L105" s="21">
        <v>82.895483870967752</v>
      </c>
      <c r="M105" s="10">
        <f t="shared" si="43"/>
        <v>54.230887173710492</v>
      </c>
      <c r="N105" s="11">
        <f t="shared" si="36"/>
        <v>0.19523119382535778</v>
      </c>
      <c r="O105" s="1"/>
      <c r="P105" s="7">
        <f t="shared" si="44"/>
        <v>713478.56000000017</v>
      </c>
      <c r="Q105" s="7">
        <v>504117.40000000014</v>
      </c>
      <c r="R105" s="7">
        <v>209361.16000000003</v>
      </c>
      <c r="S105" s="9">
        <f t="shared" si="45"/>
        <v>0.70656278725460231</v>
      </c>
      <c r="T105" s="9">
        <f t="shared" si="46"/>
        <v>0.29343721274539769</v>
      </c>
      <c r="U105" s="7">
        <v>14092.322580645161</v>
      </c>
      <c r="V105" s="7">
        <v>5071</v>
      </c>
      <c r="W105" s="7">
        <v>8549.8064516129034</v>
      </c>
      <c r="X105" s="10">
        <v>34.84322580645162</v>
      </c>
      <c r="Y105" s="10">
        <f t="shared" si="37"/>
        <v>52.530541814006938</v>
      </c>
      <c r="Z105" s="11">
        <f t="shared" si="38"/>
        <v>0.18910995053042498</v>
      </c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</row>
    <row r="106" spans="1:45" x14ac:dyDescent="0.3">
      <c r="A106" s="14">
        <v>2024</v>
      </c>
      <c r="B106" s="17">
        <f t="shared" si="39"/>
        <v>31</v>
      </c>
      <c r="C106" s="15">
        <v>45292</v>
      </c>
      <c r="D106" s="7">
        <f t="shared" si="40"/>
        <v>1733018.6430000002</v>
      </c>
      <c r="E106" s="8">
        <v>1491109.3220000002</v>
      </c>
      <c r="F106" s="8">
        <v>241909.32099999991</v>
      </c>
      <c r="G106" s="9">
        <f t="shared" si="41"/>
        <v>0.86041158762075709</v>
      </c>
      <c r="H106" s="9">
        <f t="shared" si="42"/>
        <v>0.13958841237924288</v>
      </c>
      <c r="I106" s="7">
        <v>12766.58064516129</v>
      </c>
      <c r="J106" s="7">
        <v>11763.903225806451</v>
      </c>
      <c r="K106" s="7">
        <v>1108.4193548387098</v>
      </c>
      <c r="L106" s="21">
        <v>82.825806451612891</v>
      </c>
      <c r="M106" s="10">
        <f t="shared" si="43"/>
        <v>55.001730679232907</v>
      </c>
      <c r="N106" s="11">
        <f t="shared" si="36"/>
        <v>0.19800623044523846</v>
      </c>
      <c r="O106" s="1"/>
      <c r="P106" s="7">
        <f t="shared" si="44"/>
        <v>901264.10500000021</v>
      </c>
      <c r="Q106" s="7">
        <v>539257.59600000014</v>
      </c>
      <c r="R106" s="7">
        <v>362006.50900000002</v>
      </c>
      <c r="S106" s="9">
        <f t="shared" si="45"/>
        <v>0.59833470900297314</v>
      </c>
      <c r="T106" s="9">
        <f t="shared" si="46"/>
        <v>0.4016652909970268</v>
      </c>
      <c r="U106" s="7">
        <v>7713.5806451612907</v>
      </c>
      <c r="V106" s="7">
        <v>5593.8580645161292</v>
      </c>
      <c r="W106" s="7">
        <v>1954.9677419354839</v>
      </c>
      <c r="X106" s="10">
        <v>34.982258064516124</v>
      </c>
      <c r="Y106" s="10">
        <f t="shared" si="37"/>
        <v>60.154094765076884</v>
      </c>
      <c r="Z106" s="11">
        <f t="shared" si="38"/>
        <v>0.21655474115427681</v>
      </c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</row>
    <row r="107" spans="1:45" x14ac:dyDescent="0.3">
      <c r="A107" s="14">
        <v>2024</v>
      </c>
      <c r="B107" s="17">
        <f t="shared" si="39"/>
        <v>29</v>
      </c>
      <c r="C107" s="15">
        <v>45323</v>
      </c>
      <c r="D107" s="7">
        <f t="shared" si="40"/>
        <v>1248960.33</v>
      </c>
      <c r="E107" s="8">
        <v>1001009.3730000001</v>
      </c>
      <c r="F107" s="8">
        <v>247950.95699999997</v>
      </c>
      <c r="G107" s="9">
        <f t="shared" si="41"/>
        <v>0.80147411327307738</v>
      </c>
      <c r="H107" s="9">
        <f t="shared" si="42"/>
        <v>0.19852588672692267</v>
      </c>
      <c r="I107" s="7">
        <v>9800.8620689655181</v>
      </c>
      <c r="J107" s="7">
        <v>8807.9655172413786</v>
      </c>
      <c r="K107" s="7">
        <v>1015.7931034482758</v>
      </c>
      <c r="L107" s="21">
        <v>82.760689655172413</v>
      </c>
      <c r="M107" s="10">
        <f t="shared" ref="M107:M137" si="47">+D107/B107/0.0864/J107</f>
        <v>56.592815182965275</v>
      </c>
      <c r="N107" s="11">
        <f t="shared" ref="N107:N137" si="48">+M107*3600/1000000</f>
        <v>0.20373413465867499</v>
      </c>
      <c r="O107" s="1"/>
      <c r="P107" s="7">
        <f t="shared" si="44"/>
        <v>601326.97499999998</v>
      </c>
      <c r="Q107" s="7">
        <v>271686.84400000004</v>
      </c>
      <c r="R107" s="7">
        <v>329640.13099999994</v>
      </c>
      <c r="S107" s="9">
        <f t="shared" si="45"/>
        <v>0.45181216758153925</v>
      </c>
      <c r="T107" s="9">
        <f t="shared" si="46"/>
        <v>0.54818783241846081</v>
      </c>
      <c r="U107" s="7">
        <v>3393.7241379310344</v>
      </c>
      <c r="V107" s="7">
        <v>3819.748275862069</v>
      </c>
      <c r="W107" s="7">
        <v>14.344827586206897</v>
      </c>
      <c r="X107" s="10">
        <v>34.047931034482765</v>
      </c>
      <c r="Y107" s="10">
        <f t="shared" si="37"/>
        <v>62.829586634512729</v>
      </c>
      <c r="Z107" s="11">
        <f t="shared" si="38"/>
        <v>0.22618651188424582</v>
      </c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</row>
    <row r="108" spans="1:45" x14ac:dyDescent="0.3">
      <c r="A108" s="14">
        <v>2024</v>
      </c>
      <c r="B108" s="17">
        <f t="shared" si="39"/>
        <v>31</v>
      </c>
      <c r="C108" s="15">
        <v>45352</v>
      </c>
      <c r="D108" s="7">
        <f t="shared" si="40"/>
        <v>1260529.6680000001</v>
      </c>
      <c r="E108" s="8">
        <v>1019606.5920000002</v>
      </c>
      <c r="F108" s="8">
        <v>240923.076</v>
      </c>
      <c r="G108" s="9">
        <f t="shared" si="41"/>
        <v>0.80887155446150127</v>
      </c>
      <c r="H108" s="9">
        <f t="shared" si="42"/>
        <v>0.19112844553849881</v>
      </c>
      <c r="I108" s="7">
        <v>9319.677419354839</v>
      </c>
      <c r="J108" s="7">
        <v>8290.2903225806458</v>
      </c>
      <c r="K108" s="7">
        <v>1015.1612903225806</v>
      </c>
      <c r="L108" s="21">
        <v>82.818387096774217</v>
      </c>
      <c r="M108" s="10">
        <f t="shared" si="47"/>
        <v>56.7685623290363</v>
      </c>
      <c r="N108" s="11">
        <f t="shared" si="48"/>
        <v>0.20436682438453069</v>
      </c>
      <c r="O108" s="1"/>
      <c r="P108" s="7">
        <f t="shared" si="44"/>
        <v>706661.87199999997</v>
      </c>
      <c r="Q108" s="7">
        <v>420769.54800000001</v>
      </c>
      <c r="R108" s="7">
        <v>285892.32399999991</v>
      </c>
      <c r="S108" s="9">
        <f t="shared" si="45"/>
        <v>0.59543264561470499</v>
      </c>
      <c r="T108" s="9">
        <f t="shared" si="46"/>
        <v>0.4045673543852949</v>
      </c>
      <c r="U108" s="7">
        <v>7825.7741935483873</v>
      </c>
      <c r="V108" s="7">
        <v>4614.1935483870966</v>
      </c>
      <c r="W108" s="7">
        <v>2442.7096774193546</v>
      </c>
      <c r="X108" s="10">
        <v>34.085483870967735</v>
      </c>
      <c r="Y108" s="10">
        <f t="shared" si="37"/>
        <v>57.17950819247659</v>
      </c>
      <c r="Z108" s="11">
        <f t="shared" si="38"/>
        <v>0.20584622949291573</v>
      </c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</row>
    <row r="109" spans="1:45" x14ac:dyDescent="0.3">
      <c r="A109" s="14">
        <v>2024</v>
      </c>
      <c r="B109" s="17">
        <f t="shared" si="39"/>
        <v>30</v>
      </c>
      <c r="C109" s="15">
        <v>45383</v>
      </c>
      <c r="D109" s="7">
        <f t="shared" si="40"/>
        <v>1265384.264</v>
      </c>
      <c r="E109" s="8">
        <v>961433.598</v>
      </c>
      <c r="F109" s="8">
        <v>303950.66599999991</v>
      </c>
      <c r="G109" s="9">
        <f t="shared" si="41"/>
        <v>0.75979575955908996</v>
      </c>
      <c r="H109" s="9">
        <f t="shared" si="42"/>
        <v>0.24020424044090999</v>
      </c>
      <c r="I109" s="7">
        <v>9534.8333333333339</v>
      </c>
      <c r="J109" s="7">
        <v>8602.8666666666668</v>
      </c>
      <c r="K109" s="7">
        <v>1017.6666666666666</v>
      </c>
      <c r="L109" s="21">
        <v>82.907333333333298</v>
      </c>
      <c r="M109" s="10">
        <f t="shared" si="47"/>
        <v>56.747174212098685</v>
      </c>
      <c r="N109" s="11">
        <f t="shared" si="48"/>
        <v>0.20428982716355526</v>
      </c>
      <c r="O109" s="1"/>
      <c r="P109" s="7">
        <f t="shared" si="44"/>
        <v>659450.5900000002</v>
      </c>
      <c r="Q109" s="7">
        <v>493438.30300000025</v>
      </c>
      <c r="R109" s="7">
        <v>166012.28699999998</v>
      </c>
      <c r="S109" s="9">
        <f t="shared" si="45"/>
        <v>0.7482566707537559</v>
      </c>
      <c r="T109" s="9">
        <f t="shared" si="46"/>
        <v>0.2517433292462441</v>
      </c>
      <c r="U109" s="7">
        <v>9472.7999999999993</v>
      </c>
      <c r="V109" s="7">
        <v>4518.6433333333325</v>
      </c>
      <c r="W109" s="7">
        <v>5047.2333333333336</v>
      </c>
      <c r="X109" s="10">
        <v>34.773666666666671</v>
      </c>
      <c r="Y109" s="10">
        <f t="shared" si="37"/>
        <v>56.303993727113188</v>
      </c>
      <c r="Z109" s="11">
        <f t="shared" si="38"/>
        <v>0.20269437741760746</v>
      </c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</row>
    <row r="110" spans="1:45" x14ac:dyDescent="0.3">
      <c r="A110" s="14">
        <v>2024</v>
      </c>
      <c r="B110" s="17">
        <f t="shared" si="39"/>
        <v>31</v>
      </c>
      <c r="C110" s="15">
        <v>45413</v>
      </c>
      <c r="D110" s="7">
        <f t="shared" si="40"/>
        <v>1391946.5519999999</v>
      </c>
      <c r="E110" s="8">
        <v>1064127.9639999999</v>
      </c>
      <c r="F110" s="8">
        <v>327818.58799999993</v>
      </c>
      <c r="G110" s="9">
        <f t="shared" si="41"/>
        <v>0.76448909799806741</v>
      </c>
      <c r="H110" s="9">
        <f t="shared" si="42"/>
        <v>0.23551090200193259</v>
      </c>
      <c r="I110" s="7">
        <v>10338.41935483871</v>
      </c>
      <c r="J110" s="7">
        <v>9396.967741935483</v>
      </c>
      <c r="K110" s="7">
        <v>1012.4516129032259</v>
      </c>
      <c r="L110" s="21">
        <v>82.609032258064516</v>
      </c>
      <c r="M110" s="10">
        <f t="shared" si="47"/>
        <v>55.304362079737452</v>
      </c>
      <c r="N110" s="11">
        <f t="shared" si="48"/>
        <v>0.19909570348705483</v>
      </c>
      <c r="O110" s="1"/>
      <c r="P110" s="7">
        <f t="shared" si="44"/>
        <v>892110.46800000011</v>
      </c>
      <c r="Q110" s="7">
        <v>475230.19000000006</v>
      </c>
      <c r="R110" s="7">
        <v>416880.27800000005</v>
      </c>
      <c r="S110" s="9">
        <f t="shared" si="45"/>
        <v>0.53270329969942687</v>
      </c>
      <c r="T110" s="9">
        <f t="shared" si="46"/>
        <v>0.46729670030057308</v>
      </c>
      <c r="U110" s="7">
        <v>18396.83870967742</v>
      </c>
      <c r="V110" s="7">
        <v>7262.5387096774184</v>
      </c>
      <c r="W110" s="7">
        <v>10986.709677419354</v>
      </c>
      <c r="X110" s="10">
        <v>34.225161290322582</v>
      </c>
      <c r="Y110" s="10">
        <f t="shared" si="37"/>
        <v>45.862184683881054</v>
      </c>
      <c r="Z110" s="11">
        <f t="shared" si="38"/>
        <v>0.16510386486197179</v>
      </c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</row>
    <row r="111" spans="1:45" x14ac:dyDescent="0.3">
      <c r="A111" s="14">
        <v>2024</v>
      </c>
      <c r="B111" s="17">
        <f t="shared" si="39"/>
        <v>30</v>
      </c>
      <c r="C111" s="15">
        <v>45444</v>
      </c>
      <c r="D111" s="7">
        <f t="shared" si="40"/>
        <v>1190267.4950000001</v>
      </c>
      <c r="E111" s="8">
        <v>630370.93999999994</v>
      </c>
      <c r="F111" s="8">
        <v>559896.55500000005</v>
      </c>
      <c r="G111" s="9">
        <f t="shared" si="41"/>
        <v>0.5296044314811772</v>
      </c>
      <c r="H111" s="9">
        <f t="shared" si="42"/>
        <v>0.47039556851882275</v>
      </c>
      <c r="I111" s="7">
        <v>9259.2666666666664</v>
      </c>
      <c r="J111" s="7">
        <v>7777.5</v>
      </c>
      <c r="K111" s="7">
        <v>1014.9333333333333</v>
      </c>
      <c r="L111" s="21">
        <v>82.795333333333318</v>
      </c>
      <c r="M111" s="10">
        <f t="shared" si="47"/>
        <v>59.043155063077656</v>
      </c>
      <c r="N111" s="11">
        <f t="shared" si="48"/>
        <v>0.21255535822707955</v>
      </c>
      <c r="O111" s="1"/>
      <c r="P111" s="7">
        <f t="shared" si="44"/>
        <v>894213.21900000004</v>
      </c>
      <c r="Q111" s="7">
        <v>519657.65600000008</v>
      </c>
      <c r="R111" s="7">
        <v>374555.56299999997</v>
      </c>
      <c r="S111" s="9">
        <f t="shared" si="45"/>
        <v>0.58113394541531604</v>
      </c>
      <c r="T111" s="9">
        <f t="shared" si="46"/>
        <v>0.41886605458468396</v>
      </c>
      <c r="U111" s="7">
        <v>8339.4333333333325</v>
      </c>
      <c r="V111" s="7">
        <v>5958.38</v>
      </c>
      <c r="W111" s="7">
        <v>2248.7666666666669</v>
      </c>
      <c r="X111" s="10">
        <v>35.066000000000003</v>
      </c>
      <c r="Y111" s="10">
        <f t="shared" si="37"/>
        <v>57.899910348798507</v>
      </c>
      <c r="Z111" s="11">
        <f t="shared" si="38"/>
        <v>0.20843967725567461</v>
      </c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</row>
    <row r="112" spans="1:45" x14ac:dyDescent="0.3">
      <c r="A112" s="14">
        <v>2024</v>
      </c>
      <c r="B112" s="17">
        <f t="shared" si="39"/>
        <v>31</v>
      </c>
      <c r="C112" s="15">
        <v>45474</v>
      </c>
      <c r="D112" s="7">
        <f t="shared" si="40"/>
        <v>1300093.7989999999</v>
      </c>
      <c r="E112" s="8">
        <v>770514.80299999984</v>
      </c>
      <c r="F112" s="8">
        <v>529578.99600000004</v>
      </c>
      <c r="G112" s="9">
        <f t="shared" si="41"/>
        <v>0.59266093230554662</v>
      </c>
      <c r="H112" s="9">
        <f t="shared" si="42"/>
        <v>0.40733906769445338</v>
      </c>
      <c r="I112" s="7">
        <v>5449.8</v>
      </c>
      <c r="J112" s="7">
        <v>4370.7333333333336</v>
      </c>
      <c r="K112" s="7">
        <v>541.13333333333333</v>
      </c>
      <c r="L112" s="21">
        <v>49.715333333333334</v>
      </c>
      <c r="M112" s="10">
        <f t="shared" si="47"/>
        <v>111.0567449831531</v>
      </c>
      <c r="N112" s="11">
        <f t="shared" si="48"/>
        <v>0.39980428193935114</v>
      </c>
      <c r="O112" s="1"/>
      <c r="P112" s="7">
        <f t="shared" si="44"/>
        <v>1105204.9449999998</v>
      </c>
      <c r="Q112" s="7">
        <v>558589.53500000003</v>
      </c>
      <c r="R112" s="7">
        <v>546615.40999999992</v>
      </c>
      <c r="S112" s="9">
        <f t="shared" si="45"/>
        <v>0.50541715138634324</v>
      </c>
      <c r="T112" s="9">
        <f t="shared" si="46"/>
        <v>0.49458284861365692</v>
      </c>
      <c r="U112" s="7">
        <v>7814.9354838709678</v>
      </c>
      <c r="V112" s="7">
        <v>7033.2677419354832</v>
      </c>
      <c r="W112" s="7">
        <v>944.70967741935488</v>
      </c>
      <c r="X112" s="10">
        <v>35.02322580645162</v>
      </c>
      <c r="Y112" s="10">
        <f t="shared" si="37"/>
        <v>58.669208964322834</v>
      </c>
      <c r="Z112" s="11">
        <f t="shared" si="38"/>
        <v>0.2112091522715622</v>
      </c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</row>
    <row r="113" spans="1:45" x14ac:dyDescent="0.3">
      <c r="A113" s="14">
        <v>2024</v>
      </c>
      <c r="B113" s="17">
        <f t="shared" si="39"/>
        <v>31</v>
      </c>
      <c r="C113" s="15">
        <v>45505</v>
      </c>
      <c r="D113" s="7">
        <f t="shared" si="40"/>
        <v>1182939.79</v>
      </c>
      <c r="E113" s="8">
        <v>626267.71900000004</v>
      </c>
      <c r="F113" s="8">
        <v>556672.07100000011</v>
      </c>
      <c r="G113" s="9">
        <f t="shared" si="41"/>
        <v>0.52941639489529724</v>
      </c>
      <c r="H113" s="9">
        <f t="shared" si="42"/>
        <v>0.47058360510470282</v>
      </c>
      <c r="I113" s="7">
        <v>9558.645161290322</v>
      </c>
      <c r="J113" s="7">
        <v>8549.6129032258068</v>
      </c>
      <c r="K113" s="7">
        <v>1017.8387096774194</v>
      </c>
      <c r="L113" s="21">
        <v>82.918709677419358</v>
      </c>
      <c r="M113" s="10">
        <f t="shared" si="47"/>
        <v>51.658376363501198</v>
      </c>
      <c r="N113" s="11">
        <f t="shared" si="48"/>
        <v>0.1859701549086043</v>
      </c>
      <c r="O113" s="1"/>
      <c r="P113" s="7">
        <f t="shared" si="44"/>
        <v>856301.28900000011</v>
      </c>
      <c r="Q113" s="7">
        <v>404284.712</v>
      </c>
      <c r="R113" s="7">
        <v>452016.57700000005</v>
      </c>
      <c r="S113" s="9">
        <f t="shared" si="45"/>
        <v>0.4721290475600346</v>
      </c>
      <c r="T113" s="9">
        <f t="shared" si="46"/>
        <v>0.52787095243996529</v>
      </c>
      <c r="U113" s="7">
        <v>5382</v>
      </c>
      <c r="V113" s="7">
        <v>5220.941935483871</v>
      </c>
      <c r="W113" s="7">
        <v>20.193548387096776</v>
      </c>
      <c r="X113" s="10">
        <v>34.026129032258062</v>
      </c>
      <c r="Y113" s="10">
        <f t="shared" si="37"/>
        <v>61.235363218422535</v>
      </c>
      <c r="Z113" s="11">
        <f t="shared" si="38"/>
        <v>0.22044730758632111</v>
      </c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</row>
    <row r="114" spans="1:45" x14ac:dyDescent="0.3">
      <c r="A114" s="14">
        <v>2024</v>
      </c>
      <c r="B114" s="17">
        <f t="shared" si="39"/>
        <v>30</v>
      </c>
      <c r="C114" s="15">
        <v>45536</v>
      </c>
      <c r="D114" s="7">
        <f t="shared" si="40"/>
        <v>1119350.4680000003</v>
      </c>
      <c r="E114" s="8">
        <v>605517.93800000008</v>
      </c>
      <c r="F114" s="8">
        <v>513832.53000000014</v>
      </c>
      <c r="G114" s="9">
        <f t="shared" si="41"/>
        <v>0.54095473697519358</v>
      </c>
      <c r="H114" s="9">
        <f t="shared" si="42"/>
        <v>0.45904526302480625</v>
      </c>
      <c r="I114" s="7">
        <v>8660.2580645161288</v>
      </c>
      <c r="J114" s="7">
        <v>7688.2258064516127</v>
      </c>
      <c r="K114" s="7">
        <v>1015</v>
      </c>
      <c r="L114" s="21">
        <v>82.796451612903212</v>
      </c>
      <c r="M114" s="10">
        <f t="shared" si="47"/>
        <v>56.170069045101222</v>
      </c>
      <c r="N114" s="11">
        <f t="shared" si="48"/>
        <v>0.20221224856236442</v>
      </c>
      <c r="O114" s="1"/>
      <c r="P114" s="7">
        <f t="shared" si="44"/>
        <v>615019.83700000006</v>
      </c>
      <c r="Q114" s="7">
        <v>373227.95700000011</v>
      </c>
      <c r="R114" s="7">
        <v>241791.88</v>
      </c>
      <c r="S114" s="9">
        <f t="shared" si="45"/>
        <v>0.60685515254364075</v>
      </c>
      <c r="T114" s="9">
        <f t="shared" si="46"/>
        <v>0.39314484745635936</v>
      </c>
      <c r="U114" s="7">
        <v>4259.5666666666666</v>
      </c>
      <c r="V114" s="7">
        <v>3741.2366666666667</v>
      </c>
      <c r="W114" s="7">
        <v>255.4</v>
      </c>
      <c r="X114" s="10">
        <v>34.343666666666671</v>
      </c>
      <c r="Y114" s="10">
        <f t="shared" si="37"/>
        <v>63.421855611584441</v>
      </c>
      <c r="Z114" s="11">
        <f t="shared" si="38"/>
        <v>0.22831868020170398</v>
      </c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</row>
    <row r="115" spans="1:45" x14ac:dyDescent="0.3">
      <c r="A115" s="14">
        <v>2024</v>
      </c>
      <c r="B115" s="17">
        <f t="shared" si="39"/>
        <v>31</v>
      </c>
      <c r="C115" s="15">
        <v>45566</v>
      </c>
      <c r="D115" s="7">
        <f t="shared" si="40"/>
        <v>1258978.344</v>
      </c>
      <c r="E115" s="8">
        <v>748000.76300000004</v>
      </c>
      <c r="F115" s="8">
        <v>510977.58100000012</v>
      </c>
      <c r="G115" s="9">
        <f t="shared" si="41"/>
        <v>0.59413314499395398</v>
      </c>
      <c r="H115" s="9">
        <f t="shared" si="42"/>
        <v>0.40586685500604613</v>
      </c>
      <c r="I115" s="7">
        <v>8679.4666666666672</v>
      </c>
      <c r="J115" s="7">
        <v>7501.333333333333</v>
      </c>
      <c r="K115" s="7">
        <v>1014.2</v>
      </c>
      <c r="L115" s="21">
        <v>82.793666666666667</v>
      </c>
      <c r="M115" s="10">
        <f t="shared" si="47"/>
        <v>62.662015402757547</v>
      </c>
      <c r="N115" s="11">
        <f t="shared" si="48"/>
        <v>0.22558325544992719</v>
      </c>
      <c r="O115" s="1"/>
      <c r="P115" s="7">
        <f t="shared" si="44"/>
        <v>1019851.4930000001</v>
      </c>
      <c r="Q115" s="7">
        <v>606799.29600000021</v>
      </c>
      <c r="R115" s="7">
        <v>413052.19699999993</v>
      </c>
      <c r="S115" s="9">
        <f t="shared" si="45"/>
        <v>0.59498789790956375</v>
      </c>
      <c r="T115" s="9">
        <f t="shared" si="46"/>
        <v>0.40501210209043631</v>
      </c>
      <c r="U115" s="7">
        <v>7861.7741935483873</v>
      </c>
      <c r="V115" s="7">
        <v>6353.296774193549</v>
      </c>
      <c r="W115" s="7">
        <v>1037.5483870967741</v>
      </c>
      <c r="X115" s="10">
        <v>35.083548387096776</v>
      </c>
      <c r="Y115" s="10">
        <f t="shared" si="37"/>
        <v>59.932494912659195</v>
      </c>
      <c r="Z115" s="11">
        <f t="shared" si="38"/>
        <v>0.21575698168557308</v>
      </c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</row>
    <row r="116" spans="1:45" x14ac:dyDescent="0.3">
      <c r="A116" s="14">
        <v>2024</v>
      </c>
      <c r="B116" s="17">
        <f t="shared" si="39"/>
        <v>30</v>
      </c>
      <c r="C116" s="15">
        <v>45597</v>
      </c>
      <c r="D116" s="7">
        <f t="shared" si="40"/>
        <v>1255125.2779999999</v>
      </c>
      <c r="E116" s="8">
        <v>689651.55499999993</v>
      </c>
      <c r="F116" s="8">
        <v>565473.723</v>
      </c>
      <c r="G116" s="9">
        <f t="shared" si="41"/>
        <v>0.54946830176102945</v>
      </c>
      <c r="H116" s="9">
        <f t="shared" si="42"/>
        <v>0.45053169823897055</v>
      </c>
      <c r="I116" s="7">
        <v>9168.2903225806458</v>
      </c>
      <c r="J116" s="7">
        <v>8298.354838709678</v>
      </c>
      <c r="K116" s="7">
        <v>1015.2258064516129</v>
      </c>
      <c r="L116" s="21">
        <v>82.754193548387121</v>
      </c>
      <c r="M116" s="10">
        <f t="shared" si="47"/>
        <v>58.352582016419788</v>
      </c>
      <c r="N116" s="11">
        <f t="shared" si="48"/>
        <v>0.21006929525911125</v>
      </c>
      <c r="O116" s="1"/>
      <c r="P116" s="7">
        <f t="shared" si="44"/>
        <v>651840.83700000006</v>
      </c>
      <c r="Q116" s="7">
        <v>291724.69699999993</v>
      </c>
      <c r="R116" s="7">
        <v>360116.14000000007</v>
      </c>
      <c r="S116" s="9">
        <f t="shared" si="45"/>
        <v>0.44753976805537254</v>
      </c>
      <c r="T116" s="9">
        <f t="shared" si="46"/>
        <v>0.55246023194462734</v>
      </c>
      <c r="U116" s="7">
        <v>3820.9333333333334</v>
      </c>
      <c r="V116" s="7">
        <v>4086.1333333333328</v>
      </c>
      <c r="W116" s="7">
        <v>1.3666666666666667</v>
      </c>
      <c r="X116" s="10">
        <v>34.414333333333325</v>
      </c>
      <c r="Y116" s="10">
        <f t="shared" si="37"/>
        <v>61.54517826098386</v>
      </c>
      <c r="Z116" s="11">
        <f t="shared" si="38"/>
        <v>0.2215626417395419</v>
      </c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</row>
    <row r="117" spans="1:45" customFormat="1" x14ac:dyDescent="0.3">
      <c r="A117" s="14">
        <v>2024</v>
      </c>
      <c r="B117" s="17">
        <f t="shared" si="39"/>
        <v>31</v>
      </c>
      <c r="C117" s="15">
        <v>45627</v>
      </c>
      <c r="D117" s="7">
        <f t="shared" si="40"/>
        <v>1865149.7309999997</v>
      </c>
      <c r="E117" s="19">
        <v>1356893.3809999998</v>
      </c>
      <c r="F117" s="19">
        <v>508256.34999999992</v>
      </c>
      <c r="G117" s="9">
        <f t="shared" ref="G117:G137" si="49">+E117/D117</f>
        <v>0.72749836565266091</v>
      </c>
      <c r="H117" s="9">
        <f t="shared" ref="H117:H137" si="50">+F117/D117</f>
        <v>0.27250163434733915</v>
      </c>
      <c r="I117" s="19">
        <v>9689.3666666666668</v>
      </c>
      <c r="J117" s="19">
        <v>8530.5666666666675</v>
      </c>
      <c r="K117" s="19">
        <v>1013.6</v>
      </c>
      <c r="L117" s="22">
        <v>82.703333333333333</v>
      </c>
      <c r="M117" s="10">
        <f t="shared" si="47"/>
        <v>81.631990106545345</v>
      </c>
      <c r="N117" s="11">
        <f t="shared" si="48"/>
        <v>0.2938751643835632</v>
      </c>
      <c r="O117" s="1"/>
      <c r="P117" s="7">
        <f t="shared" si="44"/>
        <v>696223.59</v>
      </c>
      <c r="Q117" s="19">
        <v>391602.20999999996</v>
      </c>
      <c r="R117" s="19">
        <v>304621.38</v>
      </c>
      <c r="S117" s="9">
        <f t="shared" si="45"/>
        <v>0.56246616119399229</v>
      </c>
      <c r="T117" s="9">
        <f t="shared" si="46"/>
        <v>0.43753383880600771</v>
      </c>
      <c r="U117" s="7">
        <v>5106.1612903225805</v>
      </c>
      <c r="V117" s="7">
        <v>4310.3774193548388</v>
      </c>
      <c r="W117" s="7">
        <v>619.67741935483866</v>
      </c>
      <c r="X117" s="10">
        <v>34.69806451612903</v>
      </c>
      <c r="Y117" s="10">
        <f t="shared" si="37"/>
        <v>60.305649477426016</v>
      </c>
      <c r="Z117" s="11">
        <f t="shared" si="38"/>
        <v>0.21710033811873367</v>
      </c>
    </row>
    <row r="118" spans="1:45" customFormat="1" x14ac:dyDescent="0.3">
      <c r="A118" s="14">
        <v>2025</v>
      </c>
      <c r="B118" s="17">
        <f t="shared" si="39"/>
        <v>31</v>
      </c>
      <c r="C118" s="15">
        <v>45658</v>
      </c>
      <c r="D118" s="7">
        <f t="shared" si="40"/>
        <v>1491791.0040000002</v>
      </c>
      <c r="E118" s="19">
        <v>900242.28000000014</v>
      </c>
      <c r="F118" s="19">
        <v>591548.72399999993</v>
      </c>
      <c r="G118" s="9">
        <f t="shared" si="49"/>
        <v>0.60346407612470088</v>
      </c>
      <c r="H118" s="9">
        <f t="shared" si="50"/>
        <v>0.39653592387529901</v>
      </c>
      <c r="I118" s="19">
        <v>14706.967741935483</v>
      </c>
      <c r="J118" s="19">
        <v>12756.064516129032</v>
      </c>
      <c r="K118" s="19">
        <v>2131.6451612903224</v>
      </c>
      <c r="L118" s="22">
        <v>82.936129032258094</v>
      </c>
      <c r="M118" s="10">
        <f t="shared" si="47"/>
        <v>43.663228074523275</v>
      </c>
      <c r="N118" s="11">
        <f t="shared" si="48"/>
        <v>0.15718762106828379</v>
      </c>
      <c r="O118" s="1"/>
      <c r="P118" s="7">
        <f t="shared" si="44"/>
        <v>237576.90000000002</v>
      </c>
      <c r="Q118" s="19">
        <v>116555.63399999999</v>
      </c>
      <c r="R118" s="19">
        <v>121021.26600000003</v>
      </c>
      <c r="S118" s="9">
        <f t="shared" si="45"/>
        <v>0.49060171254023427</v>
      </c>
      <c r="T118" s="9">
        <f t="shared" si="46"/>
        <v>0.50939828745976579</v>
      </c>
      <c r="U118" s="7">
        <v>1224.4193548387098</v>
      </c>
      <c r="V118" s="7">
        <v>1338.3096774193548</v>
      </c>
      <c r="W118" s="7">
        <v>0.967741935483871</v>
      </c>
      <c r="X118" s="10">
        <v>34.229354838709675</v>
      </c>
      <c r="Y118" s="10">
        <f t="shared" si="37"/>
        <v>66.278421477474936</v>
      </c>
      <c r="Z118" s="11">
        <f t="shared" si="38"/>
        <v>0.23860231731890977</v>
      </c>
    </row>
    <row r="119" spans="1:45" customFormat="1" x14ac:dyDescent="0.3">
      <c r="A119" s="14">
        <v>2025</v>
      </c>
      <c r="B119" s="17">
        <f t="shared" si="39"/>
        <v>28</v>
      </c>
      <c r="C119" s="15">
        <v>45689</v>
      </c>
      <c r="D119" s="7">
        <f t="shared" si="40"/>
        <v>1369772.2209999999</v>
      </c>
      <c r="E119" s="19">
        <v>735869.15799999982</v>
      </c>
      <c r="F119" s="19">
        <v>633903.0630000002</v>
      </c>
      <c r="G119" s="9">
        <f t="shared" si="49"/>
        <v>0.53722009157316664</v>
      </c>
      <c r="H119" s="9">
        <f t="shared" si="50"/>
        <v>0.46277990842683342</v>
      </c>
      <c r="I119" s="19">
        <v>11156.967741935483</v>
      </c>
      <c r="J119" s="19">
        <v>9994.9354838709678</v>
      </c>
      <c r="K119" s="19">
        <v>1016.1935483870968</v>
      </c>
      <c r="L119" s="22">
        <v>82.778064516129035</v>
      </c>
      <c r="M119" s="10">
        <f t="shared" si="47"/>
        <v>56.649565801338071</v>
      </c>
      <c r="N119" s="11">
        <f t="shared" si="48"/>
        <v>0.20393843688481705</v>
      </c>
      <c r="O119" s="1"/>
      <c r="P119" s="7">
        <f t="shared" si="44"/>
        <v>259060.81299999999</v>
      </c>
      <c r="Q119" s="19">
        <v>117053.55500000002</v>
      </c>
      <c r="R119" s="19">
        <v>142007.25799999997</v>
      </c>
      <c r="S119" s="9">
        <f t="shared" si="45"/>
        <v>0.45183813655367483</v>
      </c>
      <c r="T119" s="9">
        <f t="shared" si="46"/>
        <v>0.54816186344632511</v>
      </c>
      <c r="U119" s="7">
        <v>1735.0357142857142</v>
      </c>
      <c r="V119" s="7">
        <v>1645.5928571428572</v>
      </c>
      <c r="W119" s="7">
        <v>0</v>
      </c>
      <c r="X119" s="10">
        <v>33.885357142857146</v>
      </c>
      <c r="Y119" s="10">
        <f t="shared" si="37"/>
        <v>65.074008050764405</v>
      </c>
      <c r="Z119" s="11">
        <f t="shared" si="38"/>
        <v>0.23426642898275185</v>
      </c>
    </row>
    <row r="120" spans="1:45" customFormat="1" x14ac:dyDescent="0.3">
      <c r="A120" s="14">
        <v>2025</v>
      </c>
      <c r="B120" s="17">
        <f t="shared" si="39"/>
        <v>31</v>
      </c>
      <c r="C120" s="15">
        <v>45717</v>
      </c>
      <c r="D120" s="7">
        <f t="shared" si="40"/>
        <v>1243751.7310000001</v>
      </c>
      <c r="E120" s="19">
        <v>829713.42900000012</v>
      </c>
      <c r="F120" s="19">
        <v>414038.30200000014</v>
      </c>
      <c r="G120" s="9">
        <f t="shared" si="49"/>
        <v>0.66710534612313233</v>
      </c>
      <c r="H120" s="9">
        <f t="shared" si="50"/>
        <v>0.33289465387686773</v>
      </c>
      <c r="I120" s="19">
        <v>11113.285714285714</v>
      </c>
      <c r="J120" s="19">
        <v>10169.857142857143</v>
      </c>
      <c r="K120" s="19">
        <v>1013.8571428571429</v>
      </c>
      <c r="L120" s="22">
        <v>82.73107142857144</v>
      </c>
      <c r="M120" s="10">
        <f t="shared" si="47"/>
        <v>45.660788772849997</v>
      </c>
      <c r="N120" s="11">
        <f t="shared" si="48"/>
        <v>0.16437883958225999</v>
      </c>
      <c r="O120" s="1"/>
      <c r="P120" s="7">
        <f t="shared" si="44"/>
        <v>270460.87099999993</v>
      </c>
      <c r="Q120" s="19">
        <v>138043.08500000002</v>
      </c>
      <c r="R120" s="19">
        <v>132417.78599999991</v>
      </c>
      <c r="S120" s="9">
        <f t="shared" si="45"/>
        <v>0.51039946920824664</v>
      </c>
      <c r="T120" s="9">
        <f t="shared" si="46"/>
        <v>0.48960053079175336</v>
      </c>
      <c r="U120" s="7">
        <v>1290.7741935483871</v>
      </c>
      <c r="V120" s="7">
        <v>1605.6451612903227</v>
      </c>
      <c r="W120" s="7">
        <v>1</v>
      </c>
      <c r="X120" s="10">
        <v>33.369354838709675</v>
      </c>
      <c r="Y120" s="10">
        <f t="shared" si="37"/>
        <v>62.889686691965665</v>
      </c>
      <c r="Z120" s="11">
        <f t="shared" si="38"/>
        <v>0.2264028720910764</v>
      </c>
    </row>
    <row r="121" spans="1:45" customFormat="1" x14ac:dyDescent="0.3">
      <c r="A121" s="14">
        <v>2025</v>
      </c>
      <c r="B121" s="17">
        <f t="shared" si="39"/>
        <v>30</v>
      </c>
      <c r="C121" s="15">
        <v>45748</v>
      </c>
      <c r="D121" s="7">
        <f t="shared" si="40"/>
        <v>1076673.6849999996</v>
      </c>
      <c r="E121" s="19">
        <v>958230.18899999955</v>
      </c>
      <c r="F121" s="19">
        <v>118443.49600000001</v>
      </c>
      <c r="G121" s="9">
        <f t="shared" si="49"/>
        <v>0.88999127809091005</v>
      </c>
      <c r="H121" s="9">
        <f t="shared" si="50"/>
        <v>0.1100087219090899</v>
      </c>
      <c r="I121" s="19">
        <v>9357.8709677419356</v>
      </c>
      <c r="J121" s="19">
        <v>8216.8387096774186</v>
      </c>
      <c r="K121" s="19">
        <v>1015.6774193548387</v>
      </c>
      <c r="L121" s="22">
        <v>82.695483870967749</v>
      </c>
      <c r="M121" s="10">
        <f t="shared" si="47"/>
        <v>50.552698039128288</v>
      </c>
      <c r="N121" s="11">
        <f t="shared" si="48"/>
        <v>0.18198971294086186</v>
      </c>
      <c r="O121" s="1"/>
      <c r="P121" s="7">
        <f t="shared" si="44"/>
        <v>325094.79599999991</v>
      </c>
      <c r="Q121" s="19">
        <v>169694.60799999995</v>
      </c>
      <c r="R121" s="19">
        <v>155400.18799999997</v>
      </c>
      <c r="S121" s="9">
        <f t="shared" si="45"/>
        <v>0.52198500279899895</v>
      </c>
      <c r="T121" s="9">
        <f t="shared" si="46"/>
        <v>0.47801499720100105</v>
      </c>
      <c r="U121" s="7">
        <v>2236.8000000000002</v>
      </c>
      <c r="V121" s="7">
        <v>1933.3466666666668</v>
      </c>
      <c r="W121" s="7">
        <v>0</v>
      </c>
      <c r="X121" s="10">
        <v>33.830666666666666</v>
      </c>
      <c r="Y121" s="10">
        <f t="shared" si="37"/>
        <v>64.873194840035552</v>
      </c>
      <c r="Z121" s="11">
        <f t="shared" si="38"/>
        <v>0.233543501424128</v>
      </c>
    </row>
    <row r="122" spans="1:45" customFormat="1" x14ac:dyDescent="0.3">
      <c r="A122" s="14">
        <v>2025</v>
      </c>
      <c r="B122" s="17">
        <f t="shared" si="39"/>
        <v>31</v>
      </c>
      <c r="C122" s="15">
        <v>45778</v>
      </c>
      <c r="D122" s="7">
        <f t="shared" si="40"/>
        <v>1149178.5340000007</v>
      </c>
      <c r="E122" s="19">
        <v>1058679.0500000007</v>
      </c>
      <c r="F122" s="19">
        <v>90499.483999999997</v>
      </c>
      <c r="G122" s="9">
        <f t="shared" si="49"/>
        <v>0.92124854291787539</v>
      </c>
      <c r="H122" s="9">
        <f t="shared" si="50"/>
        <v>7.8751457082124665E-2</v>
      </c>
      <c r="I122" s="19">
        <v>8236.7000000000007</v>
      </c>
      <c r="J122" s="19">
        <v>7288.3666666666668</v>
      </c>
      <c r="K122" s="19">
        <v>1013.4666666666667</v>
      </c>
      <c r="L122" s="22">
        <v>82.711666666666659</v>
      </c>
      <c r="M122" s="10">
        <f t="shared" si="47"/>
        <v>58.868348942814556</v>
      </c>
      <c r="N122" s="11">
        <f t="shared" si="48"/>
        <v>0.21192605619413241</v>
      </c>
      <c r="O122" s="1"/>
      <c r="P122" s="7">
        <f t="shared" si="44"/>
        <v>655126.32199999993</v>
      </c>
      <c r="Q122" s="19">
        <v>323171</v>
      </c>
      <c r="R122" s="19">
        <v>331955.32199999993</v>
      </c>
      <c r="S122" s="9">
        <f t="shared" si="45"/>
        <v>0.49329570366430803</v>
      </c>
      <c r="T122" s="9">
        <f t="shared" si="46"/>
        <v>0.50670429633569203</v>
      </c>
      <c r="U122" s="7">
        <v>4946.2903225806449</v>
      </c>
      <c r="V122" s="7">
        <v>4121.8354838709683</v>
      </c>
      <c r="W122" s="7">
        <v>515.25806451612902</v>
      </c>
      <c r="X122" s="10">
        <v>33.829354838709676</v>
      </c>
      <c r="Y122" s="10">
        <f t="shared" si="37"/>
        <v>59.341560005789006</v>
      </c>
      <c r="Z122" s="11">
        <f t="shared" si="38"/>
        <v>0.21362961602084041</v>
      </c>
    </row>
    <row r="123" spans="1:45" x14ac:dyDescent="0.3">
      <c r="A123" s="14">
        <v>2025</v>
      </c>
      <c r="B123" s="17">
        <f t="shared" si="39"/>
        <v>30</v>
      </c>
      <c r="C123" s="15">
        <v>45809</v>
      </c>
      <c r="D123" s="7">
        <f t="shared" si="40"/>
        <v>1283919.1949999994</v>
      </c>
      <c r="E123" s="19">
        <v>1176099.2729999993</v>
      </c>
      <c r="F123" s="19">
        <v>107819.92199999998</v>
      </c>
      <c r="G123" s="9">
        <f t="shared" si="49"/>
        <v>0.91602281325811941</v>
      </c>
      <c r="H123" s="9">
        <f t="shared" si="50"/>
        <v>8.3977186741880608E-2</v>
      </c>
      <c r="I123" s="19">
        <v>8499.4193548387102</v>
      </c>
      <c r="J123" s="19">
        <v>7570.0645161290322</v>
      </c>
      <c r="K123" s="19">
        <v>1015.9032258064516</v>
      </c>
      <c r="L123" s="22">
        <v>82.842580645161306</v>
      </c>
      <c r="M123" s="10">
        <f t="shared" si="47"/>
        <v>65.433946374758804</v>
      </c>
      <c r="N123" s="11">
        <f t="shared" si="48"/>
        <v>0.23556220694913171</v>
      </c>
      <c r="O123" s="1"/>
      <c r="P123" s="7">
        <f t="shared" si="44"/>
        <v>1071957.5560000003</v>
      </c>
      <c r="Q123" s="19">
        <v>546768.21300000011</v>
      </c>
      <c r="R123" s="19">
        <v>525189.34300000034</v>
      </c>
      <c r="S123" s="9">
        <f t="shared" si="45"/>
        <v>0.51006516996835272</v>
      </c>
      <c r="T123" s="9">
        <f t="shared" si="46"/>
        <v>0.48993483003164745</v>
      </c>
      <c r="U123" s="7">
        <v>13912.533333333333</v>
      </c>
      <c r="V123" s="7">
        <v>8139.09</v>
      </c>
      <c r="W123" s="7">
        <v>5725.3666666666668</v>
      </c>
      <c r="X123" s="10">
        <v>34.366666666666667</v>
      </c>
      <c r="Y123" s="10">
        <f t="shared" si="37"/>
        <v>50.81205293387594</v>
      </c>
      <c r="Z123" s="11">
        <f t="shared" si="38"/>
        <v>0.18292339056195339</v>
      </c>
    </row>
    <row r="124" spans="1:45" x14ac:dyDescent="0.3">
      <c r="A124" s="14">
        <v>2025</v>
      </c>
      <c r="B124" s="17">
        <f t="shared" si="39"/>
        <v>31</v>
      </c>
      <c r="C124" s="15">
        <v>45839</v>
      </c>
      <c r="D124" s="7">
        <f t="shared" si="40"/>
        <v>1206288.179</v>
      </c>
      <c r="E124" s="19">
        <v>1070112.977</v>
      </c>
      <c r="F124" s="19">
        <v>136175.20200000005</v>
      </c>
      <c r="G124" s="9">
        <f t="shared" si="49"/>
        <v>0.88711221383858052</v>
      </c>
      <c r="H124" s="9">
        <f t="shared" si="50"/>
        <v>0.11288778616141944</v>
      </c>
      <c r="I124" s="19">
        <v>9958.3333333333339</v>
      </c>
      <c r="J124" s="19">
        <v>8815.6666666666661</v>
      </c>
      <c r="K124" s="19">
        <v>1015.4666666666667</v>
      </c>
      <c r="L124" s="22">
        <v>82.852000000000004</v>
      </c>
      <c r="M124" s="10">
        <f t="shared" si="47"/>
        <v>51.088185153359412</v>
      </c>
      <c r="N124" s="11">
        <f t="shared" si="48"/>
        <v>0.1839174665520939</v>
      </c>
      <c r="O124" s="1"/>
      <c r="P124" s="7">
        <f t="shared" si="44"/>
        <v>911094.83200000017</v>
      </c>
      <c r="Q124" s="19">
        <v>454783.98100000009</v>
      </c>
      <c r="R124" s="19">
        <v>456310.85100000002</v>
      </c>
      <c r="S124" s="9">
        <f t="shared" si="45"/>
        <v>0.49916206856499873</v>
      </c>
      <c r="T124" s="9">
        <f t="shared" si="46"/>
        <v>0.50083793143500122</v>
      </c>
      <c r="U124" s="7">
        <v>9651.5483870967746</v>
      </c>
      <c r="V124" s="7">
        <v>6205.412903225807</v>
      </c>
      <c r="W124" s="7">
        <v>3482.6129032258063</v>
      </c>
      <c r="X124" s="10">
        <v>35.019354838709681</v>
      </c>
      <c r="Y124" s="10">
        <f t="shared" ref="Y124:Y137" si="51">+P124/B124/0.0864/V124</f>
        <v>54.81727749693075</v>
      </c>
      <c r="Z124" s="11">
        <f t="shared" ref="Z124:Z137" si="52">+Y124*3600/1000000</f>
        <v>0.1973421989889507</v>
      </c>
    </row>
    <row r="125" spans="1:45" x14ac:dyDescent="0.3">
      <c r="A125" s="14">
        <v>2025</v>
      </c>
      <c r="B125" s="17">
        <f t="shared" si="39"/>
        <v>31</v>
      </c>
      <c r="C125" s="15">
        <v>45870</v>
      </c>
      <c r="D125" s="7">
        <f t="shared" si="40"/>
        <v>1149579.9820000001</v>
      </c>
      <c r="E125" s="19">
        <v>1035278.599</v>
      </c>
      <c r="F125" s="19">
        <v>114301.38300000006</v>
      </c>
      <c r="G125" s="9">
        <f t="shared" si="49"/>
        <v>0.90057117835233835</v>
      </c>
      <c r="H125" s="9">
        <f t="shared" si="50"/>
        <v>9.9428821647661619E-2</v>
      </c>
      <c r="I125" s="19">
        <v>8971.677419354839</v>
      </c>
      <c r="J125" s="19">
        <v>7894.1290322580644</v>
      </c>
      <c r="K125" s="19">
        <v>1017.4516129032259</v>
      </c>
      <c r="L125" s="22">
        <v>82.882580645161298</v>
      </c>
      <c r="M125" s="10">
        <f t="shared" si="47"/>
        <v>54.370025358742474</v>
      </c>
      <c r="N125" s="11">
        <f t="shared" si="48"/>
        <v>0.1957320912914729</v>
      </c>
      <c r="O125" s="1"/>
      <c r="P125" s="7">
        <f t="shared" si="44"/>
        <v>1014007.4450000001</v>
      </c>
      <c r="Q125" s="19">
        <v>528428.66700000002</v>
      </c>
      <c r="R125" s="19">
        <v>485578.77800000011</v>
      </c>
      <c r="S125" s="9">
        <f t="shared" si="45"/>
        <v>0.52112898145437181</v>
      </c>
      <c r="T125" s="9">
        <f t="shared" si="46"/>
        <v>0.47887101854562819</v>
      </c>
      <c r="U125" s="7">
        <v>6448.5483870967746</v>
      </c>
      <c r="V125" s="7">
        <v>6256.6806451612892</v>
      </c>
      <c r="W125" s="7">
        <v>65.161290322580641</v>
      </c>
      <c r="X125" s="10">
        <v>34.661290322580648</v>
      </c>
      <c r="Y125" s="10">
        <f t="shared" si="51"/>
        <v>60.50924292069017</v>
      </c>
      <c r="Z125" s="11">
        <f t="shared" si="52"/>
        <v>0.21783327451448459</v>
      </c>
    </row>
    <row r="126" spans="1:45" x14ac:dyDescent="0.3">
      <c r="A126" s="14">
        <v>2025</v>
      </c>
      <c r="B126" s="17">
        <f t="shared" si="39"/>
        <v>30</v>
      </c>
      <c r="C126" s="15">
        <v>45901</v>
      </c>
      <c r="D126" s="7">
        <f t="shared" si="40"/>
        <v>1167397.29</v>
      </c>
      <c r="E126" s="19">
        <v>1038099.088</v>
      </c>
      <c r="F126" s="19">
        <v>129298.202</v>
      </c>
      <c r="G126" s="9">
        <f t="shared" si="49"/>
        <v>0.8892423315459298</v>
      </c>
      <c r="H126" s="9">
        <f t="shared" si="50"/>
        <v>0.11075766845407016</v>
      </c>
      <c r="I126" s="19">
        <v>8619.7096774193542</v>
      </c>
      <c r="J126" s="19">
        <v>7474.5483870967746</v>
      </c>
      <c r="K126" s="19">
        <v>1017.4516129032259</v>
      </c>
      <c r="L126" s="22">
        <v>82.912903225806446</v>
      </c>
      <c r="M126" s="10">
        <f t="shared" si="47"/>
        <v>60.255781837192785</v>
      </c>
      <c r="N126" s="11">
        <f t="shared" si="48"/>
        <v>0.21692081461389404</v>
      </c>
      <c r="O126" s="1"/>
      <c r="P126" s="7">
        <f t="shared" si="44"/>
        <v>1032850.1399999999</v>
      </c>
      <c r="Q126" s="19">
        <v>560002.76699999999</v>
      </c>
      <c r="R126" s="19">
        <v>472847.37299999991</v>
      </c>
      <c r="S126" s="9">
        <f t="shared" si="45"/>
        <v>0.54219169394700384</v>
      </c>
      <c r="T126" s="9">
        <f t="shared" si="46"/>
        <v>0.45780830605299616</v>
      </c>
      <c r="U126" s="7">
        <v>9965.0333333333328</v>
      </c>
      <c r="V126" s="7">
        <v>7098.5566666666664</v>
      </c>
      <c r="W126" s="7">
        <v>2664.8666666666668</v>
      </c>
      <c r="X126" s="10">
        <v>34.87266666666666</v>
      </c>
      <c r="Y126" s="10">
        <f t="shared" si="51"/>
        <v>56.134810634170123</v>
      </c>
      <c r="Z126" s="11">
        <f t="shared" si="52"/>
        <v>0.20208531828301243</v>
      </c>
    </row>
    <row r="127" spans="1:45" x14ac:dyDescent="0.3">
      <c r="A127" s="14">
        <v>2025</v>
      </c>
      <c r="B127" s="17">
        <f t="shared" si="39"/>
        <v>31</v>
      </c>
      <c r="C127" s="15">
        <v>45931</v>
      </c>
      <c r="D127" s="7">
        <f t="shared" si="40"/>
        <v>1544089.044999999</v>
      </c>
      <c r="E127" s="19">
        <v>1421147.8549999991</v>
      </c>
      <c r="F127" s="19">
        <v>122941.18999999996</v>
      </c>
      <c r="G127" s="9">
        <f t="shared" si="49"/>
        <v>0.92037946878899068</v>
      </c>
      <c r="H127" s="9">
        <f t="shared" si="50"/>
        <v>7.9620531211009302E-2</v>
      </c>
      <c r="I127" s="19">
        <v>8811.8333333333339</v>
      </c>
      <c r="J127" s="19">
        <v>7866.9666666666662</v>
      </c>
      <c r="K127" s="19">
        <v>1017.9333333333333</v>
      </c>
      <c r="L127" s="22">
        <v>82.85</v>
      </c>
      <c r="M127" s="10">
        <f t="shared" si="47"/>
        <v>73.28069767622155</v>
      </c>
      <c r="N127" s="11">
        <f t="shared" si="48"/>
        <v>0.26381051163439756</v>
      </c>
      <c r="O127" s="1"/>
      <c r="P127" s="7">
        <f t="shared" si="44"/>
        <v>873913.95099999988</v>
      </c>
      <c r="Q127" s="19">
        <v>537860.91999999981</v>
      </c>
      <c r="R127" s="19">
        <v>336053.03100000008</v>
      </c>
      <c r="S127" s="9">
        <f t="shared" ref="S127:S137" si="53">+Q127/P127</f>
        <v>0.61546210514723765</v>
      </c>
      <c r="T127" s="9">
        <f t="shared" ref="T127:T137" si="54">+R127/P127</f>
        <v>0.38453789485276235</v>
      </c>
      <c r="U127" s="7">
        <v>8478.2258064516136</v>
      </c>
      <c r="V127" s="7">
        <v>5865.7322580645168</v>
      </c>
      <c r="W127" s="7">
        <v>2602.4516129032259</v>
      </c>
      <c r="X127" s="10">
        <v>35.027096774193545</v>
      </c>
      <c r="Y127" s="10">
        <f t="shared" si="51"/>
        <v>55.625125060648799</v>
      </c>
      <c r="Z127" s="11">
        <f t="shared" si="52"/>
        <v>0.20025045021833568</v>
      </c>
    </row>
    <row r="128" spans="1:45" x14ac:dyDescent="0.3">
      <c r="A128" s="14">
        <v>2025</v>
      </c>
      <c r="B128" s="17">
        <f t="shared" si="39"/>
        <v>30</v>
      </c>
      <c r="C128" s="15">
        <v>45962</v>
      </c>
      <c r="D128" s="7">
        <f t="shared" si="40"/>
        <v>1697581.6000000008</v>
      </c>
      <c r="E128" s="19">
        <v>1452668.7360000007</v>
      </c>
      <c r="F128" s="19">
        <v>244912.864</v>
      </c>
      <c r="G128" s="9">
        <f t="shared" si="49"/>
        <v>0.85572837028865067</v>
      </c>
      <c r="H128" s="9">
        <f t="shared" si="50"/>
        <v>0.1442716297113493</v>
      </c>
      <c r="I128" s="19">
        <v>11315.806451612903</v>
      </c>
      <c r="J128" s="19">
        <v>10159.322580645161</v>
      </c>
      <c r="K128" s="19">
        <v>1018.3225806451613</v>
      </c>
      <c r="L128" s="22">
        <v>82.88</v>
      </c>
      <c r="M128" s="10">
        <f t="shared" si="47"/>
        <v>64.466027891193846</v>
      </c>
      <c r="N128" s="11">
        <f t="shared" si="48"/>
        <v>0.23207770040829787</v>
      </c>
      <c r="O128" s="1"/>
      <c r="P128" s="7">
        <f t="shared" si="44"/>
        <v>730890.06699999981</v>
      </c>
      <c r="Q128" s="19">
        <v>400067.67199999985</v>
      </c>
      <c r="R128" s="19">
        <v>330822.39500000002</v>
      </c>
      <c r="S128" s="9">
        <f t="shared" si="53"/>
        <v>0.54737051447711071</v>
      </c>
      <c r="T128" s="9">
        <f t="shared" si="54"/>
        <v>0.45262948552288934</v>
      </c>
      <c r="U128" s="7">
        <v>4751.9333333333334</v>
      </c>
      <c r="V128" s="7">
        <v>4429.5666666666666</v>
      </c>
      <c r="W128" s="7">
        <v>326.89999999999998</v>
      </c>
      <c r="X128" s="10">
        <v>35.137666666666668</v>
      </c>
      <c r="Y128" s="10">
        <f t="shared" si="51"/>
        <v>63.658414859715101</v>
      </c>
      <c r="Z128" s="11">
        <f t="shared" si="52"/>
        <v>0.22917029349497439</v>
      </c>
    </row>
    <row r="129" spans="1:26" x14ac:dyDescent="0.3">
      <c r="A129" s="14">
        <v>2025</v>
      </c>
      <c r="B129" s="17">
        <f t="shared" si="39"/>
        <v>31</v>
      </c>
      <c r="C129" s="15">
        <v>45992</v>
      </c>
      <c r="D129" s="7">
        <f t="shared" si="40"/>
        <v>1721447.7860000001</v>
      </c>
      <c r="E129" s="19">
        <v>1346010.5030000003</v>
      </c>
      <c r="F129" s="19">
        <v>375437.28299999988</v>
      </c>
      <c r="G129" s="9">
        <f t="shared" si="49"/>
        <v>0.78190608739148837</v>
      </c>
      <c r="H129" s="9">
        <f t="shared" si="50"/>
        <v>0.21809391260851166</v>
      </c>
      <c r="I129" s="19">
        <v>12824.233333333334</v>
      </c>
      <c r="J129" s="19">
        <v>11800.433333333332</v>
      </c>
      <c r="K129" s="19">
        <v>1018.0333333333333</v>
      </c>
      <c r="L129" s="22">
        <v>82.936999999999998</v>
      </c>
      <c r="M129" s="10">
        <f t="shared" si="47"/>
        <v>54.465370525799393</v>
      </c>
      <c r="N129" s="11">
        <f t="shared" si="48"/>
        <v>0.19607533389287782</v>
      </c>
      <c r="O129" s="1"/>
      <c r="P129" s="7">
        <f t="shared" si="44"/>
        <v>592627.46900000004</v>
      </c>
      <c r="Q129" s="19">
        <v>287745.78499999986</v>
      </c>
      <c r="R129" s="19">
        <v>304881.68400000012</v>
      </c>
      <c r="S129" s="9">
        <f t="shared" si="53"/>
        <v>0.48554243610331171</v>
      </c>
      <c r="T129" s="9">
        <f t="shared" si="54"/>
        <v>0.51445756389668817</v>
      </c>
      <c r="U129" s="7">
        <v>3657.4193548387098</v>
      </c>
      <c r="V129" s="7">
        <v>3528.0129032258064</v>
      </c>
      <c r="W129" s="7">
        <v>0</v>
      </c>
      <c r="X129" s="10">
        <v>34.028709677419357</v>
      </c>
      <c r="Y129" s="10">
        <f t="shared" si="51"/>
        <v>62.715685925157885</v>
      </c>
      <c r="Z129" s="11">
        <f t="shared" si="52"/>
        <v>0.22577646933056839</v>
      </c>
    </row>
    <row r="130" spans="1:26" x14ac:dyDescent="0.3">
      <c r="A130" s="14">
        <v>2026</v>
      </c>
      <c r="B130" s="17">
        <f>+C131-C130</f>
        <v>31</v>
      </c>
      <c r="C130" s="15">
        <v>46023</v>
      </c>
      <c r="D130" s="7">
        <f t="shared" si="40"/>
        <v>1452850.79</v>
      </c>
      <c r="E130" s="19">
        <v>944506.26</v>
      </c>
      <c r="F130" s="19">
        <v>508344.53</v>
      </c>
      <c r="G130" s="9">
        <f t="shared" si="49"/>
        <v>0.65010547986142475</v>
      </c>
      <c r="H130" s="9">
        <f t="shared" si="50"/>
        <v>0.3498945201385753</v>
      </c>
      <c r="I130" s="19">
        <v>10579.838709677419</v>
      </c>
      <c r="J130" s="19">
        <v>9687.2258064516136</v>
      </c>
      <c r="K130" s="19">
        <v>1019.0967741935484</v>
      </c>
      <c r="L130" s="22">
        <v>82.917741935483875</v>
      </c>
      <c r="M130" s="10">
        <f t="shared" si="47"/>
        <v>55.994601011098872</v>
      </c>
      <c r="N130" s="11">
        <f t="shared" si="48"/>
        <v>0.20158056363995594</v>
      </c>
      <c r="O130" s="1"/>
      <c r="P130" s="7">
        <f t="shared" si="44"/>
        <v>727234.95</v>
      </c>
      <c r="Q130" s="19">
        <v>408216.28</v>
      </c>
      <c r="R130" s="19">
        <v>319018.67</v>
      </c>
      <c r="S130" s="9">
        <f t="shared" si="53"/>
        <v>0.5613265424055871</v>
      </c>
      <c r="T130" s="9">
        <f t="shared" si="54"/>
        <v>0.43867345759441295</v>
      </c>
      <c r="U130" s="7">
        <v>5000.9677419354839</v>
      </c>
      <c r="V130" s="7">
        <v>4361.2999999999993</v>
      </c>
      <c r="W130" s="7">
        <v>759.80645161290317</v>
      </c>
      <c r="X130" s="10">
        <v>34.822903225806456</v>
      </c>
      <c r="Y130" s="10">
        <f t="shared" si="51"/>
        <v>62.256305500472671</v>
      </c>
      <c r="Z130" s="11">
        <f t="shared" si="52"/>
        <v>0.2241226998017016</v>
      </c>
    </row>
    <row r="131" spans="1:26" x14ac:dyDescent="0.3">
      <c r="A131" s="5">
        <v>2026</v>
      </c>
      <c r="B131" s="17">
        <v>28</v>
      </c>
      <c r="C131" s="15">
        <v>46054</v>
      </c>
      <c r="D131" s="7">
        <f t="shared" si="40"/>
        <v>1195113.95</v>
      </c>
      <c r="E131" s="19">
        <v>661958.36</v>
      </c>
      <c r="F131" s="19">
        <v>533155.59</v>
      </c>
      <c r="G131" s="9">
        <f t="shared" si="49"/>
        <v>0.55388723393279782</v>
      </c>
      <c r="H131" s="9">
        <f t="shared" si="50"/>
        <v>0.44611276606720218</v>
      </c>
      <c r="I131" s="19">
        <v>9792.1785714285706</v>
      </c>
      <c r="J131" s="19">
        <v>8716.9642857142862</v>
      </c>
      <c r="K131" s="19">
        <v>1018.25</v>
      </c>
      <c r="L131" s="22">
        <v>82.903214285714284</v>
      </c>
      <c r="M131" s="10">
        <f t="shared" si="47"/>
        <v>56.672487490563377</v>
      </c>
      <c r="N131" s="11">
        <f t="shared" si="48"/>
        <v>0.20402095496602815</v>
      </c>
      <c r="O131" s="1"/>
      <c r="P131" s="7">
        <f t="shared" si="44"/>
        <v>345510.64</v>
      </c>
      <c r="Q131" s="19">
        <v>165023.32999999999</v>
      </c>
      <c r="R131" s="19">
        <v>180487.31</v>
      </c>
      <c r="S131" s="9">
        <f t="shared" si="53"/>
        <v>0.4776215574721519</v>
      </c>
      <c r="T131" s="9">
        <f t="shared" si="54"/>
        <v>0.52237844252784804</v>
      </c>
      <c r="U131" s="7">
        <v>2322</v>
      </c>
      <c r="V131" s="7">
        <v>2185.8214285714284</v>
      </c>
      <c r="W131" s="7">
        <v>0</v>
      </c>
      <c r="X131" s="10">
        <v>33.966071428571432</v>
      </c>
      <c r="Y131" s="10">
        <f t="shared" si="51"/>
        <v>65.339374552566724</v>
      </c>
      <c r="Z131" s="11">
        <f t="shared" si="52"/>
        <v>0.2352217483892402</v>
      </c>
    </row>
    <row r="132" spans="1:26" x14ac:dyDescent="0.3">
      <c r="A132" s="5">
        <v>2026</v>
      </c>
      <c r="B132" s="17">
        <v>31</v>
      </c>
      <c r="C132" s="15">
        <v>46082</v>
      </c>
      <c r="D132" s="7">
        <f t="shared" si="40"/>
        <v>1288220.25</v>
      </c>
      <c r="E132" s="19">
        <v>767111.68000000005</v>
      </c>
      <c r="F132" s="19">
        <v>521108.57</v>
      </c>
      <c r="G132" s="9">
        <f t="shared" si="49"/>
        <v>0.59548177417642678</v>
      </c>
      <c r="H132" s="9">
        <f t="shared" si="50"/>
        <v>0.40451822582357327</v>
      </c>
      <c r="I132" s="19">
        <v>9354.0645161290322</v>
      </c>
      <c r="J132" s="19">
        <v>8521.4516129032254</v>
      </c>
      <c r="K132" s="19">
        <v>1013.0967741935484</v>
      </c>
      <c r="L132" s="22">
        <v>82.758709677419375</v>
      </c>
      <c r="M132" s="10">
        <f t="shared" si="47"/>
        <v>56.441832177700384</v>
      </c>
      <c r="N132" s="11">
        <f t="shared" si="48"/>
        <v>0.20319059583972138</v>
      </c>
      <c r="O132" s="1"/>
      <c r="P132" s="7">
        <f t="shared" si="44"/>
        <v>310979.67</v>
      </c>
      <c r="Q132" s="19">
        <v>175334.09</v>
      </c>
      <c r="R132" s="19">
        <v>135645.57999999999</v>
      </c>
      <c r="S132" s="9">
        <f t="shared" si="53"/>
        <v>0.56381206527101924</v>
      </c>
      <c r="T132" s="9">
        <f t="shared" si="54"/>
        <v>0.43618793472898082</v>
      </c>
      <c r="U132" s="7">
        <v>1464.8387096774193</v>
      </c>
      <c r="V132" s="7">
        <v>1666.867741935484</v>
      </c>
      <c r="W132" s="7">
        <v>0</v>
      </c>
      <c r="X132" s="10">
        <v>33.958387096774189</v>
      </c>
      <c r="Y132" s="10">
        <f t="shared" si="51"/>
        <v>69.655500970743077</v>
      </c>
      <c r="Z132" s="11">
        <f t="shared" si="52"/>
        <v>0.25075980349467508</v>
      </c>
    </row>
    <row r="133" spans="1:26" x14ac:dyDescent="0.3">
      <c r="A133" s="5">
        <v>2026</v>
      </c>
      <c r="B133" s="17">
        <v>30</v>
      </c>
      <c r="C133" s="15">
        <v>46113</v>
      </c>
      <c r="D133" s="7">
        <f t="shared" si="40"/>
        <v>1176381.42</v>
      </c>
      <c r="E133" s="19">
        <v>990308.1</v>
      </c>
      <c r="F133" s="19">
        <v>186073.32</v>
      </c>
      <c r="G133" s="9">
        <f t="shared" si="49"/>
        <v>0.84182568949448389</v>
      </c>
      <c r="H133" s="9">
        <f t="shared" si="50"/>
        <v>0.15817431050551617</v>
      </c>
      <c r="I133" s="19">
        <v>8747.0666666666675</v>
      </c>
      <c r="J133" s="19">
        <v>7520.7</v>
      </c>
      <c r="K133" s="19">
        <v>971.86666666666667</v>
      </c>
      <c r="L133" s="22">
        <v>80.037666666666667</v>
      </c>
      <c r="M133" s="10">
        <f t="shared" si="47"/>
        <v>60.346890114149147</v>
      </c>
      <c r="N133" s="11">
        <f t="shared" si="48"/>
        <v>0.21724880441093691</v>
      </c>
      <c r="O133" s="1"/>
      <c r="P133" s="7">
        <f t="shared" si="44"/>
        <v>480358.07999999996</v>
      </c>
      <c r="Q133" s="19">
        <v>239816.46</v>
      </c>
      <c r="R133" s="19">
        <v>240541.62</v>
      </c>
      <c r="S133" s="9">
        <f t="shared" si="53"/>
        <v>0.4992451880896851</v>
      </c>
      <c r="T133" s="9">
        <f t="shared" si="54"/>
        <v>0.5007548119103149</v>
      </c>
      <c r="U133" s="7">
        <v>2900.3</v>
      </c>
      <c r="V133" s="7">
        <v>2593.5199999999991</v>
      </c>
      <c r="W133" s="7">
        <v>0</v>
      </c>
      <c r="X133" s="10">
        <v>32.362000000000002</v>
      </c>
      <c r="Y133" s="10">
        <f t="shared" si="51"/>
        <v>71.456296204900426</v>
      </c>
      <c r="Z133" s="11">
        <f t="shared" si="52"/>
        <v>0.25724266633764153</v>
      </c>
    </row>
    <row r="134" spans="1:26" x14ac:dyDescent="0.3">
      <c r="A134" s="5">
        <v>2026</v>
      </c>
      <c r="B134" s="17">
        <v>31</v>
      </c>
      <c r="C134" s="15">
        <v>46143</v>
      </c>
      <c r="D134" s="7">
        <f t="shared" si="40"/>
        <v>1244598.6299999999</v>
      </c>
      <c r="E134" s="19">
        <v>1163633.74</v>
      </c>
      <c r="F134" s="19">
        <v>80964.89</v>
      </c>
      <c r="G134" s="9">
        <f t="shared" si="49"/>
        <v>0.93494698768871387</v>
      </c>
      <c r="H134" s="9">
        <f t="shared" si="50"/>
        <v>6.5053012311286254E-2</v>
      </c>
      <c r="I134" s="19">
        <v>9303.4827586206902</v>
      </c>
      <c r="J134" s="19">
        <v>8081.6551724137935</v>
      </c>
      <c r="K134" s="19">
        <v>1006.6896551724138</v>
      </c>
      <c r="L134" s="22">
        <v>82.794827586206907</v>
      </c>
      <c r="M134" s="10">
        <f t="shared" si="47"/>
        <v>57.49810958272711</v>
      </c>
      <c r="N134" s="11">
        <f t="shared" si="48"/>
        <v>0.20699319449781761</v>
      </c>
      <c r="O134" s="1"/>
      <c r="P134" s="7">
        <f t="shared" si="44"/>
        <v>693925.33000000007</v>
      </c>
      <c r="Q134" s="19">
        <v>331452.58</v>
      </c>
      <c r="R134" s="19">
        <v>362472.75</v>
      </c>
      <c r="S134" s="9">
        <f t="shared" si="53"/>
        <v>0.47764876950089136</v>
      </c>
      <c r="T134" s="9">
        <f t="shared" si="54"/>
        <v>0.52235123049910859</v>
      </c>
      <c r="U134" s="7">
        <v>4414.4827586206893</v>
      </c>
      <c r="V134" s="7">
        <v>4129.0517241379303</v>
      </c>
      <c r="W134" s="7">
        <v>0</v>
      </c>
      <c r="X134" s="10">
        <v>34.378965517241383</v>
      </c>
      <c r="Y134" s="10">
        <f t="shared" si="51"/>
        <v>62.746135212884276</v>
      </c>
      <c r="Z134" s="11">
        <f t="shared" si="52"/>
        <v>0.22588608676638341</v>
      </c>
    </row>
    <row r="135" spans="1:26" x14ac:dyDescent="0.3">
      <c r="A135" s="5">
        <v>2026</v>
      </c>
      <c r="B135" s="17">
        <v>30</v>
      </c>
      <c r="C135" s="15">
        <v>46174</v>
      </c>
      <c r="D135" s="7">
        <f t="shared" si="40"/>
        <v>1318683.0099999998</v>
      </c>
      <c r="E135" s="19">
        <v>1214475.8899999999</v>
      </c>
      <c r="F135" s="19">
        <v>104207.12</v>
      </c>
      <c r="G135" s="9">
        <f t="shared" si="49"/>
        <v>0.92097636868772592</v>
      </c>
      <c r="H135" s="9">
        <f t="shared" si="50"/>
        <v>7.9023631312274217E-2</v>
      </c>
      <c r="I135" s="19">
        <v>9984.2333333333336</v>
      </c>
      <c r="J135" s="19">
        <v>8961.5666666666675</v>
      </c>
      <c r="K135" s="19">
        <v>1006.2333333333333</v>
      </c>
      <c r="L135" s="22">
        <v>82.860999999999976</v>
      </c>
      <c r="M135" s="10">
        <f t="shared" si="47"/>
        <v>56.770337173049946</v>
      </c>
      <c r="N135" s="11">
        <f t="shared" si="48"/>
        <v>0.20437321382297979</v>
      </c>
      <c r="O135" s="1"/>
      <c r="P135" s="7">
        <f t="shared" si="44"/>
        <v>460222.25</v>
      </c>
      <c r="Q135" s="19">
        <v>220691.64</v>
      </c>
      <c r="R135" s="19">
        <v>239530.61</v>
      </c>
      <c r="S135" s="9">
        <f t="shared" si="53"/>
        <v>0.47953274749319491</v>
      </c>
      <c r="T135" s="9">
        <f t="shared" si="54"/>
        <v>0.52046725250680514</v>
      </c>
      <c r="U135" s="7">
        <v>2792.9333333333334</v>
      </c>
      <c r="V135" s="7">
        <v>2477.9700000000003</v>
      </c>
      <c r="W135" s="7">
        <v>0</v>
      </c>
      <c r="X135" s="10">
        <v>33.470000000000006</v>
      </c>
      <c r="Y135" s="10">
        <f t="shared" si="51"/>
        <v>71.653361582761107</v>
      </c>
      <c r="Z135" s="11">
        <f t="shared" si="52"/>
        <v>0.25795210169793997</v>
      </c>
    </row>
    <row r="136" spans="1:26" x14ac:dyDescent="0.3">
      <c r="A136" s="5">
        <v>2026</v>
      </c>
      <c r="B136" s="17">
        <v>31</v>
      </c>
      <c r="C136" s="15">
        <v>46204</v>
      </c>
      <c r="D136" s="7">
        <f t="shared" si="40"/>
        <v>1822926.7799999998</v>
      </c>
      <c r="E136" s="19">
        <v>1586839.13</v>
      </c>
      <c r="F136" s="19">
        <v>236087.65</v>
      </c>
      <c r="G136" s="9">
        <f t="shared" si="49"/>
        <v>0.87048977907933311</v>
      </c>
      <c r="H136" s="9">
        <f t="shared" si="50"/>
        <v>0.12951022092066694</v>
      </c>
      <c r="I136" s="19">
        <v>13278.78947368421</v>
      </c>
      <c r="J136" s="19">
        <v>11323.947368421053</v>
      </c>
      <c r="K136" s="19">
        <v>1333.421052631579</v>
      </c>
      <c r="L136" s="22">
        <v>82.916315789473671</v>
      </c>
      <c r="M136" s="10">
        <f t="shared" si="47"/>
        <v>60.10297183850701</v>
      </c>
      <c r="N136" s="11">
        <f t="shared" si="48"/>
        <v>0.21637069861862523</v>
      </c>
      <c r="O136" s="1"/>
      <c r="P136" s="7">
        <f t="shared" si="44"/>
        <v>1108594.58</v>
      </c>
      <c r="Q136" s="19">
        <v>589244.56000000006</v>
      </c>
      <c r="R136" s="19">
        <v>519350.02</v>
      </c>
      <c r="S136" s="9">
        <f t="shared" si="53"/>
        <v>0.53152394088017285</v>
      </c>
      <c r="T136" s="9">
        <f t="shared" si="54"/>
        <v>0.4684760591198272</v>
      </c>
      <c r="U136" s="7">
        <v>8958.4736842105267</v>
      </c>
      <c r="V136" s="7">
        <v>7570.6052631578932</v>
      </c>
      <c r="W136" s="7">
        <v>952.31578947368416</v>
      </c>
      <c r="X136" s="10">
        <v>34.015789473684215</v>
      </c>
      <c r="Y136" s="10">
        <f t="shared" si="51"/>
        <v>54.672220409652013</v>
      </c>
      <c r="Z136" s="11">
        <f t="shared" si="52"/>
        <v>0.19681999347474727</v>
      </c>
    </row>
    <row r="137" spans="1:26" x14ac:dyDescent="0.3">
      <c r="A137" s="5">
        <v>2026</v>
      </c>
      <c r="B137" s="17">
        <v>31</v>
      </c>
      <c r="C137" s="15">
        <v>46235</v>
      </c>
      <c r="D137" s="7">
        <f t="shared" si="40"/>
        <v>1653971.65</v>
      </c>
      <c r="E137" s="19">
        <v>1500777.54</v>
      </c>
      <c r="F137" s="19">
        <v>153194.10999999999</v>
      </c>
      <c r="G137" s="9">
        <f t="shared" si="49"/>
        <v>0.90737803154002072</v>
      </c>
      <c r="H137" s="9">
        <f t="shared" si="50"/>
        <v>9.2621968459979345E-2</v>
      </c>
      <c r="I137" s="19">
        <v>12051.8</v>
      </c>
      <c r="J137" s="19">
        <v>11210.04</v>
      </c>
      <c r="K137" s="19">
        <v>1006.04</v>
      </c>
      <c r="L137" s="22">
        <v>82.899600000000007</v>
      </c>
      <c r="M137" s="10">
        <f t="shared" si="47"/>
        <v>55.086535887352923</v>
      </c>
      <c r="N137" s="11">
        <f t="shared" si="48"/>
        <v>0.19831152919447054</v>
      </c>
      <c r="O137" s="1"/>
      <c r="P137" s="7">
        <f t="shared" si="44"/>
        <v>1137305.22</v>
      </c>
      <c r="Q137" s="19">
        <v>577205.24</v>
      </c>
      <c r="R137" s="19">
        <v>560099.98</v>
      </c>
      <c r="S137" s="9">
        <f t="shared" si="53"/>
        <v>0.5075200833071003</v>
      </c>
      <c r="T137" s="9">
        <f t="shared" si="54"/>
        <v>0.4924799166928997</v>
      </c>
      <c r="U137" s="7">
        <v>12486.92</v>
      </c>
      <c r="V137" s="7">
        <v>8208.06</v>
      </c>
      <c r="W137" s="7">
        <v>4717</v>
      </c>
      <c r="X137" s="10">
        <v>34.711600000000004</v>
      </c>
      <c r="Y137" s="10">
        <f t="shared" si="51"/>
        <v>51.732214987703706</v>
      </c>
      <c r="Z137" s="11">
        <f t="shared" si="52"/>
        <v>0.18623597395573335</v>
      </c>
    </row>
    <row r="138" spans="1:26" x14ac:dyDescent="0.3">
      <c r="A138" s="5">
        <v>2026</v>
      </c>
      <c r="B138" s="17">
        <v>30</v>
      </c>
      <c r="C138" s="15">
        <v>46266</v>
      </c>
      <c r="D138" s="7">
        <v>1836440.73</v>
      </c>
      <c r="E138" s="19">
        <v>1624650.36</v>
      </c>
      <c r="F138" s="19">
        <v>211790.37</v>
      </c>
      <c r="G138" s="9">
        <v>0.88467345199863878</v>
      </c>
      <c r="H138" s="9">
        <v>0.1153265480013613</v>
      </c>
      <c r="I138" s="19">
        <v>17140.400000000001</v>
      </c>
      <c r="J138" s="19">
        <v>13100.05</v>
      </c>
      <c r="K138" s="19">
        <v>4262.6499999999996</v>
      </c>
      <c r="L138" s="22">
        <v>82.987000000000009</v>
      </c>
      <c r="M138" s="10">
        <f t="shared" ref="M138" si="55">+D138/B138/0.0864/J138</f>
        <v>54.084020141568587</v>
      </c>
      <c r="N138" s="11">
        <f t="shared" ref="N138" si="56">+M138*3600/1000000</f>
        <v>0.1947024725096469</v>
      </c>
      <c r="O138" s="1"/>
      <c r="P138" s="7">
        <v>1037316.29</v>
      </c>
      <c r="Q138" s="19">
        <v>568579.28</v>
      </c>
      <c r="R138" s="19">
        <v>468737.01</v>
      </c>
      <c r="S138" s="9">
        <v>0.54812527816371226</v>
      </c>
      <c r="T138" s="9">
        <v>0.45187472183628774</v>
      </c>
      <c r="U138" s="7">
        <v>8300.35</v>
      </c>
      <c r="V138" s="7">
        <v>7392.6449999999995</v>
      </c>
      <c r="W138" s="7">
        <v>878.15</v>
      </c>
      <c r="X138" s="10">
        <v>34.657499999999992</v>
      </c>
      <c r="Y138" s="10">
        <f t="shared" ref="Y138" si="57">+P138/B138/0.0864/V138</f>
        <v>54.134776653929698</v>
      </c>
      <c r="Z138" s="11">
        <f t="shared" ref="Z138" si="58">+Y138*3600/1000000</f>
        <v>0.19488519595414691</v>
      </c>
    </row>
  </sheetData>
  <autoFilter ref="A21:C135" xr:uid="{00000000-0001-0000-0000-000000000000}"/>
  <pageMargins left="0.7" right="0.7" top="0.75" bottom="0.75" header="0.3" footer="0.3"/>
  <ignoredErrors>
    <ignoredError sqref="C8:C1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F58C39D9DC2F42B54B48A1BFDE0697" ma:contentTypeVersion="11" ma:contentTypeDescription="Crear nuevo documento." ma:contentTypeScope="" ma:versionID="943afd90e8e0257b494b2eecf307205e">
  <xsd:schema xmlns:xsd="http://www.w3.org/2001/XMLSchema" xmlns:xs="http://www.w3.org/2001/XMLSchema" xmlns:p="http://schemas.microsoft.com/office/2006/metadata/properties" xmlns:ns2="688a9067-e10a-4e36-9b1c-d5f7f0736641" xmlns:ns3="36f51209-9f10-4f36-8de1-59c1c6f75fc5" targetNamespace="http://schemas.microsoft.com/office/2006/metadata/properties" ma:root="true" ma:fieldsID="258a6db349944f7b959697c570aef60a" ns2:_="" ns3:_="">
    <xsd:import namespace="688a9067-e10a-4e36-9b1c-d5f7f0736641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a9067-e10a-4e36-9b1c-d5f7f0736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688a9067-e10a-4e36-9b1c-d5f7f07366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19A018-7C85-4D63-A392-B0EA106EAD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a9067-e10a-4e36-9b1c-d5f7f0736641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86A53D-5976-4B4B-84D2-B3CDA8ADC0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0E9A79-53EC-4536-9283-23BDDE045AC0}">
  <ds:schemaRefs>
    <ds:schemaRef ds:uri="http://schemas.microsoft.com/office/2006/metadata/properties"/>
    <ds:schemaRef ds:uri="http://schemas.microsoft.com/office/infopath/2007/PartnerControls"/>
    <ds:schemaRef ds:uri="36f51209-9f10-4f36-8de1-59c1c6f75fc5"/>
    <ds:schemaRef ds:uri="688a9067-e10a-4e36-9b1c-d5f7f07366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CENTRALES HI BINACIONALES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Marinozzi</dc:creator>
  <cp:lastModifiedBy>Agustina Lesce</cp:lastModifiedBy>
  <dcterms:created xsi:type="dcterms:W3CDTF">2024-05-03T11:41:18Z</dcterms:created>
  <dcterms:modified xsi:type="dcterms:W3CDTF">2026-10-16T13:31:50Z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0x010100E6F58C39D9DC2F42B54B48A1BFDE0697</vt:lpwstr>
  </property>
  <property fmtid="{D5CDD505-2E9C-101B-9397-08002B2CF9AE}" pid="3" name="MediaServiceImageTags">
    <vt:lpwstr/>
  </property>
</Properties>
</file>